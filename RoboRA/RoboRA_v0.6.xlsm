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pivotTables/pivotTable1.xml" ContentType="application/vnd.openxmlformats-officedocument.spreadsheetml.pivotTable+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drawings/drawing7.xml" ContentType="application/vnd.openxmlformats-officedocument.drawing+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ctrlProps/ctrlProp13.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comments6.xml" ContentType="application/vnd.openxmlformats-officedocument.spreadsheetml.comments+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5" windowHeight="3000"/>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definedNames>
    <definedName name="AwdTemplate">RoboRA!$B$11</definedName>
    <definedName name="DeclTemplate">RoboRA!$E$11</definedName>
    <definedName name="delaytime">RoboRA!$L$7</definedName>
    <definedName name="dir_div_abbr">Advanced!$D$17</definedName>
    <definedName name="dirRAoutput">Advanced!$K$8</definedName>
    <definedName name="dirRAtemplate">Advanced!$K$7</definedName>
    <definedName name="fiscalyear" localSheetId="2">Budgets!$M$2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RoboRA!$J$2</definedName>
    <definedName name="panl_id">Advanced!$D$13</definedName>
    <definedName name="PC_connect_string" localSheetId="9">HiddenSettings!$B$4</definedName>
    <definedName name="pgm_annc_id">Advanced!$D$15</definedName>
    <definedName name="pgm_ele_code">Advanced!$D$18</definedName>
    <definedName name="PO_id">Budgets!$K$2</definedName>
    <definedName name="prop_atr_code">Advanced!$D$23</definedName>
    <definedName name="prop_stts_abbr">Advanced!$D$19</definedName>
    <definedName name="prop_titl_txt">Advanced!$D$22</definedName>
    <definedName name="Query_from_RPTSERVER" localSheetId="2" hidden="1">Budgets!$A$3:$AD$409</definedName>
    <definedName name="Query_from_RPTSERVER" localSheetId="3" hidden="1">ckAwd!$A$1:$AX$75</definedName>
    <definedName name="Query_from_RPTSERVER" localSheetId="1" hidden="1">ckCoding!$A$1:$BL$75</definedName>
    <definedName name="Query_from_RPTSERVER" localSheetId="4" hidden="1">ckSplits!$A$1:$AH$2</definedName>
    <definedName name="Query_from_RPTSERVER" localSheetId="6" hidden="1">PRCs!$A$2:$B$9</definedName>
    <definedName name="Query_from_RPTSERVER" localSheetId="5" hidden="1">ProjText!$B$1:$P$330</definedName>
    <definedName name="Query_from_RPTSERVER" localSheetId="8" hidden="1">RAData!$A$1:$EC$53</definedName>
    <definedName name="Query_from_RPTSERVER_1" localSheetId="6" hidden="1">PRCs!$D$2:$E$4</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HiddenSettings!$C$36</definedName>
    <definedName name="RA_leads" localSheetId="9">HiddenSettings!$C$26</definedName>
    <definedName name="RA_panl" localSheetId="9">HiddenSettings!$C$30</definedName>
    <definedName name="RA_PECglossary" localSheetId="9">HiddenSettings!$C$40</definedName>
    <definedName name="RA_pidCreate" localSheetId="9">HiddenSettings!$C$38</definedName>
    <definedName name="RA_pidSelect" localSheetId="9">HiddenSettings!$C$39</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A_splits" localSheetId="9">HiddenSettings!$C$37</definedName>
    <definedName name="revtable" localSheetId="9">HiddenSettings!$C$25</definedName>
    <definedName name="rpt_pwd" comment="reportserver password" localSheetId="9">HiddenSettings!$B$3</definedName>
    <definedName name="signer1">RoboRA!$M$10</definedName>
    <definedName name="signer2">RoboRA!$M$11</definedName>
    <definedName name="StdDeclTemplate">RoboRA!$H$11</definedName>
    <definedName name="to_date">Advanced!$D$12</definedName>
    <definedName name="user_id" comment="reportserver user_id" localSheetId="9">HiddenSettings!$B$2</definedName>
  </definedNames>
  <calcPr calcId="171027"/>
  <pivotCaches>
    <pivotCache cacheId="0" r:id="rId11"/>
    <pivotCache cacheId="46"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2" i="12" l="1"/>
  <c r="V2" i="12"/>
  <c r="AB2" i="12"/>
  <c r="M2" i="10"/>
  <c r="M3" i="10" s="1"/>
  <c r="M4" i="10" s="1"/>
  <c r="M5" i="10" s="1"/>
  <c r="M6" i="10" s="1"/>
  <c r="M7" i="10" s="1"/>
  <c r="M8" i="10" s="1"/>
  <c r="M9" i="10" s="1"/>
  <c r="M10" i="10" s="1"/>
  <c r="M11" i="10" s="1"/>
  <c r="M12" i="10" s="1"/>
  <c r="M13" i="10" s="1"/>
  <c r="M14" i="10" s="1"/>
  <c r="M15" i="10" s="1"/>
  <c r="M16" i="10" s="1"/>
  <c r="M17" i="10" s="1"/>
  <c r="M18" i="10" s="1"/>
  <c r="M19" i="10" s="1"/>
  <c r="M20" i="10" s="1"/>
  <c r="M21" i="10" s="1"/>
  <c r="M22" i="10" s="1"/>
  <c r="M23" i="10" s="1"/>
  <c r="M24" i="10" s="1"/>
  <c r="M25" i="10" s="1"/>
  <c r="M26" i="10" s="1"/>
  <c r="M27" i="10" s="1"/>
  <c r="M28" i="10" s="1"/>
  <c r="M29" i="10" s="1"/>
  <c r="M30" i="10" s="1"/>
  <c r="M31" i="10" s="1"/>
  <c r="M32" i="10" s="1"/>
  <c r="M33" i="10" s="1"/>
  <c r="M34" i="10" s="1"/>
  <c r="M35" i="10" s="1"/>
  <c r="M36" i="10" s="1"/>
  <c r="M37" i="10" s="1"/>
  <c r="M38" i="10" s="1"/>
  <c r="M39" i="10" s="1"/>
  <c r="M40" i="10" s="1"/>
  <c r="M41" i="10" s="1"/>
  <c r="M42" i="10" s="1"/>
  <c r="M43" i="10" s="1"/>
  <c r="M44" i="10" s="1"/>
  <c r="M45" i="10" s="1"/>
  <c r="M46" i="10" s="1"/>
  <c r="M47" i="10" s="1"/>
  <c r="M48" i="10" s="1"/>
  <c r="M49" i="10" s="1"/>
  <c r="M50" i="10" s="1"/>
  <c r="M51" i="10" s="1"/>
  <c r="M52" i="10" s="1"/>
  <c r="M53" i="10" s="1"/>
  <c r="M54" i="10" s="1"/>
  <c r="M55" i="10" s="1"/>
  <c r="M56" i="10" s="1"/>
  <c r="M57" i="10" s="1"/>
  <c r="M58" i="10" s="1"/>
  <c r="M59" i="10" s="1"/>
  <c r="M60" i="10" s="1"/>
  <c r="M61" i="10" s="1"/>
  <c r="M62" i="10" s="1"/>
  <c r="M63" i="10" s="1"/>
  <c r="M64" i="10" s="1"/>
  <c r="M65" i="10" s="1"/>
  <c r="M66" i="10" s="1"/>
  <c r="M67" i="10" s="1"/>
  <c r="M68" i="10" s="1"/>
  <c r="M69" i="10" s="1"/>
  <c r="M70" i="10" s="1"/>
  <c r="M71" i="10" s="1"/>
  <c r="M72" i="10" s="1"/>
  <c r="M73" i="10" s="1"/>
  <c r="M74" i="10" s="1"/>
  <c r="M75" i="10" s="1"/>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AG2" i="10"/>
  <c r="AG3" i="10"/>
  <c r="AG4" i="10"/>
  <c r="AG5" i="10"/>
  <c r="AG6" i="10"/>
  <c r="AG7" i="10"/>
  <c r="AG8" i="10"/>
  <c r="AG9" i="10"/>
  <c r="AG10" i="10"/>
  <c r="AG11" i="10"/>
  <c r="AG12" i="10"/>
  <c r="AG13" i="10"/>
  <c r="AG14" i="10"/>
  <c r="AG15" i="10"/>
  <c r="AG16" i="10"/>
  <c r="AG17" i="10"/>
  <c r="AG18" i="10"/>
  <c r="AG19" i="10"/>
  <c r="AG20" i="10"/>
  <c r="AG21" i="10"/>
  <c r="AG22" i="10"/>
  <c r="AG23" i="10"/>
  <c r="AG24" i="10"/>
  <c r="AG25" i="10"/>
  <c r="AG26" i="10"/>
  <c r="AG27" i="10"/>
  <c r="AG28" i="10"/>
  <c r="AG29" i="10"/>
  <c r="AG30" i="10"/>
  <c r="AG31" i="10"/>
  <c r="AG32" i="10"/>
  <c r="AG33" i="10"/>
  <c r="AG34" i="10"/>
  <c r="AG35" i="10"/>
  <c r="AG36" i="10"/>
  <c r="AG37" i="10"/>
  <c r="AG38" i="10"/>
  <c r="AG39" i="10"/>
  <c r="AG40" i="10"/>
  <c r="AG41" i="10"/>
  <c r="AG42" i="10"/>
  <c r="AG43" i="10"/>
  <c r="AG44" i="10"/>
  <c r="AG45" i="10"/>
  <c r="AG46" i="10"/>
  <c r="AG47" i="10"/>
  <c r="AG48" i="10"/>
  <c r="AG49" i="10"/>
  <c r="AG50" i="10"/>
  <c r="AG51" i="10"/>
  <c r="AG52" i="10"/>
  <c r="AG53" i="10"/>
  <c r="AG54" i="10"/>
  <c r="AG55" i="10"/>
  <c r="AG56" i="10"/>
  <c r="AG57" i="10"/>
  <c r="AG58" i="10"/>
  <c r="AG59" i="10"/>
  <c r="AG60" i="10"/>
  <c r="AG61" i="10"/>
  <c r="AG62" i="10"/>
  <c r="AG63" i="10"/>
  <c r="AG64" i="10"/>
  <c r="AG65" i="10"/>
  <c r="AG66" i="10"/>
  <c r="AG67" i="10"/>
  <c r="AG68" i="10"/>
  <c r="AG69" i="10"/>
  <c r="AG70" i="10"/>
  <c r="AG71" i="10"/>
  <c r="AG72" i="10"/>
  <c r="AG73" i="10"/>
  <c r="AG74" i="10"/>
  <c r="AG75" i="10"/>
  <c r="AW2" i="10"/>
  <c r="AW3" i="10"/>
  <c r="AW4" i="10"/>
  <c r="AW5" i="10"/>
  <c r="AW6" i="10"/>
  <c r="AW7" i="10"/>
  <c r="AW8" i="10"/>
  <c r="AW9" i="10"/>
  <c r="AW10" i="10"/>
  <c r="AW11" i="10"/>
  <c r="AW12" i="10"/>
  <c r="AW13" i="10"/>
  <c r="AW14" i="10"/>
  <c r="AW15" i="10"/>
  <c r="AW16" i="10"/>
  <c r="AW17" i="10"/>
  <c r="AW18" i="10"/>
  <c r="AW19" i="10"/>
  <c r="AW20" i="10"/>
  <c r="AW21" i="10"/>
  <c r="AW22" i="10"/>
  <c r="AW23" i="10"/>
  <c r="AW24" i="10"/>
  <c r="AW25" i="10"/>
  <c r="AW26" i="10"/>
  <c r="AW27" i="10"/>
  <c r="AW28" i="10"/>
  <c r="AW29" i="10"/>
  <c r="AW30" i="10"/>
  <c r="AW31" i="10"/>
  <c r="AW32" i="10"/>
  <c r="AW33" i="10"/>
  <c r="AW34" i="10"/>
  <c r="AW35" i="10"/>
  <c r="AW36" i="10"/>
  <c r="AW37" i="10"/>
  <c r="AW38" i="10"/>
  <c r="AW39" i="10"/>
  <c r="AW40" i="10"/>
  <c r="AW41" i="10"/>
  <c r="AW42" i="10"/>
  <c r="AW43" i="10"/>
  <c r="AW44" i="10"/>
  <c r="AW45" i="10"/>
  <c r="AW46" i="10"/>
  <c r="AW47" i="10"/>
  <c r="AW48" i="10"/>
  <c r="AW49" i="10"/>
  <c r="AW50" i="10"/>
  <c r="AW51" i="10"/>
  <c r="AW52" i="10"/>
  <c r="AW53" i="10"/>
  <c r="AW54" i="10"/>
  <c r="AW55" i="10"/>
  <c r="AW56" i="10"/>
  <c r="AW57" i="10"/>
  <c r="AW58" i="10"/>
  <c r="AW59" i="10"/>
  <c r="AW60" i="10"/>
  <c r="AW61" i="10"/>
  <c r="AW62" i="10"/>
  <c r="AW63" i="10"/>
  <c r="AW64" i="10"/>
  <c r="AW65" i="10"/>
  <c r="AW66" i="10"/>
  <c r="AW67" i="10"/>
  <c r="AW68" i="10"/>
  <c r="AW69" i="10"/>
  <c r="AW70" i="10"/>
  <c r="AW71" i="10"/>
  <c r="AW72" i="10"/>
  <c r="AW73" i="10"/>
  <c r="AW74" i="10"/>
  <c r="AW75" i="10"/>
  <c r="C4" i="13"/>
  <c r="C5" i="13" s="1"/>
  <c r="C6" i="13" s="1"/>
  <c r="C7" i="13" s="1"/>
  <c r="C8" i="13" s="1"/>
  <c r="C9" i="13" s="1"/>
  <c r="C10" i="13" s="1"/>
  <c r="C11" i="13" s="1"/>
  <c r="C12" i="13" s="1"/>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100" i="13" s="1"/>
  <c r="C101" i="13" s="1"/>
  <c r="C102" i="13" s="1"/>
  <c r="C103" i="13" s="1"/>
  <c r="C104" i="13" s="1"/>
  <c r="C105" i="13" s="1"/>
  <c r="C106" i="13" s="1"/>
  <c r="C107" i="13" s="1"/>
  <c r="C108" i="13" s="1"/>
  <c r="C109" i="13" s="1"/>
  <c r="C110" i="13" s="1"/>
  <c r="C111" i="13" s="1"/>
  <c r="C112" i="13" s="1"/>
  <c r="C113" i="13" s="1"/>
  <c r="C114" i="13" s="1"/>
  <c r="C115" i="13" s="1"/>
  <c r="C116" i="13" s="1"/>
  <c r="C117" i="13" s="1"/>
  <c r="C118" i="13" s="1"/>
  <c r="C119" i="13" s="1"/>
  <c r="C120" i="13" s="1"/>
  <c r="C121" i="13" s="1"/>
  <c r="C122" i="13" s="1"/>
  <c r="C123" i="13" s="1"/>
  <c r="C124" i="13" s="1"/>
  <c r="C125" i="13" s="1"/>
  <c r="C126" i="13" s="1"/>
  <c r="C127" i="13" s="1"/>
  <c r="C128" i="13" s="1"/>
  <c r="C129" i="13" s="1"/>
  <c r="C130" i="13" s="1"/>
  <c r="C131" i="13" s="1"/>
  <c r="C132" i="13" s="1"/>
  <c r="C133" i="13" s="1"/>
  <c r="C134" i="13" s="1"/>
  <c r="C135" i="13" s="1"/>
  <c r="C136" i="13" s="1"/>
  <c r="C137" i="13" s="1"/>
  <c r="C138" i="13" s="1"/>
  <c r="C139" i="13" s="1"/>
  <c r="C140" i="13" s="1"/>
  <c r="C141" i="13" s="1"/>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C191" i="13" s="1"/>
  <c r="C192" i="13" s="1"/>
  <c r="C193" i="13" s="1"/>
  <c r="C194" i="13" s="1"/>
  <c r="C195" i="13" s="1"/>
  <c r="C196" i="13" s="1"/>
  <c r="C197" i="13" s="1"/>
  <c r="C198" i="13" s="1"/>
  <c r="C199" i="13" s="1"/>
  <c r="C200" i="13" s="1"/>
  <c r="C201" i="13" s="1"/>
  <c r="C202" i="13" s="1"/>
  <c r="C203" i="13" s="1"/>
  <c r="C204" i="13" s="1"/>
  <c r="C205" i="13" s="1"/>
  <c r="C206" i="13" s="1"/>
  <c r="C207" i="13" s="1"/>
  <c r="C208" i="13" s="1"/>
  <c r="C209" i="13" s="1"/>
  <c r="C210" i="13" s="1"/>
  <c r="C211" i="13" s="1"/>
  <c r="C212" i="13" s="1"/>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0" i="13" s="1"/>
  <c r="C241" i="13" s="1"/>
  <c r="C242" i="13" s="1"/>
  <c r="C243" i="13" s="1"/>
  <c r="C244" i="13" s="1"/>
  <c r="C245" i="13" s="1"/>
  <c r="C246" i="13" s="1"/>
  <c r="C247" i="13" s="1"/>
  <c r="C248" i="13" s="1"/>
  <c r="C249" i="13" s="1"/>
  <c r="C250" i="13" s="1"/>
  <c r="C251" i="13" s="1"/>
  <c r="C252" i="13" s="1"/>
  <c r="C253" i="13" s="1"/>
  <c r="C254" i="13" s="1"/>
  <c r="C255" i="13" s="1"/>
  <c r="C256" i="13" s="1"/>
  <c r="C257" i="13" s="1"/>
  <c r="C258" i="13" s="1"/>
  <c r="C259" i="13" s="1"/>
  <c r="C260" i="13" s="1"/>
  <c r="C261" i="13" s="1"/>
  <c r="C262" i="13" s="1"/>
  <c r="C263" i="13" s="1"/>
  <c r="C264" i="13" s="1"/>
  <c r="C265" i="13" s="1"/>
  <c r="C266" i="13" s="1"/>
  <c r="C267" i="13" s="1"/>
  <c r="C268" i="13" s="1"/>
  <c r="C269" i="13" s="1"/>
  <c r="C270" i="13" s="1"/>
  <c r="C271" i="13" s="1"/>
  <c r="C272" i="13" s="1"/>
  <c r="C273" i="13" s="1"/>
  <c r="C274" i="13" s="1"/>
  <c r="C275" i="13" s="1"/>
  <c r="C276" i="13" s="1"/>
  <c r="C277" i="13" s="1"/>
  <c r="C278" i="13" s="1"/>
  <c r="C279" i="13" s="1"/>
  <c r="C280" i="13" s="1"/>
  <c r="C281" i="13" s="1"/>
  <c r="C282" i="13" s="1"/>
  <c r="C283" i="13" s="1"/>
  <c r="C284" i="13" s="1"/>
  <c r="C285" i="13" s="1"/>
  <c r="C286" i="13" s="1"/>
  <c r="C287" i="13" s="1"/>
  <c r="C288" i="13" s="1"/>
  <c r="C289" i="13" s="1"/>
  <c r="C290" i="13" s="1"/>
  <c r="C291" i="13" s="1"/>
  <c r="C292" i="13" s="1"/>
  <c r="C293" i="13" s="1"/>
  <c r="C294" i="13" s="1"/>
  <c r="C295" i="13" s="1"/>
  <c r="C296" i="13" s="1"/>
  <c r="C297" i="13" s="1"/>
  <c r="C298" i="13" s="1"/>
  <c r="C299" i="13" s="1"/>
  <c r="C300" i="13" s="1"/>
  <c r="C301" i="13" s="1"/>
  <c r="C302" i="13" s="1"/>
  <c r="C303" i="13" s="1"/>
  <c r="C304" i="13" s="1"/>
  <c r="C305" i="13" s="1"/>
  <c r="C306" i="13" s="1"/>
  <c r="C307" i="13" s="1"/>
  <c r="C308" i="13" s="1"/>
  <c r="C309" i="13" s="1"/>
  <c r="C310" i="13" s="1"/>
  <c r="C311" i="13" s="1"/>
  <c r="C312" i="13" s="1"/>
  <c r="C313" i="13" s="1"/>
  <c r="C314" i="13" s="1"/>
  <c r="C315" i="13" s="1"/>
  <c r="C316" i="13" s="1"/>
  <c r="C317" i="13" s="1"/>
  <c r="C318" i="13" s="1"/>
  <c r="C319" i="13" s="1"/>
  <c r="C320" i="13" s="1"/>
  <c r="C321" i="13" s="1"/>
  <c r="C322" i="13" s="1"/>
  <c r="C323" i="13" s="1"/>
  <c r="C324" i="13" s="1"/>
  <c r="C325" i="13" s="1"/>
  <c r="C326" i="13" s="1"/>
  <c r="C327" i="13" s="1"/>
  <c r="C328" i="13" s="1"/>
  <c r="C329" i="13" s="1"/>
  <c r="C330" i="13" s="1"/>
  <c r="C331" i="13" s="1"/>
  <c r="C332" i="13" s="1"/>
  <c r="C333" i="13" s="1"/>
  <c r="C334" i="13" s="1"/>
  <c r="C335" i="13" s="1"/>
  <c r="C336" i="13" s="1"/>
  <c r="C337" i="13" s="1"/>
  <c r="C338" i="13" s="1"/>
  <c r="C339" i="13" s="1"/>
  <c r="C340" i="13" s="1"/>
  <c r="C341" i="13" s="1"/>
  <c r="C342" i="13" s="1"/>
  <c r="C343" i="13" s="1"/>
  <c r="C344" i="13" s="1"/>
  <c r="C345" i="13" s="1"/>
  <c r="C346" i="13" s="1"/>
  <c r="C347" i="13" s="1"/>
  <c r="C348" i="13" s="1"/>
  <c r="C349" i="13" s="1"/>
  <c r="C350" i="13" s="1"/>
  <c r="C351" i="13" s="1"/>
  <c r="C352" i="13" s="1"/>
  <c r="C353" i="13" s="1"/>
  <c r="C354" i="13" s="1"/>
  <c r="C355" i="13" s="1"/>
  <c r="C356" i="13" s="1"/>
  <c r="C357" i="13" s="1"/>
  <c r="C358" i="13" s="1"/>
  <c r="C359" i="13" s="1"/>
  <c r="C360" i="13" s="1"/>
  <c r="C361" i="13" s="1"/>
  <c r="C362" i="13" s="1"/>
  <c r="C363" i="13" s="1"/>
  <c r="C364" i="13" s="1"/>
  <c r="C365" i="13" s="1"/>
  <c r="C366" i="13" s="1"/>
  <c r="C367" i="13" s="1"/>
  <c r="C368" i="13" s="1"/>
  <c r="C369" i="13" s="1"/>
  <c r="C370" i="13" s="1"/>
  <c r="C371" i="13" s="1"/>
  <c r="C372" i="13" s="1"/>
  <c r="C373" i="13" s="1"/>
  <c r="C374" i="13" s="1"/>
  <c r="C375" i="13" s="1"/>
  <c r="C376" i="13" s="1"/>
  <c r="C377" i="13" s="1"/>
  <c r="C378" i="13" s="1"/>
  <c r="C379" i="13" s="1"/>
  <c r="C380" i="13" s="1"/>
  <c r="C381" i="13" s="1"/>
  <c r="C382" i="13" s="1"/>
  <c r="C383" i="13" s="1"/>
  <c r="C384" i="13" s="1"/>
  <c r="C385" i="13" s="1"/>
  <c r="C386" i="13" s="1"/>
  <c r="C387" i="13" s="1"/>
  <c r="C388" i="13" s="1"/>
  <c r="C389" i="13" s="1"/>
  <c r="C390" i="13" s="1"/>
  <c r="C391" i="13" s="1"/>
  <c r="C392" i="13" s="1"/>
  <c r="C393" i="13" s="1"/>
  <c r="C394" i="13" s="1"/>
  <c r="C395" i="13" s="1"/>
  <c r="C396" i="13" s="1"/>
  <c r="C397" i="13" s="1"/>
  <c r="C398" i="13" s="1"/>
  <c r="C399" i="13" s="1"/>
  <c r="C400" i="13" s="1"/>
  <c r="C401" i="13" s="1"/>
  <c r="C402" i="13" s="1"/>
  <c r="C403" i="13" s="1"/>
  <c r="C404" i="13" s="1"/>
  <c r="C405" i="13" s="1"/>
  <c r="C406" i="13" s="1"/>
  <c r="C407" i="13" s="1"/>
  <c r="C408" i="13" s="1"/>
  <c r="C409" i="13" s="1"/>
  <c r="D4" i="13"/>
  <c r="D5" i="13" s="1"/>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D27" i="13" s="1"/>
  <c r="D28" i="13" s="1"/>
  <c r="D29" i="13" s="1"/>
  <c r="D30" i="13" s="1"/>
  <c r="D31" i="13" s="1"/>
  <c r="D32" i="13" s="1"/>
  <c r="D33" i="13" s="1"/>
  <c r="D34" i="13" s="1"/>
  <c r="D35" i="13" s="1"/>
  <c r="D36" i="13" s="1"/>
  <c r="D37" i="13" s="1"/>
  <c r="D38" i="13" s="1"/>
  <c r="D39" i="13" s="1"/>
  <c r="D40" i="13" s="1"/>
  <c r="D41" i="13" s="1"/>
  <c r="D42" i="13" s="1"/>
  <c r="D43" i="13" s="1"/>
  <c r="D44" i="13" s="1"/>
  <c r="D45" i="13" s="1"/>
  <c r="D46" i="13" s="1"/>
  <c r="D47" i="13" s="1"/>
  <c r="D48" i="13" s="1"/>
  <c r="D49" i="13" s="1"/>
  <c r="D50" i="13" s="1"/>
  <c r="D51" i="13" s="1"/>
  <c r="D52" i="13" s="1"/>
  <c r="D53" i="13" s="1"/>
  <c r="D54" i="13" s="1"/>
  <c r="D55" i="13" s="1"/>
  <c r="D56" i="13" s="1"/>
  <c r="D57" i="13" s="1"/>
  <c r="D58" i="13" s="1"/>
  <c r="D59" i="13" s="1"/>
  <c r="D60" i="13" s="1"/>
  <c r="D61" i="13" s="1"/>
  <c r="D62" i="13" s="1"/>
  <c r="D63" i="13" s="1"/>
  <c r="D64" i="13" s="1"/>
  <c r="D65" i="13" s="1"/>
  <c r="D66" i="13" s="1"/>
  <c r="D67" i="13" s="1"/>
  <c r="D68" i="13" s="1"/>
  <c r="D69" i="13" s="1"/>
  <c r="D70" i="13" s="1"/>
  <c r="D71" i="13" s="1"/>
  <c r="D72" i="13" s="1"/>
  <c r="D73" i="13" s="1"/>
  <c r="D74" i="13" s="1"/>
  <c r="D75" i="13" s="1"/>
  <c r="D76" i="13" s="1"/>
  <c r="D77" i="13" s="1"/>
  <c r="D78" i="13" s="1"/>
  <c r="D79" i="13" s="1"/>
  <c r="D80" i="13" s="1"/>
  <c r="D81" i="13" s="1"/>
  <c r="D82" i="13" s="1"/>
  <c r="D83" i="13" s="1"/>
  <c r="D84" i="13" s="1"/>
  <c r="D85" i="13" s="1"/>
  <c r="D86" i="13" s="1"/>
  <c r="D87" i="13" s="1"/>
  <c r="D88" i="13" s="1"/>
  <c r="D89" i="13" s="1"/>
  <c r="D90" i="13" s="1"/>
  <c r="D91" i="13" s="1"/>
  <c r="D92" i="13" s="1"/>
  <c r="D93" i="13" s="1"/>
  <c r="D94" i="13" s="1"/>
  <c r="D95" i="13" s="1"/>
  <c r="D96" i="13" s="1"/>
  <c r="D97" i="13" s="1"/>
  <c r="D98" i="13" s="1"/>
  <c r="D99" i="13" s="1"/>
  <c r="D100" i="13" s="1"/>
  <c r="D101" i="13" s="1"/>
  <c r="D102" i="13" s="1"/>
  <c r="D103" i="13" s="1"/>
  <c r="D104" i="13" s="1"/>
  <c r="D105" i="13" s="1"/>
  <c r="D106" i="13" s="1"/>
  <c r="D107" i="13" s="1"/>
  <c r="D108" i="13" s="1"/>
  <c r="D109" i="13" s="1"/>
  <c r="D110" i="13" s="1"/>
  <c r="D111" i="13" s="1"/>
  <c r="D112" i="13" s="1"/>
  <c r="D113" i="13" s="1"/>
  <c r="D114" i="13" s="1"/>
  <c r="D115" i="13" s="1"/>
  <c r="D116" i="13" s="1"/>
  <c r="D117" i="13" s="1"/>
  <c r="D118" i="13" s="1"/>
  <c r="D119" i="13" s="1"/>
  <c r="D120" i="13" s="1"/>
  <c r="D121" i="13" s="1"/>
  <c r="D122" i="13" s="1"/>
  <c r="D123" i="13" s="1"/>
  <c r="D124" i="13" s="1"/>
  <c r="D125" i="13" s="1"/>
  <c r="D126" i="13" s="1"/>
  <c r="D127" i="13" s="1"/>
  <c r="D128" i="13" s="1"/>
  <c r="D129" i="13" s="1"/>
  <c r="D130" i="13" s="1"/>
  <c r="D131" i="13" s="1"/>
  <c r="D132" i="13" s="1"/>
  <c r="D133" i="13" s="1"/>
  <c r="D134" i="13" s="1"/>
  <c r="D135" i="13" s="1"/>
  <c r="D136" i="13" s="1"/>
  <c r="D137" i="13" s="1"/>
  <c r="D138" i="13" s="1"/>
  <c r="D139" i="13" s="1"/>
  <c r="D140" i="13" s="1"/>
  <c r="D141" i="13" s="1"/>
  <c r="D142" i="13" s="1"/>
  <c r="D143" i="13" s="1"/>
  <c r="D144" i="13" s="1"/>
  <c r="D145" i="13" s="1"/>
  <c r="D146" i="13" s="1"/>
  <c r="D147" i="13" s="1"/>
  <c r="D148" i="13" s="1"/>
  <c r="D149" i="13" s="1"/>
  <c r="D150" i="13" s="1"/>
  <c r="D151" i="13" s="1"/>
  <c r="D152" i="13" s="1"/>
  <c r="D153" i="13" s="1"/>
  <c r="D154" i="13" s="1"/>
  <c r="D155" i="13" s="1"/>
  <c r="D156" i="13" s="1"/>
  <c r="D157" i="13" s="1"/>
  <c r="D158" i="13" s="1"/>
  <c r="D159" i="13" s="1"/>
  <c r="D160" i="13" s="1"/>
  <c r="D161" i="13" s="1"/>
  <c r="D162" i="13" s="1"/>
  <c r="D163" i="13" s="1"/>
  <c r="D164" i="13" s="1"/>
  <c r="D165" i="13" s="1"/>
  <c r="D166" i="13" s="1"/>
  <c r="D167" i="13" s="1"/>
  <c r="D168" i="13" s="1"/>
  <c r="D169" i="13" s="1"/>
  <c r="D170" i="13" s="1"/>
  <c r="D171" i="13" s="1"/>
  <c r="D172" i="13" s="1"/>
  <c r="D173" i="13" s="1"/>
  <c r="D174" i="13" s="1"/>
  <c r="D175" i="13" s="1"/>
  <c r="D176" i="13" s="1"/>
  <c r="D177" i="13" s="1"/>
  <c r="D178" i="13" s="1"/>
  <c r="D179" i="13" s="1"/>
  <c r="D180" i="13" s="1"/>
  <c r="D181" i="13" s="1"/>
  <c r="D182" i="13" s="1"/>
  <c r="D183" i="13" s="1"/>
  <c r="D184" i="13" s="1"/>
  <c r="D185" i="13" s="1"/>
  <c r="D186" i="13" s="1"/>
  <c r="D187" i="13" s="1"/>
  <c r="D188" i="13" s="1"/>
  <c r="D189" i="13" s="1"/>
  <c r="D190" i="13" s="1"/>
  <c r="D191" i="13" s="1"/>
  <c r="D192" i="13" s="1"/>
  <c r="D193" i="13" s="1"/>
  <c r="D194" i="13" s="1"/>
  <c r="D195" i="13" s="1"/>
  <c r="D196" i="13" s="1"/>
  <c r="D197" i="13" s="1"/>
  <c r="D198" i="13" s="1"/>
  <c r="D199" i="13" s="1"/>
  <c r="D200" i="13" s="1"/>
  <c r="D201" i="13" s="1"/>
  <c r="D202" i="13" s="1"/>
  <c r="D203" i="13" s="1"/>
  <c r="D204" i="13" s="1"/>
  <c r="D205" i="13" s="1"/>
  <c r="D206" i="13" s="1"/>
  <c r="D207" i="13" s="1"/>
  <c r="D208" i="13" s="1"/>
  <c r="D209" i="13" s="1"/>
  <c r="D210" i="13" s="1"/>
  <c r="D211" i="13" s="1"/>
  <c r="D212" i="13" s="1"/>
  <c r="D213" i="13" s="1"/>
  <c r="D214" i="13" s="1"/>
  <c r="D215" i="13" s="1"/>
  <c r="D216" i="13" s="1"/>
  <c r="D217" i="13" s="1"/>
  <c r="D218" i="13" s="1"/>
  <c r="D219" i="13" s="1"/>
  <c r="D220" i="13" s="1"/>
  <c r="D221" i="13" s="1"/>
  <c r="D222" i="13" s="1"/>
  <c r="D223" i="13" s="1"/>
  <c r="D224" i="13" s="1"/>
  <c r="D225" i="13" s="1"/>
  <c r="D226" i="13" s="1"/>
  <c r="D227" i="13" s="1"/>
  <c r="D228" i="13" s="1"/>
  <c r="D229" i="13" s="1"/>
  <c r="D230" i="13" s="1"/>
  <c r="D231" i="13" s="1"/>
  <c r="D232" i="13" s="1"/>
  <c r="D233" i="13" s="1"/>
  <c r="D234" i="13" s="1"/>
  <c r="D235" i="13" s="1"/>
  <c r="D236" i="13" s="1"/>
  <c r="D237" i="13" s="1"/>
  <c r="D238" i="13" s="1"/>
  <c r="D239" i="13" s="1"/>
  <c r="D240" i="13" s="1"/>
  <c r="D241" i="13" s="1"/>
  <c r="D242" i="13" s="1"/>
  <c r="D243" i="13" s="1"/>
  <c r="D244" i="13" s="1"/>
  <c r="D245" i="13" s="1"/>
  <c r="D246" i="13" s="1"/>
  <c r="D247" i="13" s="1"/>
  <c r="D248" i="13" s="1"/>
  <c r="D249" i="13" s="1"/>
  <c r="D250" i="13" s="1"/>
  <c r="D251" i="13" s="1"/>
  <c r="D252" i="13" s="1"/>
  <c r="D253" i="13" s="1"/>
  <c r="D254" i="13" s="1"/>
  <c r="D255" i="13" s="1"/>
  <c r="D256" i="13" s="1"/>
  <c r="D257" i="13" s="1"/>
  <c r="D258" i="13" s="1"/>
  <c r="D259" i="13" s="1"/>
  <c r="D260" i="13" s="1"/>
  <c r="D261" i="13" s="1"/>
  <c r="D262" i="13" s="1"/>
  <c r="D263" i="13" s="1"/>
  <c r="D264" i="13" s="1"/>
  <c r="D265" i="13" s="1"/>
  <c r="D266" i="13" s="1"/>
  <c r="D267" i="13" s="1"/>
  <c r="D268" i="13" s="1"/>
  <c r="D269" i="13" s="1"/>
  <c r="D270" i="13" s="1"/>
  <c r="D271" i="13" s="1"/>
  <c r="D272" i="13" s="1"/>
  <c r="D273" i="13" s="1"/>
  <c r="D274" i="13" s="1"/>
  <c r="D275" i="13" s="1"/>
  <c r="D276" i="13" s="1"/>
  <c r="D277" i="13" s="1"/>
  <c r="D278" i="13" s="1"/>
  <c r="D279" i="13" s="1"/>
  <c r="D280" i="13" s="1"/>
  <c r="D281" i="13" s="1"/>
  <c r="D282" i="13" s="1"/>
  <c r="D283" i="13" s="1"/>
  <c r="D284" i="13" s="1"/>
  <c r="D285" i="13" s="1"/>
  <c r="D286" i="13" s="1"/>
  <c r="D287" i="13" s="1"/>
  <c r="D288" i="13" s="1"/>
  <c r="D289" i="13" s="1"/>
  <c r="D290" i="13" s="1"/>
  <c r="D291" i="13" s="1"/>
  <c r="D292" i="13" s="1"/>
  <c r="D293" i="13" s="1"/>
  <c r="D294" i="13" s="1"/>
  <c r="D295" i="13" s="1"/>
  <c r="D296" i="13" s="1"/>
  <c r="D297" i="13" s="1"/>
  <c r="D298" i="13" s="1"/>
  <c r="D299" i="13" s="1"/>
  <c r="D300" i="13" s="1"/>
  <c r="D301" i="13" s="1"/>
  <c r="D302" i="13" s="1"/>
  <c r="D303" i="13" s="1"/>
  <c r="D304" i="13" s="1"/>
  <c r="D305" i="13" s="1"/>
  <c r="D306" i="13" s="1"/>
  <c r="D307" i="13" s="1"/>
  <c r="D308" i="13" s="1"/>
  <c r="D309" i="13" s="1"/>
  <c r="D310" i="13" s="1"/>
  <c r="D311" i="13" s="1"/>
  <c r="D312" i="13" s="1"/>
  <c r="D313" i="13" s="1"/>
  <c r="D314" i="13" s="1"/>
  <c r="D315" i="13" s="1"/>
  <c r="D316" i="13" s="1"/>
  <c r="D317" i="13" s="1"/>
  <c r="D318" i="13" s="1"/>
  <c r="D319" i="13" s="1"/>
  <c r="D320" i="13" s="1"/>
  <c r="D321" i="13" s="1"/>
  <c r="D322" i="13" s="1"/>
  <c r="D323" i="13" s="1"/>
  <c r="D324" i="13" s="1"/>
  <c r="D325" i="13" s="1"/>
  <c r="D326" i="13" s="1"/>
  <c r="D327" i="13" s="1"/>
  <c r="D328" i="13" s="1"/>
  <c r="D329" i="13" s="1"/>
  <c r="D330" i="13" s="1"/>
  <c r="D331" i="13" s="1"/>
  <c r="D332" i="13" s="1"/>
  <c r="D333" i="13" s="1"/>
  <c r="D334" i="13" s="1"/>
  <c r="D335" i="13" s="1"/>
  <c r="D336" i="13" s="1"/>
  <c r="D337" i="13" s="1"/>
  <c r="D338" i="13" s="1"/>
  <c r="D339" i="13" s="1"/>
  <c r="D340" i="13" s="1"/>
  <c r="D341" i="13" s="1"/>
  <c r="D342" i="13" s="1"/>
  <c r="D343" i="13" s="1"/>
  <c r="D344" i="13" s="1"/>
  <c r="D345" i="13" s="1"/>
  <c r="D346" i="13" s="1"/>
  <c r="D347" i="13" s="1"/>
  <c r="D348" i="13" s="1"/>
  <c r="D349" i="13" s="1"/>
  <c r="D350" i="13" s="1"/>
  <c r="D351" i="13" s="1"/>
  <c r="D352" i="13" s="1"/>
  <c r="D353" i="13" s="1"/>
  <c r="D354" i="13" s="1"/>
  <c r="D355" i="13" s="1"/>
  <c r="D356" i="13" s="1"/>
  <c r="D357" i="13" s="1"/>
  <c r="D358" i="13" s="1"/>
  <c r="D359" i="13" s="1"/>
  <c r="D360" i="13" s="1"/>
  <c r="D361" i="13" s="1"/>
  <c r="D362" i="13" s="1"/>
  <c r="D363" i="13" s="1"/>
  <c r="D364" i="13" s="1"/>
  <c r="D365" i="13" s="1"/>
  <c r="D366" i="13" s="1"/>
  <c r="D367" i="13" s="1"/>
  <c r="D368" i="13" s="1"/>
  <c r="D369" i="13" s="1"/>
  <c r="D370" i="13" s="1"/>
  <c r="D371" i="13" s="1"/>
  <c r="D372" i="13" s="1"/>
  <c r="D373" i="13" s="1"/>
  <c r="D374" i="13" s="1"/>
  <c r="D375" i="13" s="1"/>
  <c r="D376" i="13" s="1"/>
  <c r="D377" i="13" s="1"/>
  <c r="D378" i="13" s="1"/>
  <c r="D379" i="13" s="1"/>
  <c r="D380" i="13" s="1"/>
  <c r="D381" i="13" s="1"/>
  <c r="D382" i="13" s="1"/>
  <c r="D383" i="13" s="1"/>
  <c r="D384" i="13" s="1"/>
  <c r="D385" i="13" s="1"/>
  <c r="D386" i="13" s="1"/>
  <c r="D387" i="13" s="1"/>
  <c r="D388" i="13" s="1"/>
  <c r="D389" i="13" s="1"/>
  <c r="D390" i="13" s="1"/>
  <c r="D391" i="13" s="1"/>
  <c r="D392" i="13" s="1"/>
  <c r="D393" i="13" s="1"/>
  <c r="D394" i="13" s="1"/>
  <c r="D395" i="13" s="1"/>
  <c r="D396" i="13" s="1"/>
  <c r="D397" i="13" s="1"/>
  <c r="D398" i="13" s="1"/>
  <c r="D399" i="13" s="1"/>
  <c r="D400" i="13" s="1"/>
  <c r="D401" i="13" s="1"/>
  <c r="D402" i="13" s="1"/>
  <c r="D403" i="13" s="1"/>
  <c r="D404" i="13" s="1"/>
  <c r="D405" i="13" s="1"/>
  <c r="D406" i="13" s="1"/>
  <c r="D407" i="13" s="1"/>
  <c r="D408" i="13" s="1"/>
  <c r="D409" i="13" s="1"/>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M5" i="13"/>
  <c r="M6" i="13"/>
  <c r="M7" i="13"/>
  <c r="M8" i="13"/>
  <c r="M9" i="13"/>
  <c r="M11" i="13"/>
  <c r="M12" i="13"/>
  <c r="M13" i="13"/>
  <c r="M14" i="13"/>
  <c r="M15" i="13"/>
  <c r="M17" i="13"/>
  <c r="M18" i="13"/>
  <c r="M19" i="13"/>
  <c r="M20" i="13"/>
  <c r="M21" i="13"/>
  <c r="M23" i="13"/>
  <c r="M24" i="13"/>
  <c r="M25" i="13"/>
  <c r="M26" i="13"/>
  <c r="M28" i="13"/>
  <c r="M29" i="13"/>
  <c r="M30" i="13"/>
  <c r="M31" i="13"/>
  <c r="M33" i="13"/>
  <c r="M34" i="13"/>
  <c r="M35" i="13"/>
  <c r="M36" i="13"/>
  <c r="M38" i="13"/>
  <c r="M39" i="13"/>
  <c r="M40" i="13"/>
  <c r="M41" i="13"/>
  <c r="M43" i="13"/>
  <c r="M44" i="13"/>
  <c r="M45" i="13"/>
  <c r="M46" i="13"/>
  <c r="M48" i="13"/>
  <c r="M49" i="13"/>
  <c r="M50" i="13"/>
  <c r="M51" i="13"/>
  <c r="M52" i="13"/>
  <c r="M54" i="13"/>
  <c r="M55" i="13"/>
  <c r="M56" i="13"/>
  <c r="M57" i="13"/>
  <c r="M58" i="13"/>
  <c r="M60" i="13"/>
  <c r="M61" i="13"/>
  <c r="M62" i="13"/>
  <c r="M63" i="13"/>
  <c r="M64" i="13"/>
  <c r="M66" i="13"/>
  <c r="M67" i="13"/>
  <c r="M68" i="13"/>
  <c r="M69" i="13"/>
  <c r="M70" i="13"/>
  <c r="M72" i="13"/>
  <c r="M73" i="13"/>
  <c r="M74" i="13"/>
  <c r="M75" i="13"/>
  <c r="M76" i="13"/>
  <c r="M78" i="13"/>
  <c r="M79" i="13"/>
  <c r="M80" i="13"/>
  <c r="M81" i="13"/>
  <c r="M82" i="13"/>
  <c r="M84" i="13"/>
  <c r="M85" i="13"/>
  <c r="M86" i="13"/>
  <c r="M87" i="13"/>
  <c r="M88" i="13"/>
  <c r="M90" i="13"/>
  <c r="M91" i="13"/>
  <c r="M92" i="13"/>
  <c r="M93" i="13"/>
  <c r="M94" i="13"/>
  <c r="M96" i="13"/>
  <c r="M97" i="13"/>
  <c r="M98" i="13"/>
  <c r="M99" i="13"/>
  <c r="M100" i="13"/>
  <c r="M102" i="13"/>
  <c r="M103" i="13"/>
  <c r="M104" i="13"/>
  <c r="M105" i="13"/>
  <c r="M106" i="13"/>
  <c r="M108" i="13"/>
  <c r="M109" i="13"/>
  <c r="M110" i="13"/>
  <c r="M111" i="13"/>
  <c r="M112" i="13"/>
  <c r="M114" i="13"/>
  <c r="M115" i="13"/>
  <c r="M116" i="13"/>
  <c r="M117" i="13"/>
  <c r="M118" i="13"/>
  <c r="M120" i="13"/>
  <c r="M121" i="13"/>
  <c r="M122" i="13"/>
  <c r="M123" i="13"/>
  <c r="M124" i="13"/>
  <c r="M126" i="13"/>
  <c r="M127" i="13"/>
  <c r="M128" i="13"/>
  <c r="M129" i="13"/>
  <c r="M130" i="13"/>
  <c r="M132" i="13"/>
  <c r="M133" i="13"/>
  <c r="M134" i="13"/>
  <c r="M135" i="13"/>
  <c r="M136" i="13"/>
  <c r="M138" i="13"/>
  <c r="M139" i="13"/>
  <c r="M140" i="13"/>
  <c r="M141" i="13"/>
  <c r="M142" i="13"/>
  <c r="M144" i="13"/>
  <c r="M145" i="13"/>
  <c r="M146" i="13"/>
  <c r="M147" i="13"/>
  <c r="M148" i="13"/>
  <c r="M150" i="13"/>
  <c r="M151" i="13"/>
  <c r="M152" i="13"/>
  <c r="M153" i="13"/>
  <c r="M154" i="13"/>
  <c r="M156" i="13"/>
  <c r="M157" i="13"/>
  <c r="M158" i="13"/>
  <c r="M159" i="13"/>
  <c r="M160" i="13"/>
  <c r="M162" i="13"/>
  <c r="M163" i="13"/>
  <c r="M164" i="13"/>
  <c r="M165" i="13"/>
  <c r="M166" i="13"/>
  <c r="M168" i="13"/>
  <c r="M169" i="13"/>
  <c r="M170" i="13"/>
  <c r="M171" i="13"/>
  <c r="M172" i="13"/>
  <c r="M174" i="13"/>
  <c r="M175" i="13"/>
  <c r="M176" i="13"/>
  <c r="M177" i="13"/>
  <c r="M178" i="13"/>
  <c r="M180" i="13"/>
  <c r="M181" i="13"/>
  <c r="M182" i="13"/>
  <c r="M183" i="13"/>
  <c r="M184" i="13"/>
  <c r="M186" i="13"/>
  <c r="M187" i="13"/>
  <c r="M188" i="13"/>
  <c r="M189" i="13"/>
  <c r="M191" i="13"/>
  <c r="M192" i="13"/>
  <c r="M193" i="13"/>
  <c r="M194" i="13"/>
  <c r="M196" i="13"/>
  <c r="M197" i="13"/>
  <c r="M198" i="13"/>
  <c r="M199" i="13"/>
  <c r="M201" i="13"/>
  <c r="M202" i="13"/>
  <c r="M203" i="13"/>
  <c r="M204" i="13"/>
  <c r="M205" i="13"/>
  <c r="M207" i="13"/>
  <c r="M208" i="13"/>
  <c r="M209" i="13"/>
  <c r="M210" i="13"/>
  <c r="M211" i="13"/>
  <c r="M213" i="13"/>
  <c r="M214" i="13"/>
  <c r="M215" i="13"/>
  <c r="M216" i="13"/>
  <c r="M217" i="13"/>
  <c r="M219" i="13"/>
  <c r="M220" i="13"/>
  <c r="M221" i="13"/>
  <c r="M222" i="13"/>
  <c r="M223" i="13"/>
  <c r="M225" i="13"/>
  <c r="M226" i="13"/>
  <c r="M227" i="13"/>
  <c r="M228" i="13"/>
  <c r="M229" i="13"/>
  <c r="M231" i="13"/>
  <c r="M232" i="13"/>
  <c r="M233" i="13"/>
  <c r="M234" i="13"/>
  <c r="M235" i="13"/>
  <c r="M237" i="13"/>
  <c r="M238" i="13"/>
  <c r="M239" i="13"/>
  <c r="M240" i="13"/>
  <c r="M241" i="13"/>
  <c r="M243" i="13"/>
  <c r="M244" i="13"/>
  <c r="M245" i="13"/>
  <c r="M246" i="13"/>
  <c r="M247" i="13"/>
  <c r="M249" i="13"/>
  <c r="M250" i="13"/>
  <c r="M251" i="13"/>
  <c r="M252" i="13"/>
  <c r="M253" i="13"/>
  <c r="M255" i="13"/>
  <c r="M256" i="13"/>
  <c r="M257" i="13"/>
  <c r="M258" i="13"/>
  <c r="M259" i="13"/>
  <c r="M261" i="13"/>
  <c r="M262" i="13"/>
  <c r="M263" i="13"/>
  <c r="M264" i="13"/>
  <c r="M265" i="13"/>
  <c r="M267" i="13"/>
  <c r="M268" i="13"/>
  <c r="M269" i="13"/>
  <c r="M270" i="13"/>
  <c r="M271" i="13"/>
  <c r="M273" i="13"/>
  <c r="M274" i="13"/>
  <c r="M275" i="13"/>
  <c r="M276" i="13"/>
  <c r="M277" i="13"/>
  <c r="M279" i="13"/>
  <c r="M280" i="13"/>
  <c r="M281" i="13"/>
  <c r="M282" i="13"/>
  <c r="M283" i="13"/>
  <c r="M285" i="13"/>
  <c r="M286" i="13"/>
  <c r="M287" i="13"/>
  <c r="M288" i="13"/>
  <c r="M289" i="13"/>
  <c r="M291" i="13"/>
  <c r="M292" i="13"/>
  <c r="M293" i="13"/>
  <c r="M294" i="13"/>
  <c r="M295" i="13"/>
  <c r="M297" i="13"/>
  <c r="M298" i="13"/>
  <c r="M299" i="13"/>
  <c r="M300" i="13"/>
  <c r="M301" i="13"/>
  <c r="M303" i="13"/>
  <c r="M304" i="13"/>
  <c r="M305" i="13"/>
  <c r="M306" i="13"/>
  <c r="M307" i="13"/>
  <c r="M309" i="13"/>
  <c r="M310" i="13"/>
  <c r="M311" i="13"/>
  <c r="M312" i="13"/>
  <c r="M313" i="13"/>
  <c r="M315" i="13"/>
  <c r="M316" i="13"/>
  <c r="M317" i="13"/>
  <c r="M318" i="13"/>
  <c r="M319" i="13"/>
  <c r="M321" i="13"/>
  <c r="M322" i="13"/>
  <c r="M323" i="13"/>
  <c r="M324" i="13"/>
  <c r="M325" i="13"/>
  <c r="M327" i="13"/>
  <c r="M328" i="13"/>
  <c r="M329" i="13"/>
  <c r="M330" i="13"/>
  <c r="M331" i="13"/>
  <c r="M333" i="13"/>
  <c r="M334" i="13"/>
  <c r="M335" i="13"/>
  <c r="M336" i="13"/>
  <c r="M337" i="13"/>
  <c r="M339" i="13"/>
  <c r="M340" i="13"/>
  <c r="M341" i="13"/>
  <c r="M342" i="13"/>
  <c r="M343" i="13"/>
  <c r="M345" i="13"/>
  <c r="M346" i="13"/>
  <c r="M347" i="13"/>
  <c r="M348" i="13"/>
  <c r="M349" i="13"/>
  <c r="M351" i="13"/>
  <c r="M352" i="13"/>
  <c r="M353" i="13"/>
  <c r="M355" i="13"/>
  <c r="M356" i="13"/>
  <c r="M357" i="13"/>
  <c r="M359" i="13"/>
  <c r="M360" i="13"/>
  <c r="M361" i="13"/>
  <c r="M363" i="13"/>
  <c r="M364" i="13"/>
  <c r="M365" i="13"/>
  <c r="M367" i="13"/>
  <c r="M368" i="13"/>
  <c r="M369" i="13"/>
  <c r="M371" i="13"/>
  <c r="M372" i="13"/>
  <c r="M373" i="13"/>
  <c r="M375" i="13"/>
  <c r="M376" i="13"/>
  <c r="M377" i="13"/>
  <c r="M379" i="13"/>
  <c r="M380" i="13"/>
  <c r="M381" i="13"/>
  <c r="M383" i="13"/>
  <c r="M384" i="13"/>
  <c r="M385" i="13"/>
  <c r="M387" i="13"/>
  <c r="M388" i="13"/>
  <c r="M389" i="13"/>
  <c r="M391" i="13"/>
  <c r="M392" i="13"/>
  <c r="M393" i="13"/>
  <c r="M395" i="13"/>
  <c r="M396" i="13"/>
  <c r="M397" i="13"/>
  <c r="M399" i="13"/>
  <c r="M400" i="13"/>
  <c r="M401" i="13"/>
  <c r="M403" i="13"/>
  <c r="M404" i="13"/>
  <c r="M405" i="13"/>
  <c r="M407" i="13"/>
  <c r="M408" i="13"/>
  <c r="M409"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5" i="13"/>
  <c r="O176" i="13"/>
  <c r="O177" i="13"/>
  <c r="O178" i="13"/>
  <c r="O179" i="13"/>
  <c r="O180" i="13"/>
  <c r="O181" i="13"/>
  <c r="O182" i="13"/>
  <c r="O183" i="13"/>
  <c r="O184" i="13"/>
  <c r="O185" i="13"/>
  <c r="O186" i="13"/>
  <c r="O187" i="13"/>
  <c r="O188" i="13"/>
  <c r="O189" i="13"/>
  <c r="O190" i="13"/>
  <c r="O191" i="13"/>
  <c r="O192" i="13"/>
  <c r="O193" i="13"/>
  <c r="O194" i="13"/>
  <c r="O195" i="13"/>
  <c r="O196" i="13"/>
  <c r="O197" i="13"/>
  <c r="O198" i="13"/>
  <c r="O199" i="13"/>
  <c r="O200" i="13"/>
  <c r="O201" i="13"/>
  <c r="O202" i="13"/>
  <c r="O203" i="13"/>
  <c r="O204" i="13"/>
  <c r="O205" i="13"/>
  <c r="O206" i="13"/>
  <c r="O207" i="13"/>
  <c r="O208" i="13"/>
  <c r="O209" i="13"/>
  <c r="O210" i="13"/>
  <c r="O211" i="13"/>
  <c r="O212" i="13"/>
  <c r="O213" i="13"/>
  <c r="O214" i="13"/>
  <c r="O215" i="13"/>
  <c r="O216" i="13"/>
  <c r="O217" i="13"/>
  <c r="O218" i="13"/>
  <c r="O219" i="13"/>
  <c r="O220" i="13"/>
  <c r="O221" i="13"/>
  <c r="O222" i="13"/>
  <c r="O223" i="13"/>
  <c r="O224" i="13"/>
  <c r="O225" i="13"/>
  <c r="O226" i="13"/>
  <c r="O227" i="13"/>
  <c r="O228" i="13"/>
  <c r="O229" i="13"/>
  <c r="O230" i="13"/>
  <c r="O231" i="13"/>
  <c r="O232" i="13"/>
  <c r="O233" i="13"/>
  <c r="O234" i="13"/>
  <c r="O235" i="13"/>
  <c r="O236" i="13"/>
  <c r="O237" i="13"/>
  <c r="O238" i="13"/>
  <c r="O239" i="13"/>
  <c r="O240" i="13"/>
  <c r="O241" i="13"/>
  <c r="O242" i="13"/>
  <c r="O243" i="13"/>
  <c r="O244" i="13"/>
  <c r="O245" i="13"/>
  <c r="O246" i="13"/>
  <c r="O247" i="13"/>
  <c r="O248" i="13"/>
  <c r="O249" i="13"/>
  <c r="O250" i="13"/>
  <c r="O251" i="13"/>
  <c r="O252" i="13"/>
  <c r="O253" i="13"/>
  <c r="O254" i="13"/>
  <c r="O255" i="13"/>
  <c r="O256" i="13"/>
  <c r="O257" i="13"/>
  <c r="O258" i="13"/>
  <c r="O259" i="13"/>
  <c r="O260" i="13"/>
  <c r="O261" i="13"/>
  <c r="O262" i="13"/>
  <c r="O263" i="13"/>
  <c r="O264" i="13"/>
  <c r="O265" i="13"/>
  <c r="O266" i="13"/>
  <c r="O267" i="13"/>
  <c r="O268" i="13"/>
  <c r="O269" i="13"/>
  <c r="O270" i="13"/>
  <c r="O271" i="13"/>
  <c r="O272" i="13"/>
  <c r="O273" i="13"/>
  <c r="O274" i="13"/>
  <c r="O275" i="13"/>
  <c r="O276" i="13"/>
  <c r="O277" i="13"/>
  <c r="O278" i="13"/>
  <c r="O279" i="13"/>
  <c r="O280" i="13"/>
  <c r="O281" i="13"/>
  <c r="O282" i="13"/>
  <c r="O283" i="13"/>
  <c r="O284" i="13"/>
  <c r="O285" i="13"/>
  <c r="O286" i="13"/>
  <c r="O287" i="13"/>
  <c r="O288" i="13"/>
  <c r="O289" i="13"/>
  <c r="O290" i="13"/>
  <c r="O291" i="13"/>
  <c r="O292" i="13"/>
  <c r="O293" i="13"/>
  <c r="O294" i="13"/>
  <c r="O295" i="13"/>
  <c r="O296" i="13"/>
  <c r="O297" i="13"/>
  <c r="O298" i="13"/>
  <c r="O299" i="13"/>
  <c r="O300" i="13"/>
  <c r="O301" i="13"/>
  <c r="O302" i="13"/>
  <c r="O303" i="13"/>
  <c r="O304" i="13"/>
  <c r="O305" i="13"/>
  <c r="O306" i="13"/>
  <c r="O307" i="13"/>
  <c r="O308" i="13"/>
  <c r="O309" i="13"/>
  <c r="O310" i="13"/>
  <c r="O311" i="13"/>
  <c r="O312" i="13"/>
  <c r="O313" i="13"/>
  <c r="O314" i="13"/>
  <c r="O315" i="13"/>
  <c r="O316" i="13"/>
  <c r="O317" i="13"/>
  <c r="O318" i="13"/>
  <c r="O319" i="13"/>
  <c r="O320" i="13"/>
  <c r="O321" i="13"/>
  <c r="O322" i="13"/>
  <c r="O323" i="13"/>
  <c r="O324" i="13"/>
  <c r="O325" i="13"/>
  <c r="O326" i="13"/>
  <c r="O327" i="13"/>
  <c r="O328" i="13"/>
  <c r="O329" i="13"/>
  <c r="O330" i="13"/>
  <c r="O331" i="13"/>
  <c r="O332" i="13"/>
  <c r="O333" i="13"/>
  <c r="O334" i="13"/>
  <c r="O335" i="13"/>
  <c r="O336" i="13"/>
  <c r="O337" i="13"/>
  <c r="O338" i="13"/>
  <c r="O339" i="13"/>
  <c r="O340" i="13"/>
  <c r="O341" i="13"/>
  <c r="O342" i="13"/>
  <c r="O343" i="13"/>
  <c r="O344" i="13"/>
  <c r="O345" i="13"/>
  <c r="O346" i="13"/>
  <c r="O347" i="13"/>
  <c r="O348" i="13"/>
  <c r="O349" i="13"/>
  <c r="O350" i="13"/>
  <c r="O351" i="13"/>
  <c r="O352" i="13"/>
  <c r="O353" i="13"/>
  <c r="O354" i="13"/>
  <c r="O355" i="13"/>
  <c r="O356" i="13"/>
  <c r="O357" i="13"/>
  <c r="O358" i="13"/>
  <c r="O359" i="13"/>
  <c r="O360" i="13"/>
  <c r="O361" i="13"/>
  <c r="O362" i="13"/>
  <c r="O363" i="13"/>
  <c r="O364" i="13"/>
  <c r="O365" i="13"/>
  <c r="O366" i="13"/>
  <c r="O367" i="13"/>
  <c r="O368" i="13"/>
  <c r="O369" i="13"/>
  <c r="O370" i="13"/>
  <c r="O371" i="13"/>
  <c r="O372" i="13"/>
  <c r="O373" i="13"/>
  <c r="O374" i="13"/>
  <c r="O375" i="13"/>
  <c r="O376" i="13"/>
  <c r="O377" i="13"/>
  <c r="O378" i="13"/>
  <c r="O379" i="13"/>
  <c r="O380" i="13"/>
  <c r="O381" i="13"/>
  <c r="O382" i="13"/>
  <c r="O383" i="13"/>
  <c r="O384" i="13"/>
  <c r="O385" i="13"/>
  <c r="O386" i="13"/>
  <c r="O387" i="13"/>
  <c r="O388" i="13"/>
  <c r="O389" i="13"/>
  <c r="O390" i="13"/>
  <c r="O391" i="13"/>
  <c r="O392" i="13"/>
  <c r="O393" i="13"/>
  <c r="O394" i="13"/>
  <c r="O395" i="13"/>
  <c r="O396" i="13"/>
  <c r="O397" i="13"/>
  <c r="O398" i="13"/>
  <c r="O399" i="13"/>
  <c r="O400" i="13"/>
  <c r="O401" i="13"/>
  <c r="O402" i="13"/>
  <c r="O403" i="13"/>
  <c r="O404" i="13"/>
  <c r="O405" i="13"/>
  <c r="O406" i="13"/>
  <c r="O407" i="13"/>
  <c r="O408" i="13"/>
  <c r="O409" i="13"/>
  <c r="R8" i="2"/>
  <c r="R9" i="2"/>
  <c r="R10" i="2"/>
  <c r="R44" i="2"/>
  <c r="R20" i="2"/>
  <c r="R45" i="2"/>
  <c r="R21" i="2"/>
  <c r="R22" i="2"/>
  <c r="R23" i="2"/>
  <c r="R24" i="2"/>
  <c r="R25" i="2"/>
  <c r="R18" i="2"/>
  <c r="R26" i="2"/>
  <c r="R14" i="2"/>
  <c r="R46" i="2"/>
  <c r="R3" i="2"/>
  <c r="R27" i="2"/>
  <c r="R28" i="2"/>
  <c r="R47" i="2"/>
  <c r="R29" i="2"/>
  <c r="R16" i="2"/>
  <c r="R30" i="2"/>
  <c r="R19" i="2"/>
  <c r="R15" i="2"/>
  <c r="R31" i="2"/>
  <c r="R17" i="2"/>
  <c r="R48" i="2"/>
  <c r="R32" i="2"/>
  <c r="R33" i="2"/>
  <c r="R49" i="2"/>
  <c r="R34" i="2"/>
  <c r="R35" i="2"/>
  <c r="R36" i="2"/>
  <c r="R50" i="2"/>
  <c r="R4" i="2"/>
  <c r="R51" i="2"/>
  <c r="R37" i="2"/>
  <c r="R52" i="2"/>
  <c r="R38" i="2"/>
  <c r="R11" i="2"/>
  <c r="R5" i="2"/>
  <c r="R12" i="2"/>
  <c r="R39" i="2"/>
  <c r="R53" i="2"/>
  <c r="R6" i="2"/>
  <c r="R40" i="2"/>
  <c r="R13" i="2"/>
  <c r="R41" i="2"/>
  <c r="R42" i="2"/>
  <c r="R7" i="2"/>
  <c r="R43" i="2"/>
  <c r="R2" i="2"/>
  <c r="U8" i="2"/>
  <c r="U9" i="2"/>
  <c r="U10" i="2"/>
  <c r="U44" i="2"/>
  <c r="U20" i="2"/>
  <c r="U45" i="2"/>
  <c r="U21" i="2"/>
  <c r="U22" i="2"/>
  <c r="U23" i="2"/>
  <c r="U24" i="2"/>
  <c r="U25" i="2"/>
  <c r="U18" i="2"/>
  <c r="U26" i="2"/>
  <c r="U14" i="2"/>
  <c r="U46" i="2"/>
  <c r="U3" i="2"/>
  <c r="U27" i="2"/>
  <c r="U28" i="2"/>
  <c r="U47" i="2"/>
  <c r="U29" i="2"/>
  <c r="U16" i="2"/>
  <c r="U30" i="2"/>
  <c r="U19" i="2"/>
  <c r="U15" i="2"/>
  <c r="U31" i="2"/>
  <c r="U17" i="2"/>
  <c r="U48" i="2"/>
  <c r="U32" i="2"/>
  <c r="U33" i="2"/>
  <c r="U49" i="2"/>
  <c r="U34" i="2"/>
  <c r="U35" i="2"/>
  <c r="U36" i="2"/>
  <c r="U50" i="2"/>
  <c r="U4" i="2"/>
  <c r="U51" i="2"/>
  <c r="U37" i="2"/>
  <c r="U52" i="2"/>
  <c r="U38" i="2"/>
  <c r="U11" i="2"/>
  <c r="U5" i="2"/>
  <c r="U12" i="2"/>
  <c r="U39" i="2"/>
  <c r="U53" i="2"/>
  <c r="U6" i="2"/>
  <c r="U40" i="2"/>
  <c r="U13" i="2"/>
  <c r="U41" i="2"/>
  <c r="U42" i="2"/>
  <c r="U7" i="2"/>
  <c r="U43" i="2"/>
  <c r="U2" i="2"/>
  <c r="V8" i="2"/>
  <c r="V9" i="2"/>
  <c r="V10" i="2"/>
  <c r="V44" i="2"/>
  <c r="V20" i="2"/>
  <c r="V45" i="2"/>
  <c r="V21" i="2"/>
  <c r="V22" i="2"/>
  <c r="V23" i="2"/>
  <c r="V24" i="2"/>
  <c r="V25" i="2"/>
  <c r="V18" i="2"/>
  <c r="V26" i="2"/>
  <c r="V14" i="2"/>
  <c r="V46" i="2"/>
  <c r="V3" i="2"/>
  <c r="V27" i="2"/>
  <c r="V28" i="2"/>
  <c r="V47" i="2"/>
  <c r="V29" i="2"/>
  <c r="V16" i="2"/>
  <c r="V30" i="2"/>
  <c r="V19" i="2"/>
  <c r="V15" i="2"/>
  <c r="V31" i="2"/>
  <c r="V17" i="2"/>
  <c r="V48" i="2"/>
  <c r="V32" i="2"/>
  <c r="V33" i="2"/>
  <c r="V49" i="2"/>
  <c r="V34" i="2"/>
  <c r="V35" i="2"/>
  <c r="V36" i="2"/>
  <c r="V50" i="2"/>
  <c r="V4" i="2"/>
  <c r="V51" i="2"/>
  <c r="V37" i="2"/>
  <c r="V52" i="2"/>
  <c r="V38" i="2"/>
  <c r="V11" i="2"/>
  <c r="V5" i="2"/>
  <c r="V12" i="2"/>
  <c r="V39" i="2"/>
  <c r="V53" i="2"/>
  <c r="V6" i="2"/>
  <c r="V40" i="2"/>
  <c r="V13" i="2"/>
  <c r="V41" i="2"/>
  <c r="V42" i="2"/>
  <c r="V7" i="2"/>
  <c r="V43" i="2"/>
  <c r="V2" i="2"/>
  <c r="W8" i="2"/>
  <c r="W9" i="2"/>
  <c r="W10" i="2"/>
  <c r="W44" i="2"/>
  <c r="W20" i="2"/>
  <c r="W45" i="2"/>
  <c r="W21" i="2"/>
  <c r="W22" i="2"/>
  <c r="W23" i="2"/>
  <c r="W24" i="2"/>
  <c r="W25" i="2"/>
  <c r="W18" i="2"/>
  <c r="W26" i="2"/>
  <c r="W14" i="2"/>
  <c r="W46" i="2"/>
  <c r="W3" i="2"/>
  <c r="W27" i="2"/>
  <c r="W28" i="2"/>
  <c r="W47" i="2"/>
  <c r="W29" i="2"/>
  <c r="W16" i="2"/>
  <c r="W30" i="2"/>
  <c r="W19" i="2"/>
  <c r="W15" i="2"/>
  <c r="W31" i="2"/>
  <c r="W17" i="2"/>
  <c r="W48" i="2"/>
  <c r="W32" i="2"/>
  <c r="W33" i="2"/>
  <c r="W49" i="2"/>
  <c r="W34" i="2"/>
  <c r="W35" i="2"/>
  <c r="W36" i="2"/>
  <c r="W50" i="2"/>
  <c r="W4" i="2"/>
  <c r="W51" i="2"/>
  <c r="W37" i="2"/>
  <c r="W52" i="2"/>
  <c r="W38" i="2"/>
  <c r="W11" i="2"/>
  <c r="W5" i="2"/>
  <c r="W12" i="2"/>
  <c r="W39" i="2"/>
  <c r="W53" i="2"/>
  <c r="W6" i="2"/>
  <c r="W40" i="2"/>
  <c r="W13" i="2"/>
  <c r="W41" i="2"/>
  <c r="W42" i="2"/>
  <c r="W7" i="2"/>
  <c r="W43" i="2"/>
  <c r="W2" i="2"/>
  <c r="X8" i="2"/>
  <c r="X9" i="2"/>
  <c r="X10" i="2"/>
  <c r="X44" i="2"/>
  <c r="X20" i="2"/>
  <c r="X45" i="2"/>
  <c r="X21" i="2"/>
  <c r="X22" i="2"/>
  <c r="X23" i="2"/>
  <c r="X24" i="2"/>
  <c r="X25" i="2"/>
  <c r="X18" i="2"/>
  <c r="X26" i="2"/>
  <c r="X14" i="2"/>
  <c r="X46" i="2"/>
  <c r="X3" i="2"/>
  <c r="X27" i="2"/>
  <c r="X28" i="2"/>
  <c r="X47" i="2"/>
  <c r="X29" i="2"/>
  <c r="X16" i="2"/>
  <c r="X30" i="2"/>
  <c r="X19" i="2"/>
  <c r="X15" i="2"/>
  <c r="X31" i="2"/>
  <c r="X17" i="2"/>
  <c r="X48" i="2"/>
  <c r="X32" i="2"/>
  <c r="X33" i="2"/>
  <c r="X49" i="2"/>
  <c r="X34" i="2"/>
  <c r="X35" i="2"/>
  <c r="X36" i="2"/>
  <c r="X50" i="2"/>
  <c r="X4" i="2"/>
  <c r="X51" i="2"/>
  <c r="X37" i="2"/>
  <c r="X52" i="2"/>
  <c r="X38" i="2"/>
  <c r="X11" i="2"/>
  <c r="X5" i="2"/>
  <c r="X12" i="2"/>
  <c r="X39" i="2"/>
  <c r="X53" i="2"/>
  <c r="X6" i="2"/>
  <c r="X40" i="2"/>
  <c r="X13" i="2"/>
  <c r="X41" i="2"/>
  <c r="X42" i="2"/>
  <c r="X7" i="2"/>
  <c r="X43" i="2"/>
  <c r="X2" i="2"/>
  <c r="Y8" i="2"/>
  <c r="Y9" i="2"/>
  <c r="Y10" i="2"/>
  <c r="Y44" i="2"/>
  <c r="Y20" i="2"/>
  <c r="Y45" i="2"/>
  <c r="Y21" i="2"/>
  <c r="Y22" i="2"/>
  <c r="Y23" i="2"/>
  <c r="Y24" i="2"/>
  <c r="Y25" i="2"/>
  <c r="Y18" i="2"/>
  <c r="Y26" i="2"/>
  <c r="Y14" i="2"/>
  <c r="Y46" i="2"/>
  <c r="Y3" i="2"/>
  <c r="Y27" i="2"/>
  <c r="Y28" i="2"/>
  <c r="Y47" i="2"/>
  <c r="Y29" i="2"/>
  <c r="Y16" i="2"/>
  <c r="Y30" i="2"/>
  <c r="Y19" i="2"/>
  <c r="Y15" i="2"/>
  <c r="Y31" i="2"/>
  <c r="Y17" i="2"/>
  <c r="Y48" i="2"/>
  <c r="Y32" i="2"/>
  <c r="Y33" i="2"/>
  <c r="Y49" i="2"/>
  <c r="Y34" i="2"/>
  <c r="Y35" i="2"/>
  <c r="Y36" i="2"/>
  <c r="Y50" i="2"/>
  <c r="Y4" i="2"/>
  <c r="Y51" i="2"/>
  <c r="Y37" i="2"/>
  <c r="Y52" i="2"/>
  <c r="Y38" i="2"/>
  <c r="Y11" i="2"/>
  <c r="Y5" i="2"/>
  <c r="Y12" i="2"/>
  <c r="Y39" i="2"/>
  <c r="Y53" i="2"/>
  <c r="Y6" i="2"/>
  <c r="Y40" i="2"/>
  <c r="Y13" i="2"/>
  <c r="Y41" i="2"/>
  <c r="Y42" i="2"/>
  <c r="Y7" i="2"/>
  <c r="Y43" i="2"/>
  <c r="Y2" i="2"/>
  <c r="AE8" i="2"/>
  <c r="AE9" i="2"/>
  <c r="AE10" i="2"/>
  <c r="AE44" i="2"/>
  <c r="AE20" i="2"/>
  <c r="AE45" i="2"/>
  <c r="AE21" i="2"/>
  <c r="AE22" i="2"/>
  <c r="AE23" i="2"/>
  <c r="AE24" i="2"/>
  <c r="AE25" i="2"/>
  <c r="AE18" i="2"/>
  <c r="AE26" i="2"/>
  <c r="AE14" i="2"/>
  <c r="AE46" i="2"/>
  <c r="AE3" i="2"/>
  <c r="AE27" i="2"/>
  <c r="AE28" i="2"/>
  <c r="AE47" i="2"/>
  <c r="AE29" i="2"/>
  <c r="AE16" i="2"/>
  <c r="AE30" i="2"/>
  <c r="AE19" i="2"/>
  <c r="AE15" i="2"/>
  <c r="AE31" i="2"/>
  <c r="AE17" i="2"/>
  <c r="AE48" i="2"/>
  <c r="AE32" i="2"/>
  <c r="AE33" i="2"/>
  <c r="AE49" i="2"/>
  <c r="AE34" i="2"/>
  <c r="AE35" i="2"/>
  <c r="AE36" i="2"/>
  <c r="AE50" i="2"/>
  <c r="AE4" i="2"/>
  <c r="AE51" i="2"/>
  <c r="AE37" i="2"/>
  <c r="AE52" i="2"/>
  <c r="AE38" i="2"/>
  <c r="AE11" i="2"/>
  <c r="AE5" i="2"/>
  <c r="AE12" i="2"/>
  <c r="AE39" i="2"/>
  <c r="AE53" i="2"/>
  <c r="AE6" i="2"/>
  <c r="AE40" i="2"/>
  <c r="AE13" i="2"/>
  <c r="AE41" i="2"/>
  <c r="AE42" i="2"/>
  <c r="AE7" i="2"/>
  <c r="AE43" i="2"/>
  <c r="AE2" i="2"/>
  <c r="N2" i="3"/>
  <c r="N3" i="3"/>
  <c r="N4" i="3"/>
  <c r="N5" i="3"/>
  <c r="P5" i="3" s="1"/>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P2" i="3"/>
  <c r="P3" i="3"/>
  <c r="P4"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S2" i="3"/>
  <c r="S3" i="3"/>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V2" i="3"/>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AU2" i="3"/>
  <c r="AU3" i="3"/>
  <c r="AU4" i="3"/>
  <c r="AU5" i="3"/>
  <c r="AU6" i="3"/>
  <c r="AU7" i="3"/>
  <c r="AU8" i="3"/>
  <c r="AU9"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P331"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K2" i="13" l="1"/>
  <c r="M27" i="13" l="1"/>
  <c r="M47" i="13"/>
  <c r="M59" i="13"/>
  <c r="M71" i="13"/>
  <c r="M83" i="13"/>
  <c r="M95" i="13"/>
  <c r="M4" i="13"/>
  <c r="M37" i="13"/>
  <c r="M53" i="13"/>
  <c r="M65" i="13"/>
  <c r="M77" i="13"/>
  <c r="M89" i="13"/>
  <c r="M101" i="13"/>
  <c r="M113" i="13"/>
  <c r="M10" i="13"/>
  <c r="M22" i="13"/>
  <c r="M42" i="13"/>
  <c r="M16" i="13"/>
  <c r="M119" i="13"/>
  <c r="M131" i="13"/>
  <c r="M143" i="13"/>
  <c r="M155" i="13"/>
  <c r="M167" i="13"/>
  <c r="M179" i="13"/>
  <c r="M195" i="13"/>
  <c r="M107" i="13"/>
  <c r="M200" i="13"/>
  <c r="M212" i="13"/>
  <c r="M224" i="13"/>
  <c r="M236" i="13"/>
  <c r="M248" i="13"/>
  <c r="M260" i="13"/>
  <c r="M272" i="13"/>
  <c r="M284" i="13"/>
  <c r="M296" i="13"/>
  <c r="M308" i="13"/>
  <c r="M320" i="13"/>
  <c r="M332" i="13"/>
  <c r="M344" i="13"/>
  <c r="M190" i="13"/>
  <c r="M314" i="13"/>
  <c r="M338" i="13"/>
  <c r="M354" i="13"/>
  <c r="M362" i="13"/>
  <c r="M370" i="13"/>
  <c r="M378" i="13"/>
  <c r="M386" i="13"/>
  <c r="M394" i="13"/>
  <c r="M402" i="13"/>
  <c r="M32" i="13"/>
  <c r="M125" i="13"/>
  <c r="M137" i="13"/>
  <c r="M149" i="13"/>
  <c r="M161" i="13"/>
  <c r="M173" i="13"/>
  <c r="M185" i="13"/>
  <c r="M206" i="13"/>
  <c r="M218" i="13"/>
  <c r="M230" i="13"/>
  <c r="M242" i="13"/>
  <c r="M254" i="13"/>
  <c r="M266" i="13"/>
  <c r="M278" i="13"/>
  <c r="M290" i="13"/>
  <c r="M302" i="13"/>
  <c r="M326" i="13"/>
  <c r="M350" i="13"/>
  <c r="M358" i="13"/>
  <c r="M366" i="13"/>
  <c r="M374" i="13"/>
  <c r="M382" i="13"/>
  <c r="M390" i="13"/>
  <c r="M398" i="13"/>
  <c r="M406" i="13"/>
  <c r="M2" i="13"/>
  <c r="Y7" i="13" l="1"/>
  <c r="Y11" i="13"/>
  <c r="Y15" i="13"/>
  <c r="Y19" i="13"/>
  <c r="Y23" i="13"/>
  <c r="Y27" i="13"/>
  <c r="Y31" i="13"/>
  <c r="Y35" i="13"/>
  <c r="Y39" i="13"/>
  <c r="Y43" i="13"/>
  <c r="Y47" i="13"/>
  <c r="Y51" i="13"/>
  <c r="Y55" i="13"/>
  <c r="Y59" i="13"/>
  <c r="Y63" i="13"/>
  <c r="Y67" i="13"/>
  <c r="Y71" i="13"/>
  <c r="Y75" i="13"/>
  <c r="Y79" i="13"/>
  <c r="Y83" i="13"/>
  <c r="Y87" i="13"/>
  <c r="Y91" i="13"/>
  <c r="Y95" i="13"/>
  <c r="Y99" i="13"/>
  <c r="Y103" i="13"/>
  <c r="Y107" i="13"/>
  <c r="Y111" i="13"/>
  <c r="Y115" i="13"/>
  <c r="Y127" i="13"/>
  <c r="Y131" i="13"/>
  <c r="Y135" i="13"/>
  <c r="Y139" i="13"/>
  <c r="Y143" i="13"/>
  <c r="Y151" i="13"/>
  <c r="Y155" i="13"/>
  <c r="Y159" i="13"/>
  <c r="Y163" i="13"/>
  <c r="Y175" i="13"/>
  <c r="Y187" i="13"/>
  <c r="Y199" i="13"/>
  <c r="Y211" i="13"/>
  <c r="Y227" i="13"/>
  <c r="Y243" i="13"/>
  <c r="Y259" i="13"/>
  <c r="Y4" i="13"/>
  <c r="Y8" i="13"/>
  <c r="Y12" i="13"/>
  <c r="Y16" i="13"/>
  <c r="Y20" i="13"/>
  <c r="Y24" i="13"/>
  <c r="Y28" i="13"/>
  <c r="Y32" i="13"/>
  <c r="Y36" i="13"/>
  <c r="Y40" i="13"/>
  <c r="Y44" i="13"/>
  <c r="Y48" i="13"/>
  <c r="Y52" i="13"/>
  <c r="Y56" i="13"/>
  <c r="Y60" i="13"/>
  <c r="Y64" i="13"/>
  <c r="Y68" i="13"/>
  <c r="Y72" i="13"/>
  <c r="Y76" i="13"/>
  <c r="Y80" i="13"/>
  <c r="Y84" i="13"/>
  <c r="Y88" i="13"/>
  <c r="Y92" i="13"/>
  <c r="Y96" i="13"/>
  <c r="Y100" i="13"/>
  <c r="Y104" i="13"/>
  <c r="Y108" i="13"/>
  <c r="Y112" i="13"/>
  <c r="Y116" i="13"/>
  <c r="Y120" i="13"/>
  <c r="Y124" i="13"/>
  <c r="Y128" i="13"/>
  <c r="Y132" i="13"/>
  <c r="Y136" i="13"/>
  <c r="Y140" i="13"/>
  <c r="Y144" i="13"/>
  <c r="Y148" i="13"/>
  <c r="Y152" i="13"/>
  <c r="Y156" i="13"/>
  <c r="Y160" i="13"/>
  <c r="Y164" i="13"/>
  <c r="Y168" i="13"/>
  <c r="Y172" i="13"/>
  <c r="Y176" i="13"/>
  <c r="Y180" i="13"/>
  <c r="Y184" i="13"/>
  <c r="Y188" i="13"/>
  <c r="Y192" i="13"/>
  <c r="Y196" i="13"/>
  <c r="Y200" i="13"/>
  <c r="Y204" i="13"/>
  <c r="Y208" i="13"/>
  <c r="Y212" i="13"/>
  <c r="Y216" i="13"/>
  <c r="Y220" i="13"/>
  <c r="Y224" i="13"/>
  <c r="Y228" i="13"/>
  <c r="Y232" i="13"/>
  <c r="Y236" i="13"/>
  <c r="Y240" i="13"/>
  <c r="Y244" i="13"/>
  <c r="Y248" i="13"/>
  <c r="Y252" i="13"/>
  <c r="Y256" i="13"/>
  <c r="Y260" i="13"/>
  <c r="Y264" i="13"/>
  <c r="Y268" i="13"/>
  <c r="Y272" i="13"/>
  <c r="Y276" i="13"/>
  <c r="Y280" i="13"/>
  <c r="Y284" i="13"/>
  <c r="Y288" i="13"/>
  <c r="Y292" i="13"/>
  <c r="Y296" i="13"/>
  <c r="Y300" i="13"/>
  <c r="Y304" i="13"/>
  <c r="Y308" i="13"/>
  <c r="Y312" i="13"/>
  <c r="Y316" i="13"/>
  <c r="Y320" i="13"/>
  <c r="Y324" i="13"/>
  <c r="Y328" i="13"/>
  <c r="Y332" i="13"/>
  <c r="Y336" i="13"/>
  <c r="Y340" i="13"/>
  <c r="Y344" i="13"/>
  <c r="Y348" i="13"/>
  <c r="Y352" i="13"/>
  <c r="Y356" i="13"/>
  <c r="Y360" i="13"/>
  <c r="Y364" i="13"/>
  <c r="Y368" i="13"/>
  <c r="Y372" i="13"/>
  <c r="Y376" i="13"/>
  <c r="Y380" i="13"/>
  <c r="Y384" i="13"/>
  <c r="Y388" i="13"/>
  <c r="Y392" i="13"/>
  <c r="Y396" i="13"/>
  <c r="Y400" i="13"/>
  <c r="Y404" i="13"/>
  <c r="Y408" i="13"/>
  <c r="Y10" i="13"/>
  <c r="Y22" i="13"/>
  <c r="Y34" i="13"/>
  <c r="Y46" i="13"/>
  <c r="Y54" i="13"/>
  <c r="Y66" i="13"/>
  <c r="Y78" i="13"/>
  <c r="Y90" i="13"/>
  <c r="Y102" i="13"/>
  <c r="Y114" i="13"/>
  <c r="Y126" i="13"/>
  <c r="Y134" i="13"/>
  <c r="Y146" i="13"/>
  <c r="Y158" i="13"/>
  <c r="Y170" i="13"/>
  <c r="Y182" i="13"/>
  <c r="Y190" i="13"/>
  <c r="Y202" i="13"/>
  <c r="Y214" i="13"/>
  <c r="Y226" i="13"/>
  <c r="Y234" i="13"/>
  <c r="Y246" i="13"/>
  <c r="Y258" i="13"/>
  <c r="Y266" i="13"/>
  <c r="Y278" i="13"/>
  <c r="Y290" i="13"/>
  <c r="Y302" i="13"/>
  <c r="Y314" i="13"/>
  <c r="Y326" i="13"/>
  <c r="Y338" i="13"/>
  <c r="Y342" i="13"/>
  <c r="Y358" i="13"/>
  <c r="Y370" i="13"/>
  <c r="Y382" i="13"/>
  <c r="Y394" i="13"/>
  <c r="Y402" i="13"/>
  <c r="Y119" i="13"/>
  <c r="Y171" i="13"/>
  <c r="Y183" i="13"/>
  <c r="Y195" i="13"/>
  <c r="Y207" i="13"/>
  <c r="Y219" i="13"/>
  <c r="Y231" i="13"/>
  <c r="Y247" i="13"/>
  <c r="Y5" i="13"/>
  <c r="Y9" i="13"/>
  <c r="Y13" i="13"/>
  <c r="Y17" i="13"/>
  <c r="Y21" i="13"/>
  <c r="Y25" i="13"/>
  <c r="Y29" i="13"/>
  <c r="Y33" i="13"/>
  <c r="Y37" i="13"/>
  <c r="Y41" i="13"/>
  <c r="Y45" i="13"/>
  <c r="Y49" i="13"/>
  <c r="Y53" i="13"/>
  <c r="Y57" i="13"/>
  <c r="Y61" i="13"/>
  <c r="Y65" i="13"/>
  <c r="Y69" i="13"/>
  <c r="Y73" i="13"/>
  <c r="Y77" i="13"/>
  <c r="Y81" i="13"/>
  <c r="Y85" i="13"/>
  <c r="Y89" i="13"/>
  <c r="Y93" i="13"/>
  <c r="Y97" i="13"/>
  <c r="Y101" i="13"/>
  <c r="Y105" i="13"/>
  <c r="Y109" i="13"/>
  <c r="Y113" i="13"/>
  <c r="Y117" i="13"/>
  <c r="Y121" i="13"/>
  <c r="Y125" i="13"/>
  <c r="Y129" i="13"/>
  <c r="Y133" i="13"/>
  <c r="Y137" i="13"/>
  <c r="Y141" i="13"/>
  <c r="Y145" i="13"/>
  <c r="Y149" i="13"/>
  <c r="Y153" i="13"/>
  <c r="Y157" i="13"/>
  <c r="Y161" i="13"/>
  <c r="Y165" i="13"/>
  <c r="Y169" i="13"/>
  <c r="Y173" i="13"/>
  <c r="Y177" i="13"/>
  <c r="Y181" i="13"/>
  <c r="Y185" i="13"/>
  <c r="Y189" i="13"/>
  <c r="Y193" i="13"/>
  <c r="Y197" i="13"/>
  <c r="Y201" i="13"/>
  <c r="Y205" i="13"/>
  <c r="Y209" i="13"/>
  <c r="Y213" i="13"/>
  <c r="Y217" i="13"/>
  <c r="Y221" i="13"/>
  <c r="Y225" i="13"/>
  <c r="Y229" i="13"/>
  <c r="Y233" i="13"/>
  <c r="Y237" i="13"/>
  <c r="Y241" i="13"/>
  <c r="Y245" i="13"/>
  <c r="Y249" i="13"/>
  <c r="Y253" i="13"/>
  <c r="Y257" i="13"/>
  <c r="Y261" i="13"/>
  <c r="Y265" i="13"/>
  <c r="Y269" i="13"/>
  <c r="Y273" i="13"/>
  <c r="Y277" i="13"/>
  <c r="Y281" i="13"/>
  <c r="Y285" i="13"/>
  <c r="Y289" i="13"/>
  <c r="Y293" i="13"/>
  <c r="Y297" i="13"/>
  <c r="Y301" i="13"/>
  <c r="Y305" i="13"/>
  <c r="Y309" i="13"/>
  <c r="Y313" i="13"/>
  <c r="Y317" i="13"/>
  <c r="Y321" i="13"/>
  <c r="Y325" i="13"/>
  <c r="Y329" i="13"/>
  <c r="Y333" i="13"/>
  <c r="Y337" i="13"/>
  <c r="Y341" i="13"/>
  <c r="Y345" i="13"/>
  <c r="Y349" i="13"/>
  <c r="Y353" i="13"/>
  <c r="Y357" i="13"/>
  <c r="Y361" i="13"/>
  <c r="Y365" i="13"/>
  <c r="Y369" i="13"/>
  <c r="Y373" i="13"/>
  <c r="Y377" i="13"/>
  <c r="Y381" i="13"/>
  <c r="Y385" i="13"/>
  <c r="Y389" i="13"/>
  <c r="Y393" i="13"/>
  <c r="Y397" i="13"/>
  <c r="Y401" i="13"/>
  <c r="Y405" i="13"/>
  <c r="Y409" i="13"/>
  <c r="Y6" i="13"/>
  <c r="Y18" i="13"/>
  <c r="Y30" i="13"/>
  <c r="Y42" i="13"/>
  <c r="Y58" i="13"/>
  <c r="Y74" i="13"/>
  <c r="Y86" i="13"/>
  <c r="Y98" i="13"/>
  <c r="Y110" i="13"/>
  <c r="Y122" i="13"/>
  <c r="Y142" i="13"/>
  <c r="Y154" i="13"/>
  <c r="Y166" i="13"/>
  <c r="Y178" i="13"/>
  <c r="Y198" i="13"/>
  <c r="Y210" i="13"/>
  <c r="Y222" i="13"/>
  <c r="Y238" i="13"/>
  <c r="Y254" i="13"/>
  <c r="Y270" i="13"/>
  <c r="Y282" i="13"/>
  <c r="Y294" i="13"/>
  <c r="Y306" i="13"/>
  <c r="Y318" i="13"/>
  <c r="Y330" i="13"/>
  <c r="Y350" i="13"/>
  <c r="Y362" i="13"/>
  <c r="Y374" i="13"/>
  <c r="Y386" i="13"/>
  <c r="Y398" i="13"/>
  <c r="Y147" i="13"/>
  <c r="Y215" i="13"/>
  <c r="Y239" i="13"/>
  <c r="Y255" i="13"/>
  <c r="Y14" i="13"/>
  <c r="Y26" i="13"/>
  <c r="Y38" i="13"/>
  <c r="Y50" i="13"/>
  <c r="Y62" i="13"/>
  <c r="Y70" i="13"/>
  <c r="Y82" i="13"/>
  <c r="Y94" i="13"/>
  <c r="Y106" i="13"/>
  <c r="Y118" i="13"/>
  <c r="Y130" i="13"/>
  <c r="Y138" i="13"/>
  <c r="Y150" i="13"/>
  <c r="Y162" i="13"/>
  <c r="Y174" i="13"/>
  <c r="Y186" i="13"/>
  <c r="Y194" i="13"/>
  <c r="Y206" i="13"/>
  <c r="Y218" i="13"/>
  <c r="Y230" i="13"/>
  <c r="Y242" i="13"/>
  <c r="Y250" i="13"/>
  <c r="Y262" i="13"/>
  <c r="Y274" i="13"/>
  <c r="Y286" i="13"/>
  <c r="Y298" i="13"/>
  <c r="Y310" i="13"/>
  <c r="Y322" i="13"/>
  <c r="Y334" i="13"/>
  <c r="Y346" i="13"/>
  <c r="Y354" i="13"/>
  <c r="Y366" i="13"/>
  <c r="Y378" i="13"/>
  <c r="Y390" i="13"/>
  <c r="Y406" i="13"/>
  <c r="Y123" i="13"/>
  <c r="Y167" i="13"/>
  <c r="Y179" i="13"/>
  <c r="Y191" i="13"/>
  <c r="Y203" i="13"/>
  <c r="Y223" i="13"/>
  <c r="Y235" i="13"/>
  <c r="Y251" i="13"/>
  <c r="Y263" i="13"/>
  <c r="Y331" i="13"/>
  <c r="Y271" i="13"/>
  <c r="Y287" i="13"/>
  <c r="Y303" i="13"/>
  <c r="Y319" i="13"/>
  <c r="Y335" i="13"/>
  <c r="Y351" i="13"/>
  <c r="Y367" i="13"/>
  <c r="Y383" i="13"/>
  <c r="Y399" i="13"/>
  <c r="Y275" i="13"/>
  <c r="Y291" i="13"/>
  <c r="Y307" i="13"/>
  <c r="Y323" i="13"/>
  <c r="Y339" i="13"/>
  <c r="Y355" i="13"/>
  <c r="Y387" i="13"/>
  <c r="Y403" i="13"/>
  <c r="Y371" i="13"/>
  <c r="Y279" i="13"/>
  <c r="Y295" i="13"/>
  <c r="Y311" i="13"/>
  <c r="Y327" i="13"/>
  <c r="Y343" i="13"/>
  <c r="Y359" i="13"/>
  <c r="Y375" i="13"/>
  <c r="Y391" i="13"/>
  <c r="Y407" i="13"/>
  <c r="Y267" i="13"/>
  <c r="Y283" i="13"/>
  <c r="Y299" i="13"/>
  <c r="Y315" i="13"/>
  <c r="Y347" i="13"/>
  <c r="Y363" i="13"/>
  <c r="Y379" i="13"/>
  <c r="Y395" i="13"/>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G1" authorId="0" shapeId="0">
      <text>
        <r>
          <rPr>
            <b/>
            <sz val="9"/>
            <color indexed="81"/>
            <rFont val="Tahoma"/>
            <family val="2"/>
          </rPr>
          <t>Snoeyink, Jack S.:</t>
        </r>
        <r>
          <rPr>
            <sz val="9"/>
            <color indexed="81"/>
            <rFont val="Tahoma"/>
            <family val="2"/>
          </rPr>
          <t xml:space="preserve">
Click link to send email to project lead PI
</t>
        </r>
      </text>
    </comment>
    <comment ref="AI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or  PEND,RCOM = all not yet DD concurred.
For DDconcur, restrict to RCOM = Recommended.
Here are all 20 possibilities, in case you are curious
 PEND: all types of pending
 RCOM: all recommended, not yet DDconcur
 DECL,AWD, CLO: declined, awarded,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database=rptdb;server=RPTSQL.nsf.gov;port=5000;UID=ccfuser;" command="SET NOCOUNT ON_x000d__x000a_SELECT DISTINCT p.prop_id, p.lead_prop_id, p.pi_id, p.inst_id, p.pm_ibm_logn_id as PO, convert(varchar(63),'') AS RAtemplate_x000d__x000a_INTO #myPid FROM csd.prop p_x000d__x000a_JOIN csd.panl_prop pp ON p.prop_id = pp.prop_id_x000d__x000a_WHERE pp.panl_id in ('p180067','p180116','p180038')_x000d_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<sst xmlns="http://schemas.openxmlformats.org/spreadsheetml/2006/main" count="14892" uniqueCount="1594">
  <si>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</si>
  <si>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</si>
  <si>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</si>
  <si>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</si>
  <si>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</si>
  <si>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</si>
  <si>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</si>
  <si>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</si>
  <si>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</si>
  <si>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</si>
  <si>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</si>
  <si>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</si>
  <si>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</si>
  <si>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</si>
  <si>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</si>
  <si>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</si>
  <si>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</si>
  <si>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</si>
  <si>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</si>
  <si>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</si>
  <si>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</si>
  <si>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</si>
  <si>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</si>
  <si>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</si>
  <si>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</si>
  <si>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</si>
  <si>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</si>
  <si>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</si>
  <si>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</si>
  <si>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</si>
  <si>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</si>
  <si>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</si>
  <si>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</si>
  <si>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</si>
  <si>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</si>
  <si>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</si>
  <si>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</si>
  <si>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</si>
  <si>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</si>
  <si>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</si>
  <si>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</si>
  <si>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</si>
  <si>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</si>
  <si>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</si>
  <si>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</si>
  <si>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</si>
  <si>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</si>
  <si>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</si>
  <si>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</si>
  <si>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</si>
  <si>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</si>
  <si>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</si>
  <si>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</si>
  <si>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</si>
  <si>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</si>
  <si>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</si>
  <si>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</si>
  <si>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</si>
  <si>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</si>
  <si>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</si>
  <si>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</si>
  <si>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</si>
  <si>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</si>
  <si>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</si>
  <si>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</si>
  <si>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</si>
  <si>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</si>
  <si>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</si>
  <si>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</si>
  <si>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</si>
  <si>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</si>
  <si>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</si>
  <si>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</si>
  <si>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</si>
  <si>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</si>
  <si>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</si>
  <si>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</si>
  <si>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</si>
  <si>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</si>
  <si>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</si>
  <si>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</si>
  <si>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</si>
  <si>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</si>
  <si>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</si>
  <si>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</si>
  <si>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</si>
  <si>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</si>
  <si>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</si>
  <si>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</si>
  <si>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</si>
  <si>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</si>
  <si>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</si>
  <si>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</si>
  <si>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</si>
  <si>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</si>
  <si>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1</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</si>
  <si>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</si>
  <si>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</si>
  <si>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</si>
  <si>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</si>
  <si>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</si>
  <si>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</si>
  <si>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</si>
  <si>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</si>
  <si>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</si>
  <si>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</si>
  <si>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</si>
  <si>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</si>
  <si>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</si>
  <si>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</si>
  <si>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</si>
  <si>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</si>
  <si>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</si>
  <si>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</si>
  <si>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</si>
  <si>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</si>
  <si>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</si>
  <si>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</si>
  <si>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</si>
  <si>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</si>
  <si>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</si>
  <si>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</si>
  <si>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</si>
  <si>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</si>
  <si>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</si>
  <si>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</si>
  <si>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</si>
  <si>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</si>
  <si>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</si>
  <si>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</si>
  <si>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</si>
  <si>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</si>
  <si>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</si>
  <si>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</si>
  <si>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</si>
  <si>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</si>
  <si>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</si>
  <si>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</si>
  <si>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</si>
  <si>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</si>
  <si>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</si>
  <si>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</si>
  <si>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</si>
  <si>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</si>
  <si>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</si>
  <si>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</si>
  <si>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</si>
  <si>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</si>
  <si>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</si>
  <si>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</si>
  <si>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</si>
  <si>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</si>
  <si>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</si>
  <si>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</si>
  <si>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</si>
  <si>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</si>
  <si>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</si>
  <si>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</si>
  <si>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</si>
  <si>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</si>
  <si>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</si>
  <si>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</si>
  <si>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</si>
  <si>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</si>
  <si>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</si>
  <si>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</si>
  <si>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</si>
  <si>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</si>
  <si>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</si>
  <si>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</si>
  <si>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</si>
  <si>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</si>
  <si>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</si>
  <si>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</si>
  <si>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</si>
  <si>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</si>
  <si>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</si>
  <si>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</si>
  <si>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</si>
  <si>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</si>
  <si>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</si>
  <si>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</si>
  <si>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</si>
  <si>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</si>
  <si>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</si>
  <si>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</si>
  <si>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</si>
  <si>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</si>
  <si>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</si>
  <si>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</si>
  <si>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</si>
  <si>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</si>
  <si>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</si>
  <si>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</si>
  <si>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</si>
  <si>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</si>
  <si>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</si>
  <si>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</si>
  <si>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</si>
  <si>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</si>
  <si>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</si>
  <si>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</si>
  <si>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</si>
  <si>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</si>
  <si>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</si>
  <si>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</si>
  <si>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</si>
  <si>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</si>
  <si>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</si>
  <si>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</si>
  <si>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</si>
  <si>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</si>
  <si>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P</t>
  </si>
  <si>
    <t>Decline BSF RAt.docx</t>
  </si>
  <si>
    <t>Decline BSF2 RAt.docx</t>
  </si>
  <si>
    <t>E,V,G,F,P</t>
  </si>
  <si>
    <t>@PI</t>
  </si>
  <si>
    <t>SUNY Buffalo</t>
  </si>
  <si>
    <t>F/P</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</si>
  <si>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</si>
  <si>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</si>
  <si>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</si>
  <si>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</si>
  <si>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</si>
  <si>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</si>
  <si>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</si>
  <si>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</si>
  <si>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</si>
  <si>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</si>
  <si>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</si>
  <si>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</si>
  <si>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</si>
  <si>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</si>
  <si>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</si>
  <si>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</si>
  <si>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</si>
  <si>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</si>
  <si>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</si>
  <si>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</si>
  <si>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</si>
  <si>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</si>
  <si>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</si>
  <si>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</si>
  <si>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</si>
  <si>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</si>
  <si>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</si>
  <si>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Directories</t>
  </si>
  <si>
    <t>for RA templates:</t>
  </si>
  <si>
    <t>NSF 17-537</t>
  </si>
  <si>
    <t>HC</t>
  </si>
  <si>
    <t>U of Washington</t>
  </si>
  <si>
    <t>Highly Competitive</t>
  </si>
  <si>
    <t>Faculty Early Career Development Program</t>
  </si>
  <si>
    <t>U of Wisconsin Madison</t>
  </si>
  <si>
    <t>LC</t>
  </si>
  <si>
    <t>Low Competitive</t>
  </si>
  <si>
    <t>1045</t>
  </si>
  <si>
    <t>E</t>
  </si>
  <si>
    <t>6</t>
  </si>
  <si>
    <t>5</t>
  </si>
  <si>
    <t xml:space="preserve">        </t>
  </si>
  <si>
    <t>PA</t>
  </si>
  <si>
    <t>WI</t>
  </si>
  <si>
    <t>WA</t>
  </si>
  <si>
    <t>CA</t>
  </si>
  <si>
    <t>MA</t>
  </si>
  <si>
    <t>NY</t>
  </si>
  <si>
    <t>MD</t>
  </si>
  <si>
    <t>GA</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</si>
  <si>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</si>
  <si>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</si>
  <si>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</si>
  <si>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</si>
  <si>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</si>
  <si>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</si>
  <si>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</si>
  <si>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</si>
  <si>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</si>
  <si>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</si>
  <si>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</si>
  <si>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</si>
  <si>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</si>
  <si>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</si>
  <si>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</si>
  <si>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</si>
  <si>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</si>
  <si>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</si>
  <si>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</si>
  <si>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</si>
  <si>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</si>
  <si>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</si>
  <si>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</si>
  <si>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</si>
  <si>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</si>
  <si>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</si>
  <si>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</si>
  <si>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</si>
  <si>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</si>
  <si>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</si>
  <si>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</si>
  <si>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</si>
  <si>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</si>
  <si>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</si>
  <si>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</si>
  <si>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</si>
  <si>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</si>
  <si>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</si>
  <si>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</si>
  <si>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</si>
  <si>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</si>
  <si>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</si>
  <si>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</si>
  <si>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</si>
  <si>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</si>
  <si>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</si>
  <si>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</si>
  <si>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</si>
  <si>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</si>
  <si>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</si>
  <si>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</si>
  <si>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</si>
  <si>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</si>
  <si>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</si>
  <si>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PRC</t>
  </si>
  <si>
    <t>PRC_Description</t>
  </si>
  <si>
    <t>CAREER: FACULTY EARLY CAR DEV</t>
  </si>
  <si>
    <t>9150</t>
  </si>
  <si>
    <t>EXP PROG TO STIM COMP RES</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</si>
  <si>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</si>
  <si>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</si>
  <si>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</si>
  <si>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</si>
  <si>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</si>
  <si>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</si>
  <si>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</si>
  <si>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</si>
  <si>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</si>
  <si>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</si>
  <si>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</si>
  <si>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</si>
  <si>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</si>
  <si>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</si>
  <si>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</si>
  <si>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</si>
  <si>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</si>
  <si>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</si>
  <si>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</si>
  <si>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Wang</t>
  </si>
  <si>
    <t>Carnegie Mellon University</t>
  </si>
  <si>
    <t>Lee</t>
  </si>
  <si>
    <t>V,V,V,G</t>
  </si>
  <si>
    <t>U of Ill Urbana-Champaign</t>
  </si>
  <si>
    <t>IL</t>
  </si>
  <si>
    <t>U of Cal Riverside</t>
  </si>
  <si>
    <t>Li</t>
  </si>
  <si>
    <t>V,G,G,G/F</t>
  </si>
  <si>
    <t>University of Michigan</t>
  </si>
  <si>
    <t>MI</t>
  </si>
  <si>
    <t>Duke University</t>
  </si>
  <si>
    <t>NC</t>
  </si>
  <si>
    <t>E/V,V,V/G,V/G</t>
  </si>
  <si>
    <t>VA Polytechnic Inst &amp; St U</t>
  </si>
  <si>
    <t>VA</t>
  </si>
  <si>
    <t>TX</t>
  </si>
  <si>
    <t>V,G,G/F,F</t>
  </si>
  <si>
    <t>U of Hawaii</t>
  </si>
  <si>
    <t>V,V/G,G,G/F</t>
  </si>
  <si>
    <t>G/F,F,F,F</t>
  </si>
  <si>
    <t>FL</t>
  </si>
  <si>
    <t>Sun</t>
  </si>
  <si>
    <t>rec0</t>
  </si>
  <si>
    <t>rec1</t>
  </si>
  <si>
    <t>rec2</t>
  </si>
  <si>
    <t>minScore</t>
  </si>
  <si>
    <t>maxScore</t>
  </si>
  <si>
    <t>PanlString0</t>
  </si>
  <si>
    <t>pnlst0</t>
  </si>
  <si>
    <t>confl0</t>
  </si>
  <si>
    <t>PanlString1</t>
  </si>
  <si>
    <t>pnlst1</t>
  </si>
  <si>
    <t>confl1</t>
  </si>
  <si>
    <t>PanlString2</t>
  </si>
  <si>
    <t>pnlst2</t>
  </si>
  <si>
    <t>confl2</t>
  </si>
  <si>
    <t>Div_name</t>
  </si>
  <si>
    <t>natr_rqst_txt</t>
  </si>
  <si>
    <t>Not Competitive</t>
  </si>
  <si>
    <t>New Project</t>
  </si>
  <si>
    <t xml:space="preserve"> V,V,V,G</t>
  </si>
  <si>
    <t xml:space="preserve"> V,G,G,G/F</t>
  </si>
  <si>
    <t xml:space="preserve"> E/V,V,V/G,V/G</t>
  </si>
  <si>
    <t xml:space="preserve"> V,G,G/F,F</t>
  </si>
  <si>
    <t xml:space="preserve"> V,V/G,G,G/F</t>
  </si>
  <si>
    <t xml:space="preserve"> G/F,F,F,F</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</si>
  <si>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</si>
  <si>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</si>
  <si>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</si>
  <si>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</si>
  <si>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</si>
  <si>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</si>
  <si>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</si>
  <si>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</si>
  <si>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</si>
  <si>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</si>
  <si>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</si>
  <si>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</si>
  <si>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</si>
  <si>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</si>
  <si>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</si>
  <si>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</si>
  <si>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</si>
  <si>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</si>
  <si>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</si>
  <si>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</si>
  <si>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</si>
  <si>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</si>
  <si>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</si>
  <si>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</si>
  <si>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</si>
  <si>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</si>
  <si>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</si>
  <si>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</si>
  <si>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</si>
  <si>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Abstr</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</si>
  <si>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</si>
  <si>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</si>
  <si>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</si>
  <si>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</si>
  <si>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</si>
  <si>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</si>
  <si>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</si>
  <si>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</si>
  <si>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</si>
  <si>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</si>
  <si>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</si>
  <si>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</si>
  <si>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</si>
  <si>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</si>
  <si>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</si>
  <si>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</si>
  <si>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</si>
  <si>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</si>
  <si>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</si>
  <si>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</si>
  <si>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</si>
  <si>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</si>
  <si>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</si>
  <si>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STND</t>
  </si>
  <si>
    <t>pi_email</t>
  </si>
  <si>
    <t>OTH_AGCY_SUBM_FLAG</t>
  </si>
  <si>
    <t>N</t>
  </si>
  <si>
    <t>Pend</t>
  </si>
  <si>
    <t xml:space="preserve">Germany       </t>
  </si>
  <si>
    <t>using mail merge to fill  RAtemplates with reportserver data.</t>
  </si>
  <si>
    <t/>
  </si>
  <si>
    <t>Decline, DDConcurred</t>
  </si>
  <si>
    <t>DECL</t>
  </si>
  <si>
    <t>Zhang</t>
  </si>
  <si>
    <t>IN</t>
  </si>
  <si>
    <t>Georgia Tech Research Corp</t>
  </si>
  <si>
    <t>Univ of Connecticut</t>
  </si>
  <si>
    <t>CT</t>
  </si>
  <si>
    <t>U of Southern California</t>
  </si>
  <si>
    <t>L</t>
  </si>
  <si>
    <t>Claire</t>
  </si>
  <si>
    <t>Nalini</t>
  </si>
  <si>
    <t>John</t>
  </si>
  <si>
    <t>Andrew</t>
  </si>
  <si>
    <t>Columbia University</t>
  </si>
  <si>
    <t>Davison</t>
  </si>
  <si>
    <t>Brian</t>
  </si>
  <si>
    <t>Lehigh University</t>
  </si>
  <si>
    <t>brian@cse.lehigh.edu</t>
  </si>
  <si>
    <t>Liu</t>
  </si>
  <si>
    <t>New York University</t>
  </si>
  <si>
    <t>U of MD College Park</t>
  </si>
  <si>
    <t>University of Virginia</t>
  </si>
  <si>
    <t xml:space="preserve">SELECT DISTINCT p.prop_id, p.lead_prop_id, p.pi_id, p.inst_id, p.pm_ibm_logn_id as PO, _x000D_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</si>
  <si>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</si>
  <si>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</si>
  <si>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</si>
  <si>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</si>
  <si>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</si>
  <si>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</si>
  <si>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</si>
  <si>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</si>
  <si>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POCmnt</t>
  </si>
  <si>
    <t>ejupd</t>
  </si>
  <si>
    <t>xDiaryNt</t>
  </si>
  <si>
    <t>Xu</t>
  </si>
  <si>
    <t>Nconfl</t>
  </si>
  <si>
    <t xml:space="preserve">brian@cse.lehigh.edu      </t>
  </si>
  <si>
    <t>.first line.</t>
  </si>
  <si>
    <t>keep</t>
  </si>
  <si>
    <t>mail</t>
  </si>
  <si>
    <t>merge</t>
  </si>
  <si>
    <t>Divn</t>
  </si>
  <si>
    <t>Name for PO signature</t>
  </si>
  <si>
    <t>hum_asur</t>
  </si>
  <si>
    <t>HUM_EXPT</t>
  </si>
  <si>
    <t>vrtb_asur</t>
  </si>
  <si>
    <t>pObj</t>
  </si>
  <si>
    <t>bObj</t>
  </si>
  <si>
    <t>01</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</si>
  <si>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</si>
  <si>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</si>
  <si>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</si>
  <si>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</si>
  <si>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</si>
  <si>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</si>
  <si>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</si>
  <si>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</si>
  <si>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</si>
  <si>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</si>
  <si>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</si>
  <si>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</si>
  <si>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</si>
  <si>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r>
      <t xml:space="preserve">Signature block: </t>
    </r>
    <r>
      <rPr>
        <sz val="10"/>
        <color theme="5" tint="-0.499984740745262"/>
        <rFont val="Calibri"/>
        <family val="2"/>
        <scheme val="minor"/>
      </rPr>
      <t xml:space="preserve"> PD=managing pgm dir, blank=draft uploader.</t>
    </r>
  </si>
  <si>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</si>
  <si>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</si>
  <si>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</si>
  <si>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</si>
  <si>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</si>
  <si>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</si>
  <si>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</si>
  <si>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</si>
  <si>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</si>
  <si>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</si>
  <si>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</si>
  <si>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</si>
  <si>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</si>
  <si>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</si>
  <si>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</si>
  <si>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</si>
  <si>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</si>
  <si>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Human/vertibrate from cover</t>
  </si>
  <si>
    <t>RAData, or edit template</t>
  </si>
  <si>
    <t>Add note to DGA</t>
  </si>
  <si>
    <t>Countries &amp; foreign travel $</t>
  </si>
  <si>
    <t>Research %age</t>
  </si>
  <si>
    <t>PO(7 letters):</t>
  </si>
  <si>
    <t>blocks to copy for RA or budget calculations</t>
  </si>
  <si>
    <t>Table of EPSCoR states</t>
  </si>
  <si>
    <t>Available RA templates</t>
  </si>
  <si>
    <t>Directory to save RA drafts</t>
  </si>
  <si>
    <t>Project revs, panel summ, etc.</t>
  </si>
  <si>
    <t>pdf from ProjText</t>
  </si>
  <si>
    <t>where to save filled-in RA drafts:</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</si>
  <si>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</si>
  <si>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</si>
  <si>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</si>
  <si>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</si>
  <si>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</si>
  <si>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</si>
  <si>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</si>
  <si>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</si>
  <si>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</si>
  <si>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</si>
  <si>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</si>
  <si>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</si>
  <si>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Gill</t>
  </si>
  <si>
    <t>Gao</t>
  </si>
  <si>
    <t>Wilson</t>
  </si>
  <si>
    <t>North Carolina State U</t>
  </si>
  <si>
    <t>IA</t>
  </si>
  <si>
    <t>University of Iowa</t>
  </si>
  <si>
    <t>OH</t>
  </si>
  <si>
    <t>U of Cal Davis</t>
  </si>
  <si>
    <t>Jennifer</t>
  </si>
  <si>
    <t>U of Nebraska-Lincoln</t>
  </si>
  <si>
    <t>U of Cal Irvine</t>
  </si>
  <si>
    <t>U of Cal Berkeley</t>
  </si>
  <si>
    <t>7495</t>
  </si>
  <si>
    <t>ROBUST INTELLIGENCE</t>
  </si>
  <si>
    <t>Javidi</t>
  </si>
  <si>
    <t>Xie</t>
  </si>
  <si>
    <t>Clark</t>
  </si>
  <si>
    <t>1045 7495</t>
  </si>
  <si>
    <t>V,G,G,G</t>
  </si>
  <si>
    <t>Yuan</t>
  </si>
  <si>
    <t xml:space="preserve"> V,G,G,G</t>
  </si>
  <si>
    <t xml:space="preserve">Sweden       </t>
  </si>
  <si>
    <t>RAps_note</t>
  </si>
  <si>
    <t>divergentReviews</t>
  </si>
  <si>
    <t xml:space="preserve"> '?' appearing in abstract</t>
  </si>
  <si>
    <t>p180067,p180116,p180038</t>
  </si>
  <si>
    <t>116E</t>
  </si>
  <si>
    <t>RESEARCH EXP FOR UNDERGRADS</t>
  </si>
  <si>
    <t>8236</t>
  </si>
  <si>
    <t>CPS- Frontier</t>
  </si>
  <si>
    <t>9178</t>
  </si>
  <si>
    <t>UNDERGRADUATE EDUCATION</t>
  </si>
  <si>
    <t>9250</t>
  </si>
  <si>
    <t>RES EXPER FOR UNDERGRADS-SITE</t>
  </si>
  <si>
    <t>1739204</t>
  </si>
  <si>
    <t>Stojanovic</t>
  </si>
  <si>
    <t>DCORMAN</t>
  </si>
  <si>
    <t>P180038</t>
  </si>
  <si>
    <t xml:space="preserve"> CPS Frontiers (2017)</t>
  </si>
  <si>
    <t xml:space="preserve"> Panel Summary       
 SYNOPSIS OF PROPOSAL OBJECTIVES AND APPROACH:_x000D_
The proposed research aims to develop new molecular technologies for targeted stimulation of cells in the bloodstream for therapeutic purposes. The research focuses on interfacing of molecular sensing, computing, and actuation of cells within humanized rodent models, and may lead one day to better treatments for disease. The project proposes several educational and immersive training opportunities in biological wet lab environments._x000D_
_x000D_
INTELLECTUAL MERIT:_x000D_
Strengths:_x000D_
+ The topic area is innovative and novel to CPS, there was strong excitement from the panel for the idea of "wet" computation with biological materials._x000D_
+ The team possesses strong expertise in the proposed areas._x000D_
+ Some panel members felt the proposal did a nice job of mapping their biomolecular research onto a CPS-style interacting dynamic system._x000D_
_x000D_
Weaknesses:_x000D_
- While the panel felt the topic area had strong potential for future CPS relevance, the panel expressed concerns that many technical hurdles remain before biologically inspired physical components can be reliably integrated into true cyber-physical systems. In the meantime, the potential for mutual influence and impact between CPS and biology appears limited._x000D_
- The panel worried about investing a Frontier-scale budget into high-risk wet-lab work that would primarily advance molecular biology research without significant impact in the CPS community._x000D_
- The panel noted that molecular computing, pharmacology, and CPS may have differing notions of complexity, and some panel members felt the proposal wasn't clearly using CPS dynamics models, and risks not advancing CPS science. The proposal did not provide sufficient detail for how success in the technical challenges would connect to CPS._x000D_
- The proposal may have overstated the novelty of pursuing biomolecular computation for eliminating human tissues in vivo, and the panel would have liked to see discussion of the proposal's relation to other theory and tools such as DARPA-funded Bio-SPICE, ongoing efforts in precision medicine, and immunotherapies._x000D_
_x000D_
BROADER IMPACTS (including Postdoc Mentoring Plan and Data Management Plan):_x000D_
Strengths:_x000D_
+ The potential to revolutionize biomedicine and consequent impact in society is one of the principal strengths of the proposal._x000D_
+ The lab immersion plan is compelling, especially for biology-heavy projects._x000D_
+ Excellent track record and institutional support of outreach for recruiting women and minority students. _x000D_
_x000D_
Weaknesses:_x000D_
- The proposal did not sufficiently identify the potential for general contributions to the CPS field and the connection to the theory provided by the UNM team members and CPS event-based or hybrid control approaches._x000D_
- The proposal does not appear to advance a CPS-specific educational focus, aside from the novel bridge to biology, nor does it express a clear plan to integrate research outcomes into the broader CPS community._x000D_
_x000D_
_x000D_
SOLICITATION-SPECIFIC REVIEW CRITERIA:_x000D_
_x000D_
Contribution to CPS Vision:_x000D_
+ The proposal is well aligned with the medical CPS vision, and the three focus areas (sensing, computing, and actuation) are well articulated._x000D_
_x000D_
Collaboration Plan_x000D_
+ The collaboration plan appears adequate._x000D_
_x000D_
Evaluation &amp; Validation:_x000D_
+ The evaluation and validation plans are well conceived_x000D_
- Panel members expressed concerns about the expense of "wet lab" component validation work, relative to the potential for foundational advancement of CPS science._x000D_
_x000D_
Team &amp; Project Management:_x000D_
+ The panel felt the team is strong and has adequate facilities to perform the proposed work._x000D_
+ The project management plan seemed adequate._x000D_
_x000D_
Transition to Practice Option (only if applicable)_x000D_
* N/A_x000D_
_x000D_
Data Management Plan _x000D_
+ The data management plan is adequate._x000D_
_x000D_
Post-Doc Mentoring Plan_x000D_
+ The postdoc mentoring plan is adequate._x000D_
_x000D_
Suggestions for improvement:_x000D_
+ Provide deeper emphasis of how the wet-lab work will validate CPS models and generalize to other systems._x000D_
+ The panel wondered whether CPS was the most approprite funding source for porting the "in vitro" work into mice. To improve CPS relevance, the team may have instead focused on CPS-relevant research with systems and components already validated "in vitro"._x000D_
+ Better explain the extent to which this proposal goes beyond the already-funded project "SHF: Large: Collaborative Research: Molecular Computing for the Real World"._x000D_
+ More clearly articulate exactly which feedback loops are being closed in this work._x000D_
_x000D_
PANEL RECOMMENDATION:_x000D_
_x000D_
The panel classified this proposal as "Competitive". The main reasons for this are exciting vision and high potential for broad medical impacts in CPS and society. There are shortcomings with the extent to which it leverages and contributes to CPS science and education._x000D_
_x000D_
All members of the panel have read this panel summary and concur that it accurately reflects the panel's discussion of the proposal. 
</t>
  </si>
  <si>
    <t>WH0719375</t>
  </si>
  <si>
    <t>Das</t>
  </si>
  <si>
    <t>sdas@mst.edu</t>
  </si>
  <si>
    <t xml:space="preserve">In the context of the five review elements, please _x000D_
evaluate the strengths and weaknesses of the proposal with respect to intellectual merit._x000D_
_x000D_
PROPOSAL OBJECTIVES AND APPROACH_x000D_
_x000D_
This proposal addresses the dynamics and control of a CPS of in vivo molecular networks by using mixtures of antibodies that target markers on cell surfaces for sensing, molecular cascades assessing proximity of these antibodies on cells for computing, and components triggering defense systems in cells for actuating, with the goal of eliminating cells in vivo, in a humanized animal model._x000D_
_x000D_
Strengths:_x000D_
_x000D_
+ The PIs demonstrate good preliminary work in orienting molecular cascades to tag target cells for isolation with magnetic beads._x000D_
_x000D_
+ The humanized mouse model is a core novelty to assess the safety and performance of the proposed system._x000D_
_x000D_
+ The model checking component is good and the PIs have demonstrated expertise in abstracting complex reaction networks at a high-level with reduced order models._x000D_
_x000D_
Weaknesses:_x000D_
_x000D_
- The proposal does not address an important point that stochastic molecular networks that specifically are impacted by the immune system due to the presence of antibodies, vary widely between different patient types. It seems that the developed models will be tailored towards the specific humanized mouse model and may not be generic enough to handle such variations._x000D_
_x000D_
- The computational modeling component is not particularly well motivated. Standard mechanisms of chemical kinetics, stochastic simulations and constraint based structural models will be employed however, the multi-scale nature of the problem and possible simulation stiffness related challenges were not explicitly addressed. Also, it is not evident how the parameter space of rate constants will be properly scanned and how individual reaction rates at the single molecule level will be related to bulk rates in ensemble systems for higher scale models e.g., PK and PD models. While all possible interacting cell components with antibodies may still be identified for specific types of cells (e.g. lymphocytes), it is not clear how these methodologies can be readily applied to other cell types._x000D_
_x000D_
- Ex vivo rate constants may not transfer directly to in vivo rate constants; no specific plans were mentioned for these. _x000D_
_x000D_
- The imaging component does not clearly delineate the specificity of the problem of identifying the proposed range of antibodies at high resolution. It is also not clear if ex vivo analysis of blood draws using blood flow cytometry will work for other tissue types (barring lymphocytes). It seems that the degradation and clearance rates will be primarily estimated from blood flow and may exhibit very different behavior in other tissue types._x000D_
_x000D_
_x000D_
Contribution to CPS Vision:_x000D_
_x000D_
The proposal addresses the three CPS target areas as follows: (1) Science of molecular networks by studying the properties of cells, surface markers, and computing molecules; (2) Technology that can optimize and personalize molecular CPSs; and (3) Engineering to interface such networks with human tissues to eliminate cells in vivo._x000D_
_x000D_
_x000D_
Team and Project Management:_x000D_
_x000D_
The project team combines expertise from chemistry, single-molecule to collective behavior characterization, biophysics, immunology and computer science along with pharmacological studies and animal models and have some history of prior collaborations. Overall the team is excellent with good expertise in the core areas of science, technology and engineering of molecular networks covered in the proposal. The collaboration plan also clearly delineates the modes of interactions between the PIs and the students with regular visits planned with UNM._x000D_
_x000D_
The only distant site is UNM and the PIs have an existing collaboration with the UNM group working on the proposed research tasks. _x000D_
_x000D_
The budget is appropriate with two major equipment requested (surface plasmone resonance unit and AKTA PURE 25M) apart from personnel costs, Travel and material and supplies for the experimental components._x000D_
_x000D_
Validation:_x000D_
_x000D_
The validation task on a humanized model is particularly novel and exciting. However, the proposal seems to be focused on targeting lymphocyte cells and a broader applicability of the proposed system is not properly planned. Even in the proposed domain, there are some gaps in connecting the lower level molecular networks to the PK-PD models at the higher scale. The proposal does not clearly discuss the pitfalls and alternate strategies where a full characterization of the reaction rates at each scale may be difficult to estimate or integrating the reaction rates between scales for targeted cell elimination considering different immune system responses can be a potential bottleneck._x000D_
_x000D_
The plan for sharing the research results with the community is quite standard where institution specific servers will be used for data storage, preservation and backups. _x000D_
_x000D_
Scope and Goals:_x000D_
_x000D_
The proposal attempts to address the integration between multiple scales of molecular networks in vivo and hence is suited as a Frontier project. However, a broader application domain of targeting different types of cells may be needed to justify such a major investment._x000D_
_x000D_
_x000D_
In the context of the five review elements, please _x000D_
evaluate the strengths and weaknesses of the proposal with respect to broader impacts._x000D_
_x000D_
The postdoc mentoring plan is appropriate._x000D_
_x000D_
The proposal addresses broad application domains of healthcare and molecular physicians in space flights. It also proposes new modeling and verification tools for the CPS community. However, the tools for stochastic interaction of components mostly use standard methodologies, e.g., stochastic pi calculus._x000D_
_x000D_
The data management plan is appropriate._x000D_
_x000D_
The dissemination plan includes publications, webinars, outreach through American Chemical Society and IEEE Nanotechnology councils and also to stakeholders like NASA._x000D_
_x000D_
_x000D_
Please evaluate the strengths and _x000D_
weaknesses of the proposal with respect to any additional solicitation-specific review criteria, if _x000D_
applicable_x000D_
_x000D_
Education and Outreach Plan:_x000D_
_x000D_
The education plan includes classroom teaching modules through existing courses and also expose both undergraduate and graduate students to team based research projects and different biomolecular design competitions around the nation._x000D_
_x000D_
However, the proposal does not present concrete plans of integrating the research outcomes with the greater CPS community. _x000D_
_x000D_
Standard recruitment measures will be employed to attract women and underrepresented minorities into the project while existing institution specific initiatives will be leveraged for exposing high school students to the proposed research topics._x000D_
_x000D_
_x000D_
Summary Statement_x000D_
_x000D_
The principal reason for my rating of "Very Good / Good" is that the project addresses an exciting and potentially ground breaking area of CPS research, that of controlling molecular networks in vivo for therapeutic outcomes. However, there are some potential challenges in achieving the research tasks which may either be addressed through more preliminary work or proper solution strategies that can make the proposed solutions applicable to a wide variety of cell types and disease scenarios._x000D_
_x000D_
</t>
  </si>
  <si>
    <t>WH0965672</t>
  </si>
  <si>
    <t>Douglas</t>
  </si>
  <si>
    <t>shawn.douglas@ucsf.edu</t>
  </si>
  <si>
    <t xml:space="preserve">In the context of the five review elements, please _x000D_
evaluate the strengths and weaknesses of the proposal with respect to intellectual merit._x000D_
_x000D_
The proposed project is to develop systems of programmable molecular agents built from recombinant antibodies augmented with DNA nanotechnology. The authors have previously developed biomolecular devices able to sense and modify cellular states in the lab ("in vitro" i.e. in cell culture, outside of living organisms), and now seek to port their system to work in mice, and then assess and optimize its pharmacological performance._x000D_
_x000D_
Strengths_x000D_
+ Project is innovative and expands CPS into the bio-molecular realm (and vice versa)._x000D_
+ Project is well-conceived and appropriately challenging for the scale of funding._x000D_
+ Seems to fit perfectly within the CPS program goal and vision of seamless integration of computational algorithms (DNA- based and physical components._x000D_
+ Advances knowledge for how biomolecular CPS components (antibody-tethered DNA-based computers) will perform in living systems, and how living systems will affect the biomolecular CPS components._x000D_
+ Advances knowledge for how programmable actuators may interact with a variety of high-value cellular targets in living organisms_x000D_
+ Focus on standard pre-clinical characterization of biomolecular components (PK, PD) gives confidence that the work will lead to fundamental understanding core system science needed for high-confidence usage._x000D_
+ The proposed research can be generalized to numerous cell types (by modifying the antibody) and actuation programs (by modifying the DNA-based computer programs). However, it's unclear how well these systems will generalize to additional tissue types._x000D_
+ The team structure, roles, skills, and responsibilities appear favorably aligned and likely to realize the project goals. Budget seems appropriate._x000D_
+ A Gantt chart is provided, and it seems that each Aim progressively builds on previous Aims._x000D_
+ Scope and goals seem appropriate for a Frontier project, especially considering the cost of extensive mouse studies (over 1000 mice will be included in the study)_x000D_
_x000D_
Weaknesses_x000D_
- Overlap with existing project?_x000D_
- Some minor concern about the amount of flexibility and/or extensibility will be afforded by the DNA-antibody conjugate platform in the event that any specific parts of the project fail (e.g. if the molecular components do not circulate in the bloodstream long enough to perform their tasks, if the actuation system fails to work in vivo for some reason, or if the molecules prove too small to span inter-cellular junctions)._x000D_
_x000D_
In the context of the five review elements, please _x000D_
evaluate the strengths and weaknesses of the proposal with respect to broader impacts._x000D_
_x000D_
Strengths_x000D_
+ The proposed activities explore creative and innovative concepts which could serve as the basis of advanced future medical treatments_x000D_
+ The proposal makes a convincing case that the computational modeling and experimental characterization of molecular computing cascades in vivo will serve as an important and seminal case study for engineering molecular CPSs._x000D_
+ Public release of software tools to design, model, and simulate molecular CPSs will potentially lower barriers to disseminating the work broadly in the scientific community._x000D_
+ Training and Educational opportunities for students from undergrad to postdoc level appear well conceived._x000D_
+ Lab immersion high school outreach plans will benefit under-served visiting students with exposure to innovative research topics and role models._x000D_
+ Postdoctoral mentoring activities are adequately described._x000D_
+ Publications, popular reviews, and open-source dissemination plan seems reasonable._x000D_
_x000D_
Weaknesses_x000D_
- (Minor) While dissemination and outreach plans are impressive in depth and breadth, the proposal did not propose any remarkably novel or innovative approaches that couldn't have been copied &amp; pasted from previous grants. However, it should be taken into account that innovation is rare in the context of efforts to amplify broader impacts._x000D_
_x000D_
_x000D_
Please evaluate the strengths and _x000D_
weaknesses of the proposal with respect to any additional solicitation-specific review criteria, if _x000D_
applicable_x000D_
_x000D_
Strengths_x000D_
+ Fielding a team in the BIOMOD Competition will provide valuable hands-on research experience to undergraduates, and hands-on mentoring experience to more senior trainees (grad students &amp; postdocs)_x000D_
+ Efforts to serve under-represented individuals are strong. The team has a good track record of recruiting and training minorities and women._x000D_
_x000D_
_x000D_
_x000D_
Summary Statement_x000D_
_x000D_
This proposal was rated Excellent/Very good for a compelling and feasible vision for applying CPS principles to programmable molecular agents as a future generation of medical therapeutics, and strong outreach/education components._x000D_
_x000D_
</t>
  </si>
  <si>
    <t>TW0717695</t>
  </si>
  <si>
    <t>hgill.ret@gmail.com</t>
  </si>
  <si>
    <t xml:space="preserve">In the context of the five review elements, please _x000D_
evaluate the strengths and weaknesses of the proposal with respect to intellectual merit._x000D_
_x000D_
Summarize_x000D_
The proposed research aims to develop new therapeutic molecular technologies for marking (surface tagging), targeting, and destroying undesirable cells.  The research focus is on interfacing molecular sensing, computing, and actuation with cells from Humanized Animal Models._x000D_
_x000D_
STRENGTHS_x000D_
_x000D_
Contribution to CPS vision:_x000D_
+The topic has novelty in the CPS research space and signals the possibility of future CPS progress in this area.  _x000D_
_x000D_
+ The proposed research seeks new intellectual connections between computation and control for molecular biology._x000D_
_x000D_
+The cyber-physical aspect of the planned work would exploit pharmacokinetic (PK) and pharmacodynamic(PD) knowledge to design self-assembling molecular devices to operate on (e.g. tag, destroy) cells using molecules on the surfaces of cells.   _x000D_
_x000D_
+The application of formal language and hybrid systems modeling approaches to complex behavior of cellular mechanisms (e.g., as circuits or automata) is appropriate and is being used elsewhere in CPS for modeling (e.g. myocyte function in cardiac electrical propagation)._x000D_
_x000D_
+The team possesses very strong coverage for the areas proposed. _x000D_
_x000D_
+Lab facilities are more than adequate. _x000D_
_x000D_
WEAKNESSES_x000D_
-The control techniques proposed in this stage of the research are somewhat limited, basically setting up the concepts for tagging and triggering molecular cascades to kill disease cells.  A further vision would have been welcome._x000D_
_x000D_
-This project appears to have a dominant experimental ("wet") molecular biology focus.  _x000D_
_x000D_
-The proposal does not emphasize sufficiently the intellectual advances the work will cause in this or other areas of cyber-physical science, engineering or technology.  Might, for example, the UNM PIs' work on modeling complex molecular behavior (modular verification and trace rewriting for serializability) in analyzing DNA strand displacement, also contribute to untangling behavioral observations of other cyber-physical phenomena in this and other CPS work?_x000D_
_x000D_
- A vision for on-line cyber-physical control is not evident._x000D_
_x000D_
- It is hard to tell whether the dynamics models are used directly (on-line) even within the molecular control models or simply used to statically estimate parametric information.  _x000D_
_x000D_
_x000D_
Team and Project Management:_x000D_
The research would be conducted by a team of microbiologists from Columbia University and the Hospital for Special Surgery (HSS), and computer scientists University of New Mexico._x000D_
_x000D_
Validation: _x000D_
The project has a strong experimental component. _x000D_
Experimental validation of models and designs will be substantial, but within the narrow scope of the research.  _x000D_
Validation of any new CPS concepts for molecular biology is under-emphasized._x000D_
_x000D_
Scope and Goals:_x000D_
The project is in an exciting domain, but the sweep of the specific work planned in the project is not really CPS Frontier scale.  It might make sense to come back with a CPS Medium project that could frame a subsequent larger, community-level activity._x000D_
_x000D_
_x000D_
In the context of the five review elements, please _x000D_
evaluate the strengths and weaknesses of the proposal with respect to broader impacts._x000D_
_x000D_
+ As written, the broader impact of the proposed research is its principal strength, from the perspective of the CPS research._x000D_
_x000D_
+ This and related work appears to have great potential to contribute to the promising (and rapidly emerging) area of precision medicine by making new molecular therapies more predictable and controllable._x000D_
_x000D_
+ Although the proposal focuses on the use of circulatory cells, controllable molecular techniques may have application in treating other types of disorders.  _x000D_
_x000D_
+Success in the problems proposed for study would advance research and infrastructure capabilities for molecular sensing and control at the cellular level.  For example they should prove useful as apparatus in molecular biology research (e.g., molecular spectroscopy is mentioned).   _x000D_
_x000D_
-The proposal makes no serious attempt to identify general contributions to  CPS science, engineering or technology. An opportunity is missed in not drawing stronger connections and comparison between the formal language and verification work at UNM and other event-based or hybrid control approaches being used in CPS research for modeling and controlling joint logical and continuous dynamics._x000D_
_x000D_
Please evaluate the strengths and _x000D_
weaknesses of the proposal with respect to any additional solicitation-specific review criteria, if _x000D_
applicable_x000D_
_x000D_
Education and Outreach Plan:_x000D_
-The plan does not address a CPS educational focus (beyond the biology research) in student education, and is not exceptional._x000D_
_x000D_
+The lab immersion idea is interesting and likely needed for the level of introduction that will be needed by students to be able to benefit from the biology-heavy projects._x000D_
_x000D_
+Good institutional support programs for PostDoc mentoring are in place at Columbia, and some graduate students are co-advised between the Universities.  Otherwise adequate but not outstanding._x000D_
_x000D_
+Outreach for recruiting women and minority students has institutional support and stated commitment from the PIs._x000D_
_x000D_
_x000D_
Summary Statement_x000D_
_x000D_
The proposal is rated lower, as V/G, because the scope of the work proposed and the community outreach that would be needed, does not currently reach the level of a CPS Frontier project._x000D_
_x000D_
</t>
  </si>
  <si>
    <t>SY0701873</t>
  </si>
  <si>
    <t>Hauser</t>
  </si>
  <si>
    <t>john.hauser@colorado.edu</t>
  </si>
  <si>
    <t xml:space="preserve">In the context of the five review elements, please _x000D_
evaluate the strengths and weaknesses of the proposal with respect to intellectual merit._x000D_
_x000D_
The proposed effort is to develop a biomolecular CPS using molecules that sense, compute, and actuate in mice equipped with human hematopoietic and lymphoid systems. This would enable the development of new technologies for marking (surface tagging), targeting, and destroying undesirable cells. _x000D_
_x000D_
Strengths_x000D_
+ Innovation: sensing, computation, and control in molecular biology._x000D_
+ Strong team._x000D_
+ Good lab facilities._x000D_
_x000D_
Weaknesses_x000D_
- It is unclear to what extent this biomolecular CPS is actually "closing the loop" and what that loop actually is._x000D_
_x000D_
Project management looks good, with well developed collaborations._x000D_
_x000D_
Validation will be heavily based on wet lab experimentation, for to develop and confirm the  biomolecular CPS effects._x000D_
_x000D_
Scope and Goals:_x000D_
This is an exciting program, both in achieving its specific goals, but also in opening up the area of in vivo biomolecular systems. In particular, the availability of data from these developments will be very useful to systems and controls folks interested in many of the usual features of dynamic control systems, including parameter identification._x000D_
_x000D_
_x000D_
Strengths _x000D_
+ Fielding a team in the BIOMOD Competition will provide valuable hands-on research experience to undergraduates, and hands-on mentoring experience to more senior trainees (grad students &amp; postdocs) _x000D_
+ Efforts to serve under-represented individuals are strong. The team has a good track record of recruiting and training minorities and women. _x000D_
_x000D_
_x000D_
In the context of the five review elements, please _x000D_
evaluate the strengths and weaknesses of the proposal with respect to broader impacts._x000D_
_x000D_
Primary broader impacts are anticipated largely in the future medical technologies arising from the project._x000D_
_x000D_
Outreach/education components look good._x000D_
_x000D_
_x000D_
Please evaluate the strengths and _x000D_
weaknesses of the proposal with respect to any additional solicitation-specific review criteria, if _x000D_
applicable_x000D_
_x000D_
The sense, compute, actuate aspect of this biomolecular system appears to present a credible CPS system.  It would be especially interesting to know exactly if the system should be seen as closed loop and, if so, what loop is precely being closed._x000D_
_x000D_
Summary Statement_x000D_
_x000D_
This proposal was rated Very good/Good for an exciting opportunity for applying CPS principles to programmable molecular agents as a future generation of medical therapeutics._x000D_
_x000D_
_x000D_
</t>
  </si>
  <si>
    <t>1739570</t>
  </si>
  <si>
    <t>Sanyal</t>
  </si>
  <si>
    <t xml:space="preserve"> Panel Summary       
 I. SYNOPSIS OF PROPOSAL OBJECTIVES AND APPROACH:_x000D_
_x000D_
The proposed project will create technology that will allow for multiple Unmanned Aerial Vehicles (UAVs) to fly together in an Unmanned Aerial System (UAS), even when failures of components happen and the operator does not have line of sight. It will then integrate technology with policy governing operation of UAS. The proposed innovation will allow networks of multiple UAVs to carry out diverse and complex tasks in potentially crowded airspace. In terms of broader impact, the proposed policy development will ease the path of adoption of UAS. The outreach effort will include workshops in which public perception and engagement will be sought.  _x000D_
_x000D_
INTELLECTUAL MERIT:_x000D_
_x000D_
Strengths:_x000D_
(+) The proposed project is timely as UAVs are being adopted more widely and there are active developments on the policy front for UAV operations. _x000D_
(+) The control theory that is developed at different levels of abstraction is promising._x000D_
(+) The 5 thrusts are well integrated to support the use case of UAS under important corner cases, such as large maneuvers and component failures._x000D_
(+) The coordinated progress on the technology and the policy front is a strength of the proposed project._x000D_
(+) The proposal is well structured with the appropriate research questions and potential solution approaches being discussed. _x000D_
_x000D_
Weaknesses:_x000D_
(-) Some technical aspects of the proposed research, such as, trajectory generation, have been extensively investigated by the community. The relevance for policy generation is unclear._x000D_
(-) The motivating example would have been more compelling if it involved multiple UAVs._x000D_
(-) The question of resiliency of the solution to attacks and failures should be developed better, with clear indication of what is the difference from prior work. _x000D_
_x000D_
BROADER IMPACTS (including Postdoc Mentoring Plan and Data Management Plan):_x000D_
_x000D_
Strengths:_x000D_
(+) The project by addressing the policy challenges of UAS operation may speed its adoption curve._x000D_
(+) The testbeds being used and developed for the evaluation can act as compelling vehicles for demonstrating the impact of the work. _x000D_
(+) The proposed plans to obtain public feedback and influence policy may be helpful in expediting societal acceptance._x000D_
_x000D_
Weaknesses:_x000D_
(-) The proposers could have tried to include more innovative approaches to education and outreach. _x000D_
_x000D_
SOLICITATION-SPECIFIC REVIEW CRITERIA_x000D_
_x000D_
Contribution to CPS Vision:_x000D_
The project contributes to CPS science and technology visions. The developed techniques may well apply beyond UAS, such as, self-driving cars and robot-assisted navigation. However, this should be more fully described in the proposal. _x000D_
_x000D_
Collaboration Plan:_x000D_
The collaboration plan is well done with different members of the team having complementary and necessary expertise. There is a cohesive plan for how the members can work together toward the ultimate goals of the project. Yet, management across five institutions may be challenging, especially if the work pace needs to accelerate in order to match emerging policy._x000D_
_x000D_
Evaluation &amp; Validation:_x000D_
The available facilities are very well suited and leveraged well for experimental validation of project goals. The testing plan is well laid out and shows a path to validating the project goals on a regular schedule. The panel would have liked to see a clear linkage between policy goals and technical goals. _x000D_
_x000D_
Team &amp; Project Management:_x000D_
The team is well qualified and possesses the necessary balance of theoretical and practical expertise to make the project successful. From a teaming perspective, connections with policy makers and researchers (such as, FAA, NASA, RAND, MITRE) would be helpful._x000D_
_x000D_
Transition to Practice Option (only if applicable)_x000D_
N/A_x000D_
_x000D_
Data Management Plan _x000D_
The data management plan is adequate. _x000D_
_x000D_
Post-Doc Mentoring Plan (if applicable)_x000D_
The post-doc mentoring plan is adequate. _x000D_
_x000D_
Suggestions for improvement:_x000D_
The proposal would be improved with greater clarity on the novelty of some of the proposed technical tasks. The proposers should consider additional discussion on specifics of policy and consideration of the existing state of the art in UAS research._x000D_
_x000D_
PANEL RECOMMENDATION:_x000D_
The panel classified this proposal as "Competitive".  The main reason for the enthusiasm of the panel is the novelty of the technical tasks on resilient decision engine and testbed-based experimentation and the policy aspects, which can enable the use of UAS in shared airspace under variable conditions. The main reason for the concern of the panel is that the need is urgent and the team will have to quickly demonstrate results and rapidly engage meaningfully with regulatory bodies to have impact. _x000D_
_x000D_
All members of the panel have read this panel summary and concur that it accurately reflects the panel's discussion of the proposal. 
</t>
  </si>
  <si>
    <t>ZE0788972</t>
  </si>
  <si>
    <t>Antsaklis</t>
  </si>
  <si>
    <t>antsaklis.1@nd.edu</t>
  </si>
  <si>
    <t xml:space="preserve">In the context of the five review elements, please _x000D_
evaluate the strengths and weaknesses of the proposal with respect to intellectual merit._x000D_
_x000D_
INTELLECTUAL MERIT_x000D_
_x000D_
PROPOSAL OBJECTIVES AND APPROACH_x000D_
_x000D_
It is proposed to develop a unified approach for integrated technology and policy of Unmanned Aerial Systems. Policy challenges arise from the difficulty of integrating UAS into the national airspace system and the resulting balance between risk assessment, public perception, and enabling advanced capabilities. It is argued that co-development of technology and policy is needed to satisfy the safety and performance requirements. It is proposed to use an optimization and decision approach to evaluate the trade-offs between performance, uncertainty, resource consumption, and risk of UAV components, including communications, control, and interaction with human operators. Specifically, the five proposed research thrusts are on Nonlinear Feedback Control for UAS Stability and Resilience, on Online Trajectory Generation, on Risk Assessment and Decision Engine, on Standardization and Certi&amp;#64257;cation, and on Testing and Validation. Figure 1 shows schematically the proposed framework. The PIs expertize is grouped along these lines. It is a carefully and well written proposal. The interconnections among the five thrusts are described and what outcomes of a specific level will be used by the next level are clearly discussed._x000D_
_x000D_
Contribution to CPS vision:_x000D_
_x000D_
+ Successful completion of the proposed research will contribute to advancement of knowledge in CPS. _x000D_
+ Here the control and trajectory problems may have some additional requirements and there is computation of risk assessment.  _x000D_
- There is nothing terribly innovative in the described individual research thrusts. _x000D_
- The motivating scenario only involves a single UAV. The proposed problems appear to be quite standard and have been of interest in the literature for a long time. _x000D_
-The proposal appears to be a collection of interesting problems where no particularly innovative solutions are proposed. The investigators will mostly continue their previous research which is fine but my impression is that the proposed tasks are tailored to fit the team instead of the overall goal determining where most of the efforts should be channeled. The innovation here is the integration of standardization and certification but most of the effort is towards addressing rather standard - but technically interesting-problems. _x000D_
-In research thrust four, Standardization and Certification, it is proposed to develop a rating scheme for performance of a UAV and of shared autonomy systems; develop multiple ratings with respect to several metrics, wind speed, sensor and power failures; obtain feedback from the public via workshops and influence policy. There is arbitrariness in these rating schemes and it is not clear whether there are some concrete ideas to be developed other than the organization of the workshops. _x000D_
_x000D_
Team and Project Management:_x000D_
_x000D_
+ The expertize of the members and the interaction of the different teams is well described. _x000D_
+The PIs appear to be well versed in their respective research thrust areas and the team is well integrated._x000D_
- A concern is that the PIs from University of Michigan and Washington have a very large number of currently funded and pending projects and the worry is that they may not have the time required to make this project a success._x000D_
_x000D_
Validation:_x000D_
_x000D_
+ There is a well described plan for validation._x000D_
_x000D_
Scope and Goals:_x000D_
_x000D_
+ The goal is to integrate some promising research in control and trajectory planning with regulations and societal impact. _x000D_
- It is not clear that developing standardization and certification procedures requires a Frontier project or the inclusion of the proposed research in trajectory planning and control. _x000D_
_x000D_
_x000D_
_x000D_
_x000D_
In the context of the five review elements, please _x000D_
evaluate the strengths and weaknesses of the proposal with respect to broader impacts._x000D_
_x000D_
BROADER IMPACTS_x000D_
_x000D_
+ The Postdoctoral Mentoring plan is adequate_x000D_
+ The Data Management Plan is adequate_x000D_
+ The proposed plans to obtain public feedback and influence policy are very good. _x000D_
- The broader impact is mainly via the standardization and certification methods that will be directly applicable to UAS industry. It would have been desirable to have additional significant technical contributions in the UAV and CPS fields. _x000D_
_x000D_
_x000D_
Please evaluate the strengths and _x000D_
weaknesses of the proposal with respect to any additional solicitation-specific review criteria, if _x000D_
applicable_x000D_
_x000D_
Education and Outreach Plan:_x000D_
_x000D_
+There is strong outreach plan to solicit feedback from the public._x000D_
+ Education components are adequate with proposed courses, hack-a-thons _x000D_
_x000D_
_x000D_
Summary Statement_x000D_
_x000D_
It is an interesting proposal with goal the integration of control, trajectory planning, risk assessment and regulation restrictions in UAS. Individual research thrusts are not very innovative.  We can expect an incremental increase in CPS research accomplishments. . It is not clear that developing standardization and certification procedures requires a Frontier project or the inclusion of the proposed research in trajectory planning and control._x000D_
_x000D_
</t>
  </si>
  <si>
    <t>YH0831631</t>
  </si>
  <si>
    <t>Bagchi</t>
  </si>
  <si>
    <t>sbagchi@purdue.edu</t>
  </si>
  <si>
    <t xml:space="preserve">In the context of the five review elements, please _x000D_
evaluate the strengths and weaknesses of the proposal with respect to intellectual merit._x000D_
_x000D_
This proposal seeks to tackle the problem of coordinating multiple Unmanned Aerial Vehicles (UAV) that together form an Unmanned Aerial Systems (UAS). The UAS is such that humans are in the loop as operators and they do not necessarily have line of sight. The proposal is structured around 5 inter-dependent thrusts of research._x000D_
_x000D_
I found the overall structure of the proposal and the development of arguments quite cogent and convincing. I particularly liked the following points in the technical writeup:_x000D_
(1) It takes a control theory view of controlling UAVs at different levels of abstraction._x000D_
(2) The technical problems are illuminated by a convincing use case. The 5 thrusts come together to support the use case._x000D_
(3) There is good recent preliminary work done by members of the team on the control, tracking, and cyber resiliency that the proposed work builds upon._x000D_
(4) The proposal is well structured with a layout of the research questions followed by potential solution approaches to be investigated. Also, the exact delta from prior work is spelled out for most of the tasks. _x000D_
(5) There is a good intermix of theory and practice, which would be needed to make an effort like this succeed._x000D_
_x000D_
I have the following concerns, as the most significant ones, on the proposal:_x000D_
(1) The topic of resiliency against attackers and faults is not as well developed (Task 1.3 pp. 7-8, Task 3.3 pp. 13-14). It is rather hand wavy and specific problem requirements as well as solution sketch of proposed solution are not laid out well. Also what is the separation of responsibilities among formal control analysis and simulation here? What is the exact nature of attacks and faults that will be considered? The work on defense in the face of limited knowledge of adversaries (mentioned as proposed work here) has been quite well studied. See for example:_x000D_
"Practical Evasion of a Learning-Based Classifier: A Case Study" IEEE Security and Privacy Symposium, 2014._x000D_
_x000D_
(2) I found a shortcoming that cuts across multiple tasks in that it is not clear how disconnected mode of operation will be handled, e.g., when a human in the loop is not reachable or when cloud computing resource is not available. For example, in research thrust 3, it is stated that the decision-making functionality will be shared between the ground and the UAV. What if the ground computing platform is not reachable? What if a cloud computing resource on which a dependence is created, is not available, or not available within the time bounds?_x000D_
(3) I found the discussion of communication and networking requirements for the proposed work (Task 2.3) less than satisfying. This did not spell out the exact problem to be solved nor the plan of action in proposed work. What is the specific unique requirement of this domain? What will be the starting point for the solution? What are the technical risks to the proposed solution?_x000D_
_x000D_
In the context of the five review elements, please _x000D_
evaluate the strengths and weaknesses of the proposal with respect to broader impacts._x000D_
_x000D_
(+) I found the policy part of the broader impact quite well done. In this, UAS deployment policies will be created by involving multiple types of stakeholders._x000D_
_x000D_
(-) The rest of the broader impact reads like boilerplate material._x000D_
_x000D_
(+ -) I found the testing plan in the evaluation quite thorough and well done. It was a missed opportunity for describing broader impact from this activity. If the test data is made available to the community, then it can validate its own research hypotheses. _x000D_
_x000D_
_x000D_
Please evaluate the strengths and _x000D_
weaknesses of the proposal with respect to any additional solicitation-specific review criteria, if _x000D_
applicable_x000D_
_x000D_
From the solicitation:_x000D_
"all Frontier proposals will be evaluated on the strength of their Collaboration Plans. All Frontier proposals will also be evaluated on the strength of their Education and Outreach Plans."_x000D_
_x000D_
(+) I found the collaboration plan quite well done. The team has complementary expertise and subsets of team members have experience working together._x000D_
(+) The outreach is strengthened by letters which indicate support from a diverse and appropriate group of stakeholders._x000D_
_x000D_
(-) I found the education plan to be rather standard and nothing innovative stood out to me. Also, in this matter, I look for prior innovation by some members of the team and nothing was spelled out in the proposal. _x000D_
_x000D_
_x000D_
Summary Statement_x000D_
_x000D_
This is a timely proposal on reliable operation of multiple UAVs. It considers some important problems that have not been solved yet, in each of the 5 thrusts of research. There are some lacunae in handling disconnected operation, specific fault and attack models, and the networking challenges. There is good broader impact in parts, where the impact on the UAS community is mentioned, but it is lacking in some other parts. _x000D_
_x000D_
_x000D_
</t>
  </si>
  <si>
    <t xml:space="preserve">In the context of the five review elements, please _x000D_
evaluate the strengths and weaknesses of the proposal with respect to intellectual merit._x000D_
_x000D_
Individual unmanned aerial vehicles (UAVs) are undergoing a significant transition and upgrade toward the next generation of unmanned aerial systems (UASs), in which networks of multiple UAVs will carry out diverse and complex tasks in potentially crowded and variable airspace conditions. The proposed project is focused on developing the necessary software, mathematically supported policy frameworks to ensure a successful transition of connecting UAVs into UASs. The authors propose several anticipatory measures and upgrades to software, algorithms, and control systems to maximize performance with available computing hardware and maintain safe, autonomous resiliency even under difficult conditions (device failures, cyber-attacks, and generally imperfect communication when flying beyond line-of-sight from ground control, etc.). Major thrusts of the project include improved nonlinear feedback control systems, trajectory planning, resilient decision making, and policy-level ratings &amp; certification._x000D_
_x000D_
Strengths_x000D_
+ Important problem with high relevance to UAV/UAS industry, and fits well within the CPS program goals._x000D_
+ The proposal is densely packed with (seemingly) logical ideas and approaches to incrementally extend solo UAV flights into "air traffic control" systems and policies for systems of large numbers of UAVs, which will be crucially important as the UAV/UAS adoption and industry expands._x000D_
+ Identifies and seeks to address interesting edge cases, such as instabilities in nonlinear control in "large" maneuvers and sources of non-convexity._x000D_
+ Remarkably, the policy section included some very innovative and interesting concepts. If successfully implemented and adopted, the proposed development of a framework for converting policy guidelines to a formally verifiable mathematical language could set a powerful precedent for many other CPS-related industries._x000D_
+ Proposed team roles, responsibilities, expertise, and collaboration plans are appropriate for a CPS Frontier project. It would be difficult to achieve the proposed research tasks as a set of smaller separate projects, especially establishing the policy and rating schemes._x000D_
+ Budget seems appropriate for the goals._x000D_
+ The available facilities are extremely well suited for experimental validation of project goals._x000D_
+ Plan for data management and sharing is satisfactory._x000D_
_x000D_
Weaknesses_x000D_
- (Minor) Aside from the mathematically formalized policy research, it's unclear how much of the core system science can be generalized beyond UAVs/UASs._x000D_
_x000D_
_x000D_
In the context of the five review elements, please _x000D_
evaluate the strengths and weaknesses of the proposal with respect to broader impacts._x000D_
_x000D_
Strengths_x000D_
+/- Hack-a-thon plans seem like an excellent way to engage the community and certainly goes beyond traditional academic publications. Unfortunately, the proposal lacked specifics about the number, scale, location, duration, and potential impact (# of visitors) of such hack-a-thon events. "A series" seems to indicate at least 3 are planned._x000D_
+ Postdoctoral Mentoring plans sufficiently described._x000D_
+ Data management plan is satisfactory._x000D_
_x000D_
Weaknesses_x000D_
- Broader Impacts section is relatively short and sparse for a Frontier project. More creative and innovative concepts could have been included, especially considering how much UAVs capture the public's imagination, but also stoke fears &amp; concerns about safety or use in terrorist attacks._x000D_
_x000D_
Please evaluate the strengths and _x000D_
weaknesses of the proposal with respect to any additional solicitation-specific review criteria, if _x000D_
applicable_x000D_
_x000D_
Weaknesses_x000D_
- Plans to attract under-represented women, minorities, and persons with disabilities to CPS fields are very poorly described, representing a major shortcoming with the proposal. Partnering with K-12 outreach programs and hosting high school summer students is a good start, but the statement "We expect that having these students engage in research will help them define and solidify their future plans to pursue an engineering profession" is unconvincing without more detailed statistics about past outcomes to back it up. Furthermore, the proposal fails to mention or address under-served participation at the undergraduate, graduate, or postdoctoral levels._x000D_
- All PIs and institutions should clearly define their outreach plans._x000D_
_x000D_
Summary Statement_x000D_
_x000D_
I rated this proposal Very Good/Good. From the standpoint of intellectual merit, the proposal is Excellent. Potential Broader Impacts to society are promising from a technical standpoint, but fall short with regard to innovative training, education, and outreach. I would have rated higher if the proposal articulated more substantive outreach plans to improve participating among underrepresented groups at all levels of training; this was easily the weakest proposal in that regard._x000D_
_x000D_
</t>
  </si>
  <si>
    <t>PH0981705</t>
  </si>
  <si>
    <t>Karaman</t>
  </si>
  <si>
    <t>sertac@mit.edu</t>
  </si>
  <si>
    <t xml:space="preserve">In the context of the five review elements, please _x000D_
evaluate the strengths and weaknesses of the proposal with respect to intellectual merit._x000D_
_x000D_
INTELLECTUAL MERIT_x000D_
PROPOSAL OBJECTIVES AND APPROACH_x000D_
_x000D_
The main objective of the proposed research effort is to develop an integrated technology and policy framework for Unmanned Aerial Systems (UAS). The PIs recognize that the development of technology alone or policy alone may not provide right framework for UAS integration into the national air space. Hence, the PIs argue that a co-design approach to the technology development and policy development for UAS is essential for the rapid development and integration of UAS. For this purpose, the PIs propose to the following approach: to develop a decision engine that evaluates the trade-offs between these to essential components of UAS development, specifically between performance, robustness, resources and risk, taking into account communication, feedback control, trajectory generation, and human interaction. _x000D_
_x000D_
+ The objective of co-design of technology and policy is innovative, and it seems to apply to the UAS domain very well. _x000D_
+ The proposed research effort is timely, especially as technology and policy are both being developed for UAS, particular those that aim to utilize the agile airspace that is above the skyscraper height but below what commercial airliners utilize. _x000D_
_x000D_
- While the objective of co-design of technology and policy is overarching, the proposal boils it down to a decision engine that utilizes mostly standard approaches for non convex optimization. One would expect that there is an interconnected set of tools that help address this co-design problem guiding both policy makers and technology developers. However, the development of such overarching toolset (or methods, approaches, frameworks) seems rather missing. _x000D_
- It is not immediately clear how this project is connected to the co-design of policy and technology in general. It is not clear whether there is any literature in this direction, and if so how does the proposed approach build on and contribute to such literature. _x000D_
_x000D_
_x000D_
Contribution to CPS vision:_x000D_
+ The project contributes to CPS science and technology with methods for the co-design of technology and policy. Such co-design problems may arise in a number of CPS applications beyond UAS. For instance, another prominent emerging area is the utilization of self-driving vehicles, either as privately-owned cars or as a mobility-on-demand transportation system. An area that is rather further when compared to UAS is the development of gene editing technologies and their applications in treatment. And so on. Hence, the development of techniques for the co-design of technology and policy for CPS applications may contribute directly and strongly to CPS science. Yet, while the potential seems exist, there is little talk of such generations towards other CPS domains in the proposal. _x000D_
_x000D_
_x000D_
Team and Project Management:_x000D_
+ The proposers have assembled a strong team covering policy, communication, feedback control, trajectory generation, and human interaction. _x000D_
+ The project timeline is well-thoughtout. The tasks are streamlined, and their connections are shown. _x000D_
- There does not seem to be strong plans for coordination between policy and technology sides of the project. The projects runs the risk of developing technology development and policy methods development that are somewhat informed from each other, but not tightly integrated. _x000D_
_x000D_
_x000D_
Validation:_x000D_
+ There are strong validation plans for individual pieces, and the PIs have a strong background in validation efforts. _x000D_
- Most of the validation is on the validation of technology. One would expect, in some clever way, there is some engagement and conversion with policy makers, and some of the validation effort is targeted towards that. Unfortunately, that is not the case. _x000D_
_x000D_
_x000D_
Scope and Goals:_x000D_
+ The project sets out an important goal, and scopes this goal well by focusing on UAS applications. _x000D_
- In some cases, the proposed research boils down to policy-informed technology development, but not the co-design of policy and technology. In fact, the technology development team is substantially larger than the policy team, among the PIs._x000D_
_x000D_
_x000D_
In the context of the five review elements, please _x000D_
evaluate the strengths and weaknesses of the proposal with respect to broader impacts._x000D_
_x000D_
BROADER IMPACTS_x000D_
+ The proposed research is very timely, and may have a substantial impact on the development of technology and policy that can transform air transportation. _x000D_
- Broader impacts do not go beyond the standard arguments. In fact, the PIs reserve little space for broader impacts in the proposal, much of which is a summary of the education and outreach plan._x000D_
_x000D_
Please evaluate the strengths and _x000D_
weaknesses of the proposal with respect to any additional solicitation-specific review criteria, if _x000D_
applicable_x000D_
_x000D_
Education and Outreach Plan:_x000D_
+ There are substantial plans for outreach from high schools to veterans. _x000D_
- The plans for integrated technology/policy curriculum development are dim. The curriculum development lists a set of courses that are not connected to each other, and are not very close to the core objective of the proposal. One would expect that there would be new courses that teach technology and policy together. _x000D_
_x000D_
Transition to Practice Option:_x000D_
N/A._x000D_
_x000D_
Summary Statement_x000D_
_x000D_
The proposed research aims to co-design technology and policy for UAS. The proposed approach involves the development of a decision engine that can explore various tradeoffs that contribute this to this co-design. The proposal is strong on intellectual merit and contribution to CPS. Yet, the proposal seems to focus mainly on the technology development. The outreach plan is strong. However, curriculum development and other broader impacts are not very innovative. The principle reasons for my rating of Very Good are the strength of the intellectual merit overall,  but the lack of compelling broader impacts and a stronger research into policy methods development._x000D_
_x000D_
</t>
  </si>
  <si>
    <t>Title: CPS: Frontier: Collaborative Research: TAURUAS - Trusted, Autonomous and Resilient Unmanned Aerial Systems_x000D_
Lead PI: Amit Sanyal_x000D_
Lead Institution: Syracuse University_x000D_
_x000D_
Unmanned Aerial Systems (UAS) consist of unmanned aerial vehicles (UAV) and supporting ground infrastructure. Driven by emerging applications like package delivery, search and rescue, and delivery of medicine, the UAS industry is expected to grow substantially over the next twenty years. Increasing levels of autonomy for UAVs, combined with inherent resource constraints, pose significant challenges from both technology and policy standpoints. _x000D_
_x000D_
UAS technologies are expected to ensure safe and efficient performance while satisfying mission objectives in dynamic environments with uncertainties and disturbances. Achieving these goals requires coordination between multiple UAVs and ground infrastructures over lossy time-varying communication links, in the presence of adversaries. Challenges in UAV control will be exacerbated by a shift from a paradigm of a single operator controlling one UAV over a line-of-sight link, to beyond line-of-sight control of multiple UAVs by a single operator. Moreover, these design elements impose costs on limited shared resources, such as energy, communication bandwidth, and human operator attention. Policy challenges arise from the difficulty of integrating UAS into the national airspace system and the resulting balance between risk assessment, public perception, and enabling advanced capabilities._x000D_
_x000D_
This research project will develop a unified approach for integrated technology and policy of UAS. Our insight is that only co-development of technology and policy will satisfy the safety and performance requirements of commercial, regulatory, and consumer UAS stakeholders using cost-effective and resource-constrained UAV platforms. At the heart of our approach is an optimization and decision engine that evaluates trade-offs between performance, uncertainty, resource consumption, and risk of UAV components, including (i) communications systems, (ii) feedback control, (iii) trajectory selection, and (iv) interaction with human operators. _x000D_
_x000D_
Keywords: secure and resilient UAS, nonlinearly stable estimation and control, trajectory generation, risk assessment, policy and certification_x000D_
CPS target areas: Engineering of Cyber-Physical Systems, Science of Cyber-Physical Systems, Technology for Cyber-Physical SystemsThe proposed effort will lead to advances in nonlinear control, trajectory planning, networked and secure control, and shared autonomy that are motivated by UAS. Moreover, our proposed optimization and decision engine will enable joint consideration of the performance and resource trade-offs from these components, including multiple UAS, thus furthering the Science and Technology of CPS. Lightweight and computationally efficient onboard algorithms for implementing our proposed approaches will further the Engineering of CPS.This project will result in standardization and certification methods that are directly applicable to UAS industry and will stimulate innovation. The risk assessment approaches that we develop will provide a common language for practitioners and regulatory bodies, and thus serve as a framework for jointly addressing the technological and policy challenges of BLOS UAS. The project team will develop an integrated testing suite for the standards and certification methods that we propose, and will release hardware and software platforms, as well as the test themselves, to the broader community. Broader impact will also be achieved through K16 outreach and collaborations with policymakers.</t>
  </si>
  <si>
    <t>1739586</t>
  </si>
  <si>
    <t xml:space="preserve"> Panel Summary       
 I. SYNOPSIS OF PROPOSAL OBJECTIVES AND APPROACH:_x000D_
_x000D_
The project seeks to create a data-driven, context-aware, human-in-the-loop control system for medical CPS, with a focus on mechanical ventilators, their operation and weaning processes. A key novelty is in the human modeling, both of the physiology of the patient and the operators and clinicians operating the device. A safety analysis of the overall closed-loop control system is also proposed. In terms of broader impact, the project, by improving closed-loop control of mechanical ventilators, can positively impact patients and healthcare providers. The plans for education and outreach include development of CPS-related courses, a summer school, and a roadshow for medical CPS/IoT. _x000D_
_x000D_
INTELLECTUAL MERIT:_x000D_
_x000D_
Strengths:_x000D_
(+) The proposal does a good job of highlighting the issues due to humans in the loop, both as patients and as healthcare providers. The use case of mechanical ventilation is focused, while at the same time highlighting important open research questions. _x000D_
(+) The sub-area of validation of closed-loop control systems with respect to safety properties brings out important intellectual challenges, which are proposed to be solved in this project. _x000D_
(+) The proposed modeling techniques are promising. They balance mathematical simplicity, physiological accuracy, and clinical interpretability._x000D_
_x000D_
Weaknesses:_x000D_
(-) The safety analysis task, which is critical to the success of any solution in the medical CPS domain, needs to be spelled out in greater technical depth. Further, this needs to be connected better to the adaptive control part of the proposal. _x000D_
(-) The testbed discussion should be made more convincing by providing relevant details about patient recruitment and hardware and software execution environments. _x000D_
(-) The research tasks are split up a little too finely. It would have been better to discuss the inter-relationships among the tasks and the sub-tasks and how one can be used to build up to another._x000D_
(-) On the topic of modeling, it would be better to also consider the factors of sensory overload and fatigue for the operator. Further, the proposal should address the potential to incorporate machine learning in adapting the models. Appropriate modeling of the patient is central to the success of the project, yet is not addressed satisfactorily. _x000D_
_x000D_
BROADER IMPACTS (including Postdoc Mentoring Plan and Data Management Plan):_x000D_
_x000D_
Strengths:_x000D_
(+) Success in the project could tremendously improve medical care where mechanical ventilation is required, and improve survivability of patients and quality of life for clinicians. However, the path to achieving that impact has not been made clear. _x000D_
(+) There is the possibility of industrial partnerships with medical device producers and the team has a track record of such interactions. Successful results may also be transferable to other human-in-the-loop medical CPS and even to other domains that must deal with highly coupled systems, such as automotive._x000D_
_x000D_
Weaknesses:_x000D_
(-) The panel would have liked to see more detail in the plan to achieve broader impact that considers where this project ends up in 5 years toward realizing the vision specifically for ventilation weaning, and more generally for human-in-the-loop control of medical CPSs. Also more details should be provided for the intermediate steps toward achieving that end goal. _x000D_
(-) The proposal's likelihood of success would be higher if it described sharing and dissemination models that are likely to lend themselves to adoption and rapid tech transition. _x000D_
(-) Some potentially important broader impacts items were not budgeted for, such as, the roadshow for medical CPS/IoT._x000D_
_x000D_
SOLICITATION-SPECIFIC REVIEW CRITERIA_x000D_
_x000D_
Contribution to CPS Vision:_x000D_
The project contributes to the CPS vision of enabling human-in-the-loop medical treatments, while meeting safety specifications. _x000D_
_x000D_
Collaboration Plan (for more than one investigator - not just multiple institutions)_x000D_
The team is well qualified and team members have complementary expertise. _x000D_
_x000D_
Evaluation &amp; Validation:_x000D_
The testbed-based evaluation plan could have been more detailed and innovative. _x000D_
_x000D_
Team &amp; Project Management:_x000D_
There is a logical split of the tasks and each task has multiple participants._x000D_
_x000D_
Transition to Practice Option (only if applicable)_x000D_
N/A_x000D_
_x000D_
Data Management Plan _x000D_
The data management plan is adequate. _x000D_
_x000D_
Post-Doc Mentoring Plan (if applicable)_x000D_
The post-doc mentoring plan is adequate. _x000D_
_x000D_
Suggestions for improvement:_x000D_
The proposal would have been improved by greater attention to the technical tasks of operator modeling and testbed-based evaluation. _x000D_
_x000D_
PANEL RECOMMENDATION:_x000D_
_x000D_
The panel classified this proposal as "Competitive".  The main reason for the enthusiasm of the panel is the potentially transformative effect of enabling human-in-the-loop operation of mechanical ventilators. The main reason for the concern of the panel is lack of convincing technical details in software assurance and safety cases, and modeling of human operators. Another high level concern is with respect to the intermediate milestones, and their relationship to achieving the long-term vision of reducing morbidity. _x000D_
_x000D_
All members of the panel have read this panel summary and concur that it accurately reflects the panel's discussion of the proposal. 
</t>
  </si>
  <si>
    <t xml:space="preserve">In the context of the five review elements, please _x000D_
evaluate the strengths and weaknesses of the proposal with respect to intellectual merit._x000D_
_x000D_
INTELLECTUAL MERIT_x000D_
_x000D_
PROPOSAL OBJECTIVES AND APPROACH_x000D_
_x000D_
The goal is to develop techniques for design and analysis of closed (via a human) loop medical CPS with focus on mechanical ventilators, their operation and weaning (correctly reducing the ventilator's support of patient's breathing) processes.  It is proposed to develop models of patients' physiology that combine first principles modeling with data driven techniques, to develop models of human operator interaction with the automated system, to design closed loop systems with human in the loop which allow for robust/adaptive operation and of personalization of control algorithms, and to perform safety analysis. There will be an illustrative case study where the theoretical results are implemented and a pilot study on real patients. The proposal is innovative and very well written. _x000D_
_x000D_
Contribution to CPS vision:_x000D_
_x000D_
+Successful completion of the proposed research will contribute significantly to the modeling and control design with adaptation in CPS.   _x000D_
+In addition, the medical device application is very appealing. _x000D_
+It is proposed to develop physiological modeling techniques balancing mathematical simplicity, physiological accuracy and clinical interpretability._x000D_
+It is proposed to develop methodologies for data driven modeling of human automation interaction in safety critical CPS._x000D_
+It is proposed to develop safe data driven control techniques that are adaptive with individualized control capability._x000D_
+It is proposed to perform rigorous safety analysis of highly variable systems with human operators and data driven controllers._x000D_
- The sheer size of the project with all the proposed tasks may be an overreach. _x000D_
_x000D_
Team and Project Management:_x000D_
_x000D_
+ The proposing team of PIs is very strong with experience in both medical devices and CPS. _x000D_
+ The interaction of the different investigators is well described. _x000D_
_x000D_
Validation:_x000D_
_x000D_
+There is a well described plan for validation.  _x000D_
+An extensive case study involving real patients and medical personnel focusing on mechanical ventilation and weaning the patient is proposed. Very well thought through_x000D_
+Plans for sharing results are adequate_x000D_
_x000D_
Scope and Goals:_x000D_
_x000D_
The scope is very worthwhile. _x000D_
_x000D_
-The concern is not whether the scale of the proposed research requires a Frontier project funding - which it does ûbut whether all the proposed significant goals will be able to be accomplished. _x000D_
_x000D_
-The project appears to be a listing of very significant problems in medical devices, human in the loop modeling and control, CPS with real patient clinical study added. The range of promises is too broad. Perhaps the authors are planning to submit variations of this proposal to other funding agencies as well to obtain additional funding? _x000D_
_x000D_
_x000D_
_x000D_
In the context of the five review elements, please _x000D_
evaluate the strengths and weaknesses of the proposal with respect to broader impacts._x000D_
_x000D_
BROADER IMPACTS_x000D_
_x000D_
+There will be Broader Impacts on both medicine and CPS. In CPS, primarily because of the design approach that uses individualized models for control._x000D_
_x000D_
_x000D_
Please evaluate the strengths and _x000D_
weaknesses of the proposal with respect to any additional solicitation-specific review criteria, if _x000D_
applicable_x000D_
_x000D_
Education and Outreach Plan:_x000D_
_x000D_
+The education and outreach plans are very good._x000D_
_x000D_
_x000D_
Summary Statement_x000D_
_x000D_
This is a very interesting proposal focusing on a particular class of medical devices, the mechanical ventilator. The PIs are very good at proposal writing in addition to proposing good problems to be addressed and suggesting solutions to be used._x000D_
_x000D_
It is proposed to develop models of patients' physiology, of human operator interaction with the automated system, on the design closed loop systems with human in the loop which allow for robust/adaptive operation and of personalization of control algorithms. Safety analysis is performed and a real patient and medical personnel extensive study is proposed. The proposal is very strong but it may be too ambitious._x000D_
_x000D_
_x000D_
</t>
  </si>
  <si>
    <t xml:space="preserve">In the context of the five review elements, please _x000D_
evaluate the strengths and weaknesses of the proposal with respect to intellectual merit._x000D_
_x000D_
Summary:_x000D_
The proposed project has the goal of creating data-driven, context-aware, human-in-the-loop control for medical CPS. Specifically, it seeks to achieve this in the use case of mechanical ventilation. It develops the discussion around 4 research thrusts:_x000D_
1. Modeling of patient physiology_x000D_
2. Modeling of human-automation interaction_x000D_
3. Formal design of closed-loop systems with humans in the loop_x000D_
4. Safety analysis_x000D_
_x000D_
Positives and negatives:_x000D_
(+) The use case is focused, while at the same time throwing important open research questions._x000D_
(+) The proposal does a good job of highlighting the issues due to humans in the loop, both as patients and as care providers. It also provides pragmatic solution approaches to most of the issues. For example, it tackles the issue that the physiological models may be only partly accurate due to the difficulty of collecting data at a fine granularity._x000D_
(+) The proposed work builds well on a lot of preliminary work done by members of the team. The PI and some other members in the team have received a lot of support from NSF, broadly on the topic of medical CPS._x000D_
_x000D_
(-) A general deficiency is that the tasks have been split up a little too fine and so there are unnecessary intermediate steps proposed. For example, III.1 and III.2. As a result, the technical depth of the discussion of the solution approach is not thoroughly satisfying at times.  For example, some off-hand claim about functionality from PAIN modeling is made ("An important advantage of this approach is that PAIN can predict important clinical events impacting patient safety,") and solution built on that but that claim is not substantiated._x000D_
(-) I found the safety analysis task description lacking in parts. It seemed unclear how stringent safety properties would be verified, especially in view of the diversity in model types, as mentioned in the proposal. Specifically in task IV.1, the devil lies in the details, which were not spelled out. How do you combine the level 1 result(s)? How do you obtain the parameters of the actual system (P, O, C, D) to do the verification?_x000D_
(-) For the testbed discussion, details of patient recruitment, the baseline devices, the development and execution (software) environment were missing. These are important to validate the feasibility of the proposed plan._x000D_
(-) It is good that a simulation-based evaluation is attempted first, before the pilot patient study. But it needs to be discussed what is the fidelity of the simulation and how does the loss of fidelity affect the various control loop decisions being made in the MCPS. _x000D_
_x000D_
Contribution to CPS vision:_x000D_
The proposed work contributes to the CPS vision by creating a pathway for safe operation of medical devices (in this case, the ventilator)._x000D_
_x000D_
Team and Project Management:_x000D_
The team is well qualified and very well funded through previous and current grants on the topic. There is a logical split of the tasks and each task has multiple participants._x000D_
_x000D_
Validation:_x000D_
The validation description is somewhat weak. It is not described adequately how the validation in the small patient pilot will affect the overall area of CPS. It is also not described how the simulator will be used initially. The theme of models for different classes of users is not carried through in the validation section. _x000D_
_x000D_
Scope and Goals:_x000D_
The scope and goals are clearly laid out in the proposal. However, the degree of integration of the pieces of the different participants in the testbed leaves something to be desired. This could be made stronger by showing a path for the different pieces to be integrated and incorporated into the testbed. For example, how does the inaccuracy in the user modeling affect the closed loop control._x000D_
_x000D_
In the context of the five review elements, please _x000D_
evaluate the strengths and weaknesses of the proposal with respect to broader impacts._x000D_
_x000D_
(+) If successful, the project will positively impact the vast numbers of patients as well as caregivers, the former by increasing their quality of life and the latter by removing the drudgery of constant monitoring and adjustment._x000D_
(+) There are relevant CPS classes in all the participating universities._x000D_
_x000D_
(-) I did not see as much evidence of documented artifacts from the prior large CPS grants. For example, the grant "Assuring the Safety, Security and Reliability of Medical Device Cyber Physical Systems," with 4 of the current PIs did not seem to produce any educational module, programming assignment, etc. Where is the link to the artifacts that came out of this project ($4.9M according to NSF site, $2.85M mentioned here)? This document referred to here [160] is from 2010 while the project started in 2010. There is no github but a UPenn-local gitlab, which needs account setup to access._x000D_
(-) The Roadshow for Medical CPS/IoT seems like a good idea, but I believe there is no budget allocated for this leading me to question about the seriousness of the proposers about this activity._x000D_
(-) What I thought is a great avenue for broader impact was mentioned at the very end. "Finally, the results of this project will be shared with the Food and Drug Administration (FDA) and other companies interested in closed-loop MCPS." But this discussion is not carried forward. This can have the singlest biggest broader impact on the project._x000D_
_x000D_
Please evaluate the strengths and _x000D_
weaknesses of the proposal with respect to any additional solicitation-specific review criteria, if _x000D_
applicable_x000D_
_x000D_
Education and Outreach Plan:_x000D_
I did not find this compelling - most of it was boiler plate material. Also, there was no talk of expanding the offerings beyond the involved institutions. There is a reasonable plan for recruiting women and minorities into the project. _x000D_
_x000D_
_x000D_
Summary Statement_x000D_
_x000D_
I liked the goals of the proposal and many of the technical areas of work. I was unimpressed by the lack of preliminary results for some of the tasks, the shortness of the writing for some of the goals, and lack of specifics of the software/hardware. The proposal team is strong and capable of executing the project._x000D_
_x000D_
</t>
  </si>
  <si>
    <t xml:space="preserve">In the context of the five review elements, please _x000D_
evaluate the strengths and weaknesses of the proposal with respect to intellectual merit._x000D_
_x000D_
The proposed project is to improve closed-loop medical cyber-physical systems by adding human-in-the-loop control, with a focus on the clinical scenario of mechanical ventilation weaning. The team is taking a multi-pronged approach to address several challenges. They plan holistic development of techniques to model patient physiology, system operators (human clinicians), data-driven controller design, and safety analysis._x000D_
_x000D_
Strengths_x000D_
+ Important problem and identified an excellent proof-of-concept clinical scenario with which to develop new human-guided control methodologies._x000D_
+ Proposal develops core system science needed for complex, high-confidence CPSs. The validation approach to phase in usage with "clinician as actuator" is particularly clever, where the system makes suggestions but does not directly control any medical instrumentation._x000D_
+ Takes a 2-pronged approach to tackling the challenge of physiological modeling._x000D_
+ Project goals contribute to the CPS program vision in the context of a complex and fraught medical procedure (ventilation weaning), with tremendous potential for the core system science to generalize to other complex medical treatments that would benefit with human-in-the-loop control, as would numerous machine learning applications._x000D_
+ Proposed roles, responsibilities, and demonstrated expertise of the team members seem satisfactory._x000D_
+ Team's strengths and collaboration plan appear adequate._x000D_
_x000D_
Weaknesses_x000D_
- Would have liked to see more detail for "Operator Modeling" - in particular for doctors/nurses working the complex hospital environment, they must attend to many other tasks. Presumably if "human in the loop" CPSs become successful, humans will need to pay attention to even more devices that may compete for attention. Sensory overload or alarm fatigue in hospitals is a serious patient safety concern, and it seems that it should be taken into account._x000D_
_x000D_
_x000D_
In the context of the five review elements, please _x000D_
evaluate the strengths and weaknesses of the proposal with respect to broader impacts._x000D_
_x000D_
Strengths_x000D_
+ Project success could revolutionize medical care, improve clinician work habits, and save lives._x000D_
+ Excellent, detailed education and outreach plan, including significant and sustained efforts to develop CPS education._x000D_
+ Postdoc Mentoring and Data Management Plans are suitable, though surprising the group is still using a SVN repository (Unclear what is preventing uniform migration to widely adopted Git)._x000D_
_x000D_
Weaknesses_x000D_
- No real innovation in dissemination plans for research products: standard publications, data sharing via CPS-V0 website._x000D_
_x000D_
_x000D_
Please evaluate the strengths and _x000D_
weaknesses of the proposal with respect to any additional solicitation-specific review criteria, if _x000D_
applicable_x000D_
_x000D_
Strengths_x000D_
+ Very strong team-wide track record and proposed plans for promoting CPS education and development, especially among under-represented groups._x000D_
+ Several proposed opportunities for undergraduate summer participation_x000D_
+ Younger students reached through Duke Talent Identification Program (Grades 4-6)._x000D_
_x000D_
_x000D_
Summary Statement_x000D_
_x000D_
The principal reasons for my rating of "Very Good/Good" are the 1) strong intellectual merit of the project, particularly the significance of the problem, diverse multi-pronged technical approaches proposed by the team and 2) very impressive education and outreach efforts from the entire team._x000D_
_x000D_
</t>
  </si>
  <si>
    <t xml:space="preserve">In the context of the five review elements, please _x000D_
evaluate the strengths and weaknesses of the proposal with respect to intellectual merit._x000D_
_x000D_
This proposal is for research to take on fundamental challenges in closed loop Medical Cyber-Physical systems (MCPS).  The focus is on closed loop medical devices, operating cooperatively in situations like emergency care, where high variability and limited observability exist across patient physiology, device control, and caregiver skill and interaction.  This work is part of a long-term vision for next-generation hospital systems that are connected, semi-automated, and cooperative._x000D_
_x000D_
STRENGTHS_x000D_
+The work proposed would bring innovative, creative, advances the field of CPS to confront time-varying, partial modeling under coupled dynamics.  _x000D_
_x000D_
+The multi-university proposal is from the University of Pennsylvania, the University of Maryland, University of Virginia and Duke University.   Members of the strong research team are leaders in control and software safety and certification.  _x000D_
_x000D_
+The validation application raises major intellectual challenges that will drive the theoretical work towards methods that are at once assured, real-time, and adaptive._x000D_
_x000D_
Scope and Goals:_x000D_
+Although on first reading the scope seemed too narrowly-focused for a Frontier project, the work proposed would bring together (and ground much more deeply) the device assurance aspects of the problem with the dynamics and control aspects of device and system design. The context is complex physiological coupling of biological systems with each other and with devices, plus the effects human operator action, _x000D_
_x000D_
+The proposed research will directly address time-varying models with data-driven learning methods, but do this in the context of assurance and control.  The problem of abstracting interacting subsystems would be guided by sensitivity of variables.  Abstraction by lumping parameters is challenging because of the need for human interpretation of the current state.  A "partial" approach is planned that would flexibly and adaptively consider combinations of variables.  _x000D_
_x000D_
+This project takes on an increasingly important problem at the nexus of topic areas:  the widespread deployment of popular AI and learning methods may occur without sufficient attention to contexts and issues for their suitability (e.g., safety).  Introducing learning technology in the context of control and assurance will open a new dimension of CPS research, and the time is right for Frontier-scale efforts to help frame the problems._x000D_
_x000D_
WEAKNESSES:_x000D_
-The proposal is not detailed on how the bottom up approach from learned dynamics and the top-down view from first principles would be considered in tandem._x000D_
_x000D_
-A clearer statement would have been welcome of the relationships and interactions planned on issues that span the research tasks, with more discussion of how personnel beneficially overlap in those tasks._x000D_
_x000D_
_x000D_
In the context of the five review elements, please _x000D_
evaluate the strengths and weaknesses of the proposal with respect to broader impacts._x000D_
_x000D_
+The focus on individualized and adaptive (over static, class-based) models is an important direction in medical care._x000D_
_x000D_
+Ventilation weaning is a medically very important problem and representative of other medical challenges.  The joint involvement of pulmonary, cardiological, and neurological function (and overall coupling with physiological state such as fluid balance) presents an extremely challenging and dynamic problem for control and assurance.  _x000D_
_x000D_
+Industrial partnerships with medical device producers are mentioned, and the PI has a track record of such interactions. _x000D_
Successful results will also have transferability to many other industries that must deal with highly coupled systems.  (Automotive systems are mentioned.)  _x000D_
_x000D_
+Results will be disseminated through the CPS virtual organization. The PI has a track record of organizing workshops on MCPS within the CPS program context._x000D_
_x000D_
-Because of the public investment involved, a Frontier project should accept a greater-than-usual obligation for education and outreach within and outside of the CPS community.  For example, workshops and working groups could be convened to explore future CPS research and educational opportunities.  Though this group already collaborates widely, the project will have greater impact if it actively advances all of CPS._x000D_
_x000D_
_x000D_
Please evaluate the strengths and _x000D_
weaknesses of the proposal with respect to any additional solicitation-specific review criteria, if _x000D_
applicable_x000D_
_x000D_
Education and Outreach Plan:_x000D_
Postdoc mentoring plan:  postdocs will participate in all research activites and will join the faculty advisors in co-mentoring graduate students. They will help prepare new teaching materials based on the research._x000D_
+Courses are being developed in CPS and safety, with plans to share them widely as they become stable._x000D_
+The organizer of the Penn Emerging Scholars Program participates in the project team._x000D_
+A summer school will be held after the second year, targeted for undergraduates and masters students._x000D_
_x000D_
_x000D_
_x000D_
_x000D_
Summary Statement_x000D_
_x000D_
Because of the strong innovative and integrative intellectual merit of the project, as well as the importance of medical systems topics and opportunity for broad societal impact, I rate this proposal as E/V._x000D_
_x000D_
</t>
  </si>
  <si>
    <t>The proposal seeks to address fundamental challenges in providing closed-loop automation for medical cyber-physical systems (MCPS), collections of interconnected medical devices coordinated to treat a patient in a specific clinical scenario.  Such closed-loop MCPS have the potential to revolutionize the hospital of the future where clinicians and networks of smart and connected, semiautonomous, next-generation medical systems coordinate with human providers to deliver safer, more reliable patient care at lower cost and with greater precision. However, development of safe and effective closed-loop MCPS faces a number of formidable obstacles that have prevented their acceptance beyond the very constrained contexts, such as cardiac implants.  These obstacles include a wide variability in patient physiology, limited observability of physiological processes, caregiver-automation interaction in the operation of MCPS, and closed-loop control of MCPS._x000D_
Overcoming these obstacles requires developing new techniques (involving advances in science, technology and engineering of cyber-physical systems) for the design and analysis of closed-loop systems that transcend existing approaches to physiological modeling, operator modeling, controller design, and safety analysis. Physiological models are needed that balance mathematical simplicity for control design against physiological accuracy and clinical explainability. At the same time, principled modeling techniques taking account of caregiver-automation interactions are required. Finally, existing control design methods are not ideal in handling the combination of extreme variability, limited observability and actuation, and nonlinearity in plant models  (\ie models of human physiology) and supervisory control (\ie operators) inherent in closed-loop MCPS. Design techniques that can provide adaptability to and robustness against uncertainties associated with the patient physiology and operator behavior are needed. The project will study a specific clinical scenario of critical importance in hospital ICUs, namely mechanical ventilation weaning, although developed techniques will be applicable to other MCPS and CPS beyond the medical domain._x000D_
Close collaboration between engineers and domain experts in clinical scenarios and human factors is required for the success of the project.  The interdisciplinary team for the proposed project, with proven record of close collaboration, has the essential expertise to tackle the proposed modeling and control design challenges for the selected clinical scenario._x000D_
_x000D_
Keywords: Medical CPS, closed-loop control, human-in-the-loop system, personalized treatment, safety analysis.The proposal aims to develop a set of new techniques that enable the design and analysis of safe and effective closed-loop MCPS.  The key technical approaches rely on data-driven development of physiological models, operator models, and control algorithms, as well as novel methods for the detection of clinically relevant events and tuning of control actions.  Novel safety analysis techniques for data-driven control algorithms will assure the safety of closed-loop MCPS, which helps securing regulatory approval and acceptance of future MCPS by the clinical community.  Theoretical contributions to the science and technology of cyber-physical systems will be evaluated using case studies of a safety-critical clinical scenario employing a combination of actual and simulated patient data.  Case study results, along with the data and medical device testbed, will be made available to the research community and help further MCPS research.Closed-loop control of mechanical ventilator operation and weaning, a common safety-critical clinical scenario, will lead to better outcomes for millions of patients, ease the burden on clinicians, and potentially reduce healthcare costs.  Novel techniques for closed-loop MCPS will lead to similar improvements in other clinical scenarios, as well as beyond medicine in other CPS areas.  Educational efforts and outreach activities will increase the awareness of careers in the MCPS area and help attract women and under-represented minorities to the field.</t>
  </si>
  <si>
    <t>1739710</t>
  </si>
  <si>
    <t>Mankoff</t>
  </si>
  <si>
    <t xml:space="preserve"> Panel Summary       
 SYNOPSIS OF PROPOSAL OBJECTIVES AND APPROACH:_x000D_
The team proposes to automate CPS physical design with a focus in the application of creating assistive technologies (ATs). The vision is to create a design environment for computational optimization of function (COF) that can assemble mechanical objects from libraries of components and parametrically abstracted illustrative examples. The design environment is intended to empower disabled persons and caregivers to prototype and iteratively optimize tailor-made ATs by lowering current technical barriers._x000D_
_x000D_
_x000D_
INTELLECTUAL MERIT:_x000D_
Strengths:_x000D_
+ Assistive technology design is an interesting application domain._x000D_
+ The specific sub-goals could produce useful knowledge or outcomes._x000D_
_x000D_
Weaknesses:_x000D_
- The proposal focuses on geometry and motion without capturing other important aspects of the problem, including physics, physiology, ergonomics, and cyber-physical integration._x000D_
- The literature survey for the proposed scenarios was incomplete with respect to the proposed application domain. There is a body of work in assistive technologies that are relevant but not discussed. More detail is provided in reviews._x000D_
- The project seemed unlikely to succeed in addressing the fundamental challenges of creating customized ATs by moving beyond geometry and motion to focus on the interplay between the device physics and user physiology. _x000D_
- The panel expressed concerns about the proposed validation process, especially the timing and balance of team involvement versus closing the loop by bringing in patients and caregiver users early on, leaving practical considerations (e.g., the size, weight and ergonomics of each device) and risks to adoption (e.g., risk of injury from poorly designed ATs)._x000D_
- The budget was high relative to the expected payoff and contribution to CPS vision._x000D_
_x000D_
_x000D_
BROADER IMPACTS (including Postdoc Mentoring Plan and Data Management Plan):_x000D_
Strengths:_x000D_
+ ATs for orphan disabilities are an important problem and would have a positive societal impact if solved._x000D_
Weaknesses:_x000D_
- The types of ATs that would emerge from the project would not have significant cyber capability._x000D_
- As written, the education plan seems to simply tweak ongoing work, rather than look at new fresh approaches._x000D_
_x000D_
SOLICITATION-SPECIFIC REVIEW CRITERIA:_x000D_
Contribution to CPS Vision:_x000D_
- The limited focus and weak cyber-physical linkage offers little potential to contribute to CPS vision._x000D_
_x000D_
Collaboration Plan_x000D_
+ The bulk of the team is at CMU and works closely together with frequent face-to-face meetings. _x000D_
+ The proposed collaboration and frequent meetings with Pitt is an important aspect of the project._x000D_
- The budget for Pitt seems low relative to the significant benefit that the Pitt team members bring to the program._x000D_
_x000D_
Evaluation &amp; Validation:_x000D_
- The validation plan insufficiently emphasized bringing in actual patients and users early on. _x000D_
- The proposal omitted practical evaluation criteria such as weight, and how the devices feel in practice._x000D_
_x000D_
Team &amp; Project Management:_x000D_
+ The team has diverse skills and is qualified for the specific tasks they proposed._x000D_
_x000D_
Transition to Practice Option (only if applicable)_x000D_
* N/A_x000D_
_x000D_
Data Management Plan_x000D_
- The data management plan was adequate._x000D_
_x000D_
Post-Doc Mentoring Plan_x000D_
- The postdoc mentoring plan was adequate._x000D_
_x000D_
Suggestions for improvement:_x000D_
+ The proposal should focus on the creation and integration of fully cyber-physical objects._x000D_
_x000D_
_x000D_
PANEL RECOMMENDATION:_x000D_
The panel agreed that developing new assistive technologies (ATs) for orphan disabilities is a worthy goal. However, the panel classified this proposal as "Not Competitive". The main reason for this was the lack of relevance to CPS and unlikely potential to advance the field of CPS._x000D_
_x000D_
All members of the panel have read this panel summary and concur that it accurately reflects the panel's discussion of the proposal. 
</t>
  </si>
  <si>
    <t xml:space="preserve">In the context of the five review elements, please _x000D_
evaluate the strengths and weaknesses of the proposal with respect to intellectual merit._x000D_
_x000D_
PROPOSAL OBJECTIVES AND APPROACH_x000D_
_x000D_
This proposal aims at democratizing the design of CPS to broaden its application space and increase the set of people empowered to create and use CPS. Specifically, the PIs propose to develop data-driven, semi-autonomous tools to create physical objects to improve people's lives. The underlying idea is to derive approximate solutions through iterative optimization algorithms with a goal to co-design mechanism and control software, thus capturing important features of a CPS._x000D_
_x000D_
_x000D_
Strengths:_x000D_
_x000D_
(+) The application domain is very interesting._x000D_
_x000D_
(+) There is sufficient resources to carry out the proposed activities._x000D_
_x000D_
_x000D_
Weaknesses:_x000D_
_x000D_
(-) There is a lack of the literature survey and many of the proposed tasks do not appear to be particularly novel as they have been looked at extensively in other application domains. The PIs should describe how these previous efforts compare with the proposed ones and how the proposal addresses challenges and problems that are unique to their application domain. See for example the following related works:_x000D_
_x000D_
1. Gerard Canal, Guillem Alenya, Carme Torras, "Personalization Framework for Adaptive Robotic Feeding Assistance" International Conference on Social Robotics  (ICSR) 2016: Social Robotics pp 22-31._x000D_
_x000D_
2. Alessio Colombo, Daniele Fontanelli, Axel Legay, Luigi Palopoli and Sean Sedwards, "Efficient customisable dynamic motion planning for assistive robots in complex human environments" Journal of Ambient Intelligence and Smart Environments._x000D_
_x000D_
3. Mingming Guo, Ping Shi, Hongliu Yu, "Development a Feeding Assistive Robot for Eating Assist" 2nd Asia-Pacific Conference on Intelligent Robot Systems, 2017._x000D_
_x000D_
4. Paolo Bevilacqua, Marco Frego, Enrico Bertolazzi, Daniele Fontanelli, Luigi Palopoli, Francesco Biral," Path Planning maximising Human Comfort for Assistive Robots," IEEE Conference on Control Applications, 2016._x000D_
_x000D_
_x000D_
(-) There is a lack of the clear focus of the project vision. Some of the examples and figures are not clear and does to convey the PIs' message._x000D_
_x000D_
(-) The proposal does not describe convincingly the approach that will be taken to democratize CPS applications. For example, it sounds that the example of eating soup is simply a trajectory planning for the robot and it is not clear how the trajectory is planned based on the need of the human in need that has no knowledge of the trajectory planning. _x000D_
_x000D_
(-) Some of the tasks are not detailed and the approaches that will be taken to achieve the task are not clear. For instance, the PIs mentioned that "We propose to incorporate this insight with deep learning methods to obtain accurate, robust and generalizable reconstructions of a variety of object categories." and "We believe that these relationships can be learned through recent advances in deep learning [Krizhevsky 2012]." But there is no details how these challenging task will be performed using deep learning. _x000D_
_x000D_
- It sounds like the proposed approach highly relies on the developed PI's dictionary to match the objects and perform tasks. But, it is not clear how this dictionary will help to perform tasks that has not been considered before. _x000D_
_x000D_
_x000D_
Contribution to CPS vision:_x000D_
_x000D_
The proposal seems to meet the goals of the CPS program._x000D_
_x000D_
However, it is not obvious how the proposed research can be generalized to other tasks than assistive technology._x000D_
_x000D_
_x000D_
Team and Project Management:_x000D_
_x000D_
(+) The team has a diverse set of skills for considering this problem and the PIs are qualified to conduct the proposed activities._x000D_
_x000D_
Validation:_x000D_
_x000D_
The validation plan is good as regards to the success of the proposed research effort, if it can be achieved._x000D_
_x000D_
_x000D_
_x000D_
In the context of the five review elements, please _x000D_
evaluate the strengths and weaknesses of the proposal with respect to broader impacts._x000D_
_x000D_
(+) If successful, the potential of this project to enhance people's life is huge. _x000D_
_x000D_
_x000D_
(-) The proposal lacks a review of the related work to better clarify their innovative concepts compared to the other work. _x000D_
_x000D_
(-) The proposal briefly explains how the research outcome will be generalized, but it is not obvious to the reviewer._x000D_
_x000D_
_x000D_
_x000D_
_x000D_
Please evaluate the strengths and _x000D_
weaknesses of the proposal with respect to any additional solicitation-specific review criteria, if _x000D_
applicable_x000D_
_x000D_
Education plan and outreach plan is weak. No novel approach is proposed._x000D_
_x000D_
_x000D_
_x000D_
Summary Statement_x000D_
_x000D_
If successful, the proposal could enhance the life of people in need. However, it is not clear what approaches needs to be undertaken to achieve the proposed goal. Indeed, the proposal fails to make a strong case due to the weaknesses mentioned above. These considerations led to my "Fair" rating of this proposal._x000D_
_x000D_
</t>
  </si>
  <si>
    <t xml:space="preserve">In the context of the five review elements, please _x000D_
evaluate the strengths and weaknesses of the proposal with respect to intellectual merit._x000D_
_x000D_
The proposed project is to democratize cyberphysical design of assistive technologies, such as custom prosthetics and feeding robots. The idea is to create digital recordings of healthy individuals performing unassisted tasks with various classes of tools, and then develop software to automatically extract useful geometric and motion data from these recordings. The resulting library of 3D models and motion trajectories will be made publicly available. Recognizing that the recorded, hand-curated dataset is a small subset of possible AT-related objects and motions, the team aims to parametrically generalize key object properties so that a new instance of a tool motion can be mapped to its appropriate general class. Finally, computer-aided design tools would be built to enable non-expert users to rapidly and iteratively prototype, fabricate, and test custom AT tools._x000D_
_x000D_
Strengths_x000D_
+ Ambitious proposal, innovative vision_x000D_
+ Some individual sub-aims will produce high-value products, even if entire concept is not realized (recording &amp; object abstraction tools, model &amp; motion databases)_x000D_
+ Good idea to rely on consumer hardware (e.g., smartphone cameras)_x000D_
_x000D_
Weaknesses_x000D_
- Complicated workflow with many sophisticated components makes the project seem risky. In particular, the proposal may have been strengthened by more discussion of technical risks for particularly challenging tasks, e.g., reliably matching edge cases of user-generated object mechanics &amp; motion trajectories against the "virtual" database of demonstrated movements. Are there alternative approaches, or are each of these "all or nothing" components._x000D_
- Possible risk that the completed system may work for specific curated examples, but fail to accommodate novel or "outlier" behaviors. (3.b - What if it is challenging to completely abstract patient physiology, object geometry, and actions over time?)_x000D_
- Unclear how realistic that CPS design can be sufficiently automated for non-expert creation. Perhaps more feasible to target a smaller population with advanced skills (engineering students), in collaboration with non-experts?_x000D_
_x000D_
In the context of the five review elements, please _x000D_
evaluate the strengths and weaknesses of the proposal with respect to broader impacts._x000D_
_x000D_
Strengths_x000D_
+ The proposal makes a convincing case that millions of individuals in the world would benefit from individually customized AT._x000D_
+ The concepts in the proposal are refreshingly creative and original. Fantastic opportunity to tap into the potential of relatively new consumer-grade "maker" products such as 3D printers and other fabrication equipment available at hacker workspaces._x000D_
+ Data Management Plan is suitable._x000D_
+ Large numbers of individuals are reached through education and training activities._x000D_
_x000D_
_x000D_
_x000D_
Please evaluate the strengths and _x000D_
weaknesses of the proposal with respect to any additional solicitation-specific review criteria, if _x000D_
applicable_x000D_
_x000D_
Strengths_x000D_
+ Direct, hands-on educational activities are expansive and far reaching in terms of number of students/participants trained per year._x000D_
+ The domain of interest (assistive technologies or ATs) could have a dramatic impact in expanding the CPS community into persons with disabilities, by empowering those individuals to design and fabricate personally customized ATs._x000D_
_x000D_
Weaknesses_x000D_
- Couldn't find any mention of outreach or education efforts specifically aimed to address under-represented women, minorities, or persons with disabilities in CPS science. This is a major shortcoming of the proposal._x000D_
_x000D_
_x000D_
Summary Statement_x000D_
_x000D_
The principal reasons for my rating of Good/Fair were 1) a very positive response to an interesting and innovative vision that could positively impact the daily lives of large numbers of people, that was tempered by 2) concerns about the complexity and size of the project relative to what might be achieved more directly without abstracting so many aspects of the workflow and 3) lack of ideas to address under-representation of women, minorities, and persons with disabilities in CPS._x000D_
_x000D_
</t>
  </si>
  <si>
    <t xml:space="preserve">In the context of the five review elements, please _x000D_
evaluate the strengths and weaknesses of the proposal with respect to intellectual merit._x000D_
_x000D_
PROPOSAL OBJECTIVES AND APPROACH_x000D_
_x000D_
This proposal is for research to automate CPS physical design, using a combination of selection and fabrication (inkjet printing), and assembly for combinations of mechanical components into optimized CPS to achieve particular mechanical functions.   The ultimate objective, Computational Optimization of Function (COF) is a design environment that can assemble mechanical objects from libraries of components, examples illustrating functional and usage requirements, specifications for printing and assembling components.  The design cycle depends heavily on simulation, with fabrication by printing used in a late stage after model-based validation of the design by simulation.   The libraries used would contain design descriptions for stock components, examples of desired functions of the CPS being designed, and parametric printer designs for fabricating prototypical components. _x000D_
_x000D_
STRENGTHS:_x000D_
+If the proposal had been to synthesize, fabricate, and integrate fully cyber-physical objects, it would be making progress in one of the CPS program's expected opportunities.  _x000D_
_x000D_
WEAKNESSES:_x000D_
-The proposal's focus is on the physical composition of objects, and appears to take mostly a geometric and mechanical view.  _x000D_
_x000D_
-In particular, any active cyber (information, computation, and control) aspects of the built components are neglected in this discussion.  The proposal is silent on whether the designed/assembled components can themselves be fully cyber-physical, and (if so) how the behaviors, control designs, and hardware/software implementations of components would be integrated during the design and assembly process for more complex components or applications.  _x000D_
_x000D_
-As is, the proposal seems to envision merely tailored parts and rudimentary assemblies that could be applied in robotics generally, together with a design decision optimization space (or at least a workbench) for incorporating these simple components into assistive technologies._x000D_
_x000D_
-Innovations of the kind sought in the design environment have been developed commercially and in university research settings (e.g. the DARPA META program). The possible innovation here would be in the discovery of optimized devices by devising (inventing and fabricating) components to satisfy needed functionality.  _x000D_
_x000D_
Contribution to CPS vision:  _x000D_
A successful project would yield technology for rapid manufacturing of parts in the laboratory setting, which may enable CPS technology users (CPS builders) by accelerating production._x000D_
_x000D_
Team and Project Management:_x000D_
The team comprises CMU researchers with expertise in Human-Computer Interaction, Assistive Technolgies (the target application area), vision, robotics, mechanical engineering. A subcontract would support a clinical rehabilitation technologist's role at the University of Pittsburgh._x000D_
_x000D_
Concept validation at CMU will be primarily with simulation. Validation with AT End-Users would only involve the researchers at  the University of Pittsburgh's Dept. of Rehabilitation Science and Technology.  _x000D_
_x000D_
Scope and Goals:_x000D_
The project scope and goals are not of sufficiently ambitious scale or scientific diversity as most CPS Frontier efforts.  It seems better-suited to a CPS Medium project._x000D_
_x000D_
In the context of the five review elements, please _x000D_
evaluate the strengths and weaknesses of the proposal with respect to broader impacts._x000D_
_x000D_
Strengths:_x000D_
Assistive technologies are an important to society in many aspects of health and wellness.  _x000D_
_x000D_
Weaknesses:_x000D_
-Opportunities were missed because of the limited vision for the project; the types of AT that might be expected to emerge apparently would not have significant CPS capability.  _x000D_
- The data management approach is routine; it appears to intend little, if any, extra effort to inject project data or technology back into the CPS community._x000D_
_x000D_
_x000D_
Please evaluate the strengths and _x000D_
weaknesses of the proposal with respect to any additional solicitation-specific review criteria, if _x000D_
applicable_x000D_
_x000D_
-The CPS education plan is essentially missing.  Education appears to focus on training Veterans to use AT.  The activity is indicated only under the tasks assigned to Mary Goldberg at the U. of Pittsburgh.  _x000D_
-There appears to be no role for CMU researchers in the assistive technology validation for actual users.  (RST holds the human subjects IRB approvals.)_x000D_
- Postdoc monitoring plans are standard._x000D_
_x000D_
_x000D_
Summary Statement_x000D_
_x000D_
Because of missed opportunities and weak cyber-physical linkage in the technical focus, this proposal is rated as Fair._x000D_
_x000D_
</t>
  </si>
  <si>
    <t xml:space="preserve">In the context of the five review elements, please _x000D_
evaluate the strengths and weaknesses of the proposal with respect to intellectual merit._x000D_
_x000D_
._x000D_
_x000D_
In the context of the five review elements, please _x000D_
evaluate the strengths and weaknesses of the proposal with respect to broader impacts._x000D_
_x000D_
._x000D_
_x000D_
Please evaluate the strengths and _x000D_
weaknesses of the proposal with respect to any additional solicitation-specific review criteria, if _x000D_
applicable_x000D_
_x000D_
._x000D_
_x000D_
Summary Statement_x000D_
_x000D_
._x000D_
_x000D_
</t>
  </si>
  <si>
    <t>CPS: Frontier: Collaborative Research: Revolutionizing Cyberphysical Design with Semi-Autonomous, Data-Driven Optimization Techniques _x000D_
_x000D_
PI / Lead Institution: Jennifer Mankoff / Carnegie Mellon University_x000D_
_x000D_
Cyberphysical systems combine real-time computational and physical action in the world to great effect. However, today's design tools for cyberphysical systems require extensive expertise. The ability to democratize the design of CPS could broaden the application space for CPS and increase the set of people empowered to create and use CPS. Current tools for constructing cyberphysical systems have complex interfaces and provide a small amount of support for analysis and simulation (for testing the physical properties of designs). Increased application of computational methods, such as optimization, and decreased expertise requirements, can revolutionize CPS design and make it suitable for rapid iterative design by non-experts. Such designs can more easily adapt to new environments and tasks (such as manipulating a new type of tool), benefit from new materials (such as lightweight, small complaint mechanisms), and improve lives (by supporting the creation of custom assistive technology). _x000D_
_x000D_
Our work will advance the understanding of and power of technology for cyber-physical systems (Target area II.A.2), in the domain of manufacturing, specifically conceiving of new products. Target area / keywords: Technology for Cyber-Physical Systems / manufacturing, design, computer vision, optimization, visualization, 3D printing.Intellectual Merit: The overarching goal of our work is to develop next-generation tools that make possible for the general public to create physical objects that improve their lives, as well as the lives of others. Our work will shift cyberphysical design from a largely manual to a semi-autonomous, data-driven process. Our process will start with real-world demonstrations of example solutions, followed by iteration with optimization-driven generative co-design of both mechanism and control software. Our work has four parts: (A.) We draw insights from video demonstrations of target behaviors. (B.) We search for approximate solutions in a library of examples (C.) We draw on optimization algorithms to generate designs that capture the intricate ways in which the features of a CPS affect its functionality. (D.) We use semi-autonomous iteration with user input to refine solutions.Broader Impact: Our approach democratizes access to CPS in the same way that consumer-grade 3D printers have democratized access to manufacturing. Our work will allow everyday people to create functional objects instead of simple trinkets. Even more importantly, our work will enable the manufacture of solutions for people who need functional, custom Assistive Technology (AT) -- namely individuals with upper-limb motor impairments. As many as one in four Americans need AT, at some point in their lives, for themselves or a loved one. Advances in this domain, which is the testbed for our work, and an area of expertise among our PIs, also provides a social good beyond the research advances themselves. _x000D_
_x000D_
This work will also create a novel and highly relevant database of CAD models and associated video examples of objects in use, all annotated with high fidelity ground truth data. Our tools and algorithms will be disseminated both through publication and through the CPS-VO.org website. _x000D_
_x000D_
Finally, we have also proposed substantial outreach and educational activities.</t>
  </si>
  <si>
    <t>1739733</t>
  </si>
  <si>
    <t>Sztipanovits</t>
  </si>
  <si>
    <t xml:space="preserve"> Panel Summary       
 SYNOPSIS OF PROPOSAL OBJECTIVES AND APPROACH:_x000D_
_x000D_
The project aims to develop theory and methods for establishing confidence in the use of learning-enabled components in CPS through ideas and guidance from model-based design techniques. The three main components of the proposed effort focus on design-time techniques, run-time techniques and developing assurance cases. _x000D_
_x000D_
INTELLECTUAL MERIT:_x000D_
_x000D_
Strengths:_x000D_
+ The topic of the proposal is timely. _x000D_
+ The general structure of the effort and its partitioning into three main thrusts are suitable. _x000D_
_x000D_
Weaknesses:_x000D_
- The proposal is very sparse in the development of new ideas._x000D_
- The panel expressed concern that some of the technical ideas lack clarity, e.g., in the parts on inference of assurance arguments. _x000D_
- The panel perceived a disconnect between integration of humans into learning loops and the rest of the proposal._x000D_
_x000D_
_x000D_
BROADER IMPACTS:_x000D_
_x000D_
The proposal body lacks a section with a title "Broader Impacts". (https://www.nsf.gov/pubs/policydocs/pappg17_1/pappg_2.jsp#IIC2)_x000D_
_x000D_
Strengths:_x000D_
+ If successful, the results have the potential to be broadly applicable in a range of CPS that integrate learning components. _x000D_
+ The postdoc mentoring plan and the data management plan are suitable._x000D_
_x000D_
Weaknesses:_x000D_
- The prior support section lacks the details of the prior support for at least one of the PIs. _x000D_
_x000D_
SOLICITATION-SPECIFIC REVIEW CRITERIA_x000D_
_x000D_
Contribution to CPS Vision: The proposal is aligned with the CPS vision. It considers integration of learning(-enabled) components into CPS while establishing assurance in the composed system. The challenges the proposal identifies are relevant to CPS._x000D_
_x000D_
If there was a way to succeed with the presented research plan, the results would be applied across several domains. On the other hand, the proposed solutions are at best questionable, and the panel felt like the research plan would not succeed._x000D_
_x000D_
Collaboration Plan: The collaboration plan is adequate. _x000D_
_x000D_
Evaluation &amp; Validation: _x000D_
_x000D_
The proposal describes interesting case studies, yet lacks a clear experimental protocol and evaluation metrics. _x000D_
_x000D_
Team &amp; Project Management: _x000D_
_x000D_
The team is composed of successful researchers with a history of joint projects. On the other hand, it lacks potentially relevant expertise, e.g., on formal methods._x000D_
_x000D_
Transition to Practice Option: N/A_x000D_
_x000D_
Data Management Plan: _x000D_
_x000D_
The plan is adequate. _x000D_
_x000D_
Post-Doc Mentoring Plan: _x000D_
_x000D_
The plan is adequate. _x000D_
_x000D_
Suggestions for improvement: _x000D_
_x000D_
The proposal writing should be improved for compliance (to NSF regulations), clarity and coherence in the research plan. _x000D_
_x000D_
PANEL RECOMMENDATION:_x000D_
_x000D_
The panel classified this proposal as Low Competitive. The main reasons for this are: Lack of a coherent research plan, sparse development of the intellectual content and lack of some of the essential components of a compliant proposal._x000D_
_x000D_
All members of the panel have read this panel summary and concur that it accurately reflects the panel's discussion of the proposal. 
</t>
  </si>
  <si>
    <t xml:space="preserve">In the context of the five review elements, please _x000D_
evaluate the strengths and weaknesses of the proposal with respect to intellectual merit._x000D_
_x000D_
Summary:_x000D_
The project proposes to build CPS with safety properties, even though the CPS can learn and change its behavior at runtime. It seeks to do this developing initial models which will be progressively refined as new data becomes available during the operation._x000D_
_x000D_
Positives and negatives:_x000D_
(+) The team has done prior work in relevant parts of the problem space._x000D_
(+) The problem is timely - machine learning is making systems adaptive and such systems are going to be used in safety-critical scenarios. Therefore, we need techniques to ensure the safety of adaptive systems. _x000D_
_x000D_
(-) The proposal was very disjointed and unfocused. It sprays concepts all over the place without building on the concept that has just been introduced. For each of the research focus areas, it starts off with a high-level problem statement, then asks some detailed questions which are at best tangentially related to the high-level statement. Then it goes into solution approaches but spraying prior work and proposed work one or two sentences each with little connection from one idea to the next. At the end of reading that research focus area, I am often clueless how the potpourri set of ideas will solve the high-level problem statement. I give one of many concrete examples below:_x000D_
In Sec. 2.1.2, the detailed problems do not get at the core of the higher-level problem of this focus area - how to guarantee that the system behaves in a predictive manner even when it is learning. Then, when the solution ideas are introduced, there is no strong connection to these questions. For example, there is a meandering discussion of ease of verifying constraints and difficulty of identifying a dynamical system model._x000D_
_x000D_
(-) Fundamentally, this proposal lacks a focus. Partially as a result of this, the solution ideas are not presented at a satisfying level of technical depth. For example, in the second focus area, it is presented how safe learning algorithms will be designed - this is a key aspect of the proposed work. But it is not mentioned at all how a nominal system will be created? How do we know that is a good starting point? How are we learning more? Are we guiding the learning? If so, will inaccuracy in the learning throw off this approach? _x000D_
_x000D_
I do not expect convincing answers to all these questions - this is proposed work after all - but I like to see acknowledgment of at least a subset of the open problems. _x000D_
_x000D_
(-) The human cognitive modeling part suffers from the same problem. There are too broad domains attempted. The proposal talks of robots to UAVs. What is the kind of mental model for the operator that will fit all these domains? _x000D_
_x000D_
Contribution to CPS vision:_x000D_
If the tremendous variety of loosely connected ideas could ever be put together into a cohesive whole, then the CPS vision of a safe system that learns and adapts itself during online operation can be achieved. _x000D_
_x000D_
Team and Project Management:_x000D_
The team is strong. The project management is reasonably well fleshed out with task breakdowns and owners and participants in each task._x000D_
_x000D_
Validation:_x000D_
There are some validation measures presented as success criteria in the table in Sec. 2.5.4. However, these are rather high level and not convincing. There is poor connection between experimental research plans and the research focus areas discussed earlier. It is not clear how the success or failure of the algorithms developed in the earlier 4 focus areas will be evaluated on these experimental platforms. _x000D_
_x000D_
Scope and Goals:_x000D_
The scope is far too broad and diffuse and consequently the goals are not fleshed out well._x000D_
_x000D_
In the context of the five review elements, please _x000D_
evaluate the strengths and weaknesses of the proposal with respect to broader impacts._x000D_
_x000D_
There is no explicit broader impact mentioned in the project description! This is a strange misstep for such an experienced team._x000D_
_x000D_
Generously, the section titled "Dissemination of project results as an Active Resource" could be construed as broader impact. But here also, the novel ideas, such as the design studio idea, are not well fleshed out. For example, what will be the components of the design studio? How will the team be responsive to needs of diverse teams of users? What level of plug-and-play of different software modules will be supported?_x000D_
_x000D_
In terms of broader impact from prior funded projects, PI had a CPS Large from 2010-16 worth $4.95M. Its broader impact is mentioned as open source code repositories accessible through CPS-VO. _x000D_
I could not find them by looking under cps-vo.org for about 15 minutes. I found bunch of posters and talk abstracts, but no code repositories. Why not give specific URLs if you want to highlight this broader impact?_x000D_
_x000D_
_x000D_
Please evaluate the strengths and _x000D_
weaknesses of the proposal with respect to any additional solicitation-specific review criteria, if _x000D_
applicable_x000D_
_x000D_
From the solicitation:_x000D_
"all Frontier proposals will be evaluated on the strength of their Collaboration Plans. All Frontier proposals will also be evaluated on the strength of their Education and Outreach Plans."_x000D_
_x000D_
The collaboration plan was adequate._x000D_
_x000D_
I was initially excited by the mention of the student competition in the outreach plan. However, as I read on, it read like boiler plate material about student competitions and CPS-VO providing a good infrastructure for hosting such competitions. Project-specific details about what the competition will entail are missing. _x000D_
_x000D_
The outreach aspect of design camps for high school girls is welcome. There are some novel ideas there, plus it leverages infrastructure already available at Berkeley. _x000D_
_x000D_
_x000D_
_x000D_
Summary Statement_x000D_
_x000D_
The project seeks to build safe CPS where the CPS will evolve as it learns from new data during online operation. I find the major weaknesses of the proposal are its lack of focus which contributes to a kitchen sink of ideas and the lack of a coherent plan of action for addressing the technical challenges. The proposal lacks an explicit broader impacts section. _x000D_
_x000D_
_x000D_
</t>
  </si>
  <si>
    <t xml:space="preserve">In the context of the five review elements, please _x000D_
evaluate the strengths and weaknesses of the proposal with respect to intellectual merit._x000D_
_x000D_
PROPOSAL OBJECTIVES AND APPROACH_x000D_
_x000D_
This proposal aims at designing highly confident, reliable and safe cyber-physical systems in the presence different sources of uncertainties and changes.  _x000D_
_x000D_
_x000D_
Strengths:_x000D_
_x000D_
+ The PIs have targeted an important area of research in CPS: designing highly confident and adaptive CPSs. _x000D_
_x000D_
+ The research plan is detailed and clearly envisioned and the challenges are clearly addressed. The PIs demonstrate a clear knowledge of control of cyber-physical systems._x000D_
_x000D_
+ This proposed research has potential to improve CPS reliability and safety, which will directly impact the public as users interact with Cyber Physical Systems on increasing basis._x000D_
_x000D_
- Some of the challenges that are mentioned in the proposal have been previously addressed and the PIs should compare their proposed approach with them in terms of innovation. See the following two comments for example._x000D_
_x000D_
- In "operation time learning and adaptation" subsection, the PIs stated that "a key feature to introduce progressive learning networks which do not forget what they have learned". The idea of "lifelong learning" (called by PIs progressive learning) and avoiding "catastrophic forgetting" in machine learning addresses the same challenges and significant results have been reported in this area. An agent-based method is proposed by the PIs. But, it is not clear what the agent is who this approach will contribute to progressive leaning (of lifelong learning) compared to existing work._x000D_
_x000D_
- In "safe learning during operation" subsection, the PIs stated that reinforcement learning for robotic applications face the challenge of constraint satisfactions. However, safe reinforcement learning algorithms are developed by defining the reward function based on whether the system satisfies desired specifications (specified by temporal logic) or not. Moreover, reinforcement learning algorithm combined by robust techniques such as mu-synthesis are developed to assure safety during learning. The PIs should compare their proposed approach with these existing methods._x000D_
_x000D_
- In a CPS under significant uncertainties and changes (due to a change in the mission or attacks), the desired safety specifications might change over time. It is not clear whether the proposed approach is limited to the case for which the specifications are fixed or adaptive._x000D_
_x000D_
- Section 2.1.1 presents some prior work of the PS and does not present novel approaches need to be taken to tackle new challenges for uncertain and changing CPS. _x000D_
_x000D_
_x000D_
Contribution to CPS vision:_x000D_
_x000D_
The proposed approach can be employed in variety of disciplines from heath applications, power grids, to robotics. _x000D_
_x000D_
Team and Project Management:_x000D_
_x000D_
Validation:_x000D_
_x000D_
The validation plan is good and important to the success of this research effort. Two different applications are elaborated.  _x000D_
_x000D_
_x000D_
_x000D_
In the context of the five review elements, please _x000D_
evaluate the strengths and weaknesses of the proposal with respect to broader impacts._x000D_
_x000D_
-  The proposal lacks review of the related work to better clarify their innovative concepts compared to the other work. _x000D_
_x000D_
+ The proposal clearly explains how the research outcome will be generalized._x000D_
_x000D_
Please evaluate the strengths and _x000D_
weaknesses of the proposal with respect to any additional solicitation-specific review criteria, if _x000D_
applicable_x000D_
_x000D_
+ The PIs promised to develop course to cover CPS and adaptive and learning systems. The PIs have a strong background on different aspects of CPS and students can benefit a lot from what they offer._x000D_
_x000D_
- However, given that one of the PIs has launched a master program on CPS, just creating another course on adaptive and learning system in CPS may not be so innovative given adaptive and learning systems courses are offered in many standard curricula EE, CS and Systems Engineering. _x000D_
_x000D_
+ The Data Management Plan is adequate._x000D_
_x000D_
+ The Project Coordination Plan is described in well._x000D_
_x000D_
_x000D_
_x000D_
Summary Statement_x000D_
_x000D_
This is a good proposal and, if successful, it can make future CPS more reliable, safe and robust. However, the proposal also suffers from many weaknesses as enumerated above. This is the rational behind my rating of "Good"._x000D_
_x000D_
_x000D_
</t>
  </si>
  <si>
    <t xml:space="preserve">In the context of the five review elements, please _x000D_
evaluate the strengths and weaknesses of the proposal with respect to intellectual merit._x000D_
_x000D_
Summary:_x000D_
_x000D_
This proposal is for research toards assurance and principled composition methods for learning-enabled sensing and control design methods that employ learning technology in system characterization.  A stated aim of the work is to clarify the relationship between traditional system identification methods and learning-based system modeling and control.  _x000D_
_x000D_
The work is organized into five principal tasks: (1) Design-time verification, synthesis, and testing with learning-enabled components (LECs); (2) operation time learning and adaptation; (3) assured system operation; (4) Integrating learning enabled CPS components into model-based CPS design flows and tool architectures; (5) engineering and experimentation with Personal Air Vehicles and UAV traffic management.  _x000D_
_x000D_
STRENGTHS_x000D_
_x000D_
+The intellectual focus is on high-confidence methods including the production of assurance cases.  _x000D_
_x000D_
+The approach to be taken builds on the team's expertise in stochastic hybrid systems, passivity-based composition, probabilistic temporal logics, reachable set analysis, and abstraction via projection; it would also incorporate recent ideas such as bounded learning, barrier certificates for hybrid control, passivity-based system composition and assurance argumentation, and safety controllers.  _x000D_
_x000D_
+The aim is learning-enabled control that trades off speed/convergence, model quality, assured bounded behavior, and the effort (and time available) to acquire rich data.   _x000D_
_x000D_
+The proposal acknowledges need to rapidly detect and handle violations of specifications.  _x000D_
_x000D_
+The vision includes active/dynamic learning with switching between control modes, dubbed dual control._x000D_
_x000D_
+The project seeks progress at the nexus of learning and control: e.g., modeling of uncertainty and time variance, strategic substitution between discrete and continuous methods to tackle complexity. _x000D_
_x000D_
+The compositional viewpoint that pervades the research (e.g., in "stitched" reachability analysis, application of passivisation techniques in construction, and composable assurance reasoning) illustrates further opportunities for this new science and understanding._x000D_
_x000D_
+The two university teams have a long track record of work together towards developing the related areas of control theory and modular design. _x000D_
_x000D_
+The areas proposed in the research seem likely to spur innovative research directions for the entire CPS community._x000D_
_x000D_
WEAKNESSES:_x000D_
_x000D_
-The research areas are indicated, but few concrete ideas are developed._x000D_
-The proposal does not identify which issues are extremely hard or how and why their approaches provide insights and have promise to yield practical solutions._x000D_
_x000D_
_x000D_
In the context of the five review elements, please _x000D_
evaluate the strengths and weaknesses of the proposal with respect to broader impacts._x000D_
_x000D_
STRENGTHS: _x000D_
+In the current quest for AI- and data-driven systems, technologies such as learning-based models, including deep learning, are being substituted at least in part for traditional mathematical off-line control design. This is taking place (often haphazard) in an increasing variety of automated systems, some safety critical. _x000D_
_x000D_
+The experimental focus on Personal Air Vehicles will have implications for connected vehicles in general transportation.  _x000D_
_x000D_
+The teams' research also is transforming curriculum and pushing computing and engineering topics earlier in the educational experience at both institutions.  At UC-Berkeley, this includes building on the popular Girls in Engineering (GIE) program._x000D_
_x000D_
+Opportunities exist in Tennessee's statewide K-12 modernization program that is underway, and continuation is planned of a large REU program with outreach to women (a component modeled on GiE), and to Hispanic, African American, and other groups underrepresented in the STEM fields._x000D_
_x000D_
+There are strong ties to industry, particularly through alumni of the Berkeley and Vanderbilt groups.  The Industrial Advisory Board  _x000D_
_x000D_
WEAKNESSES:_x000D_
_x000D_
-Ultimately the scientific impact of the work will be judged by the extent to which it can reposition research, education, and engineering approaches by influencing other researchers in the CPS field.  It would be commendable if a Frontiers project like this one would provide strong leadership by investing the effort to create a wider forum on this topic._x000D_
_x000D_
Please evaluate the strengths and _x000D_
weaknesses of the proposal with respect to any additional solicitation-specific review criteria, if _x000D_
applicable_x000D_
_x000D_
Education and Outreach Plan:_x000D_
+The plan for education and outreach (also discussed above) is exemplary in terms of NSF objectives.  '_x000D_
- Wider dissemination of educational strategies and materials should be attempted, given the scale of public investment requesed._x000D_
_x000D_
_x000D_
_x000D_
_x000D_
Summary Statement_x000D_
_x000D_
This proposal is rated positively for its vision, scope, and ambition for the new area of CPS progress it would initiate. However, the lack of specific new scientific appoaches makes it a V/G._x000D_
_x000D_
</t>
  </si>
  <si>
    <t>GJ0918686</t>
  </si>
  <si>
    <t>Topcu</t>
  </si>
  <si>
    <t>utopcu@utexas.edu</t>
  </si>
  <si>
    <t xml:space="preserve">In the context of the five review elements, please _x000D_
evaluate the strengths and weaknesses of the proposal with respect to intellectual merit._x000D_
_x000D_
INTELLECTUAL MERIT_x000D_
_x000D_
PROPOSAL OBJECTIVES AND APPROACH_x000D_
_x000D_
The project aims to establish confidence in the use of learning-enabled components in CPS through ideas and guidance from model-based design techniques. Three main components of the proposed effort focus on design-time techniques, run-time techniques and developing assurance cases. _x000D_
_x000D_
+ The topic of the proposal is timely. There is a clear need for work toward integrating learning artifacts into CPS more effectively and without jeopardizing the integrity of the systems. _x000D_
+ The splitting of the effort into design-time techniques, run-time techniques and assurance cases is sound. _x000D_
- On the other hand, the proposal is very sparse in new ideas, seems to repackage existing ideas (some of which had worked in their original context and some of which had only questionable success at first place) and some of the proposed innovation is potentially flawed. Next few bullets provide examples to these observations. _x000D_
- For example, there is no argument on why (model-based) reachability analysis is the right question to ask for a learning-enabled component. Yet, it is revisited multiple times in the proposal for different purposes. Some of its limitations are mentioned objectively. However, these limitations have been known for a long time. The proposal does not hint to any new breakthrough. The approach that is advocated is compositional reachability computation. Yet, what underlying structure will induce a useful decomposition is not discussed. Learning oftentimes figures out improved performance by introducing intertwined relations that is deliberately avoided by conventional model-based design. Then a natural question, not explicitly discussed by the proposal, is whether compositional analysis is suitable at the first place. _x000D_
- Similar to the previous bullet, stochastic hybrid systems are put forward for multiple purposes. While it is hard to find a system that cannot be captured by a stochastic hybrid system model, it is also hard to find useful results and tools to analyze such models. Where is the magic in the proposed work?_x000D_
- At multiple places, constructs, such as Gaussian processes, show up in the proposal. While such constructs have been successful in pure learning settings, there is no evidence, known to this reviewer or explained in the proposal, that such constructs are necessarily amenable provable safety guarantees (or will ever be). _x000D_
- The human connection, even though it may be a fine topic by itself in a purely learning context, is quite a bit of a stretch. The proposal does not clarify what the roles for and impact of humans in the proposed formalism are. The proposal was set on that evolution of a system due learning was a challenge at first place but then makes connections, relatively superficially, to co-evolution of a human and a learning system that interact. That part of the proposal just loses focus._x000D_
+ The assurance case topic is increasingly important for the integration of learning artifacts into broader context of CPS.  _x000D_
- On the other hand, dynamic assurance argumentation based on run-time inference of the properties to be monitored is flawed. Didn't the proposal begin with the concern of establishing confidence in the operation of a learning artifact integrated into a larger system? Who is then going to establish confidence in this inference for adapting assurance arguments? _x000D_
+ Interpreting the challenge in the perspective of a tool architecture will eventually become useful._x000D_
_x000D_
_x000D_
_x000D_
_x000D_
_x000D_
Contribution to CPS vision:_x000D_
_x000D_
The proposal is aligned with the CPS vision. It considers integration of learning into CPS while establishing assurance in the composed system. The challenges the proposal identifies are relevant. On the other hand, the solutions (and maybe even the problem statements) are at best questionable. Given the lack of specificity in the description of the technical work, the proposed work is general (with the benefit of the doubt). If there is a way to succeed with the presented research plan, then the results would be applied across several domains. _x000D_
_x000D_
_x000D_
_x000D_
Team and Project Management:_x000D_
_x000D_
The team is composed of successful researchers. Within their respective institutions, they collaborate. Across the institutions, there seem to be connections and joint projects. On the other hand, this reviewer cannot find a joint research product across the institutions reported in the proposal, e.g., as a joint publication, despite the history of joint projects. The clear benefit of the multi-institution structure is unclear. _x000D_
_x000D_
The presentation of the timeline and management structure is clear. _x000D_
_x000D_
The results from the prior NSF support misses some of the PI's prior support._x000D_
_x000D_
_x000D_
Validation:_x000D_
_x000D_
The proposal presents several relatively interesting examples on which the proposed work will be validated. Systems of the scale of examples discussed in the proposal will clearly integrate learning (and perhaps all other enabling factors of CPS). On the other hand, there is no clear experimentation plan or discussion of metrics that will be used to witness progression in the validation results._x000D_
_x000D_
_x000D_
Scope and Goals:_x000D_
_x000D_
The proposal identifies the existing challenges relatively well. There is no clear indication that the proposed research cannot be performed by multiple smaller teams. Pockets of the proposed effort are interesting and sound (as discussed above). It may be a good idea to isolate those pieces for smaller projects. _x000D_
_x000D_
_x000D_
_x000D_
_x000D_
_x000D_
In the context of the five review elements, please _x000D_
evaluate the strengths and weaknesses of the proposal with respect to broader impacts._x000D_
_x000D_
BROADER IMPACTS_x000D_
_x000D_
+ If successful, the results have the potential to be broadly applicable in a range of CPS to integrate learning components. _x000D_
+ The postdoc mentoring plan is appropriate. _x000D_
+ The data management plan is appropriate. _x000D_
+ The plans for disseminating the results and the institutional resources that support the plan are convincing. _x000D_
_x000D_
_x000D_
_x000D_
Please evaluate the strengths and _x000D_
weaknesses of the proposal with respect to any additional solicitation-specific review criteria, if _x000D_
applicable_x000D_
_x000D_
SOLICITATION-SPECIFIC REVIEW CRITERIA_x000D_
_x000D_
Education and Outreach Plan:_x000D_
_x000D_
The proposal offers a thorough plan for education and outreach activities. These activities are at every relevant level from K12 to new masters programs. While the extensiveness of the presented plan is to a level at which its feasibility (even for a Frontier level effort) becomes questionable. On the other hand, it perhaps reflects on the institutional resources that will be leveraged by the proposers well. Overall, the plan is adequate and convincing. _x000D_
_x000D_
_x000D_
_x000D_
_x000D_
Transition to Practice Option:_x000D_
N/A_x000D_
_x000D_
_x000D_
_x000D_
Summary Statement_x000D_
_x000D_
The proposal focuses on a relevant challenge with a weak research plan. _x000D_
_x000D_
_x000D_
</t>
  </si>
  <si>
    <t>CPS: Frontier: Collaborative Research: Design of High Confidence Learning and Adaptive Systems for CPS (HiCLAS-CPS); Janos Sztipanovits, Vanderbilt University. The CPS Frontier project will develop foundational theory and integrated design flows and tool architectures for High Confidence Learning and Adaptive CPS Systems (HiCLAS-CPS). The results will demonstrate and validate our vision for integrating model-based design frameworks with learning-based technologies, and transform the way we engineer HiCLAS-CPS. Inspired by the emerging new foundations and driven by the appearance of new industrial platforms such as IoT, Industrial Internet, and Fog Computing architectures, CPS increasingly extend to societal-scale systems from transportation and energy to water and food supply. These systems are complex, include learning-enabled CPS components and require high confidence in providing dependable, safe and secure services. In the midst of this rapid progress, we are beginning to see tensions developing from a lack of provably correct algorithms and high assurance design methods for safety critical and societal scale CPS with learning-enabled components. The debate about the licensing of self-driving cars on roads, UAVs on aerial highways, and the threats of litigation against self-driving features of automobiles are all indications of the build-up of societal strains about the adoption of these new technologies. The hypothesis is that the required and uncompromised performance as well as safety and security guarantees for this new generation of systems can be achieved only by understanding how to fuse the best results of model-based CPS design with learning-based systems. Keywords: high-confidence design, learning and adaptation, assurance, design automation, collaborative learning, human-CPSThe proposed project will address the following challenges: (1) Provably correct design of CPS with learning-enabled components (LEC). We will develop methods to show that behavior is safe, bounded, well-characterized, and can be integrated with open CPS architectures. We will establish connections between learning (including deep learning) and adaptive identification in control systems.  (2) Mixed initiative human - machine operation and collaborative learning. We will use machine learning, augmented reality interfaces, and human-machine collaborative learning to allow humans to interact with automation in a predictable way that optimizes the system utility. Our goal is to develop guarantees for autonomous systems to ensure that they safely interact with humans through a shared world view. (3) Integrating learning enabled CPS components in model-based CPS design flows and tool architectures. We believe that critical safety and security properties can be guaranteed by introducing and complying with architectural constraints that are enforced by tool automation. (4) Evidence-based assurance argumentation methods. We will extend assurance argumentation logic so that they can be employed seamlessly from design time to operation time. (5) Experimental research to establish the applicability of the proposed methods. Since the overall research agenda is complex and multifaceted, we will conduct validation studies by utilizing coordinated physical and computational experiments that convincingly demonstrate the feasibility and power of the technical approach.It is difficult to overemphasize the broader impact of the project. AI and Machine Learning are all around us. Without high confidence about how these adaptive and learning systems interact with and amplify human actions, there is widespread fear of these methods. Part of the work is to demystify the operations of Learning and Adaptive Systems for humans interacting with automation in such diverse areas as driving, flying UAVs, robotic assistants in multiple domains including public health, transportation and civil infrastructures. In addition to the progress on the public health, contamination monitoring, and transportation experiments there will be extensive knowledge transfer to other critical infrastructures. Educational programs include new courses, and a new MEng track in HiCLAS-CPS. Outreach programs will include programs for middle-school and high school girls, building on our success with Girls in Engineering, and expand these programs to middle school and high school  students from under-represented or economically disadvantaged circumstances. We will establish new REU programs for URM undergraduates.</t>
  </si>
  <si>
    <t>1739782</t>
  </si>
  <si>
    <t>Akyildiz</t>
  </si>
  <si>
    <t xml:space="preserve"> Panel Summary       
 SYNOPSIS OF PROPOSAL OBJECTIVES AND APPROACH:_x000D_
_x000D_
The main objective of the proposed research effort is to develop a medical device that involves two essential components. The first is a reservoir of genetically-engineered bacteria to detect various signals in cells, tissue and organs; the second is a sensor capable of detecting changes in light in bacteria and conveying these signals to an external wearable device. With this device, certain diseases will be detected early. The overarching objective of the proposal is to develop the foundations of Internet of Bio-NanoThings. _x000D_
_x000D_
The approach divides the proposed research into the following areas: the development of the theoretical foundations, the biosensor bacteria, the read-out circuitry, devices for wireless power delivery, and miniature implants. The project also involves an experimental validation effort. _x000D_
_x000D_
The broader impacts include the potentially economic and societal impacts on early detection of diseases and the projects potential to pave the way for the development of the Internet of Bio-NanoThings. The broader impacts also include limited opportunities for education and outreach, including the education of a small number of graduate students. _x000D_
_x000D_
_x000D_
INTELLECTUAL MERIT:_x000D_
_x000D_
Strengths:_x000D_
+ The panel found that the project has a strong vision. The idea of reading out signals directly out of cells is perceived as innovative. More broadly, the internet of Bio-NanoThings has potential to advance medicine, and enable rapid detection of diseases, which may have immediate societal impact. _x000D_
_x000D_
Weaknesses:_x000D_
- The panel found that the scope of the project is too broad. Each of the individual areas (i.e., the development of the theoretical foundations, the development of the biosensor bacteria, the development of the read-out circuitry, the development of devices for wireless power delivery, and the development of a miniature implant) could be a large project on its own right. The broad scope may impact the deliverables in the project and risk successful completion of the project. _x000D_
- The panel found that the validation plan has weaknesses in evaluating the theoretical foundations. In particular, the connections between electrical engineering foundations on signal processing mentioned in the proposal do not connect well with the biology and experiments. _x000D_
- The panel discussed the various practical issues in implementing the proposed system. In particular, it may be difficult to ensure the bacteria in the system may cause diseases on their own as a result of an autoimmune response, the implant may be hard to integrate on human body, it may be hard to track different types of autoinducers in vitro and in vivo. The panel agreed these are important details that are not explained well in the proposal. For these reasons, the proposed concepts involving bacteria and implants may never materialize as viable technology. _x000D_
_x000D_
_x000D_
BROADER IMPACTS (including Postdoc Mentoring Plan and Data Management Plan):_x000D_
_x000D_
Strengths:_x000D_
+ The panel found that, if successful, the proposed application may have an immediate economic and societal impact, in early detection of diseases. _x000D_
_x000D_
Weaknesses:_x000D_
- The proposal lacks the "Education and Outreach Plan" and the "Collaboration Plan", which are required to be supplementary documents attached to the proposal and not a part of the 20-page technical proposal. The absence of these supplementary documents could have lead to the proposal being returned without review. _x000D_
- The panel found that education and outreach plan is weak, and fails to go beyond the standard curriculum development actions. For instance, it lacks the development of new courses that are enabled by the proposed research; it also lacks any effort to reach to traditionally underrepresented minorities. _x000D_
- Given the size of the project, the panel found that supporting only three graduate students is too few. The panel was concerned that the project is not educating the next generation of CPS scientists and engineers who would get their doctoral degrees in this area. _x000D_
_x000D_
_x000D_
SOLICITATION-SPECIFIC REVIEW CRITERIA_x000D_
_x000D_
Contribution to CPS Vision:_x000D_
- The panel agreed that the contribution to the CPS science or its utilization in this project is not strong. The project does not seem to develop or apply CPS science that has been developed through this program. _x000D_
_x000D_
Collaboration Plan (for more than one investigator - not just multiple institutions)_x000D_
+ The team is composed of individuals who are strong in their domain of expertise, including communications engineering, bioMEMS, bioelectronics, clinical medicine, oncology and microbiology. _x000D_
- The individual collaboration plan was missing from the proposal, although collaboration plan was added to the main technical proposal. _x000D_
_x000D_
Evaluation &amp; Validation:_x000D_
- The panel agreed that the validation plan focuses largely on the validation of biology, at the expense of leaving out validation of EE theory components of the research. _x000D_
_x000D_
Team &amp; Project Management: _x000D_
+ The panel found that the team is strong, and the PIs have made adequate plans for team management._x000D_
- The panel agreed that the PIs should have used an additional section to describe their collaboration plan and in this way put more detail into the technical proposal and the collaboration plan both. _x000D_
_x000D_
Transition to Practice Option (only if applicable)_x000D_
N/A_x000D_
_x000D_
Data Management Plan _x000D_
- Data management plan has some deficiencies. In particular, it is unclear what kinds of data could be generated (e.g., open-source software, etc.), as a successful Frontier project will generate more data and software code than research results and class lecture materials. _x000D_
_x000D_
Post-Doc Mentoring Plan (if applicable)_x000D_
+ The panel found the postdoc mentoring plan to be adequate. _x000D_
_x000D_
_x000D_
Suggestions for improvement:_x000D_
The PIs are encouraged to develop a research agenda that is integral to CPS science and engineering and provide arguments in their proposal how this connection is utilized. _x000D_
The panel encourages PIs to develop a collaboration plan and an education and outreach plan as separate sections of the proposal. The panel particularly encourages the PIs to develop innovative education and outreach plans that are supported by the proposed research. _x000D_
_x000D_
_x000D_
PANEL RECOMMENDATION:_x000D_
The panel classified this proposal as Non-Competitive. The main reasons for this are: Lack of an overarching basic research agenda to advance CPS research and lack of some of the essential components of a compliant proposal such as the education and outreach plan and a strong collaboration plan._x000D_
_x000D_
All members of the panel have read this panel summary and concur that it accurately reflects the panel's discussion of the proposal. 
</t>
  </si>
  <si>
    <t xml:space="preserve">In the context of the five review elements, please _x000D_
evaluate the strengths and weaknesses of the proposal with respect to intellectual merit._x000D_
_x000D_
Summary:_x000D_
The proposal involves the design of nano bio sensors and the related communication protocols for detecting infections in the human body. It integrates well the concepts of biological sensors, analog-to-digital conversion, and communication protocols to provide an integrated platform that can provide early detection of infections, such as for cystic fibrosis and cancer._x000D_
_x000D_
Positives and negatives:_x000D_
(+) The proposal is ambitious and high-risk, high-reward to me. If successful, it can make a large impact in early detection of infections, which in turn can prevent undesirable health complications._x000D_
(+) The project description is well structured around 5 thrusts. For each thrust, there is good understanding of the prior work and current state-of-the-art, including some where the team members are leaders. Then the solution is described well, including potential roadblocks and alternate solution approaches. I give some specific examples below:_x000D_
(a) Quorum sensing - the authors motivate well why this is a good signal for detecting bacteria concentrations. Then they discuss various possible solution approaches, the most promising ones, and finally how they will be realized in their Rimor platform._x000D_
(b) Readout circuit design - the requirements are laid out followed by good coverage of the quite extensive current work on low power readout circuit design. Then a reasonable choice for their platform is laid out._x000D_
_x000D_
(-) The proposal could do a better job of laying out what the prior funded NSF work achieved and what will be added in this proposed project. For example, it is mentioned that the MONACO project did some work on quorum sensing. It would have been good to understand what are the boundaries of the past and the proposed._x000D_
(-) Regarding the sensor, I got the impression that E.coli. is sought to be used (to detect the density of the bad P.A. bacteria). But it seems mind boggling that introducing E.coli. into the human body will be considered by anybody. Also in the evaluation plan, it is not clear how a controlled study will be done varying the concentration of the attacking bacteria or how the variability in the human patients (from whom blood will be collected) will be controlled. Both these pieces are important to validate the promise of the developed technology._x000D_
(-) The writing in the proposal left a lot to be desired. There were obvious signs of hasty proposal submission - "error! reference not found", misstructured words and sentences, wrong figure references. These however did not interfere significantly with my understanding of the proposal._x000D_
_x000D_
Contribution to CPS vision:_x000D_
The proposed project contributes to the CPS vision of developing miniature devices that have several modalities - can sense, can be implanted in the human body, can communicate to a hub outside the body. These are not isolated ideas, but are rather brought together in a cohesive manner to develop an integrated platform, PANACEA. _x000D_
_x000D_
Team and Project Management:_x000D_
The team is well qualified with leaders in their respective fields, plus members have complementary skills. The project plan is laid out simply but adequately on pages 19 and 20. _x000D_
_x000D_
Validation:_x000D_
The validation plan is adequate, though there are some holes._x000D_
(+) The validation plan has an in vitro as well as an in vivo component._x000D_
(-) The human patient recruitment, including clinicians who will provide the human blood samples, needs to be fleshed out in greater detail._x000D_
(-) How statistically valid experiments will be done needs to be discussed. _x000D_
_x000D_
Scope and Goals:_x000D_
The proposal addresses an important goal of one aspect of CPS - biosensing and communication. There is careful consideration of the clinical aspect (such as, putting biocompatible coating on the sensor and minimizing the energy required for the communication) and the project brings together multiple relevant technologies. This to me is a good example where the goals of the proposed Frontier project are unlikely to be achieved if it were to be split up into multiple Medium-scale projects. _x000D_
_x000D_
_x000D_
In the context of the five review elements, please _x000D_
evaluate the strengths and weaknesses of the proposal with respect to broader impacts._x000D_
_x000D_
(+) This project has vast potential for broader impacts---by allowing infections to be detected early, even at low concentration levels, and in a manner that can be generalized across patients, there is potential to improve the health outcomes for many diseases._x000D_
(+) The genetic engineering of bacteria can be evaluated and popularized through the famous iGEM competition, which aims to build genetically engineered biological systems with standard, interchangeable parts._x000D_
_x000D_
(-) There is a big missed opportunity in how the broader impacts is written now. The authors should explore tie-ups with medical schools/research hospitals to elevate the outreach aspect of the project._x000D_
(-) The education plan seems to be taking boilerplate material without any significant effort at specialization to this project. Thus course numbers or course content for educational impact are not mentioned. _x000D_
_x000D_
_x000D_
Please evaluate the strengths and _x000D_
weaknesses of the proposal with respect to any additional solicitation-specific review criteria, if _x000D_
applicable_x000D_
_x000D_
From the solicitation:_x000D_
"all Frontier proposals will be evaluated on the strength of their Collaboration Plans. All Frontier proposals will also be evaluated on the strength of their Education and Outreach Plans."_x000D_
_x000D_
The collaboration plan is solid. The PIs are geographically close by and have some prior track record of working together, nothing exceptional but quite adequate._x000D_
_x000D_
The education and outreach plan is short and lacks compelling details. See comments above under broader impacts section. _x000D_
_x000D_
_x000D_
Summary Statement_x000D_
_x000D_
The proposed project is ambitious but well grounded in current technology and prior work done by members of the team. It can have a high impact in clinical health diagnosis through early detection of infections. _x000D_
_x000D_
_x000D_
</t>
  </si>
  <si>
    <t xml:space="preserve">In the context of the five review elements, please _x000D_
evaluate the strengths and weaknesses of the proposal with respect to intellectual merit._x000D_
_x000D_
PROPOSAL OBJECTIVES AND APPROACH_x000D_
_x000D_
The project proposes to create a fundamental framework for the Internet of Bio-Nano Things (IoBNT) that includes the design and fabrication of wireless bio-inspired miniature devices integrated into human cells, tissues and organs, for early detection of infections. _x000D_
_x000D_
_x000D_
Strengths:_x000D_
_x000D_
+ The project is quite ambitious. The PIs propose end-to-end solutions for IoBNT. If successful, the project can make significant contributions to healthcare and diagnostic tools._x000D_
_x000D_
+ The project team comprises of experienced and well established PIs._x000D_
_x000D_
_x000D_
Weaknesses:_x000D_
_x000D_
The proposal raises several concerns as follows._x000D_
_x000D_
- The prior information theoretic models on molecular signaling and quorum sensing (QS) from the PIs were not properly validated through in vitro or in vivo experiments; only Monte Carlo simulations or numerical results were shown. Nor is a connection made between such information theoretic models and chemical kinetics which is a more traditional method of modeling such systems. The fundamental question is what are the system parameters of quorum sensing that need to be estimated? Are these parameters largely similar for different bacterial populations? _x000D_
_x000D_
- Considering three different types of autoinducers for the PA infections, do we expect patient specific variability in the modeling parameters? If so, how do we model such variations? _x000D_
_x000D_
- Can standard diffusion models properly model the propagation process in the more complicated in vitro or in vivo set-ups? Can the randomness in diffusion be properly quantified by the properties of interstitial fluid without considering structural models like compartmentalization or molecular crowding?_x000D_
_x000D_
- How will three different types of autoinducers be tracked in vitro and in vivo?  How does the receiver distinguish between the three different types of autoinducer molecules? This also plays a role in the MIMO MC models._x000D_
_x000D_
- What are the health implications of the generated electrical signals from the biosensors? Possible immune response aspects should also be considered for such biosensor implants for realistic results. _x000D_
_x000D_
- Are blood samples good enough for tissue level QS measurements?_x000D_
_x000D_
- The PIs proposes to design the system that will be stable, predictable and biocompatible. They will validate with in vitro and in vivo experiments in mice. How closely does this mimic human conditions and how are these results transferable to human infection detection conditions?_x000D_
_x000D_
Contribution to CPS Vision:_x000D_
_x000D_
The proposal presents a foundational IoBNT platform catering to CPS Science in terms of quorum sensing models, technology such as biosensor design and readout circuitry, and engineering such as wireless power delivery and development of a tiny implant._x000D_
_x000D_
Team and Project Management:_x000D_
_x000D_
The team of PIs is quite good and hav expertise in communications engineering, bioMEMS, bioelectronics, clinical medicine, oncology and microbiology._x000D_
_x000D_
The PIs have existing collaboration between the two institutions in close geographical proximity and the research tasks have been properly delineated. Possible bottlenecks and alternate strategies were not discussed though._x000D_
_x000D_
The requested budget is appropriate, however, the need for so many postdocs was not justified._x000D_
_x000D_
Validation:_x000D_
_x000D_
The proposed in vivo testbed comprises an approved mouse model for studying PA infections. However, it is not clear how each of the research tasks (theoretical models of QS, biosensor performance, readout circuitry performance, implant performance etc.) will be individually validated. Also important is the variability between different mice due to their immune system involvement._x000D_
_x000D_
There are no explicit plans for sharing the research results with the greater CPS community._x000D_
_x000D_
_x000D_
Scope and Goals:_x000D_
_x000D_
The proposal presents a broad scope and very ambitious goals to qualify the major investments of a Frontiers project; however, the individual research tasks have some limitations as mentioned above._x000D_
_x000D_
_x000D_
_x000D_
In the context of the five review elements, please _x000D_
evaluate the strengths and weaknesses of the proposal with respect to broader impacts._x000D_
_x000D_
The postdoc mentoring plan is appropriate._x000D_
_x000D_
The data management plan is too cursory; only a project website will be mentioned for dissemination without any details on maintenance, updates, backups or data preservation._x000D_
_x000D_
Only standard efforts were mentioned for dissemination, outreach and recruitment of women or underrepresented minorities. No explicit plans were presented for dissemination to the greater CPS community or to K-12 students. _x000D_
_x000D_
_x000D_
Please evaluate the strengths and _x000D_
weaknesses of the proposal with respect to any additional solicitation-specific review criteria, if _x000D_
applicable_x000D_
_x000D_
Education and Outreach Plan:_x000D_
_x000D_
The education module is quite weak and lacks development of new courses or proper integration of research outcomes to classroom projects. No CPS specific training or involvement is planned either._x000D_
_x000D_
_x000D_
Summary Statement_x000D_
_x000D_
The principal reasons for my rating of "Fair" are that the project does not provide credible insights on leveraging the quorum sensing mechanism for early detection of infections in human populations. The applicability of the proposed methods is currently limited to the simplistic mouse models and may not be easily transferable to create a properly functioning human diagnostic tool. The proposal is not well thought out for CPS Frontier scale._x000D_
_x000D_
</t>
  </si>
  <si>
    <t xml:space="preserve">In the context of the five review elements, please _x000D_
evaluate the strengths and weaknesses of the proposal with respect to intellectual merit._x000D_
_x000D_
The proposed project is to develop an implantable medical device that includes 1) a reservoir of bacteria that have been genetically engineered to serve as a transducer from chemical signals (i.e., biomedically relevant molecules circulating inside a patient) to optical signals (fluorescence or bioluminescence), 2) optical sensors capable of detecting changes in light emitted from the bacteria and converting to electrical signals, 3) integrated electronics to perform sensor data processing and wireless telemetry, and 4) external wearable controller._x000D_
_x000D_
Strengths_x000D_
+ Offers an interesting and creative vision for one possible future of medical care_x000D_
+ Identifies a critical and meritorious research aim of interfacing between biological and electronic systems_x000D_
+ Identifies several individual system components that work well for specific, limited tasks in controlled environments (e.g. bacteria can reliably convert chemical inputs to optical outputs)_x000D_
_x000D_
Weaknesses_x000D_
- Exceedingly large and complex scope. The proposal identifies seven "Challenges" to address (mathematical modeling, engineering microbial biosensors, physical readout devices, novel micro-electronics, energy harvesting &amp; telemetry, a novel implantable medical device, telecommunication protocols). Any one, or perhaps two, of these technical challenges seem appropriately difficult for a full-scale CPS Frontier project._x000D_
- Oversimplifies, understates, or glosses over many technical hurdles, especially the biology. Analogies such as "the control unit of the cell is its DNA encoding the protein structures" seem reminiscent of abstractions introduced by electrical engineers in the early days of the Synthetic Biology field, many of which turned out to be limited and non-scalable in practice. Just as in SynBio, building cyber-physical systems with living components that can operate symbiotically inside human patients is likely to require extensive basic research into both the microbial and human biology across multiple length scales, especially immunology and pharmacology, which are only mentioned peripherally in this proposal._x000D_
- While the application of early-stage detection of infections is highly important, the team does not address how their proposed implementation would outperform related research &amp; commercialization efforts. Related bio-sensing technologies are being  developed by startups such as T2Biosystems (from MIT) and Opsonix (from Harvard), or more generally, how favorably a hybrid microbial/electronic system would compare to technologies based on engineered immune cells, which already comprise a sophisticated built-in defense system against pathogens._x000D_
- Strong concerns about the technical feasibility of (indefinitely?) implanting a reservoir of engineered bacteria in a human patient. Is there convincing precedent that indicates this would be a benign and sustainable scenario? The "Rimor" sensing function requires semi-permeable membranes for chemical signals to reach the bacteria, which means that secretions from the bacteria could also re-enter the patient. Bacteria may produce lipopolysaccharides and other endotoxins which can generate potent immune responses, raising safety concerns._x000D_
- Fluorescent-based signaling markers can only be detected if their emission spectra do not overlap, typically limiting simultaneous measurements to just three unique species (or four, with FRET). It's unclear how the proposed sensing system would scale to detecting numerous analytes._x000D_
_x000D_
In the context of the five review elements, please _x000D_
evaluate the strengths and weaknesses of the proposal with respect to broader impacts._x000D_
_x000D_
Strengths_x000D_
+ Postdoctoral mentoring plan seems adequate._x000D_
_x000D_
Weaknesses_x000D_
- Dissemination plans are limited and vague. Stronger proposals included greater detail, more strategies, and more creative innovation beyond traditional routes of publication and classroom teaching. _x000D_
- Data management plan seems incomplete concerning what kinds of data could be generated (e.g., open-source software, etc.). Undoubtedly a successful Frontier project will generate more data and software code than research results and class lecture materials._x000D_
- Educational materials will only be distributed to local Georgia Tech students, with no plans to make the same materials available to the broader community._x000D_
_x000D_
Please evaluate the strengths and _x000D_
weaknesses of the proposal with respect to any additional solicitation-specific review criteria, if _x000D_
applicable_x000D_
_x000D_
Strengths_x000D_
+ The proposal does plan to integrate research outcomes into educational materials._x000D_
_x000D_
Weaknesses_x000D_
- The plan does not explain in detail how underrepresentation of women, minorities, and persons with disabilities will be addressed. A single unspecific bullet point to recruit "to the extent possible,_x000D_
through targeted advertising [to] student organizations" does not constitute a data-driven plan. Stronger proposals included multiple pages of past efforts and detailed, multifaceted approaches._x000D_
_x000D_
Summary Statement_x000D_
_x000D_
The principal reasons for my rating of Poor are 1) Serious deficiencies in Intellectual Merit in terms of scope and feasibility of the project, 2) Serious deficiencies in plans to disseminate the results of the proposed work, and 3) Lack of detailed plans or clear past effort to recruit under-represented groups to the CPS community._x000D_
_x000D_
</t>
  </si>
  <si>
    <t xml:space="preserve">In the context of the five review elements, please _x000D_
evaluate the strengths and weaknesses of the proposal with respect to intellectual merit._x000D_
_x000D_
INTELLECTUAL MERIT_x000D_
PROPOSAL OBJECTIVES AND APPROACH_x000D_
_x000D_
The main objective of the proposed project, called PANACEA, is to develop design and implementation methodologies for the Internet of Bio-NanoThings. The approach involves the development of RIMOR, a miniature electronic device that involves a genetically-engineered bacteria which can detect communication among cells in the human body and then pass this data to a wearable nonintrusive hub device that sits outside the host's body. In this way, RIMOR will help detect diseases early. _x000D_
+ The project is after potentially ground-breaking new experiments, involving genetically engineered bacteria detecting cell status and communicating back to a device. _x000D_
- The project promises to develop the foundations of Bio-NanoThings. However, the content of the proposal falls short of this overarching goal, and the result is a proposal with many engineering work and little room for science and extensions. Unfortunately, the proposed work risks being a proof-of-concept demonstration of a certain kind of the Internet of Bio-NanoThings, but fails to generalize to a large class of them as a unified theory that builds on relevant fields, such as biology, communications engineering, MEMS, medicine and so on. The proof-of-concept demonstration may still be a valuable contribution to the society; however, it is a better fit for an NIH project, rather than a NSF that supports basic science. _x000D_
_x000D_
_x000D_
Contribution to CPS vision:_x000D_
+ The notion of Internet of Bio-NanoThings can be an important CPS application domain if it is fully explored. _x000D_
- The proposal does not discuss what CPS science and technologies enable this new domain. It seems like the Internet of Bio-NanoThings will build on a number of fields, ranging from MEMS to clinical medicine. However, it is unclear how it uses the CPS science that bridges cyber and physical systems. _x000D_
_x000D_
_x000D_
Team and Project Management:_x000D_
+ The team is well qualified to execute this project._x000D_
- Given the project's budget, the project seems to be supporting too few graduate students, which brings its educational aspects to question. _x000D_
_x000D_
_x000D_
Validation:_x000D_
+ Validation plan is solid and well thought-out. It integrates all components of the proposed project under an important set of experiments and evaluates them thoroughly. _x000D_
_x000D_
_x000D_
Scope and Goals:_x000D_
+ The goal of the project is clearly set as developing a foundation of the Internet of Bio-NanoThings, focusing on the early detection of infections. It is an important, timely goal. _x000D_
+ The scope is focused on the design and implementation of RIMOR. This scope is manageable._x000D_
- However, the scope of the project does not target developing a foundation for the Internet of Bio-NanoThings. The project could have been scoped out towards developing foundations, rather than a proof-of-concept demonstration of various engineering projects that could be done/published in isolation._x000D_
_x000D_
In the context of the five review elements, please _x000D_
evaluate the strengths and weaknesses of the proposal with respect to broader impacts._x000D_
_x000D_
BROADER IMPACTS_x000D_
_x000D_
+ The project aims to develop a new field along the Internet of Bio-NanoThings, which may be a new field at the intersection of MEMS, biology, medicine, and more. _x000D_
+ The proposed application may have an immediate economic and societal impact, in early detection of diseases. _x000D_
- The project fails to go beyond the standard set of broader impacts, and does not provide much in the way of innovation. _x000D_
- The postdoc-focused research methodology may preclude several deep PhD thesis to develop and may further propel the proposed research effort towards an engineering project._x000D_
_x000D_
Please evaluate the strengths and _x000D_
weaknesses of the proposal with respect to any additional solicitation-specific review criteria, if _x000D_
applicable_x000D_
_x000D_
Education and Outreach Plan:_x000D_
- Education and outreach plan is particularly dim. There is little that is developed by borrowing through the project. _x000D_
_x000D_
Transition to Practice Option:_x000D_
N/A_x000D_
_x000D_
Summary Statement_x000D_
_x000D_
The proposed project aims to develop the foundations of Internet of Bio-NanoThings, focusing on the early detection of diseases as an application. The main reasons of my rating of Good is that the overarching goal of the project is timely and important, but the project itself involves engineering and risks not being able to develop important science that can scale to a large class of Internet of Bio-NanoThings._x000D_
_x000D_
</t>
  </si>
  <si>
    <t>The Project PANACEA (a solution or remedy for all difficulties or diseases in Latin) brings together a national group of researchers to tackle the fundamental research challenges for designing and fabricating wireless bioinspired miniature devices integrated into human cells, tissues and organs, for early detection of infections. The aim of PANACEA is to catalyze a revolution in biomedical technologies through advances in integrated systems, nano-biosensors and synthetic biology to improve human health and quality of life. PANACEA will use these technologies to research and develop the ability to sense, process, monitor and act on biological phenomena from nano (e.g. molecules, genes) to macroscale (e.g. body, organ, tissues). Implantable electronic and bio-compatible devices are aimed to be engineered to detect the communication within the cells of the body, enabling ?cell-connected to the Internet? to create the Internet of Bio-NanoThings, a novel platform for cyber-physical technologies where the physical system is the human body. PANACEA focuses its research on designing a tiny implantable Bio-NanoThing, named RIMOR (explorer in Latin). It is a tiny electronic device, genetically engineered bacteria as a sensor, that can detect the communication among cells in the human body and communicate the data remotely to a wearable hub, a nonintrusive device, out of the host body through wireless transceivers to enable early detection of infections. To accomplish this goal, a team of PIs with expertise in communications engineering, bioMEMS, bioelectronics, clinical medicine, oncology and microbiology is brought together. The system will be designed to be stable, predictable and biocompatible and will be tested and validated with in vitro and in vivo experiments in mice.This proposal builds upon the expertise gained in molecular communication field following the successful completion of a previous project funded by National Science Foundation under grant no. CNS-1110947, ECCS-0824199. This project seeks to develop a research area spanning across diverse fields which include communication and information theory, electronic design and biology. Specifically, the proposal makes contributions along three broad directions. First, the Theoretical Foundations of Internet of Bio-NanoThings (IoBNT) will be developed as a heterogeneous network combining electronic devices and engineered cells, communicating by electromagnetic waves and coupling, and by molecular communication, respectively. Secondly, the transduction of molecular communication signals into electrical signals by electrochemical and cell based bionanosensors will be investigated for early detection of infection. One or more tiny wirelessly powered implants, which house electrochemical and cell-based bionanosensors, will pre-process the acquired biosignals, and transmit the information out of the host body via radio waves for post-processing, diagnosis, and proper course of clinical action. The system will be completed by the design of an external wearable communication and control hub, which will both communicate with the tiny implants and the Internet. Experimental Validation Platform for the IoBNT will be developed using a comprehensive in vitro testbed to demonstrate a proof-of-concept of IoBNT for the first time in literature, towards creation of an in vivo testbed for this cyber-physical system for early detection of infections.The project is expected to pave the way for research on Internet of Bio-NanoThings. The proposed work will have a significant impact on nanotechnology, biology, bioelectronics, bioMEMS, information and communication technologies since this project combines these fields in a unique way to create a smart and compact health monitoring system in a novel paradigm providing a low-cost, real-time, biocompatible solution. The applications of IoBNT spans the intra-body networks for health monitoring, disease detection. Scientific results will be disseminated at international conferences, journals and magazines in the field. PI?s will incorporate the findings of the project in their classes and a new curriculum first time in the world bringing together engineering, biology and medicine to produce well-trained graduates expert in bio-nanotechnology. 3 PhD students and 5 Postdoctoral research fellows will be supported. Collectively, the PIs believe that the impact of this research will be far-reaching for basic science, education, and technology, with profound benefits for society.</t>
  </si>
  <si>
    <t>1739830</t>
  </si>
  <si>
    <t>Guvenc</t>
  </si>
  <si>
    <t xml:space="preserve"> Panel Summary       
 SYNOPSIS OF PROPOSAL OBJECTIVES AND APPROACH:_x000D_
_x000D_
The proposal aims to develop a data-driven energy management system for post-disaster scenarios. The research thrusts and technical approaches involve: 1) Distributed energy resources (e.g., electric vehicles and mobile assets) for prolonging the service time of isolated grid and resource sharing with auction and games; 2) Drones for emergency communications; 3) Advanced data analytics for discovery, retrieval, prediction, and visualization of critical information and situational awareness; 4) Modeling human behavior and on-line auction platform for trading emergency response resources; and 5) Decision support tools for testbed implementation and performance evaluation._x000D_
_x000D_
The education and outreach plans include the development of new courses with hands-on experience on disaster recovery tools using CPS as part of class projects. The PIs also propose a gamification module for teaching elementary emergency management concepts to K-12 level. _x000D_
_x000D_
INTELLECTUAL MERIT:_x000D_
_x000D_
Strengths:_x000D_
_x000D_
+ The PIs address very important and timely challenges, namely energy scarcity, communication infrastructure breakdown, absence of actionable information/logistics, and services in post-disaster scenarios. _x000D_
_x000D_
+ The first two research thrusts articulate well the specific factors of disaster scenarios (i.e., in the wake of abrupt changes) that need to be incorporated in existing state of the art solutions for resource dispatch, vehicle routing and resource sharing market mechanisms. _x000D_
_x000D_
+ The proposed macro-scale behavior modeling of humans (Thrust 5) has the potential for an impact._x000D_
_x000D_
+ The testbed, prototype implementation and validation are good._x000D_
_x000D_
_x000D_
Weaknesses:_x000D_
_x000D_
- On-line auctioning in micro-grid and communications may not be feasible during disasters._x000D_
_x000D_
- Utilizing drones as communication hubs may lead to technology challenges due to their energy limitations._x000D_
 _x000D_
- The PIs do not articulate the path for how to solve their proposed problems._x000D_
_x000D_
- The proposed methodologies in most of the research thrusts are incremental and may not be applicable to a wide range of CPS applications. It is also unclear how to handle uncertain and dynamic disaster scenarios._x000D_
_x000D_
- The proposal appears as a collection of research projects rather than a Frontiers project. For example, research thrusts 3 and 4 seem disjoint and are not tightly integrated with the remaining thrust areas._x000D_
  _x000D_
_x000D_
_x000D_
_x000D_
BROADER IMPACTS:_x000D_
_x000D_
Strengths:_x000D_
_x000D_
+ Managing emergency response in a comprehensive manner is very important topic and has potential societal impact. _x000D_
_x000D_
+ The gamification and learning modules for high school students are discussed. The PIs also plan to have class projects to develop tools suited for disaster recovery in existing courses. _x000D_
_x000D_
_x000D_
Weaknesses:_x000D_
_x000D_
- The research outcomes do not appear to be generalizable to other areas of CPS applications. The proposal lacks explicit discussions on the applicability of the potential results beyond emergency response. _x000D_
_x000D_
- The proposal does not seek innovative means for disseminating the potential research results._x000D_
 _x000D_
_x000D_
SOLICITATION-SPECIFIC REVIEW CRITERIA_x000D_
_x000D_
Contribution to CPS Vision:_x000D_
_x000D_
+ The proposal is aligned with CPS vision. If successful, it has the potential to advance knowledge in CPS._x000D_
_x000D_
- However, the proposal failed to identify and address critical CPS science, engineering or technological challenges. _x000D_
_x000D_
- Some of the proposed approaches seem point solutions and may not necessarily be generalizable._x000D_
_x000D_
Collaboration Plan: _x000D_
_x000D_
The collaboration plan includes a mapping between the tasks, the PIs and their roles. It also includes a timeline for the major activities. However, this timeline could have been more fine-grained, e.g., quarterly instead of annually._x000D_
_x000D_
_x000D_
Education and Outreach Plan: _x000D_
_x000D_
+ The education and outreach plans are well developed._x000D_
_x000D_
+ There are modifications of several existing courses and a few new courses that will focus on hands-on experience on disaster recovery tools using CPS as part of class projects across all partner institutions. _x000D_
_x000D_
+ A game based module and gamification module is proposed for teaching elementary emergency management concepts to K-12 level at the University of Iowa. _x000D_
_x000D_
+ The PIs propose to communicate research outcomes to industry, utilities and national labs via short courses designed for professionals._x000D_
_x000D_
Evaluation and Validation: _x000D_
_x000D_
+ The lead PI has experience in prototyping and implementation. The various centers at collaborating universities have access to testbeds, which will help validate the expected results._x000D_
_x000D_
+ The validation plan is satisfactory._x000D_
_x000D_
- Despite extensive description of the facilities, the details on the exact experiments to be conducted and concrete metrics that will monitor the progress are sparse. The PIs did not mention how to collect right kinds of post-disaster data that can be used for validation purpose? _x000D_
_x000D_
- The proposal does not include a compelling plan for sharing the results (e.g., validation artifacts) with the broader technical community._x000D_
_x000D_
_x000D_
Team and Project Management:_x000D_
_x000D_
+ The team is qualified to conduct the proposed research. Their collective expertise provides appropriate coverage aligned with the proposed thrusts. _x000D_
_x000D_
+ Roles, responsibilities and expertise of team members are well described. _x000D_
_x000D_
+ Rationale for multi-institutional collaboration is well justified. _x000D_
_x000D_
_x000D_
Transition to Practice Option: N/A_x000D_
_x000D_
Data Management Plan:  The Data Management plan is good._x000D_
_x000D_
Post-Doc Mentoring Plan (if applicable): The Postdoctoral Mentoring plan is adequate._x000D_
_x000D_
_x000D_
Suggestions for Improvement:_x000D_
_x000D_
The PIs may focus on a subset of thrust areas and dive deep into them with novel solution methodologies and integrating them in a coherent manner._x000D_
_x000D_
_x000D_
PANEL RECOMMENDATION:_x000D_
_x000D_
The panel classified this proposal as "Low Competitive".  The main reasons for this are:_x000D_
_x000D_
Although the proposal deals with a timely topic (e.g., energy and disaster management) and proposes to tackle some important challenges, the technical approaches have limited novelty and the connections between some of the research thrusts are thin. The panel also felt that the proposed research agenda could be managed as a set of smaller projects rather than an innovative Frontiers scale project._x000D_
_x000D_
_x000D_
All members of the panel have read this panel summary and concur that it accurately reflects the panel's discussion of the proposal._x000D_
</t>
  </si>
  <si>
    <t xml:space="preserve">In the context of the five review elements, please _x000D_
evaluate the strengths and weaknesses of the proposal with respect to intellectual merit._x000D_
_x000D_
INTELLECTUAL MERIT_x000D_
_x000D_
PROPOSAL OBJECTIVES AND APPROACH_x000D_
_x000D_
It is proposed to develop a data-driven disaster and energy management system taking advantage of: 1) Distributed energy resources and micro-grid operation for prolonging the service time of isolated grid and extending the supply to non-critical loads; 2) Drones for establishing emergency communications; 3) Advanced data analytics for discovery, retrieval, prediction, and visualization of critical information; and 4) Real-time, on-line auction platform for trading emergency response resources. It is stated that the close collaboration with utilities and national labs will accelerate the transition to practice. The proposal consists of a collection of approaches to address aspects of emergency response. _x000D_
_x000D_
Contribution to CPS vision:_x000D_
_x000D_
Successful completion of the proposed research will contribute to the advancement of knowledge in CPS. _x000D_
_x000D_
The core system science to be developed in this project is a combination of the following six technologies: _x000D_
1. An emergency resource management with a focus on electric vehicles routing and microgrid management for need-based resource dispatch and bid-based resource sharing. There are three main activities in this research thrust: 1) architecture design for a Power System Management Systems for Emergency Situations (PSMS-ES); 2) two-stage resource dispatch and sharing algorithms for satisfying critical loads in different CPSs and for extending services to non-critical loads via a distributed, auction-based resource sharing platform; and 3) emergency vehicle routing algorithms and mobile energy resources management._x000D_
2.  Self-organizing emergency resource sharing where a framework based on online double auctions is proposed. To address human behavior at those auctions, new notions from the emerging &amp;#64257;eld of psychological game theory, which studies how humans can change the way in which they reason during decision making, due to emotional or behavioral factors, are introduced. Such factors can include anger, frustration, and empathy, among others._x000D_
3. Distributed drone-based emergency communication. In this research thrust, the goal is to develop UAV-based device/resource discovery techniques for the elements of the microgrid after a disaster, considering a low-power wide area network followed by development of long-range distributed communication techniques and drone placement optimization methods for PSMS-ES scenarios._x000D_
4.  Cyber information discovery and visualization. In this thrust, the aim is to develop an end-to-end emergency decision support system for cyber infrastructure information discovery and visualization to support the microgrid management, EV and UAV routing, emergency information collection and data mining, and emergency resource auction. The data acquisition and management component of the system will integrate real-time and forecast data from multiple federal and state agencies as well as other thrusts in the proposal._x000D_
5. Modeling human factors. Speci&amp;#64257;cally, the goals are to model human factors in communication for disaster situation assessment, in transportation for making routing choices, and in auction markets for resource sharing. It is proposed to address both human cooperative behaviors and human-infrastructure interactions in disastrous events._x000D_
6.  Hardware-in-the-loop testbeds for co-modeling of the transportation, communication and energy infrastructure of disaster recovery process. These include Test beds for Grid Operation and Disaster Modeling, Android App Development, Tethered Drone and Long-Range Radio Propagation Experiments._x000D_
_x000D_
+This is an intensely application driven project that combines information gathering, information visualization, market auctions, human factor modeling._x000D_
_x000D_
+Methodologies that may be useful in other CPS are developed, particularly solutions based on auctions and the role of human behavior can play in these auctions._x000D_
_x000D_
-The methodologies used are not particularly innovative or of interest and applicable to a wide range of CPS applications. _x000D_
_x000D_
_x000D_
Team and Project Management:_x000D_
_x000D_
+The PIs are well qualified and the interaction of the different teams is well described. _x000D_
_x000D_
_x000D_
Validation:_x000D_
_x000D_
+There is a well described plan for validation._x000D_
_x000D_
Scope and Goals:_x000D_
_x000D_
-The methodologies used are not particularly innovative or of interest to a wide range of CPS applications. _x000D_
_x000D_
_x000D_
In the context of the five review elements, please _x000D_
evaluate the strengths and weaknesses of the proposal with respect to broader impacts._x000D_
_x000D_
BROADER IMPACTS_x000D_
_x000D_
+Managing emergency response in a comprehensive manner is very important proble_x000D_
+The Postdoctoral Mentoring and Data Management plans are good. _x000D_
_x000D_
_x000D_
Please evaluate the strengths and _x000D_
weaknesses of the proposal with respect to any additional solicitation-specific review criteria, if _x000D_
applicable_x000D_
_x000D_
Education and Outreach Plan:_x000D_
_x000D_
+ The education and outreach plans are well developed._x000D_
_x000D_
_x000D_
Summary Statement_x000D_
_x000D_
This is a proposal addressing a set of interesting problems in disaster response. It proposes studies to develop a data-driven disaster and energy management system. The methodologies used and problem addressed are not particularly innovative. _x000D_
_x000D_
_x000D_
</t>
  </si>
  <si>
    <t xml:space="preserve">In the context of the five review elements, please _x000D_
evaluate the strengths and weaknesses of the proposal with respect to intellectual merit._x000D_
_x000D_
PROPOSAL OBJECTIVES AND APPROACH _x000D_
_x000D_
The proposal aims to develop a futuristic disaster management solution and an energy management solution which are data-driven. These solutions are aimed at addressing energy, communication, and information and service challenges in post disaster scenarios.  To achieve this, the authors propose six major thrusts of research:_x000D_
_x000D_
(1) Use of decentralized and mobile customer energy resources to solve the energy scarcity via vehicle routing and resource dispatch that is either need or incentive based; (2) A resource sharing market mechanism to be developed for the first thrust using auction and games; (3) Drone based networking solutions to address the connectivity problem in post-disaster scenarios; (4) Information discovery platform for emergency information collection, event forecast and situational awareness; (5) Human factors study to understand human infrastructure interactions during energy response;(6) Hardware in the loop testbeds for implementation and evaluation of the 5 proposed thrusts. _x000D_
_x000D_
Strengths:_x000D_
_x000D_
(+) The proposal is good at identifying the high level breadth of the problems that occur in post-disaster scenarios. This includes energy scarcity, communication infrastructure breakdown, absence of actionable information/logistics, and service challenges to address the other three aspects. _x000D_
_x000D_
(+) Especially in the first two thrusts, the authors are able to successfully convince the specific factors and aspects typical to disaster scenarios that need to be incorporated or changed in existing state of the art solutions for resource dispatch, vehicle routing and resource sharing market mechanisms. _x000D_
_x000D_
(+) Some human factor analysis with psychological game theory is a fresh idea. _x000D_
_x000D_
(+) The testbed, prototype implementation and validation are strong._x000D_
_x000D_
_x000D_
Weaknesses:_x000D_
_x000D_
(-) The solutions are supposed to be data driven. However, adequate description of the data types, their sources, and requirements of the data that the communication network needs to support is inadequate. The way data would be routed, stored, process and visualized has been described. However, these have little significance unless the different kinds of data involved are properly discussed. The authors do mention at places about social media data and forecast but these are usually restricted to one-liners. Without knowing the volume, scale, velocity or variety the effectiveness the designed communication network, data visualization, and EV routing will be impossible to judge. _x000D_
_x000D_
(-) There is a lack of enough new and exciting concepts. While there is a very good breadth in the proposal in terms of the different broad research thrusts, the research methodologies utilized under each thrust in general are incremental modifications of known solutions. However, it is much appreciated that the first two thrusts have clearly outlined substantial gaps in literature, but the same cannot be said about the rest of the thrusts. For frontier project, specifically this seems a limitation while the modifications are legitimate and important. _x000D_
_x000D_
(-) Solutions are dependent on disaster forecasts and prediction. In my opinion and experience this is not going to assure great results since natural weather phenomena are highly unpredictable. More reactive solutions are required. As such it is hard to believe that optimizations will work in the real world. _x000D_
_x000D_
(-) The issues discussed in drone based communication network are not new. Task 3a is good, but Tasks 3b and 3c are not so novel and have been done explored in the existing literature. The PIs should clearly articulate how their proposed research is novel compared to those._x000D_
_x000D_
(-) Thrust 4 looks disconnected from the rest and I am not sure about its purpose. Who will collect data is understood but not how or what data? Is it camera sensor, audio, Doppler ranging, etc.? Different disasters require completely different data types and have varying requirements. Therefore, the data to be gathered is completely different. There is not sufficient justification of how this heterogeneity will be handled especially from a communications drone communication network's point of view. The needs of survivors should have been explicitly discussed. _x000D_
_x000D_
(-) I would have liked to see some initial results. However, there is lack of initial results. Only papers are cited as preliminary work. However, only one PI has enough experience in disaster recovery research. 2-3 other PIs have little experience in disaster response and recovery research. Therefore, merely citing some early works are not enough since most of them are not related to disaster response. _x000D_
_x000D_
Contribution to CPS vision:_x000D_
_x000D_
High level project goals are well established. The education outcomes are well established as well. _x000D_
_x000D_
The following technical challenges of CPS are addressed in the proposal._x000D_
_x000D_
(1) Architecture and co-optimization challenges for real time dispatch and trading requirements with critical and non-critical loads;(2) duration, availability and deliverability based on disaster prediction and forecast;(3) emergency energy management solutions for decentralized microgrids;(4) paths with risk as metric for electric vehicle routing for resource dispatch;(5) impact of human factors and emotions while decision making;(6) coexisting auctions for resource sharing markets over multiple time scales; and (7) propagation characteristics and coverage issues for drone based emergency communication._x000D_
_x000D_
It is unclear how the proposed research could be generalized. Given this proposal is about adopting general solutions to address point problems in disaster response environments, Tasks 2A and 2B are modifications of well researched topics. Thrust 3, Tasks 3b and 3c are already well researched topics by some Italian universities._x000D_
_x000D_
_x000D_
Team and Project Management:_x000D_
_x000D_
(+) Roles, responsibilities and expertise of team members are well described._x000D_
_x000D_
(+) Rationale for multi-institutional collaboration is well justified._x000D_
_x000D_
(-) Thrust 4 seems a little disconnected from the rest._x000D_
_x000D_
(-) Three PIs (Swarup, demir, cali) have the expertise in diasaster scenarios.  Swarup's papers are related to computer science and CPS.  But two others are not in computer science or CPS related conferences. Rest of the PIs do not have much experience in disaster recovery response._x000D_
_x000D_
_x000D_
Validation:_x000D_
_x000D_
The plan for validation is satisfactory and detailed. The centers and institutes at various universities are well suited._x000D_
_x000D_
The lead PI has sufficient experience in prototype and implementation. The various centers have enough capabilities for adequate testbed. _x000D_
_x000D_
Several networking and computing facilities have been provided in the grant. _x000D_
_x000D_
_x000D_
Scope and Goals:_x000D_
_x000D_
The proposal does not identify and address critical CPS science, engineering or technological challenges. The goals and scale do not justify a Frontier project._x000D_
_x000D_
_x000D_
_x000D_
_x000D_
In the context of the five review elements, please _x000D_
evaluate the strengths and weaknesses of the proposal with respect to broader impacts._x000D_
_x000D_
The broader impact seems limited since the proposal is not very novel. The research outcomes do not appear to be generalized to other areas of application._x000D_
_x000D_
The postdoc mentoring plan and data management plan are adequate. _x000D_
_x000D_
The gamification and learning modules for high school students are discussed. The PIs also plan to have class projects to develop tools suited for disaster recovery in existing courses._x000D_
_x000D_
The PIs will communicate research outcomes to industry, utilities and labs via short courses designed for professionals._x000D_
_x000D_
Please evaluate the strengths and _x000D_
weaknesses of the proposal with respect to any additional solicitation-specific review criteria, if _x000D_
applicable_x000D_
_x000D_
Education and Outreach Plan:_x000D_
_x000D_
There are modifications of several existing courses and a few new courses that will focus on hands-on experience on disaster recovery tools using CPS as part of class projects across all institutions._x000D_
_x000D_
A game based module and gamification module has been proposed for teaching elementary emergency management concepts to K-12 level at University of Iowa._x000D_
_x000D_
The FREEDM and EPIC centers will deliver short courses to industry, utilities, government labs, and other academic institutions to communicate various research outcomes of this project._x000D_
_x000D_
Summary Statement_x000D_
_x000D_
The proposal has an ambitious goal to develop futuristic disaster management and energy management solutions which are data-driven. Although it has some strengths, it also suffers from several weaknesses as detailed above, which lead to my rating of "Good". It could be managed as a series of smaller set of proposals rather than a Frontiers scale project._x000D_
_x000D_
</t>
  </si>
  <si>
    <t xml:space="preserve">In the context of the five review elements, please _x000D_
evaluate the strengths and weaknesses of the proposal with respect to intellectual merit._x000D_
_x000D_
INTELLECTUAL MERIT_x000D_
_x000D_
PROPOSAL OBJECTIVES AND APPROACH_x000D_
_x000D_
The proposal focuses on the management of the power infrastructure after an abrupt change or failure, e.g., due to a natural disaster. The proposed technical work is on resource management accounting for the possibility of a buffer from electric vehicles and other mobile resources and accounting for the behavior of human groups and remaining communication structure (as well as its recovery through airborne communication nodes). It also offers decision tool support and access to several testbeds. _x000D_
_x000D_
+ The challenge addressed by the proposal is very timely. _x000D_
+ The proposed approach is reasonable for the most part. _x000D_
+ While is often hard to model the effects of humans on cyberphysical systems (hence hard to systematically account for such effects), the macro-scale behavior modeling (as proposed) of humans may be plausible._x000D_
+ The coupling between the mobile assets and the electric power infrastructure could indeed be a useful resource following a disaster._x000D_
- On the other hand, routing of these assets for resource management may adversely affect the transportation infrastructure and introduce unintended coupling between the infrastructure systems. _x000D_
- Similarly, while drones may provide monitoring capabilities, it is not clear how technologically plausible it is to utilize drones as communication hubs (because of the energy limitations of these aerial vehicles). _x000D_
- The research plan spreads somewhat thin potentially creating two or three islands of research. For example, Thrust 4 could be separated without affecting the rest of the work. Similarly, the coupling between Thrust 3 and the other thrusts is weak, and communication can possibly studied separately and supplied as a service for the rest of the system._x000D_
+ Some of the problems in Thrusts 1 and 2 have been studied. Yet, the setting in which the problems are to be solved following an abrupt change sets new challenges. _x000D_
_x000D_
_x000D_
_x000D_
Contribution to CPS vision:_x000D_
_x000D_
The proposed effort is aligned with CPS vision. _x000D_
_x000D_
The potential solutions elaborated in the proposal are not all necessarily generalizable. For example, the solution approaches put forward in Thrusts 1 and 2 are expected utilize results from more fundamental research areas, e.g., game theory, rather than contributing to such cross-cutting areas. Consequently, some of the tentative solutions elaborated in the proposal may stay as point solutions. _x000D_
_x000D_
_x000D_
_x000D_
Team and Project Management:_x000D_
_x000D_
The team is qualified to conduct the proposed research. Their collective expertise provides appropriate coverage aligned with the proposed thrusts. The collaboration plan includes a mapping between the tasks, the PIs and their management roles. It also includes a rough timeline for the major activities. However, this timeline is a bit too rough for distilling even a yearly plan. _x000D_
_x000D_
_x000D_
_x000D_
Validation:_x000D_
_x000D_
The team has access to testbeds suitable for the validation of the expected results. Despite extensive description of the facilities, the details on the exact experiments to be conducted and concrete metrics that will monitor the progress are sparse. The proposal does not include a compelling plan for sharing the results (e.g., validation artifacts) with the broader technical community._x000D_
_x000D_
_x000D_
Scope and Goals:_x000D_
_x000D_
Some of the parts (e.g., Thrusts 3 and 4) may be extracted from the proposed effort without harming the core of the effort. The remaining core would still address an interesting set of problems._x000D_
_x000D_
In the context of the five review elements, please _x000D_
evaluate the strengths and weaknesses of the proposal with respect to broader impacts._x000D_
_x000D_
BROADER IMPACTS_x000D_
_x000D_
+ The topic area of the proposed effort will likely be of interest to public, and this aspect may be leveraged for outreach. _x000D_
- On the other hand, the proposal does not offer an explicit discussion of this potential._x000D_
+ The data management plan is suitable. _x000D_
- The proposal lacks an explicit discussion of the applicability of the potential results beyond its immediate application area (if any)._x000D_
- The proposal does not seek innovative means for disseminating the potential research results. _x000D_
+ The postdoc mentoring plan is suitable._x000D_
_x000D_
Please evaluate the strengths and _x000D_
weaknesses of the proposal with respect to any additional solicitation-specific review criteria, if _x000D_
applicable_x000D_
_x000D_
SOLICITATION-SPECIFIC REVIEW CRITERIA_x000D_
_x000D_
Education and Outreach Plan:_x000D_
_x000D_
The plan includes revisions of the existing courses to integrate the potential results of the proposed effort. The game-based teaching, if effectively performed, may be an effective means to broaden the reach (especially toward K12 and continuing education). Short courses to industry, as proposed by the team, may be an effective means for transitioning the results._x000D_
_x000D_
_x000D_
Transition to Practice Option:_x000D_
N/A_x000D_
_x000D_
Summary Statement_x000D_
_x000D_
The principal reasons for my rating of Very Good/Good are the following: The proposal is on an important and timely topic. Despite significant recent work, there still are challenges at the scale of systems pursued in the proposal, and addressing these challenges require work in CPS. The proposal identifies a set of relevant directions and offers potential solutions. The connections between some of the thrusts are thin._x000D_
_x000D_
</t>
  </si>
  <si>
    <t>Title: CPS: Frontier: Collaborative Research: Data-Driven Disaster and Energy Management for the Electric Power Grid. Lead: Ismail Guvenc, North Carolina State University._x000D_
Disasters, such as hurricanes, floods, and earthquakes, endanger people's lives, cause wide-spread interruption of services, and often incur billions in damage. Most existing disaster management solutions remain reliant on fragmented and centralized solutions, which fail to address major catastrophes as evidenced by Hurricanes Sandy and Matthew in 2012 and 2016. Repairing damaged infrastructure takes hours to days when roads are closed, power lines are down and communication services are interrupted. In this proposal, we aim to develop a futuristic data-driven disaster and energy management system taking advantage of the following technology advancements: 1) Distributed energy resources and microgrid operation for prolonging the service time of isolated grid and extending the supply to non-critical loads; 2) Drones for establishing emergency communications; 3) Advanced data analytics for discovery, retrieval, prediction, and visualization of critical information; and 4) Real-time, on-line auction platform for trading emergency response resources. To address the numerous multi-disciplinary challenges associated with such an ambitious objective, this proposed research brings together a strong team with expertise in power grid operation, wireless communication, disaster management, data analytics, game theory, and human factor analysis. The project will have extensive testbed and experimentation components, building on the resources of two major energy research centers (NCSU FREEDM and UNCC EPIC), VT Biocomplexity Institute, Iowa Flood Center, and Charlotte VisCenter._x000D_
Keywords: Disaster energy management; human behavioral modeling; power grid; wide-area drone communications. Research Target Areas: Science, Technology, and Engineering of CPS.The unique differentiating feature of this framework is to jointly consider the cyber-physical interplay of electric grid, communication, transportation, and human components. The key innovations include: 1) Seamless integration of need-based and incentive-based resource dispatch and emergency vehicle routing to leverage the use of decentralized, customer-owned distributed energy resources during emergencies; 2) Online double auctions and psychological game theory to enable grid devices and individuals to form resource sharing markets while factoring in post-disaster environmental uncertainties and human emotions/behavior; 3) Innovative communication protocols and algorithms that will enable the use of drone-based networking solutions for restoring connectivity in disaster-affected areas; 4) Novel cyber information discovery and visualization platform to support the emergency management system for emergency information collection and data mining, event forecasting, and emergency situational awareness; 5) New, disaster-centric experiments, methodologies, and simulation analytics for modeling human factors and analyzing human cooperative behaviors and human-infrastructure interactions during emergency response; and 6) Large-scale experiments for testing and validation of the proposed approach. Close collaboration with utilities and national labs will accelerate the transition to practice.The impact of this transformative research extends far beyond the underlying science and engineering problems.  The developed tools will expedite the response to disaster scenarios and focus help on where it is needed most, in turn saving lives and minimizing human suffering. The interdisciplinary nature of the research will yield cross-cutting advances to cyber-physical systems, disaster management, electric grid management, auction theory, game theory, human factor analysis, and cyberinfrastructure development. In addition to its numerous societal benefits, the proposed research also entails a comprehensive educational and outreach effort aimed at attracting a diversity of students to CPS fields, in general, and to disaster management, in particular.  The efforts in this direction will include game-based learning modules, unique industry-academia short courses, comprehensive CPS-focused curriculum development including a joint massive open online course (MOOC), a summer REU site, and extensive outreach to under-represented students and local high schools. Broad dissemination is ensured via conferences, workshops, tutorials, online tools, participation in the CPS PI meetings, and using the CPS-VO.</t>
  </si>
  <si>
    <t>1739887</t>
  </si>
  <si>
    <t>Baras</t>
  </si>
  <si>
    <t xml:space="preserve"> Panel Summary       
 SYNOPSIS OF PROPOSAL OBJECTIVES AND APPROACH:_x000D_
_x000D_
The proposal focuses on networked CPS that interface with humans or groups of humans. It proposes to study a range of problems using abstractions that capture interactions between multiple networks. Based on these abstractions, the team will investigate several interesting concepts including tradeoffs between the utility and cost of collaboration and value of information. In order to broaden the impact, the team aims to leverage their international and industrial collaborations as well as their connections to a number of experimental facilities. _x000D_
_x000D_
INTELLECTUAL MERIT:_x000D_
_x000D_
Strengths:_x000D_
+ The proposal certainly identifies a large number of thrusts including the following: multi-layer, multi-graph models; controlled multi-modal sensing and information acquisition; models and interpretation of communication and information flow patterns in networks; trust and privacy; fundamental limitations; and experimentation on testbeds._x000D_
+ Progress in these thrusts has the potential to create a significant contribution to CPS science. _x000D_
+ The approach to autonomous information flows through networked, human CPS is novel. _x000D_
+ Research resources are more than adequate. _x000D_
_x000D_
Weaknesses:_x000D_
_x000D_
- The research plan spreads too thin. It does not detail how various research thrusts and the numerous tasks under these thrusts will be integrated._x000D_
- While specific aims for the subtasks are stated, the panel found it difficult how these subtasks can be integrated into a clear fundamental research outcome._x000D_
- The panel raised a critical question for which the proposal does not provide a convincing answer: How will the proposed technology operate in detail (e.g., demonstrated on one of the potential applications or one of the testbeds)? _x000D_
_x000D_
BROADER IMPACTS:_x000D_
_x000D_
+ The proposal lists a number of applications on which the potential outcomes from the proposed effort may have impact. _x000D_
+ International collaboration, strong collaboration letters and participation of an exceptionally large number of women researchers are appreciated_x000D_
+ A summer school is planned on networked human CPS, with outreach to students from other universities. _x000D_
_x000D_
Weaknesses: _x000D_
- The proposal lacks sufficient details on what impact can be realized in any of the many potential applications it lists._x000D_
- Specific examples mapping outcomes and impacts to application domains would have been helpful to the reviewers. _x000D_
_x000D_
_x000D_
SOLICITATION-SPECIFIC REVIEW CRITERIA_x000D_
_x000D_
Contribution to CPS Vision: _x000D_
_x000D_
The research area and the proposed work are in the scope of CPS. The proposed research, if successful, can be generalized across multiple domains. _x000D_
_x000D_
Collaboration Plan: _x000D_
_x000D_
The structure of the team will not pose much of a challenge for collaboration. _x000D_
_x000D_
The appendix mostly re-iterated the research components and the PIs' expertise._x000D_
_x000D_
Evaluation &amp; Validation: _x000D_
_x000D_
While the proposal lists a number of testbeds available to the team, it does not detail any of these testbeds or the particular experiments to be conducted. Furthermore, the proposal does not name any specific technical success criteria._x000D_
_x000D_
Team &amp; Project Management: _x000D_
_x000D_
The team is certainly composed of very highly qualified researchers. There is no useful detail on the project timeline. _x000D_
_x000D_
_x000D_
Transition to Practice Option (only if applicable): N/A_x000D_
_x000D_
Data Management Plan: _x000D_
_x000D_
The plan is adequate. _x000D_
_x000D_
Post-Doc Mentoring Plan: _x000D_
_x000D_
The plan is adequate. _x000D_
_x000D_
Suggestions for improvement: _x000D_
_x000D_
The proposal should have provided a sharper focus on the technical outcomes of the proposed effort. One or two good illustrations of the operational concept for use would have clarified many issues. The proposal would be improved by formulating the technical tasks in terms of the fundamental science that would be advanced by the research. _x000D_
_x000D_
_x000D_
_x000D_
PANEL RECOMMENDATION:_x000D_
_x000D_
The panel classified this proposal as Low Competitive. The main reasons for this are: The research plan does not provide sufficient details to assess the technical feasibility. It also lacks examples of how the various tasks are interdependent and how the experimental facilities will be used for validation and demonstration._x000D_
_x000D_
_x000D_
All members of the panel have read this panel summary and concur that it accurately reflects the panel's discussion of the proposal. 
</t>
  </si>
  <si>
    <t xml:space="preserve">In the context of the five review elements, please _x000D_
evaluate the strengths and weaknesses of the proposal with respect to intellectual merit._x000D_
_x000D_
PROPOSAL OBJECTIVES AND APPROACH_x000D_
This collaborative proposal from the University of Maryland, and UC San Diego is for research in general strategies to automate active, "value-based" information collection and exchange in large and changing networks of human and other autonomous actors, Networked Human Cyber-Physical Systems (Net-HCPS).  _x000D_
_x000D_
Progress is sought though 7 thrusts: (1) Multi-layer multigraph models, where edges represent relations and "weights" can represent strength or more complex logical interaction; (2) Controlled multi-modal sensing and information acquisition; (3) Models and interpretation of communication and information networks; (4) Trust and privacy; (5) Net-HCPS performance evaluation and fundamental limits; (6) Model-based systems engineering for Net-HCPS; (7) Testbeds for experimental validation and application._x000D_
_x000D_
A broad range of mathematical techniques would be considered, including: multi-criteria constrained optimization, deterministic and stochastic control, constraint satisfaction and (logical?) satisfiability methods and algorithms._x000D_
_x000D_
Strengths:_x000D_
+The research team has strong credentials and competence in mathematical systems research, including network and information theory, software-defined networks, pattern matching, security and privacy, robotics.  The lead PI has an exceptional research record, and the other team members are clearly accomplished and gaining recognition, as well. _x000D_
+ The approach to autonomous information flows through networked HCPS is unique._x000D_
+ Research resources are more than adequate.  _x000D_
+ An more-or-less plausible argument is given for using value metrics to regulate information propagation thorough networks (and subnetworks).  Information flows over the graph are guided by labels ("weights" -- not necessarily numeric); there is a nod to logical as well as numerical labels)._x000D_
+ The use of labeled multigraphs is argued for on the basis of the generality and expressiveness of this data structure.  _x000D_
_x000D_
Weaknesses:_x000D_
-The proposal is unfortunately rather poorly written with respect to its CPS claims. _x000D_
-The background material consists of a long list of citations of examples in which the methods are claimed to have been successfully used in social networks and algorithmic applications.  These are published papers, but not found in easily accessible journals and conferences.  (NSF requires that proposals be self-contained.) _x000D_
-The proposal is broad and would benefit from sharper focus on what its specific aims for CPS progress over the 5 year project really are, especially in the context of the team's prior work.   Largely, it comes off as a (network and information) theory proposal.  _x000D_
-Very general summary description is given for the proposed approach, with only a few hints (feedback loops, directed information) about how to express and control information propagation and combination in the hypergraph of multigraphs.  _x000D_
-Subgraphs appear to be formed dynamically based on information affinity and link strength, though details are not provided.  The proposal mentions dynamic programming and constrained optimization methods, but not in enough depth or context to help the reader imagine their joint numerical and logical (cyber-physical) formulation or operational use in the multigraph/hypergraph setting.  _x000D_
-No justification is provided for the fairly standard three-layer model proposed.  _x000D_
- Mention is made of overall dynamic subgraph structure within a hypergraph.  However he hypergraph rewriting approach is not given.  The references do not provide any clues to how computation would be carried out over it or managed in a widely-distributed net-HCPS.  _x000D_
_x000D_
Contribution to CPS vision:_x000D_
+Almost certainly, interesting ideas would arise in this research, but a clearer picture of the questions to be attempted and how everything fits together would have helped._x000D_
-Without insight into the nature of computational realization in actual networks, it is hard to see this as a project that will have much impact for CPS.  Its viability as a realistic simulation framework cannot be evaluated from the proposal for the same reason.  _x000D_
-The proposal does not directly tackle existing engineering gaps for coordinating high confidence active behaviors in the cyber and physical dimensions, which is a key concern for the CPS program.  _x000D_
-One or two good illustrations of the operational concept for use might have helped clarify many issues._x000D_
_x000D_
In the context of the five review elements, please _x000D_
evaluate the strengths and weaknesses of the proposal with respect to broader impacts._x000D_
_x000D_
Broader impact is expected through applications such as the Internet of Things, healthcare systems, factory automation, UAS and connected transportation, sensor networks, social and economic networks, and other human-machine systems.  _x000D_
_x000D_
Strengths:_x000D_
+International collaboration is planned with European researchers (cf. letters from TU Munich and KTH in Stockholm)._x000D_
+Letters of collaboration document interest from GE and from the UMD School of Medicine and Critical Care Network._x000D_
+ The team has participation by at least 5 strong women researchers who will recruit and mentor female students in STEM-related activities._x000D_
+ The problems and subproblems including trust and privacy, applications and testbeds (UAS networks, critical care networks) are chosen to have significant potential societal impact._x000D_
+ Industrial and university medical system participation is a strength, as is international collaboration._x000D_
+A summer school is planned on Net-HCPS, with outreach to students from other universities._x000D_
_x000D_
Weaknesses:_x000D_
-The path is long from theory to actual deployment. The utility of the result in the planned application areas will depend greatly (or critically, in the case of the emergency care network) on successful implementation.  _x000D_
-The proposal states that the CPS technology thrust is only of third priority to the project.  Will there be any "leave behind" for the research community?_x000D_
_x000D_
_x000D_
_x000D_
Please evaluate the strengths and _x000D_
weaknesses of the proposal with respect to any additional solicitation-specific review criteria, if _x000D_
applicable_x000D_
_x000D_
Education and Outreach Plan:_x000D_
Educational impact is sought through new courses (including web-based self-learning).  Undergraduate research would be supported through existing UMD venues and NSF REU support._x000D_
_x000D_
Summary Statement_x000D_
_x000D_
The overall rating of V/G reflects an expectation for some strong mathematical and conceptual results, together with concerns that without more concrete formulation, a Frontier-scale impact on CPS  may not be achieved._x000D_
_x000D_
</t>
  </si>
  <si>
    <t xml:space="preserve">In the context of the five review elements, please _x000D_
evaluate the strengths and weaknesses of the proposal with respect to intellectual merit._x000D_
_x000D_
The project seeks to develop a dynamical systems perspective for a fundamentally new class of systems, Networked Human-Cyber-Physical Systems. The goal is rethink the foundations of control theory, communication/information theory, computation/computability theory and dynamic systems._x000D_
_x000D_
Contribution to CPS vision:_x000D_
_x000D_
+ The proposed project seeks to rewrite systems theory for networked human CPS._x000D_
+ A sweeping development of this theory is envisioned._x000D_
+ The development of a comprehensive networked HCPS theory would be, by definition, the generalization._x000D_
_x000D_
- The scope of the project appears to be overly broad._x000D_
- There are not enough specific details to allow a reasonable evaluation of the project._x000D_
_x000D_
Team and Project Management:_x000D_
_x000D_
The team is a group of very highly qualified researchers. As is often the case with theoretical projects, there is little to say regarding the project timeline. _x000D_
_x000D_
Validation:_x000D_
_x000D_
A number of testbeds are indicated, though how the validation might be accomplished in unclear._x000D_
_x000D_
Scope and Goals:_x000D_
_x000D_
The scope of the project is extremely broad, addressing a need for a critical theoretical framework that might allow for precise thinking about and formulation of problems in the NHCPS._x000D_
_x000D_
It is difficult to evaluate the degree of integration in the proposed effort, though the researchers are known to develop results that are well integrated._x000D_
_x000D_
In the context of the five review elements, please _x000D_
evaluate the strengths and weaknesses of the proposal with respect to broader impacts._x000D_
_x000D_
+ The proposal indicates a number of potentially important applications._x000D_
+ A NHCPS summer school will be given with invitation to outside students as well as those resident._x000D_
_x000D_
- It is unclear when the theory will lead to application._x000D_
_x000D_
_x000D_
Please evaluate the strengths and _x000D_
weaknesses of the proposal with respect to any additional solicitation-specific review criteria, if _x000D_
applicable_x000D_
_x000D_
._x000D_
_x000D_
Summary Statement_x000D_
_x000D_
The potential for the development of a strong theoretical framework leading to interesting and applicable results for NHCPS is of great interest. The principal reason for my rating of Good is that the path to this goal has not been clearly articulated._x000D_
_x000D_
</t>
  </si>
  <si>
    <t xml:space="preserve">In the context of the five review elements, please _x000D_
evaluate the strengths and weaknesses of the proposal with respect to intellectual merit._x000D_
_x000D_
INTELLECTUAL MERIT_x000D_
PROPOSAL OBJECTIVES AND APPROACH_x000D_
The overarching objective of the proposed research is to develop new models, information value concepts for decision making, and algorithms for performance evaluation for dynamic, networked human CPS. _x000D_
+ The research area seems to be important. _x000D_
- The 'networked human' might imply the consideration of 'social' aspects of research; the team does not seem to include who are qualified in this area. _x000D_
- The proposed research is missing a unified research agenda. The proposal itself is too broad, with proposed works towards many specific aims, which results in a collection of interesting projects which may not be a coherent sum. _x000D_
_x000D_
Contribution to CPS vision:_x000D_
+ The project is spans two important core and emerging aspects of CPS research, namely networks and humans. _x000D_
_x000D_
Team and Project Management:_x000D_
- The project is divided to seven different thrusts, with most thrusts involving two PIs. One would expect fewer thrusts that are coherent, and most thrusts involving at least three or four PIs on a project of this size. _x000D_
- Collaboration and coordination methods seem limited to standard Microsoft Skype meetings, Google docs, and a project website. _x000D_
- There is no timeline for the project. The proposal lacks the description of major milestones and timeline of events. _x000D_
_x000D_
Validation:_x000D_
+ There are several points in the project that serious validation effort is considered._x000D_
- Unfortunately, there is no unified validation effort towards an end-to-end validation with clear goals. _x000D_
_x000D_
Scope and Goals:_x000D_
+ The project's main goal is the development of new models, concepts and algorithms for networked HCPS, which is an important emerging area for CPS research. _x000D_
- The scope of the project is perhaps too broad. It reads more like a collection of several small projects, rather than a coherent, unified research agenda. The scope of the project seems to be too broad._x000D_
_x000D_
In the context of the five review elements, please _x000D_
evaluate the strengths and weaknesses of the proposal with respect to broader impacts._x000D_
_x000D_
+ There are number of existing and emerging CPS application domains that could be described as a networked HCPS. Hence, the application domain of the proposed research may be large. _x000D_
- There is little detail describing the broader impacts of the project. There seems to be important dimensions described, e.g., inclusion and engagement with industry. However, no detail is provided to evaluate the proposal in this direction. _x000D_
_x000D_
_x000D_
_x000D_
Please evaluate the strengths and _x000D_
weaknesses of the proposal with respect to any additional solicitation-specific review criteria, if _x000D_
applicable_x000D_
_x000D_
Education and Outreach Plan:_x000D_
+ The plans for education and outreach are comprehensive. _x000D_
- However, it is unclear how the proposed research enables the proposed activities. (It seems like the proposed activities are standalone and could be performed as education and outreach on any NSF project, not necessarily one that studies networked HCPS.)_x000D_
_x000D_
Transition to Practice Option:_x000D_
N/A._x000D_
_x000D_
Summary Statement_x000D_
_x000D_
The project aims to develop new models, concepts and algorithms for dynamic networked human CPS. The reason for my rating of Good/Fair are that the research area is important, however the proposed project does not seem to propose a unified research agenda to develop CPS science in this direction._x000D_
_x000D_
</t>
  </si>
  <si>
    <t xml:space="preserve">In the context of the five review elements, please _x000D_
evaluate the strengths and weaknesses of the proposal with respect to intellectual merit._x000D_
_x000D_
PROPOSAL OBJECTIVES AND APPROACH_x000D_
_x000D_
The proposal focuses on networked CPS whose scope expands to include humans or groups humans. It proposes abstractions (mainly centered around interactions between multiple networks) and methods to investigate several interesting concepts including tradeoffs between the utility and cost of collaboration and value of information._x000D_
_x000D_
+ The proposal certainly identifies a large number of interesting problems. Progress in these problems would create a significant contribution to CPS science. _x000D_
- On the other hand, the technical part of the proposal reads like a survery: a brief description of a concept followed by a brief description of the prior work and even shorter (and not specific) description of proposed work. This exposition does not allow the reviewer to see depth in any of the topics. _x000D_
- While the technical content is impressively broad, it spreads too thin. It comes across as an attractive sounding collection of technical work rather than a coherent research plan. _x000D_
- For example, even without the human component, the problem classes described in the proposal are challenging enough. This reviewer cannot see any reason for creating unreasonably large challenges that cannot be addressed by any single project.   _x000D_
- It would be wrong to punish a proposal for its broad vision. On the other hand, at some point, the breadth loses its credibility. For example, establishing safety is one of the biggest challenges in CPS. At some point in the proposal (as part of Thrust 5), "safety" pops up. If not mistaken, the title of this section is where the word "safety" is used in the proposal. This discussion reads like as an afterthought._x000D_
_x000D_
_x000D_
Contribution to CPS vision:_x000D_
_x000D_
The research area and the proposed work certainly are in the scope of CPS. The proposal lists a fairly long list of research components. Progress in any of these components would contribute toward advancing the science and engineering of CPS.  _x000D_
_x000D_
While the proposal is set to solve most major problems in CPS, some of those that are highlighted more than others are rigorous understanding of the use and cost of collaboration, interactions between multiple networks that characterize different aspects of the underlying system and effects of information flow patterns. _x000D_
_x000D_
The proposed research, if successful, can be generalized across multiple domains._x000D_
_x000D_
_x000D_
Team and Project Management:_x000D_
_x000D_
The team is certainly composed of very highly qualified researchers (though two of them are listed as key-personnel)._x000D_
_x000D_
The team has track record of prior collaboration with the main institution and across the institutions. (The team members some from only two institutions, only one PI is from the second institution.)_x000D_
_x000D_
There is no useful detail for the discussion of the project timeline. _x000D_
_x000D_
Validation:_x000D_
_x000D_
While the proposal lists a number of testbeds available to the team, it does not detail any of these testbeds or the particular experiments to be conducted. Furthermore, the proposal does not name any specific metrics using which the validation results will be assesses. _x000D_
_x000D_
_x000D_
Scope and Goals:_x000D_
_x000D_
Instead of creating a coherent research plan, the proposal lists a large collection of tasks. As such the proposed effort is quite suitable for partitioning smaller (still not small given the breadth of the proposed effort) projects. Indeed, such partitioning may help focus on subsets of the challenges which would improve the likelihood of success._x000D_
_x000D_
In the context of the five review elements, please _x000D_
evaluate the strengths and weaknesses of the proposal with respect to broader impacts._x000D_
_x000D_
BROADER IMPACTS_x000D_
_x000D_
+ The data management plan is adequate._x000D_
+ The postdoc mentoring plan is adequate._x000D_
+ The proposal lists a number of applications on which the potential outcomes from the proposed effort may have impact._x000D_
- While the education and outreach plan touches on a number of potentially useful activities (including collaborations with European labs), it is very sparse in the specific details and mostly relies on institutional resources._x000D_
- There is no discussion of unconventional means for dissemination of the results beyond academic publications._x000D_
_x000D_
Please evaluate the strengths and _x000D_
weaknesses of the proposal with respect to any additional solicitation-specific review criteria, if _x000D_
applicable_x000D_
_x000D_
SOLICITATION-SPECIFIC REVIEW CRITERIA_x000D_
_x000D_
Education and Outreach Plan:_x000D_
_x000D_
The education and outreach plan appendix discusses the possibility of co-teaching courses on topics related to the proposed effort. The institution has a track record of educating students in disciplines that are related to CPS. There is no particular emphasis on education and outreach activities that will be enabled by the proposed effort. _x000D_
_x000D_
_x000D_
_x000D_
Transition to Practice Option:_x000D_
N/A_x000D_
_x000D_
Summary Statement_x000D_
_x000D_
The proposal is on a longstanding challenge in CPS. It does a relatively good job in offering a plausible framework to study a good set of the underlying problems with connections to recent results. On the other hand, it spreads too thin. Some of the thrusts can easily be isolated from the rest to obtain an interesting core. However, the proposal puts no effort in that direction._x000D_
_x000D_
</t>
  </si>
  <si>
    <t>CPS: Frontier:  Collaborative Research: Networked HCPS: Models, Architectures and Performance Evaluation - John S. Baras, University of Maryland_x000D_
    CPS are technological systems where physical components and cyber components are tightly integrated. Most of modern CPS are actually networked, typically via the Internet or the cloud, or via special networks. Examples include modern factories, modern enterprises, collaborating UAS, heterogeneous wireless networks, heterogeneous wireless sensor networks, social networks over the Internet, the Industrial Internet Consortium (IIC), the Internet of Things (IoT), healthcare systems. When networks are under consideration new fundamental challenges emerge as the network semantics must be modeled and taken into consideration. The  research is addressing fundamental challenges on two key CPS fronts: (a) on the interface between the cyber and physical components, their joint design and performance evaluation; (b) on the implications of the networked interfaces and the collaborative aspects of these systems, their design and performance evaluation. Additional challenges that have emerged recently, also addressed in the proposed research, are at the front of: (c) incorporation of humans, which are ubiquitous elements of such networked CPS, as system components from  the  start  of  the  modeling, analysis  and performance evaluation. These systems are called Networked Human Cyber Physical Systems (Net-HCPS)._x000D_
     The specific objectives of the proposed research program are: Objective O1 - Develop new models of dynamic networked HCPS; Objective O2 - New concepts of information value for decision making; Objective O3 - New principles, methods and algorithms for performance evaluation; Objective O4 - Methods of modeling human behavior and validation of Net-HCPS.  The proposed research program addresses as its first priority the research target area "II.A.1 Science of Cyber-Physical Systems," as a second priority the research program addresses the research target area "II. A. 3 Engineering of Cyber-Physical Systems," and as a third priority the research target area "II. A. 2 Technology for Cyber-Physical Systems." Specific Net-HCPS applications: Internet of Things (IoT), CPS Security and Privacy, System Design and Verification, Real-time Control and Adaptation. Key words: multi-layer models, multigraphs, coalitional games, value of information, trust, MBSEThrough the proposed development of new fundamental concepts, principles and methodologies for networked human-cyber-physical systems, and the interactions of dynamic multi-graphs at three layers, it will be possible to dramatically improve the analysis and practical design of complex Net-HCPS in many application domains of broad interest including: networked human machine-systems, networked autonomous unmanned vehicles, social networks structure and control, web intelligence, home land security, command-control-decision making systems, emergency health care systems. The anticipated advances represent a transformational step towards a deeper understanding of autonomy in multi-agent systems. Trust is emphasized as an important catalyst for collaboration in Net-HCPS. Novel models of human behavior and decision making are introduced.The models, analytics, methods, algorithms and experimental validation results of the proposed research program will impact many other CPS where humans and machines interact and collaborate including smart grids, critical infrastructure monitoring, factory automation, smart manufacturing, the Industrial Internet. The novel models of human behavior and human decision making will have broad impact on human-machine systems, associated learning and adaptation. Trust and recommendation systems are ubiquitous. The impact of the proposed research and results on trust in social and economic networks over the Web would be significant. New undergraduate capstone and graduate courses will be developed on Net-HCPS. An education and internship program for high school students will be developed. Particular emphasis will be given to recruit women and students form under-represented groups. A summer school for graduate students in engineering and computer science will be organized on the topics of Net-CPS and Net-HCPS.</t>
  </si>
  <si>
    <t>1739922</t>
  </si>
  <si>
    <t>Roy</t>
  </si>
  <si>
    <t xml:space="preserve"> Panel Summary       
  I. SYNOPSIS OF PROPOSAL OBJECTIVES AND APPROACH:_x000D_
_x000D_
The proposed research is to develop models and algorithms for hidden dynamic cascading failures in CPS infrastructures. For this purpose, the proposal seeks to create techniques for monitoring and control of dynamic cascades in the face of failures or security attacks. It uses two different application domains to exemplify the research tasks: Infection management of zoonotic diseases and resilience of the smart electric grid. _x000D_
_x000D_
The broader impacts include the potential for coordination of the critical infrastructure in the United States, specifically for infection management and power-grid protection. The broader impacts also include the student-led software-development and technology transfer efforts, community-catered rural and urban outreach efforts for a wide range of audiences, and a curriculum development effort._x000D_
_x000D_
_x000D_
INTELLECTUAL MERIT:_x000D_
_x000D_
Strengths:_x000D_
+ The panel found that the overarching idea is monitoring and control of hidden dynamic cascades. _x000D_
+ The panel believes that cascading failures in networked CPS are still not well understood._x000D_
_x000D_
Weaknesses:_x000D_
- The panel believes that there has been a lot of research in this area that the proposal seems to have missed. Some reviews contain references that the PIs are encouraged to consider reviewing. The panel thought that the proposers should consider differentiating their proposed novelty from the state of the art in a clear way. _x000D_
- Even though the similarities between the two applications are explained in a very detailed manner, the panel thought that they also differ in other aspects. For example, the timescales of the dynamics are significantly different. The effect of communication and computation will certainly be different in failures that cascade over seconds-to-minutes timescale vs those over days-to-weeks timescale.  While the proposers may have chosen to deliberately focus on the factors detailed in the proposal, the panel thought that the proposers could strengthen the connection to the main CPS challenges. _x000D_
_x000D_
BROADER IMPACTS (including Postdoc Mentoring Plan and Data Management Plan):_x000D_
_x000D_
Strengths:_x000D_
+ The panel found that the proposed research effort is timely. _x000D_
+ The panel found it valuable that the proposed research is working on two domains at the same time with the intention to generate tools and methods that are applicable to both. _x000D_
_x000D_
Weaknesses:_x000D_
- The PIs track record for broader impact is not spelled out in the proposal. Most proposals at the Frontier level provide a summary of the PIs' track record on broader impacts, ranging from education and outreach to technology transfer. _x000D_
_x000D_
_x000D_
SOLICITATION-SPECIFIC REVIEW CRITERIA_x000D_
_x000D_
Contribution to CPS Vision:_x000D_
+ The panel found that the applications are clearly in the scope of CPS. _x000D_
- However, the panel thought it is less clear how the proposed work significantly expands the core technical research within CPS._x000D_
_x000D_
_x000D_
Collaboration Plan (for more than one investigator - not just multiple institutions)_x000D_
+ The panel found the collaboration plan adequate. _x000D_
_x000D_
Evaluation &amp; Validation:_x000D_
- The panel wanted to know more details about the how the testbeds will permit realistic validation of CPS research. The proposal could be improved with letters of commitment from relevant partners. _x000D_
_x000D_
_x000D_
Team &amp; Project Management:_x000D_
+ The proposing team is composed of individuals with a strong background._x000D_
_x000D_
Transition to Practice Option (only if applicable):_x000D_
N/A_x000D_
_x000D_
Data Management Plan:_x000D_
- The panel found that the Data Management plan has some deficiencies, particularly around how sensitive data will be collected, stored, used and protected. _x000D_
 _x000D_
Post-Doc Mentoring Plan (if applicable):_x000D_
+ The panel found that the Post-Doc Mentoring plan is adequate._x000D_
_x000D_
_x000D_
Suggestions for improvement:_x000D_
The panel recommends that the PIs clarify how a unifying set of models for dynamic cascading failures will be developed, unifying (to the best extent possible) the two domains the PIs proposed to evaluate and also other domains of networked CPS in which hidden dynamic cascading failures may be an important problem._x000D_
The panel encourages the PIs to review the literature that is mentioned in the reviews. _x000D_
_x000D_
_x000D_
PANEL RECOMMENDATION:_x000D_
The panel classified this proposal as Low Competitive. The main reasons for this are: While the overarching goal is timely and potentially impactful, the proposal lacks innovative technical plan that distinguishes the proposed work from what already exists in the literature._x000D_
_x000D_
All members of the panel have read this panel summary and concur that it accurately reflects the panel's discussion of the proposal. 
</t>
  </si>
  <si>
    <t xml:space="preserve">In the context of the five review elements, please _x000D_
evaluate the strengths and weaknesses of the proposal with respect to intellectual merit._x000D_
_x000D_
INTELLECTUAL MERIT_x000D_
_x000D_
PROPOSAL OBJECTIVES AND APPROACH_x000D_
_x000D_
It is proposed to develop models and control methodologies to mitigate the impact of dynamic cascades in CPS where local disruptions hidden from monitoring sensors generate transients across the network of cyber, physical and human components.  The motivating applications are propagation of infections and cascading of the effects of failures in the power-grid. It is proposed to develop common models for dynamic cascades based on Hamiltonian based models of network hidden dynamics. Based on this common formulation, four research thrusts are pursued to enable coordinated detection and mitigation of dynamic cascades: topological analysis of network input-output dynamics; techniques for malicious and cooperative control; optimal allocation of control resources; trigger detection and resolution. The results will be tested on testbeds that correspond to the two motivating applications, on infection management and on power-grid. It is a proposal on an interesting and important topic. One of the key assumptions is that there exist common models for dynamic cascades across a network._x000D_
_x000D_
+The problem addressed is timely and very important._x000D_
- The proposed research is not going beyond existing results. _x000D_
-There is a key assumption of an appropriate common model able to describe both motivating applications and perhaps others as well. This is not clear and it is important to be clarified. Note that the time scales in the two examples are quite different. _x000D_
_x000D_
_x000D_
In the context of the five review elements, please _x000D_
evaluate the strengths and weaknesses of the proposal with respect to broader impacts._x000D_
_x000D_
BROADER IMPACTS_x000D_
_x000D_
+The Postdoctoral Mentoring and Data Management plans are adequate_x000D_
+Successful research in this project will have implications on catastrophic failures in other large CPS_x000D_
_x000D_
Contribution to CPS vision:_x000D_
_x000D_
Successful completion of the proposed research will contribute to the advancement of knowledge in CPS.   _x000D_
_x000D_
_x000D_
Team and Project Management:_x000D_
_x000D_
+ Strength of the team. _x000D_
_x000D_
Validation:_x000D_
_x000D_
- It is not clear how effective the validation plan will be. _x000D_
_x000D_
_x000D_
Scope and Goals:_x000D_
_x000D_
+Very good._x000D_
_x000D_
_x000D_
_x000D_
Please evaluate the strengths and _x000D_
weaknesses of the proposal with respect to any additional solicitation-specific review criteria, if _x000D_
applicable_x000D_
_x000D_
Education and Outreach Plan:_x000D_
_x000D_
+The education and outreach plans are well developed._x000D_
_x000D_
_x000D_
Summary Statement_x000D_
_x000D_
It is a proposal on an interesting and important topic. A key assumption is that there exist common models for dynamic cascades across a network. Successful completion will impact other large CPS._x000D_
_x000D_
</t>
  </si>
  <si>
    <t xml:space="preserve">In the context of the five review elements, please _x000D_
evaluate the strengths and weaknesses of the proposal with respect to intellectual merit._x000D_
_x000D_
Summary:_x000D_
The proposal seeks to create techniques for monitoring and control of dynamic cascades in the face of failures or security attacks. It uses two vastly different application areas to exemplify the research tasks - infection management of zoonotic diseases and resilience of the smart electric grid. _x000D_
_x000D_
Positives and negatives:_x000D_
(+) As CPS become more distributed and become used in more critical applications, it is important to protect them from cascading failures. Thus, the focus of the proposal is timely._x000D_
(+) The infection management application area is intriguing, i.e., the casting of this problem in the CPS context is novel._x000D_
(+) The team has a good track record of prior work in the topic areas._x000D_
_x000D_
(-) The single biggest shortcoming of the proposal is that it does not make a clear case for novelty. It seemed to me that some fairly well trodden problem areas are repeated, but under different wordings (this proposal uses "wide area dynamic cascades", "hidden cascades"). Monitoring and control of cascading failures or security attacks seems to be an overly broad problem statement. This is the subject of 100s of papers to date. Therefore I would suggest to the PIs to focus their proposal._x000D_
(-) Looking at specific technical tasks also, the proposal does not make a strong case for what is the gap and why the proposed solution will bridge the gap. Here are two examples:_x000D_
* In Sec. 2.2, the proposal states that what is novel is that this project will focus on standard state variable representations of system dynamics. There is even a recent book on this that summarizes tens of papers on this topic:_x000D_
a recent book on this (2017) that summarizes a lot of the prior work:_x000D_
Sauer, Peter W., Mangalore A. Pai, and Joe H. Chow. Power System Dynamics and Stability: With Synchrophasor Measurement and Power System Toolbox. John Wiley &amp; Sons, 2017._x000D_
* What is different in MCC thrust from what has been done before except that it has not been called dynamic cascades. The context of existing work is that there is a network and an adversary can capture some nodes in the network and through that, spread the infection to other nodes in the network. This is the subject of &gt; 30 papers._x000D_
See for example:_x000D_
Su, Lili, and Nitin H. Vaidya. "Fault-tolerant multi-agent optimization: optimal iterative distributed algorithms." In Proceedings of the 2016 ACM Symposium on Principles of Distributed Computing, pp. 425-434. ACM, 2016._x000D_
Mitra, Aritra, and Shreyas Sundaram. "Secure distributed observers for a class of linear time invariant systems in the presence of byzantine adversaries." In Decision and Control (CDC), 2016 IEEE 55th Conference on, pp. 2709-2714. IEEE, 2016._x000D_
(-) In the first application area (control of infection), the PIs do not provide a clear description of the current state of practice. For the second application area (smart grid), this has been so well trodden that I do not see much scope for novelty in the proposed work._x000D_
(-) Some of the fundamental premise/assumptions of the work are not properly justified. For example, it claims "assets for monitoring and control ... are extremely sparse and limited". This is not true in several parts the smart grid case - there are current, voltage, and phase measurements at fine granularity and breakers can exert fine-grained control. _x000D_
_x000D_
Contribution to CPS vision:_x000D_
The proposed research does seek to address multiple technical challenges in CPS (distributed monitoring of cascading failures, distributed control to stop the cascade). The proposed approach is framed in a way where the specifics from the two domains can be generalized. _x000D_
_x000D_
Team and Project Management:_x000D_
The proposal brings together PIs with complementary expertise from multiple institutions. The role of each PI is spelled out well._x000D_
_x000D_
Validation:_x000D_
The validation part of the proposal is not entirely convincing. There is a lack of practical testbed and use case based evaluations. There is also little evidence of input from practical stakeholders. There is no letter from practitioners and a single, maybe not even that relevant, paper is cited as evidence of all the industrial collaborations. _x000D_
_x000D_
Scope and Goals:_x000D_
The overall scope for the project is large enough for a Frontier project. My contention is that the scope is too large and unfocused and hence does not make a clear case for the gap and its contributions._x000D_
_x000D_
In the context of the five review elements, please _x000D_
evaluate the strengths and weaknesses of the proposal with respect to broader impacts._x000D_
_x000D_
(+) Focus on making distributed systems more robust to failures is a timely effort._x000D_
_x000D_
(-) Without significantly more energy in practical instantiations, the broader impacts in the wide variety of domains mentioned here is unlikely to materialize. _x000D_
(-) The broader impacts from the prior NSF funding of the PIs is underwhelming. For example, for PI Ray, it is mentioned as prior broader impact "research dissemination on complex networks". What complex networks, what dissemination? No citation is provided. For PI Preciado, it is mentioned "Tools for mobile autonomous systems" but no such tool reference (paper/software repository) is provided. _x000D_
_x000D_
_x000D_
_x000D_
Please evaluate the strengths and _x000D_
weaknesses of the proposal with respect to any additional solicitation-specific review criteria, if _x000D_
applicable_x000D_
_x000D_
From the solicitation:_x000D_
"all Frontier proposals will be evaluated on the strength of their Collaboration Plans. All Frontier proposals will also be evaluated on the strength of their Education and Outreach Plans."_x000D_
_x000D_
(+) The education and outreach plan has as its positive the development of a common course with modules from each of the institutions. This is a novel course that should pique the interest of students. _x000D_
_x000D_
(-) No letter of support from local community stakeholders or industrial organizations reduces the effectiveness of some of the claims in the outreach section. _x000D_
(-) It is claimed that there will be transition of software developed by the undergraduate students to practitioners in the infection management and electric power engineering spaces. This does not seem credible to me and the PIs do not put forward any evidence to convince me of the feasibility. _x000D_
_x000D_
_x000D_
Summary Statement_x000D_
_x000D_
This is a proposal that treads on well-trodden ground in the area of monitoring and control of distributed systems for failures. It does not clearly articulate a novel approach and the education and outreach plan are also not well developed. _x000D_
_x000D_
_x000D_
</t>
  </si>
  <si>
    <t xml:space="preserve">In the context of the five review elements, please _x000D_
evaluate the strengths and weaknesses of the proposal with respect to intellectual merit._x000D_
_x000D_
PROPOSAL OBJECTIVES AND APPROACH_x000D_
_x000D_
The main objective of the proposed research is to developing models and algorithms for hidden dynamic cascading failures in CPS infrastructures. The proposed approach is to make advances in CPS science at the intersection of control theory,optimization, and network science and to contribute to the technology and engineering of CPS via develop evaluation and design tools for a focus applications involving validation using experimental testbeds. _x000D_
+ The main objective of the proposed research considers an important problem of cascading failures. This area of study has received some attention in the past. Yet, what this proposal is seeking to develop is still missing. _x000D_
- The proposed approach is somewhat similar to what is in the existing literature. There is little innovation to justify for a large project, when compared to the existing literature. _x000D_
- The project would benefit from a discussion of the social aspects of research, ideally with contribution from social scientists. _x000D_
_x000D_
Contribution to CPS vision:_x000D_
+ The research area is an important component of CPS vision. _x000D_
_x000D_
_x000D_
Team and Project Management:_x000D_
+ The proposed research effort is conducted with a strong team of researchers with complementary expertise. _x000D_
+ The utilization of CPS-VO may help disseminate results rapidly to the CPS community. _x000D_
- There is no clear timeline and milestones set for the project. _x000D_
_x000D_
_x000D_
Validation:_x000D_
+ Validation efforts involve two focus areas, which may help reduce risk. _x000D_
- There is little towards a real-world testbed for validation. Unfortunately, this is somewhat the nature of the project, as it focuses on infrastructure systems. A full-size testbed is a full-fledged infrastructure system, which the authors may not have access to. However, the validation efforts should at least provide data to extrapolate towards that direction. Strong industry/government partners with access to data from real-world infrastructure may substantially strengthen the proposal. _x000D_
_x000D_
_x000D_
Scope and Goals:_x000D_
+ The project goal, to develop the foundations for cascading failures in CPS infrastructure, may have substantial impact if successful. _x000D_
- Project scope is wide enough for a CPS Frontier effort. However, in this reviewer's opinion, the scope is slightly misplaced. The scope could either be shifted more towards the theoretical underpinnings, or it could be shifted towards a real-world application with real-world validation data._x000D_
_x000D_
In the context of the five review elements, please _x000D_
evaluate the strengths and weaknesses of the proposal with respect to broader impacts._x000D_
_x000D_
BROADER IMPACTS_x000D_
+ If successful, the project may have a lasting economic impact in the U.S., as it relates to CPS infrastructure. _x000D_
+ There are some innovative ideas on dissemination that are realistically scoped and well described, e.g., journal special issues, workshops, comparison studies, student-to-practitioner tech transfer, and so on._x000D_
_x000D_
Please evaluate the strengths and _x000D_
weaknesses of the proposal with respect to any additional solicitation-specific review criteria, if _x000D_
applicable_x000D_
_x000D_
Education and Outreach Plan:_x000D_
+ There are detailed, innovative plans on education and outreach. _x000D_
_x000D_
Transition to Practice Option:_x000D_
N/A_x000D_
_x000D_
_x000D_
Summary Statement_x000D_
_x000D_
The proposed research aims to develop models and algorithms for cascading failures in CPS infrastructure. The reasons for my rating of Good are the fact that the research area is an important one, but the proposal lacks a good scope, informative validation effort._x000D_
_x000D_
</t>
  </si>
  <si>
    <t xml:space="preserve">In the context of the five review elements, please _x000D_
evaluate the strengths and weaknesses of the proposal with respect to intellectual merit._x000D_
_x000D_
PROPOSAL OBJECTIVES AND APPROACH_x000D_
_x000D_
The proposal focuses on cascading effects in networked CPS. The proposed effort builds on a unified abstraction for two examples of such cascades in networks. Its particular components are on connections between network structure and the corresponding dynamics; control design accounting for both adversarial and cooperative actors; resource allocation as a means for proactive reasoning about cascades; and effects of impulsive inputs to the network. _x000D_
_x000D_
+ Despite a range of recent work, cascades in networked CPS are still not well understood. The proposed effort is timely._x000D_
+ The motivating applications are well explained. _x000D_
+ It is plausible that the particular research components will offer solutions toward the problems put forward in the proposal._x000D_
- The applications are clearly in the scope of CPS. On the other hand, it is less clear whether the proposed work itself addresses the core challenges (or leverages the main enabling factors) of CPS or addresses problems in networks that fits the proposed abstraction in the proposal. _x000D_
- The similarities between the two applications are explained in a very detailed manner. On the other hand, they also differ in other aspects. For example, the timescales of the dynamics are significantly different. The proposers may have chosen to deliberately focus on the factors detailed in proposal (which is fine). However, this choice makes the connection to the main CPS challenges and enabling factors even thinner. (The effect of communication and computation will certainly be different in failures that cascade over seconds-to-minutes timescale vs those over days-to-weeks timescale.)_x000D_
- The thrusts as structured look quite fragmented. It is almost like each participating institution took one thrust. It is of course reasonable to claim that they are integrated trough the unified abstraction. Yet, the abstraction is quite generic, and integration through that only is not convincing. _x000D_
_x000D_
_x000D_
_x000D_
Contribution to CPS vision:_x000D_
_x000D_
The proposal explicitly and accurately explains the potential impacts on CPS science and technology. The level at which the proposal poses and addresses problems is quite generic. It is therefore likely that the results will have relevance across several domains (two of which are detailed in the proposal). A difficulty for the proposed effort may be in connecting the results at this high-level of abstraction to actual physical, communication and computation embodiment of CPS. _x000D_
_x000D_
_x000D_
_x000D_
Team and Project Management:_x000D_
_x000D_
There is a clear mapping between tasks and the team members. As stated before, this mapping is quite fragmented and it gives the impression that each institution may be working in isolation. The coordination plan does not shed much light on how this fragmentation will be resolved beyond some high-level descriptions and list of types of meetings to be held. _x000D_
_x000D_
The multi-institution structure is not explicitly justified. While the expertise from different institutions is complementary (with sufficient coverage), there is no clear evidence that the proposed plan will necessarily be able to exploit this aspect. _x000D_
_x000D_
The budget is appropriate for this level of effort. _x000D_
_x000D_
_x000D_
Validation:_x000D_
_x000D_
The team has experience, prior experience and/or concrete connections to connect the proposed work to the applications discussed in the proposal. They have a plan to validate either on appropriate testbeds or against realistic data. The validation plan presents a series of cases with increasing complexity. On the other hand, it lacks clear metrics with respect to which the progress can be assessed. _x000D_
_x000D_
_x000D_
Scope and Goals:_x000D_
_x000D_
One of the weakest points of the proposal is justification of the need for a large effort. On the contrary, the proposal and the proposed work seem like several smaller projects can be created relatively easily and awarded to each participating institution. _x000D_
_x000D_
_x000D_
In the context of the five review elements, please _x000D_
evaluate the strengths and weaknesses of the proposal with respect to broader impacts._x000D_
_x000D_
BROADER IMPACTS_x000D_
_x000D_
+ If successful, the results of the proposal can be leveraged in a wide range of networked CPS._x000D_
- The postdoc mentoring plan is relative generic. It is sound yet does not reflect on any of the strengths or limitations of the team in attracting and supporting high-quality postdocs. _x000D_
- The data management plan lacks specificity and does not address how data will be collected, stored, used and protected. _x000D_
_x000D_
_x000D_
Please evaluate the strengths and _x000D_
weaknesses of the proposal with respect to any additional solicitation-specific review criteria, if _x000D_
applicable_x000D_
_x000D_
SOLICITATION-SPECIFIC REVIEW CRITERIA_x000D_
_x000D_
Education and Outreach Plan:_x000D_
_x000D_
_x000D_
+ The education and outreach plan is extensive with some interesting components (e.g., catering to rural local communities). _x000D_
- Unfortunately, this plan also stays fragment for the most part. _x000D_
+ The plan includes activities beyond the participating institutions. _x000D_
- While some of the activities will naturally reach out to underrepresented groups, there is not much explicit emphasis on that aspect. _x000D_
_x000D_
_x000D_
_x000D_
Transition to Practice Option:_x000D_
N/A_x000D_
_x000D_
Summary Statement_x000D_
_x000D_
The proposal is well written and makes a clear case for a set of problems progress in which will make contributions to the CPS science and possibly engineering. It motivates a coherent abstraction that addresses two seemingly different applications sufficiently well. The thrusts provide a useful coverage of the underlying challenges. One weakness is that the decomposition of the thrusts among the institutions creates a fragmented structure._x000D_
_x000D_
</t>
  </si>
  <si>
    <t>CPS: Frontier: Collaborative Research: Wide-Area Monitoring and Control of Hidden Dynamic Cascades in Cyber-Physical Infrastructures; Sandip Roy, Washington State University._x000D_
  The United States' critical infrastructures entail complex interconnections of cyber, physical, and human assets, which operate in highly resource-limited and adversarial environments.  This interconnectivity dictates that the infrastructures are prone to dynamic cascades, wherein local disruptions initiate sophisticated propagative transients across the network.  Because these cascades have wide-area impacts yet are often largely hidden from authorities, their resolution is both imperative and extremely challenging. The purpose of this project is to address this grand-challenge problem, by developing an encompassing model and monitoring/control methodology for hidden dynamic cascades._x000D_
   Science of CPS: The premise of the proposed research is that dynamic cascades in many domains have a similar structure, which enables a general solution based on the concept of hidden network dynamics.  The proposers' interest in dynamic cascades arises from two vastly different focus applications, which are important challenges in their own right: 1) infection management for emerging, antimicrobial-resistant zoonotic diseases; and 2) mitigation of propagative dynamics that arise in power grids via distributed controls.  The dynamic cascades in these two settings have remarkably similar features, including: 1) spatiotemporal propagations punctuated by discrete trigger events, 2) sparse sensing and actuation capabilities, and 3) complicating factors like embedded controls, delays, and stochastics.  These features allow for a common hidden-network-dynamics modeling framework, based on Hamiltonian-form nonlinear models and their linearized approximations.  Based on this common formulation, we pursue four research thrusts to enable coordinated detection and mitigation of dynamic cascades: 1) topological analysis of network input-output dynamics; 2) techniques for malicious and cooperative control; 3) optimal allocation of control resources; and 3) trigger detection and resolution.   _x000D_
   Technology and Engineering of CPS: The framework will be used to develop evaluation and design tools for the two focus applications, and the results will be deployed and validated in real-world testbeds.  In particular, infection-management strategies will be deployed and evaluated in the WSU Veterinary Teaching Hospital, with a focus on cyber-enabled interventions.  Meanwhile, failure/attack detectors for grid control systems will be deployed at the Phasor Measurement Laboratory for the Western U.S. grid._x000D_
   Keywords: real-time control, security, infectious disease control, power grid cascadesIntellectual Merit: The intellectual merit lies in: 1) the common formulation and general solution framework developed for managing dynamic cascades in cyber-physical-human infrastructures; 2) the new methodology for coordinated monitoring and control, which integrates concepts from network control theory, optimization, epidemiology, power engineering, computer systems, social networks, and algebraic graph theory; and 3) the proposed advances to modeling and design for the focus applications. Taken together, the project comprehensively treats the problem of wide-area, coordinated monitoring and control of dynamic cascades in critical infrastructures.Broader Impact: The project will enable coordination and autonomy across multiple scales in the United States' critical infrastructures, which represents a paradigm shift from today's operations.  The project will also yield deployed technologies for hospital infection management and power-grid protection, which hold promise to provide significant cost savings and improve performance/ reliability for these large-scale socio-technological systems.  Methodologically, the project will yield general modeling and design tools that stretch across human, cyber, and physical layers.  To develop these broader impacts, a wide range of dissemination, education, and outreach efforts are proposed.  Highlights include: 1) multi-university student-led software-development and technology transfer efforts; 2) community-catered rural and urban outreach efforts on cyber-enabled controls, with audiences ranging from veterinary practitioners to K-12 students; and 3) a collaborative course-development effort.</t>
  </si>
  <si>
    <t>1739927</t>
  </si>
  <si>
    <t>Gerdes</t>
  </si>
  <si>
    <t xml:space="preserve"> Panel Summary       
 _x000D_
I. SYNOPSIS OF PROPOSAL OBJECTIVES AND APPROACH:_x000D_
_x000D_
The main objective of the proposed research is to ensure the safety and security of commercial aircraft avionic systems. Research thrusts are on studying security threats facing existing aviation CPS and ensuring that security updates preserve functional properties; performing intrusion detection; studying potential effects of attacks on human operators and utilizing operators' insights; and on developing an integrated design framework that achieves resiliency through recon&amp;#64257;gurability and selective redundancy. The broader impact objective is that the research will provide foundational knowledge upon which safe and secure air transport can be built. In education and outreach, to train future CPS workforce that is well versed in aviation and security, a targeted pipeline to recruit and retain students starting in middle school all the way to graduate studies and eventual job placement is proposed._x000D_
_x000D_
_x000D_
INTELLECTUAL MERIT:_x000D_
_x000D_
Strengths:_x000D_
_x000D_
+ Proposed research is timely and on a very important topic._x000D_
+ A comprehensive approach to address avionic systems security issues is proposed._x000D_
+ Close collaboration with industry is planned at every task._x000D_
+Successful completion of the proposed research will contribute to the advancement of knowledge in CPS.   _x000D_
+The range of adaptation issues includes: software and hardware platform synthesis and reconfiguration, switched control and reconfiguration, real time systems and dynamic scheduling, CPS cybersecurity, (online and offline) formal assurance, and human factors.  _x000D_
_x000D_
_x000D_
Weaknesses: _x000D_
_x000D_
-Emphasis is primarily on software techniques and the project is closer to cyber security than CPS security. It is not quite clear how the state of the art in CPS security is advanced. _x000D_
-Only security issues affecting assurance in avionic systems are addressed; resilience issues related to safety and/or resource management are not addressed. The cybersecurity focus seems to have resulted in a controller switching philosophy aimed almost solely at cyberattack mitigation, rather than taking a broader view of aircraft control for increased airspace capacity for autonomy, vehicle interaction, or collision avoidance. _x000D_
-The requirement that the resulting platforms and systems be adaptive although promising poses major challenges, and this is not adequately discussed. _x000D_
- The proposal does not offer novel theory or algorithm development for most of the problems discussed. it is questionable whether the proposal puts forward sufficient new innovative ideas._x000D_
- Some of the claims are not adequately justified. For example, the claims in the statement: We will provide Lyapunov-based proofs to guarantee stability, while detecting attacks and adaptively and randomly switching between optimal controllers in every attack mode._x000D_
_x000D_
_x000D_
BROADER IMPACTS (including Postdoc Mentoring Plan and Data Management Plan):_x000D_
_x000D_
+The Postdoctoral Mentoring and Data Management plans are appropriate. _x000D_
+ The broader impact is on the whole aviation industry and has pervasive societal and economic implications._x000D_
+The project anticipates extensive involvement through ongoing relationships with industrial partners (Boeing, Rockwell Collins, UTC, Southwest Airlines and FedEx), which would amplify impact._x000D_
+This is an excellent area for STEM involvement. Graduate students receiving support are expected to include a significant proportion of women students.  _x000D_
_x000D_
_x000D_
SOLICITATION-SPECIFIC REVIEW CRITERIA_x000D_
_x000D_
Contribution to CPS Vision:_x000D_
_x000D_
+ The security issue is of significant importance in CPS._x000D_
+The proposal has sections on relevance to CPS research target areas after each research task subsection. _x000D_
-The impact on the security of other CPS systems is not clear._x000D_
- The proposed research does not advance fundamental science of importance to CPS. _x000D_
It seems that the physical part of the CPS is the human operator. _x000D_
_x000D_
_x000D_
Collaboration Plan _x000D_
_x000D_
-The collaboration plan is not detailed enough._x000D_
- No rationale for the multi-institution structure is discussed. _x000D_
_x000D_
_x000D_
Evaluation &amp; Validation:_x000D_
_x000D_
+The Validation plan is strong._x000D_
+The MTSU portion of the project examines responses of aviation. _x000D_
+ There are plans for collaboration with industry partners. _x000D_
-The exact involvement of testbeds by industrial partners is not clear. _x000D_
-A clear discussion of experimentation protocols and metrics to assess the progress is missing. _x000D_
-While participation of Boeing, Southwest, and Fedex was discussed - specifics of comittment was lacking -- especially from the Boeing side. _x000D_
_x000D_
_x000D_
Team &amp; Project Management:_x000D_
_x000D_
+The Data Management and Post-Doc Mentoring Plans are adequate. _x000D_
+ Figure one describes very clearly the PI roles. _x000D_
+The PIs appear to be very knowledgeable of this area with preexisting strong ties with leading industrial partners.  _x000D_
-While each task is presented as a progression of multiple steps, the proposal does not include a proper schedule. _x000D_
_x000D_
_x000D_
PANEL RECOMMENDATION:_x000D_
_x000D_
The panel classified this proposal as Low Competitive. The main reasons for this are:_x000D_
_x000D_
Although the proposed problem is timely and important with potentially great impact to avionics industry, and the proposing team is strong with strong ties to leading industrial partners, the following weaknesses were identified:_x000D_
_x000D_
-There is no strong component that advances foundational science which is very important to CPS; there is lack of fundamental research component._x000D_
-It is unclear how the proposed reconfiguration will preserve the dynamic behavior; not enough details are provided. Technical details are lacking._x000D_
-Emphasis is on cyber security and not as much on CPS security. The core scientific contributions do not appear to be very strong. Perhaps it would be more appropriate for such focused problems to seek funding from other agencies that emphasize the application_x000D_
 - Not clear whether testbeds are adequate for validation._x000D_
- There is no convincing team integration strategy. _x000D_
_x000D_
_x000D_
_x000D_
_x000D_
All members of the panel have read this panel summary and concur that it accurately reflects the panel's discussion of the proposal. 
</t>
  </si>
  <si>
    <t xml:space="preserve">In the context of the five review elements, please _x000D_
evaluate the strengths and weaknesses of the proposal with respect to intellectual merit._x000D_
_x000D_
INTELLECTUAL MERIT_x000D_
_x000D_
PROPOSAL OBJECTIVES AND APPROACH_x000D_
_x000D_
This project aims to provide assurance in aviation CPS. The overall goal of the proposed research is to ensure the safety and security of commercial aircraft.  It is proposed to study security threats facing existing aviation CPS and develop better software and hardware used in safety-critical systems, develop resilient operations to ensure safety during in-&amp;#64258;ight CPS, and provide adversarial-awareness to aviation personnel to prevent operator manipulation, ensure supply chain integrity, and develop an integrated design framework for uncertain and adversarial environments that achieves resiliency, using signi&amp;#64257;cantly fewer components, through recon&amp;#64257;gurability and selective redundancy. Close collaboration with industry is proposed. _x000D_
_x000D_
The following areas were identified as areas to be addressed: The compromise of &amp;#64258;ight controls systems could cause unstable closed-loop control or inconsistent information to be presented to pilots that could lead to incorrect in-&amp;#64258;ight decisions; embedded systems and networks are especially vulnerable to supply chain compromise (e.g., insider threats) that could lead to unauthorized remote access of systems resulting in fabricated, altered, or blocked messages; sensing and actuation systems do not provide or perform authentication checks and it is therefore possible to inject false sensory information or produce unsafe actuation._x000D_
_x000D_
+This is a very well written proposal. It is clear that the PIs have thought long and hard about the problem of securing avionic systems. _x000D_
_x000D_
Contribution to CPS vision:_x000D_
_x000D_
+Successful completion of the proposed research will contribute to the advancement of knowledge in CPS.   _x000D_
+The proposal has sections on relevance to CPS research target areas after each research task subsection. _x000D_
+ There is close collaboration with industry on every task._x000D_
_x000D_
Three research tasks are proposed:  First, the study of security of existing systems. Given that change of components would require tremendous effort in re-certi&amp;#64257;cation, techniques will be developed for avoiding re-certi&amp;#64257;cation or signi&amp;#64257;cantly reducing its cost by ensuring that security updates produce functionally equivalent systems. It is also proposed to study the role of human operators when the system is under attack. Because re-certification is a very heavy burden it is proposed to develop techniques to prove that a security patch only removes security vulnerabilities in the software and does not affect functionality. _x000D_
The second task is concerned with the design of aviation CPS that can operate in uncertain and adversarial environments. An intrusion detection approach will be developed using behavior fingerprinting, an approach to adapt and switch to new controllers that optimally respond to the attack. It is proposed to develop a collection of fault-tolerant techniques which a CPS may dynamically select from as the system state evolves. In the third task, the focus is on strengthening the human component of aviation CPS. _x000D_
_x000D_
+ This is a very comprehensive approach to address avionic systems security issues._x000D_
_x000D_
-Emphasis is primarily on software techniques and so the projects is closer to cyber security than CPS security. It is not quite clear how the state of the art in CPS security is advanced. _x000D_
_x000D_
Team and Project Management:_x000D_
_x000D_
+The close collaboration with leading industrial partners is a huge plus. _x000D_
_x000D_
+The PIs appear to be very knowledgeable of this area with pre existing strong ties with industry.  _x000D_
_x000D_
+The team is well integrated. _x000D_
_x000D_
+The interaction of the different teams is well described. _x000D_
_x000D_
+ Figure one describes very clearly the PI roles. _x000D_
_x000D_
+The MTSU portion of the project examines responses of aviation personnel (pilots, air traffic personnel, and personnel staffing airline flight operations centers)._x000D_
_x000D_
_x000D_
Validation:_x000D_
_x000D_
+ There is a very well described plan for validation._x000D_
_x000D_
Scope and Goals:_x000D_
_x000D_
+ This is a very comprehensive approach to address avionic systems security issues.The scale of the project requires major investment. _x000D_
_x000D_
_x000D_
In the context of the five review elements, please _x000D_
evaluate the strengths and weaknesses of the proposal with respect to broader impacts._x000D_
_x000D_
BROADER IMPACTS_x000D_
_x000D_
+The Postdoctoral Mentoring and Data Management plans are well described. _x000D_
_x000D_
+ The broader impact is on the whole aviation industry. _x000D_
_x000D_
_x000D_
Please evaluate the strengths and _x000D_
weaknesses of the proposal with respect to any additional solicitation-specific review criteria, if _x000D_
applicable_x000D_
_x000D_
Education and Outreach Plan:_x000D_
_x000D_
+The education and outreach plans are very well done._x000D_
_x000D_
_x000D_
Summary Statement_x000D_
_x000D_
+This is a very interesting and very well written proposal addressing a pressing problem, that of security in avionic systems.  The connections to leading industrial partners is a big plus._x000D_
_x000D_
-Emphasis is on cyber security and not as much on CPS security. The core scientific contributions do not appear to be very strong. Perhaps it would be more appropriate for such focused problems to seek funding from other agencies that emphasize the application. _x000D_
_x000D_
_x000D_
</t>
  </si>
  <si>
    <t xml:space="preserve">In the context of the five review elements, please _x000D_
evaluate the strengths and weaknesses of the proposal with respect to intellectual merit._x000D_
_x000D_
PROPOSAL OBJECTIVES AND APPROACH_x000D_
The proposal is for CPS Frontier-scale research to tackle issues in CPS resilience for future aviation and air transport systems.  It aims to enable and protect the national airspace by exploring concepts to enable greatly increased greatly increased adaptability and resilience, in the face of cybersecurity concerns that will arise.  Tasks in three areas would address: 1) Technology for offline synthesis and attack modeling for attack-resilient software and hardware, 2) intrusion detection, robust control, and attack-resilient (finite time, fault tolerant) dynamic reconfiguration of control and communication strategies, hardware, and software for integrated modular avionics platforms, 3) Human-in-the-Loop control, which would focus on issues such as insider threat detection; secure maintenance, repair, and operation; and awareness and adaptation training for aviation personnel._x000D_
_x000D_
In all, the proposal includes 12 major activities organized into three tasks (offline, architectural, and on-line measures).  This extremely ambitious proposal seeks to combine a selected set of solution strategies to tackle problems in security-based resiliency for adaptive CPS.  _x000D_
_x000D_
STRENGTHS_x000D_
+/- The (large) range of adaptation issues includes:  software and hardware platform synthesis and reconfiguration, switched control and reconfiguration, real time systems and dynamic scheduling, CPS cybersecurity, (online and offline) formal assurance, and human factors.  _x000D_
_x000D_
+The team is a group of capable, mostly early-career researchers who bring talent and awareness of issues and recent developments in on-line software synthesis and patching, real-time scheduling for mixed criticality systems, switched control, intrusion detection, and human interaction._x000D_
_x000D_
+The proposal acknowledges the state space complexity inherent to this area and would apply well-known SAT-based state space and concolic execution pruning methods to support both efficient implementation and assurance._x000D_
_x000D_
+ The innovation opportunity appears to lie largely in questions arising from the integration._x000D_
_x000D_
WEAKNESSES:_x000D_
-The team appears to have misunderstood the "cyber" in Cyber-Physical Systems to mean primarily cybersecurity, focusing almost exclusively on security-related resilience issues rather than tackling those related to safety, resource management, or other relevant concerns.  _x000D_
_x000D_
-The approach enumerates a (mostly known, though relevant and current) set of solution strategies for aspects of the problem.  These would have be integrated.  It does not appear that an open strategy will be attempted, in which alternative approaches will be weighed against each other.  Thus, the result will be a one-off, integrated engineering solution.  _x000D_
_x000D_
-The PIs have been active leaders in the development of some (but not all) of the constituent technical solutions to be included. _x000D_
_x000D_
-The requirement that the resulting platforms and systems be adaptive (i.e., dynamically selectable and jointly reconfigurable solutions are needed across tasks) will pose major challenges, but this is not adequately discussed.  Specifically, dynamic interaction seems likely to occur between and across the solution strategies (e.g. fault tolerance algorithm, controller selection, and real-time scheduling), as well as between tasks.  These challenges are not acknowledged or addressed realistically in the proposal.   _x000D_
_x000D_
-Although the proposal invokes mixed-criticality as a central concern, the approaches proposed are highly focused on attack resilience and not on control interactions or disruptions of other kinds. _x000D_
_x000D_
-The cybersecurity focus seems to have resulted in a controller switching philosophy aimed almost solely at cyberattack mitigation, rather than taking a broader view of aircraft control for increased airspace capacity for autonomy, vehicle interaction, or collision avoidance._x000D_
_x000D_
-It is concerning that no overarching perspective is given on the adaptation architecture that can inform the individual tasks.   _x000D_
_x000D_
_x000D_
Contribution to CPS vision:_x000D_
+Integration lessons would be learned from the security engineering effort; this is an important subtopic of CPS._x000D_
_x000D_
-The project does not directly aspire to the larger CPS vision or plan the work in the context of other concerns.  As planned, it will take an extraordinary effort by the team to distill what is learned from this (largely security engineering) effort into significant science, engineering, and technology advances for the CPS field._x000D_
_x000D_
_x000D_
Team and Project Management:_x000D_
_x000D_
+The majority of the team are at VT.  Security expertise is added from U Washington, and expertise in programming languages and software comes from USC.  Major efforts in experimental validation, outreach, and educational activities reside at Middle Tennessee and Fisk.  The teams plan to convene in conjunction with CPS PI meetings and conferences.  Regular coordination other than that does not seem fully planned._x000D_
_x000D_
+Industrial partners are expected participate from SouthWest Airlines and FedEX (carriers), as well as documented collaboration from Rockwell Collins._x000D_
_x000D_
-Each institution has one or more PIs with non-trivial or primary responsibility for the conceptual integration of the solution strategies within a major subtask.  This will be inherently complex and issues are likely to propagate across tasks. The research topic allocation is by research specialization and does not give confidence that the varied directions will all tie back together.   The human interaction topic is the most loosely coupled to the rest of the proposed work._x000D_
_x000D_
-The project is organized as mostly pairwise involvement of PIs in topic areas.  _x000D_
+Timelines are given for tasks, and funding is requested for occasional meetings of the entire team.  _x000D_
- However, given the coast-to-coast and north-to-south geographic spread of the universities and other organizations involved, as well as the interaction among topic areas and tasks, it would seem useful to have additional planned, (possibly virtual) collaboration events for team members._x000D_
_x000D_
Validation:_x000D_
+Industrial and university-based testbeds will be employed._x000D_
_x000D_
Scope and Goals:_x000D_
-The scale of the integration to be attempted is too large for a Medium CPS project.  However, the project's goals are restricted by its cybersecurity focus and not broadly informed by overall CPS science and engineering goals.  This limits the intellectual contribution as a CPS Frontier project._x000D_
_x000D_
_x000D_
In the context of the five review elements, please _x000D_
evaluate the strengths and weaknesses of the proposal with respect to broader impacts._x000D_
_x000D_
STRENGTHS:_x000D_
+Aviation safety and security have pervasive societal and economic implications. _x000D_
+The project anticipates extensive involvement through ongoing relationships with industry partners (Boeing, Rockwell Collins, UTC, Southwest Airlines and FedEx), which would amplify impact.  Letters of collaboration document the Rockwell Collins and FedEx participation.  _x000D_
+This is an excellent area for STEM involvement.  Graduate students receiving support are expected to include a significant proportion of women students.  _x000D_
+The PI leading the MTSU team is female, as is another MTSU researcher.   _x000D_
+The proposal would include major outreach activities at the two minority-serving institutions, Middle Tennessee State University (member of the NSF Louis Stokes network) and Fisk University (an HBCU).  _x000D_
+Fisk will create experimental platforms (using the Microsoft flight simulator) that should attract students._x000D_
+K-12 outreach activities would include STEM workshops with two high schools near VT that offer an introductory aeronautics curriculum._x000D_
_x000D_
WEAKNESSES:_x000D_
-It appears that most of the graduate students to be involved in the MTSU outreach component are from traditional aerospace or aviation-focused human factors programs; their primary role would be to staff the testbed activity, and they do not appear to have (or to be seeking) to develop skills directly related to the technical cybersecurity and computational topics to be emphasized in the project._x000D_
_x000D_
_x000D_
_x000D_
_x000D_
_x000D_
_x000D_
Please evaluate the strengths and _x000D_
weaknesses of the proposal with respect to any additional solicitation-specific review criteria, if _x000D_
applicable_x000D_
_x000D_
SOLICITATION-SPECIFIC REVIEW CRITERIA_x000D_
_x000D_
Education and Outreach Plan:_x000D_
+ The plan seeks to establish a pipeline program from K-12 to B.S, then M.S., then graduate education or workforce placement, including Ph.D. programs._x000D_
+ The education effort has a strong emphasis on increasing participation from underrepresented groups and on drawing K-12 students in early (a significant STEM benefit)._x000D_
+ MTSU and Fisk will conduct a 2-week summer camp for minorities and women, emphasizing experiences in areospace and cybersecurity._x000D_
- A broad view of CPS education is lacking in the plan._x000D_
_x000D_
Summary Statement_x000D_
_x000D_
The principal reason for the rating of G is that the work is approached from a limited view of CPS, overly focused on reconfiguration to respond to cybersecurity attacks without balancing other issues in CPS resilience. The second consideration is the heavy emphasis on technology integration._x000D_
_x000D_
</t>
  </si>
  <si>
    <t xml:space="preserve">In the context of the five review elements, please _x000D_
evaluate the strengths and weaknesses of the proposal with respect to intellectual merit._x000D_
_x000D_
INTELLECTUAL MERIT_x000D_
PROPOSAL OBJECTIVES AND APPROACH_x000D_
_x000D_
The main objective of the proposed research is to develop methods for assessing threats facing aviation CPS, for development of hardware and software for CPS, for the development of protocols for human-in-the-loop-control for CPS, with a focus on robustness, security and safety. _x000D_
_x000D_
Contribution to CPS vision:_x000D_
+ The research area of assured air transportation is an important area for CPS. _x000D_
- The research area has received some attention.  _x000D_
_x000D_
_x000D_
Team and Project Management:_x000D_
- The project timeline is very sparse. It is rather unclear how the project will be executed. _x000D_
_x000D_
Validation:_x000D_
+ There are plans for collaboration with industry partners. (Although, the plans are somewhat unclear.)_x000D_
_x000D_
Scope and Goals:_x000D_
+ Project goal is important. The scope is set well._x000D_
_x000D_
In the context of the five review elements, please _x000D_
evaluate the strengths and weaknesses of the proposal with respect to broader impacts._x000D_
_x000D_
BROADER IMPACTS_x000D_
+ Plans to engage with various industry partners._x000D_
_x000D_
Please evaluate the strengths and _x000D_
weaknesses of the proposal with respect to any additional solicitation-specific review criteria, if _x000D_
applicable_x000D_
_x000D_
SOLICITATION-SPECIFIC REVIEW CRITERIA_x000D_
Education and Outreach Plan:_x000D_
+ Comprehensive plans for education and outreach. _x000D_
_x000D_
Transition to Practice Option:_x000D_
N/A_x000D_
_x000D_
Summary Statement_x000D_
_x000D_
The proposed research effort aims to develop methods for assured aviation CPS. The reasons for my rating of Good are the following: while this area has utmost importance, the proposal does not put out innovative ideas that rise up to the Frontier level._x000D_
_x000D_
</t>
  </si>
  <si>
    <t xml:space="preserve">In the context of the five review elements, please _x000D_
evaluate the strengths and weaknesses of the proposal with respect to intellectual merit._x000D_
_x000D_
INTELLECTUAL MERIT_x000D_
_x000D_
PROPOSAL OBJECTIVES AND APPROACH_x000D_
_x000D_
The proposal focuses on safety and security on commercial with an eye on the effects of integration of heterogenous components and wireless communication onboard. The particular thrusts are on ensuring that security updates preserve functional properties; intrusion detection; and potential effects of attacks on human operators and utilizing operators' insights. _x000D_
_x000D_
+ System integration and transition to wireless communication are in the wish lists of the aerospace industry. They will indeed introduce new safety and security challenges._x000D_
+ The proposal addresses a relevant set of challenges._x000D_
- While the work in the particular tasks is sound and advances in these problems will likely contribute toward addressing the challenges discussed in the proposal, it is questionable whether the proposal put forward sufficient, new innovative ideas. Most of the proposal reads like a recipe that describes what kind of methods will be invoked in what order. _x000D_
- The proposal does not offer new theory or algorithm development for most of the problems discussed. _x000D_
- Some of the claims are up in the air. Just as an example, take the sentence "We will provide Lyapunov-based proofs to guarantee stability, while detecting attacks and adaptively and randomly switching between optimal controller in every attack mode." Let's temporarily assume that this sentence was meaningful and the outcome was useful for the problem domain, would finding such a "Lyapunov-based proof" be every feasible?_x000D_
- Similarly, Task 2.3 considers strategies for the time it takes between an attack occurrence and the identification of the affected subsystems. The idea discussed in the proposal is "adaptive learning". Wouldn't you need this strategy to be ready and act fast? Isn't this requirement inconsistent with that learning is of then a slow process?_x000D_
- The role of human in Task 3 is not clear. It is unlikely that humans can play trustworthy roles in security in adversarial environments (the setting put forward in the task). _x000D_
+ The proposal highlights a strong collaboration with industry. _x000D_
- On the other hand, it at multiple points relies on the contributions of industrial collaborators too much. _x000D_
_x000D_
_x000D_
Contribution to CPS vision:_x000D_
_x000D_
The proposed research, more specifically the challenge it is set to address, is of relevance to CPS vision and numerous applications in CPS. On the other hand, the proposed work itself is described as a development process rather than fundamental research. Therefore, its scientific impact will be limited. It is more likely to contribute---with limited impact---to CPS technology._x000D_
_x000D_
_x000D_
_x000D_
Team and Project Management:_x000D_
_x000D_
An indication of team integration (or the partition of the tasks among the PIs) does not come across from the main body of the proposal or from the technical discussions. The collaboration plan appendix is also very sparse in the specifics._x000D_
_x000D_
While each task is presented as a progression of multiple steps, the proposal does not include a proper schedule. Even the Gantt chart with a very sparse content is inserted into the results from prior NSF support part (which by itself is very sparse in content._x000D_
_x000D_
No rationale for the multi-institution structure is discussed. _x000D_
_x000D_
The proposal does not shed much light on team's composition or integration. The technical content is not written in a way that distinguishes existing body of work from that by the PIs. Therefore, it is hard to assess the team's fitness to carry out the proposed work (though they are likely qualified based on this reviewer's partial familiarity with a subset of the PIs)._x000D_
_x000D_
_x000D_
_x000D_
Validation:_x000D_
_x000D_
The proposal offers an extensive discussion on how the team would collaborate with a number of industrial partners for data collection and validation purposes. Additionally, they propose an in-house testbed that covers the salient features of the proposed work. Overall, the testbeds are convincing. One missing aspect is a clear discussion of an experimentation protocols and metrics to assess the progress. _x000D_
_x000D_
Scope and Goals:_x000D_
_x000D_
While the first two tasks are somewhat connected, the third task is significantly different in style and methods. Furthermore, it is not clear how the results of that might feed into the first two tasks. As such, the proposal could be broken into multiple smaller pieces._x000D_
_x000D_
In the context of the five review elements, please _x000D_
evaluate the strengths and weaknesses of the proposal with respect to broader impacts._x000D_
_x000D_
BROADER IMPACTS_x000D_
_x000D_
- Even though some of the challenges targeted by the proposal cut across multiple industries, the proposed approach and particular tasks will likely have impact in a narrow domain._x000D_
+ The close connections with industrial partners may be leveraged for effective dissemination and transition of the potential results. _x000D_
+ Data management plan is appropriate._x000D_
_x000D_
_x000D_
Please evaluate the strengths and _x000D_
weaknesses of the proposal with respect to any additional solicitation-specific review criteria, if _x000D_
applicable_x000D_
_x000D_
SOLICITATION-SPECIFIC REVIEW CRITERIA_x000D_
_x000D_
Education and Outreach Plan:_x000D_
+ The outreach plan is appropriate. The proposal offers several specific outreach activities, and some of the institutions are particularly keen on undergraduate training. _x000D_
+ While not clear whether it will be effective, the proposal puts thoughts on assessing whether the outreach activities will indeed achieve the expected outcomes._x000D_
+ The plans of the PIs are also aligned with initiatives (related to CPS) at some of the participating institutions. This may allow them leverage additional resources for the proposed activities._x000D_
_x000D_
_x000D_
Transition to Practice Option:_x000D_
N/A_x000D_
_x000D_
Summary Statement_x000D_
_x000D_
The principal reasons for my rating of Fair are the following: The proposal is on a challenge potentially relevant for multiple CPS applications. On the other hand, the research plan is narrow and relatively disintegrated. There is no convincing team integration strategy._x000D_
_x000D_
</t>
  </si>
  <si>
    <t>1740088</t>
  </si>
  <si>
    <t>Venkatasubramanian</t>
  </si>
  <si>
    <t xml:space="preserve"> Panel Summary       
  I. SYNOPSIS OF PROPOSAL OBJECTIVES AND APPROACH:_x000D_
_x000D_
The proposal seeks to improve the way we treat stormwater runoff, improving on the current practice of moving stormwater away from urban communities and dumping it into bodies of water in rural areas. This causes community health and safety issues and environmental harm. The proposal refers to this system as a CPHI (cyber-physical-human infrastructure) and then suggests a solution, the Community-based Intelligent StormwaTER Networks (CISTERN).  The project's integration in education and outreach has a strong component addressing the underrepresentation of women and minorities in STEM fields as well as activities that stimulate interest in cyber-physical systems at the K-12 level and in the public at large._x000D_
_x000D_
INTELLECTUAL MERIT:_x000D_
_x000D_
Strengths:_x000D_
_x000D_
+ The approach of reasoning regarding the Cyber-Physical Human Infrastructure, and its resilience, was key to the intellectual contributions of the project. If successful, this has broad impact benefits to civil infrastructure projects that are emerging due to advancements in the internet of things, but only made possible through advancements in CPS. _x000D_
_x000D_
+ The approach will utilize existing stormwater networks, and their dynamics and storage capacity, with novel exploration of how simulation and planning can be utilized to take advantage of unused capacity._x000D_
_x000D_
+ The extension of the EPA SWMM to an Interactive Stormwater Management Model (ISWMM), with proper user interface, could be valuable to urban planners._x000D_
_x000D_
+ Feedback from decision makers, managers, and other stakeholders will be helpful in developing a better understanding of this problem domain._x000D_
_x000D_
Weaknesses:_x000D_
_x000D_
- There is a loose coupling of the various thrust areas, without a clear idea of what CPS science outcomes would be achieved if the proposed effort were to be successful._x000D_
_x000D_
- The proposal needs to more explicitly express the specific CPS research challenges in order to motivate a Frontier level of effort._x000D_
_x000D_
- Although Thrusts 1-4 provide some hints on how the PIs will tackle them, the details on technical approaches are missing. _x000D_
_x000D_
- The panel felt the proposal had over-budgeted the personnel and timeline._x000D_
_x000D_
BROADER IMPACTS_x000D_
_x000D_
Strengths:_x000D_
_x000D_
+ Stormwater management is an important societal goal, and this project's aim to work in this area is timely, with recent disasters where stormwater management was raised as an area for examination by municipalities. _x000D_
_x000D_
+ Significant outreach is envisioned, with an assistant dean engaged to serve as outreach director for CISTERN._x000D_
_x000D_
Weaknesses:_x000D_
_x000D_
- Transition of the technology and results to existing infrastructure is a goal of the project, which demonstrates an understanding that the cost of implementing new infrastructure can be prohibitive in a tight budgetary environment. There are some risks, however, that the capacity may not be sufficient, or the dynamics fully understood, in order to have the desired outcomes. This should be addressed in more detail. _x000D_
_x000D_
- A tighter coupling between components of the proposal might better reveal important features of the problem and the approach(es) to its solution._x000D_
_x000D_
SOLICITATION-SPECIFIC REVIEW CRITERIA_x000D_
_x000D_
Contribution to CPS Vision:_x000D_
_x000D_
The desired stormwater management system could indeed be approached by and could certainly inform CPS engineering and technology. However, the present goals and scale should better reflect a Frontier project._x000D_
_x000D_
Collaboration Plan:_x000D_
The collaboration plan is solid, with a number of the investigators already actively working together._x000D_
_x000D_
Evaluation &amp; Validation:_x000D_
The validation plan leverages a UC funded multi-campus research program initiative (MRPI) that builds up an instrumented stormwater system._x000D_
The team plans to participate in roundtable exercises with multiple real world community partners from water, sanitation and stormwater agencies._x000D_
_x000D_
Team &amp; Project Management:_x000D_
The management plan is good._x000D_
_x000D_
Transition to Practice Option (only if applicable): N/A_x000D_
_x000D_
Data Management Plan:_x000D_
The data management plan is suitable._x000D_
_x000D_
Post-Doc Mentoring Plan (if applicable): The Postdoctoral mentoring plan is adequate._x000D_
_x000D_
Suggestions for improvement:_x000D_
_x000D_
Better articulate what is difficult in this project and what results will apply to CPS more generally._x000D_
_x000D_
PANEL RECOMMENDATION:_x000D_
_x000D_
The panel classified this proposal as "Low Competitive". The main reason for this was that the research challenges of the project and the novelty of the proposed solutions was not clearly articulated, with sufficient technical detail, leaving it somewhat unclear what success would actually mean with respect to CPS research._x000D_
_x000D_
All members of the panel have read this panel summary and concur that it accurately reflects the panel's discussion of the proposal._x000D_
</t>
  </si>
  <si>
    <t xml:space="preserve">In the context of the five review elements, please _x000D_
evaluate the strengths and weaknesses of the proposal with respect to intellectual merit._x000D_
_x000D_
INTELLECTUAL MERIT_x000D_
_x000D_
PROPOSAL OBJECTIVES AND APPROACH_x000D_
_x000D_
The goal of this project is to create a storm water system (CISTERN) capable of safe capture, store, reuse (and release as needed) of runoff. The overall goal of CISTERN is to meet community water demands (non-potable demands) by harvesting rainwater and reducing excessive runoff to downstream receiving waters by addressing two main issues, lack of storage and the inherent timing mismatch between when the rain falls (winter) and when water is most needed (summer). CISTERN will address these two fundamental problems by (a) utilizing dead storage embedded in the thousands of miles of underground pipelines and channels during dry periods (b) introducing smaller scale storage along the dendritic storm network. By dynamically capturing, holding, reusing, and releasing runoff. From a technological perspective, the novelty of CISTERN lies in its leveraging of CPS/ IoT capabilities to: (1) maintain accurate assessment of the state of stormwater networks; (2) dynamically track rainfall and weather events; and (3) respond in real time to coming storms and suggest appropriate actions (e.g., store or release) for each segment of the network.  This proposal focuses on two target areas in the CPS solicitation û 'Technology for CPS' and 'Engineering of CPS'._x000D_
_x000D_
The RAS (Resilience-Acceptability-Sustainability) approach is used. Resilience (safety) in the context of stormwater infrastructure, translates to objective functions that minimize/bound flood risk and  maximize the quality of captured stormwater. Need acceptability by Public and Decision Makers and sustainability measures that include the degree to which stormwater is captured, stored, and reused in a manner that reduces overall potable water demand, improves the ecology and water quality of receiving waters, and leads to greener and more liveable (and healthier) urban environments._x000D_
_x000D_
It is proposed to build a generalized framework (which could be applied to other CPHI) powered by the RAS construct for the decentralized management of stormwater._x000D_
_x000D_
Contribution to CPS vision:_x000D_
_x000D_
CISTERN Research will develop a hierarchical architecture for stormwater and design a management system to create community stormwater services. The model framework combine logic based and physics based representations of the stormwater.  It is not clear how much the proposed project contributes to the CPS _x000D_
_x000D_
+ Successful completion of the proposed research will contribute to the advancement of knowledge in CPS.   _x000D_
_x000D_
+ One of the key deliverables is a computational platform that integrates CISTERN research at multiple layers and timescales._x000D_
_x000D_
+It is a carefully and written proposal. It is clear that the PI is very familiar with the water management issues. _x000D_
_x000D_
+The PIs appear to be well versed in their respective research thrust areas and the team is well integrated._x000D_
_x000D_
-The proposal is very dense and full of acronyms which make the reading tiresome. _x000D_
_x000D_
-The proposed problem and approach are not particularly innovative. It is a big technology project which I am not quite sure that a Frontier award is the appropriate source of funding as the smaller technical problems could be addressed by smaller NSF proposals and the integration with interactions with the community could be funded perhaps by another source. _x000D_
_x000D_
Team and Project Management:_x000D_
_x000D_
+The interaction of the different teams is well described. _x000D_
_x000D_
Validation:_x000D_
_x000D_
+There is a well described plan for validation. To validate CISTERN research, a multi-pronged approach is used  that includes experimentation on real world community scale testbeds as well as tabletop exercises. The UCI campus and community will serve as the key community scale focus testbed for CISTERN._x000D_
_x000D_
Scope and Goals:_x000D_
_x000D_
The goal is to create a storm water system (CISTERN) capable of safe capture, store, reuse (and release as needed) of runoff. The overall goal of CISTERN is to meet community (non-potable) water demands. It is an ambitious applied project. _x000D_
_x000D_
_x000D_
_x000D_
_x000D_
In the context of the five review elements, please _x000D_
evaluate the strengths and weaknesses of the proposal with respect to broader impacts._x000D_
_x000D_
BROADER IMPACTS_x000D_
_x000D_
+The Broader Impact could benefit similar infrastructure problems where the community is involved. _x000D_
_x000D_
+The Postdoctoral Mentoring and  the Data Management plans are adequate_x000D_
_x000D_
_x000D_
Please evaluate the strengths and _x000D_
weaknesses of the proposal with respect to any additional solicitation-specific review criteria, if _x000D_
applicable_x000D_
_x000D_
+The education and outreach plans are well developed._x000D_
_x000D_
Summary Statement_x000D_
_x000D_
It is proposed to manage the stormwater system by sensing water levels and quality, and then filtering and storing the water for later use. Emphasis is placed on serving communities.   It is not clear whether NSF Frontier funding is appropriate._x000D_
_x000D_
</t>
  </si>
  <si>
    <t xml:space="preserve">In the context of the five review elements, please _x000D_
evaluate the strengths and weaknesses of the proposal with respect to intellectual merit._x000D_
_x000D_
The proposal seeks to improve the way we treat stormwater runoff, improving on the current practice of moving stormwater away from urban communities and dumping it in water bodies in rural areas. This causes community health and safety issues and environmental harm. It introduces the infrastructure as a CPHI (cyber-physical-human infrastructure) and then presents its solution, the Community-based Intelligent StormwaTER Networks (CISTERN)._x000D_
_x000D_
I found the following technical aspects well done in the proposal:_x000D_
(1) It is focused in its scope, while at the same time, addressing an important enough problem._x000D_
(2) There is a good simulation development plan whereby the team will extend SWMM to accommodate real-time sensor values and dynamic modification of the rule set._x000D_
(3) The proposal acknowledges, and partially addresses, the issue that any solution in this space will depend for its success, the buy-in (acceptability in their RAS term) from multiple kinds of stakeholders. The promise of a what-if analysis tool to urban planners could be useful._x000D_
_x000D_
I found the proposal lacked in significant technical depth for many of the research thrusts, relying instead on buzzwords, unsubstantiated claims, and lacking in clear problem motivation. I discuss my most substantive concerns below._x000D_
(1) The high level solution approach of finding additional water storage opportunities, perhaps in the existing channels, is never substantiated. Where do such channels exist? How would actuators actively route the storm water runoff to such channels? How would the risk of flooding be mitigated? This last part is introduced in Thrust 3, but never developed._x000D_
(2) The proposal mentions in several places how they would handle uncertainties in the prediction. However, it is not argued where such uncertainties arise and to what degree and why. For example:_x000D_
"We will design the cyber-system, consisting of sensors and actuators to monitor/control a water network, in order to maximize the usage of stormwater in the presence of uncertainty in system input (precipitations) and output (stormwater usage)."_x000D_
Why is there such uncertainty in the system input if this is a reactive control (as appears to be the case)?_x000D_
(3) The proposal has as a claim up front that local models can be combined together to create system-wide models, which can drive globally optimal decisions. But then the text in the solution (e.g., Sec 4.3.1) only describes the local model. It was not clear to me how the local model (at the level of an individual pipe) will be combined to create a model of the overall distributed system._x000D_
(4) There are several parts of the proposed work where I am not convinced of the feasibility of the approach. I would have appreciated seeing some preliminary results. For example, in Sec. 4.3.3, the proposal mentions:_x000D_
"We plan to use it offline to generate and archive a rich set of stormwater system configurations and performance data"._x000D_
What are these configurations? What does richness mean? What are the relevant performance data? How easy or difficult is it to collect them?_x000D_
(5) There are several parts of the text where claims are made without providing evidence, either in text, or at least, through citations. For example:_x000D_
"CISTERN's hierarchical architecture takes this to the next level ... The hierarchical architecture also has the benefit of assimilating community scale preferences (edge POS serve as community stormwater hubs)."_x000D_
"Both of these sources of data on support and potential opposition will be analyzed through content analysis methods_x000D_
... for the various factors related to acceptability or non-acceptability."_x000D_
This seems aspirational. I would have liked to see some evidence, however sketchy, that any of this is possible. For example, are public hearings well attended, do local utility and government decisions contain enough context about storm water decisions?_x000D_
_x000D_
_x000D_
In the context of the five review elements, please _x000D_
evaluate the strengths and weaknesses of the proposal with respect to broader impacts._x000D_
_x000D_
(+) The simulation tool ISWMM, with proper user interface, could be valuable to urban planners._x000D_
(+) The goal to engage with public and policy setters through open hearings, etc. is laudable._x000D_
(+) There is a promising idea of gamification and an industry collaborator listed in proposal._x000D_
_x000D_
(-) I would have been more convinced of broader uptake if there were compelling plans to measure the three axes of the proposed RAS (Resilience-Acceptability-Sustainability) model. How would such metrics be refined based on community feedback? How will the measures be kept up-to-date and thus useful? _x000D_
_x000D_
_x000D_
Please evaluate the strengths and _x000D_
weaknesses of the proposal with respect to any additional solicitation-specific review criteria, if _x000D_
applicable_x000D_
_x000D_
From the solicitation:_x000D_
"all Frontier proposals will be evaluated on the strength of their Collaboration Plans. All Frontier proposals will also be evaluated on the strength of their Education and Outreach Plans."_x000D_
_x000D_
(+) The community advisory board and its potential composition are a good sign that the team is considering seeking this kind of advice._x000D_
(+) There is appropriate attention paid to the testbed and the education/outreach activities._x000D_
_x000D_
(-) Regarding teaching the trainers/teachers (page 3 of education and outreach plan), is there any prior track record of engaging with teachers? How will these teachers be recruited?_x000D_
(-) There is no evidence provided of the current app from HydroTek. Is the HydroTek Stormwater app already available?_x000D_
(-) There was a lot of standard (almost boilerplate) material in the education plan. _x000D_
_x000D_
_x000D_
Summary Statement_x000D_
_x000D_
This is a proposal seeking to address the problem of storm water runoff through a cyber-physical system. The solution descriptions seem rather unfocused and lack in necessary technical detail. _x000D_
_x000D_
_x000D_
</t>
  </si>
  <si>
    <t xml:space="preserve">In the context of the five review elements, please _x000D_
evaluate the strengths and weaknesses of the proposal with respect to intellectual merit._x000D_
_x000D_
PROPOSAL OBJECTIVES AND APPROACH_x000D_
_x000D_
This proposal explores the design of a smart stormwater cyber-physical-human infrastructure, where the focus is on stormwater runoff using storage, and then create a sustainable water resource aiding the ecosystem as a whole. Simply stated, the idea is to capture/retain optimal volumes of stormwater locally,  as if treating them as non-perishable  goods, and re-distribute as and when needed._x000D_
_x000D_
The PIs pose three questions: (1) How can cyber-infrastructure enabled stormwater systems, (2) How and where should the storm water be held, and (3) How can communities preferences and tacit knowledge aid the design. The solution space has 5 major thrusts. _x000D_
_x000D_
_x000D_
Strengths:_x000D_
_x000D_
+ The contributions of the CISTERN project lies in addressing the need of a physical system that is in desperate need of automation. Using an array of techniques, the physical and logical parameters for the system will be configured such that they can work at any time scale. CISTERN will deliver the middleware framework and the prototype system to storm-water drainage system operators. _x000D_
_x000D_
_x000D_
Weaknesses:_x000D_
_x000D_
- Although Thrusts 1-4 discuss the associated challenges and provide some hints on how the PIs propose to tackle them, Thrust 5 is more introductory and motivational in nature. There is no novel research proposed in that task, and it has some repetitions._x000D_
_x000D_
- Often-times, there are pumping stations either to increase the rate of flow of water, or to elevate the water to a conduit or reservoirs at a higher (sea) level. Though this elevation is discussed in Section Section 4.3.1, the cost of it (using pump, energy costs) has not been considered.  The letter from OC Public Works states that pump stations will be made available to this project. The project description does not provide any hint on how would the pump stations be used._x000D_
_x000D_
- What is not clear which of the two following scenarios are applicable._x000D_
_x000D_
1) With the inputs known (or at least the estimates), the optimization will be solved to find the best configurations for the network of the drainage system, and the locations/size  of the reservoirs? or_x000D_
_x000D_
2) Given the network of the drainage system, and the locations/size of the reservoirs, what would be the best way to control and re-distribute the water?_x000D_
_x000D_
- In the summary, the proposal promises to deliver prototypes of instrument; however, there is no discussion on prototype development._x000D_
_x000D_
_x000D_
Contribution to CPS vision:_x000D_
_x000D_
With such an imbalance in production and consumption of this (water) natural resources, it is most appropriate to not only conserve but also make use of all natural resources. This project is an effort towards that goal -- putting intelligence in to the storm water systems. _x000D_
_x000D_
The proposed project is a true CPS, where cyber enabled devices control and actuate a drainage system. _x000D_
_x000D_
However, less attention has been paid to the constraints or limitations of the Physical system and more on the generic formulation of. _x000D_
_x000D_
The proposed research may be generalized to other system that exhibit the same property of generation, storage, and redistribution, like natural gas and transportation systems. However, this cannot be used for power distribution. _x000D_
_x000D_
Team and Project Management:_x000D_
_x000D_
A multi-institution structure of the project is necessary to leverage 1) experts form other institutions than UCI, 2) access different kinds of drainage systems, and 3) the  MRPI project._x000D_
_x000D_
The PIs are well qualified. There are experts in Sensing, actuation, computational aspects, IoT, with Feldman and Grant Hsu having the domain knowledge._x000D_
_x000D_
The roles and responsibilities are clearly specified. Major tasks, milestones, and inter-dependencies are chalked out well._x000D_
_x000D_
The Collaboration plan is well laid. Given that the PIs have existing collaboration, ensuing and strengthening it further will not be a problem._x000D_
_x000D_
The team appears to be bloated. For the proposed research (just the theoretical part, as opposed to "practice" as mentioned in Section 5 title), is it really necessary to have such a team? From an expertise perspective, yes. However, the tasks are not commensurate with the project timeline of 48 months. Hence, the budget._x000D_
_x000D_
The PIs provided multiple letters of support including OC Public Works with commitment of pumps, reservoirs, etc._x000D_
_x000D_
Validation:_x000D_
_x000D_
+ The PIs claim that the CISTERN project will augment the on-going  UC Multi-Campus Research Program Initiative (MRPI) project. _x000D_
_x000D_
û What is not clear is what instruments (hardware) will be used.  Is it a $10 microcontroller based sensor, or something more expensive.  There is no discussion on the instruments (either COTS or to be custom-built). _x000D_
_x000D_
- Overall, the validation plan is not compelling. _x000D_
_x000D_
_x000D_
Scope and Goals:_x000D_
_x000D_
+ This project identifies a critical CPS. Particularly so, since the storm water drainage systems are still just physical system with no instrumentation and intelligence for real-time and non-real time decision making. _x000D_
_x000D_
-  The missing part is the instrumentation. To make the transition from theory to practice, instruments that implement the theory must be installed in the physical system or the testbed. _x000D_
_x000D_
_x000D_
_x000D_
In the context of the five review elements, please _x000D_
evaluate the strengths and weaknesses of the proposal with respect to broader impacts._x000D_
_x000D_
+ The Postdoctoral Mentoring plan is sufficient. _x000D_
_x000D_
+ The team has plans in place for disseminating of research and education outcomes that include reaching out to high school students, undergradute training, workforce development. Artis will lead this part of this effort._x000D_
_x000D_
+ The Data Management Plan is OK.  _x000D_
_x000D_
- As for broader impact and application to other CPSs, it can be extended for for transportation and natural gas systems (just the storage, no production). Energy distribution is very different as there is no concept of storage in the grid._x000D_
_x000D_
_x000D_
_x000D_
Please evaluate the strengths and _x000D_
weaknesses of the proposal with respect to any additional solicitation-specific review criteria, if _x000D_
applicable_x000D_
_x000D_
Education and Outreach Plan:_x000D_
_x000D_
+ The project has a plan in place that address the under-representation of women, minorities, science, technology, and engineering (STEM), and that stimulate interest in cyber-physical systems at the K-12 level and in the public at large._x000D_
_x000D_
- Apart from the education being inter-disciplinary, not much is mentioned expanding the CPS community or ideas that integrate research outcomes into education and more broadly advance education in CPS._x000D_
_x000D_
_x000D_
_x000D_
Summary Statement_x000D_
_x000D_
Although the vision of the project is commendable, there are unanswered questions, missing links on how the theory will be put to practice, and overestimation of personnel and timeline. This led to my rating of "Good / Fair"._x000D_
_x000D_
_x000D_
</t>
  </si>
  <si>
    <t xml:space="preserve">In the context of the five review elements, please _x000D_
evaluate the strengths and weaknesses of the proposal with respect to intellectual merit._x000D_
_x000D_
PROPOSAL OBJECTIVES AND APPROACH_x000D_
_x000D_
This project seeks to create a storm water system (CISTERN) to manage the capture, storage, and resuse (and release) of runoff. The overall goal of CISTERN is to meet community water demands (in particular, non-potable demands) by harvesting rainwater and reducing excessive runoff to downstream receiving waters._x000D_
_x000D_
CISTERN proposes to address these two fundamental problems by (a) utilizing dead storage embedded in the thousands of miles of underground pipelines and channels during dry periods (b) introducing smaller scale storage along the dendritic storm network._x000D_
_x000D_
Contribution to CPS vision:_x000D_
_x000D_
The proposed contribution seems to be mostly to the Engineering:_x000D_
_x000D_
(1) reduce the discharge of stormwater runoff and associated pollutant loads to local receiving waters, thereby improving human and ecosystem health;_x000D_
_x000D_
(2) provide a new source of water for environmental flows, potable substitution,_x000D_
and direct potable reuse;_x000D_
_x000D_
(3) increase urban water resilience by providing alternative source of local water during catastrophic events that interrupt critical water imports._x000D_
_x000D_
+ If successful, we obtain a large scale CPS system with actionable information for wastewater management, including new storage resources._x000D_
_x000D_
+ Water management issues are well described._x000D_
_x000D_
+ Includes human interaction._x000D_
_x000D_
+ There is a strong team spanning the required areas of expertise._x000D_
_x000D_
- Not so much innovation, seems to be more of a large deployment._x000D_
_x000D_
- What is being contributed to fundamental CPS Science, Engineering &amp; Technology?_x000D_
_x000D_
- What can be applied to other areas, or only applicable to this domain?_x000D_
_x000D_
- There seems to be a loose connection between the different thrusts._x000D_
_x000D_
Team and Project Management:_x000D_
_x000D_
The contributions of the various teams and their interactions are well described._x000D_
_x000D_
Validation:_x000D_
_x000D_
A community scale testbed has been proposed to provide real world experimentation under realistic and extreme scenarios. Also, tabletop exercises with stakeholders to determine the utility of CISTERN components under diverse regions with varying built infrastructure constraints._x000D_
_x000D_
Scope and Goals:_x000D_
_x000D_
The scope of this project does not seem to indicate the need for a Frontier project investment._x000D_
_x000D_
In the context of the five review elements, please _x000D_
evaluate the strengths and weaknesses of the proposal with respect to broader impacts._x000D_
_x000D_
Strengths and Weaknesses_x000D_
_x000D_
+ Managing stormwater resources over a range of time scales is important and has potential societal impact._x000D_
_x000D_
+ Engaging communities, decision makers, and stakeholders more generally can result in significant action on water management._x000D_
_x000D_
+ Significant outreach is envisioned, with an assistant dean engaged to serve as outreach director for CISTERN._x000D_
_x000D_
- The broader impact seems limited since the proposal is not very novel._x000D_
_x000D_
The postdoctoral mentoring plan is adequate._x000D_
_x000D_
The data management plan is appropriate._x000D_
_x000D_
_x000D_
Please evaluate the strengths and _x000D_
weaknesses of the proposal with respect to any additional solicitation-specific review criteria, if _x000D_
applicable_x000D_
_x000D_
Education and Outreach Plan:_x000D_
_x000D_
+ The proposal has a plan in place for reaching out to women and minorities for STEM, including specific K-12 activities._x000D_
_x000D_
Summary Statement_x000D_
_x000D_
While the proposed effort deals with a problem of societal importance, it is not clear that suggested approach, if successful, would lead to significant advances in CPS. Hence my rating of Good._x000D_
_x000D_
</t>
  </si>
  <si>
    <t>1748762</t>
  </si>
  <si>
    <t>Hahn</t>
  </si>
  <si>
    <t>JSPRINK</t>
  </si>
  <si>
    <t>P180067</t>
  </si>
  <si>
    <t xml:space="preserve"> CPS CAREER</t>
  </si>
  <si>
    <t xml:space="preserve"> Panel Summary       
  Description of project:_x000D_
_x000D_
The proposal plans to improve the white-box autonomy in healthcare and interpretability of the medical device operations. The proposed research tasks include i) physiological model of the patient body, and ii) closed-loop multi-variable control for medical devices. _x000D_
_x000D_
_x000D_
Intellectual Merit:_x000D_
_x000D_
Strengths:_x000D_
_x000D_
+  The proposed solutions target the real need in healthcare, and contributes to core cyber-physical challenges. _x000D_
_x000D_
+ The panel found the proposed resilient reconfigurable control architecture for the medical devices compelling. _x000D_
_x000D_
_x000D_
Weaknesses:_x000D_
_x000D_
- A discussion on potential catastrophic consequences of autonomous medical device failures would be very helpful. It is unclear how the proposal solution can protect against such failures in real-world settings. _x000D_
_x000D_
- The panel discussed the need for more technical details about the proposed models and control algorithms. _x000D_
_x000D_
_x000D_
Broader Impacts:_x000D_
_x000D_
+ The PI has shown solid commitments to educational and knowledge dissemination through his past broader impact activities such as the summer camps and course development. _x000D_
_x000D_
+ The panel agreed that the PI's established collaboration with FDA can contribute to the project's broader impact. _x000D_
_x000D_
_x000D_
Constructive suggestions for improvement: _x000D_
_x000D_
1) The PI should focus strictly on research experience of topics related to the proposed work. _x000D_
_x000D_
2) More details on the mathematical models need to be provided. _x000D_
_x000D_
_x000D_
Panel Recommendation:_x000D_
 _x000D_
The panel rated this proposal as Competitive. The primary reason for this rating was the proposed exciting cyber-physical solution to the summary was read by the panel._x000D_
_x000D_
The panel concurred that the summary accurately reflects the panel discussion._x000D_
_x000D_
</t>
  </si>
  <si>
    <t>YR0850181</t>
  </si>
  <si>
    <t>Belta</t>
  </si>
  <si>
    <t>cbelta@bu.edu</t>
  </si>
  <si>
    <t xml:space="preserve">In the context of the five review elements, please _x000D_
evaluate the strengths and weaknesses of the proposal with respect to intellectual merit._x000D_
_x000D_
The PI's research is on "white-box" (i.e., model-based) autonomy in healthcare. His focus is the development of (1) physiological models, and (2) _x000D_
closed-loop control methodologies. In this CAREER project, he proposes physiological modeling, coordinated and resilient multivariable closed-loop control, and regulatory science methodologies for white-box autonomy. The particular application is circulatory resuscitation. Specifically, the project has two main objectives: (1) patient physiology and pharmacology modeling, and (2) coordinated_x000D_
and resilient multivariable closed-loop control. _x000D_
_x000D_
+ the proposal is very well written and motivated_x000D_
_x000D_
+ the long term and 5-year goals are well explained and integrated_x000D_
_x000D_
+ the proposed topic, which is within medical CPS, is a very good fit for the CPS program _x000D_
_x000D_
+ the proposed work has the potential to close technological gaps in medical CPS_x000D_
_x000D_
- it is not clear how the proposed control-theoretic patient physiology and pharmacology model looks like. Is it an ODE, a PDE, any other type of model? There is no clear description of this in Sec. 7.1.  _x000D_
_x000D_
- reachability and Lyapunov-based methods are mentioned in Sec. 7.2 for the development of closed loop control strategies. Their novelty is hard to judge given the lack of details on the model mentioned above_x000D_
_x000D_
- in both Sec. 7.2 and 7.3, it is not clear what the proposed technical contribution is with respect previous work from the PI._x000D_
_x000D_
_x000D_
In the context of the five review elements, please _x000D_
evaluate the strengths and weaknesses of the proposal with respect to broader impacts._x000D_
_x000D_
+ if successful, the project has the potential to impact regulatory science for evaluating critical care autonomy capabilities_x000D_
_x000D_
+ one of the strengths of the proposal is the involvement of the PI in FDA medical device development. _x000D_
_x000D_
+ the education plan includes integrating the control-theoretic physiology_x000D_
and pharmacology models and control methodologies in existing graduate and undergraduate_x000D_
courses, the creation of interinstitutional course modules. _x000D_
_x000D_
+ the education plan includes a hands-on summer outreach program, ?Building Physiology_x000D_
with Electronics,? for high school students._x000D_
_x000D_
- it is not clear how the interinstitutional collaboration will be implemented_x000D_
_x000D_
- the education and minority involvement plans are more or less standard and lack novelty_x000D_
_x000D_
Please evaluate the strengths and _x000D_
weaknesses of the proposal with respect to any additional solicitation-specific review criteria, if _x000D_
applicable_x000D_
_x000D_
_x000D_
_x000D_
Summary Statement_x000D_
_x000D_
This proposal was rated Good. The main strengths of the proposal are the possible impact in medical CPS and the tight integration of research and application. However, the proposal lacks in providing technical details on the proposed work on modeling and control. It is also not clear how much the proposed research differs from the PI's previous work. _x000D_
_x000D_
_x000D_
</t>
  </si>
  <si>
    <t>UT0788248</t>
  </si>
  <si>
    <t>Feron</t>
  </si>
  <si>
    <t>feron@gatech.edu</t>
  </si>
  <si>
    <t xml:space="preserve">In the context of the five review elements, please _x000D_
evaluate the strengths and weaknesses of the proposal with respect to intellectual merit._x000D_
_x000D_
PROPOSAL OBJECTIVES AND APPROACH_x000D_
_x000D_
The purpose of this proposal is to propose and promote a large number of feedback control techniques in the context of medical systems._x000D_
_x000D_
+ This is a "high-energy" proposal, where the PI is extremely assertive in formulating his objectives._x000D_
_x000D_
+ The PI appears to have a very distinguished career already, and this shows in many respects._x000D_
_x000D_
+ The proposal is well-articulated and well-documented._x000D_
_x000D_
+ The proposal justly keeps in mind the regulatory issues raised by feedback control of physiological processes._x000D_
_x000D_
- The proposed tasks, although full of technical jargon, remain vague in nature. It is also difficult to determine whether the kind of automation involved in this proposal is "autonomy" or simply relatively classical control._x000D_
_x000D_
- The technical approach refers to many techniques, but none of them is clearly explained in-depth. It is very difficult to assess the novelty of the controls proposed in this proposal for lack of technical details._x000D_
_x000D_
_x000D_
In the context of the five review elements, please _x000D_
evaluate the strengths and weaknesses of the proposal with respect to broader impacts._x000D_
_x000D_
The proposal offers a very interesting set of specific activities, including collaborations with other university professors to collaboratively develop courses in medical CPS._x000D_
_x000D_
+ The collaboration with the FDA concerning the evolution of regulatory aspects of feedback control is a very good idea._x000D_
_x000D_
- The PI overstates his credentials to the point it is quite difficult to extract the meaning of this proposal. _x000D_
_x000D_
_x000D_
Please evaluate the strengths and _x000D_
weaknesses of the proposal with respect to any additional solicitation-specific review criteria, if _x000D_
applicable_x000D_
_x000D_
_x000D_
_x000D_
Summary Statement_x000D_
_x000D_
The reasons for my rating this proposal as "good to fair" are as follows: The competence of the PI are undoubtedly strong to perform the proposed research. However, the technical tasks to be performed lack sufficient technical detail to be clearly evaluated. Moreover, the constant intrusion of favorable self-evaluations by the PI makes it difficult to read the proposal. _x000D_
_x000D_
_x000D_
</t>
  </si>
  <si>
    <t>HY0787309</t>
  </si>
  <si>
    <t>janos.sztipanovits@vanderbilt.edu</t>
  </si>
  <si>
    <t xml:space="preserve">In the context of the five review elements, please _x000D_
evaluate the strengths and weaknesses of the proposal with respect to intellectual merit._x000D_
_x000D_
Description of project _x000D_
The objective of the project is to introduce physiological modeling and closed loop control in circulatory resuscitation scenarios. The project targets  generalizable methodologies for (1) patient physiology and pharmacology modeling and (2) coordinated and resilient multivariable closed-loop control. The specific example problem  interpretable white-box physiological closed-loop control algorithms for circulatory resuscitation. _x000D_
Intellectual merit:_x000D_
Strengths:  _x000D_
+ The research topic is formulated to solve a real medical need: titration and re-titration of patients with changing physiological state.._x000D_
+ CPS problem formulation: physiological closed-loop control systems, connected through   medical sensors and actuators to patients  providing  uninterrupted, vigilant monitoring of physiological condition and make autonomous treatment recommendations and adjustments._x000D_
_x000D_
+ Selecting hard technological gaps: (1) existing multivariable control design techniques are insufficient and (2) coordination of multiple control loops is unsolved._x000D_
_x000D_
+ PI addresses fault resilience using analytical redundancy methods. The proposed reconfigurable resilient control architecture is promising. _x000D_
_x000D_
+ Convincing preliminary results _x000D_
_x000D_
Weaknesses: _x000D_
-	The "cyber" part is not well elaborated. That should include the many issues related to the safety critical nature of the planned system including  software verification, required computing platform and other related issues._x000D_
_x000D_
_x000D_
In the context of the five review elements, please _x000D_
evaluate the strengths and weaknesses of the proposal with respect to broader impacts._x000D_
_x000D_
Broader impacts:_x000D_
Strengths:_x000D_
+ Important area clear societal benefit._x000D_
+ The project is well integrated with PI's long term career  plan,_x000D_
+ Considerations for including underrepresented minorities._x000D_
+ FDA collaboration is an excellent transitioning mechanism._x000D_
Weaknesses:_x000D_
-None_x000D_
_x000D_
_x000D_
Please evaluate the strengths and _x000D_
weaknesses of the proposal with respect to any additional solicitation-specific review criteria, if _x000D_
applicable_x000D_
_x000D_
_x000D_
_x000D_
Summary Statement_x000D_
_x000D_
This project is evaluated Very Good because the proposal targets an important area with potentially large impact, focuses on hard technical problems, and integrates well research and education._x000D_
_x000D_
</t>
  </si>
  <si>
    <t>AH0978596</t>
  </si>
  <si>
    <t>Zonouz</t>
  </si>
  <si>
    <t>SAMAN.ZONOUZ@RUTGERS.EDU</t>
  </si>
  <si>
    <t xml:space="preserve">In the context of the five review elements, please _x000D_
evaluate the strengths and weaknesses of the proposal with respect to intellectual merit._x000D_
_x000D_
+ The proposal investigates a very exciting problem in real-world medical settings. The PI is planning to propose a framework that enables white-box autonomy in healthcare by physiological modeling and closed-loop control techniques. _x000D_
_x000D_
- The proposal is motivating the problem of autonomy in medical devices that is partially correct in real-world settings. In medical devices, the cost of error is so high and may cost the human lives. Hence, even very low probabilities for potential errors may not be tolerated by the personnel and the patients. This is unlike other CPS domains. The proposal does not clarify how this issue will be addressed especially later in the project when the tech-transitions will be followed. _x000D_
_x000D_
- The proposal is basing a lot of its solutions on physiological models of the patient bodies. How are the models generated? Validated in real-world to ensure they match reality? What would be the impact of error in modeling? How often do they have to change? Are they patient specific? Similar questions should have been addressed by the proposal clearly. _x000D_
_x000D_
- The model of the body in Figure 4 does not consider other inputs that the body has that affects its internal dynamics, e.g., the patient's food intake and current activities. _x000D_
_x000D_
- The reviewer is not convinced that the body can be modeled by such simplistic assumptions such as linearity. Such approximations may result in catastrophic consequences later when used in deployment. The proposal does not provide a convincing discussion to address this concern. _x000D_
_x000D_
- Some of the proposed research plans lack details in terms of their technical formulation and possibly proofs to ensure the claimed properties will be satisfied by the proposed techniques. For example, presentation of the proposed multi-variable adaptive control needs more details. How novel is it compared to traditional control algorithms? Is the novelty only in the domain they are used in? _x000D_
_x000D_
- The proposal is planning to address sensor/actuator failures. What about the controller itself? Can the proposed solution also address security failures by malicious parties? _x000D_
_x000D_
- The discussed multi-residual information fusion approach is not necessarily new in CPS domains. There have been a lot of work against false data injection attacks in the presence of redundant sensors. _x000D_
_x000D_
- The proposal mentions the term context-aware and fails to concretely define the term context. The term is nowadays used in many domains and can have different meanings in practice. The proposal provides a few examples later in the proposal (too late), however, there exists no clear definition of the term. Additionally, the terms autonomy testing is mentioned by the proposal without being defined. _x000D_
_x000D_
- The proposal is planning to perform some clinical trials that may require IRB approval because of the required interactions with human subjects. The proposal does not mention whether the PI has already gotten approval for the required IRBs (or is planning to do so). _x000D_
_x000D_
- Presentation: The PI spends so much text on his qualifications (Section 4). I would suggest cutting the section a bit shorter to save more space to talk about the details of the proposed technical solutions. Figure 1 of the proposal for the long-term research plans is not very information and include generic terms. It would have been more helpful if the figure was more specific and detailed in terms of the objectives and research activities. Furthermore, the proposal contains redundant text throughout. They can be removed to save space for the core contribution details that are currently missing from the proposal. I found the highlighting of the text very distracting. _x000D_
_x000D_
- Can the discussed physiological models also model the potential (possibly unknown previously) incidents in the body? Or they can model the body through its normal activities only? If so, how is it guaranteed to cover all possible incidents? If not, what would be the cost of missing an incident? Would it be possible to provide bounds on the potential impact?_x000D_
_x000D_
- The medical devices have to maintain hard deadline real-time constraints. The proposal does not discuss about those concerns and the hardware requirements to ensure all the real-time requirements are satisfied by the proposal solution.  _x000D_
_x000D_
- The proposal mentions it will present a reconfigurable resilient control algorithm. What does resilient mean? And the details of how such a æresilient' algorithm will be designed is missing from the proposal. _x000D_
_x000D_
- The proposal is suggesting to instrument redundant sensors initially. How costly will this be? feasible in practice? _x000D_
_x000D_
- Section 7.4 is too short and does not contain sufficient level of details about the plan. The current version is hard to assess for the reviewer. _x000D_
_x000D_
- The proposal is underestimating the current valuable work by the community a bit too much and somewhat unrealistically. It is clear that the proposal's objectives are valuable and new, at the same time, it is important to bring up the value of the most recent work in the field for a fair comparison. _x000D_
_x000D_
_x000D_
In the context of the five review elements, please _x000D_
evaluate the strengths and weaknesses of the proposal with respect to broader impacts._x000D_
_x000D_
+ The PI has solid plans to collaborate with FDA (following a recent agreement with them) and influence the direction the existing industry is moving in a positive manner. _x000D_
_x000D_
+ The PI has education and knowledge dissemination plans for K-12. _x000D_
_x000D_
- The proposal educational could have improved in terms of novelty and innovation for the integration of the research outcomes in educational activities û the current plan follows a typical (and yet valuable) paradigm. _x000D_
_x000D_
- The proposal does not provide a concrete plan to attract women students to the field. This is not necessarily a negative comment, but it would have been helpful to include concrete plans in this aspect. Additionally, has the PI performed similar activities in the past already that the proposed solutions can build on?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are the valid real problem, and lack of details on the proposed solutions that ensures their practicality._x000D_
_x000D_
</t>
  </si>
  <si>
    <t>The PI's long-term career goal is to enable interpretable "white-box" autonomy in healthcare by advancing physiological modeling and closed-loop control methodologies for medical cyber-physical systems (M-CPS).  In pursuit of the PI's long-term goal, the objective of this CAREER program is to investigate physiological modeling, coordinated and resilient multivariable closed-loop control, and regulatory science methodologies for white-box autonomy in circulatory resuscitation, an important critical care scenario.  The idea of introducing autonomy to the healthcare domain itself is not new.  However, prior autonomy capabilities have not been suitably mature for real-world critical care, due to the limitations associated with the context awareness and interpretability of autonomy capabilities, coordination of multiple therapeutic control loops with resilience, and regulatory science methods for evaluation and approval of safety-critical physiological closed-loop control systems.  In this CAREER proposal, the PI proposes an integrated research, education, and outreach program to develop and demonstrate generalizable methodologies for interpretable white-box autonomy that address these challenges:_x000D_
_x000D_
The research goal is to investigate physiological modeling and closed-loop control methodologies applicable to white-box autonomy in a wide range of circulatory resuscitation scenarios.  We will develop generalizable methodologies for (1) patient physiology and pharmacology modeling and (2) coordinated and resilient multivariable closed-loop control.  We will demonstrate these methodologies by developing interpretable white-box physiological closed-loop control algorithms for circulatory resuscitation._x000D_
_x000D_
The education and outreach goals are to create next-generation M-CPS workforce as well as to advance regulatory science for evaluating critical care autonomy capabilities.  To achieve these goals, we will (1) attract graduate, undergraduate, and K-12 students into STEM and M-CPS, and (2) collaborate closely with FDA to investigate testing methodologies and tools for physiological models and closed-loop M-CPS via its Medical Device Development Tools (MDDT) Program, and disseminate the newly created knowledge to further advance M-CPS research and education.This CAREER program will advance fundamental knowledge on physiological modeling, closed-loop control, and regulatory science to enable interpretable white-box autonomy in M-CPS.  The patient physiology models will be a solid basis to develop a broad range of autonomy capabilities in critical care.  The control methodologies will provide a means to solve coordinated, resilient multivariable physiological closed-loop control problems that cannot be easily handled by existing control design techniques, as well as will go above and beyond M-CPS to other CPS domains in which multi-objective and resilient control is desired (e.g., transportation).  The regulatory science methods will expedite the deployment of autonomy to real-world healthcare.  In sum, this CAREER program will close outstanding technological gaps and make scientific breakthroughs in M-CPS autonomy, which will ultimately improve the quality of life of human beings.This CAREER Program will have broad impacts on healthcare, economy, and M-CPS research and education.  With a special focus given to circulatory resuscitation, it will create a wide range of physiological closed-loop control systems that can improve the quality of care of critically ill patients.  The autonomy testing methodologies will facilitate the evaluation and approval of emerging M-CPS autonomy capabilities, and ultimately, stimulate the economy by expediting the deployment of new physiological closed-loop controlled medical devices into the market.  The autonomy testing tools will facilitate M-CPS research and education.  Close Collaboration with FDA and other institutions will enrich and maximize the impact of this CAREER program on training STEM workforce, especially from underrepresented minorities.</t>
  </si>
  <si>
    <t>jsprinkl</t>
  </si>
  <si>
    <t>Collaborators and Other Affiliations</t>
  </si>
  <si>
    <t>No Collaborators and Other Affiliations Data Provided</t>
  </si>
  <si>
    <t>1749118</t>
  </si>
  <si>
    <t>Dawn</t>
  </si>
  <si>
    <t xml:space="preserve"> Panel Summary       
 Description of project:_x000D_
_x000D_
The work proposed is about the design of a body-area network that would enable a viable human-borne cyber-infrastructure. The proposal contents mostly focuses on circuit design in a wireless communication context._x000D_
_x000D_
_x000D_
Intellectual Merit:_x000D_
_x000D_
Strengths:_x000D_
+ Implementing beam-forming concept on small body-worn communication devices is an attractive idea. So are other initiatives, such as the wake-up mechanism, though other approaches could be considered._x000D_
+ The idea of enabling communication between neighboring body-area networks is good._x000D_
+ The PI has made the right display of competence to address the proposed problem_x000D_
+ This is a strong technical proposal._x000D_
_x000D_
Weaknesses:_x000D_
_x000D_
- It is difficult to see the explicit connection of this proposal to the cyber-physical systems domain. _x000D_
_x000D_
- The antenna lobe steering idea could be improved by using body-borne sensors, such as gyros and accelerometers._x000D_
_x000D_
Broader Impacts:_x000D_
_x000D_
Strengths:_x000D_
+ There is a serious and well-organized plan for technology transfer and educational efforts. _x000D_
_x000D_
+/- Curriculum development looks very good and well-integrated. But where is the CPS aspect in all this? _x000D_
_x000D_
Weaknesses:_x000D_
- The subject proposed can be seen as foundational to important cyber-physical systems, but the proposal lacks explicit connections._x000D_
_x000D_
_x000D_
_x000D_
Constructive suggestions for improvement:_x000D_
_x000D_
This proposal could become competitive or better if the PI could propose a stronger tie of the proposed work to the CPS program. This could be done, for example, as one of the "broader impacts" activities, e.g. showing non-university students the value of wearable computing. _x000D_
_x000D_
_x000D_
Panel Recommendation:_x000D_
 _x000D_
The panel rated this proposal as Low Competitive. This rating was decided upon based on the need for this proposal to better link the focus of its research to the CPS environment._x000D_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</si>
  <si>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is about the development of a wireless body area network sensors. For that purpose, the PI proposes to leverage her strong background in VLSI design. The PI outlines three precise areas of innovation, including Beam-forming, Approaches to wake-up, and the communication protocol. The proposal also includes a precise set of outreach activities, notably towards minority students and high-school students._x000D_
_x000D_
+ The proposed innovation areas are well defined and pertains to the essential physical characteristics of a communication system, including beam forming, wake-up/sleep patterns mechanisms to save power, and communication protocol._x000D_
_x000D_
+ The areas of concentrations focus on low-level communication system design_x000D_
_x000D_
+ The proposal is well-organized_x000D_
_x000D_
+ The proposer is qualified_x000D_
_x000D_
-/+ The proposal is about a fundamental building block for human cyber-physical systems. However, it would have been a good thing for the PI to indicate, somewhere, a logical flow from the application of the proposed work to an actual CPS, which would have helped the reader position the work within the whole CPS enterprise. The proposal looks agnostic to the cyber-physical nature of the program: How will the proposed system interact with the human body? Is there any specific function that will be supported? _x000D_
_x000D_
- The quality of English in the proposal could be improved._x000D_
_x000D_
- Looks like the adaptation of a DoD proposal to NSF, with little or no effort at, say, replacing the war fighter by some other human or animal element in the pictures._x000D_
_x000D_
_x000D_
In the context of the five review elements, please _x000D_
evaluate the strengths and weaknesses of the proposal with respect to broader impacts._x000D_
_x000D_
+ There is a serious and well-organized plan for technology transfer and educational efforts._x000D_
_x000D_
+ There is a good plan for the involvement of STEM students._x000D_
_x000D_
+ Very good attention to underrepresented groups_x000D_
_x000D_
+ Emphasis on women in Engineering, but devoting an entire afternoon every week will soon be overwhelming._x000D_
_x000D_
+ Undergraduate Research is good_x000D_
_x000D_
+/- Curriculum development looks very good and well-integrated. But where is the CPS aspect in all this?_x000D_
_x000D_
+/- Transfer to industry, but how come someone with a 1993 PhD cannot cite a single specific industry by name it can work with?_x000D_
_x000D_
- There is little consideration for what is allowed in terms of student access to labs: The proposed effort might not be feasible because of existing regulations._x000D_
_x000D_
- The STEM activities might be misguided: What is proposed (very chip-centric) could possibly be replaced by some higher-level, genuinely CPS-oriented activity. _x000D_
_x000D_
- Isn't this a bit too much at that career level?_x000D_
_x000D_
_x000D_
Please evaluate the strengths and _x000D_
weaknesses of the proposal with respect to any additional solicitation-specific review criteria, if _x000D_
applicable_x000D_
_x000D_
_x000D_
_x000D_
Summary Statement_x000D_
_x000D_
This proposal focuses on the design of appropriate VLSI systems to support the creation of a Wireless Body Area network. The proposal outlines a solid technical approach to reach this goal. In addition, the proposal supports a serious approach to outreach activities.  The principal reason for my rating this proposal as "good" is that the proposal does not position itself well within the CPS program. Its scope looks more solidly set in the VLSI/IC system category. _x000D_
_x000D_
_x000D_
</t>
  </si>
  <si>
    <t>TO0566718</t>
  </si>
  <si>
    <t>eal@eecs.berkeley.edu</t>
  </si>
  <si>
    <t xml:space="preserve">In the context of the five review elements, please _x000D_
evaluate the strengths and weaknesses of the proposal with respect to intellectual merit._x000D_
_x000D_
Description of project:_x000D_
The project is to develop wireless communications technology for body-area networks. The proposal is to us the Ku-band (12-18 GHz) because of its low loss passing through tissue and compact antenna sizes. A major part of the project is to develop mixed signal circuitry that is energy efficient._x000D_
_x000D_
_x000D_
Intellectual Merit:_x000D_
_x000D_
Strengths:_x000D_
+ Beamforming for immunity to jamming with adaptability to body movements._x000D_
+ Mixed signal approach for reduced energy consumption._x000D_
+ Wake-up receiver for reduced energy consumption._x000D_
+ Integration of communication between nearby humans with on-body communication._x000D_
+ PI is qualified._x000D_
+ Availability of suitable lab equipment (e.g. IC characterization probe station)._x000D_
_x000D_
Weaknesses:_x000D_
- Not clear on how beams will be steered. It seems there is a missed opportunity to leverage other sensors, such accelerometers or gyros, which can provide information about body movements._x000D_
- An alternative to a wake-up receiver is to synchronize clocks as is commonly done in wireless sensor networks. Why is the wake-up receiver a better choice?_x000D_
- The digital solution for the delay line wake-up receiver, it seems to me, has the risk of consuming too much energy in the ADC and memory components. Did you consider a switched capacitor delay line?_x000D_
_x000D_
_x000D_
In the context of the five review elements, please _x000D_
evaluate the strengths and weaknesses of the proposal with respect to broader impacts._x000D_
_x000D_
Strengths:_x000D_
+ Summer high school program._x000D_
+ Native American recruitment._x000D_
_x000D_
Weaknesses:_x000D_
- Largely a boilerplate story for broader impacts._x000D_
_x000D_
_x000D_
Please evaluate the strengths and _x000D_
weaknesses of the proposal with respect to any additional solicitation-specific review criteria, if _x000D_
applicable_x000D_
_x000D_
_x000D_
_x000D_
Summary Statement_x000D_
_x000D_
Overall this is a very good proposal._x000D_
_x000D_
_x000D_
</t>
  </si>
  <si>
    <t>HZ0981566</t>
  </si>
  <si>
    <t>Rozier</t>
  </si>
  <si>
    <t>kyrozier@iastate.edu</t>
  </si>
  <si>
    <t xml:space="preserve">In the context of the five review elements, please _x000D_
evaluate the strengths and weaknesses of the proposal with respect to intellectual merit._x000D_
_x000D_
The proposal is to advance the technology enabling Body-Area Networks (BAN) to both increase functionality and security/privacy. The innovations include new hardware architecture improvements, ideas to reduce power consumption, and reducing power required for the essential, and frequent, task of communication. The timeline and milestones for completing the new BAN designs seem reasonable. The PI has a background with publications consistent with this line of research and the facilities and equipment available at the PI's institution are appropriate to completing the described tasks. _x000D_
_x000D_
_x000D_
In the context of the five review elements, please _x000D_
evaluate the strengths and weaknesses of the proposal with respect to broader impacts._x000D_
_x000D_
The potential for broader impact on society from the research component (development of security body-area network technologies) of the proposal is significant. Certainly it is the case that this technology has arrived and the proposal makes the case that it is an important time to think about how to enable security going forward. Despite being located in a comparatively isolated area of the country, the PI has made quality local industrial connections for technology transfer and has concrete plans for interfacing with students at multiple levels in the local area. The plan to bring in five high school interns to work on testing-related tasks for systems that fascinate this age group shows a commitment to educational outreach. The focus on recruitment of Native American students was well-thought-out. Other broad impacts are good, though expected: course development and advising of graduate students. _x000D_
_x000D_
_x000D_
Please evaluate the strengths and _x000D_
weaknesses of the proposal with respect to any additional solicitation-specific review criteria, if _x000D_
applicable_x000D_
_x000D_
_x000D_
_x000D_
Summary Statement_x000D_
_x000D_
The proposal focuses on creating a new, secure, wireless body-area network (BAN) that is responsive to dynamic body movements. The text does a good job defining BAN and the challenges that they present. The research contributions were shorter on detail than I would have liked to see, making them harder to evaluate. A lot of the text in the table on the bottom of page 14 of the Project Summary was repeated from the body of the proposal; I would have preferred to read this text once and see more details on the exact proposed new hardware and network architectures. There are several occurrences of repeated text in the proposal that could be reduced to make room for more details, including much of the text of Section G, which appeared earlier in the proposal. _x000D_
_x000D_
Though brief, the text gives concrete details of the tasks high school students in the summer program will be asked to complete; these sound reasonable in scope and appropriate for the goal of increasing interest in majoring in STEM subjects._x000D_
_x000D_
</t>
  </si>
  <si>
    <t xml:space="preserve">In the context of the five review elements, please _x000D_
evaluate the strengths and weaknesses of the proposal with respect to intellectual merit._x000D_
_x000D_
The objective of the project is the development of a Ku-band body-area network technology with the following novelties: (1) multi beam forming/nulling reconfigurable radio architecture and ultra-low power, (2) wake-up receiver based on analog auto-correlation, and (3) communication technology based on analog Direct Sequence Spread Spectrum (DSSS) technology._x000D_
_x000D_
Strengths:  _x000D_
+ PI convincingly motivates research and derives key challenges and barriers for developing ultra-low power, secure/private body area networks._x000D_
+ The proposed mixed-signal solution for  the multi-beam beam-forming/nulling architecture seems to offer significant power benefits relative to the digital solution._x000D_
+ The proposed analog autocorrelation technique for the wake-up receiver is a good combination of analog and digital methods resulting much shorter detection time and power consumption._x000D_
+ The Direct Sequence Spread Spectrum communication method seems to offer large decrease in power needs for communication._x000D_
+ PI conducted preliminary feasibility studies  for the proposed approach._x000D_
_x000D_
Weaknesses:_x000D_
-	While body-area networks are important components for building health-monitoring related CPS and the proposed approach seems to be a potentially valuable contribution, it is hard to see how the topic  is aligned with the goals of the CPS program._x000D_
_x000D_
_x000D_
_x000D_
_x000D_
_x000D_
In the context of the five review elements, please _x000D_
evaluate the strengths and weaknesses of the proposal with respect to broader impacts._x000D_
_x000D_
Strengths:_x000D_
+ Mixed signal circuit design is an important area and its application to body-area networking seems to be beneficial. _x000D_
+ PI offered a reasonable approach for integrating research and education. The summer program for high school students is a valuable activity._x000D_
+ PI suggests meaningful efforts for including underrepresented minorities in the research._x000D_
+ The proposal includes a detailed annual research plan with sufficient details. _x000D_
_x000D_
_x000D_
Please evaluate the strengths and _x000D_
weaknesses of the proposal with respect to any additional solicitation-specific review criteria, if _x000D_
applicable_x000D_
_x000D_
_x000D_
_x000D_
Summary Statement_x000D_
_x000D_
The proposal was evaluated Good because it is misaligned with the CPS research agenda._x000D_
_x000D_
</t>
  </si>
  <si>
    <t>Tremendous progress has been made in the areas of wearable sensors and Wireless Body Area Network (WBAN). Much of the efforts have focused on addressing commercial and health monitoring applications, using commercial wireless technologies such as Bluetooth, ZigBee and UHF RFID approaches. However, these conventional wireless connectivity solutions are using already crowded spectrum and can be easily detected, spied and/or jammed and thus prevents secure body area connectivity. Even though the millimeter wave spectrum offers jamming resistant, power efficient high bandwidth wireless systems and ultra-compact embedded antenna integration, it suffers from high propagation loss due to the reduced wavelength and shadowing effect. The Ku-band (12GHz ~ 18GHz) is considered as the optimum spectrum for the body area network, since it offers moderate path loss and shadowing effect, and compact antenna size. Proposed research activities will study a new pathway for developing ultra-low-power Ku-band WBAN sensors, which are secured and adaptable to the dynamic changes of the body movements. With the continued improvement of deep-submicron CMOS technology exhibiting high Ft/Fmax beyond 150GHz, extremely power efficient CMOS designs at Ku-band become possible. Similarly, with the potential for true monolithic single chip CMOS integration, we envision a viable path for cross layer system integration, from antenna to baseband, enabling a new class of Ku-band connectivity with Low Probability Intercept (LPI) and good jamming resistance.The proposed solution will implement innovative approaches to simultaneously achieve secured wireless connection with adaptability to dynamic body movements by using (1) multi beam forming/nulling reconfigurable radio architecture and ultra-low-power, by using (2) wake-up receiver based on analog auto-correlation, (3) communication technique based on analog Direct Sequence Spread Spectrum (DSSS). The proposed solutions will show a new pathway for future WBAN sensors targeting multi-functional applications for communication involving humans and computers, communication radar and sensors for detection applications ranging from healthcare to consumer electronics and to the military. The proposed research topic is very crucial to and plays a significant role in bolstering the leading position of the United States in research and development related to wireless communication, information technology, and IC design, which will strengthen our country's defense and security.The need for research on next-generation wireless devices and systems, and an up-to-date education of new Engineers on these systems is becoming ever more important in today's society.  This is because multi-radio wireless platforms such as mobile internet devices, laptops, smart phones and sensor systems are currently being developed to access many different wireless services such as WiFi, WiMax, 4G, Bluetooth, GPS and UWB over various frequency bands.  Because of this widespread use, proposed research activities for the next 5 years will integrate active research, and undergraduate and graduate education on the topics of (1) Radio Frequency Integrated Circuit (RFIC), (2) IC miniaturization for wireless sensor networks, (3) signal and systems, (4) wireless communication and information theory and (5) mixed-signal VLSI design. In addition, the skills developed by our students are of interest to companies in the surrounding Fargo, North Dakota area. Outreach activities will include (1) Recruiting local Native American students in the surrounding Experimental Program to Stimulate Competitive Research (EPSCoR) states such as North Dakota, South Dakota, Montana and Wyoming. (2) Visiting local high schools to give seminars on how microelectronics are applied to develop modern communication sensors that are ubiquitous in our daily lives. (3) Initiate a summer high school program where 5 students will be selected among the pool of applicants with a moderate stipend of $500 to each of them to work during 8 weeks of summer months and get hands-on experience on the fabricated microelectronic chips and demonstrations of how these microelectronics chips operate in a wireless environment. At the end of the program students will be asked to present a poster on their research findings. These activities will help to generate an interest in STEM education in these youngsters well before they start seriously thinking about their future careers and what to study in college.</t>
  </si>
  <si>
    <t>1750102</t>
  </si>
  <si>
    <t>Frias-Martinez</t>
  </si>
  <si>
    <t xml:space="preserve"> Panel Summary       
  _x000D_
Description of project:_x000D_
_x000D_
The project proposes to create data-driven methods to characterize and predict human mobility patterns during societal shocks to improve the development of effective mobility management policies. The proposal has three specific objectives: modeling reaction of communities to shocks, using the models to create predictive methods to forecast the impact of shocks (which will be used to manage policies for human mobility), and third, evaluate the transferability of the shock response and prediction models across different event types or domains._x000D_
_x000D_
Intellectual Merit:_x000D_
Strengths:_x000D_
 _x000D_
+ The overall approach to model human response to shock application using mobility data from cell phone providers that is available to the PI is compelling. _x000D_
+ The proposal has clear and realistic description of data collection and the PI is familiar with the process._x000D_
+ The PI has good access to data to make a strong contribution despite the risk that insufficient data will be available given that shocks are rare events. _x000D_
+ Data transferability is a key to generalizability of the specific datasets collected and analyzed. The proposal describes metrics for transferability in detail and describes mechanisms for computing and managing them. _x000D_
+ The modeling schemes proposed by the PI are up to date, although they may not push the state of the art. Models developed out of this work may be useful in other applications._x000D_
_x000D_
Weaknesses:_x000D_
- The PI does not clearly describe how this project might extend fundamental modeling techniques, or what the novelty of the work at the fundamental level is. Overall, the proposal does not elaborate on whether it is expected that the "science" of prediction or modeling is being advanced. For example, on human mobility prediction, while the use of Markov models or neural networks are proposed, the novelty or specific approaches to advance the state of the art is not explained._x000D_
_x000D_
Constructive Recommendations: _x000D_
_x000D_
By developing modeling and prediction schemes, and then applying them through mobility management policies, a (loose) control loop will form. The project will benefit from considering the impact of the feedback that will be created by closing the loop._x000D_
_x000D_
Broader Impacts:_x000D_
_x000D_
Strengths:_x000D_
+ Modeling and Prediction of human response to shock has very important applications and will have tremendous impact from a disaster response perspective. _x000D_
+ There is a lot of data on normal mobility, the scientific community benefits if the project manages to clarify how after shock models are different as this is an under studied area._x000D_
+ The PI has a track record of working with industry and UN offices, and will work to promote collaborations between academia, industry and international organizations with the objective of encouraging public-private data sharing practices. This is an important area as many companies and government agencies prefer to just not share data. _x000D_
+ The education integration plan is adequate, teaching student to use tools like Open sensing framework is a plus_x000D_
+ Plans to involve underrepresented groups and organize workshop/hackathon activities is clearly motivated and described. _x000D_
+ Specific connections between industry and government organizations and curricular development plans are provided._x000D_
_x000D_
Weaknesses:_x000D_
- Most of the partners are outside US, it would be useful if PI could explore working with US carriers._x000D_
_x000D_
_x000D_
Panel Recommendation:_x000D_
 _x000D_
The panel rated this proposal as Competitive. The primary reasons for this rating were the relatively strong data analysis plans and impressive broader impact._x000D_
_x000D_
The summary was read by the panel, and the panel concurred that the summary accurately reflects the panel discussion._x000D_
</t>
  </si>
  <si>
    <t>ZT0833407</t>
  </si>
  <si>
    <t>Atkins</t>
  </si>
  <si>
    <t>ematkins@umich.edu</t>
  </si>
  <si>
    <t xml:space="preserve">In the context of the five review elements, please _x000D_
evaluate the strengths and weaknesses of the proposal with respect to intellectual merit._x000D_
_x000D_
+ Clear and realistic description of cell phone metadata collection process._x000D_
+ Excellent multidisciplinary literature review from physics and computer science._x000D_
+ PI offers a strong background in the methods proposed for application to this problem._x000D_
+ The human response to shock application is compelling, and connections to obtain cell phone data are realistic._x000D_
+ Prediction of human behavior is an important and difficult challenge addressed carefully in this proposal._x000D_
+ Data transferrability is a key to generalizability of the specific datasets collected and analyzed.  The proposal describes metrics for transferrability in detail and describes mechanisms for computing and managing them._x000D_
+ The PI is well-qualified to conduct the proposed research._x000D_
- The PI does not clearly describe how this project might extend fundamental algorithmic or modeling techniques._x000D_
_x000D_
In the context of the five review elements, please _x000D_
evaluate the strengths and weaknesses of the proposal with respect to broader impacts._x000D_
_x000D_
+ The human response to shock application has tremendous impact from a disaster response perspective.  _x000D_
+ The proposed large-scale data collection and processing effort is a realistic and important way to improve our understanding of this important application._x000D_
+ Plans to involve underrepresented groups and organize workshop/hackathon activities is clearly motivated and described._x000D_
+ Specific connections between industry and government organizations and curricular development plans are provided._x000D_
_x000D_
Please evaluate the strengths and _x000D_
weaknesses of the proposal with respect to any additional solicitation-specific review criteria, if _x000D_
applicable_x000D_
_x000D_
+ The proposal is very strong in its computer science (cyber) content._x000D_
+ Dealing with shock and human mobility are physical challenges._x000D_
- The underlying methods and plans are almost exclusively from computer science with little consideration of physical human/system models._x000D_
_x000D_
Summary Statement_x000D_
_x000D_
The PI proposes a strong research project to collect cell phone metadata following disaster (shock) events.  Background is clear and comprehensive, the technical approach is well-conceived, and PI is well-qualified.  Broader impact potential is significant.  The "cyber" side of the proposal is extremely strong; the "physical" side is primarily in the use of GPS markers for people and their movements._x000D_
_x000D_
</t>
  </si>
  <si>
    <t xml:space="preserve">In the context of the five review elements, please _x000D_
evaluate the strengths and weaknesses of the proposal with respect to intellectual merit._x000D_
_x000D_
The PI proposes a mobile cyber-physical system (CPS) where people carrying cell phones generate large amounts of data that are used to sense, compute and monitor human interactions with the physical environment. The focus of the proposal is in people's reaction after shock. The PI proposes data-driven methods to characterize and predict human mobility patterns and resilience during shocks. The ultimate goal is to improve the development of effective policies. The PI will work with two cell phone carriers in Spain to collect cell phone data  and with the United Nations to evaluate the proposed methods on three studies of periodic shocks: droughts in Haiti; armed conflicts in Colombia; and floods in Bangladesh._x000D_
_x000D_
The proposal has three main objectives: (1) to characterize the types of reactions that people have to different kinds of shocks, (2) to create predictive methods to forecast the impact that shock management policies would have on human mobility behaviors and community resilience during a shock, and (3) to evaluate the transferability of the types of reactions and predictive methods across different shocks, spatio-temporal scales and data sources._x000D_
_x000D_
+ the collaboration with the two cell companies to collect data and and with the United Nations Global Pulse to assist decision makers is a strength of the proposal_x000D_
_x000D_
+ the application area is quite interesting and the project is a good fit for the CPS program_x000D_
_x000D_
- overall in the proposal, the PI makes the statement that there is a large amount of work on the proposed topic under normal conditions, hence her proposed work in behaviors after shock. It is clear that normal behaviors will be fundamentally different from behaviors after shock. It is not clear, however, why the same types of techniques for representation and prediction would apply. _x000D_
_x000D_
- it is not clear what the intellectual contribution is in the proposed work on conceptual maps. The description is mainly about data collection and representation. _x000D_
_x000D_
- the proposed work in mobility patterns is simply defining a vector representation of features and then computing gradients showing changes in the features. Clustering resembling unsupervised learning will be used to identify different types. RNN will be used to used to classify different types of behaviors. Again, as before, it is not clear what the novelty of this approach is. This observation applies to all the proposed work in Secs. 3.2 and 3.3_x000D_
_x000D_
_x000D_
In the context of the five review elements, please _x000D_
evaluate the strengths and weaknesses of the proposal with respect to broader impacts._x000D_
_x000D_
+ If successful, this project will provide decision makers with interactive map-based visualizations to explore human response to shocks. It will also provide  policies for future events. _x000D_
_x000D_
+ One of the strengths of the proposal is the involvement of minorities, especially women.  _x000D_
_x000D_
_x000D_
Please evaluate the strengths and _x000D_
weaknesses of the proposal with respect to any additional solicitation-specific review criteria, if _x000D_
applicable_x000D_
_x000D_
_x000D_
_x000D_
Summary Statement_x000D_
_x000D_
This proposal was rated Good. The main strengths of the proposal are the fit to the CPS program and the _x000D_
tight integration of research and application. However, for most the proposed research thrusts, it is not clear what the novelty is compared to other existing approaches._x000D_
_x000D_
</t>
  </si>
  <si>
    <t>UN0969426</t>
  </si>
  <si>
    <t>Fallah</t>
  </si>
  <si>
    <t>yaser.fallah@ucf.edu</t>
  </si>
  <si>
    <t xml:space="preserve">In the context of the five review elements, please _x000D_
evaluate the strengths and weaknesses of the proposal with respect to intellectual merit._x000D_
_x000D_
+ The proposed research plan, and in particular the prediction and learning models are expected to work for the identified problem. _x000D_
+ The intellectual merit of the work lies mostly in the development of data analysis and prediction techniques, albeit at an incremental pace. _x000D_
- no transformative concept is identified or obvious from the proposal._x000D_
-on human mobility prediction, while the use of markov models or long-short term networks are proposed, the novelty or specific approaches to advance the state of the art is not explained._x000D_
_x000D_
-overall the proposed research plan seems feasible, but it is not clear if the "science" of prediction or modeling is being advanced. The proposed methods are more similar to proposals for solving a problem which could have been funded by other agencies interested in a solution rather than science._x000D_
_x000D_
- Data from cell calls may have identifying information; although the data is from other counties, the proposer must describe how matters related to human subjects are handled in an ethical way._x000D_
_x000D_
In the context of the five review elements, please _x000D_
evaluate the strengths and weaknesses of the proposal with respect to broader impacts._x000D_
_x000D_
+the BI plan seems is expected to benefit from PI's existing contacts from her previous work. _x000D_
+The education integration plan is standard but adequate_x000D_
-The BI plan may be overy optimistic and includes too many components, a more focused plan may have a higher chance of success. It is difficult to imagine that the PI can achieve all of the promised BI objectives_x000D_
_x000D_
Please evaluate the strengths and _x000D_
weaknesses of the proposal with respect to any additional solicitation-specific review criteria, if _x000D_
applicable_x000D_
_x000D_
--The proposal does not provide a solid career development plan and in particular something that warrant a 5-year effort._x000D_
_x000D_
Summary Statement_x000D_
_x000D_
The research approach is to a good degree well planned and the PI seems to have the support and expertise needed to execute the plan. The research plan is expected to result in solutions for the identified problem, albeit without developing transformative concepts or significanlty improving the state of the art. _x000D_
The intellectual merit of the proposal is lacking in specific scientific advancements._x000D_
_x000D_
</t>
  </si>
  <si>
    <t>DS0958050</t>
  </si>
  <si>
    <t>Work</t>
  </si>
  <si>
    <t>dbwork@illinois.edu</t>
  </si>
  <si>
    <t xml:space="preserve">In the context of the five review elements, please _x000D_
evaluate the strengths and weaknesses of the proposal with respect to intellectual merit._x000D_
_x000D_
INTELLECTUAL MERIT _x000D_
_x000D_
PROPOSAL OBJECTIVES AND APPROACH _x000D_
The project aims to develop mobile CPS systems to collect large quantities of data to sense and monitor human activities during shocks (disasters). The goals include i) charactering how different communities react to different shocks, ii) developing prediction methods for determining the impact of various interventions, iii) generalizing results to new (data poor) areas. _x000D_
_x000D_
+ The use of cell phone data is promising for tracking the response of people after disasters. _x000D_
+ The proposal focuses on specific recurring shocks (droughts in Haiti; conflicts in Columbia; and floods in Bangladesh). _x000D_
+ Research has a solid evaluation plan mixing qualitative and quantitative evaluation. _x000D_
+ The technical approach builds on improving predictive accuracy of typical mobility patterns both at individual and community scales using modern machine learning methods; then differences between what is predicted and observed can be used to detect new patterns and measure the duration of the shock. _x000D_
- The work on predicting the locations of individuals to new shocks is well reasoned but there should be some discussion about the number of shocks that need to be observed in order to make adequate predictions. Compared to predicting the location of a person in a non-shock (where 2 years of data is probably more than adequate to capture typical behaviors), it is not clear 1) how many shocks are in the datasets that will be used in the project, 2) why it is plausible the response to a new shock can be predicted with the number of shocks in the dataset. _x000D_
- The proposal is vague on the details of other contextual information that will be used (e.g., 3.1.2 a). Can sufficient contextual data actually be obtained in the proposed locations of the work? The proposal mentioned several potential sources, but there could be wide disparities in data quality and availability.  This element is weaker compared to the connections established to obtain the cell phone data. _x000D_
-  A smaller point where the proposal could be further enhanced. While the penetration rate of cell phones is high (66%), the proposal did not discuss how to deal with people who do not generate data (presumably lower income per the discussion in the proposal). There is also a substantial imbalance between the amount of data generated from a smartphone and the data generated by a dumb phone. Given that the prediction methods may deteriorate for phones/people who generate less data, will this have an impact on the usefulness to decision makers? _x000D_
_x000D_
_x000D_
In the context of the five review elements, please _x000D_
evaluate the strengths and weaknesses of the proposal with respect to broader impacts._x000D_
_x000D_
BROADER IMPACTS_x000D_
+Has collaborations with 2 cell phone companies to access data + decision makers from UN to monitor disasters around the world. _x000D_
+ Collaborators are relevant and have critical data resources that they will contribute to the project. _x000D_
+ PI has a strong focus and track record in the area of data science for social good; plans hackathons as part of this project. _x000D_
+ Has a strong track record of recruiting underrepresented students and will continue with these efforts. _x000D_
+ Research partnerships extend into new course materials for data science for social good; will leverage partnerships for internships for students. _x000D_
_x000D_
_x000D_
Please evaluate the strengths and _x000D_
weaknesses of the proposal with respect to any additional solicitation-specific review criteria, if _x000D_
applicable_x000D_
_x000D_
_x000D_
_x000D_
Summary Statement_x000D_
_x000D_
SUMMARY STATEMENT_x000D_
_x000D_
The proposal uses a number of machine learning frameworks that will be customized for the specific problem of predicting human mobility behavior during shocks. The primary reasons for the rating of good stem from the strength of the collaborations and datasets available to make progress in the proposed areas and a very strong broader impacts element; The main weaknesses related to some potential gaps in the research plan (e.g., potentially insufficient contextual data, datasets containing shocks)._x000D_
_x000D_
_x000D_
</t>
  </si>
  <si>
    <t>Natural disasters, economic crises or violent events are some of the shocks that affect many communities every year, forcing them to change their routine behaviors, and to quickly adapt to new conditions. Understanding the changes in human mobility patterns and community resilience when shocks take place is critical to design adequate preparedness and response policies. However, decision makers typically rely on interviews and fieldwork during and after the crises to gain insight information into human reactions, which highly limits the accuracy of their findings. In this proposal, the PI envisions a mobile cyber-physical system (CPS) where people carrying cell phones generate large amounts of metadata that are used to sense, compute and monitor human interactions with the physical environment. Although a lot of work has been done in modeling human behavior under normal circumstances using cell phone metadata, mobility behaviors during shocks are much more complex in nature. As a result, most of the related work is very limited and ad-hoc, lacking any type of serious applicability from a preparedness and response policy perspective. In this CAREER award, the PI proposes to create novel data-driven methods that will reliably characterize and predict human mobility patterns and resilience during shocks so as to improve the development of effective policies. The PI will collaborate with two cell phone carriers to access the cell phone metadata throughout the duration of the award; and with decision makers from the United Nations to evaluate the proposed methods on three independent five-year, longitudinal studies of periodic shocks: droughts in Haiti; armed conflicts in Colombia; and floods in Bangladesh.From an intellectual merit perspective, the proposed methods will advance the state of the art in data analytics and real-time systems for CPS in the area of Smart and Connected Communities. The PI will use cell phone metadata to achieve the following three objectives: (1) to characterize the types of reactions that communities have to different kinds of shocks, which would allow for the development of more adequate preparedness policies to be ready for future events; (2) to create predictive methods to forecast the impact that shock management policies would have on human mobility behaviors and community resilience during a shock; and (3) to evaluate the transferability of the types of reactions and predictive methods across different shocks, spatio-temporal scales and data sources, which would provide decision makers with the possibility of analyzing behaviors and resilience in communities where cell phone metadata is not fully available. From a mobility perspective, human response patterns and predictions have been superficially studied in the past. However, the related work is typically limited to one occurrence of the event, and with very little or no contextual data, which largely limits the generalizability and applicability of the findings to shock preparedness and response policies. This proposal will advance the state of the art developing methods to analyze and predict mobility and resilience behaviors based on longitudinal collections of behaviors from past occurrences and with detailed contextual data. Additionally, the PI will also evaluate how transferable the methods are across shocks when limited cell phone metadata is available to decision makers.In 2015, extreme weather events alone displaced more than 19 million people, and the number of migrants due to shocks is expected to rise to 200 million by 2050. The research proposed in this award will provide decision makers with interactive map-based visualizations to explore human response to shocks so as to create preparedness policies for future events, and to analyze the effect that certain response policies would have on a shock as it evolves over time. Additionally, the PI will collaborate with cell phone carriers to promote collaborations between academia, industry and international organizations with the objective of encouraging public-private data sharing practices as well as data-driven decision making. This award will also help in training undergraduate and graduate students to develop both strong technical skills in data mining for large-scale datasets and a strong sense of social responsibility to be able to impact decision-making processes that can change communities and lives. The PI will also develop new course materials in the area of Data Science for Social Good.</t>
  </si>
  <si>
    <t>1750246</t>
  </si>
  <si>
    <t xml:space="preserve"> Panel Summary       
 Description of project:_x000D_
This project addresses the challenge of securing autonomous driving vehicles via the introduction of hardware security features, specifically the ARM TrustZone execution environment. This research effort is divided into three major tasks. The data collection and simulation testbed task builds a large database of Controller Area Network (CAN) messages and constructs a simulator for an entire autonomous driving stack. The second task would create a trusted execution environment that enforces security through a hardware-isolation approach. The third task focuses on integrity and correctness through formal verification. _x000D_
_x000D_
_x000D_
Intellectual Merit:_x000D_
_x000D_
Strengths:_x000D_
+ The idea of securing autonomous vehicles is current and worthwhile. There is definitely room to make contributions in this area._x000D_
+ The idea of tying in many different types of analysis is very challenging and has intellectual merit. For example, tying root cause analysis to formal verification to a simulation to a visualization of all of these is an idea that the panel recognized as intellectually interesting and current._x000D_
_x000D_
Weaknesses:_x000D_
- The literature review is much shorter and less extensive than would be expected considering the research ideas described. The project description is creating new simulations, new cybersecurity protocols, and new techniques for runtime verification; there are large communities of researchers in each of these areas that were not cited. For example, there is a huge industry of security of CAN buses that is not referenced or compared with the proposed research efforts. For another example, there is a prominent conference on Runtime Verification yet none of the papers from this conference are cited and there is no comparison with the existing tools from this community. The motivation is also missing citations; there have been people that have hacked into these systems before and we have learned a lot from these attacks already, however those instances are not cited with respect to how this study is new. _x000D_
- The research critically depends on data and architectures that are largely proprietary yet there is no collaborations with the automotive industry._x000D_
- The visualization tool mentioned in the Project Summary is never mentioned in the Project Description, aside from a repeat of the text from the summary. This is a promising idea but it is unclear whether, or to what extent, it is included in the research effort of the proposal._x000D_
_x000D_
Broader Impacts:_x000D_
_x000D_
Strengths:_x000D_
+ A new simulator testbed has the potential to have very broad impact, depending on how it is different from the current state of the art. _x000D_
+ Integration of the materials into university courses is an important broad impact and the proposal includes a good list of objectives that the PI is considering when working on this task._x000D_
_x000D_
Weaknesses:_x000D_
- The elements of building the simulator were not described at all in the Project Description; simulating the entire autonomous driving stack is extremely challenging and not believeable as an achievable contribution. It is not clear that anyone could build such a general purpose emulator; this is larger than the scope of a CAREER proposal. The panel recommends the PI specifically scope this component and provide detail regarding how it will be done and why there is reason to believe that effort would be successful. _x000D_
- The educational component of this proposal was smaller in scope that the panel would expect for a CAREER proposal. To be successful, such a proposal should have a more extensive and detailed plan that expands upon the standard components of mentoring students and including the research in courses._x000D_
_x000D_
_x000D_
Constructive suggestions for improvement:_x000D_
_x000D_
The panel saw promise in the proposed ideas but the project description needs to include a more explicit statement of their novelty and more evidence that this work will (a) be successful and (b) advance the state of the art. _x000D_
_x000D_
Given the type and subject area of this proposal, the proposer may consider establishing a collaboration with some company or person in the automotive industry who could consult on the research effort, provide access to proprietary components, and help enable the testing and validation phases of the research effort. In so doing, the time that may otherwise have been spent by a student in data gathering (a non-research task) could be acquired through cooperation and information sharing._x000D_
_x000D_
This proposal focuses on software engineering more than CPS; the CPS component either needs to be described better or the proposal needs to be submitted to a different category at NSF. The panel certainly sees potential for a CPS component but it does not appear in the text of the proposal as it was submitted. Specifically, the focus on cybersecurity and on real-system deployment tie in well to the CPS area. But, there is no discussion of what physical data will need to be protected (e.g., safety-critical data vs entertainment system data), and no discussion of the target physical environment. Will this project start in a remote area with no wifi and limited connection channels or a heavily accessible inner city? _x000D_
_x000D_
The proposal would be improved by answering specific questions about how the work will advance the state of the art and be set apart. How is the proposed testbed different from the other testbeds available in national labs and research areas everywhere? How is this different from the other testbeds available for students and researchers at other universities and how does it expand what can be tested? _x000D_
_x000D_
The proposal needs an improved literature review that distinguishes how each element of the proposal is different from what has previously been done and how it will advance the state of the art along all of the thrusts of the proposal. More details about formal verification, simulation environment, and CAN bus security are required. In this context, the project description should also point out where the science is, emphasize what are the fundamental CPS questions that are new to this work, and show how the proposed activities advance the state of the art. The panel expected to see a much larger reference section, considering the vast field of related work. Although a number of references several times this size is typical, it is more important to distinguish the proposed work from the state of the art, and to motivate the selected activities and goals."_x000D_
_x000D_
_x000D_
_x000D_
Panel Recommendation:_x000D_
 _x000D_
The panel rated this proposal as Not Competitive. The primary reason for this rating was the low level of detail paired with the ambitious research tasks that were not compared to the state of the art. 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</si>
  <si>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 Autonomous vehicle security is an important application.  The proposed ARM TrustZone application to automotive CAN systems is compelling and useful._x000D_
+ The PI has appropriate expertise to conduct the proposed research._x000D_
+ Crowd-sourced data collection and injection into autonomous driving simulations provide a safe environment for testing hackability and implementation of TrustZone protocols._x000D_
- The PI does not appear to have any collaborations with the automotive or .com industries engaged in autonomous driving. Such connections are crucial to ensure the solutions are relevant and innovative._x000D_
- The literature review is short, despite the tremendous amount of work happening in the autonomous vehicles community. _x000D_
- It is unclear the proposed research will offer any fundamental advances in cybersecurity because the PI will be applying an existing protocol to the automotive security domain._x000D_
_x000D_
In the context of the five review elements, please _x000D_
evaluate the strengths and weaknesses of the proposal with respect to broader impacts._x000D_
_x000D_
+ Improving automotive cybersecurity is an important challenge addressed by the proposed research._x000D_
+ The PI plans to offer courses that expose computer science students to CAN bus and automotive systems not currently covered._x000D_
- The PI does not discuss outreach or involvement of underrepresented groups._x000D_
- The realistic impact to the industry is limited due to the lack of even proposed collaborations with the substantial (and growing) autonomous vehicles industry._x000D_
_x000D_
Please evaluate the strengths and _x000D_
weaknesses of the proposal with respect to any additional solicitation-specific review criteria, if _x000D_
applicable_x000D_
_x000D_
+ The cybersecurity proposal focus is strong in its contributions to the "cyber" aspects of CPS._x000D_
+ The application is a physical vehicle system._x000D_
- Few specifics are provided on how the vehicle's motion, physical system status (e.g., engine data), or environment would be generated and considered along with cybersecurity issues in the proposed simulation._x000D_
_x000D_
Summary Statement_x000D_
_x000D_
Self-driving car cybersecurity is an important application, and the PI proposes a good combination of data collection, simulation, application of an emerging cybersecurity strategy.  The proposal would be strengthened by better literature review, collaboration with at least some of the large industrial base investigating self-driving cars, and specifics on how physical vehicle and environment data will factor into cybersecurity analysis and decisions._x000D_
_x000D_
</t>
  </si>
  <si>
    <t xml:space="preserve">In the context of the five review elements, please _x000D_
evaluate the strengths and weaknesses of the proposal with respect to intellectual merit._x000D_
_x000D_
The PI proposes techniques to protect autonomous driving vehicles against remote hacking. The main thrusts of the proposal are as follows: _x000D_
(1) study the root cause of the remote hacking; (2) develop isolation technique to protect automotive safety against potential defects in various software/systems. The proposed research would allow for imperfect software or systems to be deployed on vehicle platforms Through isolation and auditing, these software or systems will be resilient to remote hacking._x000D_
_x000D_
+ the proposed research seems to be important for the automotive industry_x000D_
_x000D_
- the proposed research program is on software engineering and is not a good fit for the CPS program. _x000D_
_x000D_
- it is not at all clear what the intellectual merit of the proposed research is. The proposed work in mainly integration of existing software packages._x000D_
_x000D_
_x000D_
In the context of the five review elements, please _x000D_
evaluate the strengths and weaknesses of the proposal with respect to broader impacts._x000D_
_x000D_
+ the proposed research has the potential to improve automotive security against various remote attacks, and thus affect the automotive industry._x000D_
_x000D_
+ the education plan is standard and the outreach plan is weak_x000D_
_x000D_
Please evaluate the strengths and _x000D_
weaknesses of the proposal with respect to any additional solicitation-specific review criteria, if _x000D_
applicable_x000D_
_x000D_
_x000D_
_x000D_
Summary Statement_x000D_
_x000D_
This proposal was rated Poor. The main reason for this rating is that the proposed research is mostly implementation and does not seem to contribute to the science of CPS._x000D_
_x000D_
</t>
  </si>
  <si>
    <t xml:space="preserve">In the context of the five review elements, please _x000D_
evaluate the strengths and weaknesses of the proposal with respect to intellectual merit._x000D_
_x000D_
The proposal aims to increase the security of autonomous vehicles by robustifying their on-board software in several ways. The idea of starting with root-cause analysis of remote hacking is an interesting approach that will provide a basis for the research that follows on novel isolation techniques. The proposal's goal comes across as very ambitious: redesigning the rich operating system of the target vehicle control platform, adding a trusted execution environment, then formally verifying, visualizing, and simulating the environment. I particularly liked the tie-in of visualization techniques; I understand that this has recently made a huge difference at AWS for their network security validation and I believe the PI is on to a good idea using it in the autonomous vehicle domain as well. _x000D_
_x000D_
The PI has a matching publication record in operating system-level security and visualization-based techniques that suggests the research relating to these areas is likely to be successful. There is no previous work cited on the formal verification aspect of the proposal, though this is a big challenge and a key component of the proposed research contribution. The PI does not have any previous publications in the area of formal verification. The proposal does not cite any publications on formal verification, by either the PI or other authors. _x000D_
_x000D_
I am particularly concerned about the lack of details on the formal verification task (Task 3.3) of the proposal. Formal verification, in particular runtime verification, comprises a major part of the proposed research contribution, which is appropriate, but there are almost no details on what type of formal verification will be conducted, where the formal specifications will come from, what tools will be used, and how they will integrate with the other proposed research outcomes, such as the re-designed operating system. The task 3.3 name appears to be cut off (Verification of the Runtime ___?__) and the paragraphs in the section to not fill in this detail. Is the execution time being verified or something else? Is the formal verification step meant to verify the level of isolation asserted by the boot sequence architecture? The text states that formal verification will be used to prove the correctness of the on-board code base but there are not details on what it means for this code base to be correct. What does it mean for HAB to "verify the signature of the runtime" at load time? Phrases like the following contributed to my mis-understanding of the proposed verification effort: "the runtime itself is loaded into the secure physical region." _x000D_
_x000D_
_x000D_
In the context of the five review elements, please _x000D_
evaluate the strengths and weaknesses of the proposal with respect to broader impacts._x000D_
_x000D_
The broader impact in terms of the effects this research could have on every-day life is potentially transformative. Certainly, we will all be affected in the future by self-driving cars on our public roads and a new operating system for those vehicles would have broad impact on our everyday lives. The goal of redesigning the system to prevent remote hacking is definitely a necessary one to tackle, however, I find the stated assumption that "hacking via physical access to the vehicle can be easily prevented once people are aware of the potential hacking consequences" to be unrealistic. If the hacking-prevention innovations rely on this assumption holding, and do not tie into on-board checks for partial or total breaches via physical access, then they are unlikely to be effective on real systems. _x000D_
_x000D_
Because this is a CAREER proposal, I expected the Education plan to be more extensive. The proposed simulated autonomous driving testbed will certainly provide educational experiences for users, but it is not clear how it offers unique advantages over existing testbeds for the same purpose, other than it will be located at the PI's institution, which does not currently have such a capability. The contribution of course development is good, but is not a unique contribution; the PI does have solid plans for course integration._x000D_
_x000D_
_x000D_
Please evaluate the strengths and _x000D_
weaknesses of the proposal with respect to any additional solicitation-specific review criteria, if _x000D_
applicable_x000D_
_x000D_
_x000D_
_x000D_
Summary Statement_x000D_
_x000D_
This proposal considers the popular (and relevant) modern problem security for autonomous cars. The research problems addressed are well-motivated by the text and the challenges are clearly stated. The proposed research contributions are ambitious and challenging; it is not clear that they can be accomplished within the given parameters of time and budget. The research plan varies from more detailed to less detailed, with the most questions left open in the formal verification section of the plan.The educational component is good but it constitutes a smaller part of the proposed work that I would expect from a CAREER proposal. Otherwise, the evaluation plan is good and provides an appropriate level of detail about how performance will be evaluated. _x000D_
_x000D_
_x000D_
</t>
  </si>
  <si>
    <t xml:space="preserve">In the context of the five review elements, please _x000D_
evaluate the strengths and weaknesses of the proposal with respect to intellectual merit._x000D_
_x000D_
INTELLECTUAL MERIT_x000D_
_x000D_
PROPOSAL OBJECTIVES AND APPROACH_x000D_
The proposal is targeted at the problem of securing increasingly automated vehicles, a problem caused by the insufficient isolation between infotainment and automation systems onboard modern vehicles.  The main idea of the proposal is to develop a new architecture where the ARM TrustZone is the only component with access to the CAN. If the resulting code base is small, then formal methods can be used to verify the codebase. A substantial component of the project is dedicated to designing and testing a new architecture for automotive applications based on the ARM TrustZone._x000D_
_x000D_
+ The proposal is well motivated. It advocates that the existing gateway-based approach to limit communication between a rich operating system and the CAN will no longer be effective when increasingly sophisticated automation services that run on top of the rich operating system._x000D_
+ The proposal is particularly interested in remote access problems because they are the alleged to be the most critical (e.g., if you have physical access, you can do other physical attacks)._x000D_
+ PI has preliminary work collecting and interpreting CAN messages, as well as working with the ARM TrustZone._x000D_
-The proposal advocates that the critical autonomous driving system components should run in the TrustZone, and that this codebase will be small. Some discussion on relative size of the codebase in question would be relevant.  I have some doubt that autonomous driving codebases will be sufficiently small to run in the TrustZone._x000D_
- The proposal did not explain the need build a generic autonomous driving testbed to study / test different AI driving algorithms.  Are there no existing environments that are sufficiently accurate for the problem? What exactly will the testbed enable and how will it advance the research tasks?  It was not convincing how the autonomous driving testbed (part of Task 1), would allow for the system design to be evaluated against remote hacking. _x000D_
- An evaluation plan is provided but is not convincing. Roughly, if the PI is responsible both for designing the architecture and for checking that it is secure against known or new attacks, it doesn't seem as strong as a plan that would be evaluated by someone external to the design. Some evaluation metrics, e.g.,  'high fidelity and compatibility of the autonomous driving testbed', lack specificity._x000D_
-It was not made clear why one needs to have an exhaustive list of CAN messages. Is it not possible to narrow the scope to a specific model of vehicle as a proof of concept? It seems too much effort is dedicated to tedious tasks that are necessary for commercial implementation but not for poof of concept of a research idea._x000D_
_x000D_
_x000D_
In the context of the five review elements, please _x000D_
evaluate the strengths and weaknesses of the proposal with respect to broader impacts._x000D_
_x000D_
BROADER IMPACTS_x000D_
+ Addressing automotive security is a critical area. _x000D_
+ Techniques developed here could apply to other safety critical platforms._x000D_
- Generally the broader impacts section was weak. It includes integrating content into two courses and publishing a simulator. As part of a CAREER grant, the proposal would benefit from more discussion about the PI's educational and outreach objectives, and how these activities directly support the research objectives. _x000D_
- The plan includes only a few, relatively standard activities, without evaluation metrics for success._x000D_
_x000D_
_x000D_
Please evaluate the strengths and _x000D_
weaknesses of the proposal with respect to any additional solicitation-specific review criteria, if _x000D_
applicable_x000D_
_x000D_
_x000D_
_x000D_
Summary Statement_x000D_
_x000D_
SUMMARY STATEMENT_x000D_
The proposal rating of Fair reflects the imbalance between development tasks that were not convincingly essential to the project, and the precise research questions to be answered. The proposal takes a very narrow view of outreach and educational activities for a CAREER grant, which was also viewed as a major weakness of the proposal. _x000D_
_x000D_
_x000D_
</t>
  </si>
  <si>
    <t>Automotive security issues were brought up by the research that shows the possibility of hacking the car by injecting commands into the Controller Area Network (CAN) bus. By either physical access or remote access to the car, researchers successfully control a wide range of automotive functionalities, e.g., disabling the brake, stopping the engine, manipulate the steering, etc. Automakers correspondingly introduced the gateway solution to filter the CAN messages that can flow from the rich operating system to other control units inside the vehicle. More recently, as modern vehicles become increasingly controlled by more advanced intelligent systems, e.g., Advanced Driver Assistance Systems (ADAS) and autonomous driving systems, the gateway does not work as expected any more. Meanwhile, the transition from the traditionally closed system like QNX, to the future open platform like Automotive Grade Linux (AGL), not only presents challenges for protecting autonomous driving system, but also offers a great opportunity to reconsider the design of rich operating systems running in the vehicle to offer better infotainment as well as security guarantee._x000D_
The goal of this proposal is to protect autonomous driving vehicles against remote hacking. Generally it is almost impossible for independent researchers to control how the proprietary software will be developed or new hardware protection will be deployed by automakers. The research in this proposal will (1) study the root cause of the remote hacking, i.e., the rich operating system manages two critical functionalities simultaneously, infotainment and automation, without sufficient isolation between them; (2) develop novel isolation technique to better protect automotive safety against potential defects in various software/systems deployed. In other words, the proposed technique allows for imperfect software (novel features) or systems to be deployed in vehicle platform, but by providing underlying isolation and auditing, these software or systems will be resilient to remote hacking.A novel isolation approach is proposed for vehicles with autonomous driving systems leveraging the newly announced ARM TrustZone security extension: (1) The rich operating system running on the vehicle control platform will be investigated and redesigned to separate the infotainment and autonomous driving functionalities. (2) A trusted execution environment will be constructed for the autonomous driving system, which is fully secured from the rich operating system and the applications running inside. The raw data collected from various sensors, and the code base of the autonomous driving system is protected by ARM TrustZone extension. (3) Due to the relatively small code base, formal verification will be conducted on the code that enables the trusted execution environment to guarantee its correctness. (4) A visualization tool will be built to intercept the automotive internal CAN messages and by correlating the messages and corresponding commands, the proprietary CAN protocol can be interpreted. (5) A simulated autonomous driving testbed will be designed and built to study different artificial intelligent self-driving systems, and evaluate the proposed solution against remote hacking.The proposed approach, upon completion, will significantly improve the automotive security against various remote attacks, and hence alleviate general public?s concerns over the transportation vehicles they heavily rely on. In addition, such a trusted execution environment approach not only addresses the threats towards automotive platforms, but also paves a way for protecting other safety-critical systems, e.g., power generation, aerospace controller, etc. Broader impacts can also result from educating next-generation professionals and researchers both at the undergraduate and graduate levels. Educational resource from this research is the simulated autonomous driving testbed that helps better understand different self-driving algorithms, identify potential vulnerabilities and test various defense solutions. Both one undergraduate and one graduate courses will benefit from the proposed research project._x000D_
Keywords: Trusted execution environment, ARM TrustZone, autonomous driving</t>
  </si>
  <si>
    <t>1750279</t>
  </si>
  <si>
    <t>Jin</t>
  </si>
  <si>
    <t xml:space="preserve"> Panel Summary       
 Overview of Proposal_x000D_
The objective of the  proposal  is the development of new methods for quality control and quality debugging in smart manufacturing. The proposed method has three components: (1) introduction of adaptive data fusion pipeline, (2) development of adaptive visualization based on recommendations and (3) optimal deployment of computations on a Mobile-Fog-Cloud network. The proposed application targets are  Thermal Spray Coating (TSC), Selective Laser Melting (SLM) and Fused Deposition Modeling (FDM)._x000D_
_x000D_
Intellectual merit_x000D_
The proposal has the following strengths:_x000D_
+ The identified area of research is important and addresses a real-life manufacturing problem with practical significance. _x000D_
+ Opportunity for experimental validation of research hypotheses improves chances for obtaining transitionable results._x000D_
+ The proposed approach is promising and introduces new methods and tools from other disciplines._x000D_
+ The proposal connects a classical industrial engineering challenge to advanced data analytics and computing methods._x000D_
The proposal has the following weaknesses:_x000D_
- The panel believes that the adaptive data fusion pipeline approach as described is somewhat shallow. The lack of  deeper elaboration of the research problems associated with  the  composability of the individual stages of  the pipeline creates the impression that the approach is not more than the collection of already existing algorithmic solutions without much added value. While PI referred to the deeper problem, such as the 'recommendation' method based on matrix completion and covariates prediction, the  discussion did not exposed the details and novelty of the approach. _x000D_
- Similarly, the adaptive visualization effort lacked analytical underpinning. It was not clear for the panel what is the expected advantage of the adaptive visualization method: Focusing the user to the essential problems? Generating hypotheses?_x000D_
- The panel agreed that casting the deployment of the computations on the Mobile-Fog-Cloud platform as an optimization problem was possible only with extreme simplifications of the problem that make success quite doubtful._x000D_
- There was also question in the panel regarding the proper interpretation of the CPS problem itself. While the overall objective of the proposal is to make the manufacturing process smarter with tightly integrating computing and networking, the overall model of the improved process was not exposed. There was some  reference to timing constraints in certain parts of the computation processes but modeling and analyzing the  dynamic properties of the integrated physical manufacturing and decision making system was not a target of the proposal._x000D_
_x000D_
Broader impacts_x000D_
+ The proposed education agenda is rich and ambitious. _x000D_
+ PI presented a well-structured plan on integrating the proposed research and education activities in his overall career development process._x000D_
- While student competitions are excellent way for motivating students to learn CPS, it was not clear for the panel how a broader student competition in this area could be done given the limited access to experimental facilities._x000D_
_x000D_
Panel recommendation_x000D_
The panel has placed this proposal in the Low Competitive category. The main reason for this decision is that while research in the proposed topic is important, a deeper, better formulated research agenda would be needed to reach the desired goals. The proposal should provide more focus on the specific problem the PI intends to address and details regarding the intellectual contributions._x000D_
_x000D_
Constructive suggestions for improvement:_x000D_
*) The PI should provide a more detailed description of the proposed research_x000D_
*) The PI should make it clear if new data analytic tools will be developed or existing techniques will be merged_x000D_
*) Some of the data analytic tools described in the proposal processes data of different nature  different goals (i.e. clustering vs predictive). It should be clear how data fusion is accomplished._x000D_
_x000D_
The summary was read by the panel, and the panel concurred that the summary accurately reflects the panel discussion._x000D_
</t>
  </si>
  <si>
    <t>PI: Jin, Ran_x000D_
Proposal Number: 1750279_x000D_
Institution: Virginia Polytechnic Institute and State University_x000D_
Title as Submitted: CAREER: Cognitive Smart Manufacturing Autonomy_x000D_
_x000D_
Panel ID: P180195 (006Y/018Y OE/CM CAREER Proposal Review - Manufacturing)_x000D_
Reviewer Ratings: F, G, F, F_x000D_
Panel Recommendation: DNC_x000D_
Panel Ranking: _x000D_
_x000D_
Program Director Recommendation: DECLINE_x000D_
_x000D_
This proposal was among the 9 proposals (9 projects) reviewed by panel P180195.  The panel consisted of 5 panelists and was held on October 11, 2017.  The proposals were reviewed in accordance with the two merit review criteria established by the National Science Board as contained in the Grant Proposal Guide.  Both intellectual merit and broader impacts were considered when evaluating the proposals.  Each proposal was evaluated by at least three written reviews (by panelists and/or ad-hoc reviewers) and was given ratings of Excellent (E), Very Good (V), Good (G), Fair (F), or Poor (P).  The panelists prepared a panel summary for each project discussed during the panel.  The panelists grouped the projects in one of four categories: 1 project(s) were placed in the Primary Consideration (PC) category; 1 in the Secondary Consideration (SC) category; 7 in the Do Not Consider (DNC) category; and 0 in the Not Discussed in Panel (NDP) category._x000D_
_x000D_
Each panelist signed the Conflict-of-Interest (COI) and Confidentiality Statement for NSF Panelists (NSF Form 1230P).  Panelists or any of the NSF Program Directors with a COI excused themselves from the room during the discussion and the rating of that particular proposal.  One of the other Program Directors moderated the panel when the moderating Program Director had a COI.  Refer to the COI diary note for a complete list of relevant conflicts of interest._x000D_
_x000D_
Evaluation of Intellectual Merit and Broader Impacts_x000D_
_x000D_
The Program Director refers to the evaluations of intellectual merit and broader impacts as expressed in the written reviews and accepts this as a sufficient description of how this project addresses both merit review criteria._x000D_
_x000D_
Recommended Action_x000D_
_x000D_
Considering the individual reviewer ratings, panel discussion and recommendation, strategic objectives of the program and the Division, and the desire to balance the portfolio among sub-fields within the program, the Program Director recommends this proposal be declined._x000D_
_x000D_
SIGNATURE _x000D_
Name: Georgia-Ann Klutke_x000D_
Title:    Program Director_x000D_
Program:  Operations Engineering_x000D_
Date:  November 9, 2017</t>
  </si>
  <si>
    <t>PS0803092</t>
  </si>
  <si>
    <t>Kim</t>
  </si>
  <si>
    <t>David.Kim@oregonstate.edu</t>
  </si>
  <si>
    <t xml:space="preserve">In the context of the five review elements, please _x000D_
evaluate the strengths and weaknesses of the proposal with respect to intellectual merit._x000D_
_x000D_
The research proposed takes one more step toward the automation of decisions that have normally been accomplished by human expertise. The automatic selection of  methods for analyzing quality data, the automatic suggestion of the best visual representations of data when analysis is not conclusive. This is both a strength and weakness of the proposal. It's not new but it can  be important. _x000D_
_x000D_
It is not clear if the methods 1 and 2 have a scientific basis or if they are just things to try that seem sensible:_x000D_
_x000D_
1. Apply methods for measuring the similarity of data sets and intermediate results to recommend methods of analysis for a new data set. There are other tasks proposed related to data filtering, fusion and integration of data sets, but it's not clear how these tasks fit with the objectives stated._x000D_
2. A scalar information visualization score will be developed. A functional evaluation score for visualization design will be developed. Tests with users (?) and methods for prediction based on user responses will be developed._x000D_
3. Stochastic integer program will be developed to optimize offloading computational tasks to various resources in a network._x000D_
_x000D_
The contributions are not clear which is a weakness of the proposal._x000D_
_x000D_
The PI seems well qualified and has the necessary resources._x000D_
_x000D_
_x000D_
_x000D_
In the context of the five review elements, please _x000D_
evaluate the strengths and weaknesses of the proposal with respect to broader impacts._x000D_
_x000D_
It seems the broader impacts of the technical work can be improved quality and better efficiency since quality issues may be resolved faster. These are pretty standard impacts for research of this general nature.  _x000D_
The educational tasks stated are:_x000D_
_x000D_
ò	SMN competition_x000D_
ò	New UG and Grad course_x000D_
ò	Summer workshops for high school female students_x000D_
ò	Summer seminar series at VSU_x000D_
ò	Normal outreach with pubs and conferences_x000D_
_x000D_
The educational tasks and impacts seem pretty standard although it seems like there are many task proposed with each taking a significant amount of administrative work to successfully accomplish. It seem too ambitious in the context of the research currently being conducted by the PI. That is the resources do not seem adequate._x000D_
_x000D_
Please evaluate the strengths and _x000D_
weaknesses of the proposal with respect to any additional solicitation-specific review criteria, if _x000D_
applicable_x000D_
_x000D_
_x000D_
_x000D_
Summary Statement_x000D_
_x000D_
This proposal was very hard to read and to me almost non-understandable in the details. There are so many acronyms, machine learning methods and jargon utilized that it is very hard to follow. It would be better to explain tasks at an intuitive level and connect them to the overall objectives, which is not clearly done. For each task the new knowledge, theoretical challenges, or research gaps should be clearly articulated. From what I can gather the collection of tasks seems like a very large development project, and whatever works will be what is used._x000D_
_x000D_
</t>
  </si>
  <si>
    <t>HP0574183</t>
  </si>
  <si>
    <t>Kumara</t>
  </si>
  <si>
    <t>skumara@psu.edu</t>
  </si>
  <si>
    <t xml:space="preserve">In the context of the five review elements, please _x000D_
evaluate the strengths and weaknesses of the proposal with respect to intellectual merit._x000D_
_x000D_
This proposal addresses the research goal of facilitating autonomous and cognitive smart manufacturing (SM) which enables reasoning, planning and decision making required to achieve strategic self directed goals and adapt to different variables. This goal is intellectually strong and has the potential to revolutionize manufacturing. To this effect this career proposal addresses selecting automated selection of data analytics methods, data fusion pipelines, and adaptive visualization based on recommendation. In addition the PI uses Mobile Fog Cloud network as a reliable and responsive computation service.  The problem posed is excellent. The PI has established track record and is capable of doing the work._x000D_
_x000D_
In the context of the five review elements, please _x000D_
evaluate the strengths and weaknesses of the proposal with respect to broader impacts._x000D_
_x000D_
The proposal does not clearly state what is Smart Manufacturing?  Smart Manufacturing started almost in the late seventies and still is packaged under different names û currently as smart manufacturing.  The proposal does not really give an indication of what smartness is being included in the system. Though the PI emphasizes Cognitive, the details are sketchy._x000D_
_x000D_
This reviewer finds the adaptive visualization intriguing and interesting. The way the proposal is written it is akin to learning. Can visualization with human in the loop be feasible over extended time horizons and increased complexity? The offloading of computational steps to MFC is another concept where the why of MFC is never clearly explained. _x000D_
_x000D_
There is a whole body of literature in Condition Based Maintenance where adaptively different representation and scheduling tools are used to address a context. In the early 90's this work was very popular and several systems in DoD were built. However they were not called adaptive pipelines. The PI may benefit to consult the literature to strengthen his work. _x000D_
_x000D_
The author introduces figure 13 which to this reviewer is quite intriguing. Not sure why such pictures are needed in a proposal? Writing about them is sufficient evidence. _x000D_
_x000D_
On the whole this proposal does not clarify what is exactly being done for making systems smart. The concept is very similar to sense-respond-control paradigm that has been there for a while. _x000D_
_x000D_
The proposal needs English editing and perhaps reduce the number of acronyms introduced. Some key references in smart manufacturing are missing û this reviewer can think of Yoshikawa, Paul Wright and others._x000D_
_x000D_
_x000D_
_x000D_
Please evaluate the strengths and _x000D_
weaknesses of the proposal with respect to any additional solicitation-specific review criteria, if _x000D_
applicable_x000D_
_x000D_
The educational part of the proposal is well articulated. The PI is eager to include undergraduate and high school students û in particular African American Female students, which is a lofty goal pursued by all academics these days. He has put in the infrastructure that is required to pursue his goals._x000D_
_x000D_
Summary Statement_x000D_
_x000D_
A good proposal. However does not clarify key elements like Cognitive, SM; in addition  no clarity on: why pipelines and why not a table look-up and why MFC? Needs to include proper references though they may be old (for example, Hatvany, Monsotori, Yoshikawa etc.)_x000D_
_x000D_
</t>
  </si>
  <si>
    <t>PB0804109</t>
  </si>
  <si>
    <t>Kurz</t>
  </si>
  <si>
    <t>mkurz@clemson.edu</t>
  </si>
  <si>
    <t xml:space="preserve">In the context of the five review elements, please _x000D_
evaluate the strengths and weaknesses of the proposal with respect to intellectual merit._x000D_
_x000D_
Intellectual Merit_x000D_
1.	What is the potential for the proposed activity to Advance knowledge and understanding within its own field or across different fields?_x000D_
There doesn't seem to be a clear connection to industry, or a strong case made that the research will be implementable in research._x000D_
2.	To what extent do the proposed activities suggest and explore creative, original, or potentially transformative concepts?_x000D_
It seems that this research could operate as the ultimate black-box. I wish there was a way I could read a use case û a scenario in which I oculd imagine what the world would be like if this research was successful._x000D_
3.	Is the plan for carrying out the proposed activities well-reasoned, well-organized, and based on a sound rationale? Does the plan incorporate a mechanism to assess success?_x000D_
The plan appears to be well-conceived, but it is presented in a somewhat repetitive fashion. _x000D_
4.	How well qualified is the individual, team, or organization to conduct the proposed activities?_x000D_
The PI appears to be qualified._x000D_
5.	Are there adequate resources available to the PI (either at the home organization or through collaborations) to carry out the proposed activities?_x000D_
The PI seems to have adequate resources available. However, I am concerned with the number of current and pending projects, which may indicate that the PI will be pulled in numerous directions during the CAREER grant. 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outcomes?_x000D_
I don't think that broader impacts are well defined in this proposal, beyond generalities._x000D_
2.	To what extent do the proposed activities suggest and explore creative, original, or potentially transformative concepts?_x000D_
The educational plan has a novel component in the VT-SMART competition. It seems that the effort to create and manage such a competition isn't really adequately accounted for in the budget, especially in light of the number of current and pending projects._x000D_
3.	Is the plan for carrying out the proposed activities well-reasoned, well-organized, and based on a sound rationale? Does the plan incorporate a mechanism to assess success?_x000D_
The timeline for the educational activities is well-defined and there is a planned assessment strategy._x000D_
4.	How well qualified is the individual, team, or organization to conduct the proposed activities?_x000D_
The PI is well qualified to conduct the educational plan._x000D_
5.	Are there adequate resources available to the PI (either at the home organization or through collaborations) to carry out the proposed activities?_x000D_
Yes, if the PI has the time to devote._x000D_
_x000D_
_x000D_
Please evaluate the strengths and _x000D_
weaknesses of the proposal with respect to any additional solicitation-specific review criteria, if _x000D_
applicable_x000D_
_x000D_
_x000D_
_x000D_
Summary Statement_x000D_
_x000D_
Summary_x000D_
This proposal intends to support the manufacturing workforce in making quality engineering decisions, by fusing data (and ensuring it is subject to the appropriate analytical techniques) and presenting in an appropriate (adaptive) visualization. _x000D_
_x000D_
It seems unusual to fund doctoral students for only 6 months instead of 9 months û or even 12 months, and there is not an indication in the department chair letter that the department will fund the difference. _x000D_
Data Management Plan_x000D_
The Data management plan is appropriate._x000D_
_x000D_
_x000D_
</t>
  </si>
  <si>
    <t xml:space="preserve">In the context of the five review elements, please _x000D_
evaluate the strengths and weaknesses of the proposal with respect to intellectual merit._x000D_
_x000D_
The proposal is to develop software and techniques supporting custom, low-volume manufacturing, with a particular focus on additive manufacturing techniques such as thermal spray coating and fused deposition modeling. The plan is to improve data analytics, visualization of results, and computation load balancing._x000D_
_x000D_
Strengths:_x000D_
+ Use of a Mobile-Fog-Cloud architecture._x000D_
+ The pipeline selection strategy seems promising._x000D_
+ Data analytics and data fusing leveraging learning-based methods looks like a good approach._x000D_
+ PI is familiar with modern manufacturing and has access to experimental facilities._x000D_
+ PI has a strong background in industrial engineering and statistics._x000D_
_x000D_
Weaknesses:_x000D_
- The ability to have impact on aero-engine manufacturing seems questionable, though the specific subproblems of thermal spray coating and fused deposition modeling are probably doable. Aren't there other applications of these technologies that would be more likely to be testable in industry?_x000D_
- The load balancing and computation offloading part of the proposal is unsophisticated and ad hoc._x000D_
- The proposal is sketchy about the data analytics and data fusing techniques that will be used. The text does not inspire confidence._x000D_
_x000D_
_x000D_
In the context of the five review elements, please _x000D_
evaluate the strengths and weaknesses of the proposal with respect to broader impacts._x000D_
_x000D_
The proposal to create a 'VT Smart Manufacturing Network Research Competition' (VT-Smart) as an annual competition for college students is interesting, but is it realistic?  How will access to the testbed be controlled? How will evaluations be done? How will students be recruited?_x000D_
_x000D_
The PI proposes to add modules to the CEED program at VT to "create a programming session based on Node.js, Raspberry Pi, vibration/thermal/force sensors, etc. Students will learn programming logic, and build up a small-scale SMN of 3-5 FDM machines by combining pre-defined code blocks." This seems more realistic._x000D_
_x000D_
_x000D_
Please evaluate the strengths and _x000D_
weaknesses of the proposal with respect to any additional solicitation-specific review criteria, if _x000D_
applicable_x000D_
_x000D_
_x000D_
_x000D_
Summary Statement_x000D_
_x000D_
This is a good proposal and additive manufacturing is certainly an area of opportunity._x000D_
_x000D_
</t>
  </si>
  <si>
    <t>NS1005268</t>
  </si>
  <si>
    <t>Materassi</t>
  </si>
  <si>
    <t>dmateras@utk.edu</t>
  </si>
  <si>
    <t xml:space="preserve">In the context of the five review elements, please _x000D_
evaluate the strengths and weaknesses of the proposal with respect to intellectual merit._x000D_
_x000D_
Strengths:_x000D_
I couldn't identify any specific strength in the proposal. Too many techniques are described (clustering, prediction methods, sparsification techniques, estimation... ) in a manner that I didn't find cohesive at all._x000D_
_x000D_
Weaknesses:_x000D_
From an intellectual standpoint the methods advanced in the proposal just look like a collection of tools to adopt in order to achieve a high level of flexibility in manufacturing._x000D_
Also, the flow of the proposal itself seems very scattered jumping from one topic to another._x000D_
_x000D_
_x000D_
In the context of the five review elements, please _x000D_
evaluate the strengths and weaknesses of the proposal with respect to broader impacts._x000D_
_x000D_
Strengths:_x000D_
If successful, the proposed approach has the potential of creating a paradigm for manufacturing facilities producing highly customizable prodcts._x000D_
_x000D_
Weaknesses:_x000D_
It is not clear to me how applicable are the proposed smart manufacturing techniques. A lot of infrastructures need to be in place to have this kind of implementations. Would it be possible that the costs of these infrastructure might be larger than the introduce benefits?_x000D_
_x000D_
Please evaluate the strengths and _x000D_
weaknesses of the proposal with respect to any additional solicitation-specific review criteria, if _x000D_
applicable_x000D_
_x000D_
The research and education plan are reasonably well integrated._x000D_
_x000D_
Summary Statement_x000D_
_x000D_
The proposal doesn't seem cohesive. It reads like a collection of tools chosen to improve different parts of a manufacturing process._x000D_
_x000D_
</t>
  </si>
  <si>
    <t>HQ0974756</t>
  </si>
  <si>
    <t>Starly</t>
  </si>
  <si>
    <t>bstarly@ncsu.edu</t>
  </si>
  <si>
    <t xml:space="preserve">In the context of the five review elements, please _x000D_
evaluate the strengths and weaknesses of the proposal with respect to intellectual merit._x000D_
_x000D_
Strengths_x000D_
The notion that computation can be distributed across hardware platforms is perhaps the only way to achieve practical implementation of data crunching in SM platforms without significantly overloading data networks from a factory and beyond. Therefore the core physical implementation of the algorithms proposed by the PI is in the right direction and perhaps the best aspect of this proposal._x000D_
_x000D_
The PI is well qualified and has all of the resources needed to carry out the work, particularly with CCAM resources. The PI has also shown a body of work in the topical area._x000D_
_x000D_
Weaknesses_x000D_
Much of the optimization work with regards to cloud resource scheduling and partitioning has been approached by the cloud-fog computing groups in computer science, particularly those by the pervasive and ubiquitous computing research groups. The difference here only seems to be that it is applied to the Smart Manufacturing Visualization scenario with data obviously coming through from manufacturing machines. The proposal could have been strengthened on how different the PI's approach would be, particularly since domain knowledge maybe critical._x000D_
_x000D_
"This project will fill in the knowledge gap to integrate visualization design, wearable sensor signals and recommendation for real-time cognitive visualization." û and 2 other statements like these are really technology gaps and not knowledge gaps. Knowledge gap should pertain to what scientific knowledge will be gained after the performance of the project._x000D_
_x000D_
The use of the word Cognitive and Autonomy is misleading and incomplete. In this project, it only serves to aid the decision making skills of human users due to the multi-modal data input. This takes a human factors approach to some of the major research tasks in the proposal. This portion in itself should be a major focused activity of research that perhaps maybe best suited for human computer interaction funding. At best, the research task identified by the PI would serve results for better UI interfaces than actually fully testing the cognitive abilities of humans visualizing the data. Since it is included within this proposal, there has to be a stronger motivation for studying this as an integrated problem._x000D_
_x000D_
_x000D_
In the context of the five review elements, please _x000D_
evaluate the strengths and weaknesses of the proposal with respect to broader impacts._x000D_
_x000D_
Strengths_x000D_
The PI has strong educational and outreach components, with work already undergoing within the PI's lab and College. This leads to credibility of continuing the program if awarded._x000D_
_x000D_
THE VT-SMART program is unique way of outreach efforts._x000D_
He also serves on major activities within INFORMS, which will form a strong foundation for outreach activities within the scientific community. He also obviously has made partnerships with local HBCU and other resource centers to help in recruitment and showcase of his activities._x000D_
_x000D_
Weaknesses_x000D_
With existing two NSF grants, only one of which was written in the Prior NSF work, explicitly writing out student hiring, particularly underrepresented minorities in the broader impacts section would further strengthen the credibility on the strength of existing recruiting efforts by the PI. _x000D_
_x000D_
_x000D_
Please evaluate the strengths and _x000D_
weaknesses of the proposal with respect to any additional solicitation-specific review criteria, if _x000D_
applicable_x000D_
_x000D_
_x000D_
_x000D_
Summary Statement_x000D_
_x000D_
In summary, this is a good proposal. There are weaknesses in terms of the integration of the data fusion component and the visualization component. Cognition for Autonomy is misleading, since humans are involved in the loop..therefore it is not completely autonomous. The research seems to be more suited to HCI interaction. The data fusion and selection of the best analytics to be used is a challenging problem and the PI has proposed a solution approach, which is feasible. The possibility that it creates new study directions in SM or CPS in Manufacturing is not strong. The educational and outreach components of the proposed work are adequate with several innovative components û such as the VT-SMART and the partnerships with HBCUs._x000D_
_x000D_
</t>
  </si>
  <si>
    <t xml:space="preserve">In the context of the five review elements, please _x000D_
evaluate the strengths and weaknesses of the proposal with respect to intellectual merit._x000D_
_x000D_
The objective of the project is  to autonomously select data analytics method options and to provide cognitive visualization of analytical results for quality engineering in diverse smart manufacturing conditions. The key innovation is the introduction of adaptive data fusion pipelines *sequence of data analytics steps with multiple method options) and adaptive visualization (human involved hypothesis generation and result verification) using recommendations. Recommendations are based on matrix completion and covariates prediction. The pipeline is deployed on a Mobile-Fog-Cloud network with optimal resource utilization  using predictive offloading. _x000D_
_x000D_
Strengths:  _x000D_
+ The research topic is timely and interesting. The research is integrated well with new directions in Smart Manufacturing._x000D_
+ Decomposition of the overall problem into the Adaptive Data Fusion Pipeline, Adaptive Visualization and Predictive Offloading research focus areas provides a nice, meaningful framework for the proposed research._x000D_
+ The proposed approach is promising, worked well in various application contexts and PI offered supporting results from preliminary studies, _x000D_
+ The proposal is well structured, goes deep and offers good introductory  reading  even for non-expert in the area._x000D_
+ PI articulates very well the integration of the proposed research program in his overall long-term research agenda_x000D_
_x000D_
Weaknesses:_x000D_
-	The proposal does not identify the implied Human CPS problem. Considering that the focus is a Smart Manufacturing process that incorporates the physical manufacturing process, data analytics- based decision support system, Human-Machine Interface and computational resource optimization,  the research centers on the "Cyber" part of the CPS, the  physical aspect is basically missing. The only constraint coming from the physical side is the time limit for the execution of analytics functions, but it is not clear why and what happens if the time constraint is violated._x000D_
-	It would have been useful to model the integrated physical/cyber process, characterize the expected benefits of the proposed computational components in terms of the overall quality/throughput improvement and making the case for following a "CPS perspective". _x000D_
-	The injection of the computing resource optimization problem in the agenda does not make the proposal "more CPS-like" because it is not connected to a deeper understanding of its role in the overall SM process._x000D_
_x000D_
_x000D_
In the context of the five review elements, please _x000D_
evaluate the strengths and weaknesses of the proposal with respect to broader impacts._x000D_
_x000D_
Strengths:_x000D_
+ Selection of the research topic fits well to societal priorities_x000D_
+ The proposed education agenda is ambitious. PI made effort to integrate his research with teaching._x000D_
+ The proposed student competition is a great idea and fully synergistic with directions in the CPS program. _x000D_
+ PI formulated a solid research and education plan  and integrated those with the departmental strategic plans._x000D_
_x000D_
Weakness:_x000D_
- The plan lists the anticipated data, software and education material generated by the research, but does not offer any details about accessibility by other researchers. In this form the Data Management Plan is incomplete. _x000D_
_x000D_
_x000D_
Please evaluate the strengths and _x000D_
weaknesses of the proposal with respect to any additional solicitation-specific review criteria, if _x000D_
applicable_x000D_
_x000D_
_x000D_
_x000D_
Summary Statement_x000D_
_x000D_
The proposal was evaluated Very Good because of a highly innovative, original approach to improve the quality of advanced manufacturing problems._x000D_
_x000D_
</t>
  </si>
  <si>
    <t xml:space="preserve">In the context of the five review elements, please _x000D_
evaluate the strengths and weaknesses of the proposal with respect to intellectual merit._x000D_
_x000D_
The proposal investigates an exciting problem in real-world smart manufacturing settings. The PI is planning to facilitate autonomous and cognitive manufacturing and enable reasoning and decision making in manufacturing environments. The project will propose adaptive data fusion and visualization, while their computation will be offloaded in a ubiquitous mobile-fog-cloud. _x000D_
_x000D_
- Overall, I found the proposal lacking concrete focused research problem with a novel solution. Instead, it starts the problem definition at a high level (where proposing a concretely novel solution becomes very hard), and does not dive into technical fundamental details where innovation and novelty can be proposed and assessed. Without those details, the proposed framework in the proposal is not guaranteed to work in practical settings. _x000D_
_x000D_
- The scope of the proposal is too large (e.g., data analytics, visualization, wearable devices, networking etc) and hence the research is too ambitious. Even for a CAREER proposal (where ambition is recommended), the proposed research plan needs to be achievable and feasible in practice. This can be proved partially by preliminary results. There are several points in the proposal, where no preliminary study results are provided and hence the reviewer is not convinced about their feasibility in practice. _x000D_
_x000D_
- The current version of the proposal is lacking concreteness and fundamental research solutions with visionary insights, and instead reads more like a engineering activity. _x000D_
_x000D_
- Presentation: the presentation of the proposal can be improved significantly. There are large sentences that are hard to follow by the reader. Additionally, some figures are too dense and high-level. Some of the figures can be broken into several simpler figures with more focused and in-depth illustration of the intended concepts. Furthermore, there are many abbreviations throughout the proposal; this makes the reading of the proposal an uneasy task. Furthermore, the text refers to some parts of the figures with color. With a B&amp;W printout, it is not possible to distinguish the colors. Additionally, figures are refered to on a page different from where they appear. Additionally, some figures are not explained well in text (e.g., Figure 5). _x000D_
_x000D_
- The PI describes his capabilities, but the text reads more like a biography. The PI's NSF biosketch is submitted and available to the reviewers. So it would have been more helpful to describe the PI's past experience and technical progress/achievements towards the research goals described by the proposal. _x000D_
_x000D_
- Case 1 of the research task 1.1. is planning to use the similarity of raw data sets to select entire pipelines. What are these data sets? How are they collected? More clarification is needed. _x000D_
_x000D_
- Data fusion pipelines are not explained clearly in the proposal. The part on top of page 6 is dense but unclear. How is the proposed solution novel in comparison with the state-of-the-art solutions? _x000D_
_x000D_
- Some of the algorithm choices in the proposal need clarification. E.g., out of the several available algorithms why is KL chosen to calculate the distance between the data sets? _x000D_
_x000D_
- How is the æperformance measure' defined and calculated. It is just mentioned without any technical definition and discussion. _x000D_
_x000D_
- Why is the assumption about the linearity realistic in practice? Furthermore, the equations are described in rush without enough context. _x000D_
_x000D_
- For RT1.1., why is a greedy method a sufficient choice in practice? What guarantees can it provide in terms of the final outcome optimality? _x000D_
_x000D_
- Generally, the proposal is overusing notations. Notation is just the formulation and does not imply novelty and should be removed if they are not used/needed. Some parts of the proposal would have been easier to read and follow if the notations had been replaced with English text. _x000D_
_x000D_
- The proposed algorithm in RT1.1 suggests to identify the top-c options based on the intermediate results. It is unclear why this algorithm is novel and other existing solution cannot be used. The algorithms generally are described in a heuristic manner, and without any type of proof and analytical results it is hard to assess their novelty and the rationale behind their design. _x000D_
_x000D_
- The literature review section of the proposal is too short and incomplete. Moreover, it looks more like a laundry list, and does not provide necessary details to put the proposed solutions into context w.r.t the recent past related research project outcomes. _x000D_
_x000D_
- in RT1.3, who determines \theta_k in practice? What if they are not accurate (what would be the impact)? _x000D_
_x000D_
- Given how it is described in the proposal, the reviewer is not convinced that RT3 is a fundamental research problem. _x000D_
_x000D_
- The used models in the formulation of RT3 are too abstract. For instance, P and C denote computation resources and communication resources, respectively. How are they determined in practical real-world settings? _x000D_
_x000D_
_x000D_
In the context of the five review elements, please _x000D_
evaluate the strengths and weaknesses of the proposal with respect to broader impacts._x000D_
_x000D_
+ The PI has solid plans for education module development such as student research advising and research competition on a smart manufacturing platform. This was an innovative idea. _x000D_
_x000D_
+ The PI is planning to attract high-school students through the connections with CEED center at VT. Additionally, there are proposed plans to attract underrepresented minorities.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is the lack of details on the problem definitions, proposed solutions and how novel they are in comparison with the past recent work._x000D_
_x000D_
</t>
  </si>
  <si>
    <t>CAREER: Cognitive Smart Manufacturing Autonomy_x000D_
Lead PI: Ran Jin, Lead Institute: Virginia Tech_x000D_
The PI's long-term research goal is to facilitate autonomous and cognitive smart manufacturing (SM), which "enables the reasoning, planning, and decision making required to achieve strategic self-directed goals and adapt to different variables" [1], and provides insightful information for manufacturing workforce (i.e., engineers and operators). In pursuit of this goal, the research objective of this CAREER proposal is to autonomously select data analytics method options and to provide cognitive visualization of analytical results for quality engineering in diverse SM conditions. This research is conducted because traditional SM is inefficient to manufacture personalized products with on-demand productivity, best quality, and lowest cost, resulting in huge wastes. Thus, the PI proposes adaptive data fusion pipelines and adaptive visualization based on recommendation. Their computations will be scheduled (offloaded) in a ubiquitous Mobile-Fog-Cloud (MFC) network as reliable and responsive computation services. With the proposed methodologies, data analytics performance and human-machine collaboration (HMC) efficiency will be significantly enhanced. These methodologies will be validated in the critical aero-engine manufacturing._x000D_
The PI's long-term education goal is to educate students and manufacturing engineers with knowledge, critical thinking skills, and hands-on experiences in data analytics and HMCs in SM. In pursuit of this goal, the education objectives are integrated with the research plan to: (1) engage students in SM for knowledge discovery and dissemination; (2) encourage high school female students to pursue SM related careers; (3) provide research experiences for African American students in Virginia; and (4) facilitate academia-industry collaborations. Education tasks will be assessed with a collaborator and continuously improved. The PI builds his career on SM data analytics and visualization, and has prior outreach and industrial collaborations. The PI has the qualifications and adequate resources to conduct the proposed research and education plans.This project will contribute to autonomous and cognitive SM by adaptive pipelines and visualization for quality engineering based on reliable and responsive computations. Three creative methodologies are proposed: (1) the recommendation-based adaptive data fusion pipelines combine matrix completion [4] and covariates prediction to select method options in diverse SM conditions; (2) the recommendation-based adaptive visualization transforms traditional time-consuming user interface designs to real-time SM information selection and visualization design; (3) the offloading uses a new optimization problem formulation to offload predicted computation tasks and repetitive steps to the MFC network. The proposed methodologies are pioneering in SM, and will have long-lasting impacts in Cybermanufacturing Systems and Operations Engineering research communities.The integrated research and education plans are expected to generate significant social and economic impacts in manufacturing industries and non-manufacturing systems in the U.S. by providing cutting-edge autonomous data analytics, cognitive visualization, and efficient computation. This project offers a benchmark comparison platform for SM research, a cognitive visualization methodology to improve HMC efficiency in many applications, and a test bed for interdisciplinary research with Computer Science and Human Factors. The education plan will afford a long-term contribution to the prosperity of manufacturing industries. New course modules with hands-on activities, outreach programs (to high school female students and African American students), industrial workshops, etc. will disseminate knowledge, develop critical thinking skills, and stimulate interests in SM. The VT-Smart competition will engage national college students in SM research.</t>
  </si>
  <si>
    <t>1750414</t>
  </si>
  <si>
    <t>Zeng</t>
  </si>
  <si>
    <t xml:space="preserve"> Panel Summary       
  Description of project:_x000D_
The program of work focuses on task scheduling on a variety of computer architectures. The PI intends to transfer task scheduling from an off-line activity to a run-time activity, thanks to the advances in computer power and the advances in scheduling algorithms._x000D_
_x000D_
_x000D_
Intellectual Merit:_x000D_
_x000D_
Strengths:_x000D_
+ The PI is qualified to do the work_x000D_
+ Schedulability analysis is an important area of research_x000D_
+ Moving towards run-time adaptation is an excellent goal_x000D_
_x000D_
Weaknesses:_x000D_
- It is difficult to distinguish the prior work of the PI from his proposed contributions. A statement indicating the difference between the two would be very useful._x000D_
- The claims of computational improvements are either naive or greatly exaggerated. The PI should avoid making inflated claims._x000D_
- The proposed technical work was difficult to read. The readers were distracted by the presence of many typos._x000D_
- The realism of the diagrams shown is in disagreement with the simplicity of the numerical examples discussed._x000D_
_x000D_
Broader Impacts:_x000D_
_x000D_
Strengths:_x000D_
+ The application to engine and car embedded computing tasks is alluring._x000D_
+ The prior industry experience is a big plus_x000D_
_x000D_
Weaknesses:_x000D_
- The PI has a good grasp of the challenges associated with teaching a broad subject, such as CPS. The course (ECE 5984) that will_x000D_
 be developed contains topics in agreement with the reviewer's views on the subject._x000D_
- The good idea of re-training people in industry should not be seen as overly catering to industry at the expense of public service._x000D_
_x000D_
_x000D_
Constructive suggestions for improvement:_x000D_
_x000D_
This proposal would considerably benefit from fewer unjustified and hyperbolic claims: Factors of 1000 and billion of $ savings raise more eyebrows than enthusiasm. The PI is invited to outline the difference that exists between his proposed work and his prior publications._x000D_
_x000D_
_x000D_
Panel Recommendation:_x000D_
 _x000D_
The panel rated this proposal as Low Competitive. The primary reason for this rating was the difficulty for the panel to distinguish this work from prior and published work by the PI._x000D_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</si>
  <si>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 The proposed research investigates application of a rarely-used optimization technique (Audsley's algorithm) to a complex engine control scheduling application.  While the algorithm was proposed in the early 1990's, its use in high-complexity scheduling applications has been limited._x000D_
+ The proposal contains a comprehensive literature review with relevant work from the real-time scheduling and automotive control communities._x000D_
+ The PI is well-qualified to conduct the proposed research in terms of both fundamental academic research and application to automotive systems._x000D_
- Optimization is at the core of the proposal, yet Audsley's Algorithm is the only approximate approach presented.  What about competing approaches?  Further, how will the results be benchmarked?  As-is, it seems that the exact constrained optimizers will be slow but produce equivalent or better results.  Other approximate solvers might be more relevant and competitive with the Audsley approach._x000D_
- There is a disconnect between the nice diagrams showing complex automotive system components, e.g., routing and speed planning, and text content.  While there are simple examples of engine control parameters, there is little discussion of the more complex combinations of computational tasks and network transmissions that would motivate a simplified approach to optimization.  At least a discussion of examples would be helpful. _x000D_
- Proofread for typos and grammar errors.  The text was clear but typos can be distracting._x000D_
_x000D_
In the context of the five review elements, please _x000D_
evaluate the strengths and weaknesses of the proposal with respect to broader impacts._x000D_
_x000D_
+ The application has very good connection to improving efficiency of automobiles, an important continuing effort to minimize their environmental impact._x000D_
+ Collaborations with two automotive companies and the PI's prior industry experience indicate excellent potential for technology transfer to industry as well as through academic traning and publications._x000D_
+ The PI provides very good detail into how he plans to augment and extend courses at Virginia Tech with CPS content._x000D_
- Although the PI obtained his PhD in 2008 and has been at Virginia Tech for three years, there is no evidence he has supported appreciable outreach efforts to-date._x000D_
- The PI is relying on Virginia Tech's strong efforts in recruiting under-represented students and conducting outreach with no clear plans on how this CAREER proposal will extend existing efforts by others at Virginia Tech._x000D_
_x000D_
Please evaluate the strengths and _x000D_
weaknesses of the proposal with respect to any additional solicitation-specific review criteria, if _x000D_
applicable_x000D_
_x000D_
+ The proposed research investigates fundamental cyber (real-time scheduling) optimization advances with application to an important physical (automotive) domain._x000D_
- There is little detail on how physical road characteristics, environment, driver profile/preferences, etc. will factor into decision-making.  As such, the research is a rather classic and standard real-time systems effort with limited connection to "physical" variables outside the engine control system._x000D_
_x000D_
_x000D_
Summary Statement_x000D_
_x000D_
The PI proposes a real-time task schedule optimization strategy based on Audsley's Algorithm that can quickly reschedule automotive control tasks in situ.  The proposal is strong in its literature review, description of the automotive real-time scheduling problem, and planned collaborations with industry to facilitate technology transfer and realistic automotive systems models. The motivation for approximate optimization could be improved by better discussing the sources and specific types of real-time scheduling complexities.  The PI has a very good course development plan; plans for outreach and involvement of underrepresented groups are not as strong._x000D_
_x000D_
</t>
  </si>
  <si>
    <t xml:space="preserve">In the context of the five review elements, please _x000D_
evaluate the strengths and weaknesses of the proposal with respect to intellectual merit._x000D_
_x000D_
The proposal objectives are to promote and develop optimization algorithms to enable fast task scheduling in single and multi-core processors, with applications to automotive systems, in particular. The methods used by the PI are not detailed but seem to indicate considerable improvements over commercial, multi-purpose solvers, such as CPLEX or GUROBI._x000D_
_x000D_
_x000D_
+ The author is very well-versed in the techniques of task scheduling and makes an outstanding display of competence based on past results. _x000D_
_x000D_
+ Moving into the runtime task scheduling world is very natural, and the PI is qualified to enable significant progress in that direction. However, real-time scheduling is not that new. The automotive example is interesting, however the reviewer wonders the extent to which the proposed algorithms would indeed outperform a solution based on storing all meaningful schedules in memory and reducing the adaptive scheduling to appropriate memory calls._x000D_
_x000D_
+ The technical details of the proposed work remain somewhat unknown: The author bases his proposal on a multitude of prior papers. Thus we do not know the additional "tricks" that will be investigated._x000D_
_x000D_
+ The unsafe schedulability analysis makes sense. The geometric programming framework is interesting, but the author does not indicate any suggested acceleration techniques to solve this problem, which is likely to be slow in practice._x000D_
_x000D_
- The quality of the writing is average to low._x000D_
_x000D_
- The performance comparisons provided by the author are quite lame and provide a false impression of superior performance: The author may want to provide instead comparisons with the best-known, application-specific algorithms today._x000D_
_x000D_
- The title of the proposal is somewhat misleading, as are the titles of many sections: Are the proposed tasks that revolutionary?_x000D_
_x000D_
_x000D_
_x000D_
In the context of the five review elements, please _x000D_
evaluate the strengths and weaknesses of the proposal with respect to broader impacts._x000D_
_x000D_
+ The proposed Education and outreach plans are sound and well-integrated within the broader VT plans in that regard, eg systems oriented courses. _x000D_
_x000D_
+ The PI has a good grasp of the challenges associated with teaching a broad subject, such as CPS. The course (ECE 5984) that will be developed contains topics in agreement with the reviewer's views on the subject._x000D_
_x000D_
+ The PI mentions the training of mature engineers through online education, something indeed very important as the needs of industry evolve faster than the competencies of their workforce._x000D_
_x000D_
- The letters provided by industry do not show any concrete commitment on their part to support the efforts of the PI. _x000D_
_x000D_
_x000D_
_x000D_
Please evaluate the strengths and _x000D_
weaknesses of the proposal with respect to any additional solicitation-specific review criteria, if _x000D_
applicable_x000D_
_x000D_
_x000D_
_x000D_
Summary Statement_x000D_
_x000D_
This proposal is about the scheduling of real-time computing tasks on available computer resources. The PI aims at developing and adapting his scheduling methods to demonstrate orders of magnitude improvements on how quickly an optimal schedule may be obtained, and whether such optimal schedules can be obtained in real-time._x000D_
_x000D_
This proposal is rated as good to fair for the following reasons: The proposal could have expressed its goals more clearly than it did. The superlatives used in the title of the proposal and the sections are somewhat misleading._x000D_
_x000D_
</t>
  </si>
  <si>
    <t xml:space="preserve">In the context of the five review elements, please _x000D_
evaluate the strengths and weaknesses of the proposal with respect to intellectual merit._x000D_
_x000D_
The proposal is to improve by several orders of magnitude the run time of schedulability analysis for real-time scheduling thereby enabling runtime adaptation and a more fluid design flow. The core of the technique seems to be on better representations of the geometry of the region of space over which a problem remains schedulable, where the axes of the space are the worst-case execution time (WCET) bounds of the software components. Given a candidate set of algorithms, and hence a family of possible choices for WCETs, the goal is to optimize these choices according to some (apparently unspecified) optimization criterion._x000D_
_x000D_
Strengths:_x000D_
+ Schedulability analysis for real-time systems is an important area._x000D_
_x000D_
+ Enabling run-time adaptation and quicker evaluation of design alternatives is a laudable goal._x000D_
_x000D_
Weaknesses:_x000D_
- The proposal is rather badly written and it was quite a struggle to come up with an understanding of what is being proposed. I hope I got that understanding right, but honestly, I may have missed the point altogether.  In selecting choices that lie within the schedulability reason, what optimization criterion is being used? This is not at all clear in the proposal._x000D_
_x000D_
- The PI claims that "analysis techniques for use in optimization are almost never studied." This claim is indefensible._x000D_
_x000D_
- The proposal is heavily based on prior work by the PI in references [14] and [98] (published 2010 and 2013), and it is not clear what are the proposed extensions. The proposal repeatedly states "the proposed techniques improve optimization algorithm efficiency by several orders of magnitude." The problem with such a statement is that can only be made about techniques that have already been developed and tested. Indeed, the work presented in [14] and [98] looks quite good, but a proposal needs to be for future work, not past work, and you can't know that future work will yield several orders of magnitude of improvement. In fact, particularly in a well-trodden area such as real-time scheduling, this is extremely unlikely._x000D_
_x000D_
_x000D_
In the context of the five review elements, please _x000D_
evaluate the strengths and weaknesses of the proposal with respect to broader impacts._x000D_
_x000D_
Strengths:_x000D_
+ Impact on industry of improved design techniques._x000D_
+ Leveraging existing VT efforts such as CEED for outreach is a good plan._x000D_
_x000D_
Weaknesses:_x000D_
- The broader impacts story here is largely boilerplate._x000D_
_x000D_
_x000D_
Please evaluate the strengths and _x000D_
weaknesses of the proposal with respect to any additional solicitation-specific review criteria, if _x000D_
applicable_x000D_
_x000D_
_x000D_
_x000D_
Summary Statement_x000D_
_x000D_
I would encourage a rewrite that is less about prior work, has less hype, and clearly states, in a self-contained way, what is being optimized and how._x000D_
_x000D_
</t>
  </si>
  <si>
    <t xml:space="preserve">In the context of the five review elements, please _x000D_
evaluate the strengths and weaknesses of the proposal with respect to intellectual merit._x000D_
_x000D_
Description of project _x000D_
The PI intends to develop transformative optimization techniques for time-critical CPS. The proposed techniques run several orders of magnitude faster than existing approaches resulting several breakthroughs: (1) designers can interact with optimization tools, (2) cross-layer co-design becomes feasible and  (enables new class of CPS with the ability of run-time adaptation. In PI's assessment, improved product quality in engine control would result in over $14B in estimated gas saving._x000D_
_x000D_
Intellectual merit:_x000D_
Strengths:  _x000D_
+ Provides strong  arguments for  timing correctness in time-critical CPS._x000D_
+ Provides metrics for timing correctness in CPS._x000D_
+ The refinements and innovation in the safe and unsafe timing analysis methdos (Tasks 1.1 and 1.2), in the domain-specific optimization algorithms (Task 2) and in the cross-layer co-optimization methods (Task 3.1) offer significant improvements according to the preliminary results._x000D_
+ The idea of runtime adaptation of vehicle routing and engine control is very interesting and innovative with potentially high impact. This is probably the most interesting part of the proposal._x000D_
_x000D_
Weaknesses: _x000D_
-	This proposal is hard to read and evaluate. The language of the proposal is for "insiders", full of technical jargon and referencing to details in literature. _x000D_
-	With the notable exception of Task 3.2, the proposal is not a core CPS proposal (at least to this reviewer).  _x000D_
-	The proposal includes much large claims that still needs to be substantiated._x000D_
_x000D_
_x000D_
In the context of the five review elements, please _x000D_
evaluate the strengths and weaknesses of the proposal with respect to broader impacts._x000D_
_x000D_
Strengths:_x000D_
+ Scheduling is a technology component that has wide applicability. PI's contribution have broad potential impact._x000D_
+ The education and outreach plan is rich and well balanced. _x000D_
+ The teaching plan of the PI is very nicely integrated in broader teaching activities of the department._x000D_
_x000D_
_x000D_
Please evaluate the strengths and _x000D_
weaknesses of the proposal with respect to any additional solicitation-specific review criteria, if _x000D_
applicable_x000D_
_x000D_
_x000D_
_x000D_
Summary Statement_x000D_
_x000D_
The proposal is evaluated Very Good because of the novelty and originality of the technical approaches._x000D_
_x000D_
</t>
  </si>
  <si>
    <t>1750426</t>
  </si>
  <si>
    <t xml:space="preserve"> Panel Summary       
 _x000D_
Description of project:_x000D_
_x000D_
This project proposes a tool/framework, called CityMind, to extract knowledge from heterogeneous sources and determine its transferability to allow accurate prediction of the impact of future deployment of transportation plans. It seeks to develop data driven methods that can generalize across regions, modes, and policy interventions. _x000D_
_x000D_
INTELLECTUAL MERIT_x000D_
_x000D_
Strengths:_x000D_
+ The problem is well motivated and explained. The targeted problem is in fact very important. Making even small advances on knowledge transfer subject will be very useful to the research subject and community._x000D_
+ The evaluation metrics and process are clearly described. _x000D_
+ The PI has previously negotiated access to traffic datasets for cities in the USA and China._x000D_
_x000D_
_x000D_
Weakness: _x000D_
- The proposal is not clear on the specifics of what new or novel techniques are being proposed for some of the activities. For example cross learning models are mentioned, but more elaboration is needed. PI may consider demonstrating applicability of the concept through some clear examples._x000D_
- Models of physical vehicle kinematics/dynamics and motivations for human mobility are not clearly described. The impact of non-traffic data sources, e.g., special events, on prediction accuracy is not considered, and datasets for such information may not be readily available._x000D_
- While it is clear that preserving privacy has been discussed with data providers, the proposal does not make it clear how the issue will be addressed. _x000D_
- Concerns were raised regarding completeness of data and whether enough features and properties are identified in the available data to allow learning schemes to work. PI needs to clarify if the right data is available to feed the question being addressed._x000D_
- The problem statements are not clear and their relationship to practical problems in urban mobility are not articulated. The proposal should verify whether the models, metrics and predictions are useful to urban mobility experts, and whether the estimations have sufficient accuracy to have a positive impact._x000D_
- Data management plan is vague on whether the tool and data collected will be available to the community? Section III of the Data management plan needs to improve and be more explicit and specific._x000D_
-  Some of the tasks proposed are disjoint due to the scope of the proposed activity. _x000D_
_x000D_
BROADER IMPACTS_x000D_
Strengths:_x000D_
_x000D_
+ The outreach and education activities are adequate. _x000D_
_x000D_
Weaknesses:_x000D_
- No specific or novel integration with education is considered. Some novel activities in outreach and education will be helpful. _x000D_
- Using existing outreach program of WPI, while helpful, needs to be enhanced with further and more engaging activities._x000D_
_x000D_
SUMMARY STATEMENT_x000D_
_x000D_
The proposal was rated as Low Competitive. The primary reason for this rating was the lack of specific approaches and methods that will fundamentally advance the field of CPS, and the lack of novelty in the broader impact section._x000D_
The proposal targets the important challenge of deriving models and knowledge that can be transferred across different domains in transportation systems. The proposal does a good job of laying out the overall plan, but lacks specific approaches or methods and does not clearly identify the fundamental advances that will be made._x000D_
The broader impact of the proposal, while acceptable, lacks novelty._x000D_
_x000D_
The summary was read by the panel, and the panel concurred that the summary accurately reflects the panel discussion._x000D_
_x000D_
</t>
  </si>
  <si>
    <t>ZH0957698</t>
  </si>
  <si>
    <t>Amin</t>
  </si>
  <si>
    <t>amins@mit.edu</t>
  </si>
  <si>
    <t xml:space="preserve">In the context of the five review elements, please _x000D_
evaluate the strengths and weaknesses of the proposal with respect to intellectual merit._x000D_
_x000D_
The project proposes data-driven framework to quantify, extract, and transfer knowledge from heterogeneous data in three aspects: 1) different spatio-temporal regions; 2) transportation modes; 3) traveler groups. The goal is to provide accurate evaluations/ predictions about yet un-deployed plans and also provide performance estimates. _x000D_
_x000D_
(+) The proposed ideas (especially the motivating examples) related to cross-domain transfer (for human knowledge, modes, and spatial regions/temporal scales) are interesting and relevant. The impact of the research, if successful, include predictions about effects of future deployments. The PI has managed to show adequate preliminary work, and has synthesized his current/past research into an exciting plan. _x000D_
_x000D_
(+) A significant plus point of the proposed research is availability of heterogeneous data sources from multiple modes, cities, and across spatio-temporal scales. This provides an unprecedented opportunity to conduct research at the interface of transportation and data science, and potentially advance the state-of-the-art in travel behavior modeling, transportation planning, and urban studies. The system architecture of CityMind is well structured. _x000D_
_x000D_
_x000D_
(-) The proposal places limited focus on intellectual novelty of proposed methods, several of which are based on data mining, machine learning literature on other applications. For example, the PI identifies use of transfer learning, cross-modes learning, collective inference, traveler clustering, and conformal prediction mechanisms. First, it is not clear why these are relevant methods for the problems of interest. Secondly, what is their relevance given the vast literature in causal inference, structural models, and physics based prediction methods (e.g., using macro or meso models)? _x000D_
_x000D_
(-) The PI is encouraged to justify the choice of proposed methods/algorithms over existing ones, and also include criteria for evaluation. Rather than spanning over a range of methods (esp. different models and algorithms for each task), the PI can consider focusing on few prominent methods in predictive analytics and provide indication on if/how proposed research will provide new advancements in these methods. The PI is encouraged to look at role of causal inference in addressing some of the questions.   _x000D_
_x000D_
_x000D_
In the context of the five review elements, please _x000D_
evaluate the strengths and weaknesses of the proposal with respect to broader impacts._x000D_
_x000D_
(+) The proposed knowledge transfer framework, along with the synthesis of heterogeneous data and development of domain-specific models, has the potential of significant broader impact in the field of smart cities. _x000D_
_x000D_
(-) However, the PI does not provide adequate detail about how CityMind will be utilized/used/extended by the broader community, including collaborators from academic and industry. The data management plan lacks specifics about if/how the data and models will be used by others. _x000D_
_x000D_
(-) The outreach efforts are somewhat standard and lack novelty. The PI should consider highlighting and broadly disseminating subject material on data analytics and urban network analysis. _x000D_
_x000D_
_x000D_
Please evaluate the strengths and _x000D_
weaknesses of the proposal with respect to any additional solicitation-specific review criteria, if _x000D_
applicable_x000D_
_x000D_
_x000D_
_x000D_
_x000D_
Summary Statement_x000D_
_x000D_
The proposed ideas on use of transfer learning and predictive analytics for cross-domain knowledge transfer are well-motivated, along with rich heterogeneous data and preliminary work. However, the intellectual novelty of proposed methods should be improved in terms of extraction of relevant features and benchmarking with other methods. The broader impact will benefit from better articulation of data sharing policies and novel ways to disseminate subject material. Based on these comments, the reviewer rates this proposal as VERY GOOD._x000D_
_x000D_
</t>
  </si>
  <si>
    <t xml:space="preserve">In the context of the five review elements, please _x000D_
evaluate the strengths and weaknesses of the proposal with respect to intellectual merit._x000D_
_x000D_
+ The proposed data mining to improve traffic predictions is well-conceived.  The plan to fuse data across locations and times does show promise to improve human travel and traffic prediction capabilities. _x000D_
+ The literature review is comprehensive and appropriate._x000D_
+ The PI is well qualified to conduct the proposed research._x000D_
+ The evaluation metrics and process are clearly described._x000D_
+ The PI has previously negotiated access to potentially sensitive traffic datasets for cities in the USA and China._x000D_
- The distinction between the proposed CityMind and funded CityLines work is not significant.  The PI indicates CityMind is distinct in its off-deployment evaluation framework, but the same data sources, traffic models, and metrics will likely be used for both projects._x000D_
- Models of physical vehicle kinematics/dynamics and motivations for human mobility are not clearly described.  Wouldn't non-traffic data sources, e.g., special events, factor into predictions in a rather important way? _x000D_
- How will the investigator assure privacy is maintained?  It is clear this has been discussed with data providers but the proposal does not make this clear._x000D_
_x000D_
_x000D_
_x000D_
In the context of the five review elements, please _x000D_
evaluate the strengths and weaknesses of the proposal with respect to broader impacts._x000D_
_x000D_
+ Traffic prediction is an important application with broader impact in most urban areas._x000D_
+ The PI has acquired letters of collaboration from important partners in the transportation industry / government._x000D_
+ Coursework and undergraduate research participation are clearly described._x000D_
- WPI has a STEM center and a major annual outreach event being cited, but the PI's involvement may be limited to a few hours per year as a short-term participant in an existing event only._x000D_
- Little discussion is provided as to how results might be disseminated to the public and how this might improve their transportation choices over the long-term._x000D_
_x000D_
Please evaluate the strengths and _x000D_
weaknesses of the proposal with respect to any additional solicitation-specific review criteria, if _x000D_
applicable_x000D_
_x000D_
+ Data analytics is strong from the "cyber" perspective and traffic flow modeling/prediction is an important "physical" application._x000D_
- Physical system models are extremely simple (e.g., the fundamental diagram for traffic flows).  The human is not modeled at all apart from statistics of their mobility choices.  The research is therefore primarily in data analytics._x000D_
- Proposed coursework and outreach activities are not CHPS, but are instead in traffic modeling, an area that has been studied as a single-discipline topic for decades._x000D_
_x000D_
_x000D_
Summary Statement_x000D_
_x000D_
The PI proposes CityMind, a data analytics tool to aggregate traffic data from multiple cities and use long-term data analysis to better predict future traffic and advise transportation planners.  The data analytics research proposed is a strength, and the PI is well-qualified.  Neither research nor education components are strong in their CHPS attributes and humans and physical vehicle systems are highly simplified. Broader impacts are strong in their traffic management application but modest in outreach and involvement of underrepresented groups._x000D_
_x000D_
</t>
  </si>
  <si>
    <t xml:space="preserve">In the context of the five review elements, please _x000D_
evaluate the strengths and weaknesses of the proposal with respect to intellectual merit._x000D_
_x000D_
+ the proposal identifies a current and rather grand challenge in processing transportation data_x000D_
- the proposal is not specific on the approaches that will be used. _x000D_
- The problem described is current, but there are numerous other efforts already going on. _x000D_
- The intellectual merit is not clear or the novelty of it is not clearly described._x000D_
- the proposal lacks enough specifics on the approaches and methods (that are described in a clear manner) to allow objective judgement._x000D_
_x000D_
proposers are encouraged to better integrate sections (tasks) 2-5. The proposal appears as several disjoint tasks._x000D_
_x000D_
_x000D_
In the context of the five review elements, please _x000D_
evaluate the strengths and weaknesses of the proposal with respect to broader impacts._x000D_
_x000D_
+ rather standard BI is proposed that covers all important areas_x000D_
- no specific or novel integration with education is considered. _x000D_
_x000D_
Involving students in senior design projects could be an area of improvement._x000D_
_x000D_
Please evaluate the strengths and _x000D_
weaknesses of the proposal with respect to any additional solicitation-specific review criteria, if _x000D_
applicable_x000D_
_x000D_
- the proposal does not provide an obvious or coherent PLAN for CAREER development, or for integration of education and research._x000D_
_x000D_
Summary Statement_x000D_
_x000D_
FAIR _x000D_
_x000D_
The proposal tries to address the grand challenge of data analysis in transportation systems, but falls short of providing any new approach or method, or specific steps that will be taken. the problem is too broadly defined and the tasks are disjoint._x000D_
_x000D_
_x000D_
</t>
  </si>
  <si>
    <t xml:space="preserve">In the context of the five review elements, please _x000D_
evaluate the strengths and weaknesses of the proposal with respect to intellectual merit._x000D_
_x000D_
INTELLECTUAL MERIT_x000D_
_x000D_
PROPOSAL OBJECTIVES AND APPROACH_x000D_
This project proposes CityMind, a tool to extract knowledge from heterogeneous data to allow accurate evaluations on future traffic and human behaviors of deployed plans that have not been deployed. It seeks to develop data driven methods that can generalize across regions, modes, and policy interventions._x000D_
_x000D_
+ The research area is nicely motivated, and PI has prior work in the relevant areas._x000D_
_x000D_
+ The PI has access to a number of public and private datasets and has already numerous publications resulting from the datasets._x000D_
_x000D_
+ Research methods to be developed include techniques to transfer learning results from one area to another, citing prior work on the impact of mass transit interventions; and techniques to learn from interdependencies between various transportation modes, via multi-task learning._x000D_
_x000D_
- Regarding the datasets, the proposal would benefit from more discussion that the available data (e.g., availability in each area, type of data available) is sufficient to answer the proposed questions.  Since the proposal is largely machine learning / data driven, the proposal should provide a convincing argument that the response variables to be predicted can be explained from features constructed from available datasets._x000D_
_x000D_
- Extending the above point, when predicting impacts to policy interventions, are there sufficient examples to obtain statistically meaningful results?_x000D_
_x000D_
- The proposal is generally well written, but quite vague in terms of the solution approaches. Specifically, the solution approaches are of the form, 'PI will draw upon previous experience in in XYZà' It is clear the PI has a strong track record, but the proposal should do more than ask for trust that the problem will be solved if investigated due to prior success in related areas. _x000D_
_x000D_
_x000D_
- The evaluation activities may not be appropriate for testing all of the methods proposed. For example, how will spatial transfer methods be evaluated? The simulator or the bike share system may be inadequate evaluation platforms for this question. _x000D_
_x000D_
- The problem statements are a bit too vague, without a precise problem statement both in terms of what will be learned and how it relates to a practical problem in urban mobility.   Are you estimating outputs that the urban mobility experts care about? And can they be estimated with sufficient accuracy to have a positive impact?_x000D_
_x000D_
* A recurring cosmetic point: the phrase 'off-deployment' is regularly used but not defined._x000D_
_x000D_
_x000D_
In the context of the five review elements, please _x000D_
evaluate the strengths and weaknesses of the proposal with respect to broader impacts._x000D_
_x000D_
BROADER IMPACTS_x000D_
+ The PI has contacted several research centers (e.g., Microsoft, UMass Amherst Transportation Center) to review the outcomes of the research. _x000D_
_x000D_
+ The proposal includes a integrated research and teaching plan. The PI introduced and teaches relevant grad classes; works with undergrads on year-long projects; participates in WPI's TouchTomorrow; engages underrepresented students._x000D_
_x000D_
- These are all good activities, but they appear to all be existing activities. What new will be accomplished in the next 5 years enabled by this award?_x000D_
_x000D_
- The proposal would benefit having a direct involvement from the perspective of transportation policy / decision makers (not just evaluation by a university transportation center). City transportation officials would at least help improve the potential of the research findings to have a broader impact if they were involved early in the research. _x000D_
_x000D_
_x000D_
Please evaluate the strengths and _x000D_
weaknesses of the proposal with respect to any additional solicitation-specific review criteria, if _x000D_
applicable_x000D_
_x000D_
_x000D_
_x000D_
Summary Statement_x000D_
_x000D_
SUMMARY STATEMENT_x000D_
This is a good proposal focused on developing new data science methods with application to urban transportation. The research plan raised interesting broad questions related to generalizing across regions and policy interventions, but it was less clear if there was sufficient data to address the proposed problems. The educational aspects are interwoven into the research plan, but the proposal didn't make clear what activities would be enabled by the award beyond business as usual._x000D_
_x000D_
_x000D_
</t>
  </si>
  <si>
    <t>Throughout the world, new transportation services, such as Uber, Bluegogo, Mobike, and Bridj, are rapidly emerging. While they provide more convenient and cost-efficient options for urban dwellers, they also generate new problems, e.g., growing concerns over the congestion caused by circling Uber and Lyft drivers and over-parked dockless bike-sharing, as well as less use of traditional forms of public transits. Given that most changes proposed for urban transportation systems (e.g., Mobike service expansions, a new subway line) will affect traffic patterns and travel decisions by individuals, it is crucial to predict such impacts of various deployment plans and identify strategies with performance guarantees. This would allow transportation agencies to optimally reconfigure the transportation infrastructure, and allow transportation service providers to improve their service quality and revenue. This is because the scale matters: In 2016, the total rides of Lyft reached 160 million, tripled from 2015; and the total transportation construction and related market activity for all types of transport in US rose to $244.5 billion. Thus, any improvement of transportation planning strategies promise to result in significant benefits due to the large transportation marketplace, e.g., in reducing the deployment cost and promoting the travelers' quality of experience. _x000D_
_x000D_
The project vision is that the heterogeneous urban data across spatial-temporal regions, transport modes, and traveler groups, when appropriately integrated and synergized, can produce invaluable transferable knowledge about the changes in traffic and human behaviors caused by transportation deployments. With this vision, the PI proposes a holistic and systematic framework, called CityMind, that quantifies, extracts, and transfers knowledge from heterogeneous data of different spatial-temporal regions, transportation modes, and traveler groups, to enable accurate evaluations on future traffic and human behaviors of undeployed plans, and (more importantly) identify plans, that safely guarantee certain performances, e.g., minimum ridership requirement._x000D_
_x000D_
Keywords: Off-deployment evaluation, intelligent transportation systems, knowledge transfer, multi-modal transportation system, user choice model.In order to realize CityMind, this project will tackle a number of research and practical challenges, by using real-world datasets from various sources and locales: (1) the PIs will develop novel approaches to extract and transfer knowledge across different spatial-temporal regions and transport modes, to enable accurate off-deployment plan evaluation on future traffic status; (ii) the PI will propose novel solutions to infer and quantify the travelers' preferences and conduct off-deployment human behavior evaluation, by sharing and transferring knowledge across travelers; (iii) the PI will quantify the confidence level of the off-deployment evaluation results, and design a scalable approach to search, test, and return a deployment plan that safely guarantees user-specified performance requirements.This CAREER proposal presents CityMind, a knowledge transfer framework for urban transportation evaluation and planning. CityMind offers the potential to reduce commuting, shopping, entertainment, and other travel times, and reduce the hassle factor. The CityMind framework presents a significant step towards attaining more convenient, sustainable, and vibrant future smart cities. Moreover, it involves many interesting interdisciplinary research challenges, that will offer unique opportunities to bring together scientists, engineers, economists, and policy makers. This project proposes an integrated program of research, education, and outreach by (i) integrating the research and teaching in three research related activities for undergraduate and graduate students; (ii) bridging and fostering interaction among several different communities, such as transportation, cyber-physical systems, data sciences, and social sciences; (iii) outreaching to K-12 students and engaging women and underrepresented minorities in research; and (iv) disseminating research findings through scholarly publications and collaborations with public and private partners.</t>
  </si>
  <si>
    <t>1750466</t>
  </si>
  <si>
    <t>Zhu</t>
  </si>
  <si>
    <t xml:space="preserve"> Panel Summary       
  _x000D_
_x000D_
The project models advanced persistent attacks (multi-stage attacks) as the composition of multiple simpler games in order to obtain a meta-game._x000D_
The PI proposes to create a library of simple games, named gamelets, which play the role of building blocks to assemble complex systems._x000D_
Gamelets can be combined in parallel, in cascade and even in feedback._x000D_
Mechanism design will be used to model asymmetric knowledge and missing information about the adversaries.   _x000D_
The human component is introduced by considering non-equilibrium games._x000D_
_x000D_
Intellectual Merit_x000D_
(+) The panel saw intellectual merit in the idea of combining simpler games to obtain meta-games, which partially was developed in the other funded projects of the PI. _x000D_
(+) The discussion of tradeoffs between defense and resilience is well-thought._x000D_
(-) Analyzing a complex game given by the composition of gamelets might be computationally overwhelming as no guarantees are given that the proposed approach will scale well with the expected size of representative problems in cyber-physical systems_x000D_
(-) The proposal would be strengthened by defining the threat models used or anticipated. _x000D_
(-) The task of composing games needs to be described in more detail. In particular composition rules were considered not clear._x000D_
(-) The part on mechanism design was considered too vague without specifying how such an approach could describe asymmetry of information or uncertainty about the adversaries._x000D_
(-) Motivating examples are missing while they would help understanding the merit of the approach. For example the derivation of a meta-game composed as the series of two gamelets would help understanding the composition rules. Similarly, an example on how non-equilibrium strategies model partial information would help clarify specifically how human components could be modeled._x000D_
(-) The panel found a discrepancy between the framework defined as "holistic" by the PI, while it seems to follow a strictly reductionist approach: a system is given by assembling smaller simpler parts._x000D_
_x000D_
_x000D_
Broader Impact_x000D_
(+) The idea of a boardgame was well-received by the panel as a way to make attractive this research topic to a younger audience._x000D_
(+) The PI organized several workshops on the topic showing leadership._x000D_
(+) The plan of organizing lectures with K-12 students to disseminate ideas about game-theory is solid._x000D_
_x000D_
Constructive suggestions for improvement:_x000D_
*) Introduce more detailed explanation of composition rules_x000D_
*) Introduce more detailed explanation of threat models_x000D_
*) Introduce more illustrative examples_x000D_
_x000D_
Panel Recommendation:_x000D_
 _x000D_
The panel rated this proposal as Non-Competitive._x000D_
The primary reason for this rating was that there were several missing parts in the technical description of the approach._x000D_
The PI should describe how the composition rules clearly works, possibly using simple motivating or toy examples._x000D_
_x000D_
The summary was read by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</si>
  <si>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The project proposes a systemic game-theoretic framework to engineer secure and resilient CPS. The thrusts include: 1) building library of gamelets and developing their compositions, 2) trade-offs between cyber defense and resilient control, 3) application of ideas from contract theory and cyber insurance. Application domains are power systems and cloud enabled autonomous systems. _x000D_
_x000D_
(+) Game-theoretic agenda of the PI is very relevant for CPS security and resilience. The PI builds on his prior work in proposing this research. _x000D_
_x000D_
(+/-) To this reviewer, the Task on development, composition, and analysis of gamelets is a significant one. The basic idea is appealing from a systems perspective; however, game-theoretically important justification on composition rules are not clear. For example, with series compositions what is an appropriate equilibrium concept of the new game. What are the restriction of game compositions that are not allowed? How about specification of information asymmetries and the class of equilibrium refinements that are in scope? It is not clear if the PI has systematically thought about these important issues. _x000D_
_x000D_
(-) The task on mechanism design and learning is far too abstract and role of asymmetric information and strategic behavior is not clear. The narrative keeps switching between various examples ranging from wind energy to UAV to cyber network layer. Which tradeoffs are being talked about is also not clear. The assumptions on the adversarial uncertainties and the application of robust mechanism design principles are lacking sufficient merit. _x000D_
_x000D_
(-) Big topics such as cyber-physical insurance and contract design for security are lumped into smaller tasks which suffer from same modeling deficiencies as above. The PI may want to focus on a smaller set of topics and provide convincing arguments about why the proposed modeling approach is the right one and why the ideas on composition and design are consistent with the established principles in game theory and theory of incentives. _x000D_
_x000D_
(-) The case studies are not well integrated with the proposed research.   _x000D_
_x000D_
_x000D_
_x000D_
In the context of the five review elements, please _x000D_
evaluate the strengths and weaknesses of the proposal with respect to broader impacts._x000D_
_x000D_
(+/-) The education and outreach plan is rather standard, and somewhat integrated with research, but more thought is needed to make appropriate broader impacts. For example, the ideas on gamification can be take further to demonstrate how APT models can be formed using user inputs and their compositions. _x000D_
_x000D_
(+) PI has experience in organizing workshops at scientific venues in multiple communities. _x000D_
_x000D_
(-) It would be worthwhile to better integrate industry collaboration plan in the proposed research. _x000D_
_x000D_
_x000D_
Please evaluate the strengths and _x000D_
weaknesses of the proposal with respect to any additional solicitation-specific review criteria, if _x000D_
applicable_x000D_
_x000D_
_x000D_
_x000D_
Summary Statement_x000D_
_x000D_
The potential of applying game-theoretic modeling and mechanism design principles to cyber-physical security is significant. Although the proposal spans a broad spectrum of topics, the intellectual merit (in terms of modeling justification on information environment, strategic behavior, and cyber-physical dynamics) is vaguely documented. Thus, the reviewer rates this proposal as FAIR._x000D_
_x000D_
</t>
  </si>
  <si>
    <t xml:space="preserve">In the context of the five review elements, please _x000D_
evaluate the strengths and weaknesses of the proposal with respect to intellectual merit._x000D_
_x000D_
Strengths:_x000D_
The idea of combining several games together to describe complex multi-stage attacks is creative and intellectually interesting._x000D_
Also the complementary approach to resilience and defense seems well-thought._x000D_
_x000D_
Weaknesses:_x000D_
I find a conceptual clash in the proposal between what is described as a "holistic" approach and what seems instead to be a reductionist approach: the main approach that the PI proposes is the creation of building block named gamelets that are combined together to describe the system._x000D_
_x000D_
In the context of the five review elements, please _x000D_
evaluate the strengths and weaknesses of the proposal with respect to broader impacts._x000D_
_x000D_
Strengths:_x000D_
The targeted applications are of relevance._x000D_
_x000D_
Weaknesses:_x000D_
While intellectually interesting, in terms of broader impact I believe that the proposed approach will be too complicated to implement in order to model practical scenarios. The analysis of games, even relatively simple ones, is quite challenging, so the interconnection of several games might easily result not tractable._x000D_
The PI does not provide any examples (not even a toy example) to support the power of this approach._x000D_
_x000D_
Please evaluate the strengths and _x000D_
weaknesses of the proposal with respect to any additional solicitation-specific review criteria, if _x000D_
applicable_x000D_
_x000D_
The integration between education and research is satisfactory._x000D_
_x000D_
Summary Statement_x000D_
_x000D_
I find the described approach interesting from a theoretical perspective, but at the same time I am not convinced of the capabilities of these methodologies to model real world systems._x000D_
_x000D_
</t>
  </si>
  <si>
    <t>DN0944105</t>
  </si>
  <si>
    <t>Wan</t>
  </si>
  <si>
    <t>yan.wan@uta.edu</t>
  </si>
  <si>
    <t xml:space="preserve">In the context of the five review elements, please _x000D_
evaluate the strengths and weaknesses of the proposal with respect to intellectual merit._x000D_
_x000D_
Strengths:_x000D_
_x000D_
+ This proposal aims to develop a systematic game-theoretic framework for CPS security and resilience. Four thrusts are proposed. The first thrust aims to develop a library of gamelets as building blocks for games and games of games. The second thrust is a tradeoff analysis of cyber defense and resilient control and cross-layer design. The third thrust is human-layer service models, and the last thrust is concerned with applications to power systems and cloud-enabled autonomous systems. _x000D_
_x000D_
+ The PI has a strong background in game theory and other interdisciplinary fields to carry out the proposed tasks. _x000D_
_x000D_
+The integrative and reductionist approach to games analysis (similar to the Simulink development) is promising for large-scale CPSs. _x000D_
_x000D_
Weaknesses:_x000D_
_x000D_
- Proposed tasks need to be developed in more details to validate the generality of the proposed approaches and demonstrate the knowledge being advanced. For instance, under what conditions the online learning algorithm can configure parameters for security and resilience schemes need to be understood, which is critical to develop a successful resilient control scheme. _x000D_
_x000D_
-The scopes of the previous CPS Breakthrough grant on meta-game approach to cyber-physical co-design of secure and resilient control systems and the CRISP grant on reductionist and integrative approaches to improve the resiliency of multiscale independent critical infrasture seem very close to this CAREER grant. Their differences to this proposal need to be better delineated. _x000D_
_x000D_
_x000D_
In the context of the five review elements, please _x000D_
evaluate the strengths and weaknesses of the proposal with respect to broader impacts._x000D_
_x000D_
Strengths_x000D_
_x000D_
+The PI plans to integrate the research results into new courses. The PI will also create educational tools such as security board games, wind turbine testbed, and java applets to demonstrate the CPS security and resilience research.  _x000D_
_x000D_
+The PI has conducted several workshops to promote the research direction.  The PI will continue the momentum and develop one-day lecture series to high school students. The PI also plans to develop teaching modules and lessons for K-12 students. The teaching modules can have big impact to broad society. _x000D_
_x000D_
_x000D_
Please evaluate the strengths and _x000D_
weaknesses of the proposal with respect to any additional solicitation-specific review criteria, if _x000D_
applicable_x000D_
_x000D_
+ The game approach to outreach such as security board games is attractive to students and early-age student learners._x000D_
_x000D_
Summary Statement_x000D_
_x000D_
The reviewer rated this proposal good considering the innovative meta-game approach to CPS. The difference between this proposal and the PI's previous proposal need to be clarified, and the proposed tasks need more details to evaluate the merits._x000D_
_x000D_
</t>
  </si>
  <si>
    <t xml:space="preserve">In the context of the five review elements, please _x000D_
evaluate the strengths and weaknesses of the proposal with respect to intellectual merit._x000D_
_x000D_
+ The proposal investigates an interesting set of questions in mainly game-theory domain applied in cyber-physical systems. The solution is to provide resiliency through game-theoretic techniques in cyber-physical systems that own a large attack surface and are hard to protect fully against the sophisticated adversaries in practice. _x000D_
_x000D_
- The font size on the summary page and line-spacing throughout the proposal have been manipulated giving the PI approximately 20% more space (3 extra pages) to talk about his research/education plans. This results in an unfair competition among the CAREER proposers. This also leads to the reviewers putting more time to read this specific proposal in comparison with others that is again not fair. _x000D_
_x000D_
- Overall, although the proposed problems are exciting, the solutions are not precisely/clearly explained in details. Never in the proposal, it dives into technical details; hence it is almost impossible to assess the fundamental technical novelty of the proposed solutions.  _x000D_
_x000D_
- I am concerned regarding the practicality of the proposed solutions in this proposal. There are numerous assumptions through the proposal; however, there is no discussion regarding why (and what circumstances) are those assumptions realistic in practical real-world settings where systems with complex dynamics are attack by sophisticated attack vectors. _x000D_
_x000D_
- The proposal is missing a concrete and concisely defined threat model regarding the assumptions about the attacker capabilities and what she can do. In addition, what is assumed (should be described clearly) about the solution's trusted computing base? Without such clarification, the reviewer is unable to assess the technical integrity of the proposed solutions. _x000D_
_x000D_
- The proposal covers a lot of topics but lacks details in discussions and stays in high-level. Therefore, the current version of the proposal is too ambitious without convincing details/results about its feasibility. _x000D_
_x000D_
- The proposal spends too much space introductory background material that is known for this audience. Instead, the text could have been cut short to save space for needed more details about the proposed technical solutions later in the proposal. _x000D_
_x000D_
- The PI's qualification paragraph is a laundry list of high-level topics with many publications. This is not informative û more concise detailed description of the what the PI has achieved specific in the topic of the proposal would have been more helpful. The many listed topics brings up the doubt regarding the research depth of the proposed solutions that is needed for realistic solutions development. _x000D_
_x000D_
- Thrust 3 and its evaluations is dealing with the human layer and use case studies. Would this require IRB approval?_x000D_
_x000D_
- The literature review section of the proposal is incomplete and major work in the field are neither cited nor discussed by the proposal. This makes the assessment of the novelty of the proposed solution harder. In fact, the reviewer is not convinced about the novelty of the proposed solutions because of the lack of technical details and proofs as well as the incomplete literature review. _x000D_
_x000D_
- The proposal mentions APT, but its content is too high-level that makes it unclear regarding what specific low-level attack steps in APT the proposal uses to focus on those types of attacks? Why other attack types not covered? The list provided in Section 4.1 is again a laundry (incomplete) list of attack examples. _x000D_
_x000D_
- The models used by the proposal is too abstract for use in practice. E.g., the human layer is denoted by a single notation æH', as are the cyber æC' and physical æP' layers. Each of the aforementioned layers constitute a complex system/entity that requires a much more in-depth analysis for a realistic solution development. The attack example on Figure 4 is also too simplistic. Without concrete and comprehensive validation plan later in the proposal, the reviewer is not convinced regarding the practicality of the proposed solutions for real-world complex settings. _x000D_
_x000D_
- The proposer mentions that the PI will try different combinations of the gamelet for the analyses. How is a given gamelet inspected/validated to ensure it matches a reprensetative real-world configuration? _x000D_
_x000D_
- Can the proposed solutions defend against zero-day exploits? This is required to ensure the cyber resiliency that is the proposal research objective. _x000D_
_x000D_
- Is the cost of the intrusion detection systems within the network also modeled? If so, how are those costs calculated in pracrice?_x000D_
_x000D_
- The proposal mentions a æstuxnet-type' attack that starts with a phishing attack. This is a fundamentally different type of attack from how the autonomous stuxnet worm acted in the nuclear enrichment control systems. _x000D_
_x000D_
- Are the preliminary results provided in the proposal based on real-world experiments or purely based on simulations? _x000D_
_x000D_
- The proposal describes the æGestalt equilibrium where each player of every layer of the CPS does not have an incentive to deviate from it unilaterally'. Why does this make sense in practice? _x000D_
_x000D_
- The proposal mentions it will come up with a æcanonical' set of gamelets. What does canonical mean? _x000D_
_x000D_
- Figure 6 and the corresponding metric for resilience is too high level and useful for actual measurements. _x000D_
_x000D_
_x000D_
In the context of the five review elements, please _x000D_
evaluate the strengths and weaknesses of the proposal with respect to broader impacts._x000D_
_x000D_
+ The PI has plans for educational module development such as courses for undergraduate and graduate levels as well as research lab internships for the students. _x000D_
_x000D_
- The proposed broader impact activities mainly follow the typical procedures and do not include innovation in terms of the knowledge dissemination. This is not necessarily a negative comment; however, novel ideas would have made the plan more exciting to the students. _x000D_
_x000D_
- The proposed broader impact includes industry collaboration and tech-transfer. It is unclear whether the PI has performed successful industry collaboration in the past as a demonstration of his past endeavors toward tech-transfer.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is the valid problems focused by the proposal, lack of needed details and ambition in the proposed research program._x000D_
_x000D_
</t>
  </si>
  <si>
    <t>1750477</t>
  </si>
  <si>
    <t xml:space="preserve"> Panel Summary       
  Description of project:_x000D_
_x000D_
The long term goal of the PI is to synthesize provably correct CPS that can reliably operate in unstructured environments. In short term, the PI proposes to bring together tools from robotics, formal methods, control theory, and machine learning to deploy Unmanned Aerial System (UAS) missions. There are three main thrusts: (1) algorithm development for autonomous navigation; (2) optimization of mission-level decisions; and (3) validation via platform integration. Full mission flight tests will be performed in coordination with the UMD UAS Test Site and at the annual SUAS competition._x000D_
_x000D_
Intellectual Merit:_x000D_
_x000D_
Strengths:_x000D_
_x000D_
+ The panel agreed that the proposed topic is a good fit for the CPS program, and the scope of the proposed work is appropriate for a CAREER proposal._x000D_
_x000D_
Weaknesses:_x000D_
_x000D_
- The main weakness that was discussed in the panel is the lack of details on the proposed technical approach. While the PI correctly identifies challenges and important problems, the PI fails to convince that approaches will be developed to address them._x000D_
_x000D_
- The panel felt that the proposal was too application and implementation oriented, and the intellectual contribution was not clear. _x000D_
_x000D_
- The proposed work is not well integrated within existing work, and the novelty of the technical approach is hard to asses._x000D_
_x000D_
- The PI should consider more carefully the dependence  between her technical research plan and the SUAS competition, and should emphasize the possible  impact in other CPS. _x000D_
_x000D_
Broader Impacts:_x000D_
_x000D_
Strengths:_x000D_
_x000D_
+ The panel agreed that the education and broader impact plans are very strong. In particular, the connection of the PI with the media is an excellent and rarely seen initiative. _x000D_
_x000D_
Weaknesses:_x000D_
_x000D_
none_x000D_
_x000D_
Constructive suggestions for improvement:_x000D_
_x000D_
The panel has the following suggestions for improvement: _x000D_
_x000D_
1) provide more technical details for the proposed technical approaches in all technical thrust. _x000D_
_x000D_
2) integrate the proposed approaches within related work and emphasize the novelty of the proposed work_x000D_
_x000D_
3) while using the SUAS competition as motivation is a good idea, the PI is encouraged to discuss how the proposed work would extend to other flying vehicles, and other CPS._x000D_
_x000D_
4) the panel encourages the PI to continue and improve the already strong broader impact activities, and integrate it better with the research plan._x000D_
_x000D_
Panel Recommendation:_x000D_
 _x000D_
The panel rated this proposal as Low Competitive. The primary reason for this rating was the lack of details on the proposed technical approach.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</si>
  <si>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PI's long-term research goal is to develop provably correct and reliable CPS the operate autonomously in  _x000D_
unstructured environments. During the five years of this CAREER project, her goal is to develop a formal methods and robotics-based approach to successfully complete autonomous Unmanned Aerial System (UAS) missions. The proposal is structured around three main research thrusts: (1) algorithm development for autonomous navigation (e.g., collision avoidance); (2) optimization of mission-level decisions (e.g., task scheduling and failure management); and (3) validation via platform integration. Full mission flight tests will be performed in coordination with the UMD UAS Test Site and at the annual SUAS competition._x000D_
_x000D_
+ The proposed topic is challenging and relevant to the CPS program_x000D_
_x000D_
- in Sec. 3.1.1, the PI proposed to extend a 3D planning algorithm from waypoint navigation to LTL specifications. This seams trivial given the plethora of works in the area._x000D_
_x000D_
- it is not clear at all what the technical approach in Sec. 3.1.2 is. the proposed approach has been used before and it is not at all clear how moving obstacles are captured_x000D_
_x000D_
- in Sec. 3.1.3, the PI proposes to use machine learning to recognize obstacles. there is nothing novel in the proposed approach_x000D_
_x000D_
- behavior trees are described in detail in Sec. 3.2.2 but there is really no proposed work _x000D_
_x000D_
_x000D_
In the context of the five review elements, please _x000D_
evaluate the strengths and weaknesses of the proposal with respect to broader impacts._x000D_
_x000D_
+ This research could impact  autonomous operation of CPS that is correct-by-construction, and can react to faults autonomously. Application areas other than the focus of this proposal include search and rescue, space robotics, inspection systems, etc._x000D_
_x000D_
+ The education and outreach plans are strong_x000D_
_x000D_
Please evaluate the strengths and _x000D_
weaknesses of the proposal with respect to any additional solicitation-specific review criteria, if _x000D_
applicable_x000D_
_x000D_
_x000D_
_x000D_
Summary Statement_x000D_
_x000D_
This proposal was rated Fair / Good. The main reason for this rating is that, while the broader impact is strong, there is not enough information in the proposal to asses the novelty of the technical part._x000D_
_x000D_
</t>
  </si>
  <si>
    <t xml:space="preserve">In the context of the five review elements, please _x000D_
evaluate the strengths and weaknesses of the proposal with respect to intellectual merit._x000D_
_x000D_
The proposal is about Autonomous mission planning for UAS in unstructured environments. The author proposes to apply innovative techniques in vehicle motion and mission planning to a specific UAS mission by leveraging the the AUVSI contest._x000D_
_x000D_
+ Strong methodological basis for the work: Leverage existing results in reactive planning, for example._x000D_
_x000D_
+ Good to work with experimental platforms_x000D_
_x000D_
+ I like the concept of autonomous motion/mission planning._x000D_
_x000D_
- What are the methods developed by the PI herself? Does that matter? What are the mechanisms that will be used to enable: _x000D_
_x000D_
- Gap between abstract concepts and reality - reactive behavior planning with moving obstacles. The gap looks quite large between the theory and its implementation._x000D_
_x000D_
- The author talks about path planning algorithms: Moving Target D* Lite etc..., but does not cover the technical details in-depth._x000D_
_x000D_
- Autonomous mission planning research is shallow: The author talks about fault mode behavior trees, but it is not clear what the technical plan for innovation is, besides applying it to the specific case of AUVSI._x000D_
_x000D_
_x000D_
In the context of the five review elements, please _x000D_
evaluate the strengths and weaknesses of the proposal with respect to broader impacts._x000D_
_x000D_
_x000D_
+ Excellent educational plan (really well-integrated with project through UAVSI)_x000D_
Unsure about whether this will be the ideal transition platform, but the students will learn something for sure_x000D_
_x000D_
+ Strong women-in-engineering program._x000D_
_x000D_
+ Strong media presence._x000D_
_x000D_
_x000D_
Please evaluate the strengths and _x000D_
weaknesses of the proposal with respect to any additional solicitation-specific review criteria, if _x000D_
applicable_x000D_
_x000D_
_x000D_
_x000D_
Summary Statement_x000D_
_x000D_
This proposal is rated good, because of the following reasons. On the one hand, the PI is very enthusiastic and she proposes a nicely integrated plan involving basic research and an interesting challenge involving a unmanned aerial system. On the other hand, the research plan is a bit cursory and could benefit from a bit of further depth._x000D_
_x000D_
</t>
  </si>
  <si>
    <t>KE0993005</t>
  </si>
  <si>
    <t>Prabhakar</t>
  </si>
  <si>
    <t>pprabhakar@ksu.edu</t>
  </si>
  <si>
    <t xml:space="preserve">In the context of the five review elements, please _x000D_
evaluate the strengths and weaknesses of the proposal with respect to intellectual merit._x000D_
_x000D_
The project proposes to apply formal methods towards designing navigation protocols for unmanned aerial systems. Specific aims include:_x000D_
_x000D_
1) algorithm development for autonomous navigation ù extension of D* to 3D, develop symbolic motion planning algorithms using correct-by-construction methods to plan for  collision avoidance in the presence of moving obstacles, obstacle detection using sensing and computer vision techniques._x000D_
2) optimization of mission level decisions ù instead of individual tasks, the focus here is on overall mission ù grasp a ball and put it into the bin; objectives include characterizing fault modes in UASs, representing them as behavior trees (e.g. task scheduling and failure management), perform mission optimization of tasks._x000D_
3) validation via platform integration ù testing the algorithms developed on an autopilot using MavLink protocol to upload the way points, flight testing in a netted flying facility as well as on some fields._x000D_
_x000D_
+ The proposal is well motivated and easy to read. The specific questions identified are interesting._x000D_
- The proposed approach appears very generic without specific details of novel ideas. For instance, the proposal will investigate the use of symbolic approaches for synthesis in the presence of moving obstacles. How will the moving objects be formulated, what are the technical challenges in using existing methods and the novel insights that may tackle the challenges? As another instance, there is short paragraph on sensing and feature identification using deep learning, which does not provide insights into the challenges and novel ideas of the proposal._x000D_
_x000D_
_x000D_
In the context of the five review elements, please _x000D_
evaluate the strengths and weaknesses of the proposal with respect to broader impacts._x000D_
_x000D_
The PI will engage students using an SUAS competition for which she is a faculty mentor. She will create a capstone design project. She plans to engage in STEM communication activities using a podcast she has created called Beyond the Microscope._x000D_
_x000D_
Please evaluate the strengths and _x000D_
weaknesses of the proposal with respect to any additional solicitation-specific review criteria, if _x000D_
applicable_x000D_
_x000D_
_x000D_
_x000D_
Summary Statement_x000D_
_x000D_
The proposal identifies some important challenges towards autonomous navigation. The technical novelty and details are missing._x000D_
_x000D_
</t>
  </si>
  <si>
    <t xml:space="preserve">In the context of the five review elements, please _x000D_
evaluate the strengths and weaknesses of the proposal with respect to intellectual merit._x000D_
_x000D_
+ The proposal investigates an exciting problem that is valid in existing real-world robotics environment that are dynamically changing. The PI is planning to leverage formal methods towards autonomous UAS missions. The proposed research will be closely tied to the AUVSI SUAS competition. The PI is planning to use deep learning for the motion planning and obstable identification. _x000D_
_x000D_
- The close relationship and synchronization between the proposed research tasks and the AUVSI SUAS competition could be very useful. At the same time, it can prevent the PI from performing long-term foundational research. The reviewer has had a similar experience in the past and once major problem that this plan usually causes is the concentration on solutions with quick return on investment. In other words, research project with multiple years of efforts are prioritized less relatively, and hence short tem less fundamental research happens to take up most of the PI and the team's time. _x000D_
_x000D_
- The literature review section of the proposal reads more like a text-book overview of the existing solutions, and does not provide their shortcomings and why the proposed solution is needed in practice nowadays. _x000D_
_x000D_
- In research thrust 1, the proposal proposes to extend 2D planning algorithms to 3 dimensional. It is unclear from the proposal what is the fundamental research challenge in doing the extension? Late in that section, listing of the search algorithms reads more like a laundry list without sufficient level of insight about their classification. _x000D_
_x000D_
- The proposal is proposing to integrate temporal ordering of waypoints into the 3D path planning algorithm using symbolic motion planning and LTL. The proposal fails to explain the fundamental research challenge as well as how exactly the aforementioned research objective will be achieved? _x000D_
_x000D_
- The proposal mentions the preliminary result on a modified node-based algorithm that ensures the real-time operation of the algorithm. Does real-time here really mean real-time as used in the real-time literature or it just means online? More details about the algorithm is needed here to assess the novelty of the solution. Additionally, it is unclear what type of guarantees does the proposed algorithm provide in terms of the algorithm's ultimate output optimality? _x000D_
_x000D_
- On the collision avoidance, the proposal mentions MDP solutions but they proposes correct-by-construction solution without clarifying why the MDP solution do not suffice in practice. _x000D_
_x000D_
- The example provided in the proposal for collision avoidance is a very simple 2x2 matrix, and yet the finite state automaton is very large (the automaton is not shown in the proposal fully because of the space limitations). In real-world settings where the configurations are much more complex, it is unclear how the proposed solution can scale up effectively.  _x000D_
_x000D_
- On the proposed solution of feature extraction using deep learning, what the significance of the deep learning in this context? Is it the sole use of deep learning in this domain and more fundamental theoretical results are expected from this research task. _x000D_
_x000D_
- Research thrust 2 is planning to model the types of the fault modes in UAS. How is it possible to ensure that the generated set of fault modes are i) realistic? Ii) and complete meaning that it covers all possible failure modes that can happen in practice. What would be the impact of missing one or more of the fault models if they occur in practice? Can there be bounds on the impact? Can the proposed solution take care of the malicious failures as well? _x000D_
_x000D_
- in a practical setting, who would design the behavior trees? How often and when should they be redesigned? (e.g., whenever the system configuration changes?) How scalable is it? It is also unclear what is the fundamental technical novelty of the proposed solution here especially if the models is origination from CMU as discussed in the proposal. _x000D_
_x000D_
- Research thrust 3 is planning to integrate the system components. It is not clear whether this is a fundamental research task as a part of CAREER proposal's research program or this would be a part of the implementation plan used later for validation/evalution purposes. _x000D_
_x000D_
- Figure 1 is too vague and not so much informative. Even though it is for next multiple years, its plan can be improved in terms of details and concrete steps. _x000D_
_x000D_
- The paper's classification of the motion planning techniques does not cover data-driven solutions that have recently been shown to produce promising results in unknown environments. _x000D_
_x000D_
- Presentation: there are a few typos throughout the proposal that need fixing. On page 5, ærsub-thrusts'. _x000D_
_x000D_
_x000D_
In the context of the five review elements, please _x000D_
evaluate the strengths and weaknesses of the proposal with respect to broader impacts._x000D_
_x000D_
+ The PI has solid plans for the educational module development including the student training, coursework development, and podcasts. _x000D_
_x000D_
+ The PI will work with UMD's Women in Engineering to attract female students to the field of formal methds and autonomous UAS systems. _x000D_
_x000D_
+ The PI has innovative plans through the competition to involve students who are usually very interested in participating such activities. The reviewer has had similar experience both as a student and faculty and finds this way very effective in the student's learning and attraction to the field. _x000D_
_x000D_
- Figure 10 is not needed. It can be replaced with a single sentence.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is lack of concrete details about the proposed solutions and proof of their novelty and feasibility using preliminary study results._x000D_
_x000D_
</t>
  </si>
  <si>
    <t>The PI's long-term research goal for this CAREER proposal is to advance the development of reliable Cyber-Physical Systems (i.e., systems built from and dependent on the integration of computational algorithms and physical components) in a provably correct manner with respect to behavior and timing and to apply this understanding to systems operating autonomously in unstructured (i.e., unknown or changing) environments. In pursuit of this goal, the research objective of this CAREER proposal is to utilize, develop, and integrate techniques from formal methods and robotics to successfully complete autonomous Unmanned Aerial System (UAS) missions. The research approach is a joint theoretical and experimental effort motivated by and structured around the Autonomous Unmanned Vehicles System International Student Unmanned Air Systems (AUVSI SUAS) Competition. At the "motion-planning" level, we will develop algorithms for obstacle identification using deep learning, integrate 3D motion planning algorithms with temporal logic to specify traversal requirements, and synthesize correct-by-construction collision avoidance maneuvers. At the "mission-planning" level, we will analyze and reason about failures, generate fault mode protocols using behavior trees, and optimize the UAS mission to maximize points and minimize operation time. At the platform integration level, we will perform software and hardware tests using multirotor testbeds and the Maryland UAS team?s fixed-wing vehicle. Full mission flight tests will be performed in coordination with the UMD UAS Test Site and at the annual SUAS competition._x000D_
_x000D_
The PI's long-term educational goal is to broaden the reach of STEM (science, technology, engineering, and mathematics) knowledge in the general public by strengthening science communication skills within the academic community. In pursuit of this goal the educational objectives of this CAREER Proposal are to (1) produce students who can contribute to UAS and CPS research that will benefit society, and (2) engage the public in UAS and CPS topics, as well as STEM subjects in general. The educational approach for this will be (1) mentorship of high school and undergraduate students; (2) new coursework and internships; and (3) promoting STEM communication through the PI?s podcast, Beyond the Microscope, which features women in STEM-related fields. In addition to podcast interviews, the PI will conduct science communication workshops jointly with UMD?s Women in Engineering (WIE), Women in Aeronautics and Astronautics, and the School of Journalism. This pilot program will be used in a series of workshops throughout the country.The intellectual merit of the proposed work lies in the fundamental contributions in algorithm development and CPS integration for autonomous UAS in unstructured environments. While correct-by-construction methods can be extremely valuable in the design and verification of CPS, their issues with scalability have proved a limiting factor. By implementing such techniques for individual tasks, we can utilize them in real-time scenarios. Furthermore, in using behavior trees as an architectural structure for reacting to faults, the UAS can operate in unstructured environments. This tight integration with a UAS platform is an impactful step toward integrating formal methods into more realistic applications. Motivated by a real competition, and having performed preliminary flight tests, this work moreover will be able to bypass initial time in setup and hardware design to begin integration immediately.The broader impacts of this work lie in the fundamental knowledge gained by autonomous operation of CPS that is correct-by-construction, and can react to faults autonomously. This is applicable to many areas of critical national need, including search and rescue, space robotics, and inspection systems. The educational plan reaches students internationally through interactions with other SUAS teams during the year and at competition. The hands-on challenge is relatable to students and inspires them to tackle graduate level problems. In addition, the impact of the podcast is in showcasing women involved in the STEM world. This not only highlights different areas of research, but it also creates a networking opportunity and serves as an outlet to introduce STEM topics to a wider audience.</t>
  </si>
  <si>
    <t>1750533</t>
  </si>
  <si>
    <t xml:space="preserve"> Panel Summary       
 Description of project:_x000D_
This proposal is practically motivated by issues related to water quality monitoring in areas that are difficult to obtain good data. It proposes a crowd-sensing approach where community members directly test the water quality via smart-phone based sensor kits. An existing smart drinking water platform (developed in the PIs preliminary work) is used to both motivate common problems in crowd-sourced systems and to test the new methods proposed in this project. _x000D_
_x000D_
_x000D_
Intellectual Merit:_x000D_
_x000D_
Strengths:_x000D_
+ The proposed research plan is methodical and well reasoned. _x000D_
+ The project ``closes the loop'' by solving the sensor steering problem, i.e., determining where to sense next based on high variability of existing data driven prediction methods. The main focus is on human-in-the-loop CPS._x000D_
+  The crowd-sensing techniques may be applicable to other systems beyond the water quality platform considered in this project.  _x000D_
+ The proposal builds on an existing project to develop the crowd-sensing water quality application, so many of the relevant collaborations and development activities required for the research plan to be executed are already in place._x000D_
_x000D_
_x000D_
Weaknesses:_x000D_
- There was a sense that the new fundamental research methods (e.g., maximum likelihood estimation, ARMAX extensions) were not particularly exciting or novel compared to the application domain.  Some techniques appeared to be relatively standard approaches, ``with a twist''._x000D_
_x000D_
_x000D_
Broader Impacts:_x000D_
_x000D_
Strengths:_x000D_
+ The educational and outreach activities are deeply integrated and viewed as very strong. For example, outreach activities at the middle and high schools are both relevant to communicate the impacts of crowd-sensing to the broader public, and also needed to recruit and train participants in the experiments._x000D_
+ Important collaborations with are in place to extend the project into different domains (e.g., with Center for Social Concerns), while also improving the quality of the research and outreach plan._x000D_
_x000D_
Weaknesses:_x000D_
- No major weaknesses.   _x000D_
_x000D_
_x000D_
Constructive suggestions for improvement:_x000D_
*  If the research plan has fundamental methodological contributions, it should be more clearly communicated what these contributions are. _x000D_
* As an example of where the intellectual merit could be enhanced, it was pointed out that the sensor steering algorithm is presented as a method without an analysis of the performance guarantees._x000D_
* More discussion about the underlying physical system, its dynamics, etc. and the limitations of a pure model-based approach may also help motivate how novel the proposed approaches advance the domain of water quality monitoring. _x000D_
_x000D_
Panel Recommendation:_x000D_
The panel rated this proposal as Competitive. The primary reason for this rating was that the project was well motivated with a strong integration between the research, educational plan, and outreach activities, but there was a question about how fundamental the advances in the research methods will be._x000D_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</si>
  <si>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Strengths_x000D_
The idea advanced in the proposal in innovative and interesting._x000D_
The proposal is well-thought and the described research plan seems to have a very solid base. The chosen testbed is definitely a very strong feature of the proposal, relevant also from a broader impact perspective. _x000D_
_x000D_
Weaknesses:_x000D_
From an intellectual merit perspective, some techniques seem quite standard:  the suggested data cleanser follows a MLE strategy; and The inference model for missing data is a modified ARMAX._x000D_
The description of the optimized sensor steering is not as clear as it could be. In particular, I find it difficult to understand how the optimization can be carried out in practice._x000D_
_x000D_
In the context of the five review elements, please _x000D_
evaluate the strengths and weaknesses of the proposal with respect to broader impacts._x000D_
_x000D_
Strengths:_x000D_
The broader impact can be significant. The testbed application definitely shows this. _x000D_
_x000D_
Weaknesses:_x000D_
I didn't find any particular weaknesses in the described broader impact._x000D_
_x000D_
Please evaluate the strengths and _x000D_
weaknesses of the proposal with respect to any additional solicitation-specific review criteria, if _x000D_
applicable_x000D_
_x000D_
The integration of education and research seem more that satisfactory._x000D_
_x000D_
Summary Statement_x000D_
_x000D_
An interesting proposal for its broader impact. From the perspective of intellectual merit, I find some of the proposed solutions not tailored enough to the specific problem._x000D_
_x000D_
</t>
  </si>
  <si>
    <t xml:space="preserve">In the context of the five review elements, please _x000D_
evaluate the strengths and weaknesses of the proposal with respect to intellectual merit._x000D_
_x000D_
The proposed challenge of developing a new data-driven, crowdsourcing cyber-physical framework is both timely and difficult. The difficulties are clearly enumerated in the proposal, including the crowd-irregularity challenge, and the cold start problem. The research plan is very well-organized and methodically laid out in terms of explicit research objectives (reliable data cleanser, maximum likelihood estimation for reliability/correctness, spaciotemporal-context-aware inference modeling for data, appropriate dynamic updates to models/data, and a sensor steering scheme). Each research objective is described in sufficient detail to convey that the PI has a reasonable plan for accomplishing that task, and accompanied by preliminary work, with initial results, the expected outcomes and significance, the potential pitfalls and alternative plans, and an evaluation plan. This is one of the highlights of the proposal! The PI has an appropriate background to complete the proposed research, with previous experience in digital signal processing and data-driven modeling; there is an extensive publication record along these lines. The biggest question remaining after I read this proposal was the question of how well this work would translate to other domains, besides the drinking water platform that will serve as a test case. It seems like there is a lot of work from both and engineering perspective and a social perspective to create the necessary level of buy-in for gathering even poor and incomplete data. This line of research definitely has a big "coolness factor" -- my question is more whether similar results could be achieved without the need for crowdsourcing._x000D_
_x000D_
In the context of the five review elements, please _x000D_
evaluate the strengths and weaknesses of the proposal with respect to broader impacts._x000D_
_x000D_
The idea of a smartphone-based data collection front-end is creative and appealing to the broad population; this is enhanced by the PI's work with sociologists to develop competitive rankings, virtual badges, and awards that incentivises participation from the target crowds. The partnership with the Smart Water Drinking initiative in the local county is a concrete and achievable method for both validation of the research and technology transfer. The educational plan is more generic than I was expecting for a CAREER proposal: training university students, course development, and involvement with local clubs. The citizen science aspect sounds potentially impactful and novel; it is a good broader impact. It is nice that the PI is already planning workshops for the annual CPS PI meetings. One major positive point is that this proposal has a detailed plan for assessment of the effectiveness of the educational and outreach activities, including a letter of support, that presents a convincing picture that the described activities will be tailored to maximize their broader impact._x000D_
_x000D_
Please evaluate the strengths and _x000D_
weaknesses of the proposal with respect to any additional solicitation-specific review criteria, if _x000D_
applicable_x000D_
_x000D_
_x000D_
_x000D_
Summary Statement_x000D_
_x000D_
This proposal addresses the relevant and topical challenge of reliability in crowdsensing, and in general the unsolved problem of obtaining reliable data from unreliable sources. The research plan is solidly put together, though it is not totally clear to me that crowdsourcing is the best way to solve the broader challenges that the proposal addresses. The education is solid too, and the plans for evaluation and mitigation of any pitfalls with either the research or teaching plans are well-thought out. _x000D_
_x000D_
_x000D_
_x000D_
_x000D_
</t>
  </si>
  <si>
    <t xml:space="preserve">In the context of the five review elements, please _x000D_
evaluate the strengths and weaknesses of the proposal with respect to intellectual merit._x000D_
_x000D_
The objective of this proposal is to develop a data-drive crowdsensing-based CPS framework that considers data reliability, crowd irregularity, and optimal sensor steering. The data reliability issue is addressed through estimation and data fusion techniques. The crowd irregularity is addressed through spatiotemporal inference based on statistics and machine learning. The optimal sensor steering is achieved through identifying the cells of the largest variance between inferred values using several algorithms._x000D_
_x000D_
Strengths:_x000D_
_x000D_
+ The PI is qualified to carry out the proposed tasks. The EAGER project that the PI is currently funded provides preliminary results and test-beds for this proposed project of a more general scope.   _x000D_
_x000D_
+ The three research tasks address data quality, data scarcity, and closed-loop adjustment of sensor locations, comprising a comprehensive study of crowd-sourcing CPS.  _x000D_
_x000D_
Weakness: _x000D_
_x000D_
- Novelty of the proposed approaches needs justification. The MLE and EM approaches to address data reliability are so some extent standard. The consideration of nonlinear models and probabilistic dependency on physical systems are not new.  _x000D_
_x000D_
- The mapping to word/document addresses the spatial dependency, but cannot capture the temporal dependency.  Its inference performance is limited by this aspect. The inference of areas of sparse data is based on ARMAX model, which is also standard. _x000D_
_x000D_
-The proposed sensor steering approach is heuristic, and its performance guarantee is not discussed. _x000D_
_x000D_
_x000D_
In the context of the five review elements, please _x000D_
evaluate the strengths and weaknesses of the proposal with respect to broader impacts._x000D_
_x000D_
Strengths_x000D_
_x000D_
+ The education plans aim to promote interdisciplinary thinking and application through citizen science. New CPS course, social sensing workshops, and S&amp;CC workshops are proposed. _x000D_
_x000D_
+ The collaboration with county government contributes to environmental sustainability. _x000D_
_x000D_
_x000D_
Please evaluate the strengths and _x000D_
weaknesses of the proposal with respect to any additional solicitation-specific review criteria, if _x000D_
applicable_x000D_
_x000D_
+ The education and research plans are well integrated._x000D_
_x000D_
Summary Statement_x000D_
_x000D_
The principal reason for my rating of good is the comprehensive closed-loop analysis of crowdsourcing intelligence. The proposed approaches need more innovative development to justify performance breakthroughs._x000D_
_x000D_
</t>
  </si>
  <si>
    <t xml:space="preserve">In the context of the five review elements, please _x000D_
evaluate the strengths and weaknesses of the proposal with respect to intellectual merit._x000D_
_x000D_
INTELLECTUAL MERIT_x000D_
_x000D_
PROPOSAL OBJECTIVES AND APPROACH_x000D_
+ This proposal focuses on data reliability, crowd irregularity, and optimized sensor steering in crowdsensing based cyber physical systems.  Considering physical crowd sourced quantities (e.g., water quality), data reliability can be enhanced by exploiting the physical dependencies between measurements and jointly estimating measured quantities and reliability of users (via an EM algorithm); irregularity can be reduced by inferring missing quantities (via spatiotemporal context aware inference), and incentives can be used to reduce measurement errors with an increase of sensing cost (seeking more measurements in areas with high variance of inferred values estimated by multiple inference algorithms).  _x000D_
_x000D_
+ Generally the proposal is logically structured, with three related problem areas, a clear statement of the problem and solution approach, and a description of potential pitfalls and possible countermeasures. _x000D_
_x000D_
+ The project builds on the PIs existing EAGER grant; which has a nice research and educational / outreach component. Importantly the project identified that crowd sensors (people using water quality sensor attached to a smartphone) were error prone, did not transmit data regularly, but were responsive to incentives._x000D_
_x000D_
+ The research plan is very well organized and integrated with the educational and broader outreach activities._x000D_
_x000D_
+ The research methods will be evaluated on the existing Smart Drinking Water Sensing &amp;#8232;platform. Various experiments will be run in three stages, involving 50-150 subjects; budget is allocated to run the experiments; relevant collaborators are in place to assist with deployment efforts._x000D_
_x000D_
- The proposal would benefit from more discussion about exactly what the dyanmics of the water quality look like, e.g., how quickly it degrades in time, how spatially correlated the water quality is, etc. Are there relevant watershed or hygdrological models that can also be used to model/predict the water quality? Here the physical correlations were proposed into a machine-learning framework, but it wasn't clear if these are data driven or physics based constraints. Generally more discussion about why pure model-based approaches or model-based estimation frameworks are insufficient could have further strengthened the proposed activities, recognizing that the water quality issues in the county are the testbed motivating the entire project._x000D_
_x000D_
_x000D_
In the context of the five review elements, please _x000D_
evaluate the strengths and weaknesses of the proposal with respect to broader impacts._x000D_
_x000D_
BROADER IMPACTS_x000D_
+ The project will continue an existing collaboration with St Joseph county drinking water protection plan._x000D_
+ The PI plans to introduce a new class on CPS._x000D_
+ The PI has collaborations in  place for all aspects of the project proposal (key stakeholders in the County; ND Center for Teaching; ND Minority Engineering Program; faculty to help with human factors; water quality testing; partnerships with local schools.  _x000D_
+ Social sensing workshops are proposed at various CPS venues; public facing outreach activities planned at middle and high schools to explain the research and at the same time train people about how to use the water kits._x000D_
+ PI participates in a ND minority engineering recruitment program._x000D_
_x000D_
_x000D_
Please evaluate the strengths and _x000D_
weaknesses of the proposal with respect to any additional solicitation-specific review criteria, if _x000D_
applicable_x000D_
_x000D_
_x000D_
_x000D_
Summary Statement_x000D_
_x000D_
SUMMARY STATEMENT_x000D_
This is a very good proposal addressing some of the critical issues in crowdsourcing for CPS. Three research tasks are aligned and directly supported by outreach activities. The PI has assembled a team of relevant collaborators who will directly improve the effectiveness of the research and outreach activities (e.g., working with the public.)  _x000D_
_x000D_
_x000D_
</t>
  </si>
  <si>
    <t>This CAREER proposal creates an integrated research, education and outreach program centered on addressing the fundamental challenges of building reliable and optimized data-driven Cyber-Physical Systems (CPS) that use humans as sensors (crowdsensing). Crowdsensing has emerged as a new sensing paradigm in CPS with Human-in-the-Loop to provide unprecedented opportunities to sense the physical world in an inexpensive, versatile and scalable manner. However, these benefits are based on the assumption that the human sensors are as reliable and controllable as their physical sensor counterparts, but unfortunately this is not the case. For crowdsensing to become a viable component in CPS feedback loops, a dedicated effort is needed to address the fundamental challenges inherent in using humans as sensors. The PI defines this new research direction as Crowdsensing-based CPS (C-CPS). _x000D_
        The overall goal of this project is to create a new Data-driven C-CPS Design and Implementation (DCCDI) framework to address three fundamental challenges (i.e., data reliability, crowd irregularity, and optimized sensor steering) in C-CPS applications. The data reliability challenge refers to the uncertain data quality contributed by crowd sensors with unknown reliability. The crowd irregularity challenge refers to the incomplete spatiotemporal sensing coverage problem caused by the irregular data contribution pattern from crowd sensors. The optimized sensor steering challenge refers to the problem of effectively allocating sensing tasks to crowd sensors to meet the system performance requirement while minimizing the sensing costs. These challenges will be addressed synergistically by developing new data-driven methods that are inspired by techniques from estimation theory, machine learning and statistics. Validation of the DCCDI framework will be conducted on a real-world C-CPS testbed: Smart Drinking Water Sensing, which has been established by the PI's preliminary work._x000D_
        Research efforts will be integrated with an education plan that aims to (1) enhance interdisciplinary thinking ability of graduate and undergraduate students with a focus on CPS technologies; (2) educate citizens about C-CPS and its applications through citizen science; and (3) strengthen the future STEM population by integrating diversity into the research program.The intellectual merit is threefold. First, a reliable data cleanser will be created to address the data reliability challenge with explicit consideration of physical dependencies between measured variables (Objective 1). Second, a spatiotemporal-context-aware inference model will be generated to address the crowd irregularity challenge by inferring the missing measurements from crowd sensors (Objective 2). Third, an optimized sensor steering scheme will be established to explore the fundamental tradeoff between the sensing costs and measurement errors and close the loop of the DCCDI (Objective 3). These three objectives will work coherently to address unique challenges of using humans as sensors in C-CPS. It therefore complements the prevailing CPS solutions that focus on physical sensors. The success of the project will lead to a new direction in CPS (i.e., C-CPS) that will enable the development of new theories, systems and applications by exploring the collective observations from untrained, average, and largely unreliable crowd sensors in future CPS.This project will contribute to a powerful C-CPS paradigm that can transform many important aspects of our society (e.g., environment, transportation, disaster response, public safety) and contribute to more livable, resilient and sustainable communities by exploring the "wisdom of the crowd". In partnership with the St. Joseph County government, the results will directly facilitate the County's Drinking Water Protection Plan. Educational and outreach activities will include: (i) developing a new course "Cyber-Physical-Human Systems" at Notre Dame (ND); (ii) organizing "SocialSens" workshops in CPS research community; (iii) organizing four Smart and Connected Community workshops to educate the community members on the topics of crowdsensing and water quality; and (iv) training undergraduate and graduate students with emphasis on underrepresented groups in STEM through the ND Minority Engineering Program. All these activities will be evaluated and assessed. Results will be broadly disseminated through journal and conference publications as well as CPS-VO and a dedicated project website.</t>
  </si>
  <si>
    <t>1750541</t>
  </si>
  <si>
    <t>Kong</t>
  </si>
  <si>
    <t xml:space="preserve"> Panel Summary       
 The objective of this proposal is to develop a human CPS that infers human cognitive states and guarantees the correct execution of human and robot team cooperative actions. Three major research thrusts include human cognitive modeling to characterize key cognitive states and trust, robot control synthesis and modeling, and advisory controller with critique and task allocation capabilities._x000D_
  _x000D_
Intellectual Merit:_x000D_
_x000D_
Strengths:_x000D_
_x000D_
+ Modeling human behaviors and reasoning about human states are exciting and challenging. This project is considered as high risk and high payoff. The use of temporal logics to model human and robotic tasks seems appropriate. Any progress on this research direction will contribute valuable fundamental knowledge to CPS. _x000D_
_x000D_
+ The PI has a laboratory test-bed of robot teams to study human-robot interaction subjects._x000D_
_x000D_
+ The PI plans to work with experts on machine learning and other fields to conduct the proposed tasks. The collaborative efforts are supported by collaboration letters. _x000D_
_x000D_
+ The literature reviews on human-robot interaction and formal methods are comprehensive and well organized to support the proposed development. _x000D_
_x000D_
+ The PI has a very good track of record on formal methods and human-robot interaction. _x000D_
_x000D_
Weaknesses:_x000D_
_x000D_
- Each of the three research tasks is very challenging. It is unlikely that all three tasks can receive significant progress in one project. In addition, these three tasks are insufficiently connected in the proposal. The PI is suggested to scale down the scope and develop in greater details the approach taken that can provide performance guarantees. _x000D_
_x000D_
- The proposal cites the complexity of formal methods and proposes to combine formal methods with machine learning to realize real-time reasoning.  This approach is considered risky as machine learning methods are not yet considered to be computationally efficient. The learning side of the problem needs further development. _x000D_
_x000D_
- While reasoning about humans is exciting, the task is also risky. Does the project fail if this is not successful? The PI is suggested to include a risk management plan._x000D_
_x000D_
- A concern is raised about the restriction  that a lab test-bed setting may place on human cognitive studies. How do the results generalize to other human cognitive environments such as emergency response settings? _x000D_
_x000D_
Broader Impacts:_x000D_
_x000D_
Strengths:_x000D_
_x000D_
+ The PI has a solid track of record in education and outreach activities, such as offering a one-week course at California State Summer School for Mathematics and Science (COSMOS)._x000D_
_x000D_
+ The education plan is well articulated. The PI proposes to develop software and online courses, and also develop mixed-reality games which will be very attractive to students. _x000D_
_x000D_
Weaknesses:_x000D_
_x000D_
- The first responder part of the outreach activities seems unlikely to be successfully implemented to the panel. It is not discussed how the software will be developed or what  the software interface will look like.  It is not clear the temporal logic formulas will help responders in fulfilling time-critical emergency response missions. _x000D_
_x000D_
Constructive suggestions for improvement:_x000D_
_x000D_
The PI is suggested to scale down the scope, focus on one or a subset of well-connected research tasks, and develop in great detail the approaches and preliminary performance analysis. _x000D_
_x000D_
Panel Recommendation:_x000D_
 _x000D_
The panel rated this proposal as Low Competitive. The primary reason for this rating was that while the research direction is exciting, the breadth of the research scope limited the PI in developing a convincing detailed research plan. 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</si>
  <si>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 The proposed effort in human-CPS is important to ensure the human and CPS communicate and coordinate effectively._x000D_
+ The literature review is broad and extensive._x000D_
+ The idea of a unified framework for enabling a CPS to infer human intent and adapt actions recordingly is important._x000D_
+ The PI is qualified to conduct the proposed research._x000D_
- The proposed research is too broad. Human intent prediction alone is challenging. Swarm control alone is challenging.  The PI indicates he will develop advances in each, along with synthesizing verifiable controllers.  The proposal would have been stronger if the PI had directly adopted existing strategies for at least one of these three areas (e.g., swarm control) and then described a more in-depth project focused on one or both of the other topics._x000D_
- There is insufficient connection between the three separate research aims (human cognitive modeling, swarm control, controller synthesis). How will these three capabilities support each other, what data will be shared between three models, and how will simulations / real-world experiments exploit the existence of all three capabilities?_x000D_
_x000D_
In the context of the five review elements, please _x000D_
evaluate the strengths and weaknesses of the proposal with respect to broader impacts._x000D_
_x000D_
+ The human-CPS application has relevance to numerous emerging cooperative and autonomous vehicle systems._x000D_
+ The proposed education and outreach plan is extensive and appropriate.  "Ladybugs and Cyborgs" sounds quite interesting._x000D_
+ The discussion of software packages and online course development is good._x000D_
- The research itself is not well-connected to a specific domain, nor are specific simulations or experiments clearly defined that would motivate other researchers to transition technology from the PI's work into their development cycles._x000D_
_x000D_
_x000D_
Please evaluate the strengths and _x000D_
weaknesses of the proposal with respect to any additional solicitation-specific review criteria, if _x000D_
applicable_x000D_
_x000D_
The proposal is strong in its consideration of physical human-robot systems.  The "physical" side of this proposal is stronger than the "cyber" aspects, as computational and network limitations are not discussed substantially._x000D_
_x000D_
Summary Statement_x000D_
_x000D_
The PI proposes research and development of a human-CPS with three research tasks:  human cognitive modeling, swarm control, and correct controller synthesis.  Each of these fields is interesting and complex on its own.  Their combination is intriguing but not realistic in the context of a single CAREER project.  Due to breadth, specifics on certain tasks, e.g., swarm control, are insufficient, and synergistic connections between the three tasks are unclear._x000D_
_x000D_
</t>
  </si>
  <si>
    <t xml:space="preserve">In the context of the five review elements, please _x000D_
evaluate the strengths and weaknesses of the proposal with respect to intellectual merit._x000D_
_x000D_
This project is about using formal models (particularly temporal logics), machine learning, system identification, and control theory, to improve collaboration between humans and robots. It proposes to develop the techniques in the context of disaster response scenarios._x000D_
_x000D_
_x000D_
Intellectual Merit:_x000D_
_x000D_
Strengths:_x000D_
+ The problem area of human-technology interaction is an important and challenging area._x000D_
+ The project will be attractive to students, including for example role playing tests._x000D_
+ The PI appears to be well qualified with strong background in both formal methods and cognitive science._x000D_
+ The problems being tackled are extremely difficult and any progress will be welcome._x000D_
+ The PI has a nice lab setup with a well-equipped room and a collection of robots with which to perform experiments with human subjects._x000D_
+ The use of temporal logics to model human and robotic tasks seems appropriate because it enables exploiting prior work in controller synthesis and model checking._x000D_
_x000D_
Weaknesses:_x000D_
- The problems being tackled are extremely difficult and significant progress will be unlikely. For example, at least one of the proposed approaches relies on performing system identification on the extremely complex and chaotic scenario of a disaster site. The proposal cites preliminary success with piecewise affine models of the classic two-tank problem as evidence that some progress can be made. But the gap between the two-tank problem and the complexities of a disaster site are enormous._x000D_
- The cognitive science side of the problem is only sketchily described in the proposal and seems to this reviewer to be another potentially extremely challenging problem. Has cognitive science matured enough to build reliable models of human behavior in a disaster response scenario? The collaboration with Dr. Jochen Ditterich may help on this front._x000D_
- The proposal cites the complexity of model checking and theorem proving as justification for leveraging machine learning, but to my knowledge there is little evidence, so far, that machine learning techniques are more computationally efficient. This is an active area of research, so there could be promise here, but it does involve risk._x000D_
- The proposal promises a "user friendly and free software package for managing robot-assisted disaster relief missions," but gives little indication of how such software will be developed or what the interface will look like. Asking firefighters to formulate temporal logic formulas, for example, is unlikely to work very well. On the other hand, the PI has prior work on inferring temporal logic formulas from data, which may help._x000D_
_x000D_
_x000D_
In the context of the five review elements, please _x000D_
evaluate the strengths and weaknesses of the proposal with respect to broader impacts._x000D_
_x000D_
Strengths:_x000D_
+ The proposal has a well-developed outreach plan._x000D_
+ The prevalence of disasters in 2017 has certainly underscored the importance of the problem area._x000D_
+ The PI has a track record of outreach, for example offering a one-week course on feedback control to high school students under the California State Summer School for Mathematics and Science (COSMOS)._x000D_
+ The PI proposes to develop a fun, mixed-reality game for children called "Ladybugs and Cyborg" based on the human-swarm system developed in the proposed research.  Nice!_x000D_
_x000D_
_x000D_
Weaknesses:_x000D_
- The proposal to develop a user-friendly software package for disaster first responders seems naive._x000D_
_x000D_
_x000D_
Please evaluate the strengths and _x000D_
weaknesses of the proposal with respect to any additional solicitation-specific review criteria, if _x000D_
applicable_x000D_
_x000D_
_x000D_
_x000D_
Summary Statement_x000D_
_x000D_
Some concrete examples of how to model the human cognitive states in the problem scenario would help this reviewer, at least, to better understand how all of this could work._x000D_
_x000D_
_x000D_
</t>
  </si>
  <si>
    <t xml:space="preserve">In the context of the five review elements, please _x000D_
evaluate the strengths and weaknesses of the proposal with respect to intellectual merit._x000D_
_x000D_
The objective of this proposal is to develop a human CPS (and in particular a human-robot team) that understands human's cognitive states and allow robots to cooperatively interact with human. Specifically, the PI proposes to model dynamic human cognitive states and trust using formal methods. In addition, a controller and monitor will developed to ensure each robot to fulfill a contract. Finally, an advisory controller will be developed for task allocation using learning based approaches. _x000D_
_x000D_
Strengths:_x000D_
_x000D_
+The PI has a preliminary testbed to carry out the proposed tasks. The PI has also access to resources, including identified collaborators for various research components.  _x000D_
_x000D_
+ The PI has comprehensive organized literature reviews to support the proposed development. _x000D_
_x000D_
Weakness: _x000D_
- The proposal is described at a high-level. How does the proposed solution give performance guarantees? Preliminary studies need to be described in enough details to validate the proposed solution and understand its improvement over existing approaches. For instance, what is the accuracy on the inference of robot capability? What is the computational load? Here is another example. The PI proposes to use learning to accelerate formal verification for real-time applications. Preliminary studies on quantitative performance analysis are needed. Any new development for the learning method beyond existing methods? What is the performance improvement? The learning aspect of the proposal lacks critical details. _x000D_
_x000D_
- It does not seem that the proposed human-CPS architecture scales with the size of robot team. _x000D_
_x000D_
-It is not discussed in convincing details and quantified manner whether the proposed solution can meet performance guarantees._x000D_
_x000D_
_x000D_
In the context of the five review elements, please _x000D_
evaluate the strengths and weaknesses of the proposal with respect to broader impacts._x000D_
_x000D_
Strengths_x000D_
_x000D_
+ The PI has a solid track of record in education and outreach activities, including summer school teaching, new course development, and involving minority students into research. _x000D_
_x000D_
+ The PI proposes to develop a new course, extend the course material for high school, develop software and online courses, and also develop mixed-reality games to attract students.  The education plan is doable and described in the right level details. _x000D_
_x000D_
_x000D_
Please evaluate the strengths and _x000D_
weaknesses of the proposal with respect to any additional solicitation-specific review criteria, if _x000D_
applicable_x000D_
_x000D_
+ The education and research plans are well integrated._x000D_
_x000D_
Summary Statement_x000D_
_x000D_
The principal reason for my rating of good is the investigation of human-CPS by integrating formal methods, learning, and control. The proposal can be improved with the description of fundamental quantitative studies to clarify feasibility analysis and performance improvement._x000D_
_x000D_
</t>
  </si>
  <si>
    <t xml:space="preserve">In the context of the five review elements, please _x000D_
evaluate the strengths and weaknesses of the proposal with respect to intellectual merit._x000D_
_x000D_
The proposal is focused on safety critical human CPS applications where humans work with a team of robots on safety critical applications. Questions explored include formalizing the role of various factors on human cognitive load; learning abstractions for the robots so that they are sufficiently accurate but are amenable for control and reasoning at a mission level; verification/falsification of robot-human teams in real time wrt mission requirements. _x000D_
_x000D_
+ One particularly novel (&amp; risky) element of the project is centered on the reasoning about the human in the human-robot teams, e.g., modeling and measuring the cognitive trust._x000D_
+ The project leverages a laboratory testbed the PI has constructed to measure cognitive load and track the gaze of humans performing a variety of tasks with a group of robots._x000D_
+ The collaboration team includes experts from machine learning and neural mechanisms for decision making will help interpret results from experiments and formalization of factors influencing cognitive load and trust._x000D_
- How will the cognitive load/trust models be validated? _x000D_
- How specific will the models be to the task at hand, and how will they generalize beyond the testbed (i.e., to real disasters, or to other human robot teams, or to identical robot teams where only the human operator has changed?). More discussion about how the techniques and findings would generalize beyond the testbed would have strengthened the proposal._x000D_
_x000D_
_x000D_
In the context of the five review elements, please _x000D_
evaluate the strengths and weaknesses of the proposal with respect to broader impacts._x000D_
_x000D_
+ PI will provide free software package for managing robot assisted disaster relief activities._x000D_
+ Other outreach activities include mixed reality games for children and short online course about robots and CPS_x000D_
+ The PI teaches feedback control at California State Summer School for Mathematics and Science  (COSMOS) 50+ high school students._x000D_
+ The PI partners with Leadership in Engineering Advancement, Diversity and Retention (LEADR) and the Society of Women Engineers to recruit undergrads, and so far the PI has been successful. _x000D_
_x000D_
_x000D_
Please evaluate the strengths and _x000D_
weaknesses of the proposal with respect to any additional solicitation-specific review criteria, if _x000D_
applicable_x000D_
_x000D_
_x000D_
_x000D_
Summary Statement_x000D_
_x000D_
SUMMARY STATEMENT_x000D_
A good proposal focused on combining formal methods and controls with experimentation for human-robot teams to better reason about the combined system.  Outreach and broader impacts were strong. The research leverages an existing testbed that the PI has spent significant effort to develop._x000D_
_x000D_
_x000D_
</t>
  </si>
  <si>
    <t>The PI's long-term research goal is to enable cyber-physical systems (CPS) to interact and collaborate synergistically with humans as a part of an effective human-CPS team. In pursuit of this goal, the research objective of this CAREER proposal is to advance a unified theoretical, computational and experimental foundation to enable a CPS to reliably infer its human partner's cognitive states and to adaptively coordinate actions among its components and with the human to guarantee correct human-CPS team behaviors. Specifically, the research approach includes: (1) investigating and formalizing the role of external and internal factors on human cognitive states and trust; (2) developing a formal control synthesis hierarchy that can decompose global missions into local ones while maintaining team performance; and (3) integrating formal methods, control theory, and machine learning to reign in complexity arising from various phases of the controller development. Human-robot collaborative search and rescue missions will be used as a testbed with a network of heterogeneous robots serving as a CPS example._x000D_
_x000D_
The long term educational goal of the PI is to utilize his research expertise along with his Cyber-Human-Physical Systems (CHPS) Lab facility as a stage to educate young students to inspire them to pursue a career in STEM, and to promote UC Davis as a hub of robotics and CPS educational and outreach activities in Northern California. In pursuit of this goal, the proposed research will be integrated into a robust educational and outreach plan, including: (1) the use of robots and CPS as teaching and outreach tools, (2) mentoring students from underrepresented groups and involving undergraduate students in research, (3) general science education through the release of a software package for disaster relief missions and an online CPS course for engineers.This CAREER proposal addresses many fundamental challenges faced by safety-critical human-CPS collaboration and interaction applications, e.g., semi-autonomous vehicles, industrial collaborative robots, and remotely controlled unmanned aerial vehicles. It advances the Science and Engineering of CPS by (1) providing a principled way of formulating, inferring, and reasoning about human cognitive processes and trust for human-CPS systems that are expected to function dependably and safely in dynamic, uncertain environments; (2) melding model-based methods, e.g., formal methods and control theory, and data-driven methods, e.g., machine learning, to establish a systematic mechanism to cope with the complexity issue arising from many real-time CPS formal verification and control synthesis problems; and (3) advocating CPS that are able to learn and adapt to different human operators, tasks, physical systems, and environments.This CAREER proposal has a clear societal mission of combating disasters via human-robot collaborations. As such, it aims to develop a new technology that can minimize the social, economic, and ecological impacts due to damages resulting from oil or chemical spills, pest infestations, and other disasters. It will provide a user-friendly and free software package for managing robot-assisted disaster relief missions. Moreover, the knowledge gained and the tools developed in this proposal will significantly benefit the US robotics industry, one main goal of which is to team robots with humans in a wide range of places, e.g., homes, factories, farms, mines, and battlefields. The educational plan of this proposal will directly benefit over 150 students per year from all grade levels with an innovative educational experience based on robotics and CPS. Finally, outreach activities in the proposal, for example, an entertaining mixed-reality games for children and a short online course on CPS, will increase public scientific literacy on CPS and robotics as well as the roles they will play in future society.</t>
  </si>
  <si>
    <t>1750722</t>
  </si>
  <si>
    <t xml:space="preserve"> Panel Summary       
  The proposal is to develop technologies for improving the ability of mobility-challenged peopled to get around. The goal is multimodal enhancements to mobility scooters by leveraging sensors and indoor localization technologies._x000D_
_x000D_
Intellectual Merit:_x000D_
_x000D_
Strengths:_x000D_
+ The problem is difficult, integrating a multiplicity of technologies, and clearly within scope of the CPS program._x000D_
+ The sensor fusion approach makes sense because there is no single sensor system that can solve the problem._x000D_
+ The PI has a track record of being able to publish results from projects of this character, centered on system design, having won some awards and filed patents._x000D_
_x000D_
Weaknesses:_x000D_
- The indoor localization problem has a very active research community that the project can leverage, but the proposal's reference to them seems dismissive and superficial. This project will have to leverage best-of-class techniques from this set if it hopes to get anywhere. A more thoughtful explanation of how to do that would be welcome._x000D_
- What aspects of the work will have durable impact? Engineering methodology? Multimodal sensing? A clearer statement of what lasting scientific and engineering contributions are expected to be would be welcome. Is the project too close to a product development?_x000D_
- There may be work in industry and academia on improved sensor systems for scooters and electric wheelchairs, but none is cited in the proposal. A useful starting point (published after this proposal was written, but maybe useful in the future) is a recent article in IEEE Spectrum, "Self-Driving Wheelchairs Debut in Hospitals and Airports," By Megan Scudellari, Posted 17 Aug 2017.  Also, an MIT project is described here: https://techcrunch.com/2017/06/24/taking-a-ride-in-mits-self-driving-wheelchair/ . _x000D_
_x000D_
Broader Impacts:_x000D_
_x000D_
Strengths:_x000D_
+ Students can benefit enormously from engagement with this project because it integrates self-driving vehicles, sensing and actuation, and practical engineering._x000D_
+ The outreach and educational efforts could really help entice young people into engineering._x000D_
+ Integration with senior design and entrepreneurship programs is good._x000D_
+ The potential benefits to mobility-impaired persons from improvements in this technology are substantial._x000D_
_x000D_
Weaknesses:_x000D_
_x000D_
- Some aspects of the project could benefit from interaction with the user community, specifically mobility-impaired people._x000D_
_x000D_
Panel Recommendation:_x000D_
 _x000D_
The panel rated this proposal as Competitive. The primary reason for this rating was the strong potential for broader impacts and the ability to engage people in technologies for a common good, however, there were concerns about what lasting scientific or engineering contributions would result._x000D_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</si>
  <si>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project proposes to develop localization schemes using senosr fusion solutions. A unified theoretical framework for hybrid localization and mapping is promised to be developed. _x000D_
- the proposal is developed similar to a design proposal for a product and lacks novelties and specific approaches to advance science. _x000D_
- The Multi-modal Sensing and Fusion is a well studied subject. While proposing to come up with a unifying framework is interesting, the proposal is not specific on how such a theory may work. In particular the promise of combining localization process and SLAM based mapping (via convex relaxation as stated by proposer) needs to be substantiated._x000D_
_x000D_
In the context of the five review elements, please _x000D_
evaluate the strengths and weaknesses of the proposal with respect to broader impacts._x000D_
_x000D_
+ broader impact section is almost adequate, although it is not explained in a cohesive manner and reviewers have to find bits and pieces throughout the proposal.  _x000D_
+ the target application will benefit certain disadvantaged groups._x000D_
- given the target application and users, a more direct involvement with organiations that deal with disabilities could significantly boost the broader impact of the work, and may even help with getting further support._x000D_
_x000D_
_x000D_
Please evaluate the strengths and _x000D_
weaknesses of the proposal with respect to any additional solicitation-specific review criteria, if _x000D_
applicable_x000D_
_x000D_
_x000D_
_x000D_
Summary Statement_x000D_
_x000D_
The proposal targets a design problem, rather than advancing science. Although there are some intellectual merits in developing a unifying theory for fusion based localization, the proposal fails to substantiate the claim. _x000D_
A resubmission should focus more on the career development and scientific concepts, than a particular application or design._x000D_
_x000D_
</t>
  </si>
  <si>
    <t xml:space="preserve">In the context of the five review elements, please _x000D_
evaluate the strengths and weaknesses of the proposal with respect to intellectual merit._x000D_
_x000D_
The proposal is to develop technologies for improving the ability of mobility-challenged peopled to get around. The goal is multimodal enhancements to mobility scooters by leveraging sensors and indoor localization technologies. _x000D_
_x000D_
Strengths:_x000D_
+ This is a well-written and well-thought-through proposal. The PI has good hands-on experience and several publications directly related to the proposed topic. The analysis of the indoor localization problem and challenges with cost-effective sensing is sophisticated._x000D_
_x000D_
Weaknesses:_x000D_
- Indoor localization is a big problem with lots of recent promising work.  It will be important to leverage that work rather than trying to reinvent the wheel. Also, recent developments in augmented-reality toolkits from Google and Apple offer a collection of technologies that could be useful. To maximize impact, it will be important to take advantage of those developments._x000D_
_x000D_
_x000D_
_x000D_
In the context of the five review elements, please _x000D_
evaluate the strengths and weaknesses of the proposal with respect to broader impacts._x000D_
_x000D_
In addition to the obvious impact this may have on people with limited mobility, this project also promises to have significant educational impact. This sort of project excites and attracts diverse students and teaches the importance of broader impacts._x000D_
_x000D_
_x000D_
Please evaluate the strengths and _x000D_
weaknesses of the proposal with respect to any additional solicitation-specific review criteria, if _x000D_
applicable_x000D_
_x000D_
_x000D_
_x000D_
Summary Statement_x000D_
_x000D_
Excellent proposal._x000D_
_x000D_
</t>
  </si>
  <si>
    <t xml:space="preserve">In the context of the five review elements, please _x000D_
evaluate the strengths and weaknesses of the proposal with respect to intellectual merit._x000D_
_x000D_
The broad goal of the project is to design an autonomous scooter that can navigate in  crowded indoor environments. It identifies the following technical challenges towards_x000D_
the design:_x000D_
_x000D_
1. Fine grained localization _x000D_
* need foot level accuracy while navigating in indoor environments _x000D_
* develop low complexity hardware, opportunistic sensing and fusion 	solutions_x000D_
2. Automatic obstacle avoidance  and mapping_x000D_
* challenges include reflective surfaces, featureless scenes (white walls) etc are challenges, Lidar devices are bulky and expensive to incorporate in scooters;_x000D_
* how to combine newly created maps with previously build maps (when it has been shut down and moved to another place)_x000D_
* design and implement a hybrid of far-field and near-field mapping solutions (by performing data fusion of long range sensor data and stereo vision)_x000D_
* transform higher order vision feature space to lower order geodetic navigation space and use Bayesian filter to lower the complexity of matching _x000D_
* unified framework for localization and mapping_x000D_
3. Object recognition and navigation_x000D_
* leverage depth and location map to partition the region of interest and perform parallel recognition_x000D_
_x000D_
_x000D_
+ The proposal identifies relevant challenges in the design of autonomous systems that need to navigate indoors_x000D_
+ Related work is discussed sufficiently_x000D_
+ Sufficient details are provided about the different tasks_x000D_
- Adding details regarding preliminary work and comparisons of the same with existing approaches will help._x000D_
_x000D_
_x000D_
In the context of the five review elements, please _x000D_
evaluate the strengths and weaknesses of the proposal with respect to broader impacts._x000D_
_x000D_
Help people with mobility challenges to be independent. Mentor and integrate undergraduate, minority, and other underrepresented students, develop new courses including undergraduate hands-on laboratory courses._x000D_
_x000D_
Please evaluate the strengths and _x000D_
weaknesses of the proposal with respect to any additional solicitation-specific review criteria, if _x000D_
applicable_x000D_
_x000D_
_x000D_
_x000D_
Summary Statement_x000D_
_x000D_
The project identifies some technical challenges and proposed specific approaches to tackle the challenges. Some preliminary validation of the ideas would make the proposal stronger._x000D_
_x000D_
</t>
  </si>
  <si>
    <t xml:space="preserve">In the context of the five review elements, please _x000D_
evaluate the strengths and weaknesses of the proposal with respect to intellectual merit._x000D_
_x000D_
INTELLECTUAL MERIT_x000D_
_x000D_
PROPOSAL OBJECTIVES AND APPROACH_x000D_
+ This project is focused on the development of an autonomous scooter. Task one is focused on developing fine grained location services; task 2 is on far-field and near-field hybrid mapping; task 3 is object detection and navigation. _x000D_
_x000D_
+ The project description clearly lays out the specific problems to be solved and the limitations of existing methods to address them, motivating the proposed research._x000D_
_x000D_
+ The PI has prior work on the development of an autonomous scooter (runner up, best demo award at SenSys), and the current project will leverage the preliminary development work._x000D_
_x000D_
- The project advocates installing anchors to help with indoor navigation. The proposal should discus how the dependency on anchors being installed will impact cost, as well as limit the environments where the scooter can operate (e.g., only in spaces where they are deployed).  How is this scalable?_x000D_
_x000D_
- The project is very scooter-centric, which means that everything is focused on building the scooter and developing algorithms to assist its development.  If the scooter is not popular, it is hard to understand the impact of the outcomes of the research. E.g., what methods will extend to other systems, and what ones are restricted to the specific scooter developed in this project?   _x000D_
_x000D_
_x000D_
In the context of the five review elements, please _x000D_
evaluate the strengths and weaknesses of the proposal with respect to broader impacts._x000D_
_x000D_
BROADER IMPACTS_x000D_
+ The project focus on improving mobility of mobility impaired individuals has obvious societal benefit. _x000D_
+ The scooter platform will be integrated into the senior design and engineering entrepreneurship programs _x000D_
+ PI teaches several recently introduced classes that can have materials integrated._x000D_
- It is extremely surprising that there are no collaborators, advisors etc. from the user-base the scooter is supposed to serve (e.g., mobility impaired persons). How do you know you are building something that the intended users will actually use?_x000D_
_x000D_
_x000D_
Please evaluate the strengths and _x000D_
weaknesses of the proposal with respect to any additional solicitation-specific review criteria, if _x000D_
applicable_x000D_
_x000D_
_x000D_
_x000D_
Summary Statement_x000D_
_x000D_
SUMMARY STATEMENT_x000D_
This is a good proposal. Even though the research tasks were clearly described and well reasoned in the context of the scooter, the proposal left some questions open about how general the methods and solutions are (e.g., can they apply to other systems beyond the scooter); and how practical they are (e.g., even if all of the methods work, will it significantly impact how mobility impaired people move?). The lack of involvement from potential users of the scooters was viewed as a substantial oversight._x000D_
_x000D_
_x000D_
</t>
  </si>
  <si>
    <t>People with mobility challenges, for example, the elderly, blind, and disabled, face a multitude of challenges every day that can prevent them from getting where they want to go. The limitation of physical freedom has an immensely negative impact on human life. The journey to public places is daunting and leaves these individuals stressed and anxious. Due to these reasons, many of them give up visiting public places that are essential to their life, for example, schools, clinics, stores, and city facilities. The overarching goal of this project is to improve the safety and autonomy of the navigation by providing them with a cutting-edge autonomous scooter, which allows them to navigate independently and safely in possibly unfamiliar surroundings._x000D_
_x000D_
Despite the technical success of existing assistive technologies, for example, electric wheelchairs and scooters, they are still far from effective enough in helping the blind and elderly navigate to their destinations in a hassle-free manner. The standard mobility scooter is an amazingly liberating vehicle for those with mobility challenges. These mobility tools have many variations and are becoming increasingly popular in many places. While mobility scooters may help to improve the quality of life of their users, operating them is still challenging in many scenarios. Riders often face challenges in driving scooters in some indoor and crowded places, especially on sidewalks with numerous obstacles and other pedestrians. It is also hard to determine the right path, for example, sidewalks with ramps and no dead ends. People with certain disabilities, such as the blind, are often unable to drive their scooters well enough. In this project, we focus on the indoor navigation scenarios for the autonomous scooter where the current location, maps, and nearby obstacles are unknown. This representative use case will put the challenges of localization, object detection, recognition, mapping, and autonomous navigation in one place, and demonstrate the capabilities of the prototype system at play in one location.Our system is designed from the ground up to help people with mobility challenges to better navigate, explore the physical world, and connect with friends and family. We propose a novel intelligent autonomous scooter with centimeter-level localization, short-range vision-based recognition, long range hybrid indoor mapping, and intelligent autonomous navigation. Solving these challenges will enable the scooter to both travel within buildings and perform tight maneuvers in densely crowds automatically. We propose a unified theoretical framework for hybrid localization and mapping. To solve the discrepancies of system complexity, sensor coverage, and resolution, we propose sensor fusion solutions for object mapping under various obstacles and lighting conditions. Our system design offers the advantages of being affordable, vendor-independent, discreet, noninvasive and unobtrusive.The proposed intelligent assistance system will play a representative role in connecting people with mobility challenges with destinations where they can access. By seamlessly collecting spatial data related to human activity and by providing responsive actions and services to users, the autonomous scooter can enable a smart transportation experience, thereby improving livability, convenience, and accessibility to the community. The fundamental research outcomes of fine-grained and multi-modal sensing, navigation, mapping, spatial recognition, and intelligent assistance will be broadly applicable to other intelligent system domains such as intelligent personal assistants, Internet-of-Things (IoT), localization, robotics, autonomous systems, and human-to-computer interactions. The educational component of this project will target training of undergraduate students and researchers. Industry collaboration will further reinforce the commercialization potential and enhance student training opportunities._x000D_
_x000D_
Keywords: Autonomous; localization; mapping; object detection; navigation</t>
  </si>
  <si>
    <t>1750789</t>
  </si>
  <si>
    <t>Vamvoudakis</t>
  </si>
  <si>
    <t xml:space="preserve"> Panel Summary       
  _x000D_
_x000D_
Description of project:_x000D_
The proposal advances the exploration of intermittent learning techniques to cyberphysical systems._x000D_
Intermittent learning is an approach to learning where rewards are provided according to a periodic or aperiodic schedule._x000D_
This approach is proposed to reduce the computations in a learning algorithm or to be applied in situations with limited sensing._x000D_
In the case of multiple agents, cooperation (or conflict) are modeled using learning in cooperative (or standard) games. Specifically, the application to cyberphysical systems is proposed via a game-theoretic approach that considers non-equilibrium scenarios to model bounded rationality or partial information._x000D_
_x000D_
Intellectual Merit:_x000D_
(+) The use of intermittent learning has intellectual merit as a reasonable strategy that can help obtain better performing learning algorithms._x000D_
(-) The adoption of intermittent learning is motivated via interesting and adequate human analogies (i.e. gambling addictions). The PI describes these as opportunities, but it should be motivated how the theory developed for intermittent learning can be applied to real CPS applications, such as UAVs, freight transport, and multi-robot collaborations. It is also not clear if the PI will have direct access to the application testbeds mentioned in the proposal._x000D_
(-) The PI proposes to reduce the computational burden using intermittent learning, but it is not proven that this should produce the same outcome. For example convergence time might be reduced. The PI should better illustrate how to mitigate this kind of issues, especially in an adaptive scenario where the rate of convergence is a fundamental parameter._x000D_
(+) There is intellectual merit in taking into account uncertain human behaviors in CPSs by modeling them with games with asymmetric information. _x000D_
_x000D_
Broader Impacts:_x000D_
_x000D_
Strengths:_x000D_
(+) The PI has several outreach activities and seems already committed to realize what is being proposed._x000D_
(-) There is a disconnect from the research part and the education part. Not much integration was highlighted between the research plan  and the education plan. _x000D_
(-) There are no letters of support/collaboration on the outreach side._x000D_
_x000D_
_x000D_
Constructive suggestions for improvement:_x000D_
The proposal has significant intellectual merit in its investigation of intermittent learning algorithms._x000D_
However, while the technical part seems solid, there are some issues that the PI should address to illustrate how intermittent learning is going to provide superior performance. Illustrative or motivating examples should be provided to support this and other points._x000D_
_x000D_
_x000D_
Panel Recommendation:_x000D_
 _x000D_
The panel rated this proposal as Competitive._x000D_
The primary reason for this rating was that the proposal shows several strong technical parts with interesting ideas, however, certain issues should be better developed to provide more convincing evidence that the approach is going to be successful._x000D_
_x000D_
The summary was read by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</si>
  <si>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The project proposes an intermittent learning framework to address issues such as congestion, sub-optimal operation, and security in cyber-physical autonomous systems. A class of learning methods is integrated with game-theoretic modeling. _x000D_
_x000D_
+/- The basic idea relies on intermittent reinforcement - which the PI describes as a conditioning schedule wherein a reward/punishment is delivered according to an intermittent schedule. This idea can have potentially far reaching implications. However, the PI is encouraged to concretely highlight the intermittency aspect beyond his previous work on using policy learning for a class of optimal control and game-theoretic problems. _x000D_
_x000D_
+ The PI is well qualified in the core techniques proposed in this research, in particular, learning and non-equilibrium analysis of game theoretic models. The research opportunities in the topics of Q-learning, adaptive intermittent learning, and non-equilibrium game-theoretic analysis are specifically tailored toward CPS applications (and issues such as bandwidth constraint, uncertain environment, and performance/optimality guarantees). _x000D_
_x000D_
- The proposed work of deep learning appears to be superficial, both in terms of novelty to CPS problems and distinctions from existing machine learning/AI literature. The PI should consider addressing this limitation through convincing examples. _x000D_
_x000D_
- The game theoretic models are limits to classical linear quadratic and minmax type formulations. The extent to which such models apply to CPS problems in security and congestion is questionable. _x000D_
_x000D_
- The proposed approach on non-equilibrium game-theoretic learning needs more convincing arguments, especially its distinctions with games of asymmetric information. The relationship of these models with adversarial assumptions should be further clarified. Merely citing an extensive body of literature from economics and game theory is not adequate. _x000D_
_x000D_
_x000D_
In the context of the five review elements, please _x000D_
evaluate the strengths and weaknesses of the proposal with respect to broader impacts._x000D_
_x000D_
- Unfortunately there is a gap between proposed theoretical ideas and validation plan which limits the broader impacts of this project. A tighter connection with validation experiments. Similarly, the milestones and metrics of success are a bit too abstract and do not provide sufficient indication of practicality of proposed approaches. _x000D_
_x000D_
+/- The PI has put good emphasis on research dissemination at various academic venues. The training of graduate/PhD student(s) involved in this project is adequately described; however, it is not clear how the PI will translate largely theoretical research to mentoring of highschool teachers and teaching programs for high school students. _x000D_
_x000D_
+ Collaboration with KTH, Bristol University through student exchange programs is good but more thought is needed on how the research will be integrated with these exchange programs. _x000D_
_x000D_
_x000D_
Please evaluate the strengths and _x000D_
weaknesses of the proposal with respect to any additional solicitation-specific review criteria, if _x000D_
applicable_x000D_
_x000D_
_x000D_
_x000D_
Summary Statement_x000D_
_x000D_
The project proposes new ideas on intermittent reinforcement learning and off-equilibrium analysis of game-theoretic models, with sufficient justification toward addressing CPS issues. However, insufficient integration between research and teaching/outreach limit the broader impact of proposed research to a certain extent. In addition, further improvements are needed to distinguish and connect the intermittent learning and off-equilibrium analysis of game theoretic models -- since these are new ideas that the PI is proposing. Based on this observation, the reviewer rates the proposal as VERY GOOD / GOOD.  _x000D_
_x000D_
_x000D_
</t>
  </si>
  <si>
    <t xml:space="preserve">In the context of the five review elements, please _x000D_
evaluate the strengths and weaknesses of the proposal with respect to intellectual merit._x000D_
_x000D_
Strengths:_x000D_
The use of intermittent learning is convincingly described as a possible paradigm for learning in Cyberphysical systems._x000D_
The approach of non-equilibrium games seems an interesting way to model non-fully rational behavior._x000D_
_x000D_
Weaknesses:_x000D_
The methods for the analysis of these games seem to be computationally very expensive. It is not obvious that these techniques will be able to tackle real world problems._x000D_
Also, while the arguments supporting intermittent learning are convincing, they are based on human behavior (i.e. gambling addiction) and they might not necessarily translate into CPS's._x000D_
_x000D_
_x000D_
In the context of the five review elements, please _x000D_
evaluate the strengths and weaknesses of the proposal with respect to broader impacts._x000D_
_x000D_
Strengths:_x000D_
The possibility of internships in world renowned labs such as Mitsubishi Research Lab are on point of strength of the proposal._x000D_
_x000D_
Weaknesses:_x000D_
The proposal presents a very theoretical perspective. Thus, its broader impact, at least in the short term, appears to be limited._x000D_
_x000D_
_x000D_
Please evaluate the strengths and _x000D_
weaknesses of the proposal with respect to any additional solicitation-specific review criteria, if _x000D_
applicable_x000D_
_x000D_
The integration of research and education seems satisfactory._x000D_
_x000D_
Summary Statement_x000D_
_x000D_
The proposal advances the study of intermittent learning from a very theoretical perspective. The ideas discussed are intellectually stimulating, but the actual impact in CPS and at a broader level might be limited._x000D_
_x000D_
</t>
  </si>
  <si>
    <t xml:space="preserve">In the context of the five review elements, please _x000D_
evaluate the strengths and weaknesses of the proposal with respect to intellectual merit._x000D_
_x000D_
The proposal addresses some problems related to the application of learning towards control design. The broad approach consist of applying intermittent learning, wherein  unlike reinforcement learning, the reward/punishment is not applied in every step. In particular, the objective is to allow for efficient use of resources, and adapt to changing and adversarial environments. The following will be investigated:_x000D_
_x000D_
* Co-design of action law and the intermittent scheme for optimal decentralized control_x000D_
* Optimal planning in uncertain and dynamic environment is investigated by developing decentralized Q-functions and using intermittent Q-learning framework._x000D_
* Game-theoretic intermittent learning with conflicting and cooperating agents._x000D_
* Intermittent learning for optimal decentralized state estimation_x000D_
* Intermittent non equilibrium game theoretic  learning algorithms when multiple agents do not use the same decision making mechanism or do not have the same level of rationality._x000D_
* Validation will be conducted using UAS at Virginia Tech as well as at KTH and BRL in Europe._x000D_
_x000D_
+ Literature review is thorough_x000D_
+ Sufficient preliminary work done, and technical details are provided._x000D_
- The proposal is hard to read and subtasks are not well-motivated. For instance, section 2.1.3 starts with a problem formulation, without any motivation for the problem or the solution._x000D_
- Examples accompanying the different tasks would provide better motivation._x000D_
_x000D_
In the context of the five review elements, please _x000D_
evaluate the strengths and weaknesses of the proposal with respect to broader impacts._x000D_
_x000D_
The PI will develop new courses on smart CPS, reinforcement learning, game-theoretic learning and dynamics programming, will participate in international collaboration, provide opportunities for students on the project to participate in internships, will involve high school students in drone races, will work towards teacher mentoring and help with job-placement for students._x000D_
_x000D_
Please evaluate the strengths and _x000D_
weaknesses of the proposal with respect to any additional solicitation-specific review criteria, if _x000D_
applicable_x000D_
_x000D_
_x000D_
_x000D_
Summary Statement_x000D_
_x000D_
The novelty of the proposal lies in the use of a specific learning paradigm, namely, intermittent learning towards control design. The proposal can be improved by providing motivating examples/scenarios._x000D_
_x000D_
</t>
  </si>
  <si>
    <t xml:space="preserve">In the context of the five review elements, please _x000D_
evaluate the strengths and weaknesses of the proposal with respect to intellectual merit._x000D_
_x000D_
The PI proposes to develop an intermittent learning framework for CPS. The intermittent learning framework involves a conditional schedule does not issue reward every time when a control is applied. The PI will study this framework under state feedback and output-only feedback scenarios. _x000D_
_x000D_
Strengths:_x000D_
_x000D_
+The intermittent learning framework has the potential in bringing reinforcement learning to solve real-world real-time control problem.  If successful, the project can make big impact to the field, making contributions to the fundamental methodologies that support AI and real-time CPS. _x000D_
_x000D_
+ The PI has a solid background and track of record in reinforcement reading. The PI is well qualified to conduct the proposed tasks. _x000D_
_x000D_
+ The fundamental studies on irrational players and non-equilibrium games help to address fundamental challenges in heterogeneous CPS.  _x000D_
_x000D_
+ The PI proposes to validate the solution in real test beds, including UAVs, connected frights, and collaborative robots.  _x000D_
_x000D_
Weakness: _x000D_
_x000D_
-How can the converging speed of intermittent learning be guaranteed? It is expected that the hybrid intermittent learning reduces the converging speed, making it less effective in real-time applications. The PI has done some preliminary studies on event-triggered intermittent learning. Insights into the performance and mythologies to overcome performance limitations need to be articulated to justify the proposed approach._x000D_
_x000D_
-The CPS examples such as UAVs, connected frights, and collaborative robots can be described in more details to demonstrate how the proposed framework is being applied to solve real-world problems._x000D_
_x000D_
_x000D_
_x000D_
In the context of the five review elements, please _x000D_
evaluate the strengths and weaknesses of the proposal with respect to broader impacts._x000D_
_x000D_
Strengths_x000D_
_x000D_
+ The PI has been active in research dissemination and outreach activities.  _x000D_
_x000D_
+ The PI proposes to mature the courses the PI has developed on games and learning. The PI also proposes to conduct student activities such as drone race, use library resources to teach learning and programming for girl camps, and flip STEM lesson plans. _x000D_
_x000D_
Weakness_x000D_
_x000D_
-It is not clear the education activities have access to committed resources. The education plan is not supported by collaboration letters. The activities such as allowing high school students to earn graduate credits require institutional commitments from all parties involved.  _x000D_
_x000D_
_x000D_
Please evaluate the strengths and _x000D_
weaknesses of the proposal with respect to any additional solicitation-specific review criteria, if _x000D_
applicable_x000D_
_x000D_
+ The education and research plans are well integrated._x000D_
_x000D_
Summary Statement_x000D_
_x000D_
The reviewer rated this proposal E/V, considering the potential impact the proposed direction can make. The PI is suggested to study innovative solutions that overcome the performance limitations of intermittent reinforcement learning, and investigate in more detail how this proposed solution can be applied through real-world problem analysis._x000D_
_x000D_
</t>
  </si>
  <si>
    <t>1750811</t>
  </si>
  <si>
    <t>Duggirala</t>
  </si>
  <si>
    <t xml:space="preserve"> Panel Summary       
  _x000D_
Description of project:_x000D_
_x000D_
The ambitious goal of this proposal is to create a framework for end-to-end certification of software in autonomous vehicles. The proposed three-layered architecture includes a logic programming framework for high level specifications, a layer for deploying continuous controllers for the chosen high level action, and a lower level for the actual software implementation of the controller. The PI brings together tools and concepts from logic programming, control, and formal methods to build these layers. _x000D_
_x000D_
Strengths:_x000D_
_x000D_
+ The panel agreed that the proposed research plan is challenging and a very good fit for the CPS program_x000D_
_x000D_
+ The PI is well prepared to perform fundamental research in this area._x000D_
_x000D_
Weaknesses:_x000D_
_x000D_
-  The panel felt that the main weakness of the project was the lack of focus. While ambitious, the research plan overlooks important technical details. For example, the expressivity of the proposed logic programming framework is not enough to capture realistic traffic conditions. As another example, the PI does not discuss what happens if controllers at layer II get coupled through the dynamics of the systems. Several other situations, which can happen in a realistic scenario, are not discussed in the oversimplified scenario considered in this proposal._x000D_
_x000D_
- Related works, such as large scale efforts from NASA and ARSENAL are not discussed_x000D_
_x000D_
Broader Impacts:_x000D_
_x000D_
Strengths:_x000D_
_x000D_
+ The panel agreed that the broader impact and the education plans were appropriate._x000D_
_x000D_
Weaknesses:_x000D_
_x000D_
none_x000D_
_x000D_
Constructive suggestions for improvement:_x000D_
_x000D_
The panel has the following suggestions for improvement: _x000D_
_x000D_
1) Reduce the scope of the proposal and focus on a few technical aspects that can be part of a larger framework for end-to-end certification in autonomous driving _x000D_
_x000D_
2) Study the existing work on specification extraction. _x000D_
_x000D_
3) Integrate the proposed work in the context of existing efforts in autonomous driving and tie it more concretely into the current state of the art to explain why the proposed work will succeed where others have not yet. _x000D_
_x000D_
Panel Recommendation:_x000D_
 _x000D_
The panel rated this proposal as Low Competitive. The primary reason for this rating was the unrealistic and oversimplified approach to the proposed end-to-end certification problem.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</si>
  <si>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a framework for end-to-end certification of software in autonomous vehicle. The proposed architecture has three layers:  layer I for handling the high level traffic behaviors (e.g., turn right, change lanes), layer II for deploying the appropriate controller for the high level action chosen, and layer III for the actual implementation of the controller on the hardware (e.g., binary code). There are three main research thrusts, which are aligned with the three layers: (1) rigorous representation of traffic rules in logic programming; (2) development of a new technique for verifying whether a controller satisfies the safety requirements in near real-time; (3) proving that the implementation is indeed compliant with the high level design. The evaluation will be on MAV (miniature autonomous vehicle). _x000D_
_x000D_
+ the research topic is challenging and a very good fit for the CPS program_x000D_
_x000D_
+ the PI is very well prepared to undertake the proposed research program_x000D_
_x000D_
+ the proposed technical approaches are quite innovative and have the potential to make an impact in traffic control_x000D_
_x000D_
- it is not clear how the supervisory control is synthesized, i.e., it is not clear how to go from the logic in layer I to the controller in layer 2.   _x000D_
_x000D_
- in the correctness of the maneuver controller part of the proposal, it would have been nice to discuss the case when controllers can be designed from scratch rather than being selected from a set of controllers. _x000D_
_x000D_
_x000D_
In the context of the five review elements, please _x000D_
evaluate the strengths and weaknesses of the proposal with respect to broader impacts._x000D_
_x000D_
+ the proposed topic is quite general. the proposed techniques, especially the ones for layers II and III can be applied to other types of CPS _x000D_
_x000D_
+ the education and outreach plans are strong_x000D_
_x000D_
Please evaluate the strengths and _x000D_
weaknesses of the proposal with respect to any additional solicitation-specific review criteria, if _x000D_
applicable_x000D_
_x000D_
_x000D_
_x000D_
Summary Statement_x000D_
_x000D_
This proposal was rated Very Good. The main reason for this rating is that the proposed research has the potential to produce an end-to-end architecture for traffic control that is provably correct and it scales._x000D_
_x000D_
</t>
  </si>
  <si>
    <t xml:space="preserve">In the context of the five review elements, please _x000D_
evaluate the strengths and weaknesses of the proposal with respect to intellectual merit._x000D_
_x000D_
Strengths:_x000D_
The formalization via Koopman operators is of theoretical interest as long as its approximation method can be proven somehow optimal in some sense._x000D_
From a more practical perspective, I consider the suggested testbed one of the strongest features of the proposal. The implementation of working algorithms on MAVs would be a very convincing point._x000D_
_x000D_
Weaknesses:_x000D_
After a very general vision, the proposal collapses into a set reachability problem. Also the chosen examples sometimes fail to provide the necessary support to the proposed approach. For example, the detected four intersection deadlock when the vehicles arrive at the same time seems quite a trivial finding that has required an excessive formalization._x000D_
_x000D_
_x000D_
In the context of the five review elements, please _x000D_
evaluate the strengths and weaknesses of the proposal with respect to broader impacts._x000D_
_x000D_
Strengths:_x000D_
The translation of traffic rules into a formal language has the potential application to other areas, including, maybe surprisingly, law._x000D_
_x000D_
Weaknesses:_x000D_
I didn't find any specific weakness from a broader impact point of view._x000D_
_x000D_
_x000D_
Please evaluate the strengths and _x000D_
weaknesses of the proposal with respect to any additional solicitation-specific review criteria, if _x000D_
applicable_x000D_
_x000D_
The integration of research and education is satisfactory._x000D_
_x000D_
Summary Statement_x000D_
_x000D_
The proposal advances a formalization of driving rules along with an implementation of control laws to provide safety guarantees for autonomous vehicles. There seems to be a disconnect between the general goals stated in the proposal and the technical parts that are instead more narrowly focused._x000D_
_x000D_
</t>
  </si>
  <si>
    <t xml:space="preserve">In the context of the five review elements, please _x000D_
evaluate the strengths and weaknesses of the proposal with respect to intellectual merit._x000D_
_x000D_
Certification of autonomous vehicles is certainly a hot topic and a solution to the problem of creating a total safety case for end-to-end safety certification is a large, challenging, and important one. The layered architecture approach is a good way to sub-divide this problem. The problem is motivated well, with appropriate references from the aerospace domain. _x000D_
_x000D_
I am concerned that the problem of specification extraction is not assessed according to the scale of the challenge it represents. Specification is arguably the biggest bottleneck to formal verification and certification efforts and previous efforts to extract specifications from driver or pilot instructions have failed for a good reason: there are so many assumptions about human behaviors and tendencies and motivations encoded into these documents that explicitly pulling them out is an incredibly laborious task that is difficult even for a domain expert. Even if specifications are obtained at one level of abstraction, for example, the challenge of carrying them through to other levels is tremendous, yet this aspect of the problem is largely excluded from the proposal. _x000D_
_x000D_
Also, I am concerned about the plan to translate natural language to rigorous specifications. There have been many recent efforts to do this (VARED, ARESENAL, etc.) and yet they still have not been successful in translating the wide scope of NL specifications addressed by this proposal. The approach of logic programming is certainly promising, but the proposal does not give sufficient reason to believe that it will succeed in this harder case when it has not (yet anyway) for arguably easier cases._x000D_
_x000D_
Other aspects of the certification problem that are fleshed out in the proposal are largely fleshed out well; I suggest a significant modification of the scope to make the whole proposal a more realistic research effort._x000D_
_x000D_
_x000D_
In the context of the five review elements, please _x000D_
evaluate the strengths and weaknesses of the proposal with respect to broader impacts._x000D_
_x000D_
A complete framework for end-to-end safety certification of autonomous vehicles would definitely have broad impact in that it could potentially affect the lives of many people. The educational plan includes the expected components of mentoring graduate and undergraduate students and course development. Making the testbed for such "cool" technology accessible to students and the public will be of interest and potentially help inspire increased interest in STEM._x000D_
_x000D_
_x000D_
Please evaluate the strengths and _x000D_
weaknesses of the proposal with respect to any additional solicitation-specific review criteria, if _x000D_
applicable_x000D_
_x000D_
_x000D_
_x000D_
Summary Statement_x000D_
_x000D_
This project tackles the very large and difficult problem of end-to-end certification of automated cars, providing assurance that they behave on roads following the rules given to human drivers. The research plan is extremely ambitious in this regard. The educational plan incorporates course development, student mentoring, and outreach to the community and K-12 students by making accessible the (very cool) testbed technologies associated with this project. _x000D_
_x000D_
_x000D_
</t>
  </si>
  <si>
    <t xml:space="preserve">In the context of the five review elements, please _x000D_
evaluate the strengths and weaknesses of the proposal with respect to intellectual merit._x000D_
_x000D_
The goal of the project is to provide a formal framework for the end-to-end certification of software in autonomous vehicles. To achieve this goal, PI decomposes the overall control architecture in three layers: the supervisory layer, maneuver control layer and software implementation layer. Each layer is uses different abstractions and verified according to the abstraction-specific properties. _x000D_
_x000D_
Strengths:  _x000D_
+ Selection of the research topic is timely and the research addresses open challenges._x000D_
+ The identified abstraction layers are consistent with the traditional hierarchical control architectures_x000D_
+ The proposed research attempts to address the verification of real-time behavior._x000D_
_x000D_
Weaknesses: _x000D_
-	Compliance to traffic rules does not seem to be sufficient to derive vehicle behavior on the supervisory layer. The problem space is much richer and generally requires the specification of  traffic scenarios and the formation of scenario catalogs. These scenarios can be associated with high-level behavior that must be compliant with traffic rules. Accordingly, CLP does not seem to be rich enough for these scenario specifications. A relevant approach that the PI may consider reviewing is the Traffic Sequence Chart (TSC) language developed by Werner Damm and others._x000D_
-	It is unclear if the method described has any relevance to the machine learning based autonomous vehicle certification. . _x000D_
-	Safety verification of maneuver controllers addresses safety properties  of vehicle plus controller dynamics in a given environment. This is an extremely rich area and the proposal does not focus the addressed problem. For example, the interaction of various safety controllers via the vehicle dynamics is just one problem that is difficult and requires careful analysis of compositionality._x000D_
-	Conformance of the computational implementation to the required controller dynamics is indeed another hard problem. PI should consider the many results in model-based design to make refinement semantic preserving, or introducing  methods that are robust aganst implementation side effects._x000D_
-	The overall research effort does not seem to reach its stated goal, to provide a formal framework for the end-to-end certification of autonomous vehicles._x000D_
_x000D_
_x000D_
_x000D_
In the context of the five review elements, please _x000D_
evaluate the strengths and weaknesses of the proposal with respect to broader impacts._x000D_
_x000D_
Strengths:_x000D_
+ The goals of the project addresses an increasingly important problem: safety of autonomous driving. _x000D_
+ Industry and community outreach is innovative._x000D_
+ PI describes an attractive, rich education plan.  A unique strength is the tight integration of the research with the PI  education activity._x000D_
_x000D_
Please evaluate the strengths and _x000D_
weaknesses of the proposal with respect to any additional solicitation-specific review criteria, if _x000D_
applicable_x000D_
_x000D_
_x000D_
_x000D_
Summary Statement_x000D_
_x000D_
The proposal is evaluated Good because it addresses an important and hard problem, but the proposed approach will probably be insufficient to reach those._x000D_
_x000D_
</t>
  </si>
  <si>
    <t>Recent incidents involving autonomous vehicles has raised several important questions regarding their risk and safety measures. This proposal presents a framework for end-to-end certification of software in autonomous vehicle. Inspired by the overall organization of ISO 26262 and DO-178C, this proposal presents a layered architecture for software in autonomous vehicles. This architecture has three layers, layer I for handling the high level traffic behaviors, layer II for deploying the appropriate controller for the high level action chosen, and layer III for the actual implementation of the controller on the hardware. The high level behaviors are required to satisfy the traffic rules, the controllers are supposed to satisfy the safety specification, and the implementation is supposed to be compliant with the high level controller that is deployed. The research component of this proposal is divided into three primary tasks. This proposal is well aligned with the long term goal of the PI, which is to develop scalable design verification techniques for industrial Cyber-Physical Systems. The first research task involves rigorously representing the traffic rules in logic programming. The rules specified in the driver's manual will be converted into rules in logic programs. This enables analyzing the traffic behaviors of autonomous vehicles at various environmental conditions. The second task develops a new technique for verifying whether a controller satisfies the safety requirements in near real-time. This involves developing new high-dimensional linearizations using Koopman operator. The third research tasks involves proving that the implementation is indeed compliant with the high level design. This involves developing new refinement relations for proving approximate conformance and new notions of delay robustness. The research results for this proposal will be evaluated on MAV (miniature autonomous vehicle). This proposal enables a synergy between research, education, and outreach. The rigorous reasoning part of the research proposal will be integrated with graduate and undergraduate teaching using new pedagogical techniques. The evaluation platform of MAV will be used to engage the undergraduate students in research, graduate students in mentoring the undergraduates, and also in outreach for general public and K-12 students.The primary intellectual contribution of this proposal is that it analyzes the role of software in autonomous vehicles, presents a layered architecture for such software, and outlines the foundations for algorithmic certification of such software. The modeling formalism and analysis technique selected at each layer is particularly suitable for analyzing the behavior of software at that specific level of abstraction. Additionally, this proposal also presents how the proofs at one layer communicate with other layers. The fact that layered architectures are routinely found in various domains in Computer Science such as Networks, Operating Systems, Compilers, Databases, etc. suggests that this proposal is a step in the right direction. The research questions for certification of software at each level of abstraction poses a fundamental question. This question, in layer I, corresponds to --- how to certify that a supervisory control software obeys traffic rules? In layer II, this corresponds to --- how would it be possible to prove, in near real-time that safety of various maneuvers is guaranteed? In layer III, this corresponds to --- how to re-use the proofs from the design to establish the correctness of the implementation? Answering these questions would also be useful in other domains such as medical and aerospace Cyber-Physical Systems.This proposal presents a blue print for the algorithmic certification process of an autonomous vehicle. Addressing the research problems at different levels of abstraction would provide us with a guide to assign accountability to different components of autonomous vehicles, if and when, accidents involving them happen. This research would equip the regulatory authorities with several pre-emptive measures that can be taken for improving the accountability of software in autonomous vehicle. Additionally, this would also address some of the important legal and ethical issues regarding autonomous vehicles. The integration of research and teaching would enable the next generation of computer engineers and working professionals to rigorously reason about computing systems. The outreach aspects of this proposal would improve the public understanding of autonomous vehicles, persuade the undergraduate students to conduct research in this domain, and motivate the K-12 students to join STEM fields.</t>
  </si>
  <si>
    <t>1750864</t>
  </si>
  <si>
    <t xml:space="preserve"> Panel Summary       
  _x000D_
Description of project:_x000D_
_x000D_
The proposal plans to improve the integrity of positioning systems when current GPS algorithms fail to provide reliable information. The research tasks include i) to assess the integrity of received GPS signals; ii) to improve the positioning through information fusion and measurements from multiple non-GPS sensors; and iii) to use the physical interactions to increase the position estimate integrity. _x000D_
_x000D_
Intellectual Merit:_x000D_
_x000D_
Strengths:_x000D_
_x000D_
+ The proposal is well-structured, and focuses on important research challenges for positioning systems without reliable GPS signal. It describes the research problems clearly. _x000D_
_x000D_
+ The panel agreed that the proposed direct positioning (DP) algorithm was exciting for GPS signal quality assessment. _x000D_
_x000D_
_x000D_
Weaknesses:_x000D_
_x000D_
- The panel agreed that the link between the proposed solutions and the core cyber-physical research challenges could be made stronger. _x000D_
_x000D_
_x000D_
Broader Impacts:_x000D_
_x000D_
+ The PI has past established experience in educational module development and broader impact activities. _x000D_
_x000D_
+ The panel found the industry outreach plans discussed in the proposal compelling.  _x000D_
_x000D_
_x000D_
Constructive suggestions for improvement:_x000D_
_x000D_
- More concrete discussions to clarify the novelty of the proposed solutions beyond the current state-of-the-art solutions would have been helpful. _x000D_
_x000D_
- The panel agreed that the experimentation test-bed could be improved in terms of scale and realism.  _x000D_
_x000D_
_x000D_
Panel Recommendation:_x000D_
 _x000D_
The panel rated this proposal as Competitive. The primary reason for this rating was the proposal's high-impact research solutions, and strong educational modules. _x000D_
_x000D_
_x000D_
The summary was read by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</si>
  <si>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aims at developing a method for positioning using information from other sources such as maps and vehicle dynamics, and for identifying the integrity of positioning outcome. Te proposal seems to provide a plan to achieve the first goal, but is lacking in identifying specific methods for the latter.  _x000D_
_x000D_
+ The problem of positioning is well described and analyzed, and the overall direction seems correct._x000D_
+ the fusion method, for example using flitering to optimize gridpoint candidates seem reasonable._x000D_
- The proposal relies on using 3D maps, it is mentioned in research plan (page 5) that the reachable region of the grid point candidates is determined by the vehicle's dynamics, trajectory and the available open space (e.g., roads) provided by the 3D environment map. The question is how 3D maps are derived from sources that are mentioned (it would take considerable effort to get something from Google streetview for example). _x000D_
- task 2.2, the proposed approach is not clear and only the idea and desired algorithms are mentioned. proposers need to clearly identify how the joint machine learning and analytical framework are developed, and what advances to the field are expected. _x000D_
- the preliminary work on using multipath for improving GPS positioning uses a large flat surface. Proposers must substantiate why such a method will work in a complex environment of an urban setting with many surfaces, in addition to moving objects. In addition, real-time calculations may not be possible for such cases._x000D_
_x000D_
- It is not clear to the reviewer how this project will advance the objectives of the CPS program. The focus of the proposal seems to be on localization technology alone. While it has application in CPS, but so do other non-CPS related subjects such as computer vision._x000D_
_x000D_
In the context of the five review elements, please _x000D_
evaluate the strengths and weaknesses of the proposal with respect to broader impacts._x000D_
_x000D_
+ Outreach and education activies are adequate and well thought of. Plans to integrate research into education are also convincing and above average. _x000D_
_x000D_
_x000D_
Please evaluate the strengths and _x000D_
weaknesses of the proposal with respect to any additional solicitation-specific review criteria, if _x000D_
applicable_x000D_
_x000D_
A clear career direction and plan would be helpful and was not clear from the proposal._x000D_
_x000D_
Summary Statement_x000D_
_x000D_
A buget of two RAs for first year and half RA for years 4 and 5 is questionable. _x000D_
The intellectual merit of the proposal is in developing methods that allow integration of several sources of information for positioning. While some tasks are well defined, others lack specific approaches (see the comment above).  A clear career direction and plan will also be helpful._x000D_
_x000D_
</t>
  </si>
  <si>
    <t xml:space="preserve">In the context of the five review elements, please _x000D_
evaluate the strengths and weaknesses of the proposal with respect to intellectual merit._x000D_
_x000D_
This proposal is about developing additional techniques for a comprehensive re-engineering of GPS-related positioning algorithms. The PI proposes to leverage information obtained from other sensors and surrounding information, such as existing maps of buildings, to dramatically improve positioning accuracy, most remarkably via using multipath signals instead of rejecting them as noise._x000D_
_x000D_
+ The idea of direct positioning is a concept allowing the positioning algorithm to work with more realistic assumptions on the probability distributions underlying the uncertainty on the GPS signal behavior._x000D_
_x000D_
+ The document is exceptionally clear: All the activities are clearly delineated an d easy to understand, even by the non-specialist._x000D_
_x000D_
+ The idea of using multipath information to improve positioning is not new. However, it appears that the approach proposed by the PI is new. The benefits of the work are doubtlessly there._x000D_
_x000D_
- The "hard core" underlying math and algorithmic aspects of the work is hidden under a short section named "Intellectual merit". While this approach allows the author to provide a more entertaining document, some of the fundamentals aspects of the work end up missing. _x000D_
_x000D_
- The idea of carrying a flying machine behind a truck looks more like an advertisement coup than a convincing scientific experiment: The reviewer sees no value in flying a UAS in a moving cage, compared with simply carrying the UAS' avionics on the roof of a car, for example. On the other hand, the kind of advertisement that can be generated from such a demo may help with broader impacts and does not seem to be overly expensive._x000D_
_x000D_
_x000D_
_x000D_
In the context of the five review elements, please _x000D_
evaluate the strengths and weaknesses of the proposal with respect to broader impacts._x000D_
_x000D_
+ The work proposed by the PI will clearly benefit the community at large, and especially the autonomous vehicle community, whether in the air or on the ground. _x000D_
_x000D_
+ The PI is involved with several official bodies involved with standardization of navigation systems for autonomous aircraft. This gives her good outlets to advertise her work and increase the chances of successful transfers of her research to industry_x000D_
_x000D_
+ The PI's involvement with multiple outreach activities is genuine and this CAREER will certainly help her move forward in that direction._x000D_
_x000D_
_x000D_
_x000D_
Please evaluate the strengths and _x000D_
weaknesses of the proposal with respect to any additional solicitation-specific review criteria, if _x000D_
applicable_x000D_
_x000D_
_x000D_
_x000D_
Summary Statement_x000D_
_x000D_
This proposal is about improving navigation solution accuracy and integrity with many applications, including unmanned system operations. This is a very well-articulated proposal, with clearly defined technical objectives and milestones. The underlying technical ideas are sufficiently well explained though not in overly difficult details. The relevance of the proposal to the CPS program is illustrated essentially through the extensive demonstration activities taking place in the broader impact section and the experimental activity section. For all these reasons, this proposal is rated as Excellent. _x000D_
_x000D_
_x000D_
</t>
  </si>
  <si>
    <t xml:space="preserve">In the context of the five review elements, please _x000D_
evaluate the strengths and weaknesses of the proposal with respect to intellectual merit._x000D_
_x000D_
The proposal addresses the problem of position integrity assessment and monitoring; want to obtain the position with high accuracy and confidence._x000D_
_x000D_
* propose to develop a method called Direct positioning (DP) that estimates the position and velocity and compares with GPS voltage signals to compute the maximum likelihood of the position in the manifold. Proposes to use Bayesian filtering algorithms for selecting the optimal grid points._x000D_
* identifies challenges with KF based algorithms when the sensor measurements have errors that depend on the environment, are time varying and uncertain. Hence, a framework is proposed to characterize individual sensor's uncertainty based on the interaction with the environment. Will investigate joint pdf to represent the data from multiple sensors._x000D_
* leverage multi path effect to provide useful navigation information, this is done using predetermined 3D maps and 3D city models._x000D_
* Experimental validation will be conducted using UAVs_x000D_
_x000D_
_x000D_
+ The PI has performed sufficient preliminary work._x000D_
+ The idea of direct positioning might be useful_x000D_
- The explanations of the different tasks (for instance, DP) can be improved._x000D_
- The choice of sub tasks can be motivated better_x000D_
_x000D_
In the context of the five review elements, please _x000D_
evaluate the strengths and weaknesses of the proposal with respect to broader impacts._x000D_
_x000D_
Position integrity is crucial towards safely navigating autonomous vehicles._x000D_
PI will investigate a flip teaching lab by implementing a take-home lab, will engage undergraduates in research, engage in industrial collaborations and will promote women in engineering activities and participate in public lectures._x000D_
_x000D_
Please evaluate the strengths and _x000D_
weaknesses of the proposal with respect to any additional solicitation-specific review criteria, if _x000D_
applicable_x000D_
_x000D_
_x000D_
_x000D_
Summary Statement_x000D_
_x000D_
The project proposes the framework of direct positioning to improve position accuracy and confidence in navigation applications. The overall idea is interesting, however, the coherence of the proposal can be improved._x000D_
_x000D_
</t>
  </si>
  <si>
    <t xml:space="preserve">In the context of the five review elements, please _x000D_
evaluate the strengths and weaknesses of the proposal with respect to intellectual merit._x000D_
_x000D_
+ The proposal investigates a very interesting problem that is currently open in real-world settings. The PI is planning to improve the positioning integrity for autonomous vehicles such as UAVs. _x000D_
_x000D_
- Overall, the proposal is not written/structured to read like a CAREER ambitious proposal. The ideas are valid, but the problem domain is a bit limited for a CAREER proposal. Instead, the current version of the proposal looks like a typical NSF CPS proposal with well-defined plans and easy-to-predict outcomes. It is lacking the long-term visionary planning that typical CAREER proposal include. _x000D_
_x000D_
+ The problems that the proposal is trying to solve are described clearly. Additionally, the related work and literature review section of the proposal are informative and puts the proposed solutions in context well. _x000D_
_x000D_
- The proposal is criticizing the past related work on the fact that they rely on the integrity of the maps. The proposal itself later in the description of the proposed techniques is using models and maps of the environment that need to be relied on in order for the proposed positioning to work correctly. The whole research plan of the proposal need to be consistent in terms of the PI's proposed work and the work performed by the other research groups in the recent past. _x000D_
_x000D_
- It is unclear from the proposal whether the proposed solution can handle malicious failures and attacks of different types as well as the random natural incidents and noisy data._x000D_
_x000D_
- The proposal mentions the design a ærobust' navigation as one of the project's objectives. However, the proposal is lacking details and mathematical discussions on how the proposed solution is guaranteed to satisfy the requirements for the robust navigation precisely? _x000D_
_x000D_
- From a practical deployment viewpoint, it is unclear whether the embedded batteries and processors of the current drones (for instance) can handle the proposed computation-heavy procedures? Offloading the load partially to the cloud will hurt the real-time constraints in practice and cannot be reliable in real-world settings. _x000D_
_x000D_
- The proposal has several unjustified assumptions that need clarifications. For instance, why is the assumption about the multi-variate Gaussian with fixed covariance matrices realistic in practical real-world settings? In what settings are they not satisfied? In the settings that the proposed solution is proposed for (where there are multipath effects etc), it is likely that these assumptions do not hold. _x000D_
_x000D_
- The proposal mentions camera as one of possible sensors for positioning. On the other hand it is discussing the f and h functions of the state evolution and measurements. How are those functions calculated when the camera is used as the sensor? There are other points in the proposal where the high-level models are not linked to the low-level details of how the sensors and other system components operate in practice. _x000D_
_x000D_
- How does the proposal solution deal with the changing environment? Once the models/maps are obtained, how often do they have to be updated? At the same time, they will be used for positioning using the sensor measurements that do not match. The positioning and detection of the model discrepancy using the same set of sensors may be contradicting and misleading to the controller. This part needs more clarification. _x000D_
_x000D_
- The mentioned multi-sensor DP needs more mathematical/technical details and clarification on how they are new compared to the existing work in the literature. _x000D_
_x000D_
- The proposed probabilistic modeling of the navigation estimates adds to the computation requirements of the positioning procedures. This may hurt the real-time requirements of the flight operations. _x000D_
_x000D_
- It is unclear where the numbers in Table 1 come from? Why are they good enough for practical applications? What type of applications are they good enough for? _x000D_
_x000D_
- There are a lot of past work on indoors navigation and localization that also do not use GPS sensors. How does the proposed solution differ from those work and/or how does it improve them? _x000D_
_x000D_
- Presentation: the proposal's text reads a bit dry and does not motivate the problem well enough initially. Additionally, the way it is written does not sound ambitious. There are several typos throughout the proposal including the summary  that need to be fixed. Furthermore, some of the abbreviations are not spelled out the first they are used in the text. Change æframe work' to framework (multiple instances). _x000D_
_x000D_
- The figures in the proposal are sometime not informative, and not legible. They need to be redrawn for better readability and clarity w.r.t. presentation clarity. _x000D_
_x000D_
- The proposal mentions it will use images from the onboard cameras to simultaneously map and determine the facades of buildings to generate satellite mirror-image positions. How exactly will this be done? It is a challenging problem, but no more details is provided in the proposal. _x000D_
_x000D_
_x000D_
In the context of the five review elements, please _x000D_
evaluate the strengths and weaknesses of the proposal with respect to broader impacts._x000D_
_x000D_
+ The PI has experience with educational activities in the past. _x000D_
_x000D_
+ The proposal includes solid broader impact plans in terms of the educational curriculum module development and attracting underrepresented minorities and women. _x000D_
_x000D_
+ The proposed solution will be validated on a real test-bed that the PI has developed in the past.  _x000D_
_x000D_
- The proposed educational modules are recommended to be assessed by an external advisor that could be a senior faculty at the department. _x000D_
_x000D_
The proposal mentions that the PI has reached out to the companies around the university; however, the proposal does not provide the outcome of such outreach activities.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is the valid problems focused by the proposal, lack of needed details and ambition in the proposed research program._x000D_
_x000D_
</t>
  </si>
  <si>
    <t>CAREER: High Integrity Positioning for Autonomous Vehicles_x000D_
Grace Xingxin Gao; University of Illinois at Urbana-Champaign_x000D_
_x000D_
This project aims to assess, monitor and improve positioning integrity for autonomous vehicles, such as UAVs and self-driving cars, and integrate the proposed research into education and outreach. _x000D_
We are embarking upon the age of autonomous systems. To safely navigate autonomous vehicles, positioning is critical. The Global Positioning System (GPS), providing absolute position information, is a significant component of many autonomous navigation systems. GPS operates via satellite signal reception and is thus susceptible to satellite and signal propagation errors. In urban environments where many UAVs and self-driving cars are operated, GPS signals can be blocked or reflected by buildings. Reflected signals arrive at a GPS receiver with some delay compared to the direct signal. This multipath effect causes incorrect positioning, resulting in potentially catastrophic failures of the autonomous platforms. To ensure safe and reliable positioning of autonomous systems, it is critical to address not only positioning accuracy, but also the confidence in accuracy, defined as integrity. _x000D_
_x000D_
Keywords: UAV, GPS, GNSS, integrity, localization, navigation, sensor fusionThe PI proposes a novel positioning integrity assessment and monitoring solution that is robust in GPS-challenged environments and is suitable for navigation sensor fusion. _x000D_
The PI will 1) derive a new algorithm to directly assess and monitor GPS integrity in urban environments; 2) the PI will design an integrity monitoring framework for GPS sensor fusion using camera vision, Lidar and inertial measurements. The proposed work will accurately assess individual sensors? uncertainty based on the vehicle?s relative position in the surrounding physical world. Furthermore, it will be able to predict the integrity level based on the vehicles trajectory and 3-D maps; 3) the PI will further improve integrity by turning unwanted multipath signals into a useful navigational source based on physical interaction with the environment.The positioning integrity assessment and monitoring solutions proposed have broader impact for public safety and public policy making. The proposed research will broaden the intellectual space of Aerospace Engineering, Electrical Engineering, as well as Computer Engineering.  It will advance the disciplines of computer vision, satellite navigation systems, signal processing, control theory, and statistics theory. _x000D_
_x000D_
The PI will integrate the proposed project into course development and flip teaching labs by implementing a take-home laboratory. The PI will bring industry experts to give guest lectures, provide final project topics, sponsor prizes and offer internship positions, etc._x000D_
_x000D_
The PI will broaden participation of under-represented groups, such as women, through participation in Women in Engineering activities at the University of Illinois. The PI will foster a female researcher community through organizing female social events at technical conferences. The PI will design and lead hands-on activities for various school girl camps. _x000D_
_x000D_
The project will benefit society by educating and informing the the public about the Federal Aviation Administration (FAA) rules and safety issues of flying UAVs. _x000D_
_x000D_
The PI will reach out to K-12 students by demonstrating the results of the proposed research at the Illinois Engineering Open House, by introducing her materials into a K-12 teacher professional development program, and by submitting the materials to a state or national website for teacher resources.</t>
  </si>
  <si>
    <t>1751021</t>
  </si>
  <si>
    <t>Dantu</t>
  </si>
  <si>
    <t xml:space="preserve"> Panel Summary       
 Description of project:_x000D_
The goal in this proposal is to improve sustained flight in quadcopters by rethinking autonomy with energy at the center of the algorithm design. Specifically, the project has the following three main thrusts: (1) the development of an energy model for quadcopter flight, which incorporates an existing kinematic model and the power consumption characteristics of a motor; (2) the development of a metric, called motor efficiency, which characterize the difference between the ideal energy model and the measured quadcopter performance in reality; (3) energy-efficient flight trajectory generation._x000D_
_x000D_
Intellectual Merit:_x000D_
_x000D_
Strengths:_x000D_
+ The PI has identified an important problem._x000D_
+ The PI is well-qualified to carry out the research._x000D_
_x000D_
Weaknesses:_x000D_
- Several critical pieces are missing from the perspective of modeling which are energy centric, namely, aerodynamics, propellers, external disturbances like wind._x000D_
- The PI also proposes a deficient quadrotor dynamics model, and does not acknowledge that the vast majority of energy expenditure is to lift the quadrotor (which can't be improved in trajectory optimization), and that motor power consumption will be trivial by comparison. _x000D_
_x000D_
_x000D_
Broader Impacts:_x000D_
_x000D_
Strengths:_x000D_
+ The proposed energy-centric model, with online estimation, as well as trajectory generation into an open-source flight controller could have a impact on the growing MAV community. _x000D_
_x000D_
Weaknesses:_x000D_
- The education and outreach plan is not innovative._x000D_
- The impact would be broader if the PI didn't just consider the quadrotor since it is the least-efficient of the "obvious" MAV design choices (helicopter, fixed-wing, quadrotor). _x000D_
_x000D_
Constructive suggestions for improvement:_x000D_
- The PI needs to rethink about the appropriateness of quadrotors for an energy centric study._x000D_
- The PI needs to incorporate the important aspects of aerodynamics, propeller theory, wind into the model._x000D_
- The PI needs to integrate research and outreach in a better manner._x000D_
_x000D_
Panel Recommendation:_x000D_
The panel rated this proposal as Not Competitive. The primary reason for this rating were some critical deficiencies in the energy centric model proposed, and the limited ability to reduce quadcopter energy use through trajectory optimization._x000D_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</si>
  <si>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 The PI has correctly identified energy storage as a key limitation for achieving widespread MAV (micro-air vehicle) application._x000D_
+ The PI is well-qualified to perform the energy and motor optimization analysis proposed._x000D_
- The quadcopter will be a less efficient MAV design than either the single-rotor (or co-axial rotor) helicopter or designs with some lifting or flapping surface used to provide lift.  This is not discussed._x000D_
- Careful consideration of Aerospace Engineering principles are essential for success with a project aimed at improving MAV flight efficiency. This proposal doesn't even discuss aerodynamic drag (D) which introduces a clear tradeoff between fast flight (high D, but shorter time to lift the vehicle's weight) vs. slow flight (low D, but longer time required to lift the vehicle). Consideration of well-established Aerospace testing methods (dynamometer, wind tunnel) would also be useful._x000D_
- The primary factor influencing quadcopter power consumption is power used by a quadcopter's motors to lift the vehicle's weight. The secondary factor is propeller efficiency.  Specific operating point of the motor is tertiary.  The proposal needs to address propeller design and testing (and/or numerical modeling) to be compelling with respect to motor power efficiency. _x000D_
- The proposal includes a task on trajectory optimization over energy use. A model of vehicle dynamics, not just kinematics, is essential for success in minimizing energy use over a flight, particularly any flight requiring maneuvers._x000D_
- While the optional goals are interesting, including the consideration of vehicles beyond quadcopters, these goals are not really deliverables and they detract from what is otherwise a quadrotor-specific proposal._x000D_
_x000D_
In the context of the five review elements, please _x000D_
evaluate the strengths and weaknesses of the proposal with respect to broader impacts._x000D_
_x000D_
+ Unmanned aircraft systems (UAS) are rapidly proliferating, and MAVs will be the safest lowest-power option to collect data from the air.  As such, MAV efficiency studies have potential for broad impact._x000D_
+ The PI has an excellent track record of outreach through the ARTY program and through working with undergraduate students in research._x000D_
+ Coursework development is a strength._x000D_
- The specific research deliverables of this proposal, due to the above intellectual merit concerns, are unlikely to have broad impact to the MAV academic or industry community._x000D_
_x000D_
Please evaluate the strengths and _x000D_
weaknesses of the proposal with respect to any additional solicitation-specific review criteria, if _x000D_
applicable_x000D_
_x000D_
+ The proposed study of MAV efficiency is important with both physical and computational aspects._x000D_
- The proposed study offers little insight as to the physical platform forces and moments encountered.  More depth in physical platform performance modeling is essential._x000D_
_x000D_
Summary Statement_x000D_
_x000D_
The PI proposes improving MAV efficiency through a combination of energy modeling, motor efficiency characterization, and energy-minimum trajectory optimization.  Intellectual merit would be improved by consideration of Aerospace modeling and practices to better consider quadrotor dynamics, propeller efficiencies, and careful tests (e.g., dynamometer, wind tunnel) in controlled environments.  Broader impact is strong, particular in outreach._x000D_
_x000D_
</t>
  </si>
  <si>
    <t xml:space="preserve">In the context of the five review elements, please _x000D_
evaluate the strengths and weaknesses of the proposal with respect to intellectual merit._x000D_
_x000D_
The goal in this proposal is to improve sustained flight in quadcopters by rethinking autonomy with energy at the center of the algorithm design. Specifically, the project has the following three main thrusts: (1) the development of an energy model for quadcopter flight, which incorporates an existing kinematic model and the power consumption characteristics of a motor; (2) the development of a metric, called motor efficiency, which characterize the difference between the ideal energy model and the measured quadcopter performance in reality; (3) energy-efficient flight trajectory generation. _x000D_
_x000D_
+ The proposal addresses an important problem in MAV. _x000D_
_x000D_
+ There is a tight connection between theory and experiments._x000D_
_x000D_
+ The proposal is a very good fit for the CPS program._x000D_
_x000D_
- Not clear what the contribution is in Task 1. Equations (1)-(10) are known to describe the quadrotor dynamics. The model in Fig. 8 is a textbook model for a brushless DC motor. It looks like the proposal is to collect all the corresponding equations together in a larger model. It is not clear what the novelty of this approach is. _x000D_
_x000D_
- The use of "learning" in Task 2 is confusing. It should be called estimation. Again, the intellectual merit in this task is not clear. _x000D_
_x000D_
- The energy-efficient trajectory generation in Task III is a straightforward extension of existing trajectory generation algorithms._x000D_
_x000D_
In the context of the five review elements, please _x000D_
evaluate the strengths and weaknesses of the proposal with respect to broader impacts._x000D_
_x000D_
+ The proposed energy-centric model, with online estimation, as well as trajectory generation into an open-source flight controller could have a impact on the growing MAV community. _x000D_
_x000D_
+ The education and outreach plan is appropriate but not exciting._x000D_
_x000D_
Please evaluate the strengths and _x000D_
weaknesses of the proposal with respect to any additional solicitation-specific review criteria, if _x000D_
applicable_x000D_
_x000D_
_x000D_
_x000D_
Summary Statement_x000D_
_x000D_
This proposal was rated Good. The main reason for this rating is that, while the application area is important, the proposed technical approach is not at the level expected in a CAREER program. _x000D_
_x000D_
_x000D_
</t>
  </si>
  <si>
    <t>TMILLAR</t>
  </si>
  <si>
    <t xml:space="preserve">In the context of the five review elements, please _x000D_
evaluate the strengths and weaknesses of the proposal with respect to intellectual merit._x000D_
_x000D_
Energy is a bottleneck in applications involving micro-aerial vehicles, the project proposes to incorporate energy consumption into the autonomous vehicle navigation and planning. Specific goals include:_x000D_
_x000D_
* Develop a model the incorporate both the vehicle dynamics and the power consumption._x000D_
* Model a parameter called the motor efficiency to account for the differences in the motors/environment, and tune this parameter online_x000D_
* Use this model for trajectory generation_x000D_
_x000D_
+ The proposal is well-written and the tasks are motivated_x000D_
+ The problem is important given the short flying time of MAVs_x000D_
- The proposed research appears to be limited from the point of view of the timeline for the project._x000D_
_x000D_
In the context of the five review elements, please _x000D_
evaluate the strengths and weaknesses of the proposal with respect to broader impacts._x000D_
_x000D_
The proposed research can have broader impact in being able to fly MAVs for longer time, which is essential in missions such as search and rescue. The PI will engage in workshops for middle school students, involve undergraduates in research, and create new graduate courses._x000D_
_x000D_
Please evaluate the strengths and _x000D_
weaknesses of the proposal with respect to any additional solicitation-specific review criteria, if _x000D_
applicable_x000D_
_x000D_
_x000D_
_x000D_
Summary Statement_x000D_
_x000D_
The proposal addresses an important problem, and provides a feasible approach. The proposed work seems limited with respect to the timeline of the project._x000D_
_x000D_
_x000D_
</t>
  </si>
  <si>
    <t xml:space="preserve">In the context of the five review elements, please _x000D_
evaluate the strengths and weaknesses of the proposal with respect to intellectual merit._x000D_
_x000D_
The objective of this proposal is to provide an energy-centric framework for UAV control that integrates three components, energy model, motor efficiency model, and energy-efficient path planning. The energy model considers 6DOF vehicle dynamics. The motor power model utilizes motor effiency parameters which are calibrated through inverse kinematics.   Finally, the path planning algorithms will integrate motor efficiency and safe zone. _x000D_
_x000D_
Strengths:_x000D_
_x000D_
+ Power of UAVs is one critical issue that limits UAV performance, and hence the topic of this proposal can make big impact.   _x000D_
_x000D_
+ The PI has experience on developing an open-source simulator for UAV swarms. _x000D_
_x000D_
Weakness: _x000D_
_x000D_
- The fundamental research contribution is limited in its scope. For instance, increasing motor efficiency and UAV design that maximizes flight duration with energy constraints, are critical problems to study along the direction of this proposal, but are neglected in this proposal.  _x000D_
_x000D_
- The research tasks need more details to justify the feasibility. Does the efficiency parameter estimation requires wind estimation? What are the measurements for the reverse engineering?  _x000D_
_x000D_
_x000D_
In the context of the five review elements, please _x000D_
evaluate the strengths and weaknesses of the proposal with respect to broader impacts._x000D_
_x000D_
Strengths_x000D_
_x000D_
+ The PI has a solid track of record in outreach and undergraduate student advising activities. The PI plans to continue the momentum in conducting workshop to middle school students, and involving undergraduate and minority students into research.   _x000D_
_x000D_
Weakness_x000D_
_x000D_
- It is not described in enough details the new innovative education and outreach activity if any beyond what the PI has been doing.   _x000D_
_x000D_
_x000D_
Please evaluate the strengths and _x000D_
weaknesses of the proposal with respect to any additional solicitation-specific review criteria, if _x000D_
applicable_x000D_
_x000D_
- It is not clear how energy, the focus of the research is integrated to the education components. The education activities mostly consider robotics, sensing, and control.  The research and education can be better integrated._x000D_
_x000D_
Summary Statement_x000D_
_x000D_
The principal reason for my rating of fair is the limited scope of this project. A more comprehensive study of UAV energy can make a big impact. Education and research activities can be better integrated._x000D_
_x000D_
</t>
  </si>
  <si>
    <t>Recent developments in airframe construction, flight dynamics and control, manufacturing, sources have enabled construction of micro-aerial vehicles (MAV) including small quadcopters, small fixed-wing aircrafts and more exotic aerial vehicles such as flapping-wing MAVs. This class of vehicles could revolutionize many fields such as disaster search, crop pollination, package delivery, surveillance, and monitoring spread of hazardous gases among others. However, battery technology has not progressed at the same rate. The rate of increase in energy density of battery technology has been modest at best over the last couple of decades. This implies that to enable long lasting applications, MAVs need to carry heavier batteries to sustain themselves. Therefore, any improvement that can be obtained in flight improves the feasibility of such applications. This proposal argues that energy (and energy density) is a fundamental roadblock in designing applications involving autonomous MAVs, and proposes to re-think MAV autonomy with an energy-centric view.The proposal makes three novel contributions. First, we propose the development of an {\em energy model} for quadcopter flight. Such a model takes an existing kinematic model and integrates the power consumption characteristics of a motor to develop an energy model. In parallel, we propose the instrumentation of the quadcopter with an online energy measurement circuitry that can constantly monitor the instantaneous power draw by the MAV at any given time. We note that deviations from the ideal model could be because of several reasons including motor inefficiency, propellers being chipped, the center of mass of the quadrotor not perfectly balanced and others. _x000D_
Our second contribution is the development of a metric we term {\em motor efficiency} (one for each motor). This is a single parameter that encapsulates all potential causes for individual motors in a quadcopter to perform differently in comparison to the others. This will characterize the difference between the ideal energy model and the measured quadcopter performance in reality. We will also develop techniques to estimate this efficiency online using onboard accelerometers. A second mechanism to calibrate the motor efficiency more accurately will also be designed. _x000D_
Third, we will use the motor efficiency developed previously to propose {\em energy-efficient flight trajectory generation}. We will demonstrate both the online estimation of the motor efficiency as well as the energy efficient trajectory design on quadcopters of three different scales - bitcraze crazyflies, pi-zero drones and the larger custom quadcopters. Finally, we propose to integrate our motor efficiency estimation as well as energy-efficient trajectory design into one popular open-source flight controller such as PixHawk.Research: Incorporating our online estimation, as well as trajectory generation into a popular open-source flight controller, will allow for wide spread adoption of this methodology. The energy measurement system will be open source and can be used by other groups to perform similar studies._x000D_
Student Impact: The PI has an extensive record of training undergraduates in research. He has advised over forty undergraduates students in research. He received a distinguished mentor award in 2016 for mentoring a minority student via C-STEP program. Several of his previous advisees have successfully gone on to graduate research as well as academic careers including two in 2016 (Oregon State, Brown) and two in 2017 (USC, UB). _x000D_
K-12: PI runs an annual middle school workshop for inner city students in Buffalo. He will continue this and utilize results/demonstrations from this proposal.</t>
  </si>
  <si>
    <t>1751068</t>
  </si>
  <si>
    <t>Lauf</t>
  </si>
  <si>
    <t xml:space="preserve"> Panel Summary       
  Description of project:_x000D_
_x000D_
The PI proposes research to autonomously coordinate hundreds or thousands of fixed-wing unmanned aircraft systems (UAS) with application to post-disaster search and rescue.  The resulting CyclONE (Overhead Network-based Evaluation) system will utilize consensus with ad hoc networking to support decentralized control. Simulation and flight testing with two to twenty UAS will be used to validate CyclONE algorithms as well as supporting a suite of outreach and education activities. Outreach programs include a three-week summer camp for at-risk kids and a semester-long course for female students with STEM interest._x000D_
_x000D_
_x000D_
Intellectual Merit:_x000D_
_x000D_
Strengths:_x000D_
+ The application of ad hoc networking to large-scale UAS deployments is clearly described along with evaluation metrics.  _x000D_
+ The PI is well-qualified to pursue the proposed research, including line-of-sight flight testing of small fixed-wing UAS._x000D_
_x000D_
Weaknesses:_x000D_
- The PI's work assumes the proposed large-scale UAS team is the only aircraft in the (low-altitude) skies.  _x000D_
This is not realistic and raises many questions related to coordination through air traffic management._x000D_
- Scalability to 1000+ vehicles is questionable.  Consensus may not converge in real-time, collision avoidance will not be guaranteed, and ad hoc networking may not be sufficiently reliable and robust._x000D_
- Fundamental research contributions are limited.  No specific advances in ad hoc networking or consensus are proposed. _x000D_
- Atmospheric disturbances are not considered but would be important to model in cases where the UAS team is immediately deployed, potentially before the atmosphere fully settles._x000D_
_x000D_
Broader Impacts:_x000D_
_x000D_
Strengths:_x000D_
+ The summer camp for at-risk kids is innovative and promising._x000D_
+ The semester-long course for female students with STEM interest is a great outreach contribution to the community. _x000D_
+ The proposed flight test series will offer substantial real-world hands-on platform for university students and outreach programs._x000D_
_x000D_
Weaknesses:_x000D_
- The PI needs to ensure all flight operations are consistent with FAA policies.  Research-supported flights require Part 107 or a CoA. Currently the FAA requires a dedicated PIC (pilot in command) per vehicle, limiting scalability to large team sizes._x000D_
- This project requires clear connection to air traffic management technology, policy, and practice.  Transition from theory to the search and rescue application will only be possible with careful consideration of policy.  The proposed operation requires the ability to safely conduct beyond line of sight (BLOS) UAS flights over populated areas. Deployment of large teams will require a single operator to supervise many vehicles. Although we expect continued evolution of policy over time, none of _x000D_
these operational challenges are supported by current FAA UAS policy. Privacy and respect for local ordinances are also important to consider._x000D_
_x000D_
_x000D_
Constructive suggestions for improvement:_x000D_
The panel recommends rethinking team size, extending the literature review of related UAS work, and improving fundamental research novelty and applicability. The PI must investigate policy and safety of flight to ensure tests and ultimately deployments are feasible _x000D_
with respect to interactions with air traffic control and other aircraft, management of risk to other aircraft and overflown communities, and legality.  _x000D_
_x000D_
Panel Recommendation:_x000D_
 _x000D_
The panel rated this proposal as Low Competitive. The primary reasons for this rating are concerns regarding team scalability, airspace integration, and limited innovation in fundamental research._x000D_
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</si>
  <si>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project aims to use and extend a suite of algorithms to enable decentralized control of a group of networked and autonomous aircraft at synoptic scale. The central idea is to combine advances in cooperative control and ad-hoc networking. _x000D_
_x000D_
(+) The intellectual merit of this proposal lies in use of mobile adhoc network deployments on aerial robotic platforms. The preliminary work is well documented with strength in networking part. _x000D_
_x000D_
(+) The PI identifies suitable performance metrics and presents his research objectives by integrations with simulations and real-world testing. Again, networking (both testing and implementation) is the strong point of the proposal. _x000D_
_x000D_
(+) Validation plan is extensive. _x000D_
_x000D_
(-) The PI makes claims about contributions to decentralized distributed decision-making algorithms, without providing adequate justifications. The back-of-the-envelop calculations provide rough guidelines but fall short of providing guaranteed performance. _x000D_
_x000D_
(-) Although the agenda is to achieve synoptic scale deployments practical questions such as operating beyond line of sight, limited GPS connectivity (especially after a big earthquake/storm event), uncertainty in performance of UAS platforms, allocation and positioning of ground-based operators, etc. are largely overlooked. _x000D_
_x000D_
_x000D_
In the context of the five review elements, please _x000D_
evaluate the strengths and weaknesses of the proposal with respect to broader impacts._x000D_
_x000D_
(+) Research and education activities are well-integrated throughout the proposal. _x000D_
_x000D_
(+) The PI has experience in mentoring and teaching adolescent and highschool students. Current outreach activities also include design of teaching sessions with all women high school.   _x000D_
_x000D_
(-) The broader impact on humanitarian assistance and disaster response need more justification, especially how the proposed innovation in (use of) ad hoc networking and decentralized coordination can help in practical settings. Impact on environmental data collection process could be better articulated. _x000D_
_x000D_
_x000D_
Please evaluate the strengths and _x000D_
weaknesses of the proposal with respect to any additional solicitation-specific review criteria, if _x000D_
applicable_x000D_
_x000D_
_x000D_
_x000D_
Summary Statement_x000D_
_x000D_
The proposal has some interesting ideas on use of novel adhoc networking technologies and also has a strong broader impact component. However, the ideas on decentralized cooperative control are not well justified. The reviewer rates this proposal as VERY GOOD._x000D_
_x000D_
</t>
  </si>
  <si>
    <t xml:space="preserve">In the context of the five review elements, please _x000D_
evaluate the strengths and weaknesses of the proposal with respect to intellectual merit._x000D_
_x000D_
+ The proposed project is synergistic in research and education. Reliable data collection from a storm is useful. _x000D_
+ The PI proposes a realistic series of experiments to build from two platforms to multiple platforms._x000D_
+ The PI is qualified to perform the proposed research, including prior experience with real small UAS flight systems._x000D_
+ Careful tradeoff of vehicle networking options will be of value to the community, particularly if realistic networking conditions (including dropouts and delays) are evaluated in flight tests._x000D_
- The literature review is missing key related work.  Researchers from Colorado have flown small UAS into storms long-term, for example.  A large body of theoretical work has been published for cooperative control.  It is unclear from the proposal which specific strategy will be adopted/extended, and how the UAS team can be (mathematically) assured of collision avoidance._x000D_
- The proposed strategy assumes the PIs network will be the "only vehicles in the sky".  This is not a realistic assumption.  For example, life flights may need to perform medical evacuations.  Search and rescue vehicles from multiple agencies may be needed.  Coordination is needed for all.  The PI should investigate air traffic management effort such as NASA's UAS traffic management (UTM) program in which datalink is used to coordinate traffic as a supplement to voice-based air traffic control.  _x000D_
- Atmospheric disturbances may be significant in a cyclone / hurricane region.  Simulation models and validation tests need to account for turbulence impacts on both individual and multi-vehicle deviations from planned flight trajectories.  How will atmospheric disturbances impact (if at all) guarantees of collision avoidance? _x000D_
_x000D_
_x000D_
_x000D_
In the context of the five review elements, please _x000D_
evaluate the strengths and weaknesses of the proposal with respect to broader impacts._x000D_
_x000D_
+ The proposal is very strong in its outreach program and involvement of under-represented groups.  The PI has a strong track record and is at a university with strong potential to improve access to CPS and robotics education through outreach programs._x000D_
+ It is clear the PI will involve undergraduates and potentially K-12 students in the proposed research, not just in special separate activities.  This is a strong positive for broader impact._x000D_
+ The proposed flight test series can provide data for the community regarding fixed-wing coordination with large team sizes.  Currently most data is for multicopter systems, and most of this data is in motion capture rooms (as the PI points out)._x000D_
- The research itself needs to more comprehensively consider related work and fundamental methods of physical flight trajectory optimization to offer significant broader impact to the swarm UAS community._x000D_
_x000D_
Please evaluate the strengths and _x000D_
weaknesses of the proposal with respect to any additional solicitation-specific review criteria, if _x000D_
applicable_x000D_
_x000D_
+ The proposal integrates research in networked multi-agent systems with physical UAV team flight through a potentially turbulent atmosphere.  The proposal discusses cyber and physical research challenges._x000D_
+ The PI will expose K-12 students to both real-world CPS challenges via motivational robotic flight experiments._x000D_
_x000D_
_x000D_
Summary Statement_x000D_
_x000D_
The PI proposes a program of research, education, and outreach involving cooperative small UAS (unmanned aircraft systems).  The proposal has potential for broad impact in its outreach to  economically-disadvantaged students, and the realistic proposed flight experiments will be both motivational and eduational for participating students. Intellectual merit would be stronger if the PI more carefully considered literature for flight in strong atmospheric disturbances (turbulence), considered other flight traffic and the need for communication with this other traffic, and provided more detail on the specific cooperative control strategies to be employed along with their capabilities and limitations._x000D_
_x000D_
</t>
  </si>
  <si>
    <t xml:space="preserve">In the context of the five review elements, please _x000D_
evaluate the strengths and weaknesses of the proposal with respect to intellectual merit._x000D_
_x000D_
The idea of ad hoc decentralized control for a swarm of aircraft, based on cooperative strategies is ambitious and somewhat risky. There has been a lot of previous work in this area, which makes it a great challenge to invent something new, and the proposal acknowledges this appropriately. There are many challenges that the proposal directly addresses, like overhead and network latency, that could take down such a decentralized approach. However, there are some challenges that were not thoroughly considered in the text, such as the computational complexity of this task, and the ability to reason in the presence of all of the types of faults that can occur. For example, are we always to assume that all of the UAS in the swarm are owned by the same entity and outfitted uniformly? This assumption helps scope the problem to a more achievable size but also may not be realistic, given projections of the number of UAS expected in the airspace in coming years. Then what happens when there are faults, such as hardware or software failures, security breaches, or even malicious faults such as another aircraft running into the swarm? Certainly one can ask this question about any number of research topics, but in this case it is an especially critical consideration because we are considering the case of dynamic control of aircraft that have to meet safety standards for flight certification before they can implement the (very cool) sensing and dynamic control strategies detailed in this proposal. _x000D_
_x000D_
_x000D_
In the context of the five review elements, please _x000D_
evaluate the strengths and weaknesses of the proposal with respect to broader impacts._x000D_
_x000D_
The focus on outreach to at-risk children sets this proposal apart. The application area of dynamic organization of aid-vehicles to help out search-and-rescue teams is cool._x000D_
_x000D_
Please evaluate the strengths and _x000D_
weaknesses of the proposal with respect to any additional solicitation-specific review criteria, if _x000D_
applicable_x000D_
_x000D_
_x000D_
_x000D_
Summary Statement_x000D_
_x000D_
This project creates the CyclOne tool, which runs on-board UAS to do synoptic-scale real-time sensing, and uses voting and consensus building to form a framework for decentralized control._x000D_
_x000D_
</t>
  </si>
  <si>
    <t xml:space="preserve">In the context of the five review elements, please _x000D_
evaluate the strengths and weaknesses of the proposal with respect to intellectual merit._x000D_
_x000D_
The objective of this proposal is to realize autonomous UAS networks of more than 1000 nodes. Specific research include 1) Find networking solutions at the synoptic scale, 2) develop decentralized control schemes, 3) develop flight formulation solutions, and 4) validation. _x000D_
Strengths:_x000D_
_x000D_
+ Realizing a UAV network of more than 1000 UAVs is an interesting and ambitious research project. The research, if successful, can benefit immerging directions such as fluid robotic coordination. _x000D_
_x000D_
+ The PI received commitment from Intelligent Social Media in collaborating and fulfill some of the testing tasks. _x000D_
_x000D_
Weakness: _x000D_
_x000D_
- It is not clear why more than 1000 autonomous UAVs are needed simultaneously for emergency response and hurricane scenarios. The calculation that leads to 1500 aircraft is based on the assumption each of the 1500 UAVs takes a static picture at a particular location. UAV mobility, if considered, can significantly reduce the number of UAVs needed, through traveling and sampling at different locations. _x000D_
_x000D_
- There have been recent achievements on UAV networking that involves 5-20 UAVs which are not discussed in this proposal. There have also been studies on implementing large-scale sensor networks, which are also not reviewed.  The PI is suggested to build on these recent advances. The PI are suggested to use the space that discusses centralized control and a single UAV to these more relevant studies. _x000D_
_x000D_
- For the research object 1 on networking, it seems that only testing of existing networking solutions will be conducted. Does the PI plan to modify existing networking protocols? In addition, the testing is limited to 20 nodes. Testing at a synoptic scale can be an intriguing research problem. _x000D_
_x000D_
-Standard voting or consensus building can be slow for a large-scale network of more than 1000 nodes. How does the computational load scale up from 5 nodes to the synoptic scale? What are the suggestions of organization of the swarm from each UAVs? How does that lead to optimal organization through voting? The objectives of decentralized control need to be formulated and fundamental problems need to be studied. _x000D_
_x000D_
_x000D_
In the context of the five review elements, please _x000D_
evaluate the strengths and weaknesses of the proposal with respect to broader impacts._x000D_
_x000D_
Strengths_x000D_
_x000D_
+ The PI plans to work with UpstartU program and bring aerial robotics to children in need. The PI also plans teaching modules for local high schools. The PI also plans to reach out to local flight fields.  _x000D_
_x000D_
_x000D_
_x000D_
_x000D_
Please evaluate the strengths and _x000D_
weaknesses of the proposal with respect to any additional solicitation-specific review criteria, if _x000D_
applicable_x000D_
_x000D_
Data management plan is adequate._x000D_
_x000D_
Summary Statement_x000D_
_x000D_
The PI studies an ambitious and interesting problem on synoptic UAV networking that can have impact to e.g., fluid robotic coordination.  The principal reasons for my rating of good/fair is the lack of in-depth fundamental research task development that addresses the challenges of UAV networking at the synoptic scale. The PI is suggested to build on recent advances of UAV networking and study how the scaling up to more than 1000 nodes can be done._x000D_
_x000D_
</t>
  </si>
  <si>
    <t>As the capabilities of unmanned aerial systems (UAS) evolve, so do their ability to quickly launch and relay beneficial information can save lives and property. We consider their application as search-and-rescue imagery providers following the direct hit by a large-scale natural disaster such as a hurricane, which is considered a synoptic-scale (greater than 1000 km in width) tropical cyclone. We propose a project in which we can leverage a suite of algorithms to facilitate the autonomous coordination of hundreds if not thousands of aircraft nodes required to provide sensing for such an event. Furthermore, we propose an ambitious education program that seeks to elevate STEM learning in aerospace engineering subject areas for at-risk adolescents and women._x000D_
Objective: The goal of CyclONE (Overhead Network-based Evaluation) is to identify and evolve a suite of algorithms that permits decentralized control for a group of networked, autonomous aircraft that operate at the synoptic scale. By removing the need for a centralized control algorithm, aircraft nodes can find optimal solutions toward a more efficient organizational hierarchy and spatial configuration. This is accomplished by means of voting and consensus building. Such capabilities are important when considering the sensing challenges posed by a hurricane's relatively large path of destruction. To successfully image such paths in an efficient and timely manner, we will leverage our preliminary work to evaluate how to create a set of algorithm suites for both networking and coordinated flight. _x000D_
Our proposed research seeks to integrate decentralized, cooperative control with advancements in ad-hoc networking technology. This can permit the networked nodes to connect with as many nodes as would be required to carry out the task. Key to this is reducing network overhead, which we seek to test in order to find a flexible yet robust ad hoc network suite. Finally, by integrating with efficient spatial organization strategies, we believe that we can lay the framework and foundations for synoptic-scale distributed flight. The CyclONE algorithm suite will be evaluated by a meticulous validation strategy that builds a physically-informed simulation environment. _x000D_
Proposed in the education and outreach section is a set of comprehensive programs designed to teach aerospace engineering basics to at-risk kids with a three-week summer camp program. In addition, we propose a semester-long aerospace design program at an all-women STEM-based school.Our research work has the potential to revolutionize large-scale mobile ad-hoc network deployments. By identifying solution suites related to large-scale consensus building, our proposed research has far-reaching implications toward the development of distributed tasks - beyond the case of networked aircraft. We will offer the scientific community new ways to quantify network operational overhead for large distributed deployments. Furthermore, we are providing a nucleation point for a new frontier of fluid, dynamic, distributed network systems, in which networked nodes can join and leave while the overall goal of the network as a whole is maintained.The ability to assist first-responders as they seek to serve those most affected by natural and manmade disasters is one key aspect which we target with our proposed work. This work is also applicable to industry partners, such as those seeking to provide first-responder situational awareness platforms. Due to the large scale of work we are proposing, other potential areas of impact include advancements into vehicle-to-vehicle communications, which are still in early stages of development and optimization._x000D_
A further component to our project is a strong educational project that seeks to teach adolescent and high-school students the basics of unmanned flight, rudimentary aircraft autonomy, and atmospheric principles in a as a series of bi-weekly interactive sessions in partnership with an all-women's high school in the Louisville area. A separate program is intended to serve at-risk adolescents in a three-week summer program, called UpstartU, to be held every summer. We also seek to introduce a set of basic flight instruction at a local Louisville flight field, designed to lower the barrier of entry into remote controlled flight for students that may be underrepresented in society. This outreach seeks to inspire and teach the next generation of students that may be considering a field in a STEM or a related field.</t>
  </si>
  <si>
    <t>1751205</t>
  </si>
  <si>
    <t>Kassas</t>
  </si>
  <si>
    <t xml:space="preserve"> Panel Summary       
 Description of project:_x000D_
_x000D_
This CAREER project focuses on two research thrusts in improving the situational awareness for autonomous systems under dynamic and uncertain environments: 1) uncertainty analysis and adaptation; 2) information fusion and gathering strategies. The research builds on a broad range of formulations (stochastic observability, IMM, Kalman filters, information fusion) and extends the results of the research to concrete education and outreach activities. _x000D_
_x000D_
Intellectual Merit:_x000D_
_x000D_
Strengths:_x000D_
_x000D_
(+) The PI presents a good motivation on how the proposed research, if successful, can contribute to autonomous systems research in stochastic environments. _x000D_
_x000D_
(+) The example of GPS denied environments (including jamming and spoofing incidents) motivates the stochastic un-observability quite well. The idea of radio SLAM resulting from this example is interesting. _x000D_
_x000D_
(+) Panel members liked the focus on coupling between information gathering and mission statement objectives. The ideas on stochastic observability and control for information gathering are interesting. _x000D_
_x000D_
_x000D_
_x000D_
Weaknesses:_x000D_
_x000D_
(-) Overall, while the challenges and problem space is interesting, the proposal needs improvement in terms of highlighting the intellectual novelty and providing details of the proposed solution approaches. _x000D_
_x000D_
(-) The proposal will benefit from clear articulation on if/how the state-of-the-art in SLAM, IMM/Kalman Filters, optimal strategies for innovation maximization will be advanced by the proposed research. Are there any specific improvements? If so, what are the evaluation criteria? Is the main contribution on the integration of these tools? If so, what is the novelty? _x000D_
_x000D_
(-) Similarly, it is not clear if the concepts related to stochastic observability will be used as-is or will be advanced through this research. The discussion on quantifying minimum a priori knowledge is lacking specificity. _x000D_
_x000D_
(-) Another area in which the proposal lacks specifics is the part on information gathering under ''conflicting objectives''. This part is not substantiated in the proposal. In addition, the proposal should justify the novelty of optimization based approach. _x000D_
_x000D_
(-) The security issues are mentioned as a motivation, but are not followed through in sufficient depth. _x000D_
_x000D_
Broader Impacts:_x000D_
_x000D_
Strengths:_x000D_
_x000D_
(+) The panel liked the education and outreach activities that are being carried out by the PI. Especially, the plan to further develop Game of Drones is interesting. _x000D_
_x000D_
(+) The PI has a vertically integrated education plan spanning K-12, UG, and PG students. The project also involves training of K-12 teachers.  _x000D_
_x000D_
_x000D_
_x000D_
_x000D_
Constructive suggestions for improvement: _x000D_
_x000D_
The intellectual merit should be strengthened by clear articulation about the conceptual novelty of proposed methods, algorithms, and techniques. The proposal will benefit by ensuring that the two thrusts are better integrated. _x000D_
_x000D_
The anticipated contributions should be  benchmarked with respect to the current state-of-the-art. The robotics and UAV literature has captured recent work the PI is considering; for example, the use of cellular tower triangulation for improved navigation with and without GPS. The proposed SDR strategy will not necessarily improve GPS-denied navigation capabilities relative to (low-cost) sensor fusion strategies already proposed, thoroughly analyzed, and in some cases deployed. The proposal will benefit by including more substantive discussion on these issues. _x000D_
_x000D_
The Broader impact -- specifically the education and outreach activities -- are strong; however, they can be further improved by highlighting how the research will contribute to and/or enhance the curriculum and intellectual content of these activities. _x000D_
_x000D_
_x000D_
Panel Recommendation:_x000D_
 _x000D_
The panel rated this proposal as Low Competitive. The primary reasons for this rating were: a) insufficient justification about the novelty of proposed methods; and b) need for better integration across the two thrusts and also with the curriculum development activities.  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</si>
  <si>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proposal is concerned with improving situational awareness of autonomous CPS in the presence of dynamic and stochastic uncertainties. The key thrusts are on stochastic observability, information fusion, and design of adaptation and information gathering strategies. _x000D_
_x000D_
_x000D_
(+) The motivating factors behind this project are reasonable/convincing. The interplay of problems related to unreliable communication and unknown environment is well thought of._x000D_
_x000D_
(+) The PI makes an effort to integrate two class of problems: SLAM for localization and mapping and trajectory optimization for mobile target tracking._x000D_
_x000D_
(+/-) The proposal is structured around posing research question, presenting a modeling/algorithmic idea, and then introducing a validation plan. Out of the three validation plan appear to be the strongest. However, the proposal lacks convincing justification of proposed formulations/methods. _x000D_
_x000D_
(-) A large variety of methods (SLAM/ radio SLAM, Kalman Filters, IMM filters, optimal information gathering) have been proposed. Although these are grounded in navigation/tracking/estimation theory, the intellectual novelty is not clear. Is the main contribution toward a new application or rigorous analysis or system integration? _x000D_
_x000D_
(-) Contributions toward stochastic observability and decision making toward potentially conflicting objectives need more technical clarify. What kind of adaptive strategies are anticipated? _x000D_
_x000D_
(-) The main themes and research proposed therein need better integration. _x000D_
_x000D_
_x000D_
_x000D_
In the context of the five review elements, please _x000D_
evaluate the strengths and weaknesses of the proposal with respect to broader impacts._x000D_
_x000D_
(+) The proposed research contributes to the agenda of autonomous CPS under uncertain and dynamic environment _x000D_
_x000D_
(+) The education and outreach plan is rich and extensive. The PI has experience in successfully mentoring and promoting underrepresented minority students. He plans to use his testbed/laboratory to introduce them to autonomous systems technology. _x000D_
_x000D_
(+) The PI has made new contributions toward K-12 student engagement by creating the Game of Drones. This has been a success. The PI has concrete plans to continue this activity and also engage local programs. _x000D_
_x000D_
_x000D_
Please evaluate the strengths and _x000D_
weaknesses of the proposal with respect to any additional solicitation-specific review criteria, if _x000D_
applicable_x000D_
_x000D_
_x000D_
_x000D_
Summary Statement_x000D_
_x000D_
The proposed research focuses on interesting themes for situational awareness in dynamic and uncertain environments. While the broader impact of this project are strong, the intellectual merit needs improvement on two fronts: 1) potential of innovation besides straightforward application/extension of known methods; 2) integration of themes. Based on this assessment, the reviewer rates the proposal as GOOD. _x000D_
_x000D_
_x000D_
</t>
  </si>
  <si>
    <t xml:space="preserve">In the context of the five review elements, please _x000D_
evaluate the strengths and weaknesses of the proposal with respect to intellectual merit._x000D_
_x000D_
Strengths:_x000D_
The proposal has very strong motivations and very strong preliminary evidence. The approach is well-thought and well explained._x000D_
The paradigm where control actions can help sensors is very interesting and worth being investigated_x000D_
_x000D_
Weaknesses:_x000D_
The idea of balancing situational awareness with mission objectives is very appealing, but it is just modeled with a very general (and uninformative) optimization problem._x000D_
_x000D_
In the context of the five review elements, please _x000D_
evaluate the strengths and weaknesses of the proposal with respect to broader impacts._x000D_
_x000D_
Strengths:_x000D_
The main topic of research has potential impact in the definition of good standards for the safety of autonomous vehicles._x000D_
The "game of drones" contest is definitely a strength of the proposal._x000D_
_x000D_
Weaknesses:_x000D_
If I need to find a weakness, I would say that, apart from "game of drones", the education and outreach plans are quite standard._x000D_
_x000D_
Please evaluate the strengths and _x000D_
weaknesses of the proposal with respect to any additional solicitation-specific review criteria, if _x000D_
applicable_x000D_
_x000D_
The education plan is developed in a reasonable way, but not too much into details. On his side, the PI has good education records and results._x000D_
_x000D_
Summary Statement_x000D_
_x000D_
A very well written proposal with very interesting research ideas._x000D_
_x000D_
</t>
  </si>
  <si>
    <t xml:space="preserve">In the context of the five review elements, please _x000D_
evaluate the strengths and weaknesses of the proposal with respect to intellectual merit._x000D_
_x000D_
The broad goal of the proposal is to use/develop situational awareness to aid mission planning. In this regard, the following will be investigated:_x000D_
_x000D_
* Minimal a priori knowledge about the environment required for stochastic observability of the environment will be explored. How agents move in the environment can effect stochastic observability. In addition the rate of uncertainty increase for stochastically unobservable states will be investigated._x000D_
* Given the lack of high-fidelity models, adaptation strategies to deal with statistical mismatch in the observation noise distribution will be explored by extending the interacting multiple model approach._x000D_
* Propose to use Bayesian filters to fuse data from the agent's onboard sensors and information communicated by other agents._x000D_
* Strategies to balance low level information gathering and high-level mission planning will be explored._x000D_
_x000D_
+ The broad idea of using situation awareness to aid mission planning is interesting._x000D_
+ Questions relevant to this broad goal have been identified._x000D_
+ Specific techniques that will be used for the different subtasks have been highlighted._x000D_
- The proposal can be improved by highlighting the novelties of the proposed techniques._x000D_
- The writing can be improved and motivation for the different tasks can be elaborated._x000D_
_x000D_
_x000D_
In the context of the five review elements, please _x000D_
evaluate the strengths and weaknesses of the proposal with respect to broader impacts._x000D_
_x000D_
The PI will teaching autonomous vehicle functioning to pre-service K-12 teachers, will create a 'Game of Drones' to engage K-12 students, and create new graduate courses._x000D_
_x000D_
_x000D_
Please evaluate the strengths and _x000D_
weaknesses of the proposal with respect to any additional solicitation-specific review criteria, if _x000D_
applicable_x000D_
_x000D_
_x000D_
_x000D_
Summary Statement_x000D_
_x000D_
The overall objective of using situational awareness for mission planning is interesting, and the PI provides some specific techniques for certain subgoal. The proposal can be made more coherent._x000D_
_x000D_
</t>
  </si>
  <si>
    <t xml:space="preserve">In the context of the five review elements, please _x000D_
evaluate the strengths and weaknesses of the proposal with respect to intellectual merit._x000D_
_x000D_
+ The proposal investigates an exciting problem in autonomous vehicle domain. The PI is planning to establish an analytical framework to enable situational awareness for autonomous CPS deployed in GPS-denied stochastic environments. _x000D_
_x000D_
- Overall, the proposal defines the problems well and points out the shortcoming of the current approaches (e.g., assumed Gaussian noise, linear models); however, it does not provide a concrete solutions to those challenging problems. Those assumptions by the past work exist because otherwise the problems become hard to come up with a closed form solution. The Proposal is planning to address them all in one project which sounds a bit too ambitious. My doubt doubles when I read through the proposal and it is lacking in-depth concrete solutions to those challenging problems. _x000D_
_x000D_
- The proposal mentions situational awareness but does not defined the term precisely. The term in different fields has different meanings and need to be clarified and defined, if feasible, mathematically. That way, it would be easier to validate the proposed solutions in terms of whether they provide a decent level of situational awareness as planned by the proposal._x000D_
_x000D_
- The proposal gives the example of hospitals where the map of the building is not know. In practice, however, the floorplan of the hospitals is usually known that can be used for the localization purposes._x000D_
_x000D_
- The PI motivates the proposed work by mentioning the spoofing incidents against GPS attacks. The proposal does not discuss the recently developed defense solutions against such adversaries. This brings up another point: is the security within the scope of this proposal? In other words, does the proposed solution intend to also protect against adversarial failures? If so, the proposal needs a clearly defined threat model about the assumptions about the attacker's capabilities. _x000D_
_x000D_
- The proposal sometimes describes scenarios about distributed agents and their limited capabilities without giving concrete examples and application domains. This makes reading and following the text and the assessment of the following proposed solution hard for the reviewer. _x000D_
_x000D_
+ The PI has a patent on a related topic. This would be very useful in later tech-transfer phases of the project. _x000D_
_x000D_
- The proposal mentions 'by actively controlling how the agents move in the environment, certain unobservable states become observable, reducing the a priori information needed about the environment for complete observability'. This is a fairly obvious statement; however, the proposal is lacking more technical/mathematical details about the proposed solutions and how novel they are over the rich past work on the observability analysis and improvement from a theoretical viewpoint. _x000D_
_x000D_
- The proposal mentions 'avoid stochastic unobservability'. What does it mean? It is not defined precisely/mathematically in the proposal, but used often throughout. _x000D_
_x000D_
- One of the major research objectives of the proposal is to determine the minimum a priori information. That information may change over time with the changing environment configuration. How can the proposed solution handle such realistic situations?_x000D_
_x000D_
- Question 2 on page 7 of the proposal is discussed at a very high level and more technical details are needed for the proposed solution. _x000D_
_x000D_
- Later sections of the proposal read less relevant to the CPS's core problems. _x000D_
_x000D_
- on page 8, why is the algorithm's runtime O(2^n)? _x000D_
_x000D_
- On research thrust 2, the PI's preliminary result on optimal nonlinear Bayesian filter reduced the computation by more than 10 folds with negligible performance degradation. What is the worst case performance degradation? For safety-critical applications, the worst-case should be determined and marked as tolerable by the platform. _x000D_
_x000D_
- On page 9, the proposed research section is mainly problem definition and list of objectives. However, the proposal does not provide details about 'how' those objectives will be achieved. _x000D_
_x000D_
- Presentation: There are several points in the proposal that include redundant text; the same message is mentioned over and over. This makes the proposal sound a bit wordy and waste space of the proposal that can instead be used to provide details about its core technical contributions. Additionally, the color references should be remove considering B&amp;W printouts. Figure 7 is not needed û the story is too simplistic and the problem is known to the audience in the CPS program. _x000D_
_x000D_
- It is unclear how the the PI's other project (prior support) is related to this proposal._x000D_
_x000D_
_x000D_
In the context of the five review elements, please _x000D_
evaluate the strengths and weaknesses of the proposal with respect to broader impacts._x000D_
_x000D_
+ The PI has solid plans for educational module development such as course development, and attracting K-12 students along with the undergraduate and graduate students at the University to the proposed research topics. _x000D_
_x000D_
+ The PI will integrate the test-bed developed for the research outcome validations into the proposed educational activities and develop a game of drones that is an innovative idea._x000D_
_x000D_
+ The PI is planning to host Next Generation Science Standards teachers to educate them regarding how autonomous vehicles operate.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is lack of concrete details about the proposed solutions and proof of their novelty and feasibility using preliminary study results._x000D_
_x000D_
</t>
  </si>
  <si>
    <t>Society is steadily moving toward a world in which autonomous vehicles roam the streets side-by-side with human-driven vehicles and unmanned aerial vehicles are integrated into the national airspace. These autonomous cyber-physical systems (CPS) will be tasked with missions such as search, rescue, farming, firefighting, and transportation, and they will be deployed in dynamic, stochastic environments that could be unknown or minimally known a priori. The luxury of mapping the environment beforehand cannot be assumed; autonomous CPS will need to sufficiently learn their environment to successfully accomplish their mission._x000D_
_x000D_
Consider the following motivating application. A number of agents are deployed in an environment comprised of dynamic objects and radio transmitters, rendering the environment's state space dynamic and stochastic. The agents possess limited sensing and computation capabilities, have minimal a priori knowledge about the environment and their own states, and are tasked with performing a certain mission. To this end, the agents need to (1) build a spatiotemporal signal landscape map of the environment to gain situational awareness, (2) share minimal relevant information, and (3) adapt their decisions accordingly. Current tools are insufficient to deal with this emerging class of CPS, which requires that the following issues be addressed simultaneously: (1) minimal a priori information about both the autonomous agents and the environment, (2) imperfect environmental models, (3) optimal, computationally efficient information fusion, and (4) multi-objective, adaptive decision making under uncertainty.This project aims to establish a coherent analytical foundation and a suite of real-time algorithms to enable situational awareness for autonomous CPS deployed in GPS-denied, dynamic stochastic environments. By building spatiotemporal signal landscape maps, situational awareness is achieved, enabling mission pursuit. Current formalisms result in computationally intensive algorithms; invoke assumptions inapplicable to unknown, dynamic stochastic environments; and/or fail to address new emerging challenges. This research is structured around the following themes and attendant questions:_x000D_
(i) Environmental uncertainty analysis and adaptation strategies: (a) What is the minimum required a priori knowledge about the dynamic, stochastic environment and/or the agents? (b) What adaptation strategies should the agents employ to deal with model mismatch? _x000D_
(ii) Optimal, computationally efficient information fusion and decision-making strategies: (c) Which optimal, real-time information fusion algorithms with performance guarantees should the agents adopt? (d) How should agents autonomously balance potentially conflicting objectives: low-level information gathering objectives with high-level mission statements?This research has far-reaching impacts- it will evolve autonomous CPS from sensing the environment to making sense of the environment. This research will clear the way to safely integrate autonomous CPS into environments where direct human control is physically or economically impossible, e.g., fire monitoring, search and rescue, and remote delivery._x000D_
_x000D_
The PI is committed to outreach to underrepresented minority students in STEM at all educational levels. The PI's vertically-integrated education and outreach plan spans K-12, undergraduate, and graduate students. The PI is creating in the same testbed used for research verification a Game of Drones, to engage and inspire educationally and economically disadvantaged middle and high school students. Game of Drones will also be used to train in-service and pre-service K-12 teachers to apply Next Generation Science Standards (NGSS). The PI will participate in NGSS classes in Riverside County to engage students, nearly two-thirds of whom are low-income. The PI will infuse content emerging from research results into new graduate courses he plans to introduce into UCR's curriculum. He will also mentor undergraduate students to lead one-unit, student-initiated courses.</t>
  </si>
  <si>
    <t>1751219</t>
  </si>
  <si>
    <t>Atkison</t>
  </si>
  <si>
    <t xml:space="preserve"> Panel Summary       
  Description of project:_x000D_
This proposal addresses the security of traffic signal control infrastructure. Three research tasks are proposed related to situational awareness, traffic prediction, and security enhancements via data logging and anomaly detection._x000D_
 _x000D_
Intellectual Merit:_x000D_
_x000D_
Strengths:_x000D_
+ The panel did not discuss any strengths that were not already summarized in individual reviews._x000D_
_x000D_
Weaknesses:_x000D_
- The description of the work to be completed was very task-oriented but lacked a precise statement of the individual technical problems to be solved. _x000D_
- The research thrusts did not differentiate what the proposed tasks and activities would accomplish with respect to existing literature._x000D_
- The discussion of the FPGA based security framework was vague. For example, it did not explain how the FPGA system will detect the suspicious conditions or what actions will be taken. The problem of anomaly detection could be formally stated and new algorithms could be proposed to solve it, but the proposal does not get into this level of detail._x000D_
- Although the area of transportation security was viewed as exciting, the panel was not enthusiastic about the three tasks outlined in the proposal. Perhaps the tasks and discussion were simplified and did not emphasize the intellectual merit of the activities and how the research community will be advanced by the project. _x000D_
- Literature review is severely lacking and not extensive in the relevant areas in traffic or security. _x000D_
_x000D_
_x000D_
Broader Impacts:_x000D_
_x000D_
Strengths:_x000D_
+  Project will leverage some signal infrastructure improvements in progress by the Alabama DOT. _x000D_
+ PI co-founded Analysis and Investigation through Cyber-based Scenarios (AICS), a summer school for high school students, that will be enhanced to add components on transportation security._x000D_
Weaknesses:_x000D_
- The broader impacts and educational plan were generally viewed positively, but it lacked discussion on content that will be delivered in the various programs and how the activities will be evaluated._x000D_
_x000D_
Constructive suggestions for improvement:_x000D_
*	The proposal was missing a clear statement of the research problems and solution approaches.  The proposal would benefit by precisely stating research questions to be solved, then communicating the technical approaches that will be used to answer the question. The research tasks that will be undertaken to answer the question might be better motivated if introduced after the research questions are stated.  _x000D_
*	It was hard to follow why the three research tasks were essential to the project, i.e., how they are related and why they should be solved under the umbrella of the same project. _x000D_
*	The PI has some preliminary activities in progress related to discussions with the DOTs and developing some prediction methods. However, the proposal lacks a direct link (based on how the proposal is structured) how this preliminary activity gives insight into the difficulty or the potential solution approaches of the new research questions that will be answered by the research (missing) questions investigated in this proposal. _x000D_
*	A substantially enhanced literature review would add significantly to the proposal. Precisely, a detailed discussion of the existing approaches and their successes/limitations would give a strong foundation to motivate the research gaps that will be filled in the present proposal. There are a few areas that the proposal moves in the right direction, e.g., section 2.3.2 covers some of the critical references on traffic cybersecurity. But the description of the three relevant references extends over a page. Generally the relevant literature needs to be distilled and concisely synthesized so it is possible to understand how the present research fills the gaps or builds on the existing efforts. _x000D_
*	The proposal would benefit by increasing the level of detail on the technical contributions, more precise details about how these ideas will have impact, use the visuals to guide us, and how they inform the low level plan. _x000D_
*	The panel wanted to know e.g., what exactly is meant by situational awareness, what exactly is the problem to be solved in this space, how it advances what is known and already in place, and how the field will be advanced by answering these questions._x000D_
*	There is a missed opportunity to further explain the research agenda via the figures in the proposal. Figures 5 and 6 lack a solid explanation of the content in the figure, so they do not help advocate for a specific technical approach or advance the reader's understanding of the issues addressed by the proposal. It is a cosmetic issue but represents a missed opportunity to further the research._x000D_
_x000D_
_x000D_
Panel Recommendation:_x000D_
The panel rated this proposal as  Not Competitive. The primary reason for this rating was a lack of concrete research questions to be answered, their novelty, and a lack of excitement on several of the research tasks planned._x000D_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</si>
  <si>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project is concerned with a multi-tiered approach for improving efficiency, safety, and security of traffic infrastructure. Key components include situational awareness, forecasting to improve safety and efficiency, and predictive security (data gathering and cyber-attack detection). The PI builds on two existing programs in his home institution. _x000D_
_x000D_
_x000D_
_x000D_
In the context of the five review elements, please _x000D_
evaluate the strengths and weaknesses of the proposal with respect to broader impacts._x000D_
_x000D_
(+) The safety and security of transportation infrastructure is a relevant agenda. _x000D_
_x000D_
(+) The educational plans and existing programs at home institution are integrated with the proposed research. _x000D_
_x000D_
(-) The tiered approach is weak in terms of individual components as well as coherence/coordination across tiers. Importantly, the PI does not build on state-of-the-art in situational awareness, traffic prediction, and network diagnostics/forensics. The PI may want to do a thorough literature review in each of the three fields by looking at transportation and cyber-security literature, and then should distinguish/relate the proposed research with the published work. _x000D_
_x000D_
(-) The positioning of research, i.e., why this is an important and intellectually novel problem is also weak. The description covers traffic safety/efficiency and security in somewhat disjointed manner, which makes it hard to be convinced about the proposed multi-tiered approach. _x000D_
_x000D_
(-) The PI is strongly advised to think clearly about research questions that he wants to address. The research plan mostly covers background material and does not identify appropriate modeling approach, analysis tools, and/or design techniques. The connection with experiments/implementation is not clear. The proposal would benefit if these aspects are included. _x000D_
_x000D_
(-) The section on security integration proposes FPGA based network with mobile agents. This part is too vague and lacks coherence. The PI should consider building on his strengths in this area. _x000D_
_x000D_
_x000D_
Please evaluate the strengths and _x000D_
weaknesses of the proposal with respect to any additional solicitation-specific review criteria, if _x000D_
applicable_x000D_
_x000D_
(+) The proposal is strong in education and outreach activities. Existing connections are mentioned with Information Assurance Research and Transportation Institute at University of Alabama. The project, if successful, has the potential to bring new learning opportunities in computer science curriculum. _x000D_
_x000D_
(+) The PI makes largely convincing arguments to support and develop new learning environments for women engineers. The PI has also developed programs to encourage high school students for higher education. _x000D_
_x000D_
(-) Since the intellectual agenda is lacking content and coherence, the actual broader impact on enhancing knowledge base of students appears to be limited. _x000D_
_x000D_
(-) The PI can consider highlighting how his laboratory and data from proposed research can support education and outreach activities. _x000D_
_x000D_
_x000D_
_x000D_
Summary Statement_x000D_
_x000D_
The project activities are at the interface of cybersecurity and transportation systems; however, the intellectual agenda lacks scientific merit. Careful thought is needed to connect with existing/published research. Clear articulation of research questions is required. Based on these deficiencies the reviewer assigns this proposal a rating of Fair-._x000D_
_x000D_
</t>
  </si>
  <si>
    <t xml:space="preserve">In the context of the five review elements, please _x000D_
evaluate the strengths and weaknesses of the proposal with respect to intellectual merit._x000D_
_x000D_
The problem of transportation that is efficient, safe, and secure is certainly interesting and important. The proposal identifies some of the real challenges involved in solving this problem as transportation systems are increasingly automated, including situational awareness and availability of quality data, faults or other contributing factors to missing or incomplete data, and the challenges of inter-vehicle communication. The contributions of this proposal rest on some assumptions that I would recommend refining. For example, it states that preserving the existing transportation system of the US is critical but this is not the case in many communities, e.g., where increasing biking or public transportation infrastructure while decreasing traffic lanes has been measurably beneficial. The individual proposed research tasks are less ambitious that I would expect for a CAREER proposal and lacking in detail. Including a thorough evaluation plan would really help bring together the proposed research tasks by conveying exactly what the expected outcomes are and how success will be measured._x000D_
_x000D_
_x000D_
In the context of the five review elements, please _x000D_
evaluate the strengths and weaknesses of the proposal with respect to broader impacts._x000D_
_x000D_
A Efficient, safe, and secure traffic infrastructure would have broad impact; the dashboard mechanism described would be popular with traffic engineers. The goals of improving the quality of students at the PI's institution and increasing college enrollment of youth throughout the South are laudable. _x000D_
_x000D_
_x000D_
Please evaluate the strengths and _x000D_
weaknesses of the proposal with respect to any additional solicitation-specific review criteria, if _x000D_
applicable_x000D_
_x000D_
_x000D_
_x000D_
Summary Statement_x000D_
_x000D_
There is quality content within the proposal but the content of the sections does not match the section labels, so it is harder to parse. For example, the section on intellectual merit discusses the PI's and the institution's relevant experience, which is certainly important, but is not intellectual merit. The proposal expresses some good ideas but needs to include more details to convey them adequately. There are several very colorful figures but they are not labeled with any axis labels or units or legends for the different colors that would enable them to effectively convey conclusions about the data they display._x000D_
_x000D_
_x000D_
</t>
  </si>
  <si>
    <t xml:space="preserve">In the context of the five review elements, please _x000D_
evaluate the strengths and weaknesses of the proposal with respect to intellectual merit._x000D_
_x000D_
The objective of the project is to develop an efficient, safe, and secure traffic infrastructure. PI intends to achieve this in three steps: 1) facilitating situation awareness for traffic engineers by developing a real monitoring and data visualization system, 2) adding predicting and forecasting capability for improving safety and throughput of the traffic flow, and 3) introducing embedded security agents in the architecture. _x000D_
_x000D_
Intellectual merits: _x000D_
_x000D_
Strengths:  _x000D_
+ Selection of the research target is timely and has great significance_x000D_
+ PI articulated well some of the motivating challenges for the research particularly regarding the lack of security in existing solutions. _x000D_
_x000D_
Weaknesses_x000D_
-	An overall problem with the proposal is that PI has not defined the CPS problem to be investigated. For example, collecting of and providing access to traffic data in themselves are not CPS problems even if there are needs for interesting and innovative engineering solutions. On the other hand, reasoning about the placement of sensors in a physically coupled traffic network, optimizing the sensor allocation for improving intrusion detection by exploiting analytical redundancy among the sensor data, or establishing real-time characteristics of the monitoring process based on analyzing the underlying physical process dynamics would be CPS challenges._x000D_
-	Description of the predictive enhancement research was not very clear. It seems that PI's goal is to use historical data to make predictions. However, there was no explanation if the STL method is the final choice for the prediction or there will be some others as well? It was also unclear if the improvements reported in Tables 1 and 2 are improvements in prediction or in actual traffic due to applying predictions to tune the traffic control?_x000D_
-	The security integration framework is based on the development and deployment of an FPGA-based distributed architecture that would actually implement all data collection, data transfer and intrusion detection functions. PI did not make a convincing argument about the feasibility of this solution, particularly in terms of the development, deployment and maintenance cost._x000D_
-	The description of the intelligent agent architecture and the functions they implement is highly notional; there is  no technical details about what they actually do, how and why.  _x000D_
_x000D_
_x000D_
In the context of the five review elements, please _x000D_
evaluate the strengths and weaknesses of the proposal with respect to broader impacts._x000D_
_x000D_
Strengths:_x000D_
+ PI plans education activities that are synergistic with the project goals._x000D_
+ The K-12 outreach using multiple scenario driven exercises is an interesting element of the education plan and may become quite successful if fully implemented_x000D_
_x000D_
Weaknesses:_x000D_
-	None _x000D_
_x000D_
_x000D_
Please evaluate the strengths and _x000D_
weaknesses of the proposal with respect to any additional solicitation-specific review criteria, if _x000D_
applicable_x000D_
_x000D_
_x000D_
_x000D_
Summary Statement_x000D_
_x000D_
This proposal was evaluate Fair because the lack of CPS related research problems and weaknesses in the proposed technical solution._x000D_
_x000D_
</t>
  </si>
  <si>
    <t xml:space="preserve">In the context of the five review elements, please _x000D_
evaluate the strengths and weaknesses of the proposal with respect to intellectual merit._x000D_
_x000D_
INTELLECTUAL MERIT_x000D_
_x000D_
PROPOSAL OBJECTIVES AND APPROACH_x000D_
+ This proposal will develop methods to improve the security of traffic control infrastructure.  The research tasks include i) developing awareness and completing an inventory of existing signaling infrastructure; ii) prediction and forecasting methods for traffic at signals; iii) and development of a security architecture based on FPGA data collectors and anomaly detectors; _x000D_
_x000D_
+ Issues of traffic signal security are important and understudied with only a few references exploring the area in detail._x000D_
_x000D_
- The core aspects of the project (e.g., the security aspects), will not occur until year 3 of the project. _x000D_
_x000D_
- Many of the ''situational awareness'' aspects of the project should probably be done before this project. Too much time is spent on data collection and construction of dashboards as opposed to new / innovative security related research.  _x000D_
+ There are numerous existing systems (e.g., systems managed by LADOT, NYCDOT, the PeMS system run by the California DOT) that provide varying degrees of information about traffic and traffic signal control information. They may not be identical to the efforts here, but the current discussion does not comment on existing systems in the US. It does not differentiate the proposed activities from similar systems currently in place._x000D_
- The proposal has numerous development activities but lacks precisely stated research questions or testable research hypotheses. _x000D_
-How exactly will the layered multi-agent system provide security benefits? What exactly will the intrusion system look like? Will it use existing techniques or new ones that are being proposed/developed? What methods will be used?_x000D_
- There is substantial work on traffic modeling estimation, and signal control. The description of task 3.2 did not make clear why new methods are needed beyond the existing techniques.  _x000D_
_x000D_
_x000D_
In the context of the five review elements, please _x000D_
evaluate the strengths and weaknesses of the proposal with respect to broader impacts._x000D_
_x000D_
BROADER IMPACTS_x000D_
+ PI has planned activities with University of Alabama's Society of Women Engineers _x000D_
+ PI is co-founder of AICS, a week-long experience for high school students and teachers. Traffic security scenarios will be integrated here._x000D_
+ PI has collaboration with Alabama DOT, which is in the process of installing data loggers along 5 corridors. _x000D_
_x000D_
_x000D_
Please evaluate the strengths and _x000D_
weaknesses of the proposal with respect to any additional solicitation-specific review criteria, if _x000D_
applicable_x000D_
_x000D_
_x000D_
_x000D_
Summary Statement_x000D_
_x000D_
SUMMARY STATEMENT_x000D_
The proposal is targeting an interesting area (security of transportation infrastructure) with adequate existing outreach activities. The intellectual merit of the proposal was substantially weakened by the lack of very clear statements on the research questions to be investigated, and that a large chunk of project time is dedicated to situational awareness and prediction analytics tasks that were not well motivated as to how they are new or why they are essential. These weaknesses led to the overall rating of poor._x000D_
_x000D_
</t>
  </si>
  <si>
    <t>The University of Alabama is pursuing and committed to a long-term initiative that will significantly increase its national recognition for transportation research.  ESSTI, in concert, will focus on developing a program that will support an efficient, safe, and secure traffic infrastructure and draw from previous successes in both the cyber-security and transportation fields.  Additionally, the PI's research group has vast experience and success in developing large-scale malicious application detection capabilities.  The combination of these experiences provide a firm foundation for success with this research program. _x000D_
_x000D_
To accomplish the objectives of this proposed research, ESSTI will use a multi-tiered approach.  The first tier is to develop a situational awareness mechanism that will provide traffic engineers with the information necessary to make decisions.  The second tier is an enhancement to the awareness process with prediction/forecasting to improve safety and traffic flow. The third tier, the major effort of ESSTI, will integrate predictive security for the traffic infrastructure into to the awareness process.  This will add the needed layer of security to this important critical infrastructure. _x000D_
_x000D_
For several years the University of Alabama has been at the forefront of cyber-security and transportation related research and education.  Because of these efforts, the National Security Agency designated the university as a Center of Academic Excellence in Information Assurance Research in 2014, and the State of Alabama designated the university as the site for the Alabama Transportation Institute in 2016.  A major component of ESSTI will be dedicated to support several educational outreach opportunities that tie into these programs.The research group has several years of experience in successful efforts focusing on a range of topics within the context of cyber-security and transportation systems and has developed a firm foundation to build upon for this effort in terms of both knowledge and resources. This is a transformative project that will develop methods and techniques for efficient, safe and secure traffic infrastructure. ESSTI will also expose traditionally under-represented student groups to this important research problem which in turn may produce advancements that would not have occurred without their participation in this effort. This specific effort will serve as a model for future expansion of transportation security research, even throughout the engineering disciplines as a whole, among traditionally excluded groups.Cyber security is a critical priority for the nation.  Within that context lies the vital need for protecting the nation's transportation infrastructure. ESSTI will address that need.  Generalizations of the methods and techniques produced as a result of this effort will be applicable across multiple control system domains, for example manufacturing.  Long range goals of the effort are to branch out into designing security first systems and architectures.  This advanced system will benefit countless numbers of people, sectors and industries.  Through the collaboration and interaction with the University of Alabama's Society of Women Engineers, new methods will be developed to help break down barriers that have in the past excluded women from participating in and graduating from engineering disciplines.  This has the potential to impact hundreds of students over the course of the CAREER award and beyond as the barriers are consistently torn down. The PI's work with Analysis and Investigation through Cyber-based Scenarios (AICS) and its expansion throughout the nation will have an exponential impact.  This effort will provide security-related, and in particular transportation/traffic infrastructure system security related experience to a large portion of the high-school population that may never have had an opportunity before.</t>
  </si>
  <si>
    <t>1751276</t>
  </si>
  <si>
    <t>Johnson</t>
  </si>
  <si>
    <t xml:space="preserve"> Panel Summary       
 _x000D_
Description of project:_x000D_
This project tackles the current and relevant challenges of both intra- and inter-vehicle networks, particularly how to specify, validate, and verify their designs with respect to correctness, safety, and security. This project lies squarely in the area of CPS in that it integrates networks of real autonomous vehicles, both ground- and air-vehicles, analyzing both their cyber/software parts and their interactions with their physical environments. The project proposes to specify these vehicle network systems using hyperproperties. This contribution serves as a foundation for the verification and falsification of both intra- and inter- vehicle network models, where the models contain several different levels of abstraction and assume-guarantee reasoning enables connecting the specifications across these different levels._x000D_
_x000D_
_x000D_
Intellectual Merit:_x000D_
_x000D_
Strengths:_x000D_
+ The research problems addressed by the proposal are well-motivated and important. _x000D_
+ The literature review in the motivation section is extensive and does a good job describing how the work will be informed by documented safety and security breaches. _x000D_
+ On its own, just the aspect of developing the proposed class of hyperproperties would be a significant accomplishment. Specification remains a significant bottleneck to formal verification, and specifically to the proposed research. _x000D_
_x000D_
Weaknesses:_x000D_
- What kind of attacks can be formulated? Can these attacks model real threats? What are the hyperproperties being developed and how do we trace their evolution? How are they used exactly? Unless researchers are already very familiar with this technology, it is difficult to tease out how exactly this layered specification strategy would work in practice. Why not use other logics like LTL where many of the questions posed in this proposal are already answered? Those that were very familiar asked how the approach compares to the large number of recently published papers on hyperproperty development. There were some useful examples given in the project description, but they were not explained down to the low-level details required to answer the panel's questions. _x000D_
- The project description is written at too high of a level. The threat model is not concretely defined, what can the attacker do and what can the attacker not do? What is the threat model exactly? How are threats determined, captured, and validated? There are a lot of statements that promising tasks will be done that leave out details about how they will be done._x000D_
- Th literature review in the research task part of the proposal does not compare with the state of the art. Despite including an extensive literature review of the motivation, the proposed work is not sufficiently compared to the latest research in related areas._x000D_
- There are only two references on hyperproperties whereas there is a lot of work going on right now in this area that is not cited or compared with the current effort._x000D_
- Some of the components are going to be modeled as black boxes and this is a recurring problem with intra- and inter-vehicle networks. There can easily be a system where a small number of parts could be modeled sufficiently, but many would have to be black boxes and it is not clear how much we would gain from the associated research results. _x000D_
- The panel was interested in the runtime verification component of this proposal but it is missing from the main text and research tasks, appearing only in the figures and summary. _x000D_
_x000D_
_x000D_
Broader Impacts:_x000D_
_x000D_
Strengths:_x000D_
+ The outreach plans cast a broad net. The PI has a very large program, more than one person could accomplish, and has taken the step of involving collaborators to help with execution of this part of the proposal._x000D_
+ The collaboration with Toyota is meaningful and necessary. This provides a good vehicle for facilitating the research and a reason to believe that the effort will be successful and be successfully transferred to industry._x000D_
_x000D_
Weaknesses:_x000D_
- The summary of education is short and could be developed more. _x000D_
- The educational activities promise too much. Narrowing the focus and adding details would improve this part of the proposal._x000D_
- The outreach effort casts a wide net but does not focus on one particular, creative component that would be uniquely enabled by the proposed research. There needs to be more of a tie-in: how do the education and outreach components uniquely enable the research components and vice versa?_x000D_
_x000D_
_x000D_
Constructive suggestions for improvement:_x000D_
_x000D_
The project description would be improved in every area by ensuring for each of the tasks that the proposed activities would be able to be differentiated from the state of the art. For example, there is a huge collection of recent literature on hyperproperties, which shows both that this is a hot topic for current research and that there is a great need to explicitly call out the uniqueness of this proposal. The project descriptions' coverage of hyperproperties is high-level and would be improved by a more concrete and low-level description of the effort. Carrying verification from design time to runtime would have significant intellectual merit; this proposal would be improved by describing the contributions at every layer/stage at the same level of detail. The panel has similar comments on the other research contributions. In general, the panel wanted to see more concrete details about all of the research thrusts and how they compare to the state of the art. _x000D_
_x000D_
_x000D_
Panel Recommendation:_x000D_
 _x000D_
The panel rated this proposal as Low Competitive. The primary reason for this rating was the need for more concrete details on the research thrust implementation and a clearer statement of the unique and creative contributions of this proposal, both for the research and for the educational plans. 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</si>
  <si>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 the targeted problem is of importance and existing issues are adequately analyzed_x000D_
+ Hyperproperty development for systems such as vehicles and UAVs, if accomplished, will be valuable. _x000D_
- the attacked problem is too broad, and the proposed methods may apply to only a small subset of issues. Many of the components of a vehicle may have to be modeled as black boxes, and formal verification will be very limited. _x000D_
- Technical specificaiton of the approach is not clear on many of the promised solutions. For example the proposal promises to "develop the underlying theory for hyperproperties to specify safety and security in_x000D_
CPS", but the approach is not specific enough or substantiated._x000D_
_x000D_
In the context of the five review elements, please _x000D_
evaluate the strengths and weaknesses of the proposal with respect to broader impacts._x000D_
_x000D_
+The Brrader Impact section adequately addresses most areas of concern. _x000D_
- The PI seem to have a good plan in place and something that is achievable, but again too much may have been promised._x000D_
_x000D_
_x000D_
_x000D_
Please evaluate the strengths and _x000D_
weaknesses of the proposal with respect to any additional solicitation-specific review criteria, if _x000D_
applicable_x000D_
_x000D_
_x000D_
_x000D_
Summary Statement_x000D_
_x000D_
The objective of this proposal is to develop formalisms for specifying safety and security requirements for systems such as cars and UAVs. It also  promises to develop scalable verification methods to ensure provable safety and security. _x000D_
_x000D_
The proposal promises to tackle a very important problem and analyzes the problem well, however it is promising too much and many of the expected developments are not substantiated._x000D_
_x000D_
suggestion: the organization of the proposal is somewhat confusing and section numberings are not helpful. The text is also very cramped. A future possible submission should consider fixing these issues._x000D_
_x000D_
_x000D_
</t>
  </si>
  <si>
    <t xml:space="preserve">In the context of the five review elements, please _x000D_
evaluate the strengths and weaknesses of the proposal with respect to intellectual merit._x000D_
_x000D_
Strengths:_x000D_
A modular approach to verification is suggested where subcomponents that cannot be formally verified are verified using black box procedures._x000D_
_x000D_
Weaknesses:_x000D_
It is not made clear which attacks can be formalized ._x000D_
There is no convincing discussion on how these methods can model actual threats. Hyperproperties are a suggested approach, but how are they going to be used? An example (for example a toy example) should be provided to explain the details of the methods._x000D_
The preliminary evidence presented for falsification is just introduced with some plots without an appropriate discussion._x000D_
_x000D_
In the context of the five review elements, please _x000D_
evaluate the strengths and weaknesses of the proposal with respect to broader impacts._x000D_
_x000D_
Strengths:_x000D_
The area of proposed research is indeed relevant._x000D_
_x000D_
Weaknesses:_x000D_
It is not made clear how these novel techniques are going to improve on existing methods (including other formal methods)._x000D_
Thus, the actual broader impact is difficult to estimate._x000D_
_x000D_
Please evaluate the strengths and _x000D_
weaknesses of the proposal with respect to any additional solicitation-specific review criteria, if _x000D_
applicable_x000D_
_x000D_
The education and research part are integrated in a satisfactory manner._x000D_
_x000D_
Summary Statement_x000D_
_x000D_
From my perspective, the proposed techniques might be of interest, but are described in a too abstract way without any concrete example of their implementation._x000D_
_x000D_
</t>
  </si>
  <si>
    <t xml:space="preserve">In the context of the five review elements, please _x000D_
evaluate the strengths and weaknesses of the proposal with respect to intellectual merit._x000D_
_x000D_
_x000D_
_x000D_
The intellectual merit of the proposed research effort is strong. It definitely has the ability to advance knowledge and understanding within the field of cyber-physical system formal verification. The ideas are creative, and potentially transformative: while the base-level constructs (specification, falsification, assume-guarantee reasoning) are popular in verification techniques today, the new idea to combine them in a layered approach, interleaved with informal verification techniques, has a lot of potential._x000D_
_x000D_
The introduction and motivation are well-written and convincing. It is backed up by extensive related work. _x000D_
_x000D_
I am particularly curious about the runtime monitoring aspect of the proposed work. The runtime verification aspect is significant, yet it is only ever mentioned at a very high level, appearing in two figures and in the summary text two places. Runtime verification is a huge field unto itself and I agree with the proposal that it would be a major component of such a layered verification effort, but I wanted more details as to which of the many types of runtime monitoring would be used and how. The PI does not have any publications listed in the area of runtime verification that could yield information as to how this will be implemented and the three cited references on this subject do not help resolve this ambiguity. Validation of runtime verification frameworks is especially challenging (which is why it is so hard to sustain a runtime verification competition, for example) so I expected some mention of this aspect in the validation plan. _x000D_
_x000D_
The evaluation plan for the research thrusts is good, but generic: the research results will be published at peer-reviewed venues, the software will be released, and the students will pursue internships at related industry partners. The evaluation plan could be improved by providing a more specific assessment of the intermediate results of the research to help guide and optimize the verification effort during all stages of the project, rather than focusing on when the proposed research is completed and ready to be published._x000D_
_x000D_
In the context of the five review elements, please _x000D_
evaluate the strengths and weaknesses of the proposal with respect to broader impacts._x000D_
_x000D_
The broader impacts in terms of benefits to society at large and potential to the safety and security of networked vehicles are significant._x000D_
_x000D_
The educational portion of the proposal is a little weak for a CAREER proposal: it includes several good, but very typical efforts of training students at the PI's university, developing educational materials and classes, and participating in regular outreach activities to K-12 students and the local Women in Computing club. That being said, the efforts described do come across as well-though-out and sincere; they incorporate important sources such as advice from female faculty, and the excellent research conducted at Harvey Mudd University. (As a small note, there is an error in Figure 11.)_x000D_
_x000D_
Please evaluate the strengths and _x000D_
weaknesses of the proposal with respect to any additional solicitation-specific review criteria, if _x000D_
applicable_x000D_
_x000D_
_x000D_
_x000D_
Summary Statement_x000D_
_x000D_
This proposal addresses the very interesting and relevant question of safety and security for networks of vehicles (both ground and air vehicles). The problem is well-motivated and the overall research plan is novel and potentially transformative. The idea of increasing the scalability of formal verification by de-composing the verification problem into network layers that pass assumptions from lower layers up to be guarantees of higher layers is creative and promising. _x000D_
_x000D_
The PI has a strong research record in the field of formal verification of cyber-physical systems, though this proposal includes some major sub-areas, such as runtime verification, where he has not previously published or otherwise contributed research artifacts that are cited in this proposal. The proposal does show a potential for the PI to be successful in these new areas, though I expected to see more concrete plans for how the PI plans to extend the work into these new domains and why there is reason to believe that these efforts will be successful. Ideally I would like to see less details about the problem motivation, as this is more well-known to the panelists, and more details on the research plan to connect the different formalisms and different levels of abstraction to form a complete safety-case for a given network of vehicles._x000D_
_x000D_
_x000D_
</t>
  </si>
  <si>
    <t xml:space="preserve">In the context of the five review elements, please _x000D_
evaluate the strengths and weaknesses of the proposal with respect to intellectual merit._x000D_
_x000D_
+ The proposal investigates an exciting and important problem in current real-world automotive applications. _x000D_
_x000D_
- Having read through the proposal, the reviewer finds the proposal's technical content (starting from the summary and description sections) is a bit too high-level; in several points, it does not concretely mention the main core contributions of the project in comparison with the other ongoing work in the community. _x000D_
_x000D_
- The proposal is mainly focused on listing what will be done without enough details on æhow' they will be done (and what parts have been done as preliminary studies). _x000D_
_x000D_
- The proposal does not provide sufficient level of preliminary work results to prove the proposed work will be feasible to complete with the project's duration while being ambitious. _x000D_
_x000D_
- The proposal does not provide a clearly defined threat model regarding the assumed attacker capabilities (and she cannot do) and the proposed solution's trusted computing bases. The included threat model is not clear enough. Without such a threat model, it is hard to assess the proposal from a security viewpoint. _x000D_
_x000D_
- Presentation: the proposal takes a lot of space talking about the motivation and background introductory material. They can be cut short to save space for the core contributions of the proposal. On the second page, the broader impact of the proposed research is presented without yet having presented the research tasks. _x000D_
_x000D_
- The proposed solution will be based on a lot of assumed-to-be-given abstract models of the different components of the system. It would have been beneficial to discuss how these models will be generated in practical (possibly complex) settings. How would those models be validated to ensure they match the underlying dynamics? What would happen if the underlying dynamics get updated? _x000D_
_x000D_
+ The PI has solid evaluation plans on real-world test-beds at the University. _x000D_
_x000D_
- The thrust A of the research program is described at a very high-level. More details is expected in terms of the technical contributions and how they would improve the state-of-the-art from a purely research viewpoint. That said, I liked how well the PI was aware of the real-world problems in industry nowadays and the proposed solution showed that very well too. _x000D_
_x000D_
- The proposal suggests to introduce a new temporal logic language for the safety security analyses. It is unclear what the existing solution fall short in so that a new language is needed. _x000D_
_x000D_
- One of the main problems in formal verification generally is scalability. It is unclear how the PI is planning to address this concern. _x000D_
_x000D_
- The proposal mentions cyber resiliency without providing a definition of the term. It is hard to assess whether the proposed solutions can address the resiliency issues fully. _x000D_
_x000D_
- The literature review section of the proposal is mainly about how the proposed work will be leveraging the past work. Not enough discussion is provided regarding how the proposed work compares to the past recent work in the field. For instance, what ideas from the past fault/intrusion tolerance does the PI plan to leverage? There has been a lot of related work in those field in the past. _x000D_
_x000D_
- The proposal is proposing to verify V2X protocol. There is a lot of protocol analysis and formal verification work in cyber security community. How is the proposed work different from a fundamental technical viewpoint? _x000D_
_x000D_
_x000D_
In the context of the five review elements, please _x000D_
evaluate the strengths and weaknesses of the proposal with respect to broader impacts._x000D_
_x000D_
+ The PI has been active already w.r.t the education activities in the field. The PI has decent plans for education and the integration of the research task outcomes with the broader impact activities. The PI has solid experience and concrete plans to include underrepresented minorities and women in the proposed research tasks. _x000D_
_x000D_
+ The PI has established industry collaborations that will be very useful throughout the project for broader impact activities. _x000D_
_x000D_
+ The PI is planning to use the senior faculty at the department as the advisor to assess the proposed research and teaching activities.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is the lack of details on the proposed solutions and how novel they are in comparison with the past recent work._x000D_
_x000D_
</t>
  </si>
  <si>
    <t>Modern motor vehicles incorporate dozens to hundreds of networked computers and are starting to connect to smartphones, the Internet, third-party in-car apps, roadside infrastructure, and other motor vehicles. These communication interfaces have dramatically grown the attack surfaces that malicious actors can use to potentially harm the physical safety of everyone on the road. Recent proof-of-concept attacks include: gaining control of computers by spoofing messages sent over the intra-vehicle controller area network (CAN) from wireless tire-pressure sensors, hijacking the acceleration and braking systems with malicious music CDs and phone-to-car interfaces, and destabilizing the electric grid by maliciously scheduling of when plug-in hybrid/electric vehicles get charged. Recent NHTSA data indicate that 20-30% of safety-critical defects in newer model cars that require safety recalls are computer-related. Guaranteeing cyber-physical safety and security is essential to enhancing trust in such safety-critical CPSs, especially as increasingly levels of autonomy are incorporated. This project develops novel specification formalisms building on hyperproperties to specify cyber-physical safety and security, and novel scalable verification methods to ensure provable safety and security. Evaluations are conducted in prototypical cyber-physical networks systems, including Formula SAE cars and groups of unmanned aerial vehicles (UAVs).Formal methods are a compelling way to provide guarantees of security and safety, but it is challenging to scale them to highly complex, heterogeneous systems such as modern vehicles. The novel approach advocated in this project is to build upon formally verified subcomponents when practical and to generate specifications using dynamic analysis for other, potentially black-box, subcomponents. The main goal is to explore how formal methods and the guarantees they provide can be applied in a layered way to provide security and reliability assurances for entire complex, dynamic, cyber-physical networked systems. We will explore ways to leverage new specifications, verification, falsification methods, and assume-guarantee reasoning to develop a framework to safely and securely compose groups of verified and semi-trusted components. By layering modeling and guarantees at different abstraction layers, we aim to make it tractable to model and obtain assurances at the intra/inter-vehicle levels. Vehicular computation will be the guiding problem area for developing this methodology and will ground the project with real systems and real constraints.As computers perform more complex physical tasks, cyber-physical flaws are becoming rampant in many industries, including automotive and medical devices. This project will advance security and safety within two system-level themes: intra-vehicular networks (system-level correctness of individual CPSs) and inter-vehicular networks (correctness of proposed V2X-enabled intelligent highway and transportation systems [ITS] and UAVs in the National Airpsace System [NAS]). The proposed compositional framework will enable secure vehicles and networked CPSs integrated into the ITS and NAS. We will create demos and videos that contrast our secure designs with surprising attacks on existing vehicles and leverage industry contacts to spread our findings. Outreach in conjunction with a Women in Computing initiative PI Johnson leads at Vanderbilt will spread the importance of these problems and our findings within K-12 and undergraduate education.</t>
  </si>
  <si>
    <t>1751307</t>
  </si>
  <si>
    <t>Chao</t>
  </si>
  <si>
    <t xml:space="preserve"> Panel Summary       
 The objective of this proposal is to enable safe UAV operations in low-altitude airspace, where strong wind and turbulence often occur. Four tasks are proposed: 1) collaborative sensing of spatiotemporal wind using UAV networks, 2) UAV-wind interaction, 3) collaborative soaring, and 4) collaborative wake surfing. _x000D_
_x000D_
Intellectual Merit:_x000D_
_x000D_
Strengths:_x000D_
_x000D_
+ The safe operation of UAVs in wind, gust, and turbulence is a direction is worthy of exploration. The knowledge learned from this project can potentially contribute to UAV certifications and broad UAV applications._x000D_
_x000D_
+ The proposed research tasks on collaborative sensing, modeling and prediction, and cooperative control, are clearly delineated and organized in a coherent manner._x000D_
_x000D_
+ The PI has eight years of experience in the design of UAVs and formation control and is well qualified to conduct the proposed tasks. _x000D_
_x000D_
Weaknesses:_x000D_
_x000D_
- The proposal is presented with a list of engineering tasks that lack the focus on fundamental research problems and contributions. _x000D_
_x000D_
- Specifics in each of the research tasks can be better articulated to show the novelty and justify how the solutions can potentially be applied to broad CPS domains. In-depth descriptions on the approaches taken and the analysis on performance guarantees will strengthen the proposal in terms of intellectual merits. _x000D_
_x000D_
- The PI can better use the space in describing the detailed fundamental research problems---There is too much space wasted for big pictures that can be used to deliver more useful information. _x000D_
_x000D_
Broader Impacts:_x000D_
_x000D_
Strengths:_x000D_
_x000D_
+ The PI plans to work with UAV application domain professionals in exploring interdisciplinary research. This activity can produce broad impact to the societies outside CPS._x000D_
_x000D_
+ The UAV student competition is a nice way to motivate students. _x000D_
_x000D_
Weaknesses:_x000D_
_x000D_
- The education and outreach plan is presented as a list of standard activities without the details on approaches, evaluation plans, and preliminary efforts that have been conducted. _x000D_
_x000D_
- There have been quite a few successful UAV education and outreach programs there. The PI is suggested to leverage on the success of those programs and introduce innovation to the education and outreach component._x000D_
_x000D_
Constructive suggestions for improvement:_x000D_
_x000D_
The PI is suggested to focus more on the fundamental research description including challenges, approaches taken, and performance analysis. _x000D_
_x000D_
The PI is also suggested to be more selective in choosing the outreach activities, and develop in details the outreach plans to make a convincing case that they will be successfully executed._x000D_
_x000D_
Panel Recommendation:_x000D_
 _x000D_
The panel rated this proposal as Low Competitive. The primary reason for this rating was the lack of fundamental research description in the proposed tasks. _x000D_
</t>
  </si>
  <si>
    <t xml:space="preserve">In the context of the five review elements, please _x000D_
evaluate the strengths and weaknesses of the proposal with respect to intellectual merit._x000D_
_x000D_
The project is concerned with: _x000D_
(a) developing new sensing and estimation techniques to improve safety of Unmanned Aerial Systems (UASs) in dynamic wind fields; _x000D_
(b) design and testing of algorithms for smart wind surfing techniques of birds.  _x000D_
_x000D_
(+) The PI casts a wide net based on his experience and prior work in estimation of wind gusts/wake and estimation/control of airspace systems. Both problems are relevant from an intellectual and practical viewpoint. _x000D_
_x000D_
(+) The proposed activities in modeling and estimation of wind-UAS interaction are well articulated. Wind / turbulence issues are indeed a major impediment in maintaining safe UAS operations. The potential use of aerial sensing networks for collecting meteorological measurements is interesting. _x000D_
_x000D_
(+/-) Different activities in the research plan are well structured and related/prior work is adequately explained. However, the description of these activities lacks specifics. _x000D_
_x000D_
(-) Build on prior comment, the reviewer thinks that Tasks 1-2 and Tasks 3-4 each merit a more in-depth discussion of models, research questions, and hypotheses. Since the PI chose to focus on ALL these Tasks, the expected contributions in individual tasks (and its relation to one another) has received less attention. _x000D_
_x000D_
(-) Specific comments for improvements in Tasks 1-2 include: more justification on bio-inspired nature of the sensing system; novelty of unscented Kalman filter; collaborative nature of sensing (what is collaborative about it?); and role of control design in model of wind-UAS-control interaction.  _x000D_
_x000D_
(-) Similar to the above comment, Tasks 3-4 also need further specifics (especially if they emphasize cooperative sensing). The ideas on wake surfing with formation flight are a bit vague and presented in a rushed manner. _x000D_
_x000D_
_x000D_
The proposal will benefit by better integration between tasks and more technical details on the proposed activities. The aspect on cooperative sensing and role of control design definitely need further improvement. In absence of these aspects, the proposal does not seem to have a cyber-physical systems flavor. The PI should also clarify and explain the proposed ideas on developing new ''algorithms''.  _x000D_
_x000D_
_x000D_
In the context of the five review elements, please _x000D_
evaluate the strengths and weaknesses of the proposal with respect to broader impacts._x000D_
_x000D_
(+) The project deals with two important (albeit broad) questions in UAS safety and autonomy. Techniques are drawn from aerospace instrumentation, UAS system development and experimentation, and sensing algorithms. _x000D_
_x000D_
(+) If successful the proposed research will contribute to developing autonomous capabilities in UAS operations beyond line of sight. _x000D_
_x000D_
(-) The education and outreach activities are largely standard and somewhat limited. The part on building STEM talent from broader population and community outreach has some interesting ideas but they are not well integrated with research. _x000D_
_x000D_
(-) Since the algorithms, data, and software from this research is likely to be heterogeneous/diverse, better plan is needed for dissemination of research and integration into curriculum (beyond standard courses). _x000D_
_x000D_
_x000D_
Please evaluate the strengths and _x000D_
weaknesses of the proposal with respect to any additional solicitation-specific review criteria, if _x000D_
applicable_x000D_
_x000D_
_x000D_
_x000D_
Summary Statement_x000D_
_x000D_
The proposed activities on wind sensing and wind-UAS interaction have the potential to be framed into a strong CPS proposal, especially if they are supported by novel sensing algorithms. However, adding the part on soaring/surfing algorithms dilutes the intellectual merit. Thus, the reviewer rates this proposal as Good+. _x000D_
_x000D_
_x000D_
</t>
  </si>
  <si>
    <t xml:space="preserve">In the context of the five review elements, please _x000D_
evaluate the strengths and weaknesses of the proposal with respect to intellectual merit._x000D_
_x000D_
The effort is about using unmanned aerial vehicles to demonstrate a number of particularly interesting techniques, including Wind estimation, Aircraft-Wind interactions, Cooperating Thermal soaring, and wake vortex surfing. _x000D_
_x000D_
+ The tasks defined in this project are very well-delineated._x000D_
_x000D_
+ The PI has demonstrated a strong potential for applied work and building functional systems._x000D_
_x000D_
+ The proposal is coherent as it includes all tasks normally expected from a flight mechanics and control project, including wind sensing and estimation, vehicle wind interaction models, and then specialized tasks such as cooperative thermal soaring and wake vortex surfing._x000D_
_x000D_
- The technical proposal looks like a series of simple engineering tasks, with few, if any, good ideas appear. The methodological content is poor, which makes it difficult for the project to contribute "generic" knowledge to the community. _x000D_
_x000D_
- The sum of the tasks to be performed looks very high compared with the expected payoff: This is a high-risk, low payoff proposition._x000D_
_x000D_
- There is much space misuse in the proposal, where general considerations take over proposed technical work._x000D_
_x000D_
In the context of the five review elements, please _x000D_
evaluate the strengths and weaknesses of the proposal with respect to broader impacts._x000D_
_x000D_
+ The PI is very honest about his contribution to the education of students_x000D_
_x000D_
+ The PI appropriately leverages his passions (including remote aircraft piloting) and shares them with students_x000D_
_x000D_
+ The participation to competitions such as UAVSI is a very good way to motivate the students._x000D_
_x000D_
- The broader impact looks like a laundry list of all possible outreach activities. The PI may want to be more selective._x000D_
_x000D_
_x000D_
Please evaluate the strengths and _x000D_
weaknesses of the proposal with respect to any additional solicitation-specific review criteria, if _x000D_
applicable_x000D_
_x000D_
_x000D_
_x000D_
Summary Statement_x000D_
_x000D_
This proposal is rated as "Fair" because it of the following reasons: The contents does not properly present what the predicted innovations will be. The application itself is interesting, but the "lessons learned" will be of limited use. The base material for the outreach activities is good, however, it is felt that it is too spread around many activities. It should be more focused._x000D_
_x000D_
</t>
  </si>
  <si>
    <t xml:space="preserve">In the context of the five review elements, please _x000D_
evaluate the strengths and weaknesses of the proposal with respect to intellectual merit._x000D_
_x000D_
Strengths:_x000D_
_x000D_
+ The objective of this proposal is to enable safe operation of networked UAVs in dynamic wind fields. Specifically, the PI proposes to develop 1) distributed spatiotemporal sensing algorithms for wind conditions, 2) UAV-wind interaction modeling framework for wind prediction, 3) cooperative sensing and soaring algorithms, and 4) wake vortex surfing algorithms.  The approach to take involves collaborative sensing, cooperative control, and stochastic estimation. _x000D_
_x000D_
+ The solution can benefit safe UAV operation and on-demand meteorological measurements. As no specific FAA rules on safe UAV operation in strong gusts, this study can benefit FAA regulations. _x000D_
_x000D_
+ The PI has solid background and years of research in developing UAVs and the leader-follower UAV formation solutions. _x000D_
_x000D_
Weakness: _x000D_
_x000D_
- An integrated CPS design is lacking. The proposal is developed along the standard UAV study direction that involves modeling, estimation, design, and implementation of multi-UAV control. How about communication/computational issues such as the impact of delay to wind estimation and formation control, etc.?_x000D_
_x000D_
- A mathematical framework would be helpful to evaluate Task 2, Task 3, and Task 4. The fundamental scientific breakthrough in terms of estimation and controller design are lacking. _x000D_
_x000D_
_x000D_
In the context of the five review elements, please _x000D_
evaluate the strengths and weaknesses of the proposal with respect to broader impacts._x000D_
_x000D_
Strengths_x000D_
_x000D_
+The PI proposes to introduce a new course on UAV. Student UAV competition will be conducted. Community outreach activities are also proposed, such as robotics camp. _x000D_
_x000D_
+ The PI will also work with other UAV application domain professionals in exploring interdisciplinary research. _x000D_
_x000D_
Weakness_x000D_
_x000D_
-It is suggested that the PI leverages on the success of other many UAV education programs and introduces innovation to the teaching component. _x000D_
_x000D_
-The outreach plan needs more detailed descriptions to show how they can be successfully executed.  _x000D_
_x000D_
_x000D_
_x000D_
Please evaluate the strengths and _x000D_
weaknesses of the proposal with respect to any additional solicitation-specific review criteria, if _x000D_
applicable_x000D_
_x000D_
- Innovations need to be brought to the integration of education and research plans._x000D_
_x000D_
Summary Statement_x000D_
_x000D_
The PI addresses an important problem on a comprehensive study of UAV operation in strong winds. The fair rating is due to the missing of CPS component, the lack of an in-depth description of the approaches, and the lack of innovation in the education components._x000D_
_x000D_
</t>
  </si>
  <si>
    <t xml:space="preserve">In the context of the five review elements, please _x000D_
evaluate the strengths and weaknesses of the proposal with respect to intellectual merit._x000D_
_x000D_
INTELLECTUAL MERIT_x000D_
_x000D_
PROPOSAL OBJECTIVES AND APPROACH_x000D_
This proposal investigates methods for collaborative sensing of spatio-temporal wind fields; modeling the wind -- unmanned aircraft system (UAS) interaction; and collaborative sensing and surfing of thermal winds and wakes. The goal is to develop these methods to improve the next generation UAS.  _x000D_
_x000D_
+ The proposal is well motivated by the expectation that next-gen UAS will operate in low altitude environments that are characterized by turbulent flows, but where we currently have relatively limited data on wind conditions. _x000D_
+The discussion and planned research activities on thermal soaring and vortex surfing were quite interesting and relevant for the small UAVs considered in the project._x000D_
+ Generally the organization of the research tasks is logical and builds in complexity._x000D_
+ The project has a detailed evaluation plan and includes a mix of simulation based tests and field tests. _x000D_
- Some of the research tasks were viewed as less novel or were not precise exactly how the methods would be developed. For example, the project proposes to integrate pressure, temperature, and humidity measurements into wind speeds via ''deep learning''. It is fine to propose a machine learning based approach, but the proposal should provide more discussion about what the model will look like, how it will be trained, and how the results will be validated. _x000D_
_x000D_
_x000D_
In the context of the five review elements, please _x000D_
evaluate the strengths and weaknesses of the proposal with respect to broader impacts._x000D_
_x000D_
BROADER IMPACTS_x000D_
_x000D_
+ Integration of advanced low-cost unmanned systems and associated estimation/control methods into the graduate and undergraduate curricula are planed (a new course, and revision to existing courses)._x000D_
+Planned collaboration with relevant departments is an interesting approach to increase the impact of the results outside of the CPS community._x000D_
- The planned collaborations would be stronger if more focused, e.g., if conversations have already begun and detailed collaboration activities were described. _x000D_
- Some outreach activities, e.g., Engineering Expo, Girl Scout Day, etc. were not well integrated into the outreach plan. Why are these activities essential to the outreach and education plan? The current description leaves them as an afterthought._x000D_
- There is no discussion of an evaluation plan for the educational and outreach activities._x000D_
_x000D_
_x000D_
Please evaluate the strengths and _x000D_
weaknesses of the proposal with respect to any additional solicitation-specific review criteria, if _x000D_
applicable_x000D_
_x000D_
_x000D_
_x000D_
Summary Statement_x000D_
_x000D_
SUMMARY STATEMENT_x000D_
This is a good proposal addressing methods to measure a variety of wind fields relevant to the next generation of UAS. The research tasks are logically presented/justified and evaluated. The broader impacts outreach activities were relatively standard and lacked a concrete evaluation plan._x000D_
_x000D_
_x000D_
</t>
  </si>
  <si>
    <t>It is predicted that 250,000 unmanned aircraft will use U.S. national airspace every day by 2035. A majority of these unmanned aircraft will operate in low-altitude airspace in the atmospheric boundary layer, which is turbulent in nature. Wind and turbulence encounter is one major challenge that can affect unmanned aircraft system (UAS) flight performance, especially for small or micro UASs. Extreme weather, aircraft flying ahead at the same altitude, local structures/terrains can generate strong spatio-temporal winds that can affect nominal UAS flight conditions and induce undesirable effects. On the other side, bird flocks can extract energy from various dynamic flow fields such as thermal wind, wake vortices, and wind shear. Similar endurance-extending techniques will be particularly useful to small and micro UASs, which have wide applications by commercial users as well as law enforcement. However, there is limited understanding of the interaction between UASs and the surrounding wind flow. New sensing techniques and novel estimation and control strategies are needed to enable improved safety of UASs in dynamic wind fields, and new autonomy to mimic the smart wind surfing techniques of birds. UAS networks provide ideal platforms for full understanding of this problem, given its enhanced environment sensing capabilities (pressure, temperature and humidity)._x000D_
The research objective of this proposal is to apply distributed and collaborative sensing, cooperative control, and stochastic estimation theories to solve the problem of coordinating next generation networked UASs in dynamic flow fields. Specific tasks include: 1) developing new distributed and collaborative algorithms for spatio-temporal wind sensing; 2) developing a generalized model for UAS-wind interactions, which can also be used for the prediction of wind impact on UAS performance; 3) designing and flight testing new cooperative thermal sensing and soaring algorithms for UAS networks operating in nearby airspaces; 4) designing and flight testing novel wake vortex surfing algorithms based on proposed distributed pressure sensing techniques.The proposed research will intellectually contribute to scientific literature by creating an in-depth understanding of wind-UAS interaction through accurate modeling and prediction of wind impact on UAS flight performance. Several typical spatio-temporal winds will be characterized including wind shear, micro-bursts, and mechanical vortices. A second intellectual contribution is the introduction of new cooperative control strategies for endurance boosting including kettle-based collaborative thermal soaring and close-formation based wake vortex surfing. Both strategies will enhance the endurance of small UAS. A third intellectual contribution is the introduction of new collaborative and distributed flow sensing techniques to map spatio-temporal winds using mobile aerial sensing networks. This real-time instrument network can be used for advanced meteorological measurements.The proposed efforts can benefit both military and civilian applications including unmanned aircraft traffic managements, UAS safety certification, UAS health monitoring, long endurance surveillance and mapping. The developed new wind handling autonomy is critical to future UAS operations beyond line of sight. The second broader impact is the integration of advanced low-cost unmanned systems and associated estimation/control methods into the graduate and undergraduate curricula of the aerospace program at the University of Kansas. The third broader impact is to enhance public recognition of UAS technology through outreach activities. Small low-cost platforms will be used to foster UAS applications in environmental science communities,  to attract more K12 students into the engineering program, and to educate the public regarding the big potentials behind different unmanned autonomous systems.</t>
  </si>
  <si>
    <t>1751346</t>
  </si>
  <si>
    <t>Rrushi</t>
  </si>
  <si>
    <t xml:space="preserve"> Panel Summary       
  Description of project:_x000D_
_x000D_
This CAREER project aims to achieve zero-knowledge detection of malware targeting electrical power grid. The idea is to establish decoy devices or equipment and to ensure that malware is redirected to them. The project also includes modeling of adversarial cyber interaction and deception guided analytics.  _x000D_
_x000D_
Intellectual Merit:_x000D_
_x000D_
Strengths:_x000D_
_x000D_
(+) The PI builds on his prior background in security of industrial control systems and identifies an important problem space. The PI is knowledgeable about the vulnerabilities of current control system technologies. The implementation oriented aspects of the proposal (for example, use of physical simulators and FPGA-based hardware for emulation) are interesting and contribute to the proposed research plan. _x000D_
_x000D_
_x000D_
Weaknesses:_x000D_
_x000D_
(-) On the other hand, most attention in the proposal is drawn to the implementation aspects. The proposal is very weak on the methodological content and does not correctly detail the analytical tools that the PI intends to build on. Thus, the intellectual depth of the proposal is questionable. _x000D_
_x000D_
(-) The mathematical modeling of adversarial interaction is poorly described. The use of models/tools such as chaotic dynamical systems, Kalman filtering, game theoretic models is vague, at best. Also missing are connections with the existing work on power systems security and deception techniques in the security literature. _x000D_
_x000D_
(-) The structure of the proposal is hard to follow and is largely comprised of discussion / declarative statements, without proper justification of concrete steps that will be taken. Given the ambitious goals of the project, the proposal should also discuss potential risks and plan to address them. _x000D_
_x000D_
Broader Impacts:_x000D_
_x000D_
Strengths:_x000D_
_x000D_
(+) The PI has established a mentorship plan with senior faculty in his field. He also has plans to write a book on control systems security. _x000D_
_x000D_
(+) The collaboration plans with National labs and Defense agencies should help the PI to further advance his current research efforts and also improve its impact. _x000D_
_x000D_
_x000D_
Weaknesses:_x000D_
_x000D_
(-) The PI has not thought adequately about the ethical and societal implications of this research, especially potentially negative and serious implications resulting from training of untrusted entities on hacking of sophisticated power system components. _x000D_
_x000D_
(-) The role of current collaborators (both individuals and agencies) in translating the research to broader impact, and addressing some of the project risks is not explained. _x000D_
_x000D_
(-) While the teaching and outreach activities are interesting, the PI should focus on the intellectual and societal goals of these activities, and ensure that ethical aspects are not compromised. _x000D_
_x000D_
_x000D_
Constructive suggestions for improvement: The project needs major improvement in terms of models, methods (analysis tools), and procedures that are needed to carry out the proposed research. The project risks should be accounted for. The scientific merit of the proposed research need to be articulated. The PI must ensure safe and ethical dissemination of results from this project. _x000D_
_x000D_
_x000D_
Panel Recommendation:_x000D_
 _x000D_
The panel rated this proposal as Low Competitive. The primary reasons for this rating were: (a) Lack of methodological content and limited emphasis on concrete steps that will be taken to address the project goals; (b) No emphasis on project risks. 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</si>
  <si>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aims to develop an industrial mirage to attain 0-knowledge detection of malware based on engineering decoy I/O devices, modeling of adversarial cyber interactions, and deception guided analytics. _x000D_
_x000D_
(+) The PI has proposed to build on his prior work on security of industrial control systems and cyber-deception (wrote a book on the subject). _x000D_
_x000D_
(+) The problems of 0-knowledge detection, attack attribution, and isolation of malware are challenging problems, and even more so for power grids (with both legacy and modern ICT systems) and physical dynamics. _x000D_
_x000D_
(-) Unfortunately, the research question and proposed methodology lack scientific merit. The preliminary work is not well-linked to proposed research. The narrative tends to be descriptive without a clear articulation of anticipated contributions (from a research viewpoint). Important citations in the field of computer and network security as well as security of power systems are lacking. The research plan is a bit too abstract and should be made specific. _x000D_
_x000D_
(-) In many ways, the proposed research appears to be purely implementation focused. Evaluation criteria, benchmarking of results, and more importantly û potential pitfalls are not discussed (which is important given the ambitious agenda of the PI).  _x000D_
_x000D_
(-) The part on deception algorithms (e.g., use of chaos control theory) is extremely vague and does not connect well with other implementation oriented parts.  _x000D_
_x000D_
_x000D_
In the context of the five review elements, please _x000D_
evaluate the strengths and weaknesses of the proposal with respect to broader impacts._x000D_
_x000D_
(+) The PI has sought mentorship from senior faculty in his field and has collaborations with National Labs and Defense Agencies. These collaborative efforts have the potential to significantly improve the broader impact; (However, as mentioned above, the PI does not highlight how these collaborations can help in mitigating project risks.)_x000D_
_x000D_
(+) The education and outreach activities and industrial collaboration are strong points of this proposal. _x000D_
_x000D_
(-) The ongoing work on Textbook on control systems security is interesting but the proposal itself needs more specifics on how the outcome of this project can/will help improve the value of the book. Similar comment applies to revision/enrichment of existing courses. _x000D_
_x000D_
_x000D_
Please evaluate the strengths and _x000D_
weaknesses of the proposal with respect to any additional solicitation-specific review criteria, if _x000D_
applicable_x000D_
_x000D_
_x000D_
_x000D_
Summary Statement_x000D_
_x000D_
The goal to attain 0-knowledge detection of malware in power systems via use of decoys and deception algorithms is ambitious. However, the proposal lacks clear articulation of research goals and justification of scientific agenda. Based on this observation, the reviewer rates this proposal as FAIR. _x000D_
_x000D_
_x000D_
</t>
  </si>
  <si>
    <t xml:space="preserve">In the context of the five review elements, please _x000D_
evaluate the strengths and weaknesses of the proposal with respect to intellectual merit._x000D_
_x000D_
+ the idea of using decoys for industrial control systems, and the presented approach are plausible_x000D_
+ The project will develop a stack of deception layers that will be included in SW/HW of industrial control machines. _x000D_
-most of the work will be in the form of researching systems and identifying properties and models that can be used with the above concept. Not very clear if the science will advance. _x000D_
- how can the system ensure that service discovery programs are not mistaken for malware, using the proposed 0-knowledge scheme (which assumes any attempt to access the decoy NIC is by a malware)?_x000D_
- the proposed mathematical modeling of a complex system, will be too much for this proposal. _x000D_
_x000D_
_x000D_
In the context of the five review elements, please _x000D_
evaluate the strengths and weaknesses of the proposal with respect to broader impacts._x000D_
_x000D_
+the education and outreach plans are standard and adequate; _x000D_
-too much may have been promised and the plan is not straightforward._x000D_
_x000D_
Please evaluate the strengths and _x000D_
weaknesses of the proposal with respect to any additional solicitation-specific review criteria, if _x000D_
applicable_x000D_
_x000D_
_x000D_
_x000D_
Summary Statement_x000D_
_x000D_
The proposal aims at developing cyber defense mechanisms using decoys of actual physical systems in cyber space. The ideas are interesting, but the approach is somewhat vague and not well established. Too much is being promised by the proposal, without clear evidence or approach supporting possible success._x000D_
_x000D_
</t>
  </si>
  <si>
    <t xml:space="preserve">In the context of the five review elements, please _x000D_
evaluate the strengths and weaknesses of the proposal with respect to intellectual merit._x000D_
_x000D_
The proposal is about the design of advanced mechanisms to fool cyber-attacks, notably in the context of the power grid. The proposal is articulated around teh concepts of "industrial mirage". The project consists_x000D_
of a stack of deception layers that are integrated into the software, firmware, and hardware to create the "mirage"._x000D_
_x000D_
+ This is a very important problem, and the mechanisms imagined by the PI are ingenious._x000D_
_x000D_
+ The PI projects the feeling that he is very capable of performing the proposed research._x000D_
_x000D_
-/+ The methodological contents of the work is poor, so is the analytical contents: The PI is clear about this, since he proposes mostly experimental approaches to validate the proposed work. _x000D_
_x000D_
- The bibliography is very short. It looks very insufficient with regards to the field of interest to the PI._x000D_
_x000D_
- The attempt at embedding the PI's approach within an analytical framework is poor: The PI fails to justify why the adversarial element should be modeled as a chaotic system. The mention of Kalman filtering feels very tacky and is not justified either. _x000D_
_x000D_
- Likewise, the description of using deception-guided big data analytics is vague and ill-justified._x000D_
_x000D_
_x000D_
_x000D_
In the context of the five review elements, please _x000D_
evaluate the strengths and weaknesses of the proposal with respect to broader impacts._x000D_
_x000D_
+ With regards to the industrial application, this proposal is likely to have a very strong impact. The author is clearly equipped to build the kind of deception-driven cyber-defense tools that are needed. _x000D_
_x000D_
+ The education plan is very interesting and coherent, and it contains many good ideas, such as the summer camps and the research testbeds supporting teaching._x000D_
_x000D_
- The number of activities might be too large to implement as a whole._x000D_
_x000D_
- There is a spurious "University of Illinois, Urbana Champaign" student in the summer camp description that is not introduced anywhere else._x000D_
_x000D_
_x000D_
Please evaluate the strengths and _x000D_
weaknesses of the proposal with respect to any additional solicitation-specific review criteria, if _x000D_
applicable_x000D_
_x000D_
_x000D_
_x000D_
Summary Statement_x000D_
_x000D_
The reasons for rating this proposal as good-to-fair are as follows: The proposed plan is very convincing from a technological viewpoint, and the PI appears to be very competent on the matter. However, the kind of analyses that are proposed to support the validity of the approach do not to be well-connected to the proposed technology. It is difficult, for example to trace the relation between the proposed control systems approach and the systems it is supposed to analyze._x000D_
_x000D_
_x000D_
_x000D_
</t>
  </si>
  <si>
    <t xml:space="preserve">In the context of the five review elements, please _x000D_
evaluate the strengths and weaknesses of the proposal with respect to intellectual merit._x000D_
_x000D_
The proposal is to develop "honeypots" for malware intended to attack the power grid. The goal is to deliberately expose computers on the network that appear to be controlling electric power generation and distribution infrastructure but are actually only controlling simulated devices. The idea is to develop malware detection techniques that have no prior knowledge of the particular malware (in contrast to conventional malware detection techniques that are heavily based on fingerprints of the malware)._x000D_
_x000D_
_x000D_
Intellectual Merit:_x000D_
_x000D_
Strengths:_x000D_
+ The problem area is extremely important._x000D_
+ The PI is knowledgable about the relevant control systems technologies and their vulnerabilities._x000D_
+ The proposal to leverage physical simulators to enhance the realism of the "mirage" is well thought out._x000D_
+ The proposal to go even further and develop FPGA-based hardware that will emulate real physical devices but that can be harmlessly attacked is clever._x000D_
_x000D_
_x000D_
In the context of the five review elements, please _x000D_
evaluate the strengths and weaknesses of the proposal with respect to broader impacts._x000D_
_x000D_
Strengths:_x000D_
+ To the extent that engineers likely to be involved in power system design and operation are involved, this project could be very important._x000D_
_x000D_
Weaknesses:_x000D_
- The PI's outreach plan may not be very well thought through. He plans to run summer camps where students will learn to attack the power grid and learn something about how their defenses might work in the future, but almost certainly do not work now.  If these summer camps were targeted at engineers who were likely to become involved in design and operation of the power grid, then I could see how this might be a good thing. But they are targeted instead at anyone off the street. The PI proposes to offer them in collaboration with a local community college and make them accessible to a broad audience. Generally, I like and appreciate broadening participation and reaching out to audiences beyond the hard-core engineering community, but not with this topic. Recall that the September 11 hijackers took flying classes where they were able to skip the lessons about landing. I feel strongly that the federal government should not pay for this kind of outreach. The PI goes further and proposes to develop workshops for the general public. What will the general public do with this information? On net, the potential broader impacts of this sort of proposed outreach could be very negative._x000D_
_x000D_
_x000D_
Please evaluate the strengths and _x000D_
weaknesses of the proposal with respect to any additional solicitation-specific review criteria, if _x000D_
applicable_x000D_
_x000D_
_x000D_
_x000D_
Summary Statement_x000D_
_x000D_
I recommend rethinking completely the outreach efforts associated with this proposal._x000D_
_x000D_
</t>
  </si>
  <si>
    <t>The PI proposes to research and develop a distributed defensive deception capability that intercepts, disruptively influences, tracks, neutralizes, and forensically analyzes malware attacks on the electrical power grid. This will be mostly multifaceted computer science and engineering research, with elements of mathematics and statistics, that focuses on the industrial control systems and the general-purpose computing infrastructure of the electrical power grid. The project will develop an effective industrial mirage, and will leverage it to protect the electrical power grid. One of the thrusts of this proposal is the hacking, in a programming sense, of the operating system kernel. The goal is to engineer decoy targets and target search mechanisms, with foundations in decoy I/O devices such as network interface cards, disks and solid state drives, and I/O boards. Another thrust is the research of deception algorithms based on mathematical learning of adversarial cyber interactions, and supported by decoy I/O devices. The deception algorithms will redirect malware toward decoys, and will inject various decoy data into their computing. Yet another thrust is to research deception-guided big data analytics for second-order detection of malware. The overall industrial mirage mechanisms will receive support at the hardware level by the means of a deception processor.This project has potential to attain 0-knowledge detection of malware bound for the electrical power grid. Detection will occur on the very first encounter with malware. Decoy I/O devices and power grid equipment would be attacked by malware without a single network packet ever leaving the boundaries of the kernel of the compromised computer. The project will control the behavior of malware mathematically and hence with high accuracy. Malware will be actively redirected to decoys, and further on will be intelligently investigated and tracked for attack attribution. The invention of a realistic formalism to model multi-stage adversarial cyber interactions addresses an open research problem, and overcomes the game-theoretic requirement of a stable environment, which may not be guaranteed in computers and networks. To the best of the PI's knowledge, this project is the first to investigate deception-guided big data analytics for malware detection in the electrical power grid. The deception processor is a new concept and is best placed to hide and protect the various mirage mechanisms. These are all cohesive approaches that work together in secrecy to counter the most advanced of malware and exploit techniques.This research will make it highly complex for malware to find their way to their targets in the electrical power grid without falling into a trap. The project will advance discovery in the areas of anti-malware and attack tolerance for computers and controllers in the electrical power grid. It will advance attack attribution by enabling effective cyber operations against malware. Society will benefit from a dependable electrical power grid. The project will contribute to the education of our students through their involvement in research, a new course on control systems security, incorporation of a control system security research component into some of the courses of our CISS program, joint summer camps with the Whatcom Community College, and a new book on control systems security.</t>
  </si>
  <si>
    <t>1751420</t>
  </si>
  <si>
    <t xml:space="preserve"> Panel Summary       
 The objective of this proposal is to develop an access control platform for IoT applications. The proposal identifies features that distinguish the security problem for IoT from ordinary IT. The platform includes resource management; privacy-preserving encryption approaches (PEP); blending of multiple controllers; integrating data from analog signals; and verification through simulation._x000D_
_x000D_
Intellectual Merit:_x000D_
_x000D_
Strengths:_x000D_
+ The IoT security problem in general and its application to drone control is an important problem area and central to the CPS program._x000D_
+ The multi-controller problem is important and challenging._x000D_
+ A validation plan with an experimental setup is included._x000D_
+ The PI appears qualified to conduct research in this area._x000D_
_x000D_
Weaknesses:_x000D_
- A number of technical approaches in the proposal are not adequately substantiated, such as how cryptographic operations can be safely migrated (outsourced), how fuzzy logic will be used, how the simulation platform will be designed and used, what approach will be taken to the multi-control problem, how timing constraints will be managed, and how analog signals fit in. Perhaps focusing on a few of these would help rather than attempting such a broad attack on the problem._x000D_
- Where technical approaches are given, such as PEP, they are not adequately justified. Why is PEP particularly appropriate for this problem? Why is Raspberry Pi a good choice for a simulation platform?  Why are MATLAB, GENI, and ns3 good choices for "prototype and device driver" development and simulation?_x000D_
- Some of the techniques proposed lack novelty, such as detection based on predicted error and ADS-B that uses the fusion of backup record to address ghost flights. Is the proposal here integration of known methods into a framework? Proposed contribution could be clearer._x000D_
- The proposal is difficult to read, which makes the reviewers' job much more difficult. It is not self contained and in places is incoherent._x000D_
_x000D_
Broader Impacts:_x000D_
_x000D_
Strengths:_x000D_
+ Ambitious and comprehensive outreach efforts include new course development, mentoring under represented students, connecting with outreach organizations, conducing workshops, and arranging media interviews. _x000D_
_x000D_
Weaknesses:_x000D_
- The outreach plan could be more focused. Is it realistic to pursue so many outreach efforts? Perhaps focus on a few with better development._x000D_
- The proposal names a number of specific people with whom the PI intends to collaborate, but no support letters from these people are provided verifying a willingness to collaborate._x000D_
_x000D_
Panel Recommendation:_x000D_
 _x000D_
The panel rated this proposal as Not Competitive. The primary reason for this rating was insufficient justification for the technical approaches and lack of focus in outreach efforts._x000D_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</si>
  <si>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 the proposal is unclear on what specific new approaches or scientific advancements will be made_x000D_
- Many ideas are discussed and promised to be investigated. _x000D_
- Tasks B1,2,3 seem somewhat disjoint._x000D_
_x000D_
In the context of the five review elements, please _x000D_
evaluate the strengths and weaknesses of the proposal with respect to broader impacts._x000D_
_x000D_
+ outreach and education plans are well described and seem achievable_x000D_
- except for plans such as being interviewed by local media (a more proactive approach may be needed)._x000D_
_x000D_
Please evaluate the strengths and _x000D_
weaknesses of the proposal with respect to any additional solicitation-specific review criteria, if _x000D_
applicable_x000D_
_x000D_
_x000D_
_x000D_
Summary Statement_x000D_
_x000D_
The proposal is not well developed as a plan for research. In particular, the specific scientific concepts or approaches need to be identified. There are also too many subjects that are promised to be investigated._x000D_
_x000D_
</t>
  </si>
  <si>
    <t xml:space="preserve">In the context of the five review elements, please _x000D_
evaluate the strengths and weaknesses of the proposal with respect to intellectual merit._x000D_
_x000D_
The proposal "New Access Control Mechanism for Internet of Things and_x000D_
its Application of Air Vehicle System" is about developing a variety of mechanisms to control the access to intelligent objects (things). Based on the realization that some intelligent objects can engage in safety-critical activities, the author proposes a range of techniques to enable access control and detect misbehaviors of remotely accessible objects. It is proposed to examine the specifics of access control in applications such as the operation of drones and architectures are offered for that purpose._x000D_
_x000D_
+ The proposal sits squarely within the mission of the CPS program._x000D_
_x000D_
+ The author is rightly pre-occupied not only by the downlink (from object to network) aspects of IoT, but also by the uplink aspects (from network to object), that is, the control/actuation side of the problem._x000D_
_x000D_
+ The author proposes a holistic/multilayered approach, whereby the first layer takes care of the low-level communication protocol, the second layer examines the problem of several agents controlling the same system (an autonomous aircraft), and the third layer attempts at leveraging environmental factors, such as the multitude of continuous control signals to design better access control schemes._x000D_
_x000D_
+ The Thrust D is a useful validation activity, which is well supported by the PI's prior experience and credentials. _x000D_
_x000D_
+Thrust B formulates a good problem._x000D_
_x000D_
- The author makes air traffic control and autonomous aircraft the core applicative element of the proposal. However, the bibliography search is very approximate and quite biased, leading the author to misperceive the true challenges facing air traffic control today and tomorrow._x000D_
_x000D_
- The rejection of the current access control schemes is somewhat expedited and badly justified. _x000D_
_x000D_
- There is no discussion about the central issues surrounding access control to actuators: In Section A-1, there is no analysis of the problems before posing a solution. Do we have a hammer looking for a nail? _x000D_
_x000D_
-The encryption/decryption architecture proposed in Task A-2 looks complicated and somewhat badly justified: What kind of advantages can be expected from delocalizing the decryption problem? Is it true that drones will not have the computer power to manage cryptography problems on their own?_x000D_
_x000D_
-Thrust B lacks the details necessary for the reader to understand whether the researcher will be capable of solving the problem well._x000D_
_x000D_
- Thrust C, in principle quite interesting, drifts the proposal into a highly speculative mode, where proposed approaches to handle specific aspects of control systems are (i) unjustified and (ii) vague (use of fuzzy logic? Data fusion algorithms). This section is also badly documented with existing approaches._x000D_
_x000D_
- The proposal, although sensible, is written in very bad English, and that makes reading it quite difficult. _x000D_
_x000D_
- The author has wasted precious resources by repeating some elements of the proposal too often, this wasting writing space and confusing the reader._x000D_
_x000D_
- The set of validation tasks in Thrust D is quite overwhelming._x000D_
_x000D_
In the context of the five review elements, please _x000D_
evaluate the strengths and weaknesses of the proposal with respect to broader impacts._x000D_
_x000D_
+ Good curriculum development ideas, with demonstrated achievement (projects accomplished by minority women. Demonstrated good working experience with graduate students._x000D_
_x000D_
+Outreach Plan: NSF Service for Scholarship is interesting. _x000D_
_x000D_
+ The author takes good "advantage" of the University's involvement with Native Hawaiian. _x000D_
_x000D_
+ The outreach plan looks quite overwhelming, however. Maybe a more focused outreach activity could have more impact?_x000D_
_x000D_
- The author claims industry experience, however, no specific such industry is mentioned in the proposal._x000D_
_x000D_
Please evaluate the strengths and _x000D_
weaknesses of the proposal with respect to any additional solicitation-specific review criteria, if _x000D_
applicable_x000D_
_x000D_
_x000D_
_x000D_
Summary Statement_x000D_
_x000D_
This proposal is preoccupied by the important problem of "network - to - object" communication in the context where the object operates in a safety-critical environment. However, several key flaws impact the potential for the proposal to offer a positive outlook, including an insufficient justification of the problems to be worked on and a somewhat vague discussion of the thrusts beyond Thrust A. Together with the poor writing style, all these reasons contribute to this proposal to be rated as poor._x000D_
_x000D_
</t>
  </si>
  <si>
    <t xml:space="preserve">In the context of the five review elements, please _x000D_
evaluate the strengths and weaknesses of the proposal with respect to intellectual merit._x000D_
_x000D_
The PI proposes to investigate access control mechanisms for Internet of Things (IoT) devices. The proposal identifies a number of features that distinguish the security problem for IoT devices from ordinary data-centric security in Information Technology (IT) devices and services. The proposal includes a blend of policy-level security practices and technologies._x000D_
_x000D_
Unfortunately, the proposal is rather badly written. It does not give a cogent, self-contained explanation of the proposed technologies, instead referring the reviewer to the prior work of the PI. The extensions proposed to address the particular concerns of IoT seem, at times, naive. For example, "in order to lightweight the computational cost at the Thing side, the PI outsources the heavy cryptographic operations to the trusted third party." How? Fundamentally, if the third party is accessed through the network without using cryptographic operations (since those are outsourced), how can this possibly provide security?  The proposed project plans to build on a technique called Polymorphic encryption and Pseudonymisation, abbreviated as PEP, but it does not clearly explain why this is a good choice for IoT. It mentions using Fuzzy Logic, but gives no indication of how, except that it will be "verified in MATLAB." It proposes to use simulation for evaluation, oddly basing this on a Raspberry Pi platform. Why is this a good choice for simulation?  It also says it will use GENI, ns3, and MATLAB for simulation, but does not explain how. GENI and MATLAB are not really simulation engines. The former is more of a prototyping environment and the latter is more of a programming language.  The proposal seems confused about analog signals (which it calls "continues signals" and how they affect security. And it talks about preventing "any one single compromised controller/ATC from manipulating the access privilege by leveraging the XOR-operation secret sharing scheme." But if no one single controller can control the drone, how will it effectively be controlled? This seems extremely challenging, and no hint is given. The proposal also seems to imply that all that is needed to address a "time-critical application" is "computational efficiency." This is not true._x000D_
_x000D_
_x000D_
In the context of the five review elements, please _x000D_
evaluate the strengths and weaknesses of the proposal with respect to broader impacts._x000D_
_x000D_
The broader impacts section of the proposal is boilerplate and generic._x000D_
_x000D_
Please evaluate the strengths and _x000D_
weaknesses of the proposal with respect to any additional solicitation-specific review criteria, if _x000D_
applicable_x000D_
_x000D_
_x000D_
_x000D_
Summary Statement_x000D_
_x000D_
Overall, the proposal does not inspire confidence that it will lead to high quality research results. Moreover, it seems to miss that IoT devices, unlike many IT devices, are physically exposed, and therefore may require hardware innovations such as Intel's SGX. Also, it does not mention opportunities around exploiting physical locality, another property of IoT devices that can be leveraged for access control._x000D_
_x000D_
_x000D_
</t>
  </si>
  <si>
    <t xml:space="preserve">In the context of the five review elements, please _x000D_
evaluate the strengths and weaknesses of the proposal with respect to intellectual merit._x000D_
_x000D_
The objective of this proposal is to develop an access control platform for broad IoT applications. The platform includes four thrusts. The Architecture thrust addresses resources of different kinds, outsources some computation, and uses polymorphic encryption and pseudonymisation. The Systems thrust addresses the multi-controller problem. The Means thrust extracts important data in special scenarios---analog and continuous signal, context rich information, and misbehavior. _x000D_
_x000D_
strengths:_x000D_
_x000D_
+The multi-controller problem is very important to investigate for IoT applications. The PI proposes a very comprehensive access control solution. A validation plan is included with an experimental set-up. _x000D_
_x000D_
+ The PI has a good background in air traffic and access control in conducting the proposed tasks. _x000D_
_x000D_
Weakness: _x000D_
_x000D_
- While the scope of the proposal is broad and the content is comprehensive, each individual task lacks in-depth development to show breakthrough contributions. For instance, the detection based on predicted error isn't new. Same thing goes to the ADS-B that uses the fusion of backup record to address ghost flights. The performance of the proposed method needs in-depth fundamental analysis to achieve performance guarantees. _x000D_
_x000D_
_x000D_
In the context of the five review elements, please _x000D_
evaluate the strengths and weaknesses of the proposal with respect to broader impacts._x000D_
_x000D_
Strengths_x000D_
_x000D_
+ The PI proposes new course development, mentoring underrepresented students, and conduct a series of outreach activities that leverage the connections with outreach organizations.  Dissemination activities include conducing workshops and media reports._x000D_
_x000D_
Weakness_x000D_
_x000D_
- The PI proposes to collaborate with several renowned researchers and societies, however no collaboration letters are included to show the commitment. _x000D_
_x000D_
_x000D_
Please evaluate the strengths and _x000D_
weaknesses of the proposal with respect to any additional solicitation-specific review criteria, if _x000D_
applicable_x000D_
_x000D_
+ The education and research plans are well integrated._x000D_
_x000D_
Summary Statement_x000D_
_x000D_
The principal reason for my rating of good/fair is the comprehensive development of access control schemes for IoT, which is an important problem to address. The PI is suggested to include in-depth development to demonstrate novelty of the proposed tasks._x000D_
_x000D_
</t>
  </si>
  <si>
    <t>We are now witnessing a revolution of technology, with the advent of Internet of Things (IoT) boosting the growth in a number of devices, equipped with actuators and sensors, around us and kindling the possibility of umpteen number of applications. Thing such as the unmanned aerial vehicle, commonly known as a drone, facilitates us to accomplish a number of tasks ranging from precision agriculture to search and rescue operations in our daily lives. Looking forward, even the new e-aircraft will be connected and controlled. In point of fact, IoT is already woven into the fabric of our everyday life. The management of these sophisticated unmanned aerial vehicles requires the design of an appropriate system to achieve the safety and security goals. Otherwise, potential violations may lead to unpredictable catastrophic consequence especially, the threat to persons' live. A glaring obstacle to the widespread deployment of IoT e.g. the Internet of Drone is the security and safety concerns, especially the growing demand for access control mechanisms which are a set of controls to restrict an illegitimate subject (controller) from accessing and operating a particular object (e.g. drone). Despite recent work on the IoT access control mechanism, there are currently some un-addressed unique characteristics of IoT, i.e. safety restrictions, heterogeneous hardware limitation, highly dynamic operating environments, and complicated context. The career proposal seeks to develop a novel access control platform for the IoT in order to achieve the safety- and security-criticality objective. This coherent platform is composed of a collection of new frameworks, theories, designs, and cryptographic primitives to conform to IoT's unique characteristics. This career proposal describes the PI's five-year plan to integrate the access control research with the education for both undergraduate and graduate students and to collaborate with industry for the purpose of commercialization.The PI proposes four key problems and variations of these problems concerning the access control models for IoT. Developing solutions to those problems will require interdisciplinary methodologies such as applied cryptography, trust models, digital communication technologies, fuzzy systems and signal processing. The detailed goals show four folds, namely: architecture, system, means and verification platform. First, the project establishes a new access control architecture which addresses the requests of safety-critical missions. Second, the project constructs a general access control model. The PI identifies the access control problems regarding a variety of components in IoT and provides a novel access control proof-of-concept. Third, the project designs a number of novel access control means. The PI enumerates a few access control scenarios (e.g. the swarms of mini-drones) in IoT applications. Some dynamic, flexible, context-aware, and efficient access control methods are designed to address the above challenges. Fourth, the proposed solutions are verified with self-designed and commercial experimental platforms upon which the proposed approaches can be validated. The methodology of this project is to build a proof-of-concept platform to develop, verify and promote a comprehensive methodology for access control mechanisms of IoT. It focuses on the integration of cybersecurity metrics with other diverse metrics, such as safety into a single methodological and technological framework.This work will impact the design of future security, especially, the access control mechanism in a variety of areas including autonomous vehicles, smart home systems, medical or healthcare devices, manufacturing, robotics, and other Internet of Things domains. In all cases, any smart devices equipped with actuators and sensors may be mishandled to threaten human beings? lives without appropriate access control designs. This work will also reflect the embedded system development regarding the security issues. The PI has a proven established track record in creating and promoting the curriculum and recruiting a diverse set of students. The PI intends to disseminate the research outcomes to the security society by hosting workshops and to spread the security knowledge to government or military agents in the community of Hawaii. More importantly, the PI plans to use lessons from this work in the classroom to attract and train more female and underrepresented students of Hawaii. Furthermore, the PI plans to use lessons from this work in the classroom to attract and train more students.</t>
  </si>
  <si>
    <t>Collaborators doc is support letters</t>
  </si>
  <si>
    <t>The collaborators document is 3 letters of support, not the list of collaborators and other conflicts (including names of advisors).</t>
  </si>
  <si>
    <t>1751454</t>
  </si>
  <si>
    <t xml:space="preserve"> Panel Summary       
 Description of project:_x000D_
_x000D_
The PI proposes research to advance System-on-Cloth (SoCl) wearable device technology.  SoCl products embed sensors and supporting electronics in the material fibers and fabric used in clothing.  Proposed research includes modeling and testing of fabrics with embroidered electronics and deploying cloud-based software to facilitate the design-to-manufacturing process for SoCl products. K-12 outreach and STEM education activities will expose a broad community to SoCl design along with underlying CPS sensing technologies._x000D_
_x000D_
Intellectual Merit:_x000D_
_x000D_
Strengths:_x000D_
+ An excellent level of detail was provided for all aspects of SoCl technologies.  _x000D_
+ The literature review was comprehensive and well connected to the proposed SoCl research._x000D_
+ Careful modeling of SoCl physical characteristics is a fundamental advance on which multi-disciplinary designers can build.  Tensile strength, temperature change tolerance, and resilience to fabric deformation are important to understand._x000D_
+ Cloud-based design-to-manufacturing will be of importance to ensure technologists interact with designers and to obtain early feedback from potential SoCl users.  _x000D_
+ The PI has established a laboratory equipped to jump start the proposed research.   _x000D_
_x000D_
Weaknesses:_x000D_
- Focus on cloud-based manufacturing may be premature, though the PI is encouraged to maintain vision and ambition to advance SoCl technology through production._x000D_
_x000D_
Broader Impacts:_x000D_
_x000D_
Strengths:_x000D_
+ This proposal has excellent broader impact in offering a product (SoCl) that might revolutionize wearable device convenience and pervasiveness._x000D_
+ SoCl can be a powerful outreach mechanism to attract students with primary interest in humanities, art, and design to learn about wearable CPS device technologies._x000D_
+ Open-access cloud-based SoCl design and manufacturing is an enabler for this multi-disciplinary outreach as well as the research._x000D_
+ SoCl impact can extend beyond the applications already identified, such as aiding the visually-impaired population. _x000D_
_x000D_
_x000D_
Weaknesses:_x000D_
- None_x000D_
_x000D_
_x000D_
Constructive suggestions for improvement:_x000D_
This proposal was strong in both intellectual merit and broader impact.  The panel recommends the PI maintain appropriate balance between enthusiasm for cloud-based SoCl manufacturing and a realistic timeline for large scale SoCl production._x000D_
_x000D_
Panel Recommendation:_x000D_
 _x000D_
The panel rated this proposal as Highly Competitive. The primary reasons for this rating were the excellence in innovation, technical depth, and compelling broader impacts SoCl development and cloud-based interface offer.  _x000D_
 SoCl may revolutionize wearable CPS devices, and the PI is well-qualified and well-positioned to make this happen._x000D_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</si>
  <si>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 System-on-cloth products are compelling as a means to monitor health and improve comfort/entertainment in the next generation._x000D_
+ The PI has established a strong record in this area and is well-qualified to perform the proposed research._x000D_
+ The literature review is comprehensive and clearly cited in the proposal._x000D_
+ The research has appropriate depth with respect to studying the fabrics and their performance._x000D_
+ Manufacturing scheduling (resource allocation) is important for widespread cost-effective production._x000D_
- While low-level components might be embedded in a fabric it is unclear how the SoCl would support complex components.  Will complex sensors or processors be embedded or mounted separately and connected through the suit? What about heat management and energy storage?  _x000D_
- Performance metrics are not clearly defined with respect to how the SoCl product would perform relative to add-on monitoring systems._x000D_
- It is unclear how much expertise in SoCl a designer will need to have to successully use the open-source (cloud) products for SoCl.  _x000D_
- The PI has an existing NSF project in a similar topic but doesn't make clear how the proposed CAREER project is distinct. It appears the projects are distinct, but it would be good for the PI to make explicit the distinction in the proposal._x000D_
_x000D_
In the context of the five review elements, please _x000D_
evaluate the strengths and weaknesses of the proposal with respect to broader impacts._x000D_
_x000D_
+ The PI has established a strong record of outreach and involvement of underrepresented groups._x000D_
+ The proposal is quite strnog in its description of how to involve the general public in manufacturing and production._x000D_
No weaknesses in broader impact noted._x000D_
_x000D_
_x000D_
Please evaluate the strengths and _x000D_
weaknesses of the proposal with respect to any additional solicitation-specific review criteria, if _x000D_
applicable_x000D_
_x000D_
+ This project is central to CPS with its physical SoCl development investigation._x000D_
_x000D_
Summary Statement_x000D_
_x000D_
The PI proposes a project to develop a System on Cloth (SoCl) garment manufacturing capability.  A feature of this proposal is its extension of SoCl to include cloud-based manufacturing.  The idea is novel, the PI is well-qualified, and the broader impacts are very strong.  Specific details on wearable electronic product component accommodation, along with  more in-depth discussion of challenges of integrating within a manufacturing cloud, particularly given the early stage of SoCl development, would be welcome._x000D_
_x000D_
</t>
  </si>
  <si>
    <t>XN1001516</t>
  </si>
  <si>
    <t>Chou</t>
  </si>
  <si>
    <t>kevin.chou@louisville.edu</t>
  </si>
  <si>
    <t xml:space="preserve">In the context of the five review elements, please _x000D_
evaluate the strengths and weaknesses of the proposal with respect to intellectual merit._x000D_
_x000D_
Strengths:_x000D_
The proposal is well written and organized. PI seems qualified and has needed expertise and needed facilities._x000D_
The proposed research has potential to advance integrating electronics in textile materials for wearable electronics design/manufacturing._x000D_
_x000D_
Weaknesses:_x000D_
Some of project descriptions are of too high a level (framework per se), but little focus on fundamentals. For example, proposed Task 2 and Task 3 do not seem to address fundamental research, rather focusing on design/ applications oriented studies. It is not fully clear what basic understanding will be gained from this research project._x000D_
_x000D_
In the context of the five review elements, please _x000D_
evaluate the strengths and weaknesses of the proposal with respect to broader impacts._x000D_
_x000D_
Strengths:_x000D_
The research may promote mass production of wearable electronics for monitoring human body activities._x000D_
The proposed educational activities have the potential to inspire underrepresented K-12 students' interest in pursuing a STEM career._x000D_
_x000D_
Weaknesses:_x000D_
There are many good and new ideas, but also a bit ambitious. For example, Task E2 calls for "Establishing Demonstrable Manufacturing Platforms for Students of All Levels." This requires a bit more details of discussions; what resource (facility and personnel) will be needed, what support will receive from institution for this initiative?_x000D_
_x000D_
Please evaluate the strengths and _x000D_
weaknesses of the proposal with respect to any additional solicitation-specific review criteria, if _x000D_
applicable_x000D_
_x000D_
_x000D_
_x000D_
Summary Statement_x000D_
_x000D_
PI proposed to investigate wearable electronics, in particular, stitching circuits onto clothes. The goal is to establish a framework that integrates electronics, design-to-manufacturing translation, and cloud manufacturing. The proposal seems to lack of major efforts toward fundamental research. It is not clear what basic knowledge will be gained from the proposed research. The proposed educational plan aligns well with the objectives to broaden participants from K-12, undergraduate, and graduate students, provide rich multidisciplinary classroom and non-classroom experiences for all levels of students._x000D_
_x000D_
</t>
  </si>
  <si>
    <t>WN0973608</t>
  </si>
  <si>
    <t>Ding</t>
  </si>
  <si>
    <t>yuding@tamu.edu</t>
  </si>
  <si>
    <t xml:space="preserve">In the context of the five review elements, please _x000D_
evaluate the strengths and weaknesses of the proposal with respect to intellectual merit._x000D_
_x000D_
This CAREER proposal attempts to pair cloud manufacturing and embroidered wearable electronics technique to facilitate the realization of System-on-Cloth and maximize its practical impact.  The PI argued that in order for this to happen, a number of challenges needs to be addressed:  (a) reliability and functionality of the electronics; (b) automation, an electronic design automation software that is the backstage processing brain, enabling that both customers and manufacturers can easily pursue new uses of the technology; (c) Develop and deploy open library, open source code, and open architecture, which are essential to the success of a cloud manufacturing that can actually be used by common consumers._x000D_
_x000D_
Strength:_x000D_
_x000D_
1. The embroidered wearable electronics technique appears to be an interesting technique that holds a lot of potential.  _x000D_
_x000D_
2. Paring cloud manufacturing with system-on-cloth appears to be a good idea, an area where the cloud manufacturing may really be needed and if available, could potentially make a great impact._x000D_
_x000D_
3. The PI identified a sensible set of problems to be addressed for the stated objective._x000D_
_x000D_
4. The PI has done preliminary analysis in the proposed research.  The resources available to the PI appear adequate._x000D_
_x000D_
_x000D_
Weakness_x000D_
_x000D_
1. While there seems basic research questions in Task 1 for developing the hardware electronics, I do not see what the research challenges are in Task 2 and Task 3.  These Tasks read more like development, and sometimes educational, like creating and posting a youtube video to teach others how to do assembly._x000D_
_x000D_
_x000D_
In the context of the five review elements, please _x000D_
evaluate the strengths and weaknesses of the proposal with respect to broader impacts._x000D_
_x000D_
Strength:_x000D_
_x000D_
- The proposed prototype is an excellent demonstration platform to engage students at all levels and reach out to the general public._x000D_
_x000D_
- The PI has an excellent track records in terms of student engagement and outreach activities._x000D_
_x000D_
- The proposal has a well-crafted assessment plan for its educational objective._x000D_
_x000D_
Weakness_x000D_
_x000D_
- Nothing in particular._x000D_
_x000D_
_x000D_
Please evaluate the strengths and _x000D_
weaknesses of the proposal with respect to any additional solicitation-specific review criteria, if _x000D_
applicable_x000D_
_x000D_
_x000D_
_x000D_
Summary Statement_x000D_
_x000D_
The proposal is reasonably well written.  The idea of developing a cloud manufacturing for wearable electronics appears to be an interesting idea.  The PI asked many good questions in the proposal but two out of three research tasks do not specify the basic research questions to be addressed.  It left the feeling that although a lot of things need to be done and doing so will take a lot of time, but to do so is not particular difficult; rather it just needs some warm body's dedication and efforts._x000D_
_x000D_
</t>
  </si>
  <si>
    <t>SN0846777</t>
  </si>
  <si>
    <t>Huang</t>
  </si>
  <si>
    <t>yongh@ufl.edu</t>
  </si>
  <si>
    <t xml:space="preserve">In the context of the five review elements, please _x000D_
evaluate the strengths and weaknesses of the proposal with respect to intellectual merit._x000D_
_x000D_
The research goal of this CAREER project is to establish a cloud manufacturing framework for embroidered wearable electronics as an accessible platform technology towards System-on-Cloth. The ultimate goal is to enable anyone to design their own desired wearable devices on cloth through cybermanufacturing systems._x000D_
_x000D_
There are three research objectives: 1) understand physical variations of conductive threads and flexible electronics by physical modeling and experimental testing for embroidered electronics, 2) create Electronic Design Automation (EDA) software to realize design-to-manufacturing translation, and 3) explore a cloud manufacturing framework with open architecture, open source code, and friendly user-interfaces._x000D_
_x000D_
Strengths: _x000D_
1) The proposal is well-written, and the research tasks are clearly listed._x000D_
2) Cloud-based electronic design automation will be of interest to the research community as well as the industry._x000D_
_x000D_
Weaknesses: _x000D_
1) The knowledge gaps on wearable electronics-related cybermanufacturing technology are not articulated._x000D_
2) Many research tasks are development effort based, and scientific contributions are expected._x000D_
3) The project may be too ambitious for a junior professor since some tasks standalone such as Task 3.2 (Manufacturing Scheduling under the Cybermanufacturing Framework) can be good CAREER project topics._x000D_
_x000D_
_x000D_
In the context of the five review elements, please _x000D_
evaluate the strengths and weaknesses of the proposal with respect to broader impacts._x000D_
_x000D_
Strengths:_x000D_
1) It will promote the advance of cybermanufacturing systems with an application to the fabrication of wearable electronics._x000D_
2) Mobile app designs and YouTube Live are good educational activities._x000D_
_x000D_
Weaknesses:_x000D_
1) The impact on the networked manufacturing research and development is not obvious._x000D_
_x000D_
_x000D_
Please evaluate the strengths and _x000D_
weaknesses of the proposal with respect to any additional solicitation-specific review criteria, if _x000D_
applicable_x000D_
_x000D_
_x000D_
_x000D_
Summary Statement_x000D_
_x000D_
The research goal of this CAREER project is to establish a cloud manufacturing framework for embroidered wearable electronics as an accessible platform technology towards System-on-Cloth. The ultimate goal is to enable anyone to design their own desired wearable devices on cloth through cybermanufacturing systems. Many research tasks are development effort based, and scientific contributions are expected._x000D_
_x000D_
</t>
  </si>
  <si>
    <t xml:space="preserve">In the context of the five review elements, please _x000D_
evaluate the strengths and weaknesses of the proposal with respect to intellectual merit._x000D_
_x000D_
The PI is qualified and is a well written proposal. The PI focusses on System on Cloth (SoCI) manufacturing and circuit embroidery. From this perspective the PI argues that the design automation (EDA) will be made feasible through the cloud. In the cloud based manufacturing part of the proposal the PI focuses on creating services and cloud enablement for four stakeholders. This concept, though pedestrian, still will accomplish the task. The concept proposed, on the whole is interesting and shows intellectual depth. _x000D_
The PI does not give full scientific details of how the details can be accomplished. It is also difficult to figure out what kind of cloud services she will be using? _x000D_
The educational part of the proposal is well written. With the PI interfacing with Upper Peninsula's economically deprived schools of native Indian tribes. The notion of taking manufacturing to the students in schools and communities is interesting. Career has to articulate the future goal of the PI. From this proposal it is not clear what is the end goal._x000D_
_x000D_
_x000D_
In the context of the five review elements, please _x000D_
evaluate the strengths and weaknesses of the proposal with respect to broader impacts._x000D_
_x000D_
The educational impact of the proposal is good. Though the application is novel (health monitoring) the PI does not really address what patterns are being embroidered and how they will be used? The reader will benefit by understanding the reasons behind what is being done to get insights into the work. The scientific basis of the work is hard to nail down. The proposal needs to be proof read û mistakes like Reference instead of references can be distracting. _x000D_
The cloud part of the proposal is mainly for scheduling purposes. The scientific basis for using cloud is not clear. _x000D_
_x000D_
Though the ideas are good and applicable in a broader sense the PI has not articulated the scientic basis._x000D_
_x000D_
_x000D_
Please evaluate the strengths and _x000D_
weaknesses of the proposal with respect to any additional solicitation-specific review criteria, if _x000D_
applicable_x000D_
_x000D_
The PI proposes a new experiential learning course modules in user interface design.  She also discusses involving undergraduate students in research in application design and cloud manufacturing implementation. She also discusses manufacturing demonstration platform that will be taken to K-12 students. Three platforms will be developed by the PI to engage high school students in Cloud Manufacturing, SoCI and SOM. The PI provides a good assessment plan._x000D_
_x000D_
Summary Statement_x000D_
_x000D_
The proposal lacks in making a convincing scientific argument. Reads more like a software development project._x000D_
_x000D_
</t>
  </si>
  <si>
    <t xml:space="preserve">In the context of the five review elements, please _x000D_
evaluate the strengths and weaknesses of the proposal with respect to intellectual merit._x000D_
_x000D_
Intellectual Merit_x000D_
1.	What is the potential for the proposed activity to Advance knowledge and understanding within its own field or across different fields?_x000D_
Being able to quickly design and cheaply manufacture embroidered wearable cloth will require significant advances in reliability, automation and software standards / accessibility. The software framework, especially, can be extended to other fields, with other technologies being the application area û replacing the SoCl library and stitch generation, for example._x000D_
2.	To what extent do the proposed activities suggest and explore creative, original, or potentially transformative concepts?_x000D_
I believe the entire proposal is extremely creative and could transform how some people wear and use their clothes. _x000D_
3.	Is the plan for carrying out the proposed activities well-reasoned, well-organized, and based on a sound rationale? Does the plan incorporate a mechanism to assess success?_x000D_
The plan is well-conceived and complete. By releasing their library in an open-source manner, potential users will help to improve their results and further keep the research on track. There is also a risk mitigation plan and an overall project evaluation plan._x000D_
4.	How well qualified is the individual, team, or organization to conduct the proposed activities?_x000D_
The PI is very well qualified. Previous research results provides evidence that the proposed research can be completed successfully. _x000D_
5.	Are there adequate resources available to the PI (either at the home organization or through collaborations) to carry out the proposed activities?_x000D_
The resources appear to be adequate and the support from the department is appropriate_x000D_
_x000D_
_x000D_
In the context of the five review elements, please _x000D_
evaluate the strengths and weaknesses of the proposal with respect to broader impacts._x000D_
_x000D_
1.	What is the potential for the proposed activity to Benefit society or advance desired societal outcomes?_x000D_
In addition to the broader impacts identified by the PI (healthcare wearables and a framework), it could be that athletic trainers and physiology researchers could use such wearables to create models of human, athletic endurance._x000D_
2.	To what extent do the proposed activities suggest and explore creative, original, or potentially transformative concepts?_x000D_
The use of the mobile platform, and the other platforms in the Makerspace and PI lab, will be really useful in exposing students to the concepts of electricity, manufacturing and the cloud. I think students from all areas can relate to clothing, and mobile computing is so ubiquitous, even in lower socio-economic areas, that the PIs plan to engage with K-12 students will really make an impression on some of these students._x000D_
3.	Is the plan for carrying out the proposed activities well-reasoned, well-organized, and based on a sound rationale? Does the plan incorporate a mechanism to assess success?_x000D_
Yes, and the separate educational assessment plan û in addition to the overall evaluation plan  - is well-conceived._x000D_
4.	How well qualified is the individual, team, or organization to conduct the proposed activities?_x000D_
The PI is well-qualified to engage in the proposed educational activities._x000D_
5.	Are there adequate resources available to the PI (either at the home organization or through collaborations) to carry out the proposed activities?_x000D_
Yes_x000D_
_x000D_
_x000D_
Please evaluate the strengths and _x000D_
weaknesses of the proposal with respect to any additional solicitation-specific review criteria, if _x000D_
applicable_x000D_
_x000D_
_x000D_
_x000D_
Summary Statement_x000D_
_x000D_
The goal of Sun's proposal is to establish a cloud manufacturing framework for embroidered wearable electronics. It is a creative idea that seems like it could transform health data collection, which would be important, but also maybe the fashion industry, which might provide a larger consumer base. It also seems like the kind of industry that could be centered in the US, providing some textile companies and workers with a rejuvenation. The technology needed to realize the SOCl includes supporting a design-to-manufacturing framework. The budget will allow Sun to recruit a quality graduate student._x000D_
It seems like the PI has a vision that can be summarized like this: let designers create designs that have some circuit function, without knowing the details of how the embroidery should be done. The designer need not know the details of how the machine translates the design into the stitches. _x000D_
The PI's lab has a few embroidery machines that I would characterize as home-level machines, as opposed to "industrial grade" multi-head embroidery machines that operate at much different speeds. My understanding is that all embroidery machines use their own algorithms to translate designs into a series of stitches û but that is on my prior experience, not the proposal itself, and I could be wrong. _x000D_
It seems there are two ways these designs can be actually manufactured; in a make to order manner (unique designs, well suited to the home-level machines) or in a make-to-stock manner (larger market, well suited to the industrial machines). In either case, the supply chain to provide the thread, and its reliability will be a challenge._x000D_
Data Management Plan_x000D_
The Data management plan is appropriate._x000D_
_x000D_
_x000D_
</t>
  </si>
  <si>
    <t xml:space="preserve">In the context of the five review elements, please _x000D_
evaluate the strengths and weaknesses of the proposal with respect to intellectual merit._x000D_
_x000D_
The proposal is to develop a primarily software infrastructure to reside in the cloud to support application designers putting electronics into wearable fabrics. The PI claims that the key obstacle to more widespread use of electronics in wearable fabrics is the paucity of good manufacturing technologies and particularly software support. She proposes a manufacturing framework for system-on-cloth (SoCl) to change this. The proposal includes an effort to model and understand the physical properties of embroidered electronics; an effort to create  EDA software that will realize design-to-manufacturing translation from schematics by integrating new Electrical Rule Checking (ERC) and Design Rule Checking (DRC), optimal stitch generation, and an open library of wearable electronics; an effort to provide realizations of the EDA software in the cloud, enabling participation of customers, manufacturers, experts, and open-source software developers. _x000D_
_x000D_
Strengths_x000D_
+ The proposal is quite convincing on each of these elements, even having lined up a local small business, Homestead Graphics in Baraga, MI, to provide manufacturing services for embroidered electronics._x000D_
_x000D_
+ The PI's experience and expertise in the area look good. The PI appears to have demonstrated the feasibility of designing embroidered flexible_x000D_
SoCl wearable electronics and a manufacturing framework for embroidery services._x000D_
_x000D_
_x000D_
_x000D_
In the context of the five review elements, please _x000D_
evaluate the strengths and weaknesses of the proposal with respect to broader impacts._x000D_
_x000D_
The broader impacts directly described in the proposal are mostly boilerplate, but I believe they understate the actual potential for broader impacts. The potential benefits to healthcare are quite significant.  The integration with course projects sounds promising and could help with broadening participation. Putting electronics in wearable fabrics has the potential to capture the imagination of young people. It also holds promise for technology breaking into an area that has been little influenced by recent technology developments, namely fashion. And the focus on open-source and cloud-based participatory frameworks holds promise for considerable impact if the project catches on. The payoff could be quite high, though the risk is high too._x000D_
_x000D_
_x000D_
_x000D_
Please evaluate the strengths and _x000D_
weaknesses of the proposal with respect to any additional solicitation-specific review criteria, if _x000D_
applicable_x000D_
_x000D_
_x000D_
_x000D_
Summary Statement_x000D_
_x000D_
The proposal is creative and innovative, high risk with potential for high payoff, and excellently backup up with experience and analysis._x000D_
_x000D_
</t>
  </si>
  <si>
    <t xml:space="preserve">In the context of the five review elements, please _x000D_
evaluate the strengths and weaknesses of the proposal with respect to intellectual merit._x000D_
_x000D_
Strengths:_x000D_
The proposal intends to advance a new cybermanufacturing technology for the realization of a system-on-cloth. The ideas are new and interesting with the potential of creating a disrupting technology as it happened for 3D printing (but probably not with the same versatility). The proposal is well-thought and several potential issues/challenges in the development of the technology have been carefully considered. The PI has well-established expertise in the area and seems to have access to adequate resources at her institution._x000D_
_x000D_
Weaknesses:_x000D_
The cloud manufacturing component seems the weakest part of the proposal. Given that the technology is at a germinal stage, considering cloud manufacturing and scheduling issues seems completely out of scope within what can be realized in 5 years._x000D_
_x000D_
In the context of the five review elements, please _x000D_
evaluate the strengths and weaknesses of the proposal with respect to broader impacts._x000D_
_x000D_
Strengths:_x000D_
Planning to receive feedback from the general public is an attractive feature of the proposal with the potential of driving the research in the right direction._x000D_
_x000D_
Weaknesses:_x000D_
Sometimes the proposed activity seem to get out of scope, such as when the PI proposes to test if a online shopping interface is going to be better received than a design interface._x000D_
_x000D_
Please evaluate the strengths and _x000D_
weaknesses of the proposal with respect to any additional solicitation-specific review criteria, if _x000D_
applicable_x000D_
_x000D_
The integration of research and education is more than satisfactory._x000D_
_x000D_
_x000D_
Summary Statement_x000D_
_x000D_
The proposal is well-thought with innovative ideas. The PI has an established expertise in the area._x000D_
Sometimes the proposed activities seem to be out of scope with what should be the main focus of the research._x000D_
_x000D_
</t>
  </si>
  <si>
    <t>KD0835710</t>
  </si>
  <si>
    <t>Ozdoganlar</t>
  </si>
  <si>
    <t>ozdoganlar@cmu.edu</t>
  </si>
  <si>
    <t xml:space="preserve">In the context of the five review elements, please _x000D_
evaluate the strengths and weaknesses of the proposal with respect to intellectual merit._x000D_
_x000D_
Objective(s) of the proposal_x000D_
The overarching objective of this CAREER proposal is to create a cloud-based manufacturing framework to fabricate embroidered wearable electronics, which is referred to as System-on-Cloth (SoCI). There are three specific objectives addressed in the proposal, including 1) using physical modeling and experimentation to understand the variations on electrical properties of conductive threads and flexible electronics fabricated using embroidery; 2) creating Electronics Design Automation software that will check electrical and design rules to identify optimal stitch architectures; and 3) explore a cloud manufacturing framework with open architecture/source code and user interfaces that can be utilized by manufacturers and designers alike. The Pis career plan/goal is related to human-centered monitoring that integrates enabling technology, human factors, and decision support. _x000D_
_x000D_
Intellectual Merit_x000D_
Strengths: The proposal is well written, and addresses an interesting area. The PI elucidates a strong career plan, and many aspects of the proposal are quite exciting and interesting. The PI has a very strong background in developing circuits, electrical engineering aspects, as well as cloud-computing or cloud-based approaches. _x000D_
_x000D_
Weaknesses:_x000D_
_x000D_
In the context of the five review elements, please _x000D_
evaluate the strengths and weaknesses of the proposal with respect to broader impacts._x000D_
_x000D_
Strengths: All aspect of broader impacts are strong. _x000D_
_x000D_
Weaknesses: None noted. _x000D_
_x000D_
_x000D_
Please evaluate the strengths and _x000D_
weaknesses of the proposal with respect to any additional solicitation-specific review criteria, if _x000D_
applicable_x000D_
_x000D_
_x000D_
_x000D_
Summary Statement_x000D_
_x000D_
Good proposal._x000D_
_x000D_
</t>
  </si>
  <si>
    <t xml:space="preserve">In the context of the five review elements, please _x000D_
evaluate the strengths and weaknesses of the proposal with respect to intellectual merit._x000D_
_x000D_
Strengths_x000D_
The concept of writing algorithms to automatically 'compile' wearable electronic design layout to low level stitching instruction is novel._x000D_
_x000D_
It serves to advance tools available in cybermanufacturing for a novel domain area._x000D_
_x000D_
The core merit seems to be that the PI is setting up foundational infrastructure elements for CM in embroidery._x000D_
_x000D_
The PI has the computing resources and knowledge in wearable electronics. The group has clearly performed embedding circuits on cloth and the concept proposed by the PI is clearly feasible._x000D_
_x000D_
Weaknesses_x000D_
The major weakness of this particular proposal is the relative lack of depth in any of the research tasks. Example R2.2, suggests releasing the DRC software as an open source package. While releasing the package is good outreach, what algorithms in the software add to new knowledge. The PI mentions, - "develop new optimal stitch generation algorithms" OR the metrics through which the ERC and DRC software will check for designs û details regarding this would further strengthen this proposal. For now, most tasks in R2 are shallow. _x000D_
_x000D_
Content in R1 also does not contain the depth necessary to completely understand the properties of the conductive wires._x000D_
_x000D_
R3 also has focused more on implementation and execution of the cybermanufacturing, but this assumes much of what the PI intends to do is already known. For example, how exactly is the tractability of the design submitted by the user checked, before it is handed down to the manufacturer. It appears now, that the manufacturing will manually verify the layout and all that the system does is simply relay the information._x000D_
_x000D_
_x000D_
In the context of the five review elements, please _x000D_
evaluate the strengths and weaknesses of the proposal with respect to broader impacts._x000D_
_x000D_
Strengths_x000D_
The PI has hit all of the major educational objectives of integrating research into the educational material._x000D_
_x000D_
If successful, the codebase will be made available to the community, which I think is essential to growing the community around cybermanufacturing of wearable electronics._x000D_
_x000D_
Weaknesses_x000D_
It is a bit na´ve to think that manufacturers and their machines will be readily accept code and have it installed. There needs to be significant verification and testing that will go beyond the scope of the CAREER proposal. The intent really should rather have focused on showing the promise and using the institutional resources to verify and validate the algorithms developed by the PI. It would be impossible to directly send code over in the wildàjust even after Year 1. If possible, then there is no technical risk in this project. Surely, it cannot be transformational either._x000D_
_x000D_
_x000D_
Please evaluate the strengths and _x000D_
weaknesses of the proposal with respect to any additional solicitation-specific review criteria, if _x000D_
applicable_x000D_
_x000D_
_x000D_
_x000D_
Summary Statement_x000D_
_x000D_
Overall, I think the idea is really nice with much promise. But the PI could have focused her attention on clearly delineating the algorithms and the knowledge to be generated that would make cybermanufacturing for wearable electronics real. Right now, this proposal is heavily implementation focused with no clear depth in what exactly are the research and technical challenges._x000D_
_x000D_
</t>
  </si>
  <si>
    <t xml:space="preserve">In the context of the five review elements, please _x000D_
evaluate the strengths and weaknesses of the proposal with respect to intellectual merit._x000D_
_x000D_
+ The proposal investigate an exciting problem in real-world settings. The PI is planning to establish a cloud manufacturing framework for embroidered wearable electronics as an accessible platform towards what the proposal calls System on Cloth._x000D_
_x000D_
+ Overall, I like the fact that the proposal aims high: the ultimate goal is that anyone will be able to design their own desired wearable devices on cloth through cybermanufacturing system. _x000D_
_x000D_
- However, the gap between the current state-of-the-art and the proposed objective is not even discussed in terms of potential research and deployment challenges. The proposed solutions are described at a very high level without the necessary technical details that would help the reviewer assess the fundamental technical novelties of the proposed project. _x000D_
_x000D_
- It is unclear what will be the fundamental research component of the proposed R3 CMfg section of the proposal. It reads more like an engineering/implementation task that does not suffice for a CAREER NSF proposal. _x000D_
_x000D_
- The listed technical challenges in the proposal is a bit too high level without providing assessment metrics/procedures to measure how the proposed solution help overcome the aforementioned challenges. Additionally, the third technical challenge is list as open library and open source code. For a CAREER proposal, I am not convinced to list this as a research challenge. I would mention it later as a part of the implementation and evaluation plan instead. _x000D_
_x000D_
- The project description mentions æsimulation tool using SPICE' as a part of its research activity. Similar to the comment above, the technical challenges of a typical CAREER proposal need to more fundamental. Instead the listed task is more of an implementation activity. _x000D_
_x000D_
- Task R1.2 of the proposal mentions the following as a task: æcapture the bending conditions of flexible substrates by camera'. This is a challenging research problem. The proposal does not provide any technical details about how the aforementioned objective will be achieved and whether the PI has some preliminary result to back up the claim about the feasibility of the task. _x000D_
_x000D_
- Presentation: Task R2.1 is using outcomes of the task R2.2. Should the order of these two subsections in the proposal swapped? _x000D_
_x000D_
- The section on Design-to-layout translation mainly focuses on the problem definition without providing any concrete solutions. _x000D_
_x000D_
- The proposal quotes ægiven enough eyeballs, all bugs are shallow'. This statement is true if the developed tools are used by researchers in the community that is not easy to accomplish. How will you ensure the developed tools are used? Has the PI had similar experience in the past? _x000D_
_x000D_
- Fig. 7 design presents a research task plan that suits an implementation/engineering framework. This is not convincing for a CAREER project. _x000D_
_x000D_
- The proposal mentions æwe will build several resource management services, such as service level agreements, optimal resource co-allocation, and dynamic adaption and reconfiguration'. All these terms need clarification, and individual terms need a discussion regarding how the research will be performed. _x000D_
_x000D_
_x000D_
In the context of the five review elements, please _x000D_
evaluate the strengths and weaknesses of the proposal with respect to broader impacts._x000D_
_x000D_
+ The proposed plan to integrate research results into educational modules is well thought and innovative. _x000D_
_x000D_
- The proposed broader impact activities include user case studies from various groups of customers and manufacturers. The proposal does not clarify the plans regarding the IRB approval that may required to accomplish those activities.  _x000D_
_x000D_
- it is unclear that the assessment of the broader impact and educational modules will be performed by an external advisor (e.g., a senior faculty at the department) or the PI herself. _x000D_
_x000D_
_x000D_
Please evaluate the strengths and _x000D_
weaknesses of the proposal with respect to any additional solicitation-specific review criteria, if _x000D_
applicable_x000D_
_x000D_
_x000D_
_x000D_
Summary Statement_x000D_
_x000D_
The principal reasons for my rating is concrete details about the proposed solutions and proof of their novelty and feasibility using preliminary study results._x000D_
_x000D_
</t>
  </si>
  <si>
    <t>The research goal of this CAREER project is to establish a cloud manufacturing framework for embroidered wearable electronics as an accessible platform technology towards System-on-Cloth (SoCl). The ultimate goal is to enable anyone to design their own desired wearable devices on cloth through cybermanufacturing systems. Similar to the previous revolution of system-on-a-chip (SoC) in advancing electronic design, the proposed system-on-cloth (SoCl) has high potential to revolutionize the field of wearable electronics. The PI hypothesizes that the key issue for this paradigm-shifting progress in wearable electronics is new cybermanufacturing technology. The proposed cloud manufacturing framework with the cloud-based Electronic Design Automation (EDA) features high tractability, reliability, and compatibility for diverse individuals and entrepreneurs. In the previous revolution in 3D printing, open source, open architecture, and open knowledge opened the door to attract more people to the field. Such a framework is still lacking for wearable electronics. This project, thus, aims to establish a framework that integrates electronics, design-to-manufacturing translation, and cloud manufacturing, that will open the field to customers, manufacturers, design experts, and developers. To achieve the goal, the three research objectives are to 1) understand physical variations of conductive threads and flexible electronics by physical modeling and experimental testing for embroidered electronics, 2) create EDA software that will realize design-to-manufacturing translation from schematics by integrating new Electrical Rule Checking (ERC) and Design Rule Checking (DRC) criteria, optimal stitch generation, and an open library of embroidered SoCls, and 3) explore a cloud manufacturing framework with open architecture, open source code, and friendly user-interfaces that will be easily used by customers, manufacturers, software developers, as well as electronic design experts.The proposed cloud manufacturing framework for embroidered electronics towards SoCl will lead to paradigm-shifting progress in wearable electronics. The success of this project will lead to intellectual contributions in 1) establishing a pioneering cloud manufacturing framework for tractable, reliable, automatic design-to-manufacturing translation for embroidered wearable electronics that everyone can use to design wearable electronics on cloth for various applications at low cost; 2) establishing a framework with open source, open architecture, and open knowledge to facilitate the development of the cloud manufacturing technique as well as SoCl; 3) generating new knowledge of integrating current advancements in textile materials into wearable electronics design, and 4) advancing the knowledge of the current electronic design towards fully SoCl, similar to the revolutionary impacts of SoC on the electronics industry. Success of this project will promote mass production of SoCl as a next-generation technology for ubiquitous human-centered monitoring.Success of this project will connect the advancements in cybermanufacturing systems and the needs of wearable electronics, which will not only enhance the healthcare community, but also benefit the manufacturing and consumer electronics industries. The broader impacts will also be generated by education and outreach activities. The education objectives of this project are to broaden participants from K-12, undergraduate, and graduate students, provide rich multidisciplinary classroom and non-classroom experiences for all levels of students, and inspire students' interests in a STEM career. Three educational tasks are proposed to disseminate the research products to all levels of students through course projects, education platforms, YouTube education channels, and hands-on experience of cloud manufacturing for SoCl. A particular attention will be given to inspire underrepresented K-12 students' interest in pursuing a STEM career. The education products will be assessed and also integrated with developing and improving the proposed cloud manufacturing framework. The research and education products of this project will serve as the core technologies and education platforms for the PI's career development.</t>
  </si>
  <si>
    <t>1752310</t>
  </si>
  <si>
    <t>Karimoddini</t>
  </si>
  <si>
    <t xml:space="preserve"> Panel Summary       
 Description of project:_x000D_
_x000D_
The PI proposes to use techniques from control theory, optimization, and formal methods towards an efficient, resilient hierarchical control architecture for coordination of a heterogeneous team of autonomous vehicles.  There are two technical thrusts: (1) Developing efficient fault diagnosis techniques under incomplete/uncertain information about the systems; and (2) Developing reliable cooperative control techniques for coordination of autonomous vehicles._x000D_
_x000D_
Intellectual Merit:_x000D_
_x000D_
Strengths:_x000D_
+ The approach of hierarchical framework is an appropriate framework_x000D_
+ Use of automata based learning is interesting_x000D_
_x000D_
Weaknesses:_x000D_
- Many of the proposed techniques are standard, such as, partition based approaches for abstraction, tune the vector field to obtain smooth control signal have been investigated. _x000D_
- The proposal can be improved by highlighting specific techniques that are novel to the proposal and how they compare with existing methods._x000D_
- Some technical shortcomings include insufficiency of the DES abstraction for fault behavior and the concept of diagnosability needs to be justified._x000D_
- The approach to synthesize for the global specification and then projecting to the components is counter-intuitive, since, it creates the state-space explosion problem._x000D_
_x000D_
Broader Impacts:_x000D_
The project-based learning method in the education plan is commendable._x000D_
_x000D_
Constructive suggestions for improvement:_x000D_
The proposal can be improved by providing technical details of the approach, highlighting the novelty and providing comparisons with existing approaches._x000D_
_x000D_
Panel Recommendation:_x000D_
 _x000D_
The panel rated this proposal as Not Competitive. The primary reason for this rating was the lack of a clear emphasis of the intellectual merits in terms of the novelty of the proposed techniques._x000D_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</si>
  <si>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The PI proposes an efficient, resilient hierarchical control architecture for coordination of a heterogeneous team of autonomous vehicles. He brings together tools from control theory, optimization, and formal methods to address this problem. There are two technical thrusts: (1) Developing efficient fault diagnosis techniques under incomplete/uncertain information about the systems; and (2) Developing reliable cooperative control techniques for coordination of autonomous vehicles. _x000D_
_x000D_
+ The proposed work addresses fundamental problems in the science of CPS. _x000D_
_x000D_
- The research plan lacks novelty and the individual goals are not well connected._x000D_
_x000D_
- Task T1 in 5.1 is an explicit detailed description of an algorithm for fault diagnosis under incomplete information. There is no connection though with existing results so it is hard to judge its novelty within the plethora of related works from the DES community._x000D_
_x000D_
- Not enough details are provided in subtask T1-1. The extension of the proposed fault detection mechanism to multi-agent scenario is a non trivial problem and the proposed approach needs to be explained._x000D_
_x000D_
- There is no novelty in the approach proposed in Sec. T2-1. Reactive logics such as GR(1) have been used in the past to capture environmental assumptions. Adding sensor information is trivial. Moreover, the top-down correct-by-construction synthesis procedure proposed here has been used before. There is no new work proposed here.  _x000D_
_x000D_
- The comparison with related work at the end of Subtask 2.1 is incomplete: there exist works that combine correctness with optimality and constraints. _x000D_
_x000D_
- The approach proposed in Subtask 2-3 is not new. There exist works matching vector fields at the vertices of polytopic partitions to achieve smoothness. Also it is not at all clear how bisimulation quotients will be constructed._x000D_
_x000D_
In the context of the five review elements, please _x000D_
evaluate the strengths and weaknesses of the proposal with respect to broader impacts._x000D_
_x000D_
+ If successful, the project would contribute to techniques for resilient cooperative control of multi-agent systems. This can have impact in several areas including power grid, ground and air traffic networks._x000D_
_x000D_
+ the PI has a great opportunity to make an impact in involving minorities at N.C. A&amp;T, the nation?s number one university _x000D_
graduating African American engineers._x000D_
_x000D_
Please evaluate the strengths and _x000D_
weaknesses of the proposal with respect to any additional solicitation-specific review criteria, if _x000D_
applicable_x000D_
_x000D_
_x000D_
_x000D_
Summary Statement_x000D_
_x000D_
This proposal was rated Poor. The main reason for this rating is that some of the proposed topics are not new, and some are not explained properly._x000D_
_x000D_
</t>
  </si>
  <si>
    <t xml:space="preserve">In the context of the five review elements, please _x000D_
evaluate the strengths and weaknesses of the proposal with respect to intellectual merit._x000D_
_x000D_
+ Tasks 1 and 2 on fault diagnosis and control are well connected and can possibly be accomplished if the scope is made clearer or narrower. _x000D_
+ The PI proposes to develop failure diagnosis techniques in presence of incomplete or uncertain information about the system. The approach seems reasonable given hybrid models presented._x000D_
- However, the above statement seems to rely on "active-learning mechanism to build a minimal diagnoser automaton", without identifying the learning mechanism._x000D_
- while it is understandable that the FSM of figure 3 is an example, other more complex multi-modal modeling approaches may be more appropriate for autonomous vehicles._x000D_
_x000D_
_x000D_
In the context of the five review elements, please _x000D_
evaluate the strengths and weaknesses of the proposal with respect to broader impacts._x000D_
_x000D_
+ Education and outreach plans are satisfactory_x000D_
+ The PI proposes to develop an "Application-driven Project-based Learning Approach" using a simulation testbed._x000D_
_x000D_
Please evaluate the strengths and _x000D_
weaknesses of the proposal with respect to any additional solicitation-specific review criteria, if _x000D_
applicable_x000D_
_x000D_
_x000D_
_x000D_
Summary Statement_x000D_
_x000D_
The proposal is relatively well developed, although it lacks in some specifics for the proposed approaches for learning, and in investigating more complete (or complex) modeling approaches. Nevertheless, the proposed work is expected to advance the science of cooperative control (at least incrementally)._x000D_
_x000D_
</t>
  </si>
  <si>
    <t xml:space="preserve">In the context of the five review elements, please _x000D_
evaluate the strengths and weaknesses of the proposal with respect to intellectual merit._x000D_
_x000D_
The proposal address the cooperative control of autonomous vehicles, and proposes a hierarchical approach that can adapt to changes in environments and faults. The following tasks will be explored:_x000D_
_x000D_
* Develop efficient fault diagnostic techniques for decentralized architectures under unknown/partially unknown information.  The broad approach consists of using Angluin's learning algorithm to learn an automaton model of the diagnoser with minimal number of states. Upper bounds on the diagnosis time (maximum number of transitions after the fault occurrence) will be investigated._x000D_
* Develop cooperative control techniques for coordination of autonomous vehicles by using the GR(1) logic to specify faults (environments) and responses. Methods for decomposition of global specification/control to the local agents will be explored. Fault tolerant control will be investigated by synthesizing for a less conservative objective and consider minimum degration. Symbolic abstraction techniques will be used for the control design, which could lead to hybrid control; the problem of extracting smooth control signal will be explored._x000D_
* A tool box implementing the algorithms will be developed and validation will be performed on a fleet of UAVs._x000D_
_x000D_
+ The proposal address an important problem, namely, reliable cooperative control of autonomous vehicle._x000D_
+ It proposes interesting ideas based on automata learning and symbolic abstractions to solve the challenges in cooperative control and diagnosis._x000D_
- More details about validation ù specifically failures that will be induced, etc. would be helpful_x000D_
_x000D_
_x000D_
In the context of the five review elements, please _x000D_
evaluate the strengths and weaknesses of the proposal with respect to broader impacts._x000D_
_x000D_
The PI will develop a project based course wherein the project will be introduced from the beginning of the course; will develop undergraduate courses and include undergraduates in research, and will involve in broadening participation of underrepresented groups by engaging with them as well as mentoring them. _x000D_
_x000D_
_x000D_
Please evaluate the strengths and _x000D_
weaknesses of the proposal with respect to any additional solicitation-specific review criteria, if _x000D_
applicable_x000D_
_x000D_
_x000D_
_x000D_
Summary Statement_x000D_
_x000D_
The problem of reliable cooperative control is important, and the proposal provides some nice ideas towards solving the problem._x000D_
_x000D_
_x000D_
</t>
  </si>
  <si>
    <t xml:space="preserve">In the context of the five review elements, please _x000D_
evaluate the strengths and weaknesses of the proposal with respect to intellectual merit._x000D_
_x000D_
Description of project _x000D_
The goal of the proposal is to execute an integrated research, education, and outreach program targeting the  development of an efficient resilient hierarchical control architecture for coordination of a heterogeneous team of autonomous vehicles. The key capability to be achieved is reactive response to changes in the environment and failures in component by reconfiguring the control structure._x000D_
_x000D_
Intellectual merit:_x000D_
Strengths:  _x000D_
+ The selected multi-agent, fault resilient distributed control problem is a hard challenge with practical significance._x000D_
+ The proposed hierarchical control architecture offers a nice framework for solving the problem._x000D_
+ The DES abstraction is certainly appealing for developing verifiable methods._x000D_
_x000D_
Weaknesses:_x000D_
-	The DES abstraction in describing fault behavior is CPS is only partially applicable. Incipient failures and dampened propagation of impacts of even abrupt events makes the classical DES transition models one of the possible, but certainly insufficient approaches._x000D_
-	The proposed learning-based approach for obtaining a diagnoser without a system model concentrate system knowledge not in the model but in the trainer. Where does it come from? The proposal provides details about the algorithm which is too little for assessing its correctness and too much for remaining  readable. _x000D_
-	An open question is the interpretation of the concept of  diagnosability.  Since the model of the system is not known, diagnosability is linked to the collected information in the observation table, so it seems to be  the property of the knowledge of the trainer. _x000D_
-	A significant part of the proposal focuses on the use of formal methods to synthesize provably correct controllers. However, it is not clear if the synthesized controller that is based on highly abstracted models of the system indeed will meet the specifications when executed in conjunction with the real system? PI des not mention the customary approaches to this challenge, such as  robustness, etc._x000D_
_x000D_
_x000D_
In the context of the five review elements, please _x000D_
evaluate the strengths and weaknesses of the proposal with respect to broader impacts._x000D_
_x000D_
Broader impacts:_x000D_
Strengths:_x000D_
+ Applicability of research results in this area is quite wide._x000D_
+ The project-based learning method in the education plan is excellent._x000D_
+ PI proposes significant effort in broadening participation of underrepresented groups._x000D_
_x000D_
_x000D_
Please evaluate the strengths and _x000D_
weaknesses of the proposal with respect to any additional solicitation-specific review criteria, if _x000D_
applicable_x000D_
_x000D_
_x000D_
_x000D_
Summary Statement_x000D_
_x000D_
The proposal is evaluated to Good because PI describes a valuable effort. A more detailed analysis of the relationship between  the applied DES abstraction and the physical system dynamics would be a useful addition._x000D_
_x000D_
</t>
  </si>
  <si>
    <t>kwebster</t>
  </si>
  <si>
    <t>Compliance Pass</t>
  </si>
  <si>
    <t>1757384</t>
  </si>
  <si>
    <t>Fu</t>
  </si>
  <si>
    <t>p180116</t>
  </si>
  <si>
    <t xml:space="preserve"> REU SITE - CIS</t>
  </si>
  <si>
    <t xml:space="preserve"> Panel Summary       
 _x000D_
Short Description of Project:_x000D_
_x000D_
This proposal describes a plan to conduct a three-year REU Site program at the University of North Texas. The program would involve 10 students for 10 weeks each summer, with mentoring provided by a 12 member team. The topics to be explored are varied, but united under the umbrella of autonomous intelligent vehicles and things. The research program is complemented by training workshops, research seminars, industry events, and social activities. _x000D_
_x000D_
Intellectual Merit:_x000D_
_x000D_
Strengths:_x000D_
_x000D_
+ Panelists agreed that the mentoring team is strong, both in terms of research qualifications and gender diversity. The team's diversity of interest, united under a practical, real-world theme, was noted as a strength._x000D_
_x000D_
+ Panelists agreed that the University of North Texas appears to have excellent institutional support for hosting summer experiences. The institution's demonstrable commitment to student diversity was also noted as a strength.  _x000D_
_x000D_
Weaknesses:_x000D_
_x000D_
- Panelists agreed that the most important weakness of the proposal is its characterization of the specific research projects to be pursued. In most cases, panelists were unable to identify the specific, tractable activities students would engage in. Panelists felt that the projects were described in insufficient detail._x000D_
_x000D_
- The lack of detail in project descriptions arises largely because there are too many project summaries. The proposal would benefit from fewer project summaries with greater detail._x000D_
_x000D_
- Some panelists raised concerns that the proposal does not adequately connect the current expertise and activities of the proposing team to the topics proposed. Panelists were concerned that the identified projects might not be anchored to robust, ongoing research programs._x000D_
_x000D_
- Panelists agreed that several of the projects appear to require specialized equipment and/or evaluation infrastructure. The specific requirements and institutional resources for addressing those requirements were not adequately described._x000D_
_x000D_
- Some panelists raised concerns regarding the mentoring model. Specifically, some felt that the large number of mentors assigned to each student could be unwieldy to manage, particularly given the area diversity across those mentors. Is such a large mentoring pool necessary for each student? Will the model offer significant advantages?_x000D_
_x000D_
- Panelists were in agreement that the evaluation and dissemination plans are insufficiently described. Specific points discussed included an apparent lack of an external evaluator, and a low likelihood of publishing on the REU experience, as proposed._x000D_
_x000D_
Broader Impacts:_x000D_
_x000D_
Strengths: _x000D_
_x000D_
+ Panelists agreed that solutions to several of the proposed research challenges could have important impacts. _x000D_
_x000D_
Data Management Plan_x000D_
_x000D_
+ No concerns were raised by the panel concerning the data management plan; it appears adequate as proposed._x000D_
_x000D_
Criteria Specific to REU Sites:_x000D_
_x000D_
Research: _x000D_
_x000D_
- The most important concerns raised by the panel focused on the level of detail provided concerning the specific opportunities available to undergraduate participants._x000D_
_x000D_
Logistics and Student Management:_x000D_
_x000D_
- Panelists agreed that the logistics of managing the site (e.g., recruiting, communication, housing, meals, payment) were insufficiently described._x000D_
_x000D_
Differences of Opinion:_x000D_
_x000D_
Some panelists felt that the projects were not coherently united under the site's proposed theme. Other panelists appreciated the variety. (All were, however, in agreement regarding the lack of specificity in the plans.)_x000D_
_x000D_
Constructive Suggestions for Improvement: _x000D_
_x000D_
The panel's most important recommendation for improvement is to significantly reduce the number of projects presented. Instead, the PIs are encouraged to select a smaller set of representative projects, and to clearly define the research problems and tasks that will be assigned to students, and the skills those students will acquire as a result. _x000D_
_x000D_
Summary/Rationale for Panel's Recommendation:_x000D_
_x000D_
While the panel identified several areas of concern, as summarized above, the most important weakness concerns the level of detail presented for each of the proposed student projects. Panelists were unclear on what to expect in terms of student engagement and outcomes. _x000D_
_x000D_
The panel placed this proposal in the following category:_x000D_
_x000D_
__ Highly Competitive (HC)_x000D_
__ Competitive (C)_x000D_
X   Low Competitive (LC)_x000D_
__ Not Competitive (NC)_x000D_
_x000D_
The summary was read by the panel, and the panel concurred that the summary accurately reflects the panel discussion._x000D_
</t>
  </si>
  <si>
    <t>Review Analysis_x000D_
NATIONAL SCIENCE FOUNDATION _x000D_
Alexandria, VA 22314  _x000D_
_x000D_
Directorate for Computer and Information Science and Engineering _x000D_
Research Experiences for Undergraduates Program _x000D_
_x000D_
This review analysis assume that the information in the CISE General Information for Applicants for the Research Experiences for Undergraduates (REU) Sites Program is contained in the proposal jacket. _x000D_
_x000D_
This proposal was reviewed by one of the FY2018 REU site panels organized by the CISE REU Site Team. The CISE REU Site Team has representatives from all three CISE divisions. _x000D_
_x000D_
The panel that reviewed this proposal placed it in the Low Competitive (LC) or Not Competitive (NC) category. The panel discussed separately both the intellectual merit and broader impacts of this proposal, judging that it was deficient. Issues of intellectual merit could include a failure to advance knowledge significantly within the field or poor organization of the proposed work. Issues of broader impacts could include weakness of educational aspects or little benefit of the proposed activity to society. The panel also considered review criteria specific to the REU site program. Often LC and NC proposals had issues in the REU specific criteria including insufficient details about the student management and logistics components; unclear or inappropriate student research projects and research preparation; lack of concrete plans for student recruitment, particularly recruitment of under-represented groups; lack of clarity about overall project management; and poor evaluation plans. The resulting panel summary and copies of all individual reviews are attached as part of the jacket. _x000D_
_x000D_
The recommendation was based on substantive comment from both individual reviews and the panel summary. It has taken into account both the peer recommendation and the availability of funds, considering the other proposals reviewed in this and other panels. The recommendation has also been made taking into account the specifics of the REU Site program scope, the need to maintain appropriate balance among subfields, the availability of other funding for the topic area, the total amount of funds available to the program for new proposals, and general Foundation policies. _x000D_
_x000D_
I recommend that this proposal be declined, because of one or more of the above factors. In cases where reviews were present that rated the proposal Excellent, the recommendation was also based on the panel's overall recommendation against support and consideration of funds for the program. _x000D_
_x000D_
_x000D_
Dr. Jonathan Sprinkle  _x000D_
Program Director _x000D_
Division of Computer and Network Systems</t>
  </si>
  <si>
    <t>WY1006765</t>
  </si>
  <si>
    <t>djnan@seas.upenn.edu</t>
  </si>
  <si>
    <t xml:space="preserve">In the context of the five review elements, please _x000D_
evaluate the strengths and weaknesses of the proposal with respect to intellectual merit._x000D_
_x000D_
Strengths: _x000D_
+ Student cohort will gain broad experience in collaboration and security around vehicular networks and Internet-of-Things. _x000D_
_x000D_
Weaknesses:_x000D_
_x000D_
In the context of the five review elements, please _x000D_
evaluate the strengths and weaknesses of the proposal with respect to broader impacts._x000D_
_x000D_
Strengths: Training of underrepresented students in a field with far-reaching societal impact (ethics, privacy, reliability). _x000D_
_x000D_
_x000D_
_x000D_
Please evaluate the strengths and _x000D_
weaknesses of the proposal with respect to any additional solicitation-specific review criteria, if _x000D_
applicable_x000D_
_x000D_
Strengths: _x000D_
+ 4/12 female faculty, may positively impact hiring female undergrads. _x000D_
+ Proximity to telecom corridor and relevant industries. _x000D_
_x000D_
_x000D_
Summary Statement_x000D_
_x000D_
The proposed topics are in an area that can serve the student group well, exposing them to related topics, for example, vehicular networks, and IoT together form a good basis for teaching students fundamental challenges in collaboration, privacy, reliability, and resiliency. _x000D_
_x000D_
Having 4/12 female faculty may play a meaningful role in recruiting female students._x000D_
_x000D_
</t>
  </si>
  <si>
    <t>WH0749464</t>
  </si>
  <si>
    <t>Dyke</t>
  </si>
  <si>
    <t>sdyke@purdue.edu</t>
  </si>
  <si>
    <t xml:space="preserve">In the context of the five review elements, please _x000D_
evaluate the strengths and weaknesses of the proposal with respect to intellectual merit._x000D_
_x000D_
In the context of the five review elements, please _x000D_
evaluate the strengths and weaknesses of the proposal with respect to intellectual merit._x000D_
_x000D_
This REU program is focused on the computer science and engineering issues associated with smart and connected vehicles. 10 students will participate for 10 weeks to work with one of 12 faculty members in computer, electrical or mechanical engineering. An elaborate recruitment program is planned where they will connect to and visit a number of regional colleges and institutions that serve URMs. Pre-program activities are planned to engage the participants. REUs will be mentored by a faculty member and will join research teams including a mix of levels of expertise. Tours and skills programs, including seminars, are planned. Formative and summative assessments are planned to evaluate and improve the program. 1-2 REUs are anticipated from UNT, 2-4 from local colleges, and 6-7 from other institutions._x000D_
_x000D_
Strengths:_x000D_
+	The program is well-designed, with a selection of projects and strong faculty mentors. _x000D_
+	The PI has a clear plan for recruiting a diverse selection of students, and appropriate criteria are described for selection of the participants. _x000D_
+	The REUs will be engaged in advance, and even after the program. _x000D_
+	There is strong support from the institution, and housing/meals are provided for the students with program funds. _x000D_
+	There are good facilities available and the students to have access to those. _x000D_
_x000D_
Weaknesses:_x000D_
-	The research programs the REUs will be involved in are described well, and appropriate, but I would have liked to see a little more detail on a specific example of a project each REU could take on as an individual responsibility. _x000D_
-	The research plans are quite focused on computer S&amp;E and do not include the real-world physical side of these problems._x000D_
-	Potential gaps in training include: research integrity, IRB training (for some), and also training in data management. _x000D_
_x000D_
_x000D_
_x000D_
_x000D_
_x000D_
In the context of the five review elements, please _x000D_
evaluate the strengths and weaknesses of the proposal with respect to broader impacts._x000D_
_x000D_
Strengths: _x000D_
+	The PI has a clear plan for recruiting a diverse selection of students, with strong relationships with several institutions that will be leveraged. _x000D_
+	URM-serving and women-serving institutions will be directly contacted. _x000D_
+	The program has excellent tours, skills workshops, and activities planned to engage the students in the program and teach them about future career paths. _x000D_
+	The PI will try to keep the REUs engaged after the program by including faculty from their home institution. _x000D_
_x000D_
Weaknesses: _x000D_
- The program talks a great deal about 'real world problems' and yet the impact of their solutions on society is not discussed much here, and more importantly, it is not clear that the REUs will gain much awareness on this issue. _x000D_
_x000D_
Data Management Plan: The DMP overall is quite strong. The plan is very complete in terms of the REU program itself. However, the DMP also lists simulation data from the REU projects, and little detail is provided on what and how that info will be stored and shared for reuse by these teams or other researchers. Also, it seems that some of these projects will have DMPs based on the directives of the sponsor for that research. This is not made clear in the DMP._x000D_
_x000D_
Please evaluate the strengths and _x000D_
weaknesses of the proposal with respect to any additional solicitation-specific review criteria, if _x000D_
applicable_x000D_
_x000D_
_x000D_
The nature of student activities is fairly clear, but examples of the projects could include more details on REU tasks. _x000D_
The evaluation plan is very well planned. Pre-program, formative, summative, and post-program plans are discussed with quite appropriate questions. Improvements to the program will be made based on feedback. However, post-program evaluation should continue beyond the 8 month period. _x000D_
The PI intends to make a presentation on the program at a conference. _x000D_
The recruitment plan includes contacts and visits to local institutions. _x000D_
_x000D_
_x000D_
Summary Statement_x000D_
_x000D_
Constructive suggestions for improvement: _x000D_
Some of the activities will require IRB training, and also training in data management. These would be excellent additions to the program, along with an online course in research integrity that most institutions require. _x000D_
REU projects could also be described in more detail, including examples of REU duties. Additionally, the research plans are quite focused on computer S&amp;E and do not include the real-world physical side of these problems. _x000D_
_x000D_
General overall Summary and Rationale for Rating: _x000D_
This is a quite solid plan for a strong REU program. Clear objectives are provided, and plans to achieve those objectives are described well in the proposal. Recruitment, project selection, selection of students, and faculty involvement is very thoroughly described. The REUs will have a great deal of involvement in learning skills, and awareness of research in the department. The program could be somewhat more interdisciplinary and consider real-world issues in the topics of interest. _x000D_
_x000D_
_x000D_
</t>
  </si>
  <si>
    <t>SY0975864</t>
  </si>
  <si>
    <t>Hallstrom</t>
  </si>
  <si>
    <t>jhallstrom@fau.edu</t>
  </si>
  <si>
    <t xml:space="preserve">In the context of the five review elements, please _x000D_
evaluate the strengths and weaknesses of the proposal with respect to intellectual merit._x000D_
_x000D_
Description of Project:_x000D_
This proposal describes a plan to conduct an REU Site at the University of North Texas during the summers of 2018, 2019, and 2020. The undergraduate research topics to be explored are varied, but united under the umbrella of autonomous intelligent vehicles and things. The research program is complemented by training workshops, research seminars, industry events, and some social activities._x000D_
_x000D_
Intellectual Merit: _x000D_
_x000D_
Strengths:_x000D_
_x000D_
+ Autonomous intelligent vehicles and things is an area that is likely to attract a strong pool of undergraduate researchers. The constituent research thrusts are likewise timely and intellectually significant. Several of the proposed thrusts build upon previously funded work. _x000D_
_x000D_
+ Overall, the program design is strong. It includes a good mix of training workshops, research seminars, industry and community events. _x000D_
_x000D_
+ The approach to re-engaging former undergraduate researchers from the region by inviting them to give presentations to new students is a great idea. _x000D_
_x000D_
+ The site program is led by a very capable team. The PIs and mentors have a strong record of research accomplishment, demonstrated by publications in well-regarded venues and funded research activity. The PIs, in particular, have a history of engaging undergraduate researchers in their work. _x000D_
_x000D_
+ The facilities at the University of North Texas appear sufficiently robust for the proposed activities. The institution appears to have a strong framework for supporting undergraduate research programs and attracting diverse student populations. Existing support for undergraduate training programs (e.g., technical writing, oral presentations, applying to graduate school) appears strong -- and is enormously valuable. _x000D_
_x000D_
Weaknesses:_x000D_
_x000D_
- It is difficult to understand the specific research activities that students will engage in. In general, the specific activities are detailed in a sentence or two after a high-level overview of one of the team member's active areas of interest. These sentences often appear only loosely connected to the overview and provide insufficient detail. For instance, in the first thrust, focused on data sharing, the final sentences note that LiDAR instruments will be used by students to demonstrate and evaluate data sharing across vehicles. LiDAR seems irrelevant to the proposed thrust (other than being common in vehicular systems). More important, what type of evaluation will be conducted? (And what is meant by "synchronous" communication in this context?) Similar comments and questions apply to the other thrusts. _x000D_
_x000D_
- While the facilities at the University of North Texas appear adequate, the proposal could be improved by providing additional details concerning university resources available for vehicular testing. _x000D_
_x000D_
- The proposal would benefit by including a schedule that summarizes, on a roughly hourly basis, the types of activities to be conducted each week. This is challenging to do with limited space, but would be helpful in assessing how realistic it is to include all of the proposed activities, and would give a more coherent picture of the plan. _x000D_
_x000D_
- The evaluation plan is reasonable in terms of timing and content, but could be improved with further specificity. It is helpful to identify representative questions (as the proposal does), but are there existing instruments that might be leveraged? _x000D_
_x000D_
- The lack of references to prior work in each thrust was surprising._x000D_
_x000D_
In the context of the five review elements, please _x000D_
evaluate the strengths and weaknesses of the proposal with respect to broader impacts._x000D_
_x000D_
Broader Impacts: _x000D_
_x000D_
Strengths: _x000D_
_x000D_
+ The proposed site program is focused on research challenges that are timely, intellectually rich; high quality solutions would have important impacts. _x000D_
_x000D_
+ The recruitment plan is focused on recruiting underrepresented students and students from colleges without significant research opportunities. The plans are cogent, with targets (schools, mailing lists, partners) identified. _x000D_
_x000D_
Weaknesses:_x000D_
_x000D_
- The recruiting targets appear to allow up to six students from within the region. This seems too high. _x000D_
_x000D_
Data Management Plan:_x000D_
_x000D_
The data management plan is adequate._x000D_
_x000D_
Please evaluate the strengths and _x000D_
weaknesses of the proposal with respect to any additional solicitation-specific review criteria, if _x000D_
applicable_x000D_
_x000D_
Research: _x000D_
_x000D_
While the topic areas are intellectually rich, the proposal lacks sufficient detail to assess the specific activities students will engage in. _x000D_
_x000D_
Student Management:_x000D_
_x000D_
The proposal presents a reasonable plan for student recruitment, although the regional emphasis may be a concern. The student management plan appears to rely primarily on weekly meetings with the site PIs. The proposal could be improved by providing further details on individual mentoring activities (i.e., led by individual mentors). _x000D_
_x000D_
Evaluation and Dissemination:_x000D_
The evaluation plan is reasonable in terms of timing and content, but could be improved with further specificity.  The dissemination plan is appropriate for an REU site. _x000D_
_x000D_
_x000D_
Summary Statement_x000D_
_x000D_
This proposal received a rating of Good. The intellectual focus, team qualifications, and institutional support are strong. The chief weakness of the proposal is that it provides insufficient detail concerning the specific research activities students will engage in._x000D_
_x000D_
</t>
  </si>
  <si>
    <t>PB0870680</t>
  </si>
  <si>
    <t>Labrador</t>
  </si>
  <si>
    <t>mlabrador@usf.edu</t>
  </si>
  <si>
    <t xml:space="preserve">In the context of the five review elements, please _x000D_
evaluate the strengths and weaknesses of the proposal with respect to intellectual merit._x000D_
_x000D_
Autonomous vehicular technology and smart things are very important research areas. However, in general, the research projects are not well designed for REU students. They are defined in a very broad manner with no clear tasks for the students, so it is no easy to assess whether they are appropriate projects for REU students. Further, many of the project examples included in the proposal need a lot of data, and it is unknown whether the data is already available or they have the infrastructure to collect it. Finally, the project examples do not necessarily fit well in the theme of the site, which might be a little misleading to the students._x000D_
_x000D_
In the context of the five review elements, please _x000D_
evaluate the strengths and weaknesses of the proposal with respect to broader impacts._x000D_
_x000D_
Students will benefit of a series of academic and social activities that will prepare them well for graduate school and their careers. The structure of the projects and the projects themselves do not seem to be adequate for REU students, so it is doubtful that the project will produce the broader impacts expected in terms of preparing the students well in this important area of research._x000D_
_x000D_
Please evaluate the strengths and _x000D_
weaknesses of the proposal with respect to any additional solicitation-specific review criteria, if _x000D_
applicable_x000D_
_x000D_
The PIs plan to make groups of students per project with a large number of mentors. This may have a counterproductive effect. There is no good rationale in the proposal for that approach and several of the projects are not interdisciplinary. Faculty included in the proposal is very well funded but the proposal shows lack of experience working with undergraduate students. The PI's main area of research is not in the theme of the site._x000D_
_x000D_
There are important logistic items not mentioned in the proposal such as how the PIs are going to provide accommodations, payments, transportation, etc. The program timetable is adequate but several of the activities included there are very general. For example, what specific tutorials will be given? The proposal includes a good recruiting plan with very specific activities._x000D_
_x000D_
The project evaluation is reasonable; however, the proposal does not include an independent external evaluator._x000D_
_x000D_
The proposal includes the presentation of papers about the REU experience in a well known educational conference where these types of papers have been published many time before. Further, the PIs do not require the students to prepare a research paper for submission and presentation in research conferences. Therefore, the dissemination of results is questionable._x000D_
_x000D_
_x000D_
Summary Statement_x000D_
_x000D_
Autonomous vehicles and smart technology are important, challenging and appealing technologies to involve undergraduate student in. However, the projects need to be structured and defined in such a way that they will be appropriate for these type of students; otherwise, the program may have the opposite effect on the students. This is the most important aspect to improve in the proposal. Projects are very broad, with many (unnecessary) people involved, and without the data and/or infrastructure necessary to perform them. Other aspects to consider are the dissemination of results, the logistics, and the incorporation of an independent expert matter evaluator in the proposal._x000D_
_x000D_
</t>
  </si>
  <si>
    <t>1757414</t>
  </si>
  <si>
    <t>Shen</t>
  </si>
  <si>
    <t>P180116</t>
  </si>
  <si>
    <t>Non Competitive</t>
  </si>
  <si>
    <t xml:space="preserve"> Panel Summary       
 _x000D_
This REU site proposal presents plans for a REU site in which students engage in developing research and technology with self-driving and autonomous vehicles. They seek to recruit students from underrepresented backgrounds for science and technology exposure._x000D_
_x000D_
Intellectual Merit:_x000D_
_x000D_
_x000D_
Strengths:_x000D_
+ The topic of the REU site should be exciting for the student learning._x000D_
_x000D_
_x000D_
Weaknesses:_x000D_
- The different projects are not well-connected. It would be exciting if there were connections or themes that run through projects._x000D_
_x000D_
-The proposal does not include information on what tasks students would specifically do in the projects. What will they do and what would they learn from the tasks?_x000D_
_x000D_
-The proposal does not give a good sense of how student learning is supported._x000D_
_x000D_
Broader Impacts:_x000D_
_x000D_
Strengths:_x000D_
+ The research environment is strongly supported by the proposing university, which has excellent support for undergraduate research._x000D_
_x000D_
Weaknesses:_x000D_
_x000D_
- In this REU site proposal, students are responsible for pay their housing, which is inconsistent with REU guidelines._x000D_
_x000D_
- The recruitment plan is poorly defined and lacking. The proposers plan to target individuals from the Midwest, with a focus on underrepresented groups. However, their recruitment is described only as 'emails, posters, and social media.' How will these be designed? How does this approach target the stated groups? How will the proposers respond in case these approaches are not successful?_x000D_
_x000D_
- The inclusion of Luera as personnel is key, as the education background is beneficial. However, the expertise is primarily focused on K-12 and not on higher education. Further, the authors describe mixed methods and summative evaluation as a key component of their evaluation plan. The proposal does not document Luera's experience in either domain._x000D_
_x000D_
- Concern was raised by a panelist that given that the projects are industry focused, whether students will develop the skill sets and encouragement necessary to pursue higher studies._x000D_
_x000D_
- Moreover, given the heavy industry involvement, it was unclear if students' research could be disseminated afterwards in public venues/publications without intellectual-property conflicts. _x000D_
_x000D_
- The panel noted that idea of inviting parents is odd for REU project._x000D_
_x000D_
- This REU site needs more focus on REU students as a cohort._x000D_
_x000D_
Data management plan:_x000D_
_x000D_
The data management plan is adequate. _x000D_
_x000D_
_x000D_
Summary/Rationale for panel's recommendation, including key strengths and critical weaknesses:_x000D_
_x000D_
This REU site proposal targets automated vehicles. While the overall topic is scientifically interesting, enthusiasm was greatly diminished by issues of learning, recruitment and a large industry presence. From the above comments, the panel recommend this proposal for Not Competitive. _x000D_
_x000D_
The panel placed this proposal in the following category:_x000D_
_x000D_
____	Highly Competitive (HC)_x000D_
_x000D_
____	Competitive (C)_x000D_
_x000D_
____	Low Competitive (LC)_x000D_
_x000D_
_X__	Not Competitive (NC)_x000D_
_x000D_
_x000D_
The summary was read by the panel, and the panel concurred that the summary accurately reflects the panel discussion._x000D_
</t>
  </si>
  <si>
    <t>Verbatim copies of reviewer comments are included. At least one reviewer has grammatical, typographical, or character set errors in their review, which are a reflection of the word processing application they used. Regrettably, these errors were not corrected by the panelist prior to finalizing their review.</t>
  </si>
  <si>
    <t>Review Analysis_x000D_
NATIONAL SCIENCE FOUNDATION _x000D_
Alexandria, VA 22314 _x000D_
_x000D_
_x000D_
Directorate for Computer and Information Science and Engineering _x000D_
Research Experiences for Undergraduates Program _x000D_
_x000D_
This review analysis assume that the information in the CISE General Information for Applicants for the Research Experiences for Undergraduates (REU) Sites Program is contained in the proposal jacket. _x000D_
_x000D_
This proposal was reviewed by one of the FY2018 REU site panels organized by the CISE REU Site Team. The CISE REU Site Team has representatives from all three CISE divisions. _x000D_
_x000D_
The panel that reviewed this proposal placed it in the Low Competitive (LC) or Not Competitive (NC) category. The panel discussed separately both the intellectual merit and broader impacts of this proposal, judging that it was deficient. Issues of intellectual merit could include a failure to advance knowledge significantly within the field or poor organization of the proposed work. Issues of broader impacts could include weakness of educational aspects or little benefit of the proposed activity to society. The panel also considered review criteria specific to the REU site program. Often LC and NC proposals had issues in the REU specific criteria including insufficient details about the student management and logistics components; unclear or inappropriate student research projects and research preparation; lack of concrete plans for student recruitment, particularly recruitment of under-represented groups; lack of clarity about overall project management; and poor evaluation plans. The resulting panel summary and copies of all individual reviews are attached as part of the jacket. _x000D_
_x000D_
The recommendation was based on substantive comment from both individual reviews and the panel summary. It has taken into account both the peer recommendation and the availability of funds, considering the other proposals reviewed in this and other panels. The recommendation has also been made taking into account the specifics of the REU Site program scope, the need to maintain appropriate balance among subfields, the availability of other funding for the topic area, the total amount of funds available to the program for new proposals, and general Foundation policies. _x000D_
_x000D_
I recommend that this proposal be declined, because of one or more of the above factors. In cases where reviews were present that rated the proposal Excellent, the recommendation was also based on the panel's overall recommendation against support and consideration of funds for the program. _x000D_
_x000D_
_x000D_
Dr. Jonathan Sprinkle  _x000D_
Program Director _x000D_
Division of Computer and Network Systems</t>
  </si>
  <si>
    <t xml:space="preserve">In the context of the five review elements, please _x000D_
evaluate the strengths and weaknesses of the proposal with respect to intellectual merit._x000D_
_x000D_
Strengths: Topics cover the breadth with respect to connected and automated vehicles (CAV. Strong industry involvement.  _x000D_
_x000D_
Weaknesses/concerns: Will this REU site prepare students primarily for the industry, or will it also manage to focus on intellectually interesting problems that will encourage them to pursue higher studies?_x000D_
_x000D_
In the context of the five review elements, please _x000D_
evaluate the strengths and weaknesses of the proposal with respect to broader impacts._x000D_
_x000D_
Strengths:technologies and testbeds for CAV research are not readily available to underrepresented students, this site seems committed to drawing students from that group. _x000D_
_x000D_
weaknesses: It's not sufficient in my opinion to focus solely on the engineering challenges. Unclear if the site will invest sufficiently in publications. Will the industry partners allow sharing of the knowledge in the public doman?_x000D_
_x000D_
Please evaluate the strengths and _x000D_
weaknesses of the proposal with respect to any additional solicitation-specific review criteria, if _x000D_
applicable_x000D_
_x000D_
_x000D_
_x000D_
Summary Statement_x000D_
_x000D_
The proposed REU site hopes to strengthen the understanding and skillsets for advancing CAV research. The facilities are impressive, and the industry involvement is strong. _x000D_
My concern is that students will be too focused on industry oriented research (nothing wrong with that), in particular, I am not sure how much can be disseminated afterwards in public venues/publications. How will the site compare to internships students can do at the industry directly? Understandably, it is essential to develop skills to be competitive for such positions, so in that, this site will play a crucial role in preparing the students for the high-tech workforce necessary in coming years for CAV space._x000D_
_x000D_
</t>
  </si>
  <si>
    <t xml:space="preserve">In the context of the five review elements, please _x000D_
evaluate the strengths and weaknesses of the proposal with respect to intellectual merit._x000D_
_x000D_
Description of project: The goal of this proposal is to develop an REU program based on autonomous vehicle technologies. 8 students will participate for 10 weeks to work with one of 10 faculty members in computer and electrical engineering, mechanical engineering, manufacturing, and other science/engineering disciplines. The objectives are to recruit the students for research, and to provide necessary items fort he students to successfully complete the research experience. _x000D_
_x000D_
Intellectual Merit: _x000D_
_x000D_
Strengths: _x000D_
+	The region is a good place to have an REU program, with a significant population and a high level of diversity if that can be captured. _x000D_
+	There are lots of facilities that can be used for the program at this institution. _x000D_
_x000D_
Weaknesses: _x000D_
-	The objectives listed in this proposal, 'recruiting academically talented and highly motivated students to conduct summer research' and 'providing stipend, mentoring and career guidance' are weak. Are these really the objectives of an REU program? _x000D_
-	There is no excitement the proposal. It reads very dry and this panelist is concerned that a program executed by the group writing this proposal would be similarly dry. I would not expect the NSF goals for the REU program to be achieved here. _x000D_
-	The cohorts do not seem to be working together in any way. They are each going their own way, which is not likely to be so successful. _x000D_
-	Why are the parents being invited to the orientation? _x000D_
-	There is little detail as to what the REUs will actually be doing in this program. Example projects are needed. _x000D_
-	An evaluation program is planned, but few details are provided. Is this formative? Summative? _x000D_
-	The proposal states that the REUs are 'required' to meet their advisor weekly. It seems like more regular interaction should be welcomed. _x000D_
_x000D_
_x000D_
_x000D_
In the context of the five review elements, please _x000D_
evaluate the strengths and weaknesses of the proposal with respect to broader impacts._x000D_
_x000D_
Strengths _x000D_
+	There is a high probability of building a diverse program in the region of the country with suitable strategies. _x000D_
+	The topic could be very beneficial in terms of societal impact. _x000D_
_x000D_
Weaknesses: _x000D_
-	The topic is important to society, but this program is not convincing in terms of having an impact or benefit. _x000D_
-	The plans to engage diverse participants are not clear or convincing. _x000D_
_x000D_
Data Management Plan: The DMP overall is quite reasonable. The plan is very complete in terms of the REU program itself. However, the DMP also mentioned codes and data from the REU projects, and little detail is provided on what and how that info will be stored and shared for reuse by these teams or other researchers. Also, it seems that some of these projects will have DMPs based on the directives of the sponsor for that research. This is not made clear in the DMP. _x000D_
_x000D_
_x000D_
Please evaluate the strengths and _x000D_
weaknesses of the proposal with respect to any additional solicitation-specific review criteria, if _x000D_
applicable_x000D_
_x000D_
_x000D_
Little thought has been given to the REU activities, REU needs, and how to build a cohort and not just a group of students. _x000D_
The research is simply a list of existing faculty research with no details about the REU Tasks planned. _x000D_
The evaluation plan is superficial and focuses on numbers but not impact. No details are provided about how to learn from those measures and put the lessons back into the program. _x000D_
Recruitment seems to be mainly local, for students at institutions that do not have research programs. This is a great goal, but the details of how to make this happen are not included. _x000D_
_x000D_
_x000D_
Summary Statement_x000D_
_x000D_
_x000D_
Constructive suggestions for improvement:_x000D_
REU projects really need to be described in more detail, including examples of REU tasks. Also, the REU activities should include some training in data management and some training in research integrity. _x000D_
_x000D_
General overall Summary and Rationale for Rating: _x000D_
My main concern is that this proposal is not engaging or enthusiastic. Little excitement is conveyed in the writing about the program, the research and the opportunity that this presents for the students participating. Little thought has been given to the specific projects that the REUs will take on as independent tasks, or to the ways in which a group can be turned into a cohort. _x000D_
_x000D_
_x000D_
</t>
  </si>
  <si>
    <t>UN0975518</t>
  </si>
  <si>
    <t>yujian.fu@yahoo.com</t>
  </si>
  <si>
    <t xml:space="preserve">In the context of the five review elements, please _x000D_
evaluate the strengths and weaknesses of the proposal with respect to intellectual merit._x000D_
_x000D_
In this REU site proposal PI team presented an REU site with two main objectives (1) recruiting students to conduct summer research in digital and cyber connected automated vehicles; and (2) providing stipend, mentoring and career guidance to participants. The student recruitment, project logistics, research projects and faculty mentors are all described.  Evidence of research program and educational programs are included of the university are included. Research results of prior NSF supports have been demonstrated. _x000D_
_x000D_
The weakness will be in the following:  _x000D_
ò	The rationale is not consistent with the objectives. _x000D_
ò	The research projects of REU site shows all funded NSF awards. It is good but not clear for me what exactly the research projects are û need a concrete research project description. Meanwhile, it'll be better to have student activities with regarding to each research project. _x000D_
ò	How to arrange 10 faculty mentors with the projects and student participant need to be clarified. _x000D_
_x000D_
_x000D_
In the context of the five review elements, please _x000D_
evaluate the strengths and weaknesses of the proposal with respect to broader impacts._x000D_
_x000D_
The REU site proposal has described  the dissemination in three categories (public, cyber space, and print). Identified the strength and weakness of US automotive industry in CAV. The weakness is it does not indicate the recruitment of minority students._x000D_
_x000D_
Please evaluate the strengths and _x000D_
weaknesses of the proposal with respect to any additional solicitation-specific review criteria, if _x000D_
applicable_x000D_
_x000D_
_x000D_
_x000D_
Summary Statement_x000D_
_x000D_
The REU site proposal has described  the dissemination in three categories (public, cyber space, and print). Identified the strength and weakness of US automotive industry in CAV. The weakness is it does not indicate the recruitment of minority students. The REU site has demonstrated a very strong faculty mentor team which includes 10 faculty mentors and all 10 NSF supported projects. However, there is no description of student activities in each research project and how to arrange faculty mentors with student projects and activities. This proposal does not include social activities._x000D_
_x000D_
</t>
  </si>
  <si>
    <t>DT1000266</t>
  </si>
  <si>
    <t>Wade</t>
  </si>
  <si>
    <t>erwade@utk.edu</t>
  </si>
  <si>
    <t xml:space="preserve">In the context of the five review elements, please _x000D_
evaluate the strengths and weaknesses of the proposal with respect to intellectual merit._x000D_
_x000D_
The proposers have put together a solid new site REU application focused on exposing students to technology through self-driving and autonomous vehicles. They seek to recruit students from underrepresented backgrounds with a focus on technology exposure. However, enthusiasm is reduced by administrative burden, student activities, intellectual merit w.r.t. evaluation, recruitment strategy, and team expertise._x000D_
_x000D_
+ The scientific component of the proposal, (technologies for autonomous and self-driving vehicles) may provide unique opportunities. Additionally, this topic allows for the integration of student interest in a variety of engineering (mechanical, electrical, industrial, etc.) and science (comp. science, chemistry, etc.) domains. Further, the scientific need and demand for such vehicles are well described in the proposal._x000D_
_x000D_
+ The proposers appropriately attempt to provide access to underrepresented groups with the idea that technology transfer, and novel motivating research approaches, may be motivating in keeping these individuals involved in STEM at the undergraduate and graduate level._x000D_
_x000D_
- There are some logical gaps in the knowledge generation. Proposers ask how minority and female students compare to other cohort students, what factors influence the performance of these groups, and if the tech-driven program is a deterrent for female and minority students. These are questions actively described in higher education literature; however, the proposers do not address why they pose these questions, and do not appear to have the expertise (statistics, etc.) or outcome measures to answer these questions (particularly, the factors question)._x000D_
_x000D_
- Proposers claim that having female PIs will assist in female recruitment. Is there evidence of this, especially considering the recruitment approach is primarily emails/posters/social media (e.g., not human to human recruitment)?_x000D_
_x000D_
- The design is predicated on the theory of experiential learning, though the relevant reference is somewhat misaligned from the current proposal (student-run health clinic). Are there not more relevant references (or perhaps, models) to suggest how the proposers go about immersing their students?_x000D_
_x000D_
In the context of the five review elements, please _x000D_
evaluate the strengths and weaknesses of the proposal with respect to broader impacts._x000D_
_x000D_
+ The project advances discovery by potentially introducing individuals from divers background to a field in need of innovation and novel approaches (autonomous vehicles). If successful, the approach would broaden exposure of underrepresented groups._x000D_
_x000D_
+ The infrastructure would not be greatly enhanced (already excellent), though human networks/connections/professional relationships (particularly in the target communities) will be enhanced by the professional development activities._x000D_
_x000D_
- Unfortunately, other than 'giving preference' during the review period, it is unclear that recruitment will target Midwest/underrepresented groups._x000D_
_x000D_
_x000D_
Please evaluate the strengths and _x000D_
weaknesses of the proposal with respect to any additional solicitation-specific review criteria, if _x000D_
applicable_x000D_
_x000D_
Data Management Plan: _x000D_
- The plan is adequate with respect to the research-derived data. However, data for the student outcomes are inadequate. The proposers mention collecting data only on female and minority students. They also do not discuss confidentiality/protections with respect to these assessment data._x000D_
_x000D_
Solicitation-specific criteria: _x000D_
+ The undergraduate academic and research environment at UMD are excellent (though they include some fairly standard activities û e.g., senior capstone project)._x000D_
_x000D_
+ The training provided to the students is excellent, and includes exposure to research, library access, exposure to STEM professionals, and other training opportunities._x000D_
_x000D_
+ The research environment and facilities are excellent and will provide the necessary resources for the 8-person cohort._x000D_
_x000D_
+ The proposers lay out a clear and logical timeline for the screening and notification process for students._x000D_
_x000D_
- Proposers do not fully acknowledge the administrative burden associated with this program. Tenured/tenure track faculty are responsible for the bulk of the activities, including recruitment, screening, supervision, assessment, etc. Without detail of how the faculty plan to manage time and distribute tasks, there is some concern regarding the extent to which these activities are prioritized without having a dedicated staff member._x000D_
_x000D_
_x000D_
- While the range of research topics are appropriate for the overall scientific goal, there is no discussion of how the research will be made appropriate for undergraduate students with reduced technical expertise._x000D_
_x000D_
- The recruitment plan is poorly defined and lacking. The proposers plan to targed individuas from the Midwest, with a focus on underrepresented groups. However, their recruitment is described only as 'emails, posters, and social media.' How will these be designed? How does this approach target the stated groups? How will the proposers respond in case these approaches are not successful?_x000D_
_x000D_
- The inclusion of Luera as personnel is key, as the education background is beneficial. However, the expertise is primarily focused on K-12 and not on higher education. Further, the authors describe mixed methods and summative evaluation as a key component of their evaluation plan. However, Luera does not appear to have experience in either domain._x000D_
_x000D_
- There do not appear to be any built-in student social activities, especially considering the academic/research/meeting requirements._x000D_
_x000D_
- The students are required to attend 1 PI meeting, 1 group meeting, and 0.5 presentations per week. The proposers should consider the amount of burden imposed on the students' schedules._x000D_
_x000D_
- Though students receive a stipend, they are responsible for their own housing (so the stipend as claimed is not the actual amount students receive)._x000D_
_x000D_
- There is some minor concern regarding how grad student supervisors will be selected (e.g., will they come from the supervising PI's lab?)._x000D_
_x000D_
- There is some minor concern regarding how speakers will be selected_x000D_
_x000D_
Summary Statement_x000D_
_x000D_
The scientific component of the proposal is extremely strong, and includes a sound motivating research domain (autonomous vehicles), excellent facilities, and excellent team expertise. Enthusiasm is reduced, however, by a lack of necessary personnel in the team, and some unsupported justification for the student experience and evaluation of study outcomes._x000D_
_x000D_
</t>
  </si>
  <si>
    <t>PROJECT ELEMENTS:_x000D_
New REU Site?: Yes_x000D_
Project title: REU Site: Digital and Cyber Connected and Automated Vehicles_x000D_
Principal Investigator: Jie Shen_x000D_
Submitting organization: Regents of the University of Michigan_x000D_
Other organizations involved in the project's operation: n/a_x000D_
Location at which the proposed undergraduate research will occur: University of Michigan-Dearborn_x000D_
Main field(s) and sub-field(s) of the research: Engineering and Computer Science_x000D_
No. of undergraduate participants per year: 8_x000D_
Summer REU Site, or academic year REU Site?: Summer_x000D_
No. of weeks per year that the students will participate: 10_x000D_
Does the project include an international component or an RET component?: No_x000D_
Point-of-contact for student applicants: Jie Shen, 313-593-5680, shen@umich.edu_x000D_
Web address for information about the REU Site: www.umdearborn.edu/DCCAV (to be established)_x000D_
_x000D_
This program will establish a new REU site focused on the emerging areas of digital and cyber Connected and Automated Vehicles (CAV) at the University of Michigan-Dearborn. The site will provide 8 undergraduates per summer the opportunity to work with faculty mentors in state of the art research labs and test sites. The recruitment of undergraduates will be conducted via several channels: (a) posters sent to schools in the Midwest region and nationwide, (b) banner at the university website, (c) emails to all admitted undergraduates, and (d) social media broadcasting. Selection process will contain two steps: (i) undergraduate subcommittee meeting and (ii) Recruitment and Traineeship Selection Committee meeting and interview.The connected/intelligent vehicle is one of the key technologies that will decide which country holds global dominance of the automotive industry in the 21st century. The undergraduates in this program will conduct cutting-edge research in the emerging fields of digital and cyber connected and automated vehicles (CAVs): (1) virtual testing of CAV, (2) machine leaning from big data for intelligent driving, (3) data sensing, processing and communication of CAV, (4) cyber security of CAV, (5) electrical power and control of vehicles, (6) human-computer interface, and (7) shared mobility of CAV. Students will have an opportunity to integrate the digital and cyber studies of CAV into a large-scale controlled environment for testing the potential of connected/intelligent vehicle technologies (i.e., Mcity). A weekly meeting will provide the students a multidisciplinary research environment for idea exchange and critical review on the progress at the frontiers of CAV. An annual Presentation Day will be used to demonstrate student projects based on experiential learning. Field trips will allow students to obtain valuable experience from local industry. Leadership training is focused on innovation-based technological leadership.The program directly addresses an area of national concern: establishing U.S. leadership in connected and automated vehicles for the next two decades. The strength/weakness of the U.S. automotive industry will have a profound impact on all manufacturing activities nationwide. This REU site will provide research experiences to undergraduates who might not otherwise have opportunities for the research experiences of CAV technologies at their own institutions and will intend to recruit students from underrepresented groups in CAV. The project will strive to meet a dire need of the automotive industry for high-quality research personnel in this new area because of the scarcity of existing programs. The assessment of short-term and long-term outcomes of this program will provide learned lessons that will be disseminated widely to the public.</t>
  </si>
  <si>
    <t>1757535</t>
  </si>
  <si>
    <t xml:space="preserve"> Panel Summary       
 Short description of project:_x000D_
_x000D_
This is a proposal to establish a REU site at Virginia Commonwealth University in Cyber-Physical Systems. The proposal seeks to engage 10 students for a period of ten weeks every year for three years._x000D_
 _x000D_
_x000D_
_x000D_
Intellectual Merit:_x000D_
 _x000D_
Strengths:_x000D_
_x000D_
There is a wide variety of interesting projects being proposed and the faculty are qualified  to direct the proposed research. _x000D_
_x000D_
Weaknesses:_x000D_
_x000D_
The initial orientation session takes place during the first week and there is some concern that delaying the research until the second week might not be in the best interest of the students. There is also some risks of mismatched pairings utilizing the almost "real time" pairing of students to mentors. A major goal of the project is to expose students to various challenges in CPS and provide them training on CPS technology. One identified weakness of the projects is that not all of them are CPS projects. They are heavy on the cyber side and light or non-existent on the physical side. This leads to the concern that students will not be exposed to the domain side of CPS.  _x000D_
_x000D_
Broader Impacts:_x000D_
Strengths:_x000D_
_x000D_
The recruiting plans include postings on the VCU web site, distribution of flyers, and presentations to regional schools. The panel sees the plans as comprehensive and adequate to meet the desired goals. There is a comprehensive mentoring plan in place, consisting of orientation activities, weekly meetings, graduate school and career activities, weekly tutorials and a final poster competition. These activities are sufficient to guide the participants throughout the project and keep them on path to completing their assigned projects._x000D_
_x000D_
Weaknesses:_x000D_
_x000D_
It is highly unlikely that the ASEE conference might consider publication of results resulting from a REU experience_x000D_
_x000D_
_x000D_
Data management plan:_x000D_
_x000D_
There is a data management plan but it does not focus on the data collected. _x000D_
_x000D_
Criteria Specific to REU Sites_x000D_
	Research:_x000D_
The faculty are well qualified, but the projects range from good to poor. More of a concern is that the projects were not CPS projects and there was the lack of a common theme._x000D_
	Logistics and Student Management:_x000D_
Many details on logistics and student management are missing. Missing elements include housing, pay and transportation. There is also concern that the team building exercises may be inadequate to achieve their purposes. It is believed that stronger recreational and social activities could be proposed. _x000D_
There are survey based assessment plans designed to assess how students feel about their experiences and to elicit thoughts from faculty mentors as to the success of the  program. The panel believes that this evaluation is not strong enough and that utilizing an external highly qualified advisor would lead to a more comprehensive and effective evaluation plan. _x000D_
_x000D_
Constructive suggestions for improvement:_x000D_
_x000D_
The panel did not believe that all the projects were within the scope of CPS. While a title change might resolve the issue, it raised concerns that the unifying nature of the research was not clear, and might not be clear to any participating or applying participants. The proposal could be improved by having a title that reflects the core intellectual focus, and that provides confidence that students who would participate would have an experience in that area. The use of an external advisor would do justice to the very comprehensive activities proposed for the participants. An important aspect of the REU programs is the care of the students. The proposal should detail specific plans for the students, such as housing, pay and transportation. There are many avenues for disseminating results of these projects and some should be chosen._x000D_
_x000D_
Summary/Rationale for panel's recommendation, including key strengths and critical weaknesses:_x000D_
_x000D_
The project has a comprehensive training program and a good recruitment plan. Unfortunately there were some substantial weaknesses, of which the major ones are listed below: _x000D_
1.	Not all of the projects seem to be CPS projects; _x000D_
2.	There is no consistent theme among the projects; _x000D_
3.	The evaluation of the program is somewhat weak; and, _x000D_
4.	Details on how the students will be cared for during the REU is missing._x000D_
_x000D_
The panel placed this proposal in the following category:_x000D_
_x000D_
____	Highly Competitive (HC)_x000D_
_x000D_
____	Competitive (C)_x000D_
_x000D_
__X__	Low Competitive (LC)_x000D_
_x000D_
____	Not Competitive (NC)_x000D_
_x000D_
_x000D_
The summary was read by the panel, and the panel concurred that the summary accurately reflects the panel discussion._x000D_
</t>
  </si>
  <si>
    <t>Review Analysis_x000D_
NATIONAL SCIENCE FOUNDATION _x000D_
Alexandria, VA 22314 _x000D_
_x000D_
Directorate for Computer and Information Science and Engineering _x000D_
Research Experiences for Undergraduates Program _x000D_
_x000D_
This review analysis assume that the information in the CISE General Information for Applicants for the Research Experiences for Undergraduates (REU) Sites Program is contained in the proposal jacket. _x000D_
_x000D_
This proposal was reviewed by one of the FY2018 REU site panels organized by the CISE REU Site Team. The CISE REU Site Team has representatives from all three CISE divisions. _x000D_
_x000D_
The panel that reviewed this proposal placed it in the Low Competitive (LC) or Not Competitive (NC) category. The panel discussed separately both the intellectual merit and broader impacts of this proposal, judging that it was deficient. Issues of intellectual merit could include a failure to advance knowledge significantly within the field or poor organization of the proposed work. Issues of broader impacts could include weakness of educational aspects or little benefit of the proposed activity to society. The panel also considered review criteria specific to the REU site program. Often LC and NC proposals had issues in the REU specific criteria including insufficient details about the student management and logistics components; unclear or inappropriate student research projects and research preparation; lack of concrete plans for student recruitment, particularly recruitment of under-represented groups; lack of clarity about overall project management; and poor evaluation plans. The resulting panel summary and copies of all individual reviews are attached as part of the jacket. _x000D_
_x000D_
The recommendation was based on substantive comment from both individual reviews and the panel summary. It has taken into account both the peer recommendation and the availability of funds, considering the other proposals reviewed in this and other panels. The recommendation has also been made taking into account the specifics of the REU Site program scope, the need to maintain appropriate balance among subfields, the availability of other funding for the topic area, the total amount of funds available to the program for new proposals, and general Foundation policies. _x000D_
_x000D_
I recommend that this proposal be declined, because of one or more of the above factors. In cases where reviews were present that rated the proposal Excellent, the recommendation was also based on the panel's overall recommendation against support and consideration of funds for the program. _x000D_
_x000D_
_x000D_
Dr. Harriet Taylor_x000D_
Program Director _x000D_
Division of Computer and Network Systems</t>
  </si>
  <si>
    <t xml:space="preserve">In the context of the five review elements, please _x000D_
evaluate the strengths and weaknesses of the proposal with respect to intellectual merit._x000D_
_x000D_
This REU program is focused on research in the areas of CPS. 10 students will participate for 10 weeks to work with faculty members in computer science or computer and electrical engineering. A novel recruitment program is planned where they will connect with five regional institutions that also serve URMs but may not have graduate programs. Pre-program activities are planned to engage the participants. Four topics are the focus: real-time computing and sensing, communication and data processing, CPS security, and data analytics and algorithm design. These claim to be CPS topics, but the research described is really very CS/CE/EE domain specific and there are no physical parts to these projects. _x000D_
_x000D_
Intellectual Merit: _x000D_
_x000D_
Strengths: _x000D_
+	Formative and summative assessments are planned to evaluate and improve the program._x000D_
+	The focus on recruiting students from nearby schools that do not have graduate programs is positive. _x000D_
+	The program includes good plans for training, awareness and communication skills. The students will participate in workshops and seminars, and will make posters and presentations throughout the summer. _x000D_
_x000D_
Weaknesses: _x000D_
[Material redacted per PAM Chapter XI G.2] _x000D_
-	A whole week for orientation is too long. The REUs need to get into the research right away. _x000D_
-	Some of the research will require IRB training. REUs may need training in data management._x000D_
_x000D_
_x000D_
_x000D_
In the context of the five review elements, please _x000D_
evaluate the strengths and weaknesses of the proposal with respect to broader impacts._x000D_
_x000D_
Strengths: _x000D_
+	A strong recruiting program is proposed, which is likely to be successful in engaging diverse students in research and advanced degrees. _x000D_
+	The topic, if properly done, could be highly impactful at this time and make REUs aware of the challenges of CPS and the emerging opportunities they can pursue. _x000D_
_x000D_
Weaknesses: _x000D_
-	Because the CPS aspects of the proposal are minimal, the argument that the  benefit to society in CPS is not strongly supported. _x000D_
_x000D_
Data Management Plan: The DMP has the essential information. It does focus on the REU program itself and not on the research that the students are conducting. Much of the data to be collected and preserved relates to human subjects, but the IRB box is not checked in the cover sheet. _x000D_
_x000D_
_x000D_
Please evaluate the strengths and _x000D_
weaknesses of the proposal with respect to any additional solicitation-specific review criteria, if _x000D_
applicable_x000D_
_x000D_
_x000D_
Formative and summative assessments are planned to evaluate and improve the program. _x000D_
Recruiting: 80% of the students would be from outside of the home institution. _x000D_
Diversity: 50% of the REUs would be from underrepresented groups. _x000D_
_x000D_
_x000D_
Summary Statement_x000D_
_x000D_
Constructive suggestions for improvement: _x000D_
Although the goal of this program is CPS, there is no physical component to the problems that the REUs will consider in the research. The tasks described seem entirely focused on the cyber side, and many of the topics are not really CPSs. This is the biggest concern that I have as the program is titled and advertised as CPS. REUs participating would get the entirely wrong idea about CPS without real exposure to the physical aspects of each problem. REU projects really need to be described in more detail, including examples of REU tasks. Also, the REU activities should include some training in data management and some training in research integrity. _x000D_
_x000D_
General overall Summary and Rationale for Rating: _x000D_
This proposal has a solid plan for an REU program. Recruitment, selection of students, and faculty involvement is thoroughly described. A solid plan for engaging a diverse set of students is proposed. The REUs will have good exposure to needed skills, and awareness of research in the department. REU project selection is not sufficiently described, as the specific tasks for the REUs could be improved. Also, the proposal could be improved in terms of addressing CPS topics. _x000D_
_x000D_
</t>
  </si>
  <si>
    <t>TY0946115</t>
  </si>
  <si>
    <t>Graham</t>
  </si>
  <si>
    <t>jmgraham@nsu.edu</t>
  </si>
  <si>
    <t xml:space="preserve">In the context of the five review elements, please _x000D_
evaluate the strengths and weaknesses of the proposal with respect to intellectual merit._x000D_
_x000D_
Cyber Physical systems are very much a current topic of research.The proposed projects can contribute to the research literature and a better understanding of the area.The research projects are very clear and well laid out. One problem however, is that the research projects are not CPS projects, despite the claims of the authors. Although not much is said about the facilities, they appear to be adequate.The faculty mentors have had good prior experience working with undergraduate students in a research setting. The mentors are highly qualified and an effort was made to have a racially diverse group of mentors.The evaluation is survey based and focuses mainly on the satisfaction of the students. I would have liked to have seen more evaluation on the learning and development of the student._x000D_
_x000D_
In the context of the five review elements, please _x000D_
evaluate the strengths and weaknesses of the proposal with respect to broader impacts._x000D_
_x000D_
The main recruitment plan will be a website, so the challenge maybe how to drive traffic to this site. Students and their advisors at the targeted schools may not be aware of the NSF listing of REU sites. A more effective plan that the authors suggested as a possibility, would be to make special presentations at targeted minority schools in the area. This can be effective and might be more effective than the web page effort._x000D_
The proposers plan to disseminate the project results by placing the projects on the website, inviting the public to the final poster presentation, submitting projects with worthwhile results to to conferences or journals and to submit a summary of he project to the ASEE conference. The proposed dissemination plan is very solid._x000D_
_x000D_
Please evaluate the strengths and _x000D_
weaknesses of the proposal with respect to any additional solicitation-specific review criteria, if _x000D_
applicable_x000D_
_x000D_
Students are welcomed with an orientation, which is very important to get students off on the right track. There are proposed weekly meetings to keep students on track and weekly tutorials by graduate students in order to build students skill sets. Students will be required to make a midterm presentation before the final poster presentation. While this is a good thing, I would have preferred to see more frequent opportunities for the students to present. There are solid plans to expose students to graduate school and stimulate their interest in attending._x000D_
Social activities for the students are limited to a proposed picnic and a visit to an art museum. Perhaps the PIs could suggest a more fun activity (Kings Dominion Park is quite close) and an activity to observe CPS in practice in a commercial environment._x000D_
_x000D_
Summary Statement_x000D_
_x000D_
A solid proposal that is strong in most elements. One concern is that the evaluation does not seek to objectively measure the learning that would take place. Another concern is that the projects are not really CPS projects and reside primarily in the Cyber zone._x000D_
_x000D_
</t>
  </si>
  <si>
    <t xml:space="preserve">In the context of the five review elements, please _x000D_
evaluate the strengths and weaknesses of the proposal with respect to intellectual merit._x000D_
_x000D_
Strengths:_x000D_
The area of cyber-physical systems is very important and in high demand for qualified students. The projects are well designed and appropriate for undergraduate students. Further, the mentors have the experience and infrastructure to carry them out successfully._x000D_
_x000D_
Weaknesses:_x000D_
Some of the project examples are not related to cyber-physical systems, which can be misleading for the students._x000D_
Not quite sure tutorial sessions should be given by a GA student._x000D_
_x000D_
In the context of the five review elements, please _x000D_
evaluate the strengths and weaknesses of the proposal with respect to broader impacts._x000D_
_x000D_
Strengths:_x000D_
The PIs have the research and mentoring experience to work with undergraduate students._x000D_
_x000D_
Weaknesses:_x000D_
_x000D_
Please evaluate the strengths and _x000D_
weaknesses of the proposal with respect to any additional solicitation-specific review criteria, if _x000D_
applicable_x000D_
_x000D_
The budget is beyond the limits of the REU guidelines. Tuition, some travel dollars, and funds for seminars are included._x000D_
_x000D_
Research:_x000D_
Good research projects led by a qualified and well-funded group of mentors in their areas of research. _x000D_
_x000D_
Logistics and Student Management:_x000D_
There are important logistic items not mentioned in the proposal such as how the PIs are going to provide accommodations, payments, transportation, etc. The program timetable is adequate but several of the activities included there are very general. For example, what specific tutorials will be given? The proposal includes a good recruiting plan with very specific activities._x000D_
_x000D_
Evaluation plan:_x000D_
The project evalaution is reasonable; however, the proposal does not include an independent external evaluator._x000D_
_x000D_
Standard dissemination of results: _x000D_
The proposal includes the presentation of papers about the REU experience in a well known educational conference where these types of papers have been published many time before. Further, the PIs do not require the students to prepare a research paper for submission and presentation in research conferences. Therefore, the dissemination of results is questionable._x000D_
_x000D_
Summary Statement_x000D_
_x000D_
Cyber physical systems is an important, challenging and appealing area of research to involve undergraduate student in. Most of the projects are well designed and suitable for undergraduate students. Further, the mentors have the expertise and infrastructure needed to carry them out successfully. However, some of the projects are outside the theme of the site, which might be misleading for the students. Other aspects to consider are the dissemination of results, the logistics, and the incorporation of an independent expert matter evaluator in the proposal._x000D_
_x000D_
</t>
  </si>
  <si>
    <t xml:space="preserve">In the context of the five review elements, please _x000D_
evaluate the strengths and weaknesses of the proposal with respect to intellectual merit._x000D_
_x000D_
Description of project: (short description of the project)_x000D_
This new proposal is a solid application focused on exposing students to undergraduate research through a variety of CPS research domains focused on real time computing, data processing, security, and data analytics. The plan is quite strong, and includes a PI with past experience with supplemental REUs. The projects are well defined (specifically, tailoring to the REU student's skills). The recruitment plan is detailed and robust. Enthusiasm is reduced only by a lack of detail provided to the assessment and evaluation components._x000D_
_x000D_
_x000D_
Intellectual Merit: (review of intellectual merit)_x000D_
_x000D_
+ Though broad, the research focus on CPS is obviously well aligned with CISE and may provide topics appropriate for a range of students (they seek to recruit CE, CS, EE students). The need for this research (and appropriateness for REU-level projects) is well defined._x000D_
_x000D_
+ The proposers seek to increase access to individuals from diverse backgrounds (and particularly, from institutions that do not grant post-baccalaureate degrees) to CPS related research. They focus on teaching scientific methodology through the research projects and other group activities of the REU plan._x000D_
_x000D_
_x000D_
In the context of the five review elements, please _x000D_
evaluate the strengths and weaknesses of the proposal with respect to broader impacts._x000D_
_x000D_
+_x000D_
Though the proposed CPS related research areas are broad, there is no doubt that they overlap with areas of societal importance._x000D_
_x000D_
The proposed grant will certainly provide additional opportunities to the REU students who attend. Because many of these students will be local and from non PhD granting institutions, this is particularly meaningful._x000D_
_x000D_
-_x000D_
It is not clear that other students or society more broadly (e.g., not part of the REU) will benefit from the training/activity components of the grant._x000D_
_x000D_
Data Management Plan: _x000D_
The data management plan is adequate given the stated project goals._x000D_
_x000D_
_x000D_
Please evaluate the strengths and _x000D_
weaknesses of the proposal with respect to any additional solicitation-specific review criteria, if _x000D_
applicable_x000D_
_x000D_
Proposers have a very specific recruitment plan, including typical flyers/emails/internet, but also more detailed focused on presentations specific universities with no post-bacc degrees (e.g., local HBCUs). Additionally, they plan to work with local chapters of SWE, NSBE, SHPE, as well as engineering professional societies including TBP, HKN, and UPE_x000D_
_x000D_
Proposers seek to increase student self-efficacy, acknowledging that success/pursuing future STEM career paths relies not only on easily quantified (e.g., research publication) outcomes, but also ore qualitative (e.g., confidence) metrics._x000D_
_x000D_
While a full time staff member would be preferable, the use of a paid graduate student for some of the administrative burden suggests proposers understand the need for (non tenure/tenure track) personnel for program success._x000D_
_x000D_
PI has prior experience with (supplement) REUs that included a diverse set of students, demonstrating experience with recruitments/mentoring of underrepresented students (albeit on a different level)._x000D_
_x000D_
Reasonable and appropriate project/recruitment timelines are included._x000D_
_x000D_
Details of how projects will be tailored to student academic maturity are provided._x000D_
_x000D_
Beyond research, there is a rich set of student activities, including orientation, weekly PI meetings, weekly group meetings (combined with external speakers), weekly tutorials by graduate students, and mid- and end-term presentations (the last component is beneficial for student professional development)_x000D_
_x000D_
The proposers suggest meaningful (but not too many) social activities (picnic, interactions with other non REU VCU individuals and MFA visit)._x000D_
_x000D_
The research environment is quite strong; there is evidence of VCU's sponsored research, as well as the departmental strength wrt NSF funding. The PI's past experience with UG research and REUs suggest local experience in recruiting/mentoring students from the target groups._x000D_
_x000D_
-_x000D_
The assessment/evaluation plan is not strong. Research outcomes (publications) are considered the primary outcome. While important, it is a very high bar for a 10-week project. Additional metrics (beyond the mentioned surveys) may be helpful._x000D_
_x000D_
Pre/post surveys are good [Material redacted per PAM Chapter XI G.2] however, the surveys seem to be non-validated questionnaires (which limits greatly their utility for assessment or evaluation). There are a number of existing students satisfaction surveys that can be used or adapted to this project._x000D_
_x000D_
Noting that assessment and evaluation are different, the argument that the PIs will utilize their instrument to determine what to change is na´ve. Having an experienced evaluator (external from the PI team) would greatly increase the interpretation of instrument measures, as well as the determination of any necessary programmatic changes._x000D_
_x000D_
Student survey responses will be stored and used for future outcomes/publications. Protections of student data needs to be considered._x000D_
_x000D_
Though they mention working with VCU diversity programs to mentor students, this is limited to a single sentence without any detail. Further, there is little detail on planned training to prepare graduate students as REU mentors._x000D_
_x000D_
While recruitment will involve sending flyers to local non post-bacc granting institutions, no details of to whom they will be sent._x000D_
_x000D_
Speakers at weekly student group meetings are not clearly defined._x000D_
_x000D_
While the matching plan makes sense (students to PI), it might make a bit more sense to perform this component before students arrive to maximize use of the 10 weeks._x000D_
_x000D_
(minor) Proposers draw attention to their programmatic diversity by pointing out one female PI (of 8)._x000D_
_x000D_
_x000D_
Summary Statement_x000D_
_x000D_
The grant is solid, with a good team of PIs as well as a solid underlying scientific premise. While the proposed activities are quite strong, increasing the quality of the assessment and evaluation will improve the long term outcomes._x000D_
</t>
  </si>
  <si>
    <t>DZ0991977</t>
  </si>
  <si>
    <t>Winfree</t>
  </si>
  <si>
    <t>kyle.winfree@nau.edu</t>
  </si>
  <si>
    <t xml:space="preserve">In the context of the five review elements, please _x000D_
evaluate the strengths and weaknesses of the proposal with respect to intellectual merit._x000D_
_x000D_
What is the potential for the proposed activity to advance knowledge and understanding within its own field or across different fields?_x000D_
_x000D_
- The fields seem quite different, as if there isn't a strong cohesive theme._x000D_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The proposed projects are far reaching, covering many different topics distally or directly related to CPS._x000D_
- The mention that Dr. Zhang has experience with senior design projects including minority and female students could be expanded on.  The fact that the project included woman and minorities is a reflection of the senior class demographics, not of Dr. Zhang's lab.  However, this could be an opportunity to actually discuss Dr. Zhang's ability to mentor such studies, or to express his sensitivity to the needs of such students._x000D_
- 'the students will have opportunities to work with other students to form a team and/or have a co-mentor if a particular research expertise is needed' This reviewer does not understand.  Does this mean that the students will have the opportunity to work as a team, but not really be part of a such team unless it's needed?  Please clarify and consider how team experiences may impact the overall experience of an REU._x000D_
_x000D_
Please evaluate the strengths and _x000D_
weaknesses of the proposal with respect to any additional solicitation-specific review criteria, if _x000D_
applicable_x000D_
_x000D_
To what extent do the proposed activities suggest and explore creative, original, or potentially transformative concepts?_x000D_
_x000D_
+_x000D_
- With such a varied list of topics, and what appears to be absent of a central theme, this is hard to evaluate._x000D_
_x000D_
Is the plan for carrying out the proposed activities well-reasoned, well-organized, and based on a sound rationale? Does the plan incorporate a mechanism to assess success?_x000D_
_x000D_
+ There is a mechanism for surveying the success of the program, including a mid-program assessment._x000D_
- _x000D_
_x000D_
How well qualified is the individual, team, or institution to conduct the proposed activities?_x000D_
_x000D_
+ The PI has experience mentoring undergraduate students under the umbrella of five REU supplements._x000D_
-_x000D_
_x000D_
Are there adequate resources available to the PI (either at the home institution or through collaborations) to carry out the proposed activities? _x000D_
_x000D_
+_x000D_
- There is not enough evidence that the PI has the needed support to carry out these research projects.  This is demonstrated by the lack of recent publications from the PI on this research area._x000D_
_x000D_
Summary Statement_x000D_
_x000D_
[Material redacted per PAM Chapter XI G.2]_x000D_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The PI has mentored undergraduate students via REU supplements._x000D_
_x000D_
Student Management:_x000D_
- Plan for student management and care_x000D_
- Recruitment plan, diversity of recruitment pool_x000D_
- Outreach activities during the summer experience_x000D_
_x000D_
- The team building events are underachieving team events._x000D_
- Is an entire week of orientation really appropriate?_x000D_
_x000D_
Evaluation and Dissemination:_x000D_
- Plan to evaluate results of project_x000D_
- Dissemination of results of research as well as of the REU site project overall_x000D_
_x000D_
+ The timing of the four surveys seems appropriate._x000D_
+ There is a plan to utilize the insights gained from the surveys and interviews to improve the program._x000D_
+ The team has identified several means of dissemination._x000D_
- But is a paper to ASEE really likely to a) have impact and b) contribute much to the fairly well established knowledge base on REU administration?_x000D_
</t>
  </si>
  <si>
    <t>.	New REU Site, or renewal of previously funded REU site: New REU Site_x000D_
.	Project title: REU Site: Research Experiences for Undergraduate in Cyber-Physical Systems  _x000D_
.	Principal Investigator: Wei Zhang_x000D_
.	Submitting organization: Virginia Commonwealth University_x000D_
.	Other organizations involved in the project?s operation: None_x000D_
.	Location: Virginia Commonwealth University, Richmond, VA 23284_x000D_
.	Main field and subfields of the research: computer engineering, computer science and electrical engineering, embedded systems, network, communication, control_x000D_
.	No. of undergraduate participants per year: 10_x000D_
.	Summer REU Site or academic year REU Site: Summer REU Site_x000D_
.	No. of weeks per year that the students will participate: 10 weeks_x000D_
.	Does the project include an international component, ethics component, or RET component?: No_x000D_
.	Name, phone number, and e-mail address of point-to-contact for student applicants: Wei Zhang, (804)827-2631 wzhang4@vcu.edu_x000D_
.	Web address (URL) for information about the REU Site: Will be available if the project is funded_x000D_
_x000D_
The goal of this REU site is to provide high-quality guided research experiences in cyber-physical systems (CPS) to undergraduate students from academic institutions with limited research programs, in particular underrepresented groups including women, minorities, and persons with disabilities. The REU site will run for ten weeks during the summer at VCU with intensive and well structured research programs, involving ten students each year and supported by eight participating faculty mentors from Electrical and Computer Engineering and Computer Science.The REU site is designed to have a strong research component combined with professional development opportunities for the participating undergraduate students. Students will have opportunities to explore a variety of research topics in CPS such as real-time computing, sensing, robotics, mobile network, routing algorithms, and statistical signal processing. Students with different backgrounds in computing, communication and control can also work in interdisciplinary teams to solve real-world CPS problems. Students will actively pursue the entire research process including literature search, digesting prior work, formulating new problems, designing and conducting investigations, and preparing presentations and publications of results. The REU students will regularly share their work with each other and meet with faculty mentors and the PIs. The project activities will permit students to acquire valuable professional development skills, to gain a broader understanding of CPS and a deeper understanding of a focused research area, and to develop greater confidence in their abilities as future CPS professionals and researchers.This project will provide high-quality research opportunities in the emerging and interdisciplinary areas of CPS to undergraduate students from underrepresented groups and from academic institutions with limited research programs. The well designed REU summer research program is expected to spark the research interests of undergraduate students, improve their research capability and soft skills, and motivate them to pursue graduate programs or careers in CPS research and education. This program will also enhance diversity in computer science and engineering research through participation by underrepresented groups. Moreover, as the CPS are increasingly used to affect different aspects of our society, developing a diverse workforce with solid technical background and problem-solving skills in CPS can benefit society at large.</t>
  </si>
  <si>
    <t>1757632</t>
  </si>
  <si>
    <t>Holder</t>
  </si>
  <si>
    <t xml:space="preserve"> Panel Summary       
 Washington State University proposes the renewal of their REU Site on Smart Environments. They are proposing to engage 12 students for 9.5 weeks per year, for the next three summers._x000D_
_x000D_
_x000D_
Intellectual Merit:_x000D_
_x000D_
Strengths:_x000D_
The site proposal includes very good projects based on active research projects the PIs and mentors are currently working on. Very strong research team and with excellent infrastructure and supporting facilities._x000D_
_x000D_
_x000D_
Weaknesses:_x000D_
The panel thought that the projects could have been presented in a more cohesive manner around the central theme of the Site. Also, some projects did not include clear tasks for the REU students to perform._x000D_
_x000D_
_x000D_
Broader Impacts:_x000D_
_x000D_
Strengths:_x000D_
The proposal shows good participation numbers from last grant, especially the enrollment of 50% of the participants in graduate school. The team of PIs and mentors are very strong in working and engaging undergraduates students in research activities. The panel liked the community of scholars model with all university REUs sharing the same spaces. _x000D_
_x000D_
_x000D_
Weaknesses:_x000D_
The PIs could have better supported the results of the recent grant. The panel was not expecting to see results from the last year, but should have provided good indicators of the success of the program from 2016 and 2015. However, 2015 results were missing. _x000D_
_x000D_
Data management plan:_x000D_
Similarly, the data management plan could have been more precise describing the types of data, policies for access and sharing, policies for re-use and distribution, and plans for archiving and preservation of the data._x000D_
_x000D_
_x000D_
Criteria Specific to REU Sites_x000D_
_x000D_
Research:_x000D_
As mentioned before, the panel thought that the projects could have been presented in a more cohesive manner around the central theme of the Site and better defined in terms of the specific tasks to be performed by the REU students. _x000D_
_x000D_
_x000D_
Logistics and Student Management:_x000D_
The proposal clearly shows that the PIs know how to run an REU Site. They present a strong program design with brown bags, training sessions, good schedule of activities, etc. The proposal also shows a very strong institutional support and great facilities to conduct the research._x000D_
_x000D_
_x000D_
Evaluation plan:_x000D_
In spite of the sound assessment tool that will be used, evaluation (e.g., who will interpret assessment results, who will make decisions based on the results, make suggestions based on assessment outcomes) is not described. Collecting data is not the same as interpreting and making decisions on those data. _x000D_
_x000D_
Standard dissemination of results: _x000D_
PIs do not explicitly address the strategies they will use to disseminate the results of the site._x000D_
_x000D_
_x000D_
Constructive suggestions for improvement:_x000D_
This is a proposal with a strong intellectual merit with very few minor issues to revise, such as the data management plan and the specific research tasks to be performed by the students. One major issue was the lack of results during the first year of the past grant. _x000D_
_x000D_
_x000D_
The panel placed this proposal in the following category:_x000D_
_x000D_
____	Highly Competitive (HC)_x000D_
_x000D_
__X__	Competitive (C)_x000D_
_x000D_
____	Low Competitive (LC)_x000D_
_x000D_
____	Not Competitive (NC)_x000D_
_x000D_
_x000D_
The summary was read by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</si>
  <si>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Description of Project:_x000D_
This proposal describes a plan to host a three-year REU Site program at Washington State University. The intellectual focus derives from disciplines and fields that contribute to the realization of smart environments. The proposal represents a renewal, building upon a three-year REU Site that is drawing to a close. The plan includes a strong mix of research activities, training events, social events, and other enrichment activities. _x000D_
_x000D_
Intellectual Merit: _x000D_
_x000D_
Strengths:_x000D_
_x000D_
+ The intellectual focus of the proposed site program is strong. The umbrella topic of smart environments is likely to attract a strong pool of undergraduate researchers. More important, the individual projects identified are intellectually rich, and it is clear, at least for some of the projects, the types of research activities REU students would engage in. The tasks appear to offer meaningful, tractable research opportunities for students. _x000D_
_x000D_
+ The program design is very strong. In addition to the usual research activities, the plan includes a good mix of brown bag sessions and training events offered through the Office of Undergraduate Research, as well as social events that students will enjoy. The schedule is succinct and clear. _x000D_
_x000D_
+ The institutional support for undergraduate research summer programs is outstanding at Washington State. The "community of scholars" model, providing university-wide support for (otherwise) independent summer experiences is excellent --- from the programs to the housing arrangements. In evaluating whether this site is likely to be successful, this is a standout aspect of the proposal. _x000D_
_x000D_
+ The site program is led by a very capable team. The PIs and mentors have a strong record of research accomplishment, demonstrated by publications in well-regarded venues and funded research activity. Many of the site mentors have strong records of involving undergraduates in their research, with tangible results for the students (e.g., publications). _x000D_
_x000D_
+ The facilities at Washington State University are more than adequate for the proposed activities. Support for smart environments, including the apartment-style test facilities, appears very strong. _x000D_
_x000D_
+ The PIs have run this program for three years, and the application and participation (including diversity of participation and geography) numbers are reasonable. _x000D_
_x000D_
Weaknesses:_x000D_
_x000D_
- The main weakness of the proposal is that it provides evaluation details for the summer of 2016 only. Results in that year suggest a positive impact on research skills, as expected, and a slight decrease on interest in graduate school. The latter is always surprising, but not out of line with other site programs. The proposal would benefit from including results from 2015, even if the common evaluation model wasn't adopted. Given, however, that over 50% of the site's participants went on to graduate school, this criticism is minor. _x000D_
_x000D_
- A few of the projects appear to have been shoe-horned into the "smart environments" focus and didn't clearly identify specific opportunities for undergraduate researchers (e.g., Deep Learning for Understanding Brain Imagery). _x000D_
_x000D_
- It is unclear whether the evaluation plan includes formative assessment during the participation period each summer. _x000D_
_x000D_
_x000D_
In the context of the five review elements, please _x000D_
evaluate the strengths and weaknesses of the proposal with respect to broader impacts._x000D_
_x000D_
Strengths: _x000D_
_x000D_
+ The proposed site program is focused on research challenges that are timely, intellectually rich; high quality solutions would have important impacts. _x000D_
_x000D_
+ The recruitment plan identifies strategies for broadening the participation of underrepresented students, leveraging existing relationships (e.g., Yakima Valley Community College) and university programs (e.g., WSU Louis Stokes Alliance). The plans appear reasonable.  _x000D_
_x000D_
Weaknesses:_x000D_
_x000D_
- It would be helpful to specify the recruitment target for students outside of the state. However, given prior years' geographic diversity, this is only a minor criticism._x000D_
_x000D_
Data Management Plan:_x000D_
_x000D_
The data management plan appears pro forma. It could be improved with further detail throughout. (Many good examples are available.) _x000D_
_x000D_
_x000D_
Please evaluate the strengths and _x000D_
weaknesses of the proposal with respect to any additional solicitation-specific review criteria, if _x000D_
applicable_x000D_
_x000D_
Research: _x000D_
_x000D_
The umbrella topic is likely to be engaging for students, and the individual thrusts are intellectually rich, while offering tractable opportunities for undergraduate students. _x000D_
_x000D_
Student Management:_x000D_
_x000D_
The proposal leverages strong institutional support for managing the logistics of the site program. The plan could be improved, however, with further clarification on meeting times with mentors versus meeting times with the site organizers. The schedule makes it clear that group-wide meetings will occur, but the details could be clarified. _x000D_
_x000D_
Evaluation and Dissemination:_x000D_
_x000D_
The evaluation plan could be improved with details concerning summative assessment in each year. The dissemination plan is appropriate for an REU site. _x000D_
_x000D_
_x000D_
Summary Statement_x000D_
_x000D_
This proposal received a rating of Very Good. The intellectual focus, team qualifications, and institutional support are very strong. There are no significant weaknesses. _x000D_
_x000D_
_x000D_
</t>
  </si>
  <si>
    <t xml:space="preserve">In the context of the five review elements, please _x000D_
evaluate the strengths and weaknesses of the proposal with respect to intellectual merit._x000D_
_x000D_
Strengths:_x000D_
The School of Electrical Engineering and Computer Science at Washington State University is very well known nationally and internationally for their research on smart environments, and this is well reflected in the proposal. All projects are very well defined and important projects in this area, mentored by very well qualified faculty and with excellent infrastructure and supporting facilities._x000D_
_x000D_
_x000D_
Weaknesses:_x000D_
This is a very good proposal even for a renewal site._x000D_
_x000D_
In the context of the five review elements, please _x000D_
evaluate the strengths and weaknesses of the proposal with respect to broader impacts._x000D_
_x000D_
Strengths: _x000D_
The research proposed in the REU Site has the potential to help many people in their daily life problems. The site has shown really strong results in the past regarding the participationof minorities and female students and the dissemination of the research results._x000D_
_x000D_
Weaknesses:_x000D_
The dissemination of the results could be improved as well as some initiatives to work with the students after the program is finished._x000D_
_x000D_
Please evaluate the strengths and _x000D_
weaknesses of the proposal with respect to any additional solicitation-specific review criteria, if _x000D_
applicable_x000D_
_x000D_
Research:_x000D_
All research projects are very interesting and challenging and they have the potential to advance the knowledge in this important ares. The PIs and senior personnel are very well funded in their areas of research and very well qualified to perform both the research and mentoring activities. The program has excellent facilities and labs to carry out the reserach and excellent institutional support. _x000D_
_x000D_
Logistics and Student Management:_x000D_
Recruting plan is good. They have shown really good numbers in the past regarding number of applications, and participation of minority and female students. The PIs show in the proposal that they have acquired the experience needed to run this program succesfully. They know very well how to handle all activities and logistic details._x000D_
_x000D_
Evaluation plan:_x000D_
The evaluation plan is adequate and they propose to involve the same independent and external evaluator they used in the past. _x000D_
_x000D_
Standard dissemination of results: _x000D_
The main dissemination methods are publications in conferences and journals with the results of the research projects and through the website of the site with lessons learned, description of the projects and results, etc._x000D_
_x000D_
Summary Statement_x000D_
_x000D_
This is an excellent proposal with challenging research projects in an important area with the potential to touch many people and help them in their daily lives. The proposal could be enhanced even more with a better dissemination of the results and a plan to work with the students once the program is finished._x000D_
_x000D_
</t>
  </si>
  <si>
    <t xml:space="preserve">In the context of the five review elements, please _x000D_
evaluate the strengths and weaknesses of the proposal with respect to intellectual merit._x000D_
_x000D_
This REU cite renewal is heavily focused on smart environments, and particularly CS related domains of computing and distributed systems, and complementary health domains of aging, medicine, and psychology. The proposers target individuals from underrepresented groups, and seek to continue with the success evident in past successful REUs. _x000D_
_x000D_
Intellectual Merit: (review of intellectual merit)_x000D_
+_x000D_
The CISE aligned topic of cognitive environments (more specifically, smart environments for monitoring human behavior) is well motivated, and the integrated research topics all have the potential on their own to improve the quality of home-based monitoring._x000D_
_x000D_
_x000D_
In the context of the five review elements, please _x000D_
evaluate the strengths and weaknesses of the proposal with respect to broader impacts._x000D_
_x000D_
Broader Impacts: _x000D_
+_x000D_
If successful, study outcomes may lead to monitoring tools for healthy, impaired, and other populations for whom continuous quantitative monitoring is needed. Exposing more underrepresented students to these domains earlier may introduce important diversity key to ensuring the robustness of such systems to varied populations._x000D_
_x000D_
-_x000D_
Stated impacts apply to other UG training paradigms only (somewhat limited)._x000D_
_x000D_
Data Management Plan: _x000D_
-_x000D_
Details regarding data storage location, duration of storage, confidentiality, protection, etc. are not included._x000D_
_x000D_
_x000D_
Please evaluate the strengths and _x000D_
weaknesses of the proposal with respect to any additional solicitation-specific review criteria, if _x000D_
applicable_x000D_
_x000D_
+_x000D_
Robust set of activities beyond research include exposure to various institutions/backgrounds (peers), access to concurrent UG researchers (from other programs û particularly unique), workshops on research methods and graduate research, social activities within (and outside of) the REU cohort, and workshops on research abstracts, posters, and graduate school attendance._x000D_
_x000D_
The recruitment plan is strong, with existing ties to HSI and contact with the internal LSAMP program, as well as word of mouth from 100+ prior attendees._x000D_
_x000D_
Some detail (though limited) is provided regarding how research topics will be tailored for the REU experience level._x000D_
_x000D_
Some Co-Is have experience with publications derived from UG research in past REUs._x000D_
_x000D_
Past experience with 3 REUs_x000D_
_x000D_
Detailed experience regarding student housing is included_x000D_
_x000D_
The environment is strong,  as proposers will leverage existing 'smart home' to frame the research subprojects focused on monitoring human activity as a function of multimodal sensors and data processing algorithms. _x000D_
_x000D_
For assessment, the project uses the (validated?) CISE REU pre/post surveys to assess the program impact on students. _x000D_
-_x000D_
In spite of the sound assessment tool, evaluation (e.g., who will interpret, make decisions based on, make suggestions based on assessment outcomes) is not described. The proposers intend to support 12 students._x000D_
_x000D_
Though an external evaluator was used in the past, no explicit mention of external evaluation_x000D_
_x000D_
_x000D_
_x000D_
Summary Statement_x000D_
_x000D_
Though some detail is missing, this is a strong proposal with a sound scientific justification. Past success suggests a high probability of success of the current approach._x000D_
_x000D_
</t>
  </si>
  <si>
    <t xml:space="preserve">In the context of the five review elements, please _x000D_
evaluate the strengths and weaknesses of the proposal with respect to intellectual merit._x000D_
_x000D_
What is the potential for the proposed activity to advance knowledge and understanding within its own field or across different fields?_x000D_
_x000D_
+ many of the proposed research projects have the potential to impact their field of science._x000D_
+ many of the investigators have an established track record in that field._x000D_
- the proposal fails to weave together the different topics of each researchers into a cohesive central theme._x000D_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Several of the problems have clear broader impacts to society._x000D_
- Yet several others have not clarified what broader impacts would be._x000D_
- it is not clear how many of these projects will involve the undergraduate students_x000D_
_x000D_
Please evaluate the strengths and _x000D_
weaknesses of the proposal with respect to any additional solicitation-specific review criteria, if _x000D_
applicable_x000D_
_x000D_
To what extent do the proposed activities suggest and explore creative, original, or potentially transformative concepts?_x000D_
_x000D_
- This is not exceptionally clear.  Several projects appear to be both original and potentially transformative, but those projects are the least clear as to how they will integrate students or ensure such research efforts have the potential impacts._x000D_
_x000D_
Is the plan for carrying out the proposed activities well-reasoned, well-organized, and based on a sound rationale? Does the plan incorporate a mechanism to assess success?_x000D_
_x000D_
+/- The plan does include a mechanism for success, which is cited several times, but not explained until the final page.  The details provided are also not discussed in enough detail to really understand the positive impacts of previous REUs hosted by WSU and this PI._x000D_
_x000D_
How well qualified is the individual, team, or institution to conduct the proposed activities?_x000D_
_x000D_
+ roughly one half of the team appears to be well qualified for the REU._x000D_
- The remaining half may benefit from reviewing the efforts of the other PIs, and how those PIs have integrated undergraduates into their own research._x000D_
- Including undergrad RAs from WSU in the various researchers' labs may help strengthen the argument that the researchers have the experience needed to mentor this proposed cohort._x000D_
_x000D_
Are there adequate resources available to the PI (either at the home institution or through collaborations) to carry out the proposed activities? _x000D_
_x000D_
+ The Office of Undergraduate Research appears to be willing and able to offer several key resources for this REU._x000D_
_x000D_
Summary Statement_x000D_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The team shows promise given several have had success mentoring undergraduate students in REU or Undergrad RA type positions._x000D_
+ Many of the science topics are of great interest to the fields of science._x000D_
- It is not clear what role the students will play in many of these projects._x000D_
- Despite the lack of clarity of the UG role on several of the projects, several others do not convince the reviewer that the projects are within the scope of UG research._x000D_
- The decrease in attitude towards graduate school following REU experiences is concerning.  While the likert scale results are similar, they are not justified as insignificant._x000D_
_x000D_
Student Management:_x000D_
- Plan for student management and care_x000D_
- Recruitment plan, diversity of recruitment pool_x000D_
- Outreach activities during the summer experience_x000D_
_x000D_
+ The shared housing, with other REU students, does look like it would produce a strong community._x000D_
+ Brown bag events and workshops are a very good idea to help encourage and train for careers in science._x000D_
- It was not clear how these training opportunities are expected to impact graduate training, or historically what other REUs have been able to achieve (ie, pre and post test of graduate school interests)_x000D_
- Is travel also covered for the students?_x000D_
_x000D_
Evaluation and Dissemination:_x000D_
- Plan to evaluate results of project_x000D_
- Dissemination of results of research as well as of the REU site project overall_x000D_
_x000D_
+ Results of the student research will be presented at an on-campus poster session, with efforts for journal publications following that._x000D_
+ REU results will be shared via the WSU website._x000D_
_x000D_
</t>
  </si>
  <si>
    <t>Project Elements:_x000D_
_x000D_
Renewal (previous NSF Award No. 1460917)_x000D_
Title: ?REU Site: Undergraduate Research in Smart Environments?_x000D_
PI: Lawrence B. Holder_x000D_
Organization: Washington State University_x000D_
Other organizations: none_x000D_
Location: Washington State University, Pullman, WA_x000D_
Research fields: Computer Science, Smart Environments, Artificial Intelligence, Machine Learning, Data Mining, Pervasive Computing, Energy Efficiency, Psychology, Medical and Health Technologies_x000D_
Undergraduates per year: 12_x000D_
Summer REU Site_x000D_
Weeks per year: 9.5_x000D_
No international or RET component_x000D_
Point of Contact: Larry Holder, 509-335-6138, holder@wsu.edu_x000D_
URL: http://reu.eecs.wsu.edu _x000D_
_x000D_
Overview: The goal of this REU Site program is to offer a unique training opportunity for undergraduates to conduct research in the multidisciplinary area of smart environments.  The population is aging; therefore research is needed to understand the effects of aging and to find ways of allowing older adults and individuals with disabilities to lead independent lives at home. Also, the need to sustain our environments requires increasingly smart systems. Our proposed REU program facilitates research and training in the complementary disciplines of computer science, electrical engineering, psychology, and health care. Because we will partner with other REU programs on campus, students will also interact regularly with other REU students from around the country, with faculty from ours and other REU programs, and with graduate students from the related ongoing research programs in smart environments.  Our REU program will continue our tradition of specifically targeting involvement with women and students from underrepresented groups.This program will enable high quality interdisciplinary research that links design of technology with health-based sustainable energy applications, and creates new opportunities for undergraduates to study health, energy and human behavior using the technology.  This REU program is unique because students will not only be exposed to research environments and techniques, but they will also learn to work with students and faculty in other fields. Knowledge from computer science, electrical engineering, psychology, health care, and from other WSU REU programs, is needed to create a smart environment, because an effective smart environment cannot be adequately designed without researching these topics in fully interactive ways, and because a creative smart environment design in turn opens the door to new avenues of health, engineering and science research. This interdisciplinary effort is valuable for undergraduate students to investigate ideas that will have a significant impact on their community.While a focus of this REU site program is to attract and retain students from primarily undergraduate institutions, and from underrepresented groups, the model proposed here is broadly applicable to other student groups and other disciplines. Results of this program, including descriptions of student projects, lessons learned, and quantitative and qualitative feedback, will be disseminated via the program website. This program will also make a contribution to a generation whose workforce is trained in multiple, complementary disciplines.  Finally, our planned recruitment effort and strong mentoring component will spread knowledge of the benefits of the REU program among the targeted populations, resulting in broadening participation in engineering and related disciplines for many years to come.</t>
  </si>
  <si>
    <t>1757781</t>
  </si>
  <si>
    <t xml:space="preserve"> Panel Summary       
 _x000D_
Short description of project:_x000D_
_x000D_
Support is sought to provide support for ten students in an eight-week summer program. The REU site aims to provide participants with experiences in Cyber security and unmanned aerial vehicles (UAV). Students will be recruited from Florida and other southern states._x000D_
_x000D_
Intellectual Merit:_x000D_
_x000D_
Strengths:_x000D_
_x000D_
The projects address a very relevant problem, that of how to secure UAVs. With the prevalence of UAVs, this is a very timely research. There are three classes of cyber security problems targeted at UAVs. Each class of problems address challenging problems in this area. The student projects are very detailed and clearly targeted towards undergraduate students. The proposers are experienced and qualified and have the necessary skills needed to direct the projects. The student activities were divided into phases including an orientation phase. The orientation phase included project overview and elements targeted at preparing students for the research component phase of the project. As a result, students will be exposed to research starting with the first week of the project. There is a very detailed schedule of student activities which includes weekly meetings with the mentor, a weekly research discussion and interactions with graduate students. In addition to the project activities, students will participate in K-12 outreach activities and social activities. These activities along with the planned professional activities should provide a balanced enriching experience for the participants. The facilities and resources are adequate to support the needs of the project. There are comprehensive evaluation plans directed by a dedicated evaluation expert. The proposed evaluation plan is sound._x000D_
_x000D_
Weaknesses:_x000D_
_x000D_
Teaching students effective evaluation methods is started in weeks 6 -7. This activity might be best suited for earlier in the project, like week 2._x000D_
_x000D_
Broader Impacts:_x000D_
_x000D_
Strengths:_x000D_
_x000D_
The project goals include recruiting of underrepresented groups by utilizing existing relationships with four local universities, including one HBCU. The varied proposed recruiting activities include postings on ERAU web site, utilizing social media, flyers, emails, phone calls and recruitment seminars. There is a very comprehensive recruitment plan in place._x000D_
_x000D_
Weaknesses:_x000D_
_x000D_
Though this is not considered a major weakness, recruiting of females could strengthen the project._x000D_
_x000D_
Data management plan:_x000D_
_x000D_
There is a comprehensive data management plan which provides persistent controlled access to sensitive data, and shared access to non-sensitive data._x000D_
_x000D_
Criteria Specific to REU Sites_x000D_
	Research:_x000D_
The research questions are interesting and can lead to results which may assist in solving major problems. These are problems easily digested by undergraduates, but interesting enough to produce meaningful results._x000D_
_x000D_
	Logistics and Student Management:_x000D_
Students will be housed in the same apartment styled dormitory, this should certainly help in building a sense of community. Necessary amenities are reported to be within walking distance from the dormitories. There is also a detailed plan for student stipend payments and travel reimbursement._x000D_
_x000D_
_x000D_
Summary/Rationale for panel's recommendation, including key strengths and critical weaknesses:_x000D_
_x000D_
This proposal proposes a REU site to address relevant cyber security issues concerning UAVs. The projects are interesting, there is a comprehensive plan to implement the activities and to evaluate the outcomes. There is a solid recruiting plan using established connections with plans for actual onsite presentations at the targeted schools. The dissemination plans will be through open source libraries. There are plans to incorporate the results into training modules to be shared with future students and researchers. This is an effective way of having the information to be widely used._x000D_
_x000D_
The panel placed this proposal in the following category:_x000D_
_x000D_
X____	Highly Competitive (HC)_x000D_
_x000D_
____	Competitive (C)_x000D_
_x000D_
____	Low Competitive (LC)_x000D_
_x000D_
____	Not Competitive (NC)_x000D_
_x000D_
_x000D_
The summary was read by the panel, and the panel concurred that the summary accurately reflects the panel discussion._x000D_
&amp;#8195;_x000D_
</t>
  </si>
  <si>
    <t xml:space="preserve">In the context of the five review elements, please _x000D_
evaluate the strengths and weaknesses of the proposal with respect to intellectual merit._x000D_
_x000D_
Strengths:_x000D_
+ Student group will learn about a broad spectrum of cyber-security challenges for sUAS. _x000D_
+ Successful projects will provide new insights into privacy, security, and resiliency for mission critical and soon to be ubiquitous sUAS_x000D_
- Since week one and two are preparatory and week eight is focused on presentations, the concern is whether students can do enough in the the five weeks planned for research and evaluation._x000D_
_x000D_
In the context of the five review elements, please _x000D_
evaluate the strengths and weaknesses of the proposal with respect to broader impacts._x000D_
_x000D_
Strengths:_x000D_
+ The proposed research will expose the students to the complexity of developing and deploying  safe, reliable, and ethical (with regard to privacy) unmanned aircraft systems. _x000D_
+ The proposal seeks to recruit underrepresented and minority groups, and given the research area, this will prepare them both for graduate school or the industry._x000D_
_x000D_
Please evaluate the strengths and _x000D_
weaknesses of the proposal with respect to any additional solicitation-specific review criteria, if _x000D_
applicable_x000D_
_x000D_
_x000D_
_x000D_
Summary Statement_x000D_
_x000D_
The proposed REU site will be unique in its scope, and potentially produce awareness of challenges beyond sUAS autonomy, i.e., sUAS security, privacy, and robustness (in connection with malicious code or communication disruptions). Care seems to have been taken to plan a meaningful timeline with topic exploration, design, evaluation, and presentation. _x000D_
_x000D_
The facilities seem adequate, and the faculty has the necessary expertise in the area. _x000D_
_x000D_
The proposed research topics are well formulated, and allowing the students to spend week-two on exploring their interests within the general space of topics seems like a good idea.  _x000D_
_x000D_
Suggestion: Instead of discussing evaluation methods at the beginning of phase 3 (week 6), maybe the faculty may consider doing so during phase 2 when the students are determine the right project to match their skills and interests._x000D_
_x000D_
</t>
  </si>
  <si>
    <t xml:space="preserve">In the context of the five review elements, please _x000D_
evaluate the strengths and weaknesses of the proposal with respect to intellectual merit._x000D_
_x000D_
Proposed by faculties at Embry-Riddle Aeronautical University (ERAU), This REU site proposal focuses on the integration of cyber security research of UAV to undergraduate students in three aspects (1) cyber defense targeted at UAVs; (2) privacy protection methods for UAV 'communication; (3) secure control system for autonomous UAVs. The project is well organized and the REU program was clearly planned with details presented. Weekly meetings regarding to the project progress, research seminar of research skills and methods, site visits, interaction with grad students, K-12 students acitivities,  and social activities are all considered properly and well scheduled to the program outline. This proposed project described five projects regarding to the above three research domains of UAVs with the qualified faculty mentors. Another highlighted place will be the student selection includes sophomore to seniors. _x000D_
_x000D_
Some of the projects may need to include proper reference, for instance, CPS signal can be easily disrupted [?]à what are the artificial interested based techniques to detect and avoid fake warnings (pp9)? Seven faculties are in the budget, but six faculties' bio were introduced in the mentor team, one is missing. One recommendation letter selection of participants may not be good enough. Need a letter from project evaluator to confirm the work period and duty. _x000D_
_x000D_
_x000D_
In the context of the five review elements, please _x000D_
evaluate the strengths and weaknesses of the proposal with respect to broader impacts._x000D_
_x000D_
This REU site has demonstrated strong commitment in the broader impacts of the REU program in following aspects: _x000D_
ò	K-12 activities. The project team plan to present their research results to K-12 students. _x000D_
ò	Social activities. Professional development activities were developed and included in the project schedule in three phase with regarding to the progress of the program. Interaction with grad students were discussed.  _x000D_
ò	Long term impact û post project activities. PI will follow up with participants to see if the REU site experience helps them to become more activities. _x000D_
There are a couple weakness of this proposed broader impact: _x000D_
ò	It is not clear how to  reach K-12 group, nor commitment _x000D_
ò	Need to ensure the objectives in Table 2 matches at the beginning. _x000D_
_x000D_
_x000D_
Please evaluate the strengths and _x000D_
weaknesses of the proposal with respect to any additional solicitation-specific review criteria, if _x000D_
applicable_x000D_
_x000D_
_x000D_
_x000D_
Summary Statement_x000D_
_x000D_
This REU site proposal focuses on the integration of cyber security research of UAV to undergraduate students in three aspects (1) cyber defense targeted at UAVs; (2) privacy protection methods for UAV 'communication; (3) secure control system for autonomous UAVs. The project is well organized and the REU program was clearly planned with detail logistics. Weekly meetings regarding to the project progress, research seminar of research skills and methods, site visits, interaction with grad students, K-12 students activities,  and social activities are all considered properly and well scheduled to the program outline. This proposed project described five projects regarding to the above three research domains of UAVs with the faculty mentors in the related research areas. Another strength will be the student selection includes sophomore to seniors. This proposal is well organized with feasible program outline and qualified faculty mentors. The social activities and K-12 add this REU site proposal  strong broader impact._x000D_
_x000D_
</t>
  </si>
  <si>
    <t xml:space="preserve">In the context of the five review elements, please _x000D_
evaluate the strengths and weaknesses of the proposal with respect to intellectual merit._x000D_
_x000D_
Unmanned vehicles is very much a current research topic. The research to be carried out has the potential to increase knowledge in this field. The quality of the research projects vary. Project 1 seems less concrete than projects 2-5, which appear to be solid. The facilities are adequate and the faculty mentors are well qualified.The proposed evaluation appears adequate for this type of project._x000D_
_x000D_
In the context of the five review elements, please _x000D_
evaluate the strengths and weaknesses of the proposal with respect to broader impacts._x000D_
_x000D_
A good faith attempt to reach out to underrepresented populations is proposed. There is also a proposed attempt to reach out to students from programs which do not have comparable research facilities is made._x000D_
It would have been nice to have included women in the attempt to reach out to underrepresented groups.There is a solid recruitment plan in place with a high likelihood of success._x000D_
_x000D_
Please evaluate the strengths and _x000D_
weaknesses of the proposal with respect to any additional solicitation-specific review criteria, if _x000D_
applicable_x000D_
_x000D_
_x000D_
_x000D_
Summary Statement_x000D_
_x000D_
A very solid proposal with not many weaknesses. It might have been nice to include females in the recruitment pool._x000D_
_x000D_
</t>
  </si>
  <si>
    <t xml:space="preserve">In the context of the five review elements, please _x000D_
evaluate the strengths and weaknesses of the proposal with respect to intellectual merit._x000D_
_x000D_
Strengths:_x000D_
The faculty involved in the site are very active in research, have the facilities and infrastructure to perform the projects, and are well qualified to conduct the proposed activities._x000D_
_x000D_
Weaknesses: _x000D_
The main weaknesses are a broad definition of the research projects that is difficult to assess in terms of the activities that the students will perform and the evaluation of the site. The site evaluator does not seem to have previous experience on evaluation projects like this one._x000D_
_x000D_
In the context of the five review elements, please _x000D_
evaluate the strengths and weaknesses of the proposal with respect to broader impacts._x000D_
_x000D_
Strengths:_x000D_
The proposal has a clear list of goals very well in line with the spirit of the REU Program. The PIs enumerate several effective methods for recruiting minority students and have good links with minority-based universities in Florida. They will prepare undergraduate students in a research area of importance to our country because UAVs have applications in many industrial and governmental domains, including national security._x000D_
_x000D_
Weaknesses:_x000D_
None_x000D_
_x000D_
Please evaluate the strengths and _x000D_
weaknesses of the proposal with respect to any additional solicitation-specific review criteria, if _x000D_
applicable_x000D_
_x000D_
Research: _x000D_
Very good projects in an important area of research although very broadly defined. It is difficult to assess how appropriate they are for the REU program._x000D_
_x000D_
Logistics and Student Management:_x000D_
The PIs included important logistic aspects in the proposal such as dorms, transportation and payment for the students. In addition, they also included other management aspects such as weekly follow up meetings, research discussions, four research seminars (although they are not specific about the topics) and three seminars on professional development, site visits, interactions with graduate students, outreach and social activities.  _x000D_
_x000D_
Evaluation plan: _x000D_
The evaluation plan seems reasonable although it seems that the program's evaluator lacks experience evaluationg projects like this one.  _x000D_
_x000D_
Standard dissemination of results: _x000D_
Students should be encouraged to write and submit research papers with the REU work to appropriate conferences and journals. In that way, they also learn about that process._x000D_
_x000D_
Summary Statement_x000D_
_x000D_
In general, a good proposal in an important area of research supported by a group of faculty members well qualified to carry out all the proposed activities. The proposal could be improved by defining the research activities of the students in a more specific manner, including an evaluator with proven experience in the area, and asking the students to write a research paper with the results of their research._x000D_
_x000D_
</t>
  </si>
  <si>
    <t>The Department of Electrical, Computer, Software, and Systems Engineering (ECSSE) of Embry-Riddle Aeronautical University (ERAU) proposes a new Research Experiences for Undergraduates (REU) Site that will introduce undergraduate students to the growing need for expertise and research in cybersecurity and unmanned aerial vehicles (UAVs). The core theme of this eight-week summer research program is engaging ten undergraduate students in cybersecurity research for unmanned aerial vehicles (UAVs). The research program will be developed with a balance of theory, hands-on practical skills, and applications. The proposed project will: 1) Attract undergraduate students, especially those from underrepresented and minority groups, and from institutions with limited opportunities for cybersecurity research and UAVs; 2) Teach participants research methodology and train them with carefully-designed research projects, which will help them establish independent and collaborative research abilities; 3) Motivate and prepare participants to be involved in more advanced research not only in cybersecurity of UAVs, but also in computer security or general computer science. The proposed REU Site plans to recruit more than 50% of all students from underrepresented and minority groups and from institutions with limited research opportunities. At least 40% of participants to be recruited will come from institutions other than ERAU.The proposed REU site will focus on integrating fundamental and state-of-the-art cybersecurity research using UAVs as the platform. Research in this project will advance the basic understanding of cyber-attacks targeted at UAVs and explore corresponding cyber defense; investigate data privacy protection strategies for UAVs, especially the latest technology advances in cloud computing that are widely adopted by UAVs for data storage and analytics; and novel methods to secure control systems for autonomous UAVs. By conducting diverse but coherent research projects, participants will gain the in-depth understanding and hands-on experiences in cybersecurity research for UAVs as well as general computer and data security. The proposed REU Site will leverage ERAU's Cybersecurity and Assured Systems Engineering Center (CyBASE), a National Center of Academic Excellence in Cyber Defense Education designated by the National Security Agency (NSA) and the Department of Homeland Security (DHS), the Federal Aviation Administration (FAA) designated Center of Excellence for Unmanned Aircraft Systems (ASSURE), and the Advanced Dynamics and Control Research Lab (ADCRL) to provide participants with competitive research experiences in cybersecurity of UAVs. This planned site will offer participants a comprehensive picture of the significance of cybersecurity research in the domain of UAVs by providing them with opportunities to interact with professors at ERAU and professionals from industry and the military service. Follow up connections will be provided to all participants via multiple ways after the program, which will help them establish potential research collaboration and career advising with their mentors and collaborators at this REU Site.The proposed REU Site will be the first one that focuses on cybersecurity research in the domain of UAVs, which echoes the increasing demand from the academy, industry, and the military to meet national and economic priorities. This site will provide great opportunities for undergraduate students, especially for those from underrepresented and minority groups and institutions with limited research resources, to be involved in real-world cybersecurity research of UAVs from different angles. Well-designed and closely-mentored research training to be offered in this site will not only yield a great potential to encourage and attract undergraduate students into graduate programs, but also promote research and education in cybersecurity and UAVs at the undergraduate level. Students recruitment for the proposed site will leverage the established collaboration with regional institutions. This site will especially encourage the participation of students from minority institution such as Bethune-Cookman University (HBCU), and institutions with limited research resources and activities, such as Daytona State College and Jacksonville University. By capitalizing on the well-developed K-12 outreach programs at the College of Engineering at ERAU, this site will also bridge K-12 students and STEM research with inspirational role models.</t>
  </si>
  <si>
    <t>1757787</t>
  </si>
  <si>
    <t xml:space="preserve"> Panel Summary       
 Short description of project: _x000D_
_x000D_
The proposal is for a three-year REU site on intelligent and scalable systems. The proposed REU site involves students from under-equipped schools in a set of projects in machine learning and parallel computing. The institution provides facilities and a shared collaborative space, to interact with faculty working in the intellectual focus area. This is a renewal of an REU site operating from 2014-2016, extended to 2017. While the student project topics have changed, the site reflects a renewal. _x000D_
_x000D_
Intellectual Merit:_x000D_
+ The research focus is strong with a potential to advance the knowledge of undergraduate students in the areas of machine learning and parallel computing. _x000D_
_x000D_
Broader impact:_x000D_
+ The proposal presents a compelling plan to achieve broad gender, racial, and ethnic diversity among participants. _x000D_
_x000D_
Criteria Specific to REU Sites_x000D_
+ The department letter assures support for activities that the REU budget cannot pay for (e.g., picnics). This institutional support was noted as a strength. _x000D_
+ Student activities seem well planned. Colocated housing across various programs was seen as a valuable community building mechanism. _x000D_
+ Panelists agreed that the evaluation plan is strong. _x000D_
_x000D_
- The recruitment plan calls for visits to nearby schools, which was commended. However, the proposal does not present evidence that the team has established relationships with these schools. _x000D_
- Concerns were raised regarding the team's prior accomplishments in achieving broad gender, racial, and ethnic diversity among participants -- as also noted in the proposal. _x000D_
Panelists were pleased, however, with the proposed plans for addressing this issue in future site offerings. _x000D_
_x000D_
_x000D_
Summary/Rationale for panel's recommendation, including key strengths and critical weaknesses: _x000D_
The proposed REU site on intelligent and scalable systems involves students from under-equipped schools in a diverse set of topics in machine learning and parallel computing. Although concerns were raised on the team's prior accomplishments in achieving broad gender, racial, and ethnic diversity, the panel was satisfied with the team's plan to address this. _x000D_
_x000D_
The panel placed this proposal in the following category:_x000D_
_x000D_
____    Highly Competitive (HC)_x000D_
_x000D_
__X__   Competitive (C)_x000D_
_x000D_
____    Low Competitive (LC)_x000D_
_x000D_
____    Not Competitive (NC)_x000D_
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</si>
  <si>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 proposed projects will help students to think deeply about the nuances of machine learning biases, privacy, data representation, and computer network stochasticities ._x000D_
_x000D_
_x000D_
_x000D_
In the context of the five review elements, please _x000D_
evaluate the strengths and weaknesses of the proposal with respect to broader impacts._x000D_
_x000D_
Strengths: If the recruitment happens correctly (drawing students from under-equipped schools), students will benefit from the infrastructure and faculty support in developing a holistic view of AI/ML, computer networks, and privacy. _x000D_
Weaknesses: What if students don't have the opportunity to learn from each other? For example, if students dont get to interact on a weekly basis, they may not find out more about the connections between the different focus areas (AI, privacy, networks, computing)._x000D_
_x000D_
Please evaluate the strengths and _x000D_
weaknesses of the proposal with respect to any additional solicitation-specific review criteria, if _x000D_
applicable_x000D_
_x000D_
Weakness: Although the topics are focused, the work involved will be massive unless there are suitable testbeds. Each of the nine research projects proposed are solid, however, how long will it take for students to understand existing tools and using them? Will graduate students work with the students?_x000D_
_x000D_
Summary Statement_x000D_
_x000D_
Overall, a solid REU site proposal addressing topics that are extremely relevant to current societal challenges stemming from AI (in particular ML biases) and privacy._x000D_
_x000D_
</t>
  </si>
  <si>
    <t xml:space="preserve">In the context of the five review elements, please _x000D_
evaluate the strengths and weaknesses of the proposal with respect to intellectual merit._x000D_
_x000D_
The research component of the proposal is weak. Some of the research projects are not clearly defined and not sure how this work will be conduct. For instance, Robotics-aware architecture design. Several research questions were mentioned, without a proper solution and citations. It is not realistic for undergraduate students to design of algorithms that incorporate sensor data into planning, and so on, within such a short summer time. _x000D_
12 faculty mentors included in this proposal is not a realistic plan for both budget and project management. There is no clear who is responsible for which project. _x000D_
Need to identify faculty mentors with up to date research projects._x000D_
_x000D_
In the context of the five review elements, please _x000D_
evaluate the strengths and weaknesses of the proposal with respect to broader impacts._x000D_
_x000D_
Strength of the Broader impact will be, it has demonstrated REU research symposium posters and PACISE conference and continue with PhD program. However, it is not very clear for how to evaluate graduation and motivate students go to Ph.D program regarding to REU research projects._x000D_
_x000D_
Please evaluate the strengths and _x000D_
weaknesses of the proposal with respect to any additional solicitation-specific review criteria, if _x000D_
applicable_x000D_
_x000D_
_x000D_
_x000D_
Summary Statement_x000D_
_x000D_
The proposal presents a summer REU program that involves 10 students during 10 weeks in research activities of machine learning and scalable computing at Lehigh University._x000D_
The proposal can be improved in several ways. The most important aspect to improve is the intellectual merit of the proposal including identify faculties with research areas that related to  up-to-date research problem areas, with more creative, original and potentially transformative ideas. A more cohesive series of projects more aligned to the theme of the Site would be good for the students too. Finally, the program can be organized and run with a more agile organization and needs an improved dissemination plan._x000D_
_x000D_
_x000D_
</t>
  </si>
  <si>
    <t xml:space="preserve">In the context of the five review elements, please _x000D_
evaluate the strengths and weaknesses of the proposal with respect to intellectual merit._x000D_
_x000D_
Intelligent and scalable systems have always presented a challenge which has never been really adequately addressed. The intellectual merit section is somewhat brief however.The research projects are varied and interesting and should promote learning and intellectual curiosity. The facilities are adequate, if not somewhat unique. The faculty mentors are well qualified and have had relevant experience working with undergraduates in a research setting.The evaluation plans appears to be adequate for this type of proposal._x000D_
_x000D_
In the context of the five review elements, please _x000D_
evaluate the strengths and weaknesses of the proposal with respect to broader impacts._x000D_
_x000D_
There is a broad aim of including, women, minorities and community college students. This adequately meets the goals of the program. There is a good project dissemination plan in place.There are some good professional and social activities planned for the students. There is a good recruitment plan, however the university does not seem to have well established contacts at other universities to easily obtain the desired students._x000D_
_x000D_
Please evaluate the strengths and _x000D_
weaknesses of the proposal with respect to any additional solicitation-specific review criteria, if _x000D_
applicable_x000D_
_x000D_
_x000D_
_x000D_
Summary Statement_x000D_
_x000D_
It is a good proposal. There is some concern in mind as to how difficult it will be to attract the desired students without established partnerships in place._x000D_
_x000D_
</t>
  </si>
  <si>
    <t xml:space="preserve">In the context of the five review elements, please _x000D_
evaluate the strengths and weaknesses of the proposal with respect to intellectual merit._x000D_
_x000D_
Description of Project:_x000D_
_x000D_
This proposal describes a plan to conduct an REU Site program at Lehigh University during the summers of 2018, 2019, and 2020. The proposed research focus is on intelligent and scalable systems, comprising a diverse set of independent projects. The site plan includes a mix of research projects, training events, and social activities._x000D_
_x000D_
Intellectual Merit: _x000D_
_x000D_
Strengths:_x000D_
_x000D_
+ The intellectual focus of the proposed site is strong. The proposal begins with a compelling explanation of why undergraduate research opportunities in the areas of machine learning and parallel computing are needed. Most of the individual projects are clearly described, offering specific, meaningful research opportunities for undergraduates. The theme is likely to attract a strong pool of applicants, and the individual projects are meaningful._x000D_
_x000D_
+ Overall, the program design is strong. In addition to the usual research activities, the plan includes training seminars, social events, and a final symposium / awards ceremony. The department letter confirms additional financial support for activities which cannot be covered through the award budget (e.g., picnics and field trips) -- a noted positive. _x000D_
_x000D_
+ The site program is led by a very capable team. The PIs and mentors have a strong record of research accomplishment, demonstrated by publications in well-regarded venues and funded research activity. Many of the site mentors have strong records of involving undergraduates in their research, with tangible results for the students (e.g., publications). _x000D_
_x000D_
+ The facilities at Lehigh University are adequate for the proposed activities. The renovated high bay is an interesting, albeit unusual, location to host an REU site. The open plan is likely to lead to "creative collisions" across summer programs. The use of a single facility for multiple programs is likely to build community across summer scholars. Similar comments apply to the proposed housing plans. _x000D_
_x000D_
+ The plan includes training for graduate students involved in the summer experience, as well as preparatory materials for mentors to ensure they are aware of dissemination avenues. _x000D_
_x000D_
+ The evaluation plan is robust, including both formative and summative measures, and both internal and external evaluation. A previously validated instrument (among other instruments) will be used (SURE III). _x000D_
_x000D_
Weaknesses:_x000D_
_x000D_
-/+ While the topic has shifted, this site reflects a renewal. The results of the prior effort are mixed. Overall, diversity of participation was fairly low (women - 25%), (minority - 13%). However,  the effort resulted in several publications, and the proposal notes that approximately half of prior participants went on to graduate school. (It is, though, a bit hard to reconcile this figure given that the prior program completed in the summer of 2017.) It is surprising that the proposal does not include a more robust summary of evaluation results (e.g., assessment of specific site objectives). While the results are mixed, the proposal is clear in stating that the team plans to improve its recruitment strategy -- and presents very compelling evidence that it has done so. This is unlikely to be a concern in future years. _x000D_
_x000D_
- The training seminars are ambitious. It's not obvious that these seminars can achieve the intended learning objectives in the time available without significantly limiting research time. Clarification of the summer schedule would benefit the proposal._x000D_
_x000D_
In the context of the five review elements, please _x000D_
evaluate the strengths and weaknesses of the proposal with respect to broader impacts._x000D_
_x000D_
Broader Impacts: _x000D_
_x000D_
Strengths: _x000D_
_x000D_
+ The proposed site program is focused on research challenges that are timely, intellectually rich; high quality solutions would have important impacts. _x000D_
_x000D_
+ The recruitment plan is excellent. The proposal identifies clear strategies for broadening the participation of underrepresented students, leveraging existing relationships (e.g., PACISE, NCC, MCCC), university programs/chapters (e.g., ACM-W, NCWIT), and other organizations (e.g., CAHSI, STARS). The team is commended on identifying an opportunity for improvement in their site and identifying concrete steps to achieve improvement. _x000D_
_x000D_
Weaknesses:_x000D_
_x000D_
- It would be helpful to specify the recruitment target for students outside of the state._x000D_
_x000D_
Data Management Plan:_x000D_
_x000D_
The data management plan is adequate. _x000D_
_x000D_
_x000D_
Please evaluate the strengths and _x000D_
weaknesses of the proposal with respect to any additional solicitation-specific review criteria, if _x000D_
applicable_x000D_
_x000D_
Research: _x000D_
_x000D_
The umbrella topic is likely to attract a large pool of applicants, and the individual thrusts are intellectually rich, while offering tractable opportunities for undergraduate students. _x000D_
_x000D_
Student Management:_x000D_
_x000D_
The proposal leverages institutional support for managing the logistics of the site program (e.g., Office of Conference and Special Housing, Research Computing Team). Colocation of summer students across programs is likely to build community across students. This is a noted positive. _x000D_
_x000D_
Evaluation and Dissemination:_x000D_
_x000D_
The evaluation plan is robust, including both formative and summative assessment, and internal and external evaluation. The dissemination plans are appropriate for an REU site. _x000D_
_x000D_
_x000D_
Summary Statement_x000D_
_x000D_
This proposal received a rating of Very Good. The intellectual focus, team qualifications, and institutional support are very strong. The only significant weakness stems from recruitment results associated with prior offerings of the site. However, the proposal identifies a convincing strategy for addressing this weakness.  _x000D_
_x000D_
_x000D_
</t>
  </si>
  <si>
    <t xml:space="preserve">In the context of the five review elements, please _x000D_
evaluate the strengths and weaknesses of the proposal with respect to intellectual merit._x000D_
_x000D_
What is the potential for the proposed activity to advance knowledge and understanding within its own field or across different fields?_x000D_
_x000D_
+ The PIs have a strong background in the research they are suggesting._x000D_
- The suitability of the other faculty on the project is not as clear._x000D_
- The potential scientific impacts of each project were largely missed._x000D_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_x000D_
- The assumption that only large cities have universities able to tackle ML problems, rather than 'toy' ML projects, seems far from valid._x000D_
- The impacts on society of the various projects is not clear.  For example, is the ride share algorithm not already implemented in Uber?  If not, how would this unsolved problem actually impact society if solved?  What is inherently different about a Pi cluster compared to a standard compute cluster?  If nothing, then the objective of timing the comparison seems like a moot point._x000D_
- The PIs have missed the opportunity to detail the 'why' related to their proposal.  The browser finger printing project gets the closest of them all._x000D_
_x000D_
Please evaluate the strengths and _x000D_
weaknesses of the proposal with respect to any additional solicitation-specific review criteria, if _x000D_
applicable_x000D_
_x000D_
To what extent do the proposed activities suggest and explore creative, original, or potentially transformative concepts?_x000D_
_x000D_
+_x000D_
- It is unclear exactly how creative of original the topics proposed are.  Several topics are listed, some are even motivated, but the impacts possible within the undergraduate research efforts is not clear._x000D_
_x000D_
Is the plan for carrying out the proposed activities well-reasoned, well-organized, and based on a sound rationale? Does the plan incorporate a mechanism to assess success?_x000D_
_x000D_
+ The project outlines several key important aspects to help develop in the students, such as student autonomy._x000D_
- Yet at the same time, the project also fails to justify exactly how they will help develop and foster such autonomy._x000D_
_x000D_
How well qualified is the individual, team, or institution to conduct the proposed activities?_x000D_
_x000D_
+ The PI seems well prepared to mentor students on this project.  The PI has also led a previous REU._x000D_
+ Lehigh CSE is clearly a strong group.  But of the '17 tenure track and 4 instructional faculty, which includes 5 NSF CAREER Award recipients,' how many of those faculty are involved in his grant?  Do they bring the expertise to the project?_x000D_
-_x000D_
_x000D_
Are there adequate resources available to the PI (either at the home institution or through collaborations) to carry out the proposed activities? _x000D_
_x000D_
+ It appears as if the faculty on this project have the resources needed to complete the science, though that was not made clear in the proposal.  So it is assumed, but please clarify in any future applications._x000D_
+ the experience of the OCSHS is a big plus._x000D_
- Why will the 'fun' events not be covered by the grant?_x000D_
_x000D_
Summary Statement_x000D_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The relevance to undergraduates was not made clear.  Instead, the reviewer was given the impression that, at least in a few of the projects, the REU student would simply be collecting data for the lab PI.  This probably does serve to advance the career of the lab PI, but may not have the desired impact of exciting the students to continue a career in research._x000D_
_x000D_
Student Management:_x000D_
- Plan for student management and care_x000D_
- Recruitment plan, diversity of recruitment pool_x000D_
- Outreach activities during the summer experience_x000D_
_x000D_
+ the professional training workshops have high potential to be impactful for REU students. _x000D_
+ there are many local colleges and universities that the team can advertise at.  Some of these are non-PhD granting institutions.  Some are also historically under-represented centric._x000D_
+ use of the CISE REU toolkit is great!_x000D_
_x000D_
Evaluation and Dissemination:_x000D_
- Plan to evaluate results of project_x000D_
- Dissemination of results of research as well as of the REU site project overall_x000D_
_x000D_
+ there is an evaluation plan in place._x000D_
_x000D_
_x000D_
General Comments:_x000D_
The team should consider how they might be able to leverage a workshop on CloudLab._x000D_
_x000D_
_x000D_
</t>
  </si>
  <si>
    <t>Project Elements:_x000D_
New or Renewal: New; CISE Division: CNS_x000D_
Project Title: REU Site: Intelligent and Scalable Systems_x000D_
Principal Investigators: Dr. Brian D. Davison (PI) and Dr. Michael Spear (Co-PI) _x000D_
Submitting organization: Lehigh University; Location: Lehigh University, Bethlehem, PA_x000D_
Major field: Computer Science; Subfields: Machine Learning, Parallel Computing, Data Mining, Artificial Intelligence, Distributed Computing, Data Science, Cybersecurity, Privacy_x000D_
Number of undergraduate students per year: 10_x000D_
REUSite period: 10 summer weeks; International/RET component: N/A_x000D_
Contact: Dr. Brian Davison (davison@cse.lehigh.edu; phone: 610-758-3453); _x000D_
URL: http://www.cse.lehigh.edu/REU_x000D_
_x000D_
Description: The Intelligent and Scalable Systems REU provides an inspirational and successful research experience for undergraduate students, in which they learn how to harness the incredible potential of machine learning, and the unprecedented power of modern parallel compute resources, to invent new systems and algorithms that are infused with intelligence and hence capable of solving pressing societal problems.  Informed by the PIs' experiences in a prior "Smart Spaces" REU Site at Lehigh University, the proposed REU Site employs a multifaceted recruiting strategy, with a focus on encouraging women, underrepresented, and minority students to participate; a special focus will be placed on recruiting from institutions that lack undergraduate research opportunities.  Upon arrival, all students will benefit from a deliberate program of research and study.  The faculty mentors have a history of successful collaboration with undergraduates, and will have received special guidance on how to direct their student interns to success (e.g., prototypes, publications).  Students will also benefit from a program of seminars and tutorials designed to ensure that they are ready to collaborate, knowledgeable about the key concepts and technologies in modern intelligent and scalable systems, and inspired to pursue both further education and life-long careers in Computer Science.  Regular evaluation and feedback, including the use of an external evaluator will help ensure intellectual contributions and broader impacts described below are achieved and measured.Modern advances in machine learning, especially the use of parallel resources to train algorithms on large data sets, is enabling revolutions in many sectors of the economy.  To sustain this revolution, the proposed REU Site will facilitate research into fundamental topics in both machine learning and scalable computer systems, such as new algorithms for machine learning, new approaches to privacy preservation, and new techniques for increasing the performance of parallel programs.  It will also support application-focused research, with an emphasis on creating solutions to hard problems in both research and society.Through this REU, students will work with faculty mentors and other researchers on cutting-edge research projects that allow them to acquire valuable technical and problem solving skills, gain a broader and deeper understanding of research, and develop greater confidence in their ability to succeed in a STEM career. Participants will gain exposure to the latest developments in the areas of artificial intelligence and machine learning, parallel computing, and security, and will acquire valuable hands-on experience. Students also have the opportunity to interact with summer interns from other disciplines funded by other Lehigh REU projects and internal university initiatives, and to grow their professional network with peers and with established researchers.  Through a focused recruiting strategy, this program will explicitly increase participation of female, underrepresented, and minority students in computer science research, and will encourage them to pursue graduate education in Computer Science.  Longer-term, this REU Site will help to increase diversity in both industry and academia.</t>
  </si>
  <si>
    <t>1757853</t>
  </si>
  <si>
    <t>Jung</t>
  </si>
  <si>
    <t xml:space="preserve"> Panel Summary       
  _x000D_
Short Description of the Project:_x000D_
_x000D_
This proposal describes a plan to conduct a three-year REU Site through the University of Texas at Arlington. The specific topics to be pursued are organized under the umbrella of smart distributed sensing and processing systems.  _x000D_
_x000D_
Intellectual Merit: _x000D_
_x000D_
Strengths: _x000D_
_x000D_
+ As scientific topics, panelists were in agreement that the identified areas are intellectually rich._x000D_
_x000D_
+ Panelists were unanimous in their opinions concerning the proposing team. The team is exceptionally qualified to pursue the research topics proposed. Their expertise is demonstrated through publications in well-regarded venues, and an impressive record of external funding. The team's ongoing involvement of undergraduate researchers was also noted as a strength. _x000D_
_x000D_
Weaknesses:_x000D_
_x000D_
- Panelists were in agreement that the most important weakness of the proposal is a lack of clarity concerning the specific ways in which REU participants would be engaged in the proposed projects. Panelists were impressed with the topics, but had difficulty understanding how undergraduate participants would be involved. In several cases, panelists felt that the projects were too complex to attract a significant applicant pool. One panelist commented that the projects simply do not look like undergraduate research projects. _x000D_
_x000D_
- Panelists raised concerns regarding the recruiting plan and the associated likelihood of attracting qualified applicants while meeting other recruiting targets. The research projects appear to target local participants. (The proposed 50% external target was viewed as relatively low.) Questions were raised concerning the likelihood of engaging external participants on these projects in a meaningful, productive way. _x000D_
_x000D_
- Panelists agreed that the topics were not sufficiently united under a common theme. The projects appear to be largely independent. The proposed theme appears to be a mechanism of presentation, rather than a guiding vision for the site. _x000D_
_x000D_
- Some panelists felt that given the disparity of topics covered and relatively few mechanisms for building cohesion across participants, a community of undergraduate scholars may not emerge. Instead, panelists feared that students might work independently, missing an important opportunity for community building._x000D_
_x000D_
- Panelists agreed that while the proposal identifies a reasonable set of evaluation questions, the plans for answering those questions are insufficiently described. Questions were raised concerning the specific instruments to be used. The lack of an external evaluator was noted as a significant weakness._x000D_
_x000D_
Broader Impacts:_x000D_
_x000D_
Strengths: _x000D_
_x000D_
+ Panelists agreed that solutions to several of the proposed research challenges could have important impacts. _x000D_
_x000D_
Weaknesses:_x000D_
_x000D_
- Some panelists raised concerns that diversity of participation was not given sufficient consideration. _x000D_
_x000D_
Data Management Plan:_x000D_
_x000D_
+ No concerns were raised by the panel concerning the data management plan; it appears adequate as proposed._x000D_
_x000D_
Criteria Specific to REU Sites:_x000D_
_x000D_
Research: _x000D_
_x000D_
- As summarized above, the most important concerns raised by the panel focused on the level of detail provided concerning the specific opportunities available to undergraduate participants._x000D_
_x000D_
Logistics and Student Management:_x000D_
_x000D_
- Panelists agreed that the logistics of managing the site (e.g., recruiting, communication, housing, meals, payment) were insufficiently described._x000D_
_x000D_
Constructive Suggestions for Improvement: _x000D_
_x000D_
The panel's most important recommendation for improvement is to address the questions raised concerning the specific ways in which undergraduate students will be involved in the proposed research projects. _x000D_
_x000D_
Summary/Rationale for Panel's Recommendation:_x000D_
_x000D_
While the proposed site builds upon an excellent team and a robust set of research programs, the panel was unclear on the specific ways in which students could engage in the topics proposed, unless the recruitment strategy was narrowly focused on high performing, local students._x000D_
_x000D_
The panel placed this proposal in the following category:_x000D_
__ Highly Competitive (HC)_x000D_
__ Competitive (C)_x000D_
X   Low Competitive (LC)_x000D_
__ Not Competitive_x000D_
_x000D_
The summary was read by the panel, and the panel concurred that the summary accurately reflects the panel discussion._x000D_
</t>
  </si>
  <si>
    <t xml:space="preserve">Remarks from one panelist regarding the Electrical Engineering appointments of the faculty (rather than Computer Science) as a weakness of the proposal, should be ignored. However, other comments regarding project focus and cohesion should be taken into account, if the PIs plan to submit to the REU Site solicitation in future years. </t>
  </si>
  <si>
    <t xml:space="preserve">In the context of the five review elements, please _x000D_
evaluate the strengths and weaknesses of the proposal with respect to intellectual merit._x000D_
_x000D_
Strengths: _x000D_
+ Student group will acquire holistic view of smart distributed sensing systems spanning power grids, health monitoring, and environmental monitoring. _x000D_
_x000D_
Weaknesses_x000D_
- some proposed projects are on sensing, some on processing, some on both. Will all students learn enough about both aspects? _x000D_
- While it is nice that the research topics span multi-modal multi-scale data fusion, UAV teams, and optofluidics, students may get too focused on their isolated projects. Perhaps the bi-weekly meetings will help, but given the disparity in the project focuses, maybe a weekly meeting is better suited._x000D_
_x000D_
In the context of the five review elements, please _x000D_
evaluate the strengths and weaknesses of the proposal with respect to broader impacts._x000D_
_x000D_
Strengths: _x000D_
+ Assuming enough effort is put into group interactions, students will appreciate and learn from the range of challenges within the space of distributed smart sensing, which may encourage them to pursue graduate studies. _x000D_
_x000D_
Weaknesses _x000D_
- if the students mostly land up working on their own projects, there may not be enough interaction within the student group to encourage sharing of knowledge, and consequently, the broader objective of introducing students to the inter-disciplinary nature of research in the space of distributed smart sensing. _x000D_
_x000D_
_x000D_
Please evaluate the strengths and _x000D_
weaknesses of the proposal with respect to any additional solicitation-specific review criteria, if _x000D_
applicable_x000D_
_x000D_
_x000D_
_x000D_
Summary Statement_x000D_
_x000D_
The proposed REU site will facilitate a holistic learning experience on  smart distributed sensing systems. My primary concern is given the nature of the projects, students may not learn enough about the details of their fellow REU students' projects to benefit as a group. This can of course be avoided by proactively engaging students to discuss research questions and challenges faced on a weekly basis, as opposed to biweekly as proposed. _x000D_
_x000D_
A minor concern is that given the nature of the UAV project (drones are fun!), student in the group will have a very different experience than the other students who work on say power grid, or glucose sensing readout chip. This will not be an issue if the recruitment process ensures the students are excellent match for their respective projects. Even then, how do we ensure each student has an equally exciting and meaningful learning experience? _x000D_
_x000D_
Finally, I feel the projects differ in the difficulty level, for example, although it may be a fun experience to work on a networked UAV system, I am not sure students will be able to complete retrofitting with wind-sensors, carrying out tests, and meaningfully evaluating, all in eight weeks. Perhaps a difficulty level for each of the project, and a general timeline of how the students will approach each project on a weekly basis will be good. _x000D_
_x000D_
_x000D_
</t>
  </si>
  <si>
    <t xml:space="preserve">In the context of the five review elements, please _x000D_
evaluate the strengths and weaknesses of the proposal with respect to intellectual merit._x000D_
_x000D_
Smart distributed sensing is a current topic. Results should be able to make a useful contribution to the literature.There is a plan to recruit 10 students. The academic plans of a course and seminars is a good idea. The proposed bi-weekly meetings should keep students on track. The research projects read more like faculty research areas as opposed to student projects.I am not sure that they have done a good job in carving out student  projects. The team is well qualified but not much is said about their prior experience directing undergraduate research. There are lots of evaluation questions which they want to answer, but the how is not really there. The facilities are good._x000D_
_x000D_
In the context of the five review elements, please _x000D_
evaluate the strengths and weaknesses of the proposal with respect to broader impacts._x000D_
_x000D_
There is a desire to include minority, females and students from local community colleges.Selection plan is interesting in that it goes by:_x000D_
_x000D_
Academic standing/GPA/Research capability/Diversity is last,_x000D_
Yet they say they will have 50% from other institutions. _x000D_
There is a good selection plan in place and a plan to disseminate the results of the project_x000D_
_x000D_
Please evaluate the strengths and _x000D_
weaknesses of the proposal with respect to any additional solicitation-specific review criteria, if _x000D_
applicable_x000D_
_x000D_
Planned field trips to industry is good. Also the proposed social benefits._x000D_
_x000D_
Summary Statement_x000D_
_x000D_
My major concern is that the PIs may not have given sufficient thought in carving out meaningful projects for the students. A lot of what was presented appears to be general research areas._x000D_
Selection process may not get them what they want._x000D_
_x000D_
</t>
  </si>
  <si>
    <t xml:space="preserve">In the context of the five review elements, please _x000D_
evaluate the strengths and weaknesses of the proposal with respect to intellectual merit._x000D_
_x000D_
Description of Project:_x000D_
_x000D_
This proposal describes a plan to conduct an REU Site through the University of Texas at Arlington during the summers of 2018, 2019, and 2020. The site will be offered through the Department of Electrical Engineering. The specific topics to be pursued are organized under the umbrella of smart distributed sensing and processing systems._x000D_
_x000D_
Intellectual Merit: _x000D_
_x000D_
Strengths:_x000D_
_x000D_
+ The site proposal is anchored by a clear articulation of goals, covering learning objectives, career pursuit objectives, and departmental growth objectives._x000D_
_x000D_
+ The plan includes a combination of guided undergraduate research, seminars, training opportunities, and social activities. _x000D_
_x000D_
+ The site program is led by a capable team. The project team has a strong record of research accomplishment, demonstrated by publications in well-regarded venues and funded research activity. Key mentors have a strong history of advising undergraduate researchers, with demonstrable accomplishments (e.g., publications).  _x000D_
_x000D_
+ The facilities at the University of Texas at Arlington are sufficiently robust for the proposed activities. Several of the proposed projects leverage specialized equipment available through the hosting department. _x000D_
_x000D_
Weaknesses:_x000D_
_x000D_
- The most important weakness of the proposal is that it provides insufficient detail concerning the nature of student activities. The research projects appear to be strong, but the specific activities students will engage in are unclear. Or more succinctly, the projects appear too open-ended for students to sink their teeth into during a relatively short summer experience. Are the project goals realistic? The proposal would benefit by reducing the level of technical exposition on each project in favor of increased detail on the specific nature of student activities. Similar comments apply to the proposed course. What specifically will be covered in this course? _x000D_
_x000D_
- It is surprising that so few references are included concerning the team's ongoing and proposed work._x000D_
_x000D_
- The proposal states that GRAs and GTAs will offer the proposed workshops. It is not obvious that these students will have the necessary background to offer robust workshops on the topics proposed. Will these students be in a good position to, for instance, offer a workshop on professional society activities? _x000D_
_x000D_
- The proposal notes industry field trips, but does not present evidence of a commitment from these potential industry partners. _x000D_
_x000D_
- The evaluation plan is reasonable in terms of timing and general content, but lacks detail. For instance, it does not clearly identify the evaluation instruments that will be used. The plan might benefit, for instance, by leveraging UNCC's REU Toolkit.  _x000D_
_x000D_
_x000D_
In the context of the five review elements, please _x000D_
evaluate the strengths and weaknesses of the proposal with respect to broader impacts._x000D_
_x000D_
Strengths: _x000D_
_x000D_
+ The proposed site program identifies representative problems which, if solved, could have important impacts._x000D_
_x000D_
Weaknesses:_x000D_
_x000D_
None noted._x000D_
_x000D_
Data Management Plan:_x000D_
_x000D_
The data management plan is adequate. The proposal would benefit, however, from adopting a more standard template for expressing this plan. _x000D_
_x000D_
_x000D_
Please evaluate the strengths and _x000D_
weaknesses of the proposal with respect to any additional solicitation-specific review criteria, if _x000D_
applicable_x000D_
_x000D_
Research: _x000D_
_x000D_
Overall, it is difficult to interpret the specific activities undergraduate researchers will be engaged in. Equally important, it is difficult to assess whether the research goals are realistic, particularly for new students._x000D_
_x000D_
Student Management:_x000D_
_x000D_
The student recruitment plan is relatively weak. The proposal notes that the university has performed well in terms of attracting a diverse student population, but the specific activities that will be undertaken to ensure diverse participation in the REU site are unclear. What are the specific recruitment targets? The proposal notes that only juniors and seniors will be sought, and that half of the participants will come from other universities. This geographic target is too narrow. _x000D_
_x000D_
Evaluation and Dissemination:_x000D_
_x000D_
The evaluation plan is reasonable, but would benefit from more detail, particularly concerning the specific instruments to be used. _x000D_
_x000D_
_x000D_
Summary Statement_x000D_
_x000D_
This proposal received a rating of Fair. The general area of focus and team qualifications are strong. However, the proposal lacks sufficient detail in several key respects. As the proposal stands, the likelihood of site success in the first year appears to be low. _x000D_
_x000D_
_x000D_
</t>
  </si>
  <si>
    <t xml:space="preserve">In the context of the five review elements, please _x000D_
evaluate the strengths and weaknesses of the proposal with respect to intellectual merit._x000D_
_x000D_
Strengths:_x000D_
The proposal includes a series of important and challenging projects. The faculty mentors are well qualified to perform the research and mentoring activities and they also have the infrastructure and support needed for the research._x000D_
_x000D_
Weaknesses:_x000D_
The projects are very broadly described with no clear definition of the specific activities to be performed by the students. _x000D_
[Beginning of ignored text]The proposal is very electrical engineering oriented rather than computer science. The projects, the PIs and faculty mentors, and the department hosting the site are all EE[End of ignored text]._x000D_
_x000D_
In the context of the five review elements, please _x000D_
evaluate the strengths and weaknesses of the proposal with respect to broader impacts._x000D_
_x000D_
Strengths:_x000D_
The proposal includes not only interesting research projects but also a series of activities to enhance the knowledge and preparation of the students and help them in their future plans and careers._x000D_
_x000D_
Weaknesses:_x000D_
The recruitment plan is rather local and weak, as no specific activities are included to show how they plan to recruit the students that they claim. The projects seem to indicate that they need well prepared, strong students, and it is not clear that transfer community college students fit that profile._x000D_
_x000D_
Please evaluate the strengths and _x000D_
weaknesses of the proposal with respect to any additional solicitation-specific review criteria, if _x000D_
applicable_x000D_
_x000D_
Budget: _x000D_
There are clear budgeting issues with regards to the guidelines of the REU Program. Considerably large amount of funds for research materials and lunch boxes._x000D_
_x000D_
Research: _x000D_
The PIs include good and challenging projects, they are well funded and research active in the theme of the site. However, they did not describe appropriate projects for the students._x000D_
_x000D_
Logistics and Student Management:_x000D_
Logistic details and management of the students and activities seems reasonable and well thought out._x000D_
_x000D_
Evaluation plan:_x000D_
The evaluation plan contains the most important aspects to evaluate in the program but nothing is said about the external and independent evaluator. Further, there is no budget included for the evaluator._x000D_
_x000D_
Standard dissemination of results: _x000D_
No specific dissemination plan is included._x000D_
_x000D_
Summary Statement_x000D_
_x000D_
The intellectual merit of the proposal needs to be improved describing research projects and specific tasks and activities that appropriate for REU students. In addition, the proposal needs to enhance the recruiting plan including specific activities that will lead to the recruitment of the proposed population. The evaluation plan should include an external and independent evaluator and his/her salary/stipend. A dissemination plan should be included too._x000D_
</t>
  </si>
  <si>
    <t>New REU Site_x000D_
Title: REU Site: Smart Distributed Data Sensing and Processing Systems_x000D_
PI and Submitting Organization: Sungyong Jung, University of Texas at Arlington_x000D_
Other organizations involved in the project?s operation: None_x000D_
Location at which the proposed undergraduate research will occur: UTA at Arlington _x000D_
No. of undergraduate participants per year: 10_x000D_
Main Field and sub-field of the research: wireless smart sensing system/data processing, sensors, power systems, wireless networks_x000D_
Summer REU Site, or academic year REU Site?:  Summer REU Site_x000D_
No. of weeks per year that the students will participate: 8 weeks_x000D_
Does the project include an international, ethics, or RET component: No_x000D_
Point-of-contact for student applicants: Sungyong Jung, 817-272-3934, jung@uta.edu_x000D_
The objective of this REU project is to provide opportunities for undergraduate students to collaborate with other students and faculty in a research intensive environment and to inspire the participants to seek higher education in areas related to smart sensing networked systems. The main goals are to encourage more students to follow research careers, to learn how to utilize creatively new technologies and introduce technology enhancements, as well as to gain hands-on experience using laboratory equipment and computer techniques, and ultimately pursue higher research-oriented education degrees.The topic of smart sensing and processing has been selected to address the deluge of data acquired by heterogeneous sensing devices which are deployed in large numbers. Students will get exposed in modern sensing applications such as environmental monitoring, health monitoring, situational awareness in tactical applications, remote sensing, structural monitoring, traffic monitoring as well as security of power grid and networks._x000D_
The project will help the students to gain research experience on designing effective collaboration mechanisms, including optimal control techniques for network resource management, collaborative machine learning and signal processing for information retrieval and data compression, hardware implementation of sensing nodes, optimization algorithms for improving the data sensing process along with applications in biosensing and power scavenging. Weekly seminars, colloquium talks of general interest in science, and general scientific skill development workshops will be provided to increase the quality of outcomes.The proposed REU project will enable undergraduate students to participate in meaningful research activities through close collaboration with experienced faculty researchers in the department of Electrical Engineering at UTA.  The participants will have the opportunity to gain hands-on experience, and witness both the challenges and rewarding satisfaction of doing research. The proposed REU project will boost the students? interest in pursuing advanced degrees in science and engineering. Undergraduate students will be exposed in state-of-the-art data sensing and processing techniques which will make them strong candidates for both the industry, as well as graduate research-oriented schools. The REU project will further promote the participation of female students, underrepresented minorities and 9/11 GI-Bill veterans. The PIs will especially encourage participation from two- and four-year institutions with limited research capabilities in the DFW area and the state of Texas in general. The program is built to promote diversity and enhance research training and exposure across ethnic, gender and socioeconomic lines. The project is designed to enable talented students to realize their full potentials and excel at a professional level.  The project will improve the quality of the graduate level program by motivating the participant undergraduate students to become effective and productive graduate students. Faculty members will be thoroughly involved in the process and have the ability to work with talented and creative students building in this way a lasting research collaboration that can extend to graduate school.</t>
  </si>
  <si>
    <t>1757870</t>
  </si>
  <si>
    <t xml:space="preserve"> Panel Summary       
 The Department of Electrical Engineering at Wright State University proposes a new REU Site program in the design and implementation of secure Internet-of-Things-related embedded devices. The proposal asks for funding to support 10 summer students for ten consecutive weeks for three years. Recruitment will target students with disabilities, women, and minority students._x000D_
_x000D_
_x000D_
Intellectual Merit:_x000D_
_x000D_
Strengths:_x000D_
The proposal makes a strong case for the three studied aspects of IoT and includes well defined goals for the program. The online part of the program, along with the participation of people with disabilities, makes this program very challenging._x000D_
_x000D_
_x000D_
Weaknesses:_x000D_
The project proposes to integrate an online-only student with traditional on-site students. It is not clear how the PIs plan to manage the interactions between these two types of students, and how they will ensure the team of students are able to form a coherent and engaged group during the entire program._x000D_
_x000D_
_x000D_
Broader Impacts:_x000D_
_x000D_
Strengths: _x000D_
The proposal has emphasized inclusion of people with disabilities, veterans in particular, students from under-represented minority groups, and students from online programs who do not have research opportunities. The online nature of the program could potentially reach many more students than a traditional on-site program. _x000D_
_x000D_
Weaknesses: _x000D_
One of the most important weaknesses is that the PIs talk about disabilities in a very broad, and at times even offensive sense. It is not apparent that the PIs have addressed and are familiar with the subtleties of inclusion of students with disabilities. Though the range of impediments related to students with disabilities can be expected to be broad, there are some clear and well defined components that the panel suggests the PIs consider. These include access, whether physical, electronic, or even social. A discussion with campus Office of Disability Services (ODS) should reveal these aspects, and even result in several options for accommodation. The fact that these are missed in the proposal worries the review panel that participating students with disabilities would not receive the kind of experience they seek. Further, the PIs do not present a compelling justification either for the veterans or the online students. The PIs need to be more precise about the targeted population(s), the prospective REU students' willingness and need to be engaged in an REU research program, and the PIs experience working with such students in either research or teaching. _x000D_
_x000D_
_x000D_
Data management plan:_x000D_
The proposed data management plan is adequate._x000D_
_x000D_
_x000D_
Criteria Specific to REU Sites_x000D_
_x000D_
Research:_x000D_
It is not clear how this project will have a measurable impact on IoT security. The proposal could be strengthened by explaining how, if successful, the activities would lead to new knowledge in the field. _x000D_
_x000D_
Logistics and Student Management:_x000D_
There are several important issues in the logistic and student management category. The PIs placed a huge burden on the one graduate student, as s/he will be required to perform many activities. The recruiting plan needs more convincing strategies. It is not clear how the PIs will recruit the students from the targeted population, or if the PIs are versed in the culture or needs of the proposed student pool. Actually, the panel has strong doubts about the likelihood of the PIs being able to recruit 10 students for the program. If the PI has experience mentoring disabled students, veterans, or women, that should be made very clear. The proposal makes no mention of accessibility, which is critical given the suggested student groups. _x000D_
Finally, the proposal does not mention any housing._x000D_
_x000D_
_x000D_
Evaluation plan:_x000D_
There is no evidence in the proposal that the proposed external evaluator has the necessary experience to evaluate a program like this._x000D_
_x000D_
_x000D_
Standard dissemination of results: _x000D_
Standard methods of dissemination of results are included in the proposal._x000D_
_x000D_
_x000D_
Constructive suggestions for improvement:_x000D_
This proposal introduces the idea of making an online REU program for students with disabilities who cannot attend a face-to-face, traditional REU, and for those online students who normally do not have research courses/opportunities. The implementation of this compelling idea at the same time introduces several complex issues that need strong support, expertise, and deep knowledge about the targeted community of students. The PIs must be sensitive to the needs, vocabulary, and culture of these students. It is suggested that a future submission of a proposal like this includes expert matters in online education and people with disabilities. The PIs should also leverage the expertise of ODS in order to ensure that the proposal is not revered as offensive by those either reviewing the proposal or those with disabilities of their own. Further, it is very important to show that the goals of the proposal align well to the goals of the REU program. The PIs are strongly encouraged to discuss the idea of an online REU experience with the NSF program officers before resubmitting the proposal. _x000D_
_x000D_
Summary/Rationale for panel's recommendation, including keys strengths and critical weaknesses: _x000D_
_x000D_
The principal reason for this ranking is that the proposal's plan to integrate online students is not compelling, and the language used to describe the involvement of students with disabilities is potentially offensive. _x000D_
_x000D_
_x000D_
The panel placed this proposal in the following category:_x000D_
_x000D_
____	Highly Competitive (HC)_x000D_
_x000D_
____	Competitive (C)_x000D_
_x000D_
____	Low Competitive (LC)_x000D_
_x000D_
_X___	Not Competitive (NC)_x000D_
_x000D_
_x000D_
The summary was read by the panel, and the panel concurred that the summary accurately reflects the panel discussion._x000D_
</t>
  </si>
  <si>
    <t>Having an online possibility for an REU site is an interesting idea, but should be explored in detail when presenting the case through a proposal. Issues of recruiting, measuring outcomes, ensuring the participants have a meaningful experience, and many others, will be weighed against traditional programs. Consider the comments provided, and take special care with respect to language used (there are helpful comments regarding this in the panel summary).</t>
  </si>
  <si>
    <t>Review Analysis_x000D_
NATIONAL SCIENCE FOUNDATION _x000D_
Alexandria, VA 22314 _x000D_
_x000D_
Directorate for Computer and Information Science and Engineering _x000D_
Research Experiences for Undergraduates Program _x000D_
_x000D_
This review analysis assume that the information in the CISE General Information for Applicants for the Research Experiences for Undergraduates (REU) Sites Program is contained in the proposal jacket. _x000D_
_x000D_
This proposal was reviewed by one of the FY2018 REU site panels organized by the CISE REU Site Team. The CISE REU Site Team has representatives from all three CISE divisions. _x000D_
_x000D_
The panel that reviewed this proposal placed it in the Low Competitive (LC) or Not Competitive (NC) category. The panel discussed separately both the intellectual merit and broader impacts of this proposal, judging that it was deficient. Issues of intellectual merit could include a failure to advance knowledge significantly within the field or poor organization of the proposed work. Issues of broader impacts could include weakness of educational aspects or little benefit of the proposed activity to society. The panel also considered review criteria specific to the REU site program. Often LC and NC proposals had issues in the REU specific criteria including insufficient details about the student management and logistics components; unclear or inappropriate student research projects and research preparation; lack of concrete plans for student recruitment, particularly recruitment of under-represented groups; lack of clarity about overall project management; and poor evaluation plans. The resulting panel summary and copies of all individual reviews are attached as part of the jacket. _x000D_
_x000D_
The recommendation was based on substantive comment from both individual reviews and the panel summary. It has taken into account both the peer recommendation and the availability of funds, considering the other proposals reviewed in this and other panels. The recommendation has also been made taking into account the specifics of the REU Site program scope, the need to maintain appropriate balance among subfields, the availability of other funding for the topic area, the total amount of funds available to the program for new proposals, and general Foundation policies. _x000D_
_x000D_
I recommend that this proposal be declined, because of one or more of the above factors. In cases where reviews were present that rated the proposal Excellent, the recommendation was also based on the panel's overall recommendation against support and consideration of funds for the program. _x000D_
_x000D_
_x000D_
Dr. Jonathan Sprinkle  _x000D_
Program Director _x000D_
Division of Computer and Network Systems</t>
  </si>
  <si>
    <t xml:space="preserve">In the context of the five review elements, please _x000D_
evaluate the strengths and weaknesses of the proposal with respect to intellectual merit._x000D_
_x000D_
The intellectual merit is not very clear. It is not something that I believed is commonly proposed, so more details on how it will actually work is needed. The topic itself is a very good one. However, the overlapping of face to face and online is somewhat confusing. A lot is said on what will be done, but not enough on how it will be done. The team seems well qualified although not much experience with a similar type of project.In the evaluation of the project I would have liked to have seen specifics related to disabled students._x000D_
_x000D_
In the context of the five review elements, please _x000D_
evaluate the strengths and weaknesses of the proposal with respect to broader impacts._x000D_
_x000D_
It is an interesting proposal to include disabled students but some details are missing. Facilities are good for research, but how well will disabled students be able to utilize them is not clear. The recruitment plan for disabled is not very clear._x000D_
_x000D_
Please evaluate the strengths and _x000D_
weaknesses of the proposal with respect to any additional solicitation-specific review criteria, if _x000D_
applicable_x000D_
_x000D_
_x000D_
_x000D_
Summary Statement_x000D_
_x000D_
An interesting and novel project. However necessary details on how it would actually work are missing. Essential elements that were missing included, how to recruit participants, what area of disability is being targeted, what facilities are needed, are there special acommodations that are needed._x000D_
_x000D_
</t>
  </si>
  <si>
    <t xml:space="preserve">In the context of the five review elements, please _x000D_
evaluate the strengths and weaknesses of the proposal with respect to intellectual merit._x000D_
_x000D_
Strengths:_x000D_
The proposal includes projects in a very important area. The projects are well defined although is not clear whether they are good for online students and traditional studnets attending the site._x000D_
_x000D_
_x000D_
Weaknesses:_x000D_
The proposed social media embbeded app as the training platform to carry out the research activities should be better prepared and supported with evidence that it can be used in a program like this. I would have included in the proposal some sort of expert on online delivery methods and a proven platform to support al lthe activities._x000D_
It is not clear how the PIs plan to manage a site with traditional students and online students simultaneously._x000D_
_x000D_
_x000D_
In the context of the five review elements, please _x000D_
evaluate the strengths and weaknesses of the proposal with respect to broader impacts._x000D_
_x000D_
Strengths:_x000D_
The online nature of the program makes research available to a population of students who normally do not  participate in research, such as online students, and also students who cannot participate, such as students with disabilities. In addition, an online REU program could potentially reach many more students than a traditional progam.  _x000D_
_x000D_
Weaknesses:_x000D_
The online nature of the proposed program, at the same time, raises questions about the broad impact because the PIs do not make a convincing argument in the proposal about the targeted population and their willingness and need for research online programs. Further, are these students a good population to continue grad school? Short-term social-media-based courses are totally undefined._x000D_
_x000D_
Please evaluate the strengths and _x000D_
weaknesses of the proposal with respect to any additional solicitation-specific review criteria, if _x000D_
applicable_x000D_
_x000D_
Budget:_x000D_
It needs more work. Evaluator is usually not part of senior personnel; budget includes salary for 3 graduate students; subsistence is not documented; travel budget does not include PI meeting; travel money for each student to attend conferences; housing is VERY cheap._x000D_
_x000D_
Research:_x000D_
Faculty does not currently have many search grants awarded. _x000D_
_x000D_
Logistics and Student Management:_x000D_
The proposal includes several acitivities menat to improve the students' communication and writing skills._x000D_
The PIs do not mention anything in the proposal about the accomodations and pyament of the students._x000D_
The recruiting plan is not very strong; the PIs do not propose specific activities to recruit veterans, females, under-represented students, and more importantly, online students._x000D_
_x000D_
Evaluation plan:_x000D_
The evalution plan, although it can be improved, is ok. However, the evaluator does not seem to have enough experience evaluating projects like an REU Site._x000D_
_x000D_
Standard dissemination of results: _x000D_
Standard methods of dissemination of results are included in the proposal._x000D_
_x000D_
Summary Statement_x000D_
_x000D_
This proposal introduces a very interesting idea; the idea of making an online REU program for those students with disabilities who cannot attend on a face-to-face, traditional manner and for those online students who normally do not have research courses/opportunities. Although the idea is interesting and perhaps worth trying from the perspective of offering the possibility of doing research to these population of students, and even more, making it available to many students taking advantage of the economies of scale of online education, the proposal lacks very important and convincing aspects that, if addressed, could make it worth of receiving funds. Among those aspects are: 1) Make the program 100% for online or traditional students; 2) Use a proven online platform to deliver all the activities; 3) Include an expert matter in online education in the proposal; 4) Include an evaluator with proven experience in these programs, and 5) include a very compelling argument in the introduction of the proposal supporting the need of this online research program._x000D_
_x000D_
_x000D_
</t>
  </si>
  <si>
    <t xml:space="preserve">In the context of the five review elements, please _x000D_
evaluate the strengths and weaknesses of the proposal with respect to intellectual merit._x000D_
_x000D_
The proposers plan a new REU that will use and internet of things app both for administration of, and as an outcome of, the undergraduate student supervision. They are targeting unique population of students that includes individuals with various disabilities, veterans, and at least one individual operating remotely (due to disability). Students are engaged in research and development activities, and will focus on security related aspects of IoT._x000D_
_x000D_
Intellectual Merit: (review of intellectual merit)_x000D_
+_x000D_
The proposer present a strong case for their security based IoT approach, focusing on the technical need (IP, protections, defense against Trojan attacks, etc.) while also pointing out reasons for the lack of IoT instruction for undergraduates (e.g., shortage of courses, faculty, and facilities for instruction). Thus, they simultaneously provide scientific justification for the need for IoT security, as well as how this REU will lead to future improvement in this domain through UG student training. _x000D_
_x000D_
The goals of the REU are clearly defined in the context of the motivating reasons/literature cited above (need for IoT, lack of IoT training). _x000D_
_x000D_
_x000D_
In the context of the five review elements, please _x000D_
evaluate the strengths and weaknesses of the proposal with respect to broader impacts._x000D_
_x000D_
Broader Impacts: _x000D_
+_x000D_
Proposers focus on two unique and underrepresented groups: individuals with disabilities and veterans. The nature of the research tool may in fact bring more of these individuals into STEM/CISE careers in the future, as part of the focus involves participation/education in-home due to the online nature of the tool._x000D_
_x000D_
-_x000D_
Though widely used, 'disability' is not clearly defined by the proposers (e.g., what range of disabilities? Any exclusion criteria?)_x000D_
_x000D_
Data Management Plan: _x000D_
-_x000D_
There is no mention of confidentiality of participant data obtained for assessment (e.g., surveys, academic performance)._x000D_
_x000D_
_x000D_
Please evaluate the strengths and _x000D_
weaknesses of the proposal with respect to any additional solicitation-specific review criteria, if _x000D_
applicable_x000D_
_x000D_
_x000D_
+_x000D_
The description of the app, as well as REU student tasks related to the app, are well-thought out and well-defined. The proposers provided justification for their target population based on extremely limited access to STEM for individuals with disabilities and veterans._x000D_
_x000D_
Additional professional development includes the delivery of presentation, interaction/discussion skills, interaction (through the app) with other potential app users, technical writing and generating research papers, and the potential (though not detailed) for future ongoing research beyond the REU period._x000D_
_x000D_
The timeline of the project is appropriate, with thorough week-by-week details._x000D_
_x000D_
The proposers recognize that support staff is needed and cite a graduate student._x000D_
_x000D_
The proposers (PI, co-Is) have some prior experience with undergraduate supervision (though not through an REU)._x000D_
_x000D_
The environment is strong, with clearly described laboratory space for students. _x000D_
_x000D_
An external evaluator from English Lang./Lit. will be used as an evaluator. Having this individual external is encouraging._x000D_
_x000D_
-_x000D_
While the justification for using individuals with disabilities and veterans are sound, the needs of the populations are different. Much of the justification of the approach (the need for remote use, etc.) is based primarily on the disabled population, but not described wrt the veteran population._x000D_
_x000D_
Though the evaluator is external, it is unclear what experience the individual has with survey/assessment/evaluation. Under evaluation, the proposers simply describe assessment in the form of surveys, with no detail on the surveys, or mention of how survey responses will be evaluated by Cai. _x000D_
_x000D_
The burden placed on the graduate student assistant is inappropriate. Not only would this individual have little time for their own research, but there are too many project tasks for this student including: technical coordinator between mentors and students, coordinator of program execution related activities/affairs, assistance with preparation of social media course, monitor student progress (for all 10 students), technical support for students (uploading materials on the app)._x000D_
_x000D_
Recruitment strategy and plans to target individuals with disabilities/veterans not clear. Though websites/LinkedIn, and others are noted, the recruitment strategies (and evidence of success with the target populations) do not provide sufficient clarity that the team will be able to reach 10 participants a year. The relationship of one Co-I with AFRL is encouraging, though details of any potential recruitment opportunities are not described._x000D_
_x000D_
Very little discussion given to housing, travel, and food (1 sentence)._x000D_
_x000D_
_x000D_
_x000D_
Summary Statement_x000D_
_x000D_
In spite of an incredibly unique CISE-aligned approach to using IoT in conjunction with a target population of individuals with disabilities, serious drawbacks regarding the administration of the REU (overreliance on a single grad student for administration, a lack of social activities for students, and little mention of certain critical components such as housing/food), and an assessment/evaluation plan in need of more rigor reduce enthusiasm for the proposal._x000D_
_x000D_
</t>
  </si>
  <si>
    <t xml:space="preserve">In the context of the five review elements, please _x000D_
evaluate the strengths and weaknesses of the proposal with respect to intellectual merit._x000D_
_x000D_
This proposal is to involve students with disabilities, women, and students from underrepresented backgrounds to participate in a on-site and (potentially) virtual (remote) REU on Internet of Things (IoT) security.  It will focus on design of a PCB for a system to be later used in a series of important demonstrations and developments on the topics of obfuscation for IP protection, hardware Trojan detection, and efficient cryptosystems.  While bold, it is also novel that the team has chosen to include a social app as a key means of communication with the REU students._x000D_
_x000D_
_x000D_
What is the potential for the proposed activity to advance knowledge and understanding within its own field or across different fields?_x000D_
_x000D_
+ Projects, if successful, would likely help students improve their own knowledge, but do not have obvious research goals. The proposal could be improved by providing examples of projects in which students could have the experience of advancing the field of science.  This reviewer would like to encourage the team to leverage their existing research objectives, and to identify what important topics could be explored at an undergraduate level._x000D_
- Figure 4 and the related text are justified as a reasonable scope of the projects.  If so, the team should consider including stronger justification - pictures of an actual device that they have designed and built, as evidence that this is reasonable within the scope of a short undergraduate research experience._x000D_
- What companies do you have in mind for the pick and place PCB manufacture?  Do you have an estimate of typical lead times and costs?  (this reviewer is used to waiting greater than two weeks for PCBs to arrive that do not include pick and place services)._x000D_
- It is not clear how this project will have a measurable impact on IoT security. The proposal could be strengthened by explaining how, if successful, the activities would lead to new knowledge in the field._x000D_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The idea of using a social platform is commendable._x000D_
- In the opening paragraph, the PI mentioned that students with disabilities face three fundamental challenges, none of which are actually specific to students with disabilities._x000D_
- If the PI has experience mentoring disabled students, veterans, or even women, that should be made clear.  The PI should also ask colleagues to read over this proposal for potentially offensive language prior to submission.  It appears as if the PI is not versed in this culture, as evidenced by the lack of a "people first" vocabulary._x000D_
- It is argued that existing online programs/courses are expensive or difficult to use.  Is that really the case?  What about iTunesU, or Coursera?_x000D_
- Are you recruiting rising seniors (college) and freshman (from high school, entering college following the summer program)?  If you are trying to recruit rising freshman (high school), you may consider if you are at risk for violating child labor laws.  If you are recruiting freshman rising to sophomores, then doesn't that imply you are trying to recruit graduated seniors?  What incentives would encourage these graduated students to attend a summer REU instead of going to academia or industry?  Does the "U" in the REU still apply once a student has graduated?  Please consider logistics of any specific undergraduate group._x000D_
- While the proposal does justify that WSU is supportive of students with disabilities, the proposal does not provide evidence that the PI has experience working with students with disabilities, women, or veterans.  Do the faculty's labs include such students?  Do the faculty have a disability of their own?  What experience do they have with accommodating any students with specific disabilities in class?_x000D_
- How will the distant enrolled student's project be selected?  It sounds as if they will just be added to another project, but without any clear vision as to how they will become integrated to that project - or feel welcomed and as if their contributions are valued._x000D_
- Figure 3 seems like a gross simplification.  You might want to consider the services available to those with hearing impairments offered by  ODS.  Those will likely be considerably more aligned with the real needs of some of your students._x000D_
_x000D_
_x000D_
Please evaluate the strengths and _x000D_
weaknesses of the proposal with respect to any additional solicitation-specific review criteria, if _x000D_
applicable_x000D_
_x000D_
To what extent do the proposed activities suggest and explore creative, original, or potentially transformative concepts?_x000D_
_x000D_
+/- The online social media app is novel, though the use is not especially well justified._x000D_
_x000D_
Is the plan for carrying out the proposed activities well-reasoned, well-organized, and based on a sound rationale? Does the plan incorporate a mechanism to assess success?_x000D_
_x000D_
+ Training the students in such technical skills as PCB design will likely be a benefit to the students.  Will the students recruited come with existing PCB or circuit experience?  How might that affect the results?_x000D_
- The expectation that advising students to 'search related reports on this area for their reference' seems naive.  It is more likely that undergraduate students will need assistance with this, not just the advice to do such a search.  Any undergraduate students will also likely need assistance with learning how to read such reports or journal publications.  How will the team mentor them with this?_x000D_
- Given the reliance on the social app, one has to ask how hands on this project really is._x000D_
_x000D_
How well qualified is the individual, team, or institution to conduct the proposed activities?_x000D_
_x000D_
- This reviewer, in considering the PI and team expertise, found that the WeChat app is both novel and within their area of expertise. However, the proposal does not provide a compelling case that the PI and team have the needed expertise to coordinate this REU Site with the expected student participants. As described in the proposal, there is significant risk that students in the identified populations who might elect to participate would not have the intended positive research experience._x000D_
_x000D_
Are there adequate resources available to the PI (either at the home institution or through collaborations) to carry out the proposed activities? _x000D_
_x000D_
+ The PI has experience with the WeChat app._x000D_
- The PI has mentioned ODS, but has not specified how they will be involved._x000D_
_x000D_
Summary Statement_x000D_
_x000D_
Please see the ADA of 1990 for a brief history of some very important considerations that this proposal seems to have overlooked.  Will your WeChat app be accessible? (i.e., usable via screen readers, dependent on visuals that alt-text cannot accurately represent?)_x000D_
Please strongly consider consulting with the ODS group.  Even the video in reference 31 refers to the student pool you are suggesting as 'people with disabilities,' not 'disabled students.'  This might seem minor, but within this culture, this is actually a very big deal.  This concept is known as 'person first.'_x000D_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The issues related to the PIs understanding of the community aside, this project lacks relevance in technical impact.  The project is does not appear to contribute to the field of science of IoT, but instead appears to be constructed for the training purposes of the students only._x000D_
- It is not clear if the team has any experience with undergraduate research.  Do they have a lab with undergraduate students in it?  Have they mentored undergraduate students on any projects that have then gone on to be published?_x000D_
_x000D_
Student Management:_x000D_
- Plan for student management and care_x000D_
- Recruitment plan, diversity of recruitment pool_x000D_
- Outreach activities during the summer experience_x000D_
_x000D_
- The proposal mentions that the group will 'take care [of] the participants [] special needs . . . including housing, travel, and dietary needs.'  Specifically how?  What special needs are expected?  Leverage your contacts with ODS here._x000D_
_x000D_
Evaluation and Dissemination:_x000D_
- Plan to evaluate results of project_x000D_
- Dissemination of results of research as well as of the REU site project overall_x000D_
_x000D_
- There was no outlined plan for dissemination of any results._x000D_
_x000D_
_x000D_
</t>
  </si>
  <si>
    <t>PROJECT ELEMENTS:_x000D_
New REU Site._x000D_
Project title: REU Site: Undergraduate Research in Designing and Implementing Secure Internet-of-Things (IoT)-Related Embedded Devices._x000D_
Principal Investigator: Dr. Jiafeng Xie._x000D_
Submitting organization: Wright State University._x000D_
Other organizations involved in the project's operation: No._x000D_
Location(s) (universities, national labs, field stations, etc.) at which the proposed undergraduate research will occur: Wright State University._x000D_
Main field(s) and sub-field(s) of the research: Internet-of-Things related device security._x000D_
No. of undergraduate participants per year: 10._x000D_
Summer REU Site, or academic year REU Site?: Summer REU Site._x000D_
No. of weeks per year that the students will participate: 10 weeks._x000D_
Does the project include an international component or an RET component?: No._x000D_
Name, phone number, and e-mail address of point-of-contact for student applicants: Jiafeng Xie, 937-775-5161, jiafeng.xie@wright.edu._x000D_
Web address (URL) for information about the REU Site (if known): No._x000D_
_x000D_
_x000D_
Many undergraduate students (especially those students with disabilities or from special programs such as online degree pursuers) even do not have chance (or very limited) to be exposed in the research of IoT security due to three main fundamental challenges: (i) shortage of courses covering broad knowledge and skills related to the IoT security research; (ii) limited availability of research facilities and resources; and (iii) lack of systematic research-training platforms specifically for undergraduates._x000D_
_x000D_
To address the aforementioned three main challenges, we propose to establish a 10-week Research Experiences for Undergraduates (REU) site at Wright State University (WSU) to effectively attract, train, and prepare potentially interested undergraduates for coming graduate research as well as their future career.First, we synergistically integrate the practical IoT device design (development) aspect and detailed research area aspect in forming a rich-activity-involved program (combined with hardware and software co-designs skills). Second, we synergistically integrate the undergraduate research aspect and social-media-embedded-App aspect in forming a novel training platform for special groups of undergraduates? participating (of course, it is also applicable to other undergraduate students). Third, the proposed REU program provides rapid and efficient resource sharing and updating, which will facilitate the cultivation of innovative and inspirative (next generation) IoT security researchers.The contribution of this REU program is aimed to have significant impact on IoT security research, undergraduates? research mentoring, and future directions of research-training development (especially on the aspect of national needs). First, this program will be the first trial to advise/mentor undergraduate research through social-media-based platform, which will pave the way for further development of new research-mentoring format for undergraduates. Second, this program employs a novel strategy to specifically involve disabled students (or interested online learners) into practical research projects, which not only benefits that specific group of students, but also profits the whole educational community. Third, the research-training platform proposed here will bring revolutionized change to the whole research and educational societies. The principles, methods, and experiences gained from this program will lead to the development of next generation of research and education.</t>
  </si>
  <si>
    <t>1757884</t>
  </si>
  <si>
    <t xml:space="preserve"> Panel Summary       
 Short description of project:_x000D_
This is a proposal for a renewal to an existing REU site with a small shift in the theme of the program. The team has 12 years of experience in running REU programs, and a strong history of successful programs with significant outcomes that have been documented. The topic of the research is future communities, and how technology can help in everyday life. _x000D_
_x000D_
Intellectual Merit:_x000D_
_x000D_
Strengths:_x000D_
The proposal presents a clear plan that exudes enthusiasm. This team has set some of the standards for what makes a successful CISE REU program. They have a strong mentoring plan, with vertical integration that includes training of new faculty participating. The organizational structure for the team is clear, with roles and responsibilities aligned with the needs and goals of the program. The plans for delivery, recruiting, execution, and evaluation of the program are clear and well conceived. The team does a very nice job discussing the tailoring of the projects for the REUs. _x000D_
_x000D_
Broader Impacts:_x000D_
_x000D_
Strengths:_x000D_
_x000D_
The topic is timely and important, and there is good potential for societal benefit. The REU program seems to be quite institutionalized at this university with strong support. There is a strong framework in place for making this REU experience engaging for the students while having an impact on graduate school and also delivering research products. The proposal suggested a good likelihood that this program would train a strong group of diverse students. The team has a track record for and a good plan for continued recruitment of women and minority students. _x000D_
_x000D_
Weaknesses:_x000D_
A very minor weakness is that some of the students will need training in human subjects research and this was not mentioned in the plans. _x000D_
_x000D_
Data management plan: _x000D_
The plan is complete and addresses both the programmatic and the research data. _x000D_
_x000D_
Criteria Specific to REU Sites_x000D_
	Research: Strong and well conceived. Appropriate topics and tasks for REU students, and integrated into existing research programs. _x000D_
_x000D_
	Logistics and Student Management: Clear plan with appropriate details on all aspect of running the program. _x000D_
_x000D_
_x000D_
Constructive suggestions for improvement:_x000D_
_x000D_
A very minor weakness is that some of the REUs will need training in human subjects research and this was not mentioned in the projects. _x000D_
_x000D_
Summary/Rationale for panel's recommendation, including key strengths and critical weaknesses:_x000D_
This is a strong proposal that is well conceived, has strong institutional support, excellent research projects suitable for REUs, and exudes enthusiasm. _x000D_
_x000D_
_x000D_
The panel placed this proposal in the following category:_x000D_
_x000D_
__X__	Highly Competitive (HC)_x000D_
_x000D_
____	Competitive (C)_x000D_
_x000D_
____	Low Competitive (LC)_x000D_
_x000D_
____	Not Competitive (NC)_x000D_
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</si>
  <si>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Description of the project: The focus of this REU program is on future communities and CPS. Ten students will participate for 9 weeks in the summer. This is a renewal of a past REU program in place for 12 years. The specific disciplines are human-computer interaction, security, networking, and visualization. The research is intended to be highly interdisciplinary, with a new focus on CPS projects that engage students in research on Making Future Communities, but the new focus is on computing technologies that people can integrate in their everyday lives. Four goals are discussed focusing on building student skills and confidence, broadening participation, and improving faculty mentoring. The recruiting goal is to engage students from institutions that do not have research programs. An additional goal is to share lessons learned on how to conduct and evaluate REU programs. _x000D_
_x000D_
Intellectual Merit: _x000D_
_x000D_
Strengths: _x000D_
+	The proposal builds on a strong 12 year program with a similar theme that has evolved over the years. _x000D_
+	The topic is interdisciplinary and unique. It is an excellent focus for an REU program. _x000D_
+	The goal of creating a community, and not just a group or cohort, is a strength. _x000D_
+	The new focus on computing technologies that people can integrate in their everyday lives is intriguing, but moreover the idea of supporting spaces where the students can explore and create is powerful. _x000D_
+	Each team member has a designated role to play, such as evaluator, management, etc. The organizational structure with everyone engaged in tasks beyond mentoring is a positive aspect of this program. _x000D_
+	The past program has had significant impact on the participants, with several publications and many students pursuing advance degrees. _x000D_
+	Faculty training to be REU mentors, for those new to the program, is planned. _x000D_
_x000D_
Weaknesses:_x000D_
_x000D_
_x000D_
_x000D_
_x000D_
_x000D_
In the context of the five review elements, please _x000D_
evaluate the strengths and weaknesses of the proposal with respect to broader impacts._x000D_
_x000D_
Strengths: _x000D_
+	The topic is excellent for an REU program, with high potential for societal benefit and diverse student engagement._x000D_
+	The team has strong ties to programs to feed their REU pipeline, such as the STARS Computing Corp. _x000D_
+	Although NSF supports 10 students, other funding sources have added a couple of students in recent years. _x000D_
_x000D_
Weaknesses: _x000D_
_x000D_
Data Management Plan: The DMP overall is quite strong. The plan is very complete in terms of the REU program itself. The DMP also lists data from the REU projects, and discusses how that info will be stored and shared for reuse by these teams or other researchers. _x000D_
_x000D_
_x000D_
Please evaluate the strengths and _x000D_
weaknesses of the proposal with respect to any additional solicitation-specific review criteria, if _x000D_
applicable_x000D_
_x000D_
The recruiting plan is excellent, building on relationships that have been successful in the past. _x000D_
The evaluation plan is strong. Past evaluations have also provided guidance for new items included in this program, such as the concept of research stories, which explain more about the path along which research projects progress, and not just the results. This is an excellent idea. _x000D_
The specific REU research activities are strong and well defined._x000D_
_x000D_
Summary Statement_x000D_
_x000D_
Constructive suggestions for improvement:  _x000D_
One small comment. Some of the projects will require IRB training for the REUs. It could be mentioned _x000D_
_x000D_
General overall Summary and Rationale for Rating: _x000D_
This is a strong proposal for an REU program that builds on past experience, lessons learned and what seems to be real enthusiasm for undergraduate engagement. The focus on including REUs in a community of researchers, revolving around Future Communities, with independent research projects that sound very interesting is what makes this a very strong REU proposal. All of the supporting structures, for recruitment, selection, evaluation, and training of the students are in place and well coordinated._x000D_
_x000D_
_x000D_
</t>
  </si>
  <si>
    <t xml:space="preserve">In the context of the five review elements, please _x000D_
evaluate the strengths and weaknesses of the proposal with respect to intellectual merit._x000D_
_x000D_
Description of Project:_x000D_
_x000D_
This proposal presents a plan to offer an REU Site focused on infrastructure and interaction design for cyber-physical systems at the University of North Carolina at Charlotte during the summers of 2018, 2019, and 2020. The plan represents a renewal for a program that has successfully operated for 12 consecutive summers. The proposal presents strong evidence of prior success, appropriate plans for program adjustments, and a cohesive set of research projects and supporting activities. _x000D_
_x000D_
Intellectual Merit: _x000D_
_x000D_
Strengths:_x000D_
_x000D_
+ The intellectual focus of the proposed site program is very strong. The overarching focus on cyber-physical systems is likely to attract a strong pool of undergraduate researchers. More important, the proposal does an excellent job articulating a set of representative projects to be offered. Each project is clearly linked to the site's theme and appears to build on ongoing work. The descriptions clearly describe the specific activities students will engage in -- and most summarize the specific skills students are likely to acquire. _x000D_
_x000D_
+ The renewal request builds upon a very successful history of undergraduate research and broadening participation initiatives led through the University of North Carolina at Charlotte. The proposal presents clear evidence that the site is having a significant impact. Selected results between 2013 to 2016 show statistically significant improvements in most categories. Equally important, diversity of participation is much stronger than the national average. Finally, and most important, nearly half of prior participants went on to graduate studies; 20 have completed their graduate degrees; and two have completed Ph.Ds. Overall, the program has served 135 students.  _x000D_
_x000D_
+ The program design is excellent, leveraging outstanding institutional support through UNCC's Center for Education Innovation. The design includes a strong mix of research opportunities, training opportunities, social events, and other enrichment activities. The proposal presents a compelling case that the institution has mastered logistics management. _x000D_
_x000D_
+ The site program is led by a very capable team, demonstrating an excellent mix of faculty at different points in their careers. The vast majority of participating faculty have very strong track records of engaging undergraduates in their research, resulting in various awards, presentations, publications, and other indicators of success._x000D_
_x000D_
Weaknesses:_x000D_
_x000D_
None noted._x000D_
_x000D_
In the context of the five review elements, please _x000D_
evaluate the strengths and weaknesses of the proposal with respect to broader impacts._x000D_
_x000D_
Strengths: _x000D_
_x000D_
+ The proposed site program is focused on research challenges that are timely, intellectually rich, and likely to attract a diverse population of candidates. Solutions to the proposed challenges are likely to have significant impacts in a variety of domains._x000D_
_x000D_
+ The recruitment plan has been and is likely to continue to be successful in attracting diverse participation. The team and institution's accomplishments in broadening participation are enviable.  _x000D_
_x000D_
Weaknesses:_x000D_
_x000D_
None noted. _x000D_
_x000D_
Data Management Plan:_x000D_
_x000D_
The data management plan is excellent. _x000D_
_x000D_
_x000D_
Please evaluate the strengths and _x000D_
weaknesses of the proposal with respect to any additional solicitation-specific review criteria, if _x000D_
applicable_x000D_
_x000D_
Research: _x000D_
_x000D_
The site program is built upon intellectually rich projects that offer meaningful opportunities for undergraduate researchers and contribute to broader research programs that are likely to achieve important impacts. _x000D_
_x000D_
Student Management:_x000D_
_x000D_
The proposal presents a compelling case that the UNCC team has mastered the art of REU site management. _x000D_
_x000D_
Evaluation and Dissemination:_x000D_
_x000D_
The evaluation plan is excellent, leveraging instruments and processes developed by the proposing team that have become de facto standards for CISE REU Site evaluation._x000D_
_x000D_
Summary Statement_x000D_
_x000D_
This proposal received a rating of Excellent. The proposed site plan exhibits no apparent weaknesses. The team is likely to continue to manage a very successful NSF REU Site.  _x000D_
_x000D_
_x000D_
</t>
  </si>
  <si>
    <t xml:space="preserve">In the context of the five review elements, please _x000D_
evaluate the strengths and weaknesses of the proposal with respect to intellectual merit._x000D_
_x000D_
This renewal (which would represent three additional years built upon 12 years of continuous funding) is focused on CPS for daily living (broadly, CS themed with human-centered methods). The project targets underrepresented minority and female students, building upon past experiences recruiting these populations (and a network of target universities that will serve as applicant pools). Documented outcomes of past REUs (student outcomes) are also included._x000D_
_x000D_
Intellectual Merit: (review of intellectual merit)_x000D_
+_x000D_
The shift to a human centered approach to computing (focused in hci, security, networking, visualization), coupled with evidence regarding the 'maker' like nature of the approach, is well justified with literature, and suggestive of the ease with which undergraduates (and their associated technical maturity) will be appropriately matched to research projects. _x000D_
_x000D_
One fairly unique goal is stated outcome focused on building faculty skill in undergraduate mentoring, and well as constructing UG research experiences._x000D_
_x000D_
_x000D_
In the context of the five review elements, please _x000D_
evaluate the strengths and weaknesses of the proposal with respect to broader impacts._x000D_
_x000D_
Outcomes may benefit participants, but may also provide models to other organizations regarding recruiting/retaining individuals underrepresented in specific domains, and methods of engaging these individuals (particularly at the cohort level)._x000D_
_x000D_
Data Management Plan: _x000D_
The data management plan is sufficient w.r.t nature, access to, collection of, and protection of data types._x000D_
_x000D_
_x000D_
Please evaluate the strengths and _x000D_
weaknesses of the proposal with respect to any additional solicitation-specific review criteria, if _x000D_
applicable_x000D_
_x000D_
+ _x000D_
Both assessment and evaluation are strong, given the proposers were instrumental in developing standardized assessment instruments. Further, the proposers cite specific details regarding the mixed-method analyses that will be used for evaluation (based on assessment outcomes). The use of external evaluators further suggests objective assessment/evaluation of the program._x000D_
_x000D_
'Lessons learned' are demonstrated based on specific program features (tiered mentoring, cohort identity, post-REU program relationships)._x000D_
_x000D_
The inclusion of (non-faculty) staff experienced with undergraduate recruitment/event planning/administration suggests both institutional support and potential success as a result of individuals focused solely on recruitment/etc._x000D_
_x000D_
_x000D_
The student outcomes are impressive (accordingly, given the amount of continuous funding). These include &gt;130 students mentored, increasing ethnic/gender diversity, improving student assessment outcomes, student testimonies, publications, graduate school attendance, additional awards (NSF GRF, NASA, etc.) _x000D_
_x000D_
Extremely detailed timeline from recruitment to followup (post-program) is included, based on prior experiences._x000D_
_x000D_
Professional development (weekly blogging, progress reports, technical abstract preparation, workshops) are described with specificity._x000D_
_x000D_
Tailoring of REU projects based on student capability is described for each subproject._x000D_
_x000D_
The environment is incredibly strong, including experience with inclusive computing approaches (e.g., women, ur minorities). Further, a large faculty, laboratories thematically aligned with CPS, _x000D_
_x000D_
The proposal explicitly mentions housing/transportation/food considerations for students._x000D_
_x000D_
_x000D_
_x000D_
Summary Statement_x000D_
_x000D_
The proposal represents the continuation of 12 prior years of REU support, and the high quality of the current proposal is evidence of why the funding has continued for so long. The authors switch the them slightly (to personalized CPS for daily living), but build upon prior strong evidentiary justification, lessons learned for tasks and activities, validated assessment, and meaningful external evaluation. Coupled with the solid track record for graduates of past REUs (publication, graduate school, additional awards), there is plenty to suggest that the outcomes of the current approach will be similarly successful._x000D_
_x000D_
</t>
  </si>
  <si>
    <t xml:space="preserve">In the context of the five review elements, please _x000D_
evaluate the strengths and weaknesses of the proposal with respect to intellectual merit._x000D_
_x000D_
What is the potential for the proposed activity to advance knowledge and understanding within its own field or across different fields?_x000D_
_x000D_
+ This REU site has established a history of successfully mentoring REU activities into scientific publications (journal, conference, etc)._x000D_
+ the team has elected to change focus, though not a substantial change, in response to changing needs of the fields of science._x000D_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Targeted recruitment from undergraduate institutions where students are not typically exposed to research is a commendable objective._x000D_
+ the vertical mentoring approach has been shown to work well in the research setting._x000D_
+ The attendance at additional computing research conferences by the REU participants is a really good idea - assuming that the students will present on their research from the poster session at the REU site if also accepted at the conference._x000D_
_x000D_
Please evaluate the strengths and _x000D_
weaknesses of the proposal with respect to any additional solicitation-specific review criteria, if _x000D_
applicable_x000D_
_x000D_
To what extent do the proposed activities suggest and explore creative, original, or potentially transformative concepts?_x000D_
_x000D_
+ The potential projects both contribute to the field of science and seem reasonable and realistic for REU students_x000D_
-_x000D_
_x000D_
Is the plan for carrying out the proposed activities well-reasoned, well-organized, and based on a sound rationale? Does the plan incorporate a mechanism to assess success?_x000D_
_x000D_
+ The proposal is very clear in outlining a delivery plan._x000D_
+ There is a clear evaluation plan as well._x000D_
-_x000D_
_x000D_
How well qualified is the individual, team, or institution to conduct the proposed activities?_x000D_
_x000D_
+ The team appears very well qualified to complete the work outlined in this proposal._x000D_
-_x000D_
_x000D_
Are there adequate resources available to the PI (either at the home institution or through collaborations) to carry out the proposed activities? _x000D_
_x000D_
+ There is no reason to doubt that the team has the needed resources._x000D_
+ A mentor training plan is included, to ensure that new faculty are well prepared for this REU._x000D_
_x000D_
Summary Statement_x000D_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This team has a strong history of successful REU administration._x000D_
+ They have set the standards that other REU site should aim for._x000D_
_x000D_
Student Management:_x000D_
- Plan for student management and care_x000D_
- Recruitment plan, diversity of recruitment pool_x000D_
- Outreach activities during the summer experience_x000D_
_x000D_
+ the team has a clear and strong track record with recruitment and mentoring of REU students._x000D_
+ the team has an exceptionally clear plan for the REU._x000D_
_x000D_
Evaluation and Dissemination:_x000D_
- Plan to evaluate results of project_x000D_
- Dissemination of results of research as well as of the REU site project overall_x000D_
_x000D_
+ The team has considered both dissemination of the scientific results and of the REU results._x000D_
_x000D_
_x000D_
******_x000D_
This proposal is exactly the kind of proposal a panel hopes for.  It is well thought out, clearly justified, and appropriately supported.  It leaves no questions to be asked by this reviewer._x000D_
_x000D_
</t>
  </si>
  <si>
    <t>PROJECT ELEMENTS:_x000D_
*Request for Renewal, previously funded as NSF-1461166 ($323,815; 3/1/15-2/28/18)_x000D_
*Project Title: REU Site: Making Future Communities: Infrastructure and Interaction Design for Cyber-Physical Systems_x000D_
*PI: David Wilson; Co-PI Heather Lipford_x000D_
*Submitting Organization: The University of North Carolina at Charlotte (UNC Charlotte)_x000D_
*Other organizations: none_x000D_
*Locations: UNC Charlotte_x000D_
*Main fields of research: human-computer interaction, visualization, security, cyber-physical systems_x000D_
*No. students per year: 10_x000D_
*Type of REU Site: summer_x000D_
*#weeks of participation: 9_x000D_
*International or RET component? No_x000D_
*Point of contact: Aubrae Collins, 704-687-8954, Aubrae.Collins@uncc.edu_x000D_
*Website: reu.uncc.edu_x000D_
_x000D_
The objective of the REU Site at UNC Charlotte is to create a supporting and collaborative community to engage a diverse group of undergraduate students in research to advance the state of the art cyber-physical systems. The site builds upon our college's emphasis in purposeful engagement with computing through learning, making, and sharing of technology. Our site emphasizes participation of promising students from under-represented groups in computing and from institutions that have limited research programs. Our research theme of Making Future Communities in cyber-physical systems allows for interdisciplinary research in the disciplines of human computer interaction, security, networking, and visualization. The goal of the REU site is to cultivate a community of learning that develops REU students through regular training in research skills; tiered mentoring of faculty, graduate students, and peers; and communicating and sharing research results. REU students and mentors are encouraged to continue to collaborate after the REU Site program concludes and to submit their work to peer-reviewed publications.The intellectual merit of this project lies in the exploration of the underlying infrastructure of cyber-physical systems, as well as the applications and interactions that are enabled by that infrastructure. These findings will help to enable the broader public to engage with technology in their own lives. Faculty mentors have strong publication and undergraduate research advising records, and are well positioned to undertake this interdisciplinary research. Furthermore, this project will disseminate institutional knowledge on engaging undergraduates in research and on evaluating an REU Site.The broader impact of this project lies in the potential to increase the interest and preparation of undergraduate students in computing research, and to promote graduate study in computing. The project builds upon our college's strong record of activities aimed at broadening the participation of underrepresented students in computing. The project's theme of Making Future Communities in cyber-physical systems focuses on supporting people in exploring and utilizing technology in their everyday lives. Our interdisciplinary theme will provide students with views of societal needs and computing solutions from different disciplines and perspectives, encouraging students to engage with their own learning through the exploration of technology. Our site emphasizes recruitment from undergraduate institutions where students are not typically exposed to research. The project includes plans to study how to conduct and evaluate REU sites, which will be disseminated to the broader computing community.</t>
  </si>
  <si>
    <t>1757893</t>
  </si>
  <si>
    <t>Metsis</t>
  </si>
  <si>
    <t xml:space="preserve"> Panel Summary       
 Short Description of Project:_x000D_
_x000D_
This proposal describes a renewal request for an REU Site program at Texas State University during the summers of 2018, 2019, and 2020. Research training opportunities are planned in the broad area of smart and connected communities. Three categories of research projects are identified by emphasizing infrastructure, transportation, and health. The proposal presents evidence of prior REU Site success based on participation rates, research outcomes, and career impacts. Student learning objectives are clearly defined._x000D_
_x000D_
Intellectual Merit:_x000D_
_x000D_
Panelists agreed that the proposing team is strong, with demonstrated experience advising REU students to successful outcomes. Student recruitment and selection procedures are well-defined, leveraging existing programs and relationships that were valuable in prior offerings of the site._x000D_
_x000D_
Strengths:_x000D_
+ The proposal demonstrates strong research results from prior offerings of the site. Student publication rates were noted as a particular strength._x000D_
+ The assessment plan is strong, leveraging both internal and external evaluation._x000D_
+ The mentor training plan was noted as a particular strength._x000D_
+ This plan includes a robust set of training and social activities for participants._x000D_
_x000D_
Weaknesses:_x000D_
- There may be too much reliance on the graduate student for organizing social and administrative activities (additional administrative support will be needed). _x000D_
_x000D_
- Panelists were concerned about the articulation of the site's goals. The goals identified are, it seems, easily satisfied and fairly narrow. Further, the goals do not align with the evaluation plan._x000D_
_x000D_
- Panelists raised concerns that the bootcamp-style training approach might be too heavyweight. The approach will introduce a significant delay in allowing students to engage in research. Equally important, the style seems to conflict with comments from students engaged in prior years._x000D_
_x000D_
- Panelists raised concerns that students may not have adequate time to complete their final papers if the LaTeX and writing workshops are offered 10 days before the papers are due. Overall, panelists were concerned about the logistics of the site plan._x000D_
_x000D_
Broader Impacts:_x000D_
_x000D_
Strengths:_x000D_
_x000D_
As a renewal, the proposal presents sufficient evidence of prior success. The projects were also viewed positively; high quality solutions are likely to have significant societal benefits. The team's commitment to broadening participation is a noted strength._x000D_
_x000D_
Weaknesses:_x000D_
_x000D_
Data management plan:_x000D_
_x000D_
+ Panelists agreed that the data management plan is appropriate for an REU site. _x000D_
_x000D_
Criteria specific to REU sites:_x000D_
Research: _x000D_
This REU site is a renewal to REU site 1156712 and aims to train undergraduate students in research in Smart and Connected Communities. _x000D_
_x000D_
+ A well planned recruitment is able to engage diverse students in research projects._x000D_
_x000D_
Weaknesses_x000D_
- A dissemination plan may be needed._x000D_
_x000D_
Logistics and Student Management: _x000D_
_x000D_
The logistics of running this REU site could be described better. For instance, the housing has not yet been determined. Also, a better picture of what the students will be doing with their time over the weeks of the program is needed. _x000D_
 _x000D_
_x000D_
Constructive suggestions for improvement:_x000D_
_x000D_
This project focuses on the support of 10 undergraduates in the emerging research area of Smart &amp; Connected Communities (S&amp;CC), through seven well defined projects in three identified areas. The mentor team demonstrated a strong background in the proposed research projects. Well defined evaluation and novel idea of mentor training. It would be better to have more detail description of each research project, which is a critical consideration for an REU site. No dissemination plan is discussed in this proposal. _x000D_
_x000D_
_x000D_
Summary/Rationale for panel's recommendation, including key strengths and critical weaknesses:_x000D_
_x000D_
The principal reason for the ranking of this proposal is that the goals of the proposal were considered narrow and easily satisfied, and the goals were not aligned with the evaluation plan. With above addressed strength and weakness of the proposal, the panel would like to recommend this proposal as Low Competitive._x000D_
_x000D_
_x000D_
_x000D_
The panel placed this proposal in the following category:_x000D_
_x000D_
____	Highly Competitive (HC)_x000D_
_x000D_
____	Competitive (C)  _x000D_
_x000D_
_X__	Low Competitive (LC)   _x000D_
_x000D_
____	Not Competitive (NC)_x000D_
_x000D_
_x000D_
The summary was read by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</si>
  <si>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REU program is a renewal, and is focused on research in smart and connected communities. 10 students will participate for 10 summer weeks to work on research projects with faculty members in computer science.  The students will be selected after their second or third year, and will be put into teams of two students to do the projects. A dedicated evaluation expert will implement the evaluation plan. Recruitment will leverage several existing programs at the institution, and will be managed by the co-PI. _x000D_
_x000D_
Intellectual Merit: _x000D_
_x000D_
Strengths: _x000D_
+	A strong set of faculty are involved in the program, with experience advising REUs. _x000D_
+	Student selection, _x000D_
+	The recruitment plan is strong, and leverages many existing programs that have been successful in the past REU. _x000D_
+	The theme is quite timely, and would be exciting for the REUs. _x000D_
+	The projects are well described, and suitable for REUs. _x000D_
_x000D_
Weaknesses: _x000D_
-	All of the faculty listed here are in CS, and yet the topic is smart and connected communities, a very interdisciplinary topic. _x000D_
_x000D_
_x000D_
_x000D_
_x000D_
In the context of the five review elements, please _x000D_
evaluate the strengths and weaknesses of the proposal with respect to broader impacts._x000D_
_x000D_
Strengths: _x000D_
+	There is a strong likelihood that this type of project would benefit society. _x000D_
+	The team has demonstrated the ability to recruit a diverse set of students. _x000D_
+	The institution is a Hispanic Serving Institution. _x000D_
+	Clear goals are set for the training of the students, and evaluated. _x000D_
_x000D_
Weaknesses: _x000D_
-	With the projects and data discussed here, the training program for the students should include training in human subject research. Data management training should also be included, as these are data that can be quite useful for other researchers. _x000D_
_x000D_
Data Management Plan: The DMP has the appropriate and essential information. On a related note, the REUs should receive training in data management and preservation. Also, some projects will require training in human subject research, but this is not mentioned in the proposal. _x000D_
_x000D_
_x000D_
Please evaluate the strengths and _x000D_
weaknesses of the proposal with respect to any additional solicitation-specific review criteria, if _x000D_
applicable_x000D_
_x000D_
The evaluation program has a dedicated independent evaluator, and clear goals to evaluate the program. _x000D_
The recruitment plan is strong, and leverages existing programs. _x000D_
_x000D_
_x000D_
Summary Statement_x000D_
_x000D_
_x000D_
Constructive suggestions for improvement: _x000D_
The goal of this REU program is smart and connected communities. One concern is that there are no faculty from the domain areas relevant to the topics here. Without exposure to the real domain challenges associated with smart and connected communities, the REUs will be limited in their knowledge of these systems. _x000D_
REU activities should include some training in data management, human subjects research, and research integrity._x000D_
_x000D_
General overall Summary and Rationale for Rating: _x000D_
This proposal has some quite positive aspects, including a strong recruiting plan, a novel assessment plan, and an exciting theme. However, little detail is provided on the research projects that the REUs will take on, and what their role will be. _x000D_
_x000D_
_x000D_
</t>
  </si>
  <si>
    <t xml:space="preserve">In the context of the five review elements, please _x000D_
evaluate the strengths and weaknesses of the proposal with respect to intellectual merit._x000D_
_x000D_
This is a renewal proposal to NSF CNS research project, which focuses on the involving undergraduates in research in the emerging area of Smart and Connected Communities (S&amp;CC). In this proposal, the PI team plans for three aspects of S&amp;CC in transportation, infrastructure, and health. _x000D_
The PI team includes seven faculties with relevant strong research background, 1 evaluator, this team members work together on a timely schedule to supervise and evaluate seven well defined research projects with undergraduate student activities. _x000D_
Recruitment process and targeting area and institutions are well defined and planned. The selection process states the time and process as well as percentage of minority student recruitment. _x000D_
_x000D_
The concerns are (1) except the PI and CO-PI, all other faculty mentors are not paid, therefore, the faculty mentors and contribution to the project time line is unknown.  (2) student mentor interaction are not illustrated. (3) there is no social activities._x000D_
_x000D_
_x000D_
In the context of the five review elements, please _x000D_
evaluate the strengths and weaknesses of the proposal with respect to broader impacts._x000D_
_x000D_
Highlighted at least 25% minority participants (women, HIS, etc) to this project. The project plans to target participants of high school students which is a smart move and will absolutely increase the student enrollment rate to college. However, integrating research to high school students will be more challenge and different from to college students. The dissemination of the REU research results needs a little bit more details info. Clearly described the process of encouraging undergraduate participants to the conferences and workshops. _x000D_
Need a better timeline regarding to the completion of the project. _x000D_
_x000D_
_x000D_
Please evaluate the strengths and _x000D_
weaknesses of the proposal with respect to any additional solicitation-specific review criteria, if _x000D_
applicable_x000D_
_x000D_
_x000D_
_x000D_
Summary Statement_x000D_
_x000D_
This project focuses on the engagement of undergraduates into research in the emerging area of Smart &amp; Connected Communities (S&amp;CC), through seven well defined projects in three identified areas. This is a renewal of existing REU site on the same research subjects. According to this project description, during the project, students will design and develop efficient, secure and scalable mechanisms that target various aspects in S&amp;CC, as well as attendance of conferences and poster presentations. This project will carried out in an intellectual environment that develops their professional careers through enhancing their communication and social skills. Students will be recruited from a wide range of universities, ensuring the participation of women, veterans, and minorities. During recruitment, at least 25% of participants will be minority. _x000D_
The minor issues are:  (1) it is hard to guarantee the faculty mentors are able to dedicated to the project (2)  it'll be better to have more info about how faculty mentors work with student participants on each research project.  _x000D_
_x000D_
_x000D_
</t>
  </si>
  <si>
    <t xml:space="preserve">In the context of the five review elements, please _x000D_
evaluate the strengths and weaknesses of the proposal with respect to intellectual merit._x000D_
_x000D_
Description of Project:_x000D_
_x000D_
This proposal describes a plan to host an REU Site program at Texas State University during the summers of 2018, 2019, and 2020. Research training opportunities are planned in the broad area of smart and connected communities, emphasizing infrastructure, transportation, and health. The proposal represents a renewal (of sorts) of a program hosted during the summers of 2012, 2013, and 2014._x000D_
_x000D_
Intellectual Merit: _x000D_
_x000D_
Strengths:_x000D_
_x000D_
+ The space of smart and connected communities is intellectually rich and offers hands-on research training opportunities that are likely to appeal to a broad pool of undergraduate researchers. _x000D_
_x000D_
+ Several (though not all) of the project descriptions present specific, meaningful opportunities for students. For these projects, the specific skills students are likely to acquire are clear. _x000D_
_x000D_
+ The recruitment and selection strategies are strong. The proposal describes a strong foundation of existing relationships (e.g., with Sul Ross State, Allegheny College), mailing lists (e.g., all CS departments), and organizations (e.g., CAHSI, NCWIT) that will be leveraged to reach a broad audience. The recruitment targets are good -- particularly the desire to accept at least 50% of participants from non-Ph.D.-granting institutions._x000D_
_x000D_
+ The site program is led by a very capable team. The team has a strong record of research accomplishment, demonstrated by publications in well-regarded venues and some funded research activity. _x000D_
_x000D_
+ The facilities at Texas State University appear sufficiently robust for the proposed activities. The department chair's commitments to supporting the program, if funded, are noted as a point of strength. _x000D_
_x000D_
+ While the team's prior REU Site appears to have attracted a relatively small pool of applicants (140 over 3 years), the evaluation results are good. The diversity of participation was on par with national averages, and the vast majority of participants (73%) were recruited from non-Ph.D. granting institutions. More than half of prior participants co-authored research publications, and approximately one-third (of those eligible at the point of submission) went on to pursue graduate degrees. _x000D_
_x000D_
Weaknesses:_x000D_
_x000D_
- The objectives of the REU site are detailed in Section 1.3. It is surprising that this section does not also summarize the specific attitudinal objectives. More important, though, the objectives do not reflect traditional learning objectives; i.e., they're easily satisfied (e.g., providing students with..., engaging students in...). These objectives could be refined to capture the specific --and measurable-- objectives of the site program. As the objectives are written, the evaluation plan is not designed to specifically assess whether these objectives were met. _x000D_
_x000D_
- Many REU sites include skills training events, including the proposed site. However, the proposed site adopts a "bootcamp-style" approach, packing all of the training events into the first week of the program. This appears to conflict with student feedback from the prior site offering and may not be the best approach. Moreover, it is not obvious that all of the offerings are applicable to all of the projects. Are these required of all participants? _x000D_
_x000D_
- The proposal notes early on that every project will require students to engage in analysis, simulation, and implementation. It is not clear, at least for some activities, how all three of these activities will be introduced (e.g., in smart parking, augmented reality). _x000D_
_x000D_
- Given that the proposing team has previously conducted a site program, it is surprising that the housing arrangements have not yet been determined. _x000D_
_x000D_
- The proposal would benefit by including a schedule that summarizes, on a roughly hourly basis, the types of activities to be conducted each week. This is challenging to do with limited space, but would be helpful in assessing how realistic it is to include all of the proposed activities, and would give a more coherent picture of the plan. For instance, the proposal notes that LaTeX and technical writing workshops will be offered 10 days before the end of the program. Is this realistic? Further, can students acquire sufficient training just days before their final reports are written?  _x000D_
_x000D_
- The evaluation plan is reasonable in terms of timing and content, but could be improved with further specificity. It is helpful to identify representative questions (as the proposal does), but are there existing instruments that might be leveraged? The plan might benefit, for instance, by leveraging UNCC's REU Toolkit._x000D_
_x000D_
In the context of the five review elements, please _x000D_
evaluate the strengths and weaknesses of the proposal with respect to broader impacts._x000D_
_x000D_
Broader Impacts: _x000D_
_x000D_
Strengths: _x000D_
_x000D_
+ The proposed site program identifies representative problems which, if solved, could have important impacts._x000D_
_x000D_
+ The recruitment plan is focused on recruiting underrepresented students and students from colleges without significant research opportunities. The plans are cogent, with targets (schools, mailing lists, partners) identified. _x000D_
_x000D_
Weaknesses:_x000D_
_x000D_
None noted._x000D_
_x000D_
Data Management Plan:_x000D_
_x000D_
The data management plan is adequate. _x000D_
_x000D_
_x000D_
Please evaluate the strengths and _x000D_
weaknesses of the proposal with respect to any additional solicitation-specific review criteria, if _x000D_
applicable_x000D_
_x000D_
Research: _x000D_
_x000D_
While some of the identified research projects offer clear opportunities for meaningful undergraduate research, others are too loosely defined. For instance, in the smart parking thrust, it's not clear what it means for students to "study various parking sensors" or to "explore ideas for addressing problems in smart parking systems." If the projects are too open-ended, students are likely to struggle to gain traction. _x000D_
_x000D_
Student Management:_x000D_
_x000D_
The proposal presents a solid plan for student recruitment and selection. The department chair's letter provides evidence of institutional support in managing site logistics. It is surprising, though, given the maturity of the site, that housing details appear uncertain._x000D_
_x000D_
Evaluation and Dissemination:_x000D_
_x000D_
The evaluation plan is reasonable, but is not clearly linked to the site's specified objectives. Equally important, the effort could benefit by leveraging existing instruments and processes (e.g., UNCC's toolkit)._x000D_
_x000D_
_x000D_
Summary Statement_x000D_
_x000D_
This proposal received a rating of Good/Fair. The general area of focus, team qualifications, and institutional support are strong. However, the site's specific objectives are unclear, the evaluation plan is not sufficiently tailored, and questions remain concerning the integration of research activities, training events, social events, and other enrichment activities._x000D_
_x000D_
_x000D_
</t>
  </si>
  <si>
    <t xml:space="preserve">In the context of the five review elements, please _x000D_
evaluate the strengths and weaknesses of the proposal with respect to intellectual merit._x000D_
_x000D_
The renewal is focused on the recruitment of underrepresented and female candidates to focus on the unique domain of smart/connected cities, which a particularly focus on infrastructure, smart health, and transportation. It seeks to leverage outcomes form past funded efforts, including a robust set of student activities, along with a solid assessment and evaluation plan to increase the number of underrepresented individuals pursuing this subdomain of CPS._x000D_
_x000D_
_x000D_
Intellectual Merit: (review of intellectual merit)_x000D_
+ The somewhat unique domain of smart cities is well justified. Importantly, the proposers relate the themes of smart cities to potential areas of interest for UG, including easily grasped (abstract) concepts, easily conceptualized impact of the research, and an emerging multidisciplinary research domain._x000D_
_x000D_
_x000D_
In the context of the five review elements, please _x000D_
evaluate the strengths and weaknesses of the proposal with respect to broader impacts._x000D_
_x000D_
+ _x000D_
Some of the novelty of the broader impacts are related to the research area. Because it is a somewhat newer domain of CPS, it stands to reason that a small number of underrepresented/female individuals may have prior exposure. If successful, this approach may broaden participation by broadening perspectives on how CPS can be personally related and personally meaningful in target populations._x000D_
_x000D_
Data Management Plan: _x000D_
Data management plan is adequate._x000D_
_x000D_
_x000D_
Please evaluate the strengths and _x000D_
weaknesses of the proposal with respect to any additional solicitation-specific review criteria, if _x000D_
applicable_x000D_
_x000D_
+_x000D_
The four student learning objectives are clearly articulated (along with the relevance to broadening exposure to CPS). _x000D_
_x000D_
The evaluation and assessment plans are particularly strong, using an external consultant with experience in both assessment and evaluation. The evaluator will use a validated instrument (URSSA) for undergrad researcher outcomes. Details regarding reporting of assessment data (e.g., statistical procedures) are included. Finally, an evidence basis for the assessment approaches is included._x000D_
_x000D_
Recruitment plans are strong, with a list of target universities and their relevant diverse (ethnicity/gender/veteran) populations._x000D_
_x000D_
A unique component is mentor training (as opposed to simply assuming PI/faculty understand the process of mentoring), along with REU project management training._x000D_
_x000D_
There is clear tailoring of subprojects to REU student capability._x000D_
_x000D_
There is a robust set of student activities, including poster/awards, social skills through extracurricular (social) activities, professional development (meetings and presentations), tutorials, tours, research talks, and orientation sessions._x000D_
_x000D_
Past student outcomes are strong, with evidence of PhD program enrollment, completion of MS degrees, and industrial experience with various companies (engineering, health, finance). Multiple students (17) have been involved in publishing, with over 30 students having attended the program._x000D_
_x000D_
Housing/food plans are explicitly described._x000D_
_x000D_
-_x000D_
There may be too much reliance on the graduate student for organizing social and administrative activities._x000D_
_x000D_
It is unclear if the mentor survey or exit interviews are validated tols._x000D_
_x000D_
WRT the environment, though institutional support is mentioned, no details are provided._x000D_
_x000D_
_x000D_
_x000D_
Summary Statement_x000D_
_x000D_
This is a very good proposal focused on the fairly unique area of smart cities. It uses this premise to frame a broad range of potential topics (all CISE aligned); the detail provided relative to past student outcomes, program activities, and assessment/evaluation suggest high likelihood of success._x000D_
_x000D_
</t>
  </si>
  <si>
    <t>1757908</t>
  </si>
  <si>
    <t>Elbaum</t>
  </si>
  <si>
    <t xml:space="preserve"> Panel Summary       
 Short description of project:_x000D_
This REU proposal focuses on research to develop and use unmanned systems and vehicles. The team is strong, and the research is interdisciplinary and creative. The program works in collaboration with the University's NIMBUS lab._x000D_
_x000D_
Intellectual Merit:_x000D_
_x000D_
Strengths:_x000D_
_x000D_
This is a well written proposal with clear objectives for the program in terms of developing students into fully engaged and confident researchers. An appropriate set of student activities is planned, with suitable social activities and logistical support to provide a good experience for the students. Experienced faculty are advising the students, and they would be integrated into teams to perform the research.  _x000D_
_x000D_
_x000D_
Weaknesses:_x000D_
_x000D_
There is a disconnect between the quality of the scientific section and the professional development and evaluation plan. More focus on the link between aims and evaluation would strengthen the proposal. Also, more details on the student mentoring would strengthen the proposal.  _x000D_
_x000D_
Broader Impacts:_x000D_
_x000D_
Strengths:_x000D_
_x000D_
The research topic is timely and interdisciplinary. Advances in unmanned systems, robotics and automated vehicles is an area of national interest for various reasons, and the nation would benefit from the addition of students that are trained in this area and potentially will wish to pursue advanced degrees in this topic. A significant portion of the mentors are female, and there is a high likelihood that female participants may be paired with female mentors. _x000D_
_x000D_
Weaknesses:_x000D_
_x000D_
The recruitment plan is strong and targets many groups. However there are some inconsistencies in the intended audience and the methods to be used. At conferences, the target audience might be the faculty that are attending and can spread the word. Also, some of the later portions of the proposal, evaluation, social programs, etc seem disconnected from the earlier portions, which could be improved. _x000D_
_x000D_
_x000D_
Data management plan:_x000D_
The plan is complete and appropriate._x000D_
_x000D_
Criteria Specific to REU Sites_x000D_
	Research: This is an appropriate topic with strong potential for student engagement, good access to research facilities, and _x000D_
_x000D_
	Logistics and Student Management: There is a strong set of activities planned for the students to form a cohort, including social activities that are appropriate. The evaluation program is detailed, with an external expert, and is aligned with the goals set forth at the beginning of the proposal._x000D_
_x000D_
_x000D_
Constructive suggestions for improvement:_x000D_
One suggestion is the the recruitment plan seeks to target students at national and international conferences. However, there will be few prospective REUs at these, and it might be more appropriate to use the conferences as an opportunity to reach the faculty at other institutions that will share news about the program. _x000D_
The other main suggestion is to improve and integrate the later sections of the proposal, the evaluation, recruitment, and program elements, into the rest of the proposal better. These plans seem a bit disconnected from the rest of the proposal plan. The evaluation section in particular has two different evaluators, which may be a duplication. It would be helpful to explain why there are two evaluations conducted, and describe what their separate roles are more clearly. _x000D_
_x000D_
Summary/Rationale for panel's recommendation, including key strengths and critical weaknesses:_x000D_
This is a strong proposal with a timely theme and creative, engaging projects. Some of the details of the proposal in the recruiting and evaluation plans seem a bit disconnected to the rest of the proposal. _x000D_
_x000D_
The panel placed this proposal in the following category:_x000D_
_x000D_
____	Highly Competitive (HC)_x000D_
_x000D_
__X__	Competitive (C)_x000D_
_x000D_
____	Low Competitive (LC)_x000D_
_x000D_
____	Not Competitive (NC)_x000D_
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</si>
  <si>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Strengths: Students get experience in experiment design for fielded unmanned systems, hands-on skills working with such systems, and opportunity to strengthen hands-on skills working with faculty, mentors, other students who may have more experience. _x000D_
_x000D_
Weaknesses/concerns: Recruitment has to be done carefully to ensure interdisciplinary skills among students. Naturally, teams have to be formed for the four research themes, addressing diversity of skills._x000D_
_x000D_
In the context of the five review elements, please _x000D_
evaluate the strengths and weaknesses of the proposal with respect to broader impacts._x000D_
_x000D_
Strengths: Exposing students to the challenges of working with fielded systems is essential in developing interest in modern autonomous unmanned systems. In that regard, this is a solid proposal. _x000D_
concerns: It may be easy to get carried away with hardware, without sufficient interactions with researchers and stake-holders from the application side (earth and atmospheric sciences, social sciences, etc.)._x000D_
_x000D_
Please evaluate the strengths and _x000D_
weaknesses of the proposal with respect to any additional solicitation-specific review criteria, if _x000D_
applicable_x000D_
_x000D_
concerns: Theme 2 seems to have a human-subject/IRB component, and may have to be addressed in advance._x000D_
_x000D_
Summary Statement_x000D_
_x000D_
The faculty have the skills to guide students in developing and working with fielded unmanned systems. This will be invaluable in developing problem solving skills necessary for successful and sustained use of such systems. _x000D_
The four themes adequately cover a spectrum of autonomy and sensing requirements. The challenge will be in ensuring there is enough diversity in skills, both theoretical and practical. Only then will the students will come out learning new ideas, and not merely tinkering with hardware._x000D_
_x000D_
</t>
  </si>
  <si>
    <t xml:space="preserve">In the context of the five review elements, please _x000D_
evaluate the strengths and weaknesses of the proposal with respect to intellectual merit._x000D_
_x000D_
This REU program is focused on research in robotics and UAVs. 10 students will participate for 10 weeks to work with one of four faculty members in computer science or computer and electrical engineering.  A variety of projects are proposed that would be very interesting to students in CS, CE, ME and EE. The recruitment plan is quite detailed, with several avenues being used for reaching out to students. One group that will be targeted is students from regional liberal arts institutions that do not have research, in the Midwest. Two sets of plans are in place to evaluate the program, one by an external evaluator and one by the leadership team. _x000D_
_x000D_
Intellectual Merit: _x000D_
_x000D_
Strengths: _x000D_
+	The topic is quite timely and the related facilities available on campus will be quite supportive. _x000D_
+	An appropriate set of program objectives are defined. _x000D_
+	There is strong support from elements of the campus to recruit students, select REUs and evaluate the program. _x000D_
+	The projects for REUs are quite interesting, and should be engaging for applicants. _x000D_
_x000D_
Weaknesses: _x000D_
-	Although the components all seem to be described, the overall plan is not well integrated. _x000D_
-	How will students in engineering be recruited from undergraduate liberal arts schools? _x000D_
-	The evaluation plan does not seem to be targeted toward the stated program objectives._x000D_
_x000D_
_x000D_
_x000D_
_x000D_
_x000D_
_x000D_
_x000D_
_x000D_
In the context of the five review elements, please _x000D_
evaluate the strengths and weaknesses of the proposal with respect to broader impacts._x000D_
_x000D_
Strengths: _x000D_
+	The overall topic is quite timely and has potential for economic development and societal impact. _x000D_
+	Social activities are planned to engage the REUs. _x000D_
+	Recruitment plans will target a large number of students, and diversity will be emphasized. _x000D_
_x000D_
Weaknesses: _x000D_
-	The evaluation plan seems somewhat disconnected from the specific objectives stated. _x000D_
-	Several of the programs for professional development seem superfluous and disconnected. _x000D_
_x000D_
Data Management Plan: The DMP has the essential information. On a related note, the REUs should receive training in IRB, as well as data management and preservation._x000D_
_x000D_
_x000D_
Please evaluate the strengths and _x000D_
weaknesses of the proposal with respect to any additional solicitation-specific review criteria, if _x000D_
applicable_x000D_
_x000D_
_x000D_
The REU recruitment plan is very thorough. _x000D_
Formative and summative assessments are planned to evaluate and improve the program. _x000D_
_x000D_
_x000D_
Summary Statement_x000D_
_x000D_
Constructive suggestions for improvement: _x000D_
The descriptions provided for the program is not well integrated. The objectives do not seem to drive the activities planned, but rather the proposal seems to provide a disconnected list of things that will be accomplished. On another topic, it seems that the REUs should receive training in human subject research, data management and preservation._x000D_
_x000D_
General overall Summary and Rationale for Rating: _x000D_
_x000D_
The components of the REU program described in this proposal is solid. However, the components seems to be somewhat disconnected, and more of a list of things that will be done than a plan for engaging REUs in an exciting research program that can change their lives and career paths. _x000D_
_x000D_
_x000D_
</t>
  </si>
  <si>
    <t xml:space="preserve">In the context of the five review elements, please _x000D_
evaluate the strengths and weaknesses of the proposal with respect to intellectual merit._x000D_
_x000D_
The strength of this REU site proposal will be in the following aspects: _x000D_
+ Clearly and consistently define the research projects with regarding to three research groups in the intellectual merit. _x000D_
+ A well planned and illustrated time table with the campus wide activities is presented. _x000D_
+ The faculty mentors demonstrated the strong mentorship and consistent research capabilities in the project domain. _x000D_
+ Student recruitment is unique of this proposal. Recruitment through graduate studies will give a stronger guarantee of receiving participants. _x000D_
+ Target participant in multiple discipline û computer science, electrical engineering, computer engineering, mechanical engineering. _x000D_
+ Evaluation is done by UNL official evaluation dept SBSRC, the official org at the university, which is supposed to be a professional and systematic evaluation, with the consistent documentation. _x000D_
_x000D_
Weakness can be in the following: _x000D_
- Social activities needs more details. _x000D_
- The mentor and student relation needs to be refined.  _x000D_
- Needs commitment letter from Graduate studies for the student recruitment for this REU site. _x000D_
_x000D_
_x000D_
In the context of the five review elements, please _x000D_
evaluate the strengths and weaknesses of the proposal with respect to broader impacts._x000D_
_x000D_
The REU site proposal has clearly described the broad impact of this project in four aspects û career path, graduate school preparation, training for research, and social activities. Each activities are well defined and organized. _x000D_
Some weakness can be: _x000D_
-Several typos in the reference is really make the proposal looks dark. _x000D_
-Unique research experience û it'll be better to further address how this is unique ? _x000D_
-One of the objectives is Confidence, how to measure the "Confidence" in the evaluation ?_x000D_
_x000D_
_x000D_
Please evaluate the strengths and _x000D_
weaknesses of the proposal with respect to any additional solicitation-specific review criteria, if _x000D_
applicable_x000D_
_x000D_
_x000D_
_x000D_
Summary Statement_x000D_
_x000D_
This REU site at UNL aims at providing participants with unique research experiences with context of UAS and a broader view of research and development activities. The REU site will be conducted by faculties from multiple disciplines with strong research background in the problem domain of UAS. The research projects are well defined with clearly presented feasible student activities. The mentor experiences are clearly defined, mentee diversity is defined around 20-25% minority students. This REU site also provides the activities for mentor training that designed for graduate student mentors. Sustained mentorship is described. _x000D_
Student recruitment with well identified recruitment venues are well defined. _x000D_
The weakness falls in recruitment. Recruit students from conference such ICRA, IROS, RSS, etc is not realistic for me,  how many undergraduate students will participant in these conferences? How many faculties will bring this info back to their institution to help the REU site team to recruit? On top, the travel budget will in a considerable level high. _x000D_
_x000D_
_x000D_
</t>
  </si>
  <si>
    <t xml:space="preserve">In the context of the five review elements, please _x000D_
evaluate the strengths and weaknesses of the proposal with respect to intellectual merit._x000D_
_x000D_
What is the potential for the proposed activity to advance knowledge and understanding within its own field or across different fields?_x000D_
_x000D_
+ The team and project has a clear theme._x000D_
+ The team has identified aspects related to existing projects that REU students can contribute to, which in many cases, are likely to have potential for publication.  Such publication will help advance the knowledge in each of these fields._x000D_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Each project has some level of societal impacts, though some are clearer than others._x000D_
- The PIs of each project should ensure that, even if they have not conveyed the 'why' of the projects well here, that they will convey this to the REU students.  Each has potential, so clarify exactly what/why that is._x000D_
_x000D_
Please evaluate the strengths and _x000D_
weaknesses of the proposal with respect to any additional solicitation-specific review criteria, if _x000D_
applicable_x000D_
_x000D_
To what extent do the proposed activities suggest and explore creative, original, or potentially transformative concepts?_x000D_
_x000D_
+ There are four key projects proposed here.  Each has specific sensor integration aspects, which appear both creative and appropriate for undergraduate level research experiences._x000D_
- While creative and to some degree original, the projects do not each stress how such projects will be transformative to the science._x000D_
_x000D_
Is the plan for carrying out the proposed activities well-reasoned, well-organized, and based on a sound rationale? Does the plan incorporate a mechanism to assess success?_x000D_
_x000D_
+ The central theme of unmanned robotics is clear._x000D_
+ The shared steps between the four tracks is very well reasoned and notably well organized.  It appears clear that the PI has worked with the other faculty on this grant to develop a cohesive vision._x000D_
+ Yes, this proposal does have a mechanism for evaluation, though not a standard._x000D_
- The proposal gives the impression that there are two surveys that will be used.  The first by the PI, and the second by the assessment team.  It is advise to consider how these can be combined.  It is also advised to consider how the team may use other existing survey standards for REUs._x000D_
_x000D_
How well qualified is the individual, team, or institution to conduct the proposed activities?_x000D_
_x000D_
+ The PI appears qualified to run the REU._x000D_
+ The team appears qualified to run the research._x000D_
- The social aspects of team building seem somewhat overlooked.  If not within the skill set of the PI/team, then it is suggested to involve someone else with those skills._x000D_
_x000D_
Are there adequate resources available to the PI (either at the home institution or through collaborations) to carry out the proposed activities? _x000D_
_x000D_
+ There are many collaborators available for these projects._x000D_
- Maybe too many collaborators!  Focus on the few that WILL be involved in the clearly outlined projects.  The ability to collaborate outside of these is good, but does not present clear benefit to the REU students._x000D_
_x000D_
Summary Statement_x000D_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Projects outlined have a good intellectual focus, and importantly, focus on research aspects appropriate to undergraduate level education._x000D_
+ The research faculty have the scientific background needed for these projects.  Many of them have demonstrated the ability to manage such projects._x000D_
_x000D_
Student Management:_x000D_
- Plan for student management and care_x000D_
- Recruitment plan, diversity of recruitment pool_x000D_
- Outreach activities during the summer experience_x000D_
_x000D_
+ The institution has a very strong means of high visibility recruitment with the mentioned email lists, with a 15% recruitment of underrepresented minority groups._x000D_
+ the office of undergraduate research will coordinate travel, housing, etc._x000D_
- The team building activities come across as a second thought at best.  If the REU students are working in groups, how will they be encouraged (besides lunch) to socialize together?_x000D_
- more care should be paid to how the faculty will manage the students care._x000D_
_x000D_
Evaluation and Dissemination:_x000D_
- Plan to evaluate results of project_x000D_
- Dissemination of results of research as well as of the REU site project overall_x000D_
_x000D_
+ The team has experience mentoring undergraduate students on publications._x000D_
- The proposal does not outline what support is available to the students to complete publications from their summer research, aside from 'will follow up via email.'_x000D_
_x000D_
</t>
  </si>
  <si>
    <t>1. New REU Site._x000D_
2. REU Site:  UNDERGRADUATE RESEARCH OPPORTUNITIES IN UNMANNED SYSTEMS FOUNDATIONS AND APPLICATIONS_x000D_
3. PI: Sebastian Elbaum_x000D_
4. Submitting Org: Board of Regents, University of Nebraska-Lincoln_x000D_
5. No other organizations involved._x000D_
6. Location(s) at which the proposed undergraduate research will occur: Lincoln, NE._x000D_
7. Main Fields, Sub-Fields: Computer Science and Engineering; Robotics, Software and System Analysis, Human Robot Interaction, Controls_x000D_
8. No. of undergraduate participants/year: Ten_x000D_
9. Summer REU Site _x000D_
10. Weeks per year that the students will participate: Ten_x000D_
11. International or RET component?: No_x000D_
12. Site Contact for Student Applicants: General: Casey Coleman, NIMBUS: Sebastian Elbaum, elbaum@cse.unl.edu 402-472-6748_x000D_
13. Web Address for Info: www.unl.edu/summerprogram/_x000D_
The proposed REU site will provide undergraduates with a comprehensive research experience in the context of unmanned systems, a rapidly growing field of scientific and technological research. We will provide systematic and broad instruction in research methodology to help students become independent researchers, focused research activity through ongoing research projects on a variety of unmanned systems to convey the depth and complexity of the problems we are tackling, and professional development activities to better prepare participants for STEM careers. Targeted student participants include computer science, computer engineering, mechanical engineering, electrical engineering, and other related majors. Particular focus will be given to students from historically underrepresented groups and from institutions in the Midwest that lack research opportunities.REU students will participate in carefully prepared research projects on unmanned systems with topics including attitude control of nanosatellites, behavior studies of robots in complex environments around humans, characterizing and developing vehicles for atmospheric profiling, and asset management during wildfires with unmanned aerial vehicles.  Research activities across the projects will be structured to provide a systematic research experience for the cohort, while enabling flexibility for each participant to focus on a particular area. The projects will be hosted at the University of Nebraska-Lincoln's Nebraska Intelligent MoBile Unmanned Systems Lab (UNL NIMBUS), which has graduated over 30 undergraduate, master's, and doctoral students in the last five years, and is a leader in aerial unmanned systems and their application to the environment.  The four faculty members associated with NIMBUS will be mentoring the students, and together with UNL professional development and social activities, will offer REU site participants the foundation for a lasting career as researchers. Participant development will be quantified by tracking REU participants' publications, conference presentations, and admission into prestigious graduate programs.This REU site will have broad positive societal impacts. The site will improve participants' understanding of the role of research and development in STEM careers, and will likely enhance participant interest in pursuing careers in research and development with unmanned systems and computer science and engineering. The site will also help to train the next generation of developers and researchers in disciplines associated with the rapidly growing research areas in unmanned systems where there is a great national need of capable personnel. The site will support REU participants in disseminating their research experiences and results, and will share the effectiveness of the project with other institutions and stakeholders.</t>
  </si>
  <si>
    <t>1757919</t>
  </si>
  <si>
    <t>Odumosu</t>
  </si>
  <si>
    <t xml:space="preserve"> Panel Summary       
 Short description of project:_x000D_
This proposal for a new REU program is on research on cyber-physical systems, with a focus on the broad areas of robotics, artificial intelligence (AI), autonomous vehicles, and the Internet of Things (IoT). Ten students will participate for eight weeks, working with faculty members in computer science, computer and electrical engineering or systems and information engineering. Each student will work on projects in partnership with a faculty mentor. This proposal targets minority, women, and students with a hearing impairment, and provided ample details on what other schools will be involved in recruitment. Participants will be rising sophomores, with at least one year of engineering education behind them, and at least six of the ten students will be from underrepresented groups. The existing partnership with the Louis Stokes Alliance provides some evidence of this capability to reach out to underrepresented students. Faculty will attend National Society for Black Engineers (NSBE) meetings and Society of Women Engineers (SWE) meetings to engage students and recruit for the program. The REU includes robust activities social, professional development, research, and networking opportunities and uses evidence bases for the scientific theme, student mentoring model, and project assessment._x000D_
_x000D_
Intellectual Merit:_x000D_
_x000D_
Strengths:_x000D_
+ This is an interdisciplinary project, with strong interdisciplinary aspects._x000D_
_x000D_
Weaknesses:_x000D_
- The proposal should focus on the design of student activities in the projects in REU site goals. What will they do and what will they learn? The team is encouraged to better define the student activities within the projects, and to better define the integration of the REU students with mentors and graduate students._x000D_
- Provided references are not current or complete; the proposal would benefit from better demonstrating an overview of the current state of the field._x000D_
- This project is to involve seven faculty members, whose labs are described. How are the faculty to be involved with the projects and interact with students? The proposal would benefit from a much more thorough discussion of how these experts will be involved and interact, rather than the labs they lead. _x000D_
_x000D_
_x000D_
Broader Impacts:_x000D_
_x000D_
Strengths:_x000D_
+ The nature of the focus was particularly nice; the proposal provides good details on how this focus fits the REU needs._x000D_
+ The existing collaborations and expected new contributions, particularly with HBCUs, is strong._x000D_
+ The team has prior experience mentoring undergraduates, with documented success._x000D_
+ The team has a clear student recruitment plan, which covers three categories._x000D_
+ The team includes faculty mentors who have a proven history of building strong relationships between the students and the faculty members._x000D_
+ This project targets sophomore students, which is strong!_x000D_
_x000D_
Weaknesses:_x000D_
- To successfully integrate the undergraduates into the proposed research activities, it is necessary to address the research projects clearly._x000D_
- Likewise, the proposal mentioned established research labs (which is a +), but how will undergraduates join into these existing projects?_x000D_
- Six of ten of the students will be minorities, which is commendable, but how will the recruitment activities be planned in order to support this metric?_x000D_
- The focus on this proposal is on students with just one year of engineering schooling, which is concerning. While some sophomores can be really good, one should expect some variability in the preparedness of these students. Juniors are much more experienced and might be a better fit.  Further, and more specifically, the projects must pair to the maturity of students.  The proposal does not provide specifics as to how the team will address the fact that they are targeting less mature students._x000D_
- The proposal states that the REUs will be working on projects intended to question "how future societies should and will be organized" and this requires some exposure to the societal issues associated with this topic. There is no mention of how the REUs will gain such exposure._x000D_
_x000D_
_x000D_
Data management plan:_x000D_
+ This was a satisfactory data management plan, though ..._x000D_
- What about confidentiality (FERPA) coverage?_x000D_
_x000D_
_x000D_
Criteria Specific to REU Sites_x000D_
	Research:_x000D_
_x000D_
	Logistics and Student Management:_x000D_
	+ The efforts to engage the students in advance of the on-site REU, using social media, is commendable. Please also think through how to continue to do so after the program._x000D_
	+ The proposal outlines some professional training for the mentors, to ensure the faculty are well prepared to work with the students.  This is commendable._x000D_
	+ There is an external evaluator, and the proposal provides citations about the evaluation tool._x000D_
	- The limited planning time, ten days as understood from the proposal, seems far too short to successfully plan these activities for the students._x000D_
	- While it was noted that the proposal outlined some student activities, it was also noted that the proposal says "can participate in any" student activities.  Does this mean that such activities are optional?  The reviewers felt that this was evidence that aspects were not well thought out._x000D_
	- The evaluation plan appears incomplete.  For example, more information about the evaluator should be provided._x000D_
	- Evaluation program: as described, all evaluation will happen at the end of the program, but this should be done at the middle of the program too._x000D_
	- The description of the recruitment materials was not strong (brochures and websites)._x000D_
_x000D_
_x000D_
Constructive suggestions for improvement:_x000D_
	The panel would like to encourage the PI to discuss this with the NSF prior to submission, and really justify why the role of co-PI is appropriate for the director of Education and Outreach._x000D_
	The proposal makes use of a large amount of space detailing the team's past successes.  However, it would be useful to use some of this space to discuss the university infrastructure for projects like this._x000D_
	This team has an existing Wireless Health REU.  How can that be leveraged within this proposal?_x000D_
_x000D_
Summary/Rationale for panel's recommendation, including key strengths and critical weaknesses:_x000D_
The primary reason for the panel's rating is that many aspects related to the students seem to have been overlooked.  For example, how will recruitment ensure that the 6 of 10 mark is achieved?  How will students, especially the 6 minorities, be successfully integrated into the projects and the greater community.  Student activities cannot be overlooked in a program like this.  The team should also consider how to close the loop with evaluation.  Ensure that you have demonstrated planning and forethought._x000D_
_x000D_
The panel placed this proposal in the following category:_x000D_
_x000D_
___	Highly Competitive (HC)_x000D_
_x000D_
___	Competitive (C)_x000D_
_x000D_
_X_	Low Competitive (LC)_x000D_
_x000D_
___	Not Competitive (NC)_x000D_
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</si>
  <si>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REU program is focused on research in the area of cyber-physical systems. 10 students will participate for 8 weeks to work with faculty members in computer science, computer and electrical engineering, or systems and information engineering.  REUs will work on projects in partnership with a faculty mentor. The target group of students is minority students and also women, and there is a great deal of information about the schools to be engaged in recruitment. REUs will be rising sophomores, with at least one year of engineering education behind them. Six of the 10 students will be minority. There is a partnership with the Louis Stokes Alliance, which provides some evidence of this capability to reach out to under-represented students. However, there does not seem to be a past history of doing this to support the plan. Faculty will attend NSBE meetings and SWE meetings to engage students and recruit for the program. _x000D_
_x000D_
Intellectual Merit: _x000D_
_x000D_
Strengths: _x000D_
+	A strong set of faculty are involved in the program. _x000D_
+	The research topics are interesting, and CPS is s good theme. _x000D_
+	Evaluation is planned, with a major component that is focused on the students gains in terms of conducting research. _x000D_
+	Formal and informal interactions are planned, such as online social media, training activities and lunch meetings. _x000D_
+	The partnerships to recruit under-represented students is a positive. _x000D_
_x000D_
Weaknesses: _x000D_
-	Although CPS is a good theme, many of the research projects do not integrate the physical component, but are exclusively cyber. _x000D_
-	It is not clear if the evaluation program is purely post-program, or if mid-term adaptations will be driven by feedback from the REUs. _x000D_
-	The program elements are rather typical, with no particularly novel elements. _x000D_
_x000D_
_x000D_
In the context of the five review elements, please _x000D_
evaluate the strengths and weaknesses of the proposal with respect to broader impacts._x000D_
_x000D_
Strengths: _x000D_
+	The theme has strong potential for societal benefit. _x000D_
+	The plans for training the REUs include both social media, and in-person activities. _x000D_
+	_x000D_
Weaknesses: _x000D_
+	Some background and evidence of engaging diverse students would be a positive. _x000D_
-	The role of graduate mentors, if that is planned, is not discussed. _x000D_
_x000D_
Data Management Plan: The DMP has the essential information. On a related note, the REUs should receive training in data management and preservation._x000D_
_x000D_
_x000D_
Please evaluate the strengths and _x000D_
weaknesses of the proposal with respect to any additional solicitation-specific review criteria, if _x000D_
applicable_x000D_
_x000D_
A good assessment plan is described to evaluate and improve the program. Here this is a bit unique in that it focuses on the impact on the students rather than just on the programmatic components. _x000D_
_x000D_
_x000D_
Summary Statement_x000D_
_x000D_
Summary Statement_x000D_
_x000D_
Constructive suggestions for improvement: _x000D_
Although the goal of this program is CPS, there is no physical component to the problems that the REUs will consider in the research. The tasks described seem entirely focused on the cyber side, and many of the topics do not meet the definition of CPS. This is the biggest concern that I have as the program is titled and advertised as CPS. REUs participating would get the entirely wrong idea about CPS without real exposure to the physical aspects of each problem. REU projects really need to be described in more detail, including CPS examples for the REU tasks. Also, the REU activities should include some training in data management and some training in research integrity._x000D_
_x000D_
General overall Summary and Rationale for Rating: _x000D_
This proposal has some quite positive aspects, including a strong recruiting plan, a novel assessment plan, and an exciting theme. However, little detail is provided on the research projects that the REUs will take on, and what their role will be. _x000D_
_x000D_
_x000D_
</t>
  </si>
  <si>
    <t xml:space="preserve">In the context of the five review elements, please _x000D_
evaluate the strengths and weaknesses of the proposal with respect to intellectual merit._x000D_
_x000D_
The strengths of this proposals are targeting sophomore year students, and confirm to recruit 6 out of 10 minority students, which sounds like a little bit ambious.  However, several aspects are not well addressed and presented, which can be weakness : _x000D_
- How to guarantee other minority institutions will be supportive in terms of providing participants. _x000D_
- It is not clear once students "Working with REU site at UVA" will be helpful for this project? _x000D_
- How the Apprenticeship will affect the goal of the project _x000D_
- Most references are more than five years. Needs more up-to-date references _x000D_
_x000D_
_x000D_
In the context of the five review elements, please _x000D_
evaluate the strengths and weaknesses of the proposal with respect to broader impacts._x000D_
_x000D_
The proposed project mentioned that the collaboration with existing in campus REU site and minority institutions around that will support this project goal. In addition, seven labs are presented through research projects. However, the missing points here are how the faculty mentors work with students, what are the planed projects the participants will work on. Especially all the projects are not clearly described, all faculty mentors other than PI Co-PI are not paid, how to know if they will work with the project by following project goals and objectives?_x000D_
_x000D_
Please evaluate the strengths and _x000D_
weaknesses of the proposal with respect to any additional solicitation-specific review criteria, if _x000D_
applicable_x000D_
_x000D_
_x000D_
_x000D_
Summary Statement_x000D_
_x000D_
This proposal focused on the preparation of students for the future by conducting the CPS research in the interdisciplinary domains. The proposal needs to clearly define the research projects that students and participants will work on. The proposal needs to define mentor student work schedule. It'll be better for the proposal to describe each project with student activities in consistent with timeline, other than discuss and present the other existing research labs. The proposal includes an adequate data management plan that covers data format, collection, storage, access, and protection. The PI team really need to describe some projects and student activities regarding to each project instead of listing all existing labs._x000D_
_x000D_
</t>
  </si>
  <si>
    <t xml:space="preserve">In the context of the five review elements, please _x000D_
evaluate the strengths and weaknesses of the proposal with respect to intellectual merit._x000D_
_x000D_
&amp;#8195;_x000D_
Description of project: (short description of the project)_x000D_
The new REU cite proposal uses cyber physical systems, with a focus on the broad areas of robotics, AI, autonomous vehicles, and IoT. The target group of student are underrepresented minorities, women, and individual with hearing impairment. The REU includes robust activities social, professional development, research, and networking opportunities and uses evidence bases for the scientific theme, student mentoring model, and project assessment._x000D_
_x000D_
Intellectual Merit: (review of intellectual merit)_x000D_
+_x000D_
The proposers cite evidence that their target population (underrepresented minorities) may be better retained in STEM using the methodology of the REU. Further, they provide extensive justification for the (admittedly broad) domains of CPS covered in their proposal, including robotics, AI, autonomous vehicles._x000D_
_x000D_
_x000D_
In the context of the five review elements, please _x000D_
evaluate the strengths and weaknesses of the proposal with respect to broader impacts._x000D_
_x000D_
Broader Impacts: _x000D_
+_x000D_
Proposers cite evidence for their apprenticeship REU supervision model, suggesting high probability of providing meaningful experiences for undergraduate students._x000D_
_x000D_
Data Management Plan: _x000D_
While generally adequate, specific details regarding confidentiality/protection of student information used for assessment is not addressed._x000D_
_x000D_
_x000D_
Please evaluate the strengths and _x000D_
weaknesses of the proposal with respect to any additional solicitation-specific review criteria, if _x000D_
applicable_x000D_
_x000D_
+ _x000D_
The interdisciplinary nature of the CISE focus (CPS) suggests a variety of topics that will map to the various goals of the potential REU students. Further, the details of how these approaches will be made useful for REU level maturity are included._x000D_
_x000D_
The proposers have an extensive and detailed set of target participant pools, including existing collaboration, new collaborations with community colleges, HBCUS, a women-centered university, and a university with a large deaf/hard of hearing population. Additional relationship with the LSAMP program and the Clark Scholar's program and GEM consortium suggests a very clear, targeted recruitment plan._x000D_
_x000D_
The team has prior experience mentoring undergraduates in research and through a prior REU, with documented evidence of student success (e.g., continuation to graduate school)._x000D_
_x000D_
The environment is quite appropriate, and includes overlap/potential interactions with an ongoing Wireless Health REU. Further, the proposers leverage existing infrastructure through the interdisciplinary UVA CPS Link Lab._x000D_
_x000D_
There is program staff (not a faculty member) from the Office of Diversity, with prior experience recruiting and retaining underrepresented minority students who will assist with administrative tasks. _x000D_
_x000D_
An external evaluator with expertise in assessment and evaluation is included. This individual has background with assessment, and will use a validated instrument (Timmerman rubric). More detail regarding the evaluation (use of assement data) would be appreciated, but the assessment/evaluation overall is robust._x000D_
_x000D_
The plan to maximize the use of the 10 weeks by spending time prior to the program acclimating students (through social networking, interaction with peer mentors) is novel and quite appropriate._x000D_
_x000D_
Rather than assume faculty will act as good mentors, faculty members will receive professional, evidence based apprenticeship training._x000D_
_x000D_
Multiple professional development activities beyond research are included with a focus on hands on skills (e.g., lab technical skills), ethics, oral and written communication, reading scientific literature, etc._x000D_
_x000D_
Social/professional development through bag/networking lunches are included._x000D_
-_x000D_
Some survey instruments are not described in detail._x000D_
_x000D_
Though the authors mention brochures and websites for recruitment, other details (presentations, visits, etc.) that might suggest more robust recruitment are not discussed. _x000D_
_x000D_
Though the field trip to a DC area conference is a nice idea, no conference is specifically mentioned (e.g., question of CISE alignment)._x000D_
_x000D_
_x000D_
Summary Statement_x000D_
_x000D_
Though some additional detail regarding evaluation is need, this is an extremely strong proposal with solid justification for the CISE-aligned theme, a team with prior experience recruiting from the target population, existing relationships with potential recruitment pools, and scientific justification for the student activities and assessment instruments. Overall, this proposal suggests a high probability of success._x000D_
_x000D_
_x000D_
</t>
  </si>
  <si>
    <t xml:space="preserve">In the context of the five review elements, please _x000D_
evaluate the strengths and weaknesses of the proposal with respect to intellectual merit._x000D_
_x000D_
What is the potential for the proposed activity to advance knowledge and understanding within its own field or across different fields?_x000D_
_x000D_
+_x000D_
- It is unclear how aspects of the central theme are linked together and therefore what the potential impact on the science will be._x000D_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_x000D_
- Given that the theme is not woven as a clear picture, it is hard to tell what societal benefits there will be._x000D_
_x000D_
Please evaluate the strengths and _x000D_
weaknesses of the proposal with respect to any additional solicitation-specific review criteria, if _x000D_
applicable_x000D_
_x000D_
Are there adequate resources available to the PI (either at the home institution or through collaborations) to carry out the proposed activities? _x000D_
_x000D_
+ The Link Lab sounds like a wonderful resource, the kind that many of us would love to have at our own institutions._x000D_
_x000D_
Summary Statement_x000D_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While there is a solid variety of projects for the REU, none of them are described in enough detail to actually state what existing projects an REU could integrate into, or what new projects might come about if an REU was available for said project._x000D_
_x000D_
Student Management:_x000D_
- Plan for student management and care_x000D_
- Recruitment plan, diversity of recruitment pool_x000D_
- Outreach activities during the summer experience_x000D_
_x000D_
+ The PI has a strong network for recruitment, especially with regards to hitting the target of recruiting 60% under represented students._x000D_
- More detail on how the social aspects will improve the REU experience would be helpful (though discussed more further into the application)._x000D_
- Who will be invited to be a guest speaker at the six lunch meetings?  Who are potentials?  [Material redacted per PAM Chapter XI G.2]_x000D_
_x000D_
Evaluation and Dissemination:_x000D_
- Plan to evaluate results of project_x000D_
- Dissemination of results of research as well as of the REU site project overall_x000D_
_x000D_
+ The Facebook group is a good idea, what experience does the PI have with these already? Or another person on the grant?_x000D_
- Online communication alone cannot be expected to establish relationships with other members.  What will the students do in the first few weeks to help establish those relationships?_x000D_
- Considering the possibility of a resultant publication is good, but will there be any support for the faculty or student to present this at a conference?  Or funds to cover the costs of publication, such as open access?_x000D_
</t>
  </si>
  <si>
    <t>REU Site: Shaping the Future - Undergraduate Research in Cyber-Physical Systems _x000D_
Project Elements_x000D_
New REU site_x000D_
Project title: REU Site: Shaping the Future - Undergraduate Research in Cyber-Physical Systems _x000D_
Principal investigator: Toluwalogo Odumosu, Assistant Professor of Engineering and Society and Electrical and Computer Engineering_x000D_
Submitting organization: University of Virginia_x000D_
Other organizations involved in the project?s operation: Virginia-North Carolina Louis Stokes Alliance for Minority Participation _x000D_
Location at which the proposed undergraduate research will occur: University of Virginia_x000D_
Main fields and subfields of research: Cyber Physical Systems, the Internet of Things, Robotics, Autonomous Systems, Cybersecurity, Digital Privacy _x000D_
No. of undergraduate participants per year: 10 students_x000D_
Summer REU site or academic year REU site: Summer_x000D_
No of weeks per year that the students will participate: 8 weeks _x000D_
Does the project include an international component or RET component?: No_x000D_
Name, phone number and email address of point-of-contact for student applicants: Toluwalogo Odumosu, Assistant Professor, UVA 434-982-2623, tbo4z@virginia.edu_x000D_
Web Address (URL) for Information about the REU Site: TBD_x000D_
The proposed REU site program, Shaping the Future - Undergraduate Research in Cyber-Physical Systems, will bring 10 undergraduates students, to the University of Virginia for eight-weeks of an intense and actively mentored summer research experience. The program is designed to catalyze a love of research in these students and promote their professional, social, and cognitive development. A desired outcome of the program is to encourage the students to seriously consider research careers in science and engineering. The program is also designed to create a more diverse workforce and as such, this program will be aggressively recruiting women, underrepresented minorities, and people with disabilities. Out of the proposed ten spots, the program intends to fill at least six with minority candidates.The projects included in this program reflect key areas of strength for the University. The Link Lab, a new research organization at the University of Virginia is the focus of the University?s Cyber-Physical Systems research and is designed to transcend traditional disciplinary boundaries. As the Link Lab brings together faculty from five departments it is a unique environment to demonstrate to undergraduates that solving the important challenges of the future require an interdisciplinary perspective. By integrating an attention to the social and cultural dimensions of their research projects the REU experience will emphasize the relevance of Cyber-Physical Systems research to the lives of the undergraduates and show how potential research careers can give them the tools to shape that future.This REU has the potential to engage students in the quest to address one of the key challenges of the twenty-first century: understanding the future of the Human-Technology frontier, namely, how emerging Cyber-Physical systems will affect how we will work, live, socialize and interact with each other. These are critical questions that require broad engagement from a diverse set of perspectives. As a result, this REU is designed to increase the diversity of the workforce in science and engineering by providing women, underrepresented minority students, and persons with disabilities formative research experiences and connecting them to the social and professional networks that are pathways for careers in these fields. Finally, the REU will give students a systematized experience of engineering and scientific research that will demystify the process of producing new knowledge by teaching them how to frame problems, understand social contexts, design experiments, work collaboratively, make observations, draw appropriate conclusions, and communicate their results to others.</t>
  </si>
  <si>
    <t>1757921</t>
  </si>
  <si>
    <t>Ashok</t>
  </si>
  <si>
    <t xml:space="preserve"> Panel Summary       
 Short description of project:_x000D_
The new REU site proposal from Georgia State University utilizes a scientific framework consisting of internet of things (IoT)-based projects (smart and autonomous systems) and targets under represented minority and female candidates. The PIs intend to bring 10 undergraduate students per year to an 8-week summer program._x000D_
_x000D_
Intellectual Merit:_x000D_
_x000D_
Strengths:_x000D_
+ The proposal is strong in that the 'umbrella' theme of IoT is focused, with sub-research projects aligned with one another. The reviewers noted that the various research projects are well thought out, timely, and matched to real world applications (which may be motivating to potential REU students)._x000D_
_x000D_
Weaknesses:_x000D_
- The main intellectual weakness of the project is in the presented project examples; the lack of detail makes it difficult to assess their appropriateness for REU students. _x000D_
_x000D_
Broader Impacts:_x000D_
_x000D_
Strengths:_x000D_
+ The long term scientific, social, and career outcomes for the REU students are clearly addressed._x000D_
_x000D_
Weaknesses:_x000D_
- Aspects of the proposed work (particularly, the mapping of stated REU implementation, assessment, and evaluation to the project goals) may limit the extent to which broader impacts can be achieved. _x000D_
_x000D_
Data Management Plan:_x000D_
+ The data management plan includes adequate descriptions of data types, storage, use, and dissemination._x000D_
_x000D_
Criteria Specific to REU Sites_x000D_
Research:_x000D_
_x000D_
Strengths:_x000D_
+ The research projects have corresponding research mentors (with strong academic backgrounds and publication records)._x000D_
+ Many of the Co-PIs have past experience with REU students (through an REU supplement) and undergraduate research supervision. The strong research team has a demonstrated record of research results and publications._x000D_
_x000D_
Weaknesses:_x000D_
- Industry engagement was strong, though some concern about the extent to which industry contacts can maintain weekly meetings._x000D_
- Research expertise not well aligned to the proposed research projects (citations differ from CPS topic domains). The proposers may want to ensure that their research expertise (as demonstrated by publications) exhibit increased overlap with the REU student projects._x000D_
- Some projects need to have the research component more clearly defined (e.g., project 1)._x000D_
- Recruitment plans are not sufficiently detailed (re: details), leaving questions as to how the proposers plan to recruit the students they target. _x000D_
_x000D_
Logistics and Student Management:_x000D_
_x000D_
Strengths:_x000D_
+ The proposers describe an evaluation plan that will include pre and post assessments, and mentor/student questionnaires._x000D_
+ Facilities and environment seem appropriate, though they mention only one departmental lab which may be insufficient for 10 students._x000D_
+ Strong detail regarding student activities._x000D_
+ Strong commitment letters from industry mentors, two industry mentors + 4 peer mentors._x000D_
+ Strong institutional commitment and research environment._x000D_
+ Logistics are doable in timely manner, and project (summer months) organization are well addressed._x000D_
_x000D_
Weaknesses:_x000D_
- Research expertise not well aligned to the proposed research projects (PI citations differ from CPS topic domains)._x000D_
- Industry engagement was strong, though some concern about if they will be able to devote time weekly to the project._x000D_
- The goals of the project are sound, but the research/programmatic activities as planned may not map to those goals. _x000D_
- Given the typical lack of undergraduate (UG) attendance at such high level conferences, the planned recruitment of undergraduates from conferences needs more justification. In general, a single recruitment activity is unlikely to be successful, so the PIs are encouraged to expand the activities and be specific in how the metrics would be successful._x000D_
- No mention of dorms, payments, transportation._x000D_
- Evaluation and recruitment plans are not solid (how to recruit / how to assess) and seem to be scratch built._x000D_
- Logistics / planning steps missing regarding pay schedule, housing, student selection._x000D_
- Evaluation does not seem to match stated goals. Evaluator skill set is not appropriate._x000D_
- It is unclear how the strategic location of university be leveraged._x000D_
_x000D_
Constructive suggestions for improvement:_x000D_
Specific ways to strengthen the proposal include:_x000D_
Additional clarification of student housing, meals, and stipends._x000D_
_x000D_
Summary/Rationale for panel's recommendation, including key strengths and critical weaknesses:_x000D_
This proposal from an exciting team of investigators  is scientifically sound, with a high level of detail regarding the conceptual framework. The proposed projects are able to leverage the academic and cutting edge research of the investigators and connect the participants to real world applications with the involved industrial mentors. However, there are some concerns among the panelists regarding alignment of projects and PI expertise, methodology (student logistics), the recruitment strategy, and assessment/evaluation that reduce reviewer enthusiasm._x000D_
_x000D_
_x000D_
The panel placed this proposal in the following category:_x000D_
_x000D_
____	Highly Competitive (HC)_x000D_
_x000D_
____	Competitive (C)_x000D_
_x000D_
  X	Low Competitive (LC)_x000D_
_x000D_
____	Not Competitive (NC)_x000D_
_x000D_
_x000D_
The summary was read by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</si>
  <si>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This REU site proposal focuses on the Smart and Autonomous IoT System to encourage undergraduate students to engage into research in early stage of college study. The proposal claims this will continuously prompt student to career and motivate them to pursue higher education. Several strong aspects of this proposal can be highlighted here:  _x000D_
+ The proposed program is outlined in four groups of projects that umbrella with the structured Smart IoT System, which is shaped by the research team in a layered coorelated and integrated structure. With this umbra research architecture, the project topics are well described, student activities are identified and clearly planned. _x000D_
+ The above well-shaped project will be supervised by a strong research team with five faculty mentors 2 industry mentors and 4 graduate student mentors, who are well planned and assigned with proper projects outlined in the research project topics. Commitment letters are attached for each industry mentors. _x000D_
+ The research background with the proposed project topics of each faculty mentor has properly presented with the respected publication venues. _x000D_
+ The program logistics with the timeline and organization plan are well addressed and suitable for implementation within the time frame. _x000D_
+ The project evaluator and evaluation plan were well planned and with related background. External evaluation was also addressed. _x000D_
+ The research environment and institution commitment were clearly described and confirmed. _x000D_
_x000D_
There are three types of interaction of this REU site during performance frame. It will be better to address all of them in the logistics or organization section. _x000D_
_x000D_
_x000D_
In the context of the five review elements, please _x000D_
evaluate the strengths and weaknesses of the proposal with respect to broader impacts._x000D_
_x000D_
The broad impact has been well addressed in a networked structure from scientific, social, career and education/teaching, which are able to support undergraduate student research engagement. Student activities and mentoring are identified  and these two streams are well spread through the proposal structure and organization. Mentor expertise with bio have demonstrated a strong research team with the solid results and publications. _x000D_
The weakness will be it'll be better to link the identified social activities with the research activities. On top, how this supports research skill development through the REU site. _x000D_
_x000D_
_x000D_
Please evaluate the strengths and _x000D_
weaknesses of the proposal with respect to any additional solicitation-specific review criteria, if _x000D_
applicable_x000D_
_x000D_
_x000D_
_x000D_
Summary Statement_x000D_
_x000D_
Overall, this is a very strong REU site proposal that are well planned and clearly addressed with the clear research focus, solid research results and strong research mentor team. The proposed projects are able to leverage the academic and cutting edge research as well as connect the participants to the real world applications by two involved industrial mentors. Another strong aspect of this proposal is the REU site will seek for participants at sophomore level which is a novel idea for REU program goal. _x000D_
Some minor or weakness maybe in the following. The presentation of the timeline (section 1.5) may need a little bit more information regarding to the tasks and activities. In section 5.2, the real time feedback based approach may need a reference. The data collection of post-project assessment is not clear for me.  _x000D_
_x000D_
_x000D_
</t>
  </si>
  <si>
    <t xml:space="preserve">In the context of the five review elements, please _x000D_
evaluate the strengths and weaknesses of the proposal with respect to intellectual merit._x000D_
_x000D_
Description of Project:_x000D_
_x000D_
The proposal describes a plan to conduct a new REU Site at Georgia State University during the summers of 2018, 2019, and 2020. The proposed theme for student research activities is smart, autonomous IoT systems. Four projects are proposed: (i) development of an environmental sensing testbed; (ii) sensor fusion for motion prediction and activity detection; (iii) development of a cognitive assistant, leveraging multi-modal sensors; and (iv) vision-based drone navigation._x000D_
_x000D_
Intellectual Merit: _x000D_
_x000D_
Strengths:_x000D_
_x000D_
+ Development of smart, autonomous IoT systems offers a wide array of challenges suitable for undergraduate research training. The space is immediately relevant and is likely to attract a large pool of applicants. _x000D_
_x000D_
+ The program appears to have a good mix of seminars, training events, and social activities. _x000D_
_x000D_
+ The site team appears capable of advising the proposed topics based on their most recent publications. Overall, the team has good experience advising undergraduate researchers. The PI's early activities at Georgia State (e.g., organizing a summer program for undergraduates) are a noted positive.   _x000D_
_x000D_
+ The facilities at Georgia State appear adequate. The only concern is that the proposal seems to suggest that the department has only one main computing laboratory, and that the REU participants would use this laboratory. Will space be sufficient given other departmental demands during the summer? _x000D_
_x000D_
+ Engagement of industry mentors is a strong positive. Will these mentors really be able to devote time every week to meet with REU students? If this is possible, this is a very nice component of the project plan. _x000D_
_x000D_
Weaknesses:_x000D_
_x000D_
- The four projects that will be made available to undergraduate researchers are described with insufficient detail. It is difficult to assess the intellectual merit of the broader initiatives. The proposal would benefit from more detail on the team's ongoing work in these areas. Were these projects developed exclusively for the REU program, or will the students engage in activities that are embedded as part of larger programs? Likewise, the proposal provides few details on the specific research challenges students will engage in. Many of the activities (e.g., all of project 1) appear to focus only on system development. _x000D_
_x000D_
- The proposal would benefit by including a schedule that summarizes, on a roughly hourly basis, the types of activities to be conducted each week. This is challenging to do with limited space, but would be helpful in assessing how realistic it is to include all of the proposed activities, and would give a more coherent picture of the plan. _x000D_
_x000D_
- The evaluation plan considers reasonable questions, as well as formative and summative assessment. The plan could be improved, however, by leveraging existing instruments and methods (e.g., see UNCC). Similar comments apply to the application materials. The proposal references the UNCC materials, but the team seems to be focused on development of new application materials and evaluation instruments. It's not clear that this is a good investment of the team's time. _x000D_
_x000D_
- The proposal includes citations to the mentoring team's prior work, but it is not obvious that these citations are related to the proposed REU projects. The lack of references to prior work in each thrust was surprising. _x000D_
_x000D_
- Perhaps the most important criticism is that the site plan does not appear complete with respect to research projects or logistics. Several key planning steps appear to be missing, including student management (e.g., pay schedule, housing), evaluation (e.g., specific instruments), and selection process (e.g., Will the group vote? Will the PI decide?)_x000D_
_x000D_
In the context of the five review elements, please _x000D_
evaluate the strengths and weaknesses of the proposal with respect to broader impacts._x000D_
_x000D_
Broader Impacts: _x000D_
_x000D_
Strengths: _x000D_
_x000D_
+ Addressing some of the identified challenges could have important impacts. _x000D_
_x000D_
Weaknesses:_x000D_
_x000D_
None noted._x000D_
_x000D_
Data Management Plan:_x000D_
_x000D_
The data management plan is adequate._x000D_
_x000D_
_x000D_
Please evaluate the strengths and _x000D_
weaknesses of the proposal with respect to any additional solicitation-specific review criteria, if _x000D_
applicable_x000D_
_x000D_
Research: _x000D_
_x000D_
The research projects are not described in sufficient detail to assess their intellectual merit or to understand the specific research activities students will engage in. It is also unclear whether these projects are anchored to broader research programs._x000D_
_x000D_
Student Management:_x000D_
_x000D_
The proposal could be improved by clarifying details concerning student housing, meals, and stipends. _x000D_
_x000D_
Evaluation and Dissemination:_x000D_
_x000D_
The evaluation plan considers appropriate questions and outcomes, but would benefit by leveraging existing instruments and processes._x000D_
_x000D_
_x000D_
Summary Statement_x000D_
_x000D_
This proposal received a rating of Fair. The plan lacks sufficient details concerning the specific research activities to be pursued, as well as site management logistics. At this stage, the likelihood of success, at least in the first year, appears low. _x000D_
_x000D_
_x000D_
</t>
  </si>
  <si>
    <t xml:space="preserve">In the context of the five review elements, please _x000D_
evaluate the strengths and weaknesses of the proposal with respect to intellectual merit._x000D_
_x000D_
Strengths:_x000D_
The proposal includes reseach projects in an important area of research with many practical applications with the potential to enhance our lives in many different aspects._x000D_
_x000D_
Weaknesses:_x000D_
The main intellectual weakness of the project is in the presented project examples, which sometimes do not include research activities, and are broadly defined, so it is difficult to assess their appropriateness for REU students._x000D_
_x000D_
In the context of the five review elements, please _x000D_
evaluate the strengths and weaknesses of the proposal with respect to broader impacts._x000D_
_x000D_
Strengths:_x000D_
The project proposes to educate undergraduate students, including minority and under-represented students, in an important area of research and motivate them to pursue higher education._x000D_
_x000D_
Weaknesses:_x000D_
It is not clear what strategies the PIs will implement to recruit the students that they need for the program._x000D_
_x000D_
Please evaluate the strengths and _x000D_
weaknesses of the proposal with respect to any additional solicitation-specific review criteria, if _x000D_
applicable_x000D_
_x000D_
Research:_x000D_
The PIs and mentors included in the proposal do not have research grants and publications in the theme of the Site. The program seems to have only one deliverable in the form of a presentation. A technical report or writing a research paper would be better and more appropriate for an REU site._x000D_
_x000D_
Logistics and Student Management:_x000D_
The proposal includes an adequate plan of weekly activities for the students although it could have been more precise in some of them. The proposal lacks some important logistc details such as accomodations, payments, transportation, etc. The recruting plan is not very specific as to which activities the PIs will do to actually recruit students from the places and populations that they claim._x000D_
_x000D_
Evaluation plan:_x000D_
The evaluation plan seems adequate but there is no information about the external evaluator except that she is the chair of their own department. PIs should address these two issues. It is important to show that the evalautor is independent and has the expertise to conduct the evaluation._x000D_
_x000D_
Standard dissemination of results: _x000D_
No specific dissemination plan is included in the proposal._x000D_
_x000D_
Summary Statement_x000D_
_x000D_
The proposal is in an important area of research but it needs to improve several aspects to be more competitive in an REU Site. The intellectual merit needs more strength in the definition of the projects and the qualifications of the PIs and senior personnel in the theme of the site. Deliverables should be more challenging and more in line with a research endeavor. The evaluation plan needs to demonstrate expertise and independence in the evaluation. Finally, the proposal must include important logistic details like accommodations, payments, transportation, etc._x000D_
_x000D_
</t>
  </si>
  <si>
    <t xml:space="preserve">In the context of the five review elements, please _x000D_
evaluate the strengths and weaknesses of the proposal with respect to intellectual merit._x000D_
_x000D_
The new REU cite proposal is focused on an IoT framework (specifically, smart and autonomous systems) and targets underrepresented minority and female candidates. _x000D_
_x000D_
Intellectual Merit: (review of intellectual merit)_x000D_
+_x000D_
The clearly stated goal is well aligned with CISE (early exposure to competitive research in IoT) and articulated according to specific tasks including hands on research, mentorship, exposure to state of the art IoT, exposure to research environment, and interactive learning._x000D_
_x000D_
The conceptual framework relating research sub projects to IoT and abstract concepts is convincing and appropriate._x000D_
_x000D_
Proposers justify with evidence the need for UG exposure to IoT based on global trends and scientific activities, as well of a lack of exposure for some populations._x000D_
_x000D_
_x000D_
_x000D_
In the context of the five review elements, please _x000D_
evaluate the strengths and weaknesses of the proposal with respect to broader impacts._x000D_
_x000D_
+_x000D_
The proposers have a targeted set of univiersities as sources for participant pool, and go beyond the typical flyers/emails and plan to hold on-site talks at the various universities (for instance, HBCUs)._x000D_
_x000D_
Successful outcomes may result in the training of underrepresented groups for long term STEM careers._x000D_
_x000D_
Data Management Plan: _x000D_
Data management plan is adequate._x000D_
_x000D_
_x000D_
Please evaluate the strengths and _x000D_
weaknesses of the proposal with respect to any additional solicitation-specific review criteria, if _x000D_
applicable_x000D_
_x000D_
+ _x000D_
Having 4 graduate student suggest good support for the administrative tasks, though a non-student non-faculty member would be beneficial._x000D_
_x000D_
Using industry mentors may expose students to non-academic STEM career opportunities._x000D_
_x000D_
Extensive detail regarding the subtasks, from recruitment to followup, are included._x000D_
_x000D_
Details of how the research domains will be made REU student-specific are included. This suggests proposer attention to tailoring of projects for the REU._x000D_
_x000D_
Excellent detail regarding professional development and social activities (weekly meetings, project and group meetings, lunch seminars, tutorials, research tours at GaTech) including titles and dates (or at least timepoints) suggests a rigorous programmatic element to the proposal. _x000D_
_x000D_
The recruitment and selection plan is quite detailed, including target universities, materials, and application process._x000D_
_x000D_
The team has past experience with undergrad mentorship, publication, and good student outcomes (e.g., publication, graduate school), and the CS department has had prior REU site experience. _x000D_
_x000D_
The plan uses an external evaluator with past experience/expertise/participation in REUs. _x000D_
_x000D_
The environment and facilities are excellent, including computing facilitates, labs, and classrooms as well as a diverse student body,_x000D_
_x000D_
-_x000D_
The evaluator, while experience with REUs, is not experience with assessment or evaluation tools. The use of a set of survey questions with no clear valid instrument suggests assessment may be limited. Further, evaluation of assessment metrics for the purposes of making changes to the project plan are not discussed. _x000D_
_x000D_
_x000D_
Summary Statement_x000D_
_x000D_
This is a sound new REU cite proposal focused on IoT framework. The project is scientifically sound, with a high level of detail regarding the conceptual framework, timeline, recruitment, research projects. There are some limitations regarding administrative burden and assessment, which reduces reviewer enthusiasm_x000D_
_x000D_
</t>
  </si>
  <si>
    <t>New or Renewal: New REU Site proposal_x000D_
Project title: REU Site: Developing Smart and Autonomous Internet-of-Things Systems Principal Investigators: Dr. Ashwin Ashok (PI) and Dr. Anu G. Bourgeois (Co?PI) Submitting Organization: Georgia State University_x000D_
REU Site Location: Georgia State University, Atlanta, Georgia_x000D_
Fields: Internet?of?Things (IoT), Mobile Systems, Data Analytics and Wearable Computing Number of undergraduate participants per year: 10_x000D_
REU Site Period: Summer REU (months of June?July)_x000D_
Duration: 8 weeks per year for 3 years_x000D_
Contact: Dr. Ashwin Ashok (aashok@gsu.edu; phone: 404-413-6657)_x000D_
 _x000D_
Coupled with advancements in integrated sensor technologies, Internet--of--Things (IoT) has generated a new wave of opportunities for cooperation and collaboration between devices, machines and humans to create smart systems. The smart aspect of these systems is defined by their high sensibility of their vicinity, cognitive ability to make decisions and predictions, and autonomy to control movement in the environment. Some examples that are becoming highly prevalent today include smart robotic assistants, smart homes, and autonomously navigating drones._x000D_
_x000D_
Motivated by the wide array of opportunities in the IoT space, this proposal aims to host a 3 year REU site in developing smart and autonomous IoT systems. The proposed site will support 10 participants for an 8-week period in the summer of each year. The participants will work in teams on specific projects mentored by the REU site?s organizer group. This group will consist of 5 faculty mentors, 2 mentors from industry and 4 graduate student mentors. Each of these projects will use a variety of hardware, ranging from sensors to mobile devices to drones, and will provide an experience and opportunity to the students in developing their skills to design end?to?end IoT systems. The vision of the REU site program is to encourage competitive research in early stages of undergraduate students? career and motivate them to pursue higher education to conduct highly skilled research and development in future.The intellectual merits of this research program is derived from its project activities. The specific projects or goals in this program will broadly include, (i) designing an environmental monitoring testbed, (ii) developing multimodal data analytics for behavioral monitoring; (iii) designing a cognitive robotic assistant; and (iv) designing an autonomously navigating drone system. The execution of each project will be conducted in 3 phases, which include, (a) sensing and data collection; (b) data processing and analysis; and (c) application, service and visualization design. In addition to the technical development, students will get training on personal and professional development such as advise on pursuing graduate studies, primer on ethics and professionalism in research, and exercise in writing and presenting technical work.This research experience, along with the proposed student development activities, is bound to encourage UG students to continue on to further their education. The REU site will focus to recruit students from minority populations, particularly from the neighboring Historically Black Colleges and Universities (HBCU), such as Clark Atlanta University, Spelman College and Morehouse College. The program will also target to recruit students from campuses and community colleges in rural and impov- erished communities across Georgia, as these students often have limited opportunities to work with the latest technologies. The PIs also plan outreach of the research activities through undergraduate student first?author publications and partnering with institutions in Atlanta area for lab and social tours.</t>
  </si>
  <si>
    <t>1757940</t>
  </si>
  <si>
    <t>Kar</t>
  </si>
  <si>
    <t xml:space="preserve"> Panel Summary       
 Short description of project: _x000D_
This is a three year proposal on applied computing research in unmanned aircraft systems (UAS), with 10 students over 10 weeks each year. Focus is on Gulf of Mexico, and the institute is one of six FAA approved sites for UAS, with a mandate for aerial research. The PIs have experience with REU programs as demonstrated through a past REU site which ended in 2013._x000D_
_x000D_
The research focus is coastal management and agriculture using UAS.  Recruitment focuses on hispanic institutions, targeting several neighboring schools. _x000D_
_x000D_
Intellectual merit:_x000D_
+ Students will acquire a thorough understanding of challenges of integrating UAS into national airspace. _x000D_
+ Students will develop an understanding of complex fielded systems (UAS above coastlines, agricultural farms)._x000D_
_x000D_
Broader impacts:  _x000D_
+ The core focus is on Hispanic student training and retention in STEM. _x000D_
+ The inter-disciplinary setting will enable development of diverse skillsets._x000D_
_x000D_
Weaknesses_x000D_
- Although the research is interdisciplinary, the faculty seem to be from engineering. Will there be collaborations with stakeholders in coastal management or agriculture? _x000D_
_x000D_
Data Management Plan: _x000D_
 - Because of the nature of the data, IRB training may be needed. _x000D_
_x000D_
Criteria specific to REU sites:_x000D_
+ A strong recruiting program is proposed, likely to engage diverse students in research, and encourage graduate studies. _x000D_
+ The projects are well described, and they have an assessment plan wherein a dedicated person will be an independent evaluator from the statistics department._x000D_
+ PIs have experience in recruiting diverse students._x000D_
_x000D_
_x000D_
Weaknesses_x000D_
- Training in data management may be needed. _x000D_
- There is concern that the PIs had trouble meeting targets for Hispanic student recruitment in the past. _x000D_
_x000D_
Summary/Rationale for panel's recommendation, including key strengths and critical weaknesses: _x000D_
The REU proposal involves minority (Hispanic) students in a ten-week program on applied computing research in UAS. The inter-disciplinary setting and the focus on coastal management and agriculture makes this an attractive site for undergraduates who wish to engage in field experiments and develop hands-on skills with UAS. Additionally, the strong recruitment program, along with the track record of the PIs in diverse students makes this a strong proposal. For the above reasons, the panel places this proposal in the highly-competitive proposal. _x000D_
_x000D_
The panel placed this proposal in the following category:_x000D_
_x000D_
__X__    Highly Competitive (HC)_x000D_
_x000D_
____   Competitive (C)_x000D_
_x000D_
____    Low Competitive (LC)_x000D_
_x000D_
____    Not Competitive (NC)_x000D_
_x000D_
_x000D_
The summary was read by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</si>
  <si>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Strengths: Students will acquire deep understanding of challenges of integrating UAS into national airspace. Opportunity to participate in field experiments in challenging settings (agricultural farms, coastline). Explore to GIS, and understanding use of UAS to improve GIS. _x000D_
_x000D_
Weakness: Unclear what testbeds (in particular for end-end-simulations) are available._x000D_
_x000D_
In the context of the five review elements, please _x000D_
evaluate the strengths and weaknesses of the proposal with respect to broader impacts._x000D_
_x000D_
Strengths: _x000D_
+ developing understanding of complex fielded systems (UAS above coastlines, agricultural farms). _x000D_
+ Core focus on Hispanic student training and retention in STEM. _x000D_
+ Students work in groups, work in an inter-disciplinary setting, potentially improving interpersonal skills.  _x000D_
_x000D_
weaknesses:_x000D_
_x000D_
Please evaluate the strengths and _x000D_
weaknesses of the proposal with respect to any additional solicitation-specific review criteria, if _x000D_
applicable_x000D_
_x000D_
Unclear if the students will be collaborating with stakeholders (coastal ecologists, agronomists) through the 10-week period. For example, while counting fruits with UAS is commendable, often growers are more willing to mount sensors on already available farm equipment such as all-terrain vehicles, tractors/sprayers._x000D_
_x000D_
It will be essential for the students to learn from the end-users and participating scientists and stakeholders, rather than working in isolation, and then presenting ideas to end-users at the end._x000D_
_x000D_
Summary Statement_x000D_
_x000D_
This is a solid proposal with clearly defined goals for the participating students. The reviewers seem to have addressed concerns raised in a prior solicitation. _x000D_
_x000D_
One concern I have in particular is the lack of focus on simulation testbeds. For example, will a simulation environment (ROS, Gazbeo simulator with camera plugins) be used by students to address collision avoidance, and tracking of coasts? This is relevant also because multi-rotor UAVs in particular have constraints in motions that will result in rolling and pitching of cameras. To test this directly in the field will only cause unnecessary delay in the learning experience for the students, particularly considering the 10-week tight timeline._x000D_
_x000D_
</t>
  </si>
  <si>
    <t xml:space="preserve">In the context of the five review elements, please _x000D_
evaluate the strengths and weaknesses of the proposal with respect to intellectual merit._x000D_
_x000D_
This REU program is focused on research in UASs as they pertain to learning about the tremendous resources in the Gulf of Mexico. 10 students will participate for 10 weeks to work with faculty members in computer science or computer and electrical engineering. Several goals are described in the proposal, focusing on the experience for the students and their development into researchers and professionals. _x000D_
_x000D_
Intellectual Merit: _x000D_
_x000D_
Strengths: _x000D_
+	The theme is an excellent idea. _x000D_
+	Past experience of the PIs with REUs is strong. _x000D_
+	The REU projects are clearly described, appropriate for REUs and fit into existing research programs supported by the institution. _x000D_
+	Formative and summative assessments are planned to evaluate and improve the program._x000D_
+	The program includes good plans for orientation, training, and communication skills. The REUs will participate in workshops and seminars, discuss research in groups, and will make presentations throughout the summer. _x000D_
_x000D_
Weaknesses: _x000D_
-	Although the research itself is focused on a very interdisciplinary topic, all of the faculty mentioned are in electrical or computer engineering and science. How will the REUs gain the technical knowledge needed for the domain application? _x000D_
-	The REUs may also need training in data management due to the importance of this research topic. _x000D_
-	Some of the research, due to the nature of the data, may require IRB training. Is that planned? _x000D_
_x000D_
_x000D_
_x000D_
_x000D_
_x000D_
_x000D_
_x000D_
In the context of the five review elements, please _x000D_
evaluate the strengths and weaknesses of the proposal with respect to broader impacts._x000D_
_x000D_
Strengths: _x000D_
+	The topic, if properly done, could be highly impactful at this time. The idea of focusing on research on the Gulf and the resources therein, is outstanding, and will be quite beneficial to society. _x000D_
+	A strong recruiting program is proposed, which is likely to be successful in engaging diverse students in research and advanced degrees. _x000D_
_x000D_
Weaknesses: _x000D_
-	To increase the impact of the research and program, REUs should receive training in data management and preservation. This is becoming more and more important, and is especially important with this research topic. The REUs will need proper training. _x000D_
_x000D_
Data Management Plan: The DMP has the essential information. It does focus on the REU program itself and not on the research that the students are conducting. On a related note, the REUs should receive training in data management and preservation._x000D_
_x000D_
_x000D_
Please evaluate the strengths and _x000D_
weaknesses of the proposal with respect to any additional solicitation-specific review criteria, if _x000D_
applicable_x000D_
_x000D_
REU recruitment will target students from the region, with a high likelihood and past record of under-represented participants. _x000D_
The selection process for REUs is clear and appropriate. _x000D_
Formative and summative assessments are planned to evaluate and improve the program. _x000D_
_x000D_
_x000D_
Summary Statement_x000D_
_x000D_
Constructive suggestions for improvement:_x000D_
REUs should receive training in data management and preservation. This is especially important for a project with the collection of such important research data that can be re-used for many research projects. _x000D_
_x000D_
General overall Summary and Rationale for Rating:_x000D_
This proposal has a solid plan for an REU program. The theme is excellent. Recruitment, selection of students, and faculty involvement is thoroughly described. A solid plan for engaging a diverse set of students is proposed by working with schools in the region, and the faculty have experience working with REUs and engaging them in publications. The REUs will participate in an orientation, and will gain exposure to research skills.  _x000D_
_x000D_
_x000D_
</t>
  </si>
  <si>
    <t xml:space="preserve">In the context of the five review elements, please _x000D_
evaluate the strengths and weaknesses of the proposal with respect to intellectual merit._x000D_
_x000D_
This proposed REU site focuses on the advance UAS tech for autonomous operations and seek UAS based solutions to facilitate collection, storage, and analysis of data on the coastal environment of the Gulf of Mexico, in south Texas, through development of algorithms and software. This REU mentor team composes of five research mentors with background in uas as well as student supervisor experience. The student projects are well defined and clearly described. The project goals are defined and program activities well addressed. _x000D_
The REU site projects are outlined in three groups of the research activities. Student participant selection was defined and research environment with the program resource were clearly described. _x000D_
It is noted that one industry mentor is included in the REU site mentor team, which is valuable to link the research projects to the industrial applications. _x000D_
_x000D_
From the project description, student projects defined in this proposal are very generic, may need more existing research to support. In the student research activities, it is a little bit ambitious for undergraduate students to have development activities. For instance,  "develop and integrate the shoreline detection system with the navigation system and test its effectivenessà", "develop a hardware-in-the-loop flight simulation environment"à _x000D_
_x000D_
Even the project includes the industry mentor, few description of how the industry mentor is able to be involved in the project, a supervisory session will be more convincing. _x000D_
_x000D_
_x000D_
In the context of the five review elements, please _x000D_
evaluate the strengths and weaknesses of the proposal with respect to broader impacts._x000D_
_x000D_
The PI team of this REU site will conduct the proposed research activities and engage undergraduate students to research studies at Texas A&amp;M University. With geographic reason, it is reasonable to recruit students from Texas or neighbor state, where a lot of minority students are available around.  Several venues for the paper publications were identified in student recruitment section in this proposal. _x000D_
The weaknesses of this proposal is mainly in dissemination plan. Even conference and journal publications are mentioned, the team has several respectable ones, the dissemination looks boring in both tech and impact aspects. How the industry mentor be involved in the project supervisory session is still not clear for meà Commitment letter from industry mentor is needed. _x000D_
_x000D_
_x000D_
Please evaluate the strengths and _x000D_
weaknesses of the proposal with respect to any additional solicitation-specific review criteria, if _x000D_
applicable_x000D_
_x000D_
_x000D_
_x000D_
Summary Statement_x000D_
_x000D_
This REU site proposal aims at gaining intensive research experience of undergraduate students in three components in the UAS based problem domain. The REU team was formed up with five faculty members and one industry member. Except for the one PI and one CO-PI with strong background in the related domain, the other three faculty members are all the recipients of the NSF MRI in UAS development grant, which provide strong background of the proposal. The REU site team with strong background in the reach of the project goals. All five research project topic, descriptions are well addressed. Each topic with student activities are illustrated/included. Student background needed is addressed. Project schedule is described with the timeline and context. The social activities regarding to the research domain are included and described. The project includes the seminars for each week to help students to gain research capabilities. PI has one funded prior NSF REU site immediately before this proposal, which makes PI a strong candidate in this competition. _x000D_
Student activities of each proposed project look a little bit ambitious under the 10-week deadline and the proposed schedule. The integration of seminar with the research projects will be helpful to address the research intensive training. It is a concern how the student involved in the development of each project topic during this schedule. _x000D_
_x000D_
_x000D_
</t>
  </si>
  <si>
    <t xml:space="preserve">In the context of the five review elements, please _x000D_
evaluate the strengths and weaknesses of the proposal with respect to intellectual merit._x000D_
_x000D_
Unmanned aerial systems is a very current and relevant topic. The intellectual statement is somewhat brief and could be more detailed._x000D_
The activities and research proposed could have a direct contribution to the research field. There is a detailed schedule that shows adequate planning and developmental activities.The student projects are clearly identified and seem appropriate to the audience. there are some very comprehensive seminars. The faculty are well qualifies and have had good prior experience. the resources are adequate._x000D_
_x000D_
In the context of the five review elements, please _x000D_
evaluate the strengths and weaknesses of the proposal with respect to broader impacts._x000D_
_x000D_
There is a narrow focus on Hispanic students and it appears that they should be able to reach their desired recruitment target.The selection plans are adequate and there is a good plan to disseminate the results of this project._x000D_
_x000D_
Please evaluate the strengths and _x000D_
weaknesses of the proposal with respect to any additional solicitation-specific review criteria, if _x000D_
applicable_x000D_
_x000D_
As a previous site, it appeared that they had difficulty in meeting their Hispanic target goals. that might be a cause for concern. The number of publications obtained 5 out of 23, seem somewhat low._x000D_
_x000D_
Summary Statement_x000D_
_x000D_
This is a very good proposal. the major concern is that there was some difficulty in meeting targets in a prior proposal._x000D_
_x000D_
</t>
  </si>
  <si>
    <t>PROJECT ELEMENTS_x000D_
*New REU Site, or renewal of previously funded REU Site?: New REU Site_x000D_
*Project title: REU Site: Applied Computing Research in Unmanned Aerial Systems_x000D_
*Principal Investigator: Dulal Chandra Kar_x000D_
*Submitting organization: Texas A&amp;M University-Corpus Christi (TAMUCC)_x000D_
*Other organizations involved in the project's operation: None_x000D_
*Location at which the proposed undergraduate research will occur: TAMUCC Campus, TX_x000D_
*Main field(s) and sub-field(s) of the research: Computer Science and Engineering_x000D_
*No. of undergraduate participants per year: 10 per year for 3 years_x000D_
*Summer REU Site, or academic year REU Site?: Summer REU Site_x000D_
*No. of weeks per year that the students will participate:10_x000D_
*Does the project include an international component, ethics component, or RET component?: No_x000D_
*Name, phone number, and e-mail address of point-of-contact for student applicants: Dr. Dulal C. Kar, (361) 825 - 5878, dulal.kar@tamucc.edu_x000D_
_x000D_
TAMUCC, a Hispanic Serving Institution on the Texas Gulf Coast and an FAA approved site for UAS, seeks funding to provide research experience in UAS technology to 30 undergraduate students of preferably Hispanic descent who will participate in deriving solutions for technological challenges of unmanned aerial systems (UAS) for their applications such as in coastal management, coastal ecology, precision agriculture, as well as security of UAS technology. The objective of the program is to provide participants unique research experiences in a stimulating environment that will involve developing secure, autonomous UAS technology and using them for knowledge discovery, which will instill in them a passion for research in applied computing for many beneficial applications of UAS and will motivate them for further learning and discovery of the discipline. _x000D_
Activities will include research in applied computing for UAS-based applications as well as a series of skill-building training sessions designed to enhance group cohesiveness and to hone their technical writing, communication, and research skills. Primary research activities will occur in the areas of autonomous UAS, security of UAS, applications of UAS in a variety of domains. The participants will write and present research papers on their work in local, regional, and national symposiums. Student recruitment efforts will involve several means that include the CISE REU Common Application, invitations to selected Hispanic or Hispanic serving institutions through letters, emails, phone calls, visits, and presentations to the institutions by PI, Co-PI, and other TAMUCC representatives. The program will encourage applications from underrepresented groups.The intellectual merit comes from student participation in a unique UAS-based research program that seeks solutions to facilitate collection, storage, and analysis of data on the coastal environment of the Gulf of Mexico, particularly in South Texas through developing algorithms and software systems.The broader impacts of the proposed program will extend beyond the project in a number of ways. First, the program will make a contribution to the TAMUCC's efforts to become a global leader in research on the Gulf of Mexico and its resources. Second, it will develop confidence and passion for research, seeking advanced degrees, and life-long learning in student participants in computing. Third, participating students will be an inspiration and peer mentor to other students in their home institution for research, especially in UAS technology. Fourth, it will increase retention rates of STEM majors, including Hispanics. Fifth, it will broaden inter-institutional collaboration, particularly among Hispanic serving institutions nationwide and will advance science and technical knowledge in unmanned aerial systems globally. Finally, it will open endless application opportunities of UAS technology in commercial, civilian, and governmental applications.</t>
  </si>
  <si>
    <t>1757956</t>
  </si>
  <si>
    <t>Bobda</t>
  </si>
  <si>
    <t xml:space="preserve"> Panel Summary       
 Short description of project:_x000D_
This proposal for an REU includes many topics related to the area of design of reliable and secure autonomous systems.  This 10 week REU would provide experiences for 10 students._x000D_
_x000D_
Intellectual Merit:_x000D_
_x000D_
Strengths:_x000D_
	+ The proposal did a good job of identifying the general topics._x000D_
	+ This is a good team, with a strong history of publications.  The project includes well qualified faculty._x000D_
_x000D_
Weaknesses:_x000D_
	- The research was not described well; it is important to demonstrate a clear plan.  As a suggestion, instead of listing twelve projects with high-level information, provide a few representative projects with specifics of how students could be involved._x000D_
	- Some topics were clearly within scope of undergraduate level research, while others appeared to be way beyond the reach of the typical undergraduate student._x000D_
	- The intellectual merit sections of the proposal do not really list intellectual merit._x000D_
	- The projects are too diverse and do not weave a clear theme for the proposal._x000D_
_x000D_
Broader Impacts:_x000D_
_x000D_
Strengths:_x000D_
	+ The proposal outlines several positive skills training opportunities._x000D_
	+ This proposal also outlines an interesting recruitment plan._x000D_
	+ It is commendable that there are defined projects related to each level. The three tiers of different student maturities is a good idea!_x000D_
	+ The fact that the team has a 4 week preparation plan that precedes the first day of the REU Site, with materials already developed, is commendable. The team may consider how to effectively engage with the students who are unable to begin in advance, and metrics for how successful the early engagement is. Is early participation mandatory, or is it a way for enthusiastic and motivated students to get involved early?_x000D_
_x000D_
Weaknesses:_x000D_
	- The specific training events were not particularly well described._x000D_
	- The proposal did not specify the recruiting targets, nor the plan to attract the underrepresented groups._x000D_
	- As outlined, the students might not understand the bigger picture of the research.  The projects are varied enough, that the panel worries the students won't see how their own projects fit within their peers' projects._x000D_
	- The proposal does not detail the mentors' experience with mentoring diverse groups of students; what is their track record on this?_x000D_
_x000D_
Data management plan:_x000D_
	Panelists did not identify any significant concerns regarding the data management plan. _x000D_
_x000D_
Criteria Specific to REU Sites_x000D_
	Research:_x000D_
	- The general topics are of interest, but the projects are not described to be appropriate or fitting for undergraduates in some cases._x000D_
_x000D_
	Logistics and Student Management:_x000D_
	- The proposal does not leverage existing instruments for assessment; the project would benefit by leveraging these (such as the CISE REU toolkit)._x000D_
	- The housing aspects seems uncertain at this time. The proposal should identify the housing and feeding of students with specific details, to give confidence that the student experience will be a good one._x000D_
	- There is no clear dissemination plan outlined._x000D_
	- Will there be weekly seminars or workshops?  Such seminars/workshops, focusing on research topics and professional development would help the case for the project._x000D_
_x000D_
_x000D_
Constructive suggestions for improvement:_x000D_
	Consider building on the many efforts of other REUs before you, such as with the CISE REU Toolkit.  While the CISE REU Toolkit is one approach, it also should not be expected to be the only approach.  The team may find the CISE REU Toolkit is a good starting point for thier own REU._x000D_
	Also be sure that you have both thought out and detailed all logistic aspects related to an REU.  For example, housing, professional development, project assignment, team building exercises, and dissemination of results (both REU and resultant publications)._x000D_
_x000D_
_x000D_
Summary/Rationale for panel's recommendation, including key strengths and critical weaknesses:_x000D_
	The primary reason for this proposal's ranking is that the planned research activities are not united in a common theme, and that critical aspects of the program's logistics are not clearly described. However, the panel would like to note that the development of tiered projects and pre-REU materials was commendable._x000D_
_x000D_
_x000D_
The panel placed this proposal in the following category:_x000D_
_x000D_
___	Highly Competitive (HC)_x000D_
_x000D_
___	Competitive (C)_x000D_
_x000D_
_X_	Low Competitive (LC)_x000D_
_x000D_
___	Not Competitive (NC)_x000D_
_x000D_
_x000D_
The summary was read by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</si>
  <si>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Although the proposers do not clearly articulate this, to me it seems the key intellectual merit is that REU students, as a group, will learn about both hardware and software challenges in building reliable and secure autonomous systems. This includes considerations of fault tolerance, learning, state-estimation, and control._x000D_
_x000D_
Concerns: The proposal does not clearly identify the intellectual merit._x000D_
_x000D_
In the context of the five review elements, please _x000D_
evaluate the strengths and weaknesses of the proposal with respect to broader impacts._x000D_
_x000D_
Concern: Unclear how the proposal will address recruiting, and improving skillsets of minority and underrepresented groups. What is the track record?_x000D_
_x000D_
Please evaluate the strengths and _x000D_
weaknesses of the proposal with respect to any additional solicitation-specific review criteria, if _x000D_
applicable_x000D_
_x000D_
_x000D_
_x000D_
Summary Statement_x000D_
_x000D_
The proposal seeks to form an REU site targeting reliability and security of autonomous systems thorough a broad set of sample projects spanning hardware and software. _x000D_
_x000D_
The challenge is to ensure that the students are not too focused on their own unique problems, without attaining a broad understanding of reliability and security concerns of autonomous systems. For example, trajectory planning and control for a spraying manipulator will have marginal overlap with deep-learning for image recognition in hardware. _x000D_
_x000D_
Perhaps weekly seminars and discussion sessions will address this, however, I believe there is no clear plan of periodic group interactions, seminars, and discussions._x000D_
_x000D_
</t>
  </si>
  <si>
    <t xml:space="preserve">In the context of the five review elements, please _x000D_
evaluate the strengths and weaknesses of the proposal with respect to intellectual merit._x000D_
_x000D_
Reliable and secure autonomous systems is a current and relevant topic. the intellectual merit statement could have been somewhat more detailed.There is along list of sample projects, just a concern as to how many of these will be actual projects. The faculty are well qualified, have had good prior experience and are very racially diverse. There is a good pre-learning component which is a very good idea. there is also some good proposed mentoring by graduate students.The facilities seem adequate for the proposal.The evaluation plans could be more detailed._x000D_
_x000D_
In the context of the five review elements, please _x000D_
evaluate the strengths and weaknesses of the proposal with respect to broader impacts._x000D_
_x000D_
There is no really clear plan to attract underrepresented groups, although women and minority are mentioned. The housing aspect seems somewhat uncertain at this time. There is no real clear dissemination plans._x000D_
_x000D_
Please evaluate the strengths and _x000D_
weaknesses of the proposal with respect to any additional solicitation-specific review criteria, if _x000D_
applicable_x000D_
_x000D_
_x000D_
_x000D_
Summary Statement_x000D_
_x000D_
There are two major concerns with this proposal:_x000D_
1. How well, will the sample projects match the actual projects_x000D_
2. The dissemination and evaluation plans could be clearer._x000D_
_x000D_
</t>
  </si>
  <si>
    <t xml:space="preserve">In the context of the five review elements, please _x000D_
evaluate the strengths and weaknesses of the proposal with respect to intellectual merit._x000D_
_x000D_
Description of Project:_x000D_
This proposal describes a plan to host a new REU Site at the University of Arkansas, spanning the summers of 2018, 2019, and 2020. While the plan includes a wide variety of potential research projects for undergraduate participants, the general topic area is in the design of reliable and secure autonomous systems. _x000D_
_x000D_
Intellectual Merit: _x000D_
_x000D_
Strengths:_x000D_
_x000D_
+ The proposal includes several projects that are intellectually rich and are likely to attract a strong pool of undergraduate researchers. In some cases, the specific activities and research training objectives are clearly stated._x000D_
_x000D_
+ The recruitment plan targets students at varying levels of academic preparedness and proposes projects at each of these levels. This skill-based marketing and recruitment strategy is a great idea, subject to the caveat of student availability at each level. _x000D_
_x000D_
+ While the details are unclear, the 4-week preparatory plan prior to the start of the program is a great idea. There are questions, however, about how to ensure that students complete that training prior to the start of the program. This additional work may also make the program less attractive to students, compared to other self-contained 10-week experiences. Still, the idea is a nice one. _x000D_
_x000D_
+ The site team is capable and qualified based on their most recent publications and history of funded research activity. _x000D_
_x000D_
+ The facilities at the University of Arkansas appear adequate._x000D_
_x000D_
Weaknesses:_x000D_
_x000D_
- While the proposal identifies an interesting set of projects, approximately half of those projects are described with insufficient detail to understand the specific activities undergraduate researchers would engage in (e.g., Self-learning, mobile 3d printers). Others appear too complex for new students to meaningfully engage in (Flight controller design). The proposal could be improved by reducing the number of projects summarized in favor of a more detailed treatment of representative projects. It would also be beneficial to focus on projects that are squarely associated with the proposed site theme. _x000D_
_x000D_
- The proposal describes an institutional commitment to undergraduate research (e.g., college-level investments in recruiting international students for summer experiences), but doesn't provide details on how those existing commitments will be leveraged. Investments in international recruiting, for instance, are unlikely to provide much value to the REU Site program (which is restricted to U.S. citizens and permanent residents). _x000D_
_x000D_
- The specific training events, research seminars, social activities, and other enrichment components of the plan are insufficiently described. _x000D_
_x000D_
- The recruitment targets are not clearly stated. Diversity of participation is clearly desired, but the specific targets aren't stated. Leveraging ASEE, NSBE, SHPE, and others organizations is sound, but the plans appear to emphasize local participation (which is not the goal of the program).  _x000D_
_x000D_
- The proposal would benefit by including a schedule that summarizes, on a roughly hourly basis, the types of activities to be conducted each week. This is challenging to do with limited space, but would be helpful in assessing how realistic it is to include all of the proposed activities, and would give a more coherent picture of the plan. _x000D_
_x000D_
- The evaluation plan considers reasonable questions, but the plan could be improved by leveraging existing instruments and methods (e.g., see UNCC). Similar comments apply to the application materials. _x000D_
_x000D_
- The plan does not include an external evaluator. _x000D_
_x000D_
- The lack of references to prior work in each thrust was surprising. _x000D_
_x000D_
_x000D_
In the context of the five review elements, please _x000D_
evaluate the strengths and weaknesses of the proposal with respect to broader impacts._x000D_
_x000D_
Broader Impacts: _x000D_
_x000D_
Strengths: _x000D_
_x000D_
+ Addressing some of the identified challenges could have important impacts. _x000D_
_x000D_
Weaknesses:_x000D_
_x000D_
- The recruiting plan appears to disproportionately target local participants.  _x000D_
_x000D_
Data Management Plan:_x000D_
_x000D_
The data management plan is reasonable, but does not sufficiently consider evaluation data or archival processes._x000D_
_x000D_
Please evaluate the strengths and _x000D_
weaknesses of the proposal with respect to any additional solicitation-specific review criteria, if _x000D_
applicable_x000D_
_x000D_
Research: _x000D_
_x000D_
While some topics are strong, others lack sufficient detail to assess the specific activities students will engage in. _x000D_
_x000D_
Student Management:_x000D_
_x000D_
The student management plan relies on assigning individual graduate students to individual participants. This raises concerns about the level of mentorship students will receive. It appears that housing has not yet been determined, which is another concern._x000D_
_x000D_
Evaluation and Dissemination:_x000D_
_x000D_
The evaluation plan considers appropriate questions and outcomes, but would benefit by leveraging existing instruments and processes._x000D_
_x000D_
Summary Statement_x000D_
_x000D_
This proposal received a rating of Fair. The plan includes several good ideas, but lacks sufficient details in several key places (e.g., participant activities, recruitment targets, management / logistics). At this stage, the likelihood of success, at least in the first year, appears low. _x000D_
_x000D_
_x000D_
</t>
  </si>
  <si>
    <t xml:space="preserve">In the context of the five review elements, please _x000D_
evaluate the strengths and weaknesses of the proposal with respect to intellectual merit._x000D_
_x000D_
What is the potential for the proposed activity to advance knowledge and understanding within its own field or across different fields?_x000D_
_x000D_
- The scientific theme is unclear._x000D_
_x000D_
In the context of the five review elements, please _x000D_
evaluate the strengths and weaknesses of the proposal with respect to broader impacts._x000D_
_x000D_
What is the potential for the proposed activity to benefit society or advance desired societal outcomes?_x000D_
_x000D_
+ Inclusion of international students will expose non-international students to the true international nature of research._x000D_
_x000D_
Please evaluate the strengths and _x000D_
weaknesses of the proposal with respect to any additional solicitation-specific review criteria, if _x000D_
applicable_x000D_
_x000D_
To what extent do the proposed activities suggest and explore creative, original, or potentially transformative concepts?_x000D_
_x000D_
+_x000D_
- This is not immediately clear in the proposal.  Please clarify, bring this to attention right away._x000D_
_x000D_
Is the plan for carrying out the proposed activities well-reasoned, well-organized, and based on a sound rationale? Does the plan incorporate a mechanism to assess success?_x000D_
_x000D_
+ _x000D_
- The design for three levels of students, Freshman to Seniors, seems like a good idea, but appears to have a gap in defining if these are rising seniors/freshman?  If so, will rising freshman be recruited from high schools?  If rising seniors, then what incentive is there for them to attend instead of going to industry or graduate school?_x000D_
- The idea of prerequisite training labs is clever, but does not appear to address the expected variety of students (freshman to seniors)._x000D_
- What workshops will be available to the students (ie: learning how to present a poster, slide show, etc)?_x000D_
- What team building exercises will be incorporated to enhance the student experience?_x000D_
- The extra tutorials seem good, but you've defined a wide range of students, so an average student is not fair to assume.  This will take 40 hours for which level of students?_x000D_
_x000D_
How well qualified is the individual, team, or institution to conduct the proposed activities?_x000D_
_x000D_
+_x000D_
- The team does not appear to be prepared to carry out the objectives of this REU, given that there appear to be critical gaps in the REU design._x000D_
_x000D_
Are there adequate resources available to the PI (either at the home institution or through collaborations) to carry out the proposed activities? _x000D_
_x000D_
+ The department has agreed to bring in additional international students, who would conduct research with the REU students._x000D_
_x000D_
_x000D_
Summary Statement_x000D_
_x000D_
Research:_x000D_
- Intellectual focus to research projects_x000D_
- Research/projects appropriate for undergraduates_x000D_
- Relevance of the research_x000D_
- Faculty expertise relevant to the proposed research_x000D_
- Discipline faculty involvement as research mentors_x000D_
- PI's prior experience with undergraduate research_x000D_
- Prior results from any previous REU site_x000D_
_x000D_
- Though the projects proposed seem to be interesting ones, they do not clearly weave together into a cohesive vision for a theme of the REU._x000D_
_x000D_
_x000D_
Student Management:_x000D_
- Plan for student management and care_x000D_
- Recruitment plan, diversity of recruitment pool_x000D_
- Outreach activities during the summer experience_x000D_
_x000D_
+ Suitable recruitment plan._x000D_
- The opportunity for outreach activities, or student team building, seems to have been missed._x000D_
- What team building exercises will be included?_x000D_
_x000D_
Evaluation and Dissemination:_x000D_
- Plan to evaluate results of project_x000D_
- Dissemination of results of research as well as of the REU site project overall_x000D_
_x000D_
- it is not clear how the multiple choice or essay responses will be used to evaluate how the REU experience impacted the student, specifically as to how it influenced the student's interest in graduate school._x000D_
_x000D_
_x000D_
General comments:_x000D_
Please consider rewording the first sentence of 4.2.  As it reads now, it almost sounds like you are trying to keep Hispanic or Latinos out._x000D_
In 4.5, all the things mentioned are things that the REU students will NOT benefit from._x000D_
'Emergency: health issues, credit card stolen' are these considered in the same group?_x000D_
_x000D_
_x000D_
</t>
  </si>
  <si>
    <t>New REU Site Proposal_x000D_
Project Title:_x000D_
REU Site: Reliable and Secure Autonomous Systems_x000D_
Principal Investigator:  Christophe Bobda  _x000D_
Submitting organization: University of Arkansas, Fayetteville, AR _x000D_
Other organizations involved: None _x000D_
Main fields of the research: Computer Engineering, Robotics, 3D-Printing and Manufacturing._x000D_
No. of undergraduate participants per year: 10 _x000D_
Site Type: Summer REU Site _x000D_
No. of weeks per year that the students will participate:} 10_x000D_
International component or RET component?: No _x000D_
Point-of-contact for student applicants: Christophe Bobda; phone: 479-575-4797; email:cbobda@uark.edu _x000D_
Web address for information about the REU Site:} www.reu-rsas.uark.edu_x000D_
_x000D_
_x000D_
The PIs are requesting funding for a new REU site devoted to research in reliable and secure autonomous systems at the University of Arkansas (UA). Undergraduate students will perform research in a 10 weeks period in a multidisciplinary setup under the guidance of faculty from the computer science and computer engineering, mechanical engineering, and industrial engineering. The complementary research work of mentors in the fields of computer architecture, embedded systems, robotics, manufacturing, 3D printing, image processing, and multi-agent systems will help participating students to better understand research questions and challenges in designing and operating autonomous systems, including adaptivity, dependability and security.  Participating students will be recruited in computer science, computer engineering, electrical engineering, mechanical engineering, and industrial engineering, from the University of Arkansas and other institutions in the country, including 4-year colleges with low research activities.Beyond the internship, the faculty involved in the program have developed plans to (1) help students in their professional development by strengthening the knowledge gained during the internship and (2) reinforce the multidisciplinary research collaboration within and beyond the REU framework. The college of engineering at the University of Arkansas has been hosting international summer internships with participating students from France, Germany, Mexico and Brazil. The integration of the proposed REU within the existing international framework will increase international exposure of participating students.Methods, tools developed in this project will help to tackle system complexity, reduce costs and time-to- market, and increase the security and reliability of autonomous systems. These systems are increasingly in use in robots, planes, unmanned air, ground and space vehicles, communication systems, energy and weaponry. Insuring a proper operation of those infrastructure under failure and cyber attacks is of utmost importance. The economical impact of the proposed research is therefore far reaching. The proposed research will meet other broader goals, including undergraduate research and education and student diversity in Arkansas and the rest of the country. The UA is committed to providing excellent undergraduate research experiences for a diverse group of STEM students. Summer REU programs are coordinated by the Office of Undergraduate Research which facilitates the application process, housing, and professional development activities in collaboration with the REU directors. The PIs will work work with the UA Engineering Career Awareness Program (ECAP) and will commit extra resources to better prepare women and minority students.</t>
  </si>
  <si>
    <t>NSF 17-529</t>
  </si>
  <si>
    <t>05050000</t>
  </si>
  <si>
    <t>7918</t>
  </si>
  <si>
    <t>CPSFRT2017</t>
  </si>
  <si>
    <t>CNS</t>
  </si>
  <si>
    <t>Milan</t>
  </si>
  <si>
    <t>E/V,V/G,V/G,V/G</t>
  </si>
  <si>
    <t>CPS: Frontier: Collaborative Research: Interfacing Molecular Sensing, Computing, and Actuation with Humanized Animal Models</t>
  </si>
  <si>
    <t>mns18@columbia.edu</t>
  </si>
  <si>
    <t>1739054</t>
  </si>
  <si>
    <t>Rudchenko</t>
  </si>
  <si>
    <t>Sergei</t>
  </si>
  <si>
    <t>Hospital For Spec Surgery</t>
  </si>
  <si>
    <t>Rudchenkos@hss.edu</t>
  </si>
  <si>
    <t>1739194</t>
  </si>
  <si>
    <t>Stefanovic</t>
  </si>
  <si>
    <t>Darko</t>
  </si>
  <si>
    <t>University of New Mexico</t>
  </si>
  <si>
    <t>darko@cs.unm.edu</t>
  </si>
  <si>
    <t>Amit</t>
  </si>
  <si>
    <t>Syracuse University</t>
  </si>
  <si>
    <t>V,V,V/G,G</t>
  </si>
  <si>
    <t>CPS: Frontier: Collaborative Research: TAURUAS - Trusted, Autonomous and Resilient Unmanned Aerial Systems</t>
  </si>
  <si>
    <t>aksanyal@syr.edu</t>
  </si>
  <si>
    <t>1739133</t>
  </si>
  <si>
    <t>Cummings</t>
  </si>
  <si>
    <t>Mary</t>
  </si>
  <si>
    <t>m.cummings@duke.edu</t>
  </si>
  <si>
    <t>1739169</t>
  </si>
  <si>
    <t>Worcester Polytech Inst</t>
  </si>
  <si>
    <t>aclark@wpi.edu</t>
  </si>
  <si>
    <t>1739227</t>
  </si>
  <si>
    <t>Poovendran</t>
  </si>
  <si>
    <t>Radha</t>
  </si>
  <si>
    <t>CPS: FRONTIER: Collaborative Research: TAURUAS - Trusted, Autonomous and Resilient Unmanned Aerial Systems</t>
  </si>
  <si>
    <t>rp3@uw.edu</t>
  </si>
  <si>
    <t>1739256</t>
  </si>
  <si>
    <t>Kolmanovsky</t>
  </si>
  <si>
    <t>Ilya V.</t>
  </si>
  <si>
    <t>CPS: Frontier: Collaborative Research: TAURUAS - Trusted Autonomous and Resilient Unmanned Aerial System&amp;#8203;s</t>
  </si>
  <si>
    <t>ilya@umich.edu</t>
  </si>
  <si>
    <t>Insup</t>
  </si>
  <si>
    <t>U of Pennsylvania</t>
  </si>
  <si>
    <t>CPS: Frontier: Collaborative Research: Rigorous Design and Analysis of Closed-Loop Medical CPS</t>
  </si>
  <si>
    <t>lee@cis.upenn.edu</t>
  </si>
  <si>
    <t>1739127</t>
  </si>
  <si>
    <t>Pajic</t>
  </si>
  <si>
    <t>Miroslav</t>
  </si>
  <si>
    <t>miroslav.pajic@duke.edu</t>
  </si>
  <si>
    <t>1739198</t>
  </si>
  <si>
    <t>Jin-Oh</t>
  </si>
  <si>
    <t>jhahn12@umd.edu</t>
  </si>
  <si>
    <t>1739274</t>
  </si>
  <si>
    <t>Feng</t>
  </si>
  <si>
    <t>Lu</t>
  </si>
  <si>
    <t>lf9u@virginia.edu</t>
  </si>
  <si>
    <t>CPS: Frontier: Collaborative Research: Revolutionizing Cyberphysical Design with Semi-Autonomous, Data-Driven Optimization Techniques</t>
  </si>
  <si>
    <t>jmanoff@uw.edu</t>
  </si>
  <si>
    <t>TN</t>
  </si>
  <si>
    <t>Janos</t>
  </si>
  <si>
    <t>Vanderbilt University</t>
  </si>
  <si>
    <t>V/G,G,F,F</t>
  </si>
  <si>
    <t>CPS:Frontier:Collaborative Research: Design of High Confidence Learning and Adaptive Systems for CPS (HiCLAS-CPS)</t>
  </si>
  <si>
    <t>Janos.Sztipanovits@Vanderbilt.edu</t>
  </si>
  <si>
    <t>1739376</t>
  </si>
  <si>
    <t>Tomlin</t>
  </si>
  <si>
    <t>CPS:Frontier:Collaborative Research:Design of High Confidence Learning and Adaptive Systems for CPS (HiCLAS-CPS)</t>
  </si>
  <si>
    <t>tomlin@eecs.berkeley.edu</t>
  </si>
  <si>
    <t>Ian</t>
  </si>
  <si>
    <t>V,G,F,P</t>
  </si>
  <si>
    <t>CPS: Frontier: Collaborative Research: Internet of Bio-Nano Things for Early Detection of Infections</t>
  </si>
  <si>
    <t>ian@ece.gatech.edu</t>
  </si>
  <si>
    <t>1739814</t>
  </si>
  <si>
    <t>Bilen</t>
  </si>
  <si>
    <t>Mehmet</t>
  </si>
  <si>
    <t>Emory University</t>
  </si>
  <si>
    <t>CPS: Frontier: Collaborative Research: Internet of Bio-NanoThings for Early Detection of Infections</t>
  </si>
  <si>
    <t>mehmet.a.bilen@emory.edu</t>
  </si>
  <si>
    <t>Ismail</t>
  </si>
  <si>
    <t>V/G,G,G,G</t>
  </si>
  <si>
    <t>CPS: Frontier: Collaborative Research: Data-Driven Disaster and Energy Management for the Electric Power Grid</t>
  </si>
  <si>
    <t>iguvenc@ncsu.edu</t>
  </si>
  <si>
    <t>1739359</t>
  </si>
  <si>
    <t>Demir</t>
  </si>
  <si>
    <t>Ibrahim</t>
  </si>
  <si>
    <t>ibrahim-demir@uiowa.edu</t>
  </si>
  <si>
    <t>1739527</t>
  </si>
  <si>
    <t>Cali</t>
  </si>
  <si>
    <t>Umit</t>
  </si>
  <si>
    <t>U of NC Charlotte</t>
  </si>
  <si>
    <t>ucali@uncc.edu</t>
  </si>
  <si>
    <t>1739877</t>
  </si>
  <si>
    <t>Saad</t>
  </si>
  <si>
    <t>Walid</t>
  </si>
  <si>
    <t>walids@vt.edu</t>
  </si>
  <si>
    <t>G,G,G,G/F</t>
  </si>
  <si>
    <t>CPS: Frontier: Collaborative Research: Networked HCPS: Models, Architectures and Performance Evaluation</t>
  </si>
  <si>
    <t>baras@umd.edu</t>
  </si>
  <si>
    <t>1739754</t>
  </si>
  <si>
    <t>Tara</t>
  </si>
  <si>
    <t>U of Cal San Diego</t>
  </si>
  <si>
    <t>CPS: Frontier:  Collaborative Research: Networked HCPS: Models, Architectures and Performance Evaluation</t>
  </si>
  <si>
    <t>tara@ece.ucsd.edu</t>
  </si>
  <si>
    <t>Sandip</t>
  </si>
  <si>
    <t>Washington State Univ</t>
  </si>
  <si>
    <t>V,V/G,G,F</t>
  </si>
  <si>
    <t>CPS: Frontier: Collaborative Research: Wide-Area Monitoring and Control of Hidden Dynamic Cascades in Cyber-Physical Infrastructures</t>
  </si>
  <si>
    <t>sroy@eecs.wsu.edu</t>
  </si>
  <si>
    <t>1739202</t>
  </si>
  <si>
    <t>PRECIADO</t>
  </si>
  <si>
    <t>VICTOR</t>
  </si>
  <si>
    <t>preciado@seas.upenn.edu</t>
  </si>
  <si>
    <t>1739463</t>
  </si>
  <si>
    <t>Lesieutre</t>
  </si>
  <si>
    <t>Bernard</t>
  </si>
  <si>
    <t>lesieutre@wisc.edu</t>
  </si>
  <si>
    <t>1740027</t>
  </si>
  <si>
    <t>Pasqualetti</t>
  </si>
  <si>
    <t>Fabio</t>
  </si>
  <si>
    <t>fabio.pasqualetti@ucr.edu</t>
  </si>
  <si>
    <t>Ryan</t>
  </si>
  <si>
    <t>V,G,G,F</t>
  </si>
  <si>
    <t>CPS: Frontier: Collaborative Research: Assurance in Aviation CPS</t>
  </si>
  <si>
    <t>rgerdes@vt.edu</t>
  </si>
  <si>
    <t>1739079</t>
  </si>
  <si>
    <t>Kohno</t>
  </si>
  <si>
    <t>Tadayoshi</t>
  </si>
  <si>
    <t>yoshi@cs.washington.edu</t>
  </si>
  <si>
    <t>1739237</t>
  </si>
  <si>
    <t>CPS:Frontier:Collaborative Research: Assurance in Aviation CPS</t>
  </si>
  <si>
    <t>wang626@usc.edu</t>
  </si>
  <si>
    <t>1739786</t>
  </si>
  <si>
    <t>Beckman</t>
  </si>
  <si>
    <t>Wendy</t>
  </si>
  <si>
    <t>Middle Tennessee St Univ</t>
  </si>
  <si>
    <t>wbeckman@mtsu.edu</t>
  </si>
  <si>
    <t>CPS:Frontier:Collaborative Research:CISTERN: Community Based Intelligent Stormwater Networks</t>
  </si>
  <si>
    <t>nalini@ics.uci.edu</t>
  </si>
  <si>
    <t>1739367</t>
  </si>
  <si>
    <t>Low</t>
  </si>
  <si>
    <t>Steven</t>
  </si>
  <si>
    <t>California Inst of Tech</t>
  </si>
  <si>
    <t>slow@caltech.edu</t>
  </si>
  <si>
    <t>1739749</t>
  </si>
  <si>
    <t>Talcott</t>
  </si>
  <si>
    <t>Carolyn</t>
  </si>
  <si>
    <t>SRI International</t>
  </si>
  <si>
    <t>clt@cs.stanford.edu</t>
  </si>
  <si>
    <t>CARCSFY18</t>
  </si>
  <si>
    <t>V,V,G,G/F</t>
  </si>
  <si>
    <t>CAREER: Enabling "White-Box" Autonomy in Medical Cyber-Physical Systems</t>
  </si>
  <si>
    <t>1045 9150</t>
  </si>
  <si>
    <t>Debasis</t>
  </si>
  <si>
    <t>North Dakota State U Fargo</t>
  </si>
  <si>
    <t>CAREER:Wireless Body Area Network Sensors: A New Pathway for Ultra-Low-Power, Security and Adaptability to Dynamic Changes</t>
  </si>
  <si>
    <t>debasis.dawn@ndsu.edu</t>
  </si>
  <si>
    <t>Vanessa</t>
  </si>
  <si>
    <t>E/V,V/G,G,G</t>
  </si>
  <si>
    <t>CAREER: Data-driven Models of Human Mobility and Resilience for Decision Making</t>
  </si>
  <si>
    <t>vfrias@umd.edu</t>
  </si>
  <si>
    <t>Shengzhi</t>
  </si>
  <si>
    <t>Florida Institute of Tech</t>
  </si>
  <si>
    <t>F,F,F,P</t>
  </si>
  <si>
    <t>CAREER: Securing Autonomous Driving Vehicles Using ARM TrustZone</t>
  </si>
  <si>
    <t>zhangs@cs.fit.edu</t>
  </si>
  <si>
    <t>Ran</t>
  </si>
  <si>
    <t>V,G,G,G,F,F,F,F</t>
  </si>
  <si>
    <t>CAREER: Cognitive Smart Manufacturing Autonomy</t>
  </si>
  <si>
    <t>jran5@vt.edu</t>
  </si>
  <si>
    <t>Haibo</t>
  </si>
  <si>
    <t>CAREER: Revolutionizing Optimization Techniques for Time-Critical CPS</t>
  </si>
  <si>
    <t>hbzeng@vt.edu</t>
  </si>
  <si>
    <t>Yanhua</t>
  </si>
  <si>
    <t>CAREER: CityMind: Spatial-Temporal-Human Knowledge Transfer for Urban Transportation Evolution Planning</t>
  </si>
  <si>
    <t>yli15@wpi.edu</t>
  </si>
  <si>
    <t>Quanyan</t>
  </si>
  <si>
    <t>G,G/F,F,F/P</t>
  </si>
  <si>
    <t>CAREER: Systemic Game-Theoretic Analysis and Design for Cross-Layer Cyber-Physical System Security and Resilience</t>
  </si>
  <si>
    <t>quanyan.zhu@nyu.edu</t>
  </si>
  <si>
    <t>Huan</t>
  </si>
  <si>
    <t>G,G,G/F,F</t>
  </si>
  <si>
    <t>CAREER: Autonomous Mission Planning for UAS in Unstructured Environments</t>
  </si>
  <si>
    <t>mumu@umd.edu</t>
  </si>
  <si>
    <t>Dong</t>
  </si>
  <si>
    <t>University of Notre Dame</t>
  </si>
  <si>
    <t>V,V/G,G,G</t>
  </si>
  <si>
    <t>CAREER: Towards Reliable and Optimized Data-driven Cyber-Physical Systems using Crowdsensing</t>
  </si>
  <si>
    <t>dwang5@nd.edu</t>
  </si>
  <si>
    <t>Zhaodan</t>
  </si>
  <si>
    <t>CAREER: Foundations for Safe and Cognitive-Aware Human-Cyber-Physical Systems</t>
  </si>
  <si>
    <t>zdkong@ucdavis.edu</t>
  </si>
  <si>
    <t>Kaikai</t>
  </si>
  <si>
    <t>San Jose State Univ Fdn</t>
  </si>
  <si>
    <t>E,V/G,G,G/F</t>
  </si>
  <si>
    <t>CAREER: Intelligent Localization and Navigation Systems for Autonomous Scooters</t>
  </si>
  <si>
    <t>kaikai.liu@sjsu.edu</t>
  </si>
  <si>
    <t>Kyriakos G.</t>
  </si>
  <si>
    <t>E/V,V/G,V/G,G</t>
  </si>
  <si>
    <t>CAREER:Towards an Intermittent Learning Framework for Smart and Efficient Cyber-Physical Autonomy</t>
  </si>
  <si>
    <t>kyriakos@vt.edu</t>
  </si>
  <si>
    <t>Parasara</t>
  </si>
  <si>
    <t>CAREER: A Rigorous Framework for End-To-End Certification of Autonomous Vehicles</t>
  </si>
  <si>
    <t>psd@engr.uconn.edu</t>
  </si>
  <si>
    <t>Grace Xingxin</t>
  </si>
  <si>
    <t>E,V/G,V/G,G</t>
  </si>
  <si>
    <t>CAREER: High Integrity Navigation for Autonomous Vehicles</t>
  </si>
  <si>
    <t>gracegao@illinois.edu</t>
  </si>
  <si>
    <t>Karthik</t>
  </si>
  <si>
    <t>G,G,F,P</t>
  </si>
  <si>
    <t>CAREER: Energy-Centric Autonomy in Micro-Aerial Vehicles</t>
  </si>
  <si>
    <t>kdantu@buffalo.edu</t>
  </si>
  <si>
    <t>Adrian</t>
  </si>
  <si>
    <t>U of Louisville Res Fdn</t>
  </si>
  <si>
    <t>V,V/G,G/F,G/F</t>
  </si>
  <si>
    <t>CAREER: CyclONE: Synoptic-Scale Real-Time Sensing with Unmanned Aerial Systems</t>
  </si>
  <si>
    <t>adrian.lauf@louisville.edu</t>
  </si>
  <si>
    <t>Zak</t>
  </si>
  <si>
    <t>V,V,G,G</t>
  </si>
  <si>
    <t>CAREER: Situational Awareness Strategies for Autonomous Systems in Dynamic Uncertain Environments</t>
  </si>
  <si>
    <t>zak.kassas@ucr.edu</t>
  </si>
  <si>
    <t>Travis</t>
  </si>
  <si>
    <t>U of Alabama Tuscaloosa</t>
  </si>
  <si>
    <t>F,F,P,P</t>
  </si>
  <si>
    <t>CAREER: An Efficient, Safe, and Secure Traffic Infrastructure (ESSTI)</t>
  </si>
  <si>
    <t>atkison@cs.ua.edu</t>
  </si>
  <si>
    <t>Taylor</t>
  </si>
  <si>
    <t>CAREER: Provable Cyber-Physical Safety and Security in Intra and Inter-Vehicular Networks</t>
  </si>
  <si>
    <t>taylor.johnson@gmail.com</t>
  </si>
  <si>
    <t>Haiyang</t>
  </si>
  <si>
    <t>U of Kansas Ctr for Res In</t>
  </si>
  <si>
    <t>G,G,F,F</t>
  </si>
  <si>
    <t>CAREER: CPS: Collaborative Sensing and Surfing of Spatio-Temporal Wind for Improved Safety and Increased Autonomy of Next Generation UAS Networks</t>
  </si>
  <si>
    <t>chaohaiyang@ku.edu</t>
  </si>
  <si>
    <t>Julian</t>
  </si>
  <si>
    <t>Western Washington Univ</t>
  </si>
  <si>
    <t>G/F,G/F,F,F</t>
  </si>
  <si>
    <t>CAREER: INDUSTRIAL MIRAGE IN CYBER SPACE</t>
  </si>
  <si>
    <t>julian.rrushi@wwu.edu</t>
  </si>
  <si>
    <t>Depeng</t>
  </si>
  <si>
    <t>G/F,F,F,P</t>
  </si>
  <si>
    <t>CAREER: CPS: New Access Control Mechanism for Internet of Things and its  Application of Air Vehicle System</t>
  </si>
  <si>
    <t>depengli@hawaii.edu</t>
  </si>
  <si>
    <t>17-537FY18</t>
  </si>
  <si>
    <t>Ye (Sarah)</t>
  </si>
  <si>
    <t>Mich Technological Univ</t>
  </si>
  <si>
    <t>E,V,V,V,V/G,V/G,V/G,G,G,G,F</t>
  </si>
  <si>
    <t>CAREER: System-on-Cloth: A Cloud Manufacturing Framework for Embroidered Wearable Electronics</t>
  </si>
  <si>
    <t>yes@mtu.edu</t>
  </si>
  <si>
    <t>Ali</t>
  </si>
  <si>
    <t>North Carolina A&amp;T St Univ</t>
  </si>
  <si>
    <t>V/G,G,G,P</t>
  </si>
  <si>
    <t>CAREER: Resilient Distributed Cooporative Control of Autonomous Vehicles</t>
  </si>
  <si>
    <t>akarimod@ncat.edu</t>
  </si>
  <si>
    <t>NSF 13-542</t>
  </si>
  <si>
    <t>1139</t>
  </si>
  <si>
    <t>REUSITE18</t>
  </si>
  <si>
    <t>Song</t>
  </si>
  <si>
    <t>University of North Texas</t>
  </si>
  <si>
    <t>Pending, De-recommended</t>
  </si>
  <si>
    <t>REU Site: Research in Autonomous Vehicular Information Technology and Automotive Smart Things</t>
  </si>
  <si>
    <t>song.fu@unt.edu</t>
  </si>
  <si>
    <t>116E 9178 9250</t>
  </si>
  <si>
    <t>Jie</t>
  </si>
  <si>
    <t>REU Site: Digital and Cyber Connected and Automated Vehicles</t>
  </si>
  <si>
    <t>shen@umich.edu</t>
  </si>
  <si>
    <t>Wei</t>
  </si>
  <si>
    <t>Virginia Commonwealth Univ</t>
  </si>
  <si>
    <t>G,G/F,F,F,F</t>
  </si>
  <si>
    <t>REU Site: Undergraduate Research in Cyber-Physical Systems</t>
  </si>
  <si>
    <t>wzhang4@vcu.edu</t>
  </si>
  <si>
    <t>RNEW</t>
  </si>
  <si>
    <t>Lawrence</t>
  </si>
  <si>
    <t>E,V,V,G/F</t>
  </si>
  <si>
    <t>REU Site: Undergraduate Research in Smart Environments</t>
  </si>
  <si>
    <t>holder@eecs.wsu.edu</t>
  </si>
  <si>
    <t>Jiawei</t>
  </si>
  <si>
    <t>Embry Riddle Aero Univ</t>
  </si>
  <si>
    <t>V,V,V,V</t>
  </si>
  <si>
    <t>REU Site: Cybersecurity Research of Unmanned Aerial Vehicles</t>
  </si>
  <si>
    <t>yuanj@erau.edu</t>
  </si>
  <si>
    <t>V,V,G,G,G/F</t>
  </si>
  <si>
    <t>REU Site: Intelligent and Scalable Systems</t>
  </si>
  <si>
    <t>Sungyong</t>
  </si>
  <si>
    <t>U of Texas Arlington</t>
  </si>
  <si>
    <t>F,F,F,F</t>
  </si>
  <si>
    <t>REU Site: Smart Distributed Data Sensing and Processing Systems</t>
  </si>
  <si>
    <t>jung@uta.edu</t>
  </si>
  <si>
    <t>Jiafeng</t>
  </si>
  <si>
    <t>Wright State University</t>
  </si>
  <si>
    <t>G/F,F,P,P</t>
  </si>
  <si>
    <t>REU Site: Undergraduate Research in Designing and Implementing Secure Internet-of-Things (IoT)-Related Embedded Devices</t>
  </si>
  <si>
    <t>jiafeng.xie@wright.edu</t>
  </si>
  <si>
    <t>David</t>
  </si>
  <si>
    <t>E,E,E,E</t>
  </si>
  <si>
    <t>REU Site:  Making Future Communities: Infrastructure and Interaction Design for Cyber-Physical Systems</t>
  </si>
  <si>
    <t>davils@uncc.edu</t>
  </si>
  <si>
    <t>Vangelis</t>
  </si>
  <si>
    <t>Texas State U - San Marcos</t>
  </si>
  <si>
    <t>V,V,V/G,G/F</t>
  </si>
  <si>
    <t>REU Site: Research Experiences for Undergraduates in Smart &amp; Connected Communities</t>
  </si>
  <si>
    <t>vmetsis@txstate.edu</t>
  </si>
  <si>
    <t>9150 9250</t>
  </si>
  <si>
    <t>Sebastian</t>
  </si>
  <si>
    <t>REU SITE: UNDERGRADUATE RESEARCH OPPORTUNITIES IN UNMANNED SYSTEMS FOUNDATIONS AND APPLICATIONS</t>
  </si>
  <si>
    <t>elbaum@cse.unl.edu</t>
  </si>
  <si>
    <t>Toluwalogo</t>
  </si>
  <si>
    <t>V/G,G,G,G/F</t>
  </si>
  <si>
    <t>Pending, PM recommends decline</t>
  </si>
  <si>
    <t>Designing the Future through Integrative Research in Cyber-Physical Systems</t>
  </si>
  <si>
    <t>tbo4z@virginia.edu</t>
  </si>
  <si>
    <t>Ashwin</t>
  </si>
  <si>
    <t>Ga State U Res Fdn, Inc.</t>
  </si>
  <si>
    <t>V,G,F,F</t>
  </si>
  <si>
    <t>REU Site: Developing Smart and Autonomous Internet-of-Things Systems</t>
  </si>
  <si>
    <t>aashok@gsu.edu</t>
  </si>
  <si>
    <t>Dulal</t>
  </si>
  <si>
    <t>TX A&amp;M U Corpus Christi</t>
  </si>
  <si>
    <t>REU Site: Applied Computing Research in Unmanned Aerial Systems</t>
  </si>
  <si>
    <t>dulal.kar@tamucc.edu</t>
  </si>
  <si>
    <t>Christophe</t>
  </si>
  <si>
    <t>U of Arkansas</t>
  </si>
  <si>
    <t>F,F,F,F/P</t>
  </si>
  <si>
    <t>REU Site:Reliable and Secure Autonomous Systems</t>
  </si>
  <si>
    <t>cbobda@uark.edu</t>
  </si>
  <si>
    <t>CPS Frontiers (2017)</t>
  </si>
  <si>
    <t xml:space="preserve"> E/V,V/G,V/G,V/G</t>
  </si>
  <si>
    <t>11 rated projects , 3 C, 6 LC, 2 NC</t>
  </si>
  <si>
    <t>Cyber-Physical Systems</t>
  </si>
  <si>
    <t>Division Of Computer and Network Systems</t>
  </si>
  <si>
    <t>CYBER-PHYSICAL SYSTEMS (CPS)</t>
  </si>
  <si>
    <t>David Corman</t>
  </si>
  <si>
    <t xml:space="preserve">mns18@columbia.edu;Rudchenkos@hss.edu;darko@cs.unm.edu    </t>
  </si>
  <si>
    <t xml:space="preserve"> V,V,V/G,G</t>
  </si>
  <si>
    <t xml:space="preserve">aksanyal@syr.edu;m.cummings@duke.edu;aclark@wpi.edu;rp3@uw.edu;ilya@umich.edu  </t>
  </si>
  <si>
    <t xml:space="preserve">lee@cis.upenn.edu;miroslav.pajic@duke.edu;jhahn12@umd.edu;lf9u@virginia.edu   </t>
  </si>
  <si>
    <t xml:space="preserve">jmanoff@uw.edu      </t>
  </si>
  <si>
    <t xml:space="preserve"> V/G,G,F,F</t>
  </si>
  <si>
    <t xml:space="preserve">Janos.Sztipanovits@Vanderbilt.edu;tomlin@eecs.berkeley.edu     </t>
  </si>
  <si>
    <t xml:space="preserve"> V,G,F,P</t>
  </si>
  <si>
    <t xml:space="preserve">ian@ece.gatech.edu;mehmet.a.bilen@emory.edu     </t>
  </si>
  <si>
    <t xml:space="preserve"> V/G,G,G,G</t>
  </si>
  <si>
    <t xml:space="preserve">iguvenc@ncsu.edu;ibrahim-demir@uiowa.edu;ucali@uncc.edu;walids@vt.edu   </t>
  </si>
  <si>
    <t xml:space="preserve"> G,G,G,G/F</t>
  </si>
  <si>
    <t xml:space="preserve">baras@umd.edu;tara@ece.ucsd.edu     </t>
  </si>
  <si>
    <t xml:space="preserve"> V,V/G,G,F</t>
  </si>
  <si>
    <t xml:space="preserve">sroy@eecs.wsu.edu;preciado@seas.upenn.edu;lesieutre@wisc.edu;fabio.pasqualetti@ucr.edu   </t>
  </si>
  <si>
    <t xml:space="preserve"> V,G,G,F</t>
  </si>
  <si>
    <t xml:space="preserve">rgerdes@vt.edu;yoshi@cs.washington.edu;wang626@usc.edu;wbeckman@mtsu.edu   </t>
  </si>
  <si>
    <t xml:space="preserve">nalini@ics.uci.edu;slow@caltech.edu;clt@cs.stanford.edu    </t>
  </si>
  <si>
    <t>CPS CAREER</t>
  </si>
  <si>
    <t xml:space="preserve"> V,V,G,G/F</t>
  </si>
  <si>
    <t>25 rated projects: 1 HC, 6 C, 11 LC, 7 NC</t>
  </si>
  <si>
    <t xml:space="preserve">jhahn12@umd.edu      </t>
  </si>
  <si>
    <t xml:space="preserve">debasis.dawn@ndsu.edu      </t>
  </si>
  <si>
    <t xml:space="preserve"> E/V,V/G,G,G</t>
  </si>
  <si>
    <t xml:space="preserve">vfrias@umd.edu      </t>
  </si>
  <si>
    <t xml:space="preserve"> F,F,F,P</t>
  </si>
  <si>
    <t xml:space="preserve">zhangs@cs.fit.edu      </t>
  </si>
  <si>
    <t>P180195</t>
  </si>
  <si>
    <t>006Y/018Y OE/CM CAREER Proposal Review - Manufacturing</t>
  </si>
  <si>
    <t xml:space="preserve"> G ,F ,F,F</t>
  </si>
  <si>
    <t>9 rated projects</t>
  </si>
  <si>
    <t xml:space="preserve"> V,G ,G ,F</t>
  </si>
  <si>
    <t xml:space="preserve">jran5@vt.edu      </t>
  </si>
  <si>
    <t xml:space="preserve">hbzeng@vt.edu      </t>
  </si>
  <si>
    <t xml:space="preserve">yli15@wpi.edu      </t>
  </si>
  <si>
    <t xml:space="preserve"> G,G/F,F,F/P</t>
  </si>
  <si>
    <t xml:space="preserve">quanyan.zhu@nyu.edu      </t>
  </si>
  <si>
    <t xml:space="preserve"> G,G,G/F,F</t>
  </si>
  <si>
    <t xml:space="preserve">mumu@umd.edu      </t>
  </si>
  <si>
    <t xml:space="preserve"> V,V/G,G,G</t>
  </si>
  <si>
    <t xml:space="preserve">dwang5@nd.edu      </t>
  </si>
  <si>
    <t xml:space="preserve">zdkong@ucdavis.edu      </t>
  </si>
  <si>
    <t xml:space="preserve"> E,V/G,G,G/F</t>
  </si>
  <si>
    <t xml:space="preserve">kaikai.liu@sjsu.edu      </t>
  </si>
  <si>
    <t xml:space="preserve"> E/V,V/G,V/G,G</t>
  </si>
  <si>
    <t xml:space="preserve">kyriakos@vt.edu      </t>
  </si>
  <si>
    <t xml:space="preserve">psd@engr.uconn.edu      </t>
  </si>
  <si>
    <t xml:space="preserve"> E,V/G,V/G,G</t>
  </si>
  <si>
    <t xml:space="preserve">gracegao@illinois.edu      </t>
  </si>
  <si>
    <t xml:space="preserve"> G,G,F,P</t>
  </si>
  <si>
    <t>Jonathan Sprinkle</t>
  </si>
  <si>
    <t xml:space="preserve">kdantu@buffalo.edu      </t>
  </si>
  <si>
    <t xml:space="preserve"> V,V/G,G/F,G/F</t>
  </si>
  <si>
    <t xml:space="preserve">adrian.lauf@louisville.edu      </t>
  </si>
  <si>
    <t xml:space="preserve"> V,V,G,G</t>
  </si>
  <si>
    <t xml:space="preserve">zak.kassas@ucr.edu      </t>
  </si>
  <si>
    <t xml:space="preserve"> F,F,P,P</t>
  </si>
  <si>
    <t xml:space="preserve">atkison@cs.ua.edu      </t>
  </si>
  <si>
    <t xml:space="preserve">taylor.johnson@gmail.com      </t>
  </si>
  <si>
    <t xml:space="preserve"> G,G,F,F</t>
  </si>
  <si>
    <t xml:space="preserve">chaohaiyang@ku.edu      </t>
  </si>
  <si>
    <t xml:space="preserve"> G/F,G/F,F,F</t>
  </si>
  <si>
    <t xml:space="preserve">julian.rrushi@wwu.edu      </t>
  </si>
  <si>
    <t xml:space="preserve"> G/F,F,F,P</t>
  </si>
  <si>
    <t xml:space="preserve">depengli@hawaii.edu      </t>
  </si>
  <si>
    <t>P172373</t>
  </si>
  <si>
    <t>1468 MME CAREER Proposal Review Panel 1</t>
  </si>
  <si>
    <t xml:space="preserve"> V/G ,G,G</t>
  </si>
  <si>
    <t>16 rated projects</t>
  </si>
  <si>
    <t xml:space="preserve"> V  ,V/G ,G  ,F</t>
  </si>
  <si>
    <t xml:space="preserve"> E,V ,V,V/G</t>
  </si>
  <si>
    <t xml:space="preserve">yes@mtu.edu      </t>
  </si>
  <si>
    <t xml:space="preserve"> V/G,G,G,P</t>
  </si>
  <si>
    <t xml:space="preserve">akarimod@ncat.edu      </t>
  </si>
  <si>
    <t>REU SITE - CIS</t>
  </si>
  <si>
    <t>15 rated projects: 3 HC, 3 C, 7 LC, 2 NC</t>
  </si>
  <si>
    <t>Research Experiences for Undergraduates</t>
  </si>
  <si>
    <t>RSCH EXPER FOR UNDERGRAD SITES</t>
  </si>
  <si>
    <t xml:space="preserve">song.fu@unt.edu      </t>
  </si>
  <si>
    <t xml:space="preserve">shen@umich.edu      </t>
  </si>
  <si>
    <t xml:space="preserve"> G,G/F,F,F,F</t>
  </si>
  <si>
    <t xml:space="preserve">wzhang4@vcu.edu      </t>
  </si>
  <si>
    <t xml:space="preserve"> E,V,V,G/F</t>
  </si>
  <si>
    <t>Renewal</t>
  </si>
  <si>
    <t xml:space="preserve">holder@eecs.wsu.edu      </t>
  </si>
  <si>
    <t xml:space="preserve"> V,V,V,V</t>
  </si>
  <si>
    <t xml:space="preserve">yuanj@erau.edu      </t>
  </si>
  <si>
    <t xml:space="preserve"> V,V,G,G,G/F</t>
  </si>
  <si>
    <t xml:space="preserve"> F,F,F,F</t>
  </si>
  <si>
    <t xml:space="preserve">jung@uta.edu      </t>
  </si>
  <si>
    <t xml:space="preserve"> G/F,F,P,P</t>
  </si>
  <si>
    <t xml:space="preserve">jiafeng.xie@wright.edu      </t>
  </si>
  <si>
    <t xml:space="preserve"> E,E,E,E</t>
  </si>
  <si>
    <t xml:space="preserve">davils@uncc.edu      </t>
  </si>
  <si>
    <t xml:space="preserve"> V,V,V/G,G/F</t>
  </si>
  <si>
    <t xml:space="preserve">vmetsis@txstate.edu      </t>
  </si>
  <si>
    <t xml:space="preserve">elbaum@cse.unl.edu      </t>
  </si>
  <si>
    <t xml:space="preserve"> V/G,G,G,G/F</t>
  </si>
  <si>
    <t xml:space="preserve">tbo4z@virginia.edu      </t>
  </si>
  <si>
    <t xml:space="preserve"> V,G,F,F</t>
  </si>
  <si>
    <t xml:space="preserve">aashok@gsu.edu      </t>
  </si>
  <si>
    <t xml:space="preserve">dulal.kar@tamucc.edu      </t>
  </si>
  <si>
    <t xml:space="preserve"> F,F,F,F/P</t>
  </si>
  <si>
    <t xml:space="preserve">cbobda@uark.edu      </t>
  </si>
  <si>
    <t>A3007-01</t>
  </si>
  <si>
    <t>FWA00007077</t>
  </si>
  <si>
    <t xml:space="preserve">Germany; Portugal      </t>
  </si>
  <si>
    <t>FWA00004206</t>
  </si>
  <si>
    <t>NA</t>
  </si>
  <si>
    <t>00005792</t>
  </si>
  <si>
    <t xml:space="preserve"> A3180-01</t>
  </si>
  <si>
    <t>06/28/21</t>
  </si>
  <si>
    <t xml:space="preserve"> FWA00003429</t>
  </si>
  <si>
    <t xml:space="preserve">France; Germany; Spain; United Kingdom    </t>
  </si>
  <si>
    <t>FWA00000572</t>
  </si>
  <si>
    <t>03/16/16</t>
  </si>
  <si>
    <t xml:space="preserve"> 00005856</t>
  </si>
  <si>
    <t>06/12/16</t>
  </si>
  <si>
    <t>MTSU #16-2294</t>
  </si>
  <si>
    <t xml:space="preserve"> FWA00002462</t>
  </si>
  <si>
    <t xml:space="preserve">United Kingdom       </t>
  </si>
  <si>
    <t xml:space="preserve">Japan; Korea, South; United Kingdom     </t>
  </si>
  <si>
    <t xml:space="preserve">Canada; Germany      </t>
  </si>
  <si>
    <t xml:space="preserve">Finland; France; Germany; United Kingdom    </t>
  </si>
  <si>
    <t>FWA00005174</t>
  </si>
  <si>
    <t>07/21/17</t>
  </si>
  <si>
    <t>14460-007</t>
  </si>
  <si>
    <t xml:space="preserve"> 00003041</t>
  </si>
  <si>
    <t xml:space="preserve"> FWA00000649</t>
  </si>
  <si>
    <t>00011281</t>
  </si>
  <si>
    <t>ll</t>
  </si>
  <si>
    <t>Revised budget totals by year</t>
  </si>
  <si>
    <t>This proposal is set to be declined, unless there is an interest shown from our partners in DOD.</t>
  </si>
  <si>
    <t>This funding establishes a new Research Experiences for Undergraduates (REU) Site at Embry-Riddle Aeronautical University. This project focuses on cybersecurity research for unmanned aerial vehicles (UAVs). In each summer, ten undergraduate students will participate in research for eight weeks to understand cybersecurity challenges for UAVs, and how to design algorithms and techniques to protect UAVs from cyber-attacks. This program will provide a research experience with a balance of theory, hands-on practical skills, and applications. The project is led by a team of experienced faculty who will mentor the participating researchers through a number of professional development activities that prepare them for future careers as professionals in the field of cybersecurity and UAVs, which are areas of critical need for the workforce of the future. This project will provide great opportunities for undergraduate students, especially for those from underrepresented and minority groups and institutions with limited research resources, to be involved in real-world cybersecurity research of UAVs. This project will conduct a nationwide recruitment process with particular emphasis on the southeast region of the United States._x000D_
_x000D_
The objective of this REU site is to involve undergraduate students to integrate fundamental and state-of-the-art cybersecurity research using UAVs as the platform. Students will understand and study cyber-attacks targeted at UAVs and investigate corresponding cyber defenses. Research activities in this project will explore the cybersecurity of UAVs from multiple angles, including secure communication, data privacy protection, secure control systems for autonomous UAVs, etc. By conducting diverse but coherent research projects, students will gain the in-depth understanding and hands-on experience in cybersecurity research for UAVs, as well as general computer and data security.</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</si>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</sst>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2">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sz val="11"/>
      <name val="Calibri"/>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09">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25" fillId="0" borderId="0" xfId="0" applyFont="1" applyFill="1" applyAlignment="1" applyProtection="1">
      <alignment horizontal="lef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24" fillId="3" borderId="0" xfId="0" applyFont="1" applyFill="1" applyAlignment="1">
      <alignment horizontal="center" vertical="center"/>
    </xf>
    <xf numFmtId="0" fontId="0" fillId="0" borderId="0" xfId="0" applyAlignment="1">
      <alignment horizontal="center"/>
    </xf>
    <xf numFmtId="0" fontId="31" fillId="0" borderId="0" xfId="1" applyFont="1"/>
  </cellXfs>
  <cellStyles count="6">
    <cellStyle name="Currency" xfId="2" builtinId="4"/>
    <cellStyle name="Hyperlink" xfId="1" builtinId="8"/>
    <cellStyle name="Normal" xfId="0" builtinId="0"/>
    <cellStyle name="Percent" xfId="5" builtinId="5"/>
    <cellStyle name="Subtotal" xfId="4"/>
    <cellStyle name="Subtotal Label" xfId="3"/>
  </cellStyles>
  <dxfs count="280">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27" formatCode="m/d/yyyy\ h:mm"/>
    </dxf>
    <dxf>
      <numFmt numFmtId="27" formatCode="m/d/yyyy\ h:mm"/>
    </dxf>
    <dxf>
      <numFmt numFmtId="0" formatCode="General"/>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ill>
        <patternFill>
          <bgColor theme="6" tint="0.79998168889431442"/>
        </patternFill>
      </fill>
    </dxf>
    <dxf>
      <fill>
        <patternFill>
          <bgColor rgb="FFFEFECE"/>
        </patternFill>
      </fill>
    </dxf>
    <dxf>
      <font>
        <b val="0"/>
        <i/>
        <strike val="0"/>
        <color theme="0" tint="-0.34998626667073579"/>
      </font>
    </dxf>
    <dxf>
      <fill>
        <patternFill>
          <bgColor rgb="FFFEEFE2"/>
        </patternFill>
      </fill>
    </dxf>
    <dxf>
      <fill>
        <patternFill>
          <bgColor theme="4" tint="0.79998168889431442"/>
        </patternFill>
      </fill>
    </dxf>
    <dxf>
      <border>
        <top style="thin">
          <color auto="1"/>
        </top>
        <vertical/>
        <horizontal/>
      </border>
    </dxf>
    <dxf>
      <fill>
        <patternFill>
          <bgColor rgb="FFFFF9E5"/>
        </patternFill>
      </fill>
    </dxf>
    <dxf>
      <fill>
        <patternFill>
          <bgColor rgb="FFFCEEEE"/>
        </patternFill>
      </fill>
    </dxf>
    <dxf>
      <fill>
        <patternFill>
          <bgColor rgb="FFFFD5D5"/>
        </patternFill>
      </fill>
    </dxf>
    <dxf>
      <fill>
        <patternFill>
          <bgColor rgb="FFFCEEEE"/>
        </patternFill>
      </fill>
    </dxf>
    <dxf>
      <fill>
        <patternFill>
          <bgColor rgb="FFFFD5D5"/>
        </patternFill>
      </fill>
    </dxf>
    <dxf>
      <fill>
        <patternFill>
          <bgColor rgb="FFF9E3E4"/>
        </patternFill>
      </fill>
    </dxf>
    <dxf>
      <fill>
        <patternFill>
          <bgColor rgb="FFDFF5E2"/>
        </patternFill>
      </fill>
    </dxf>
    <dxf>
      <border>
        <top style="thin">
          <color auto="1"/>
        </top>
        <bottom style="thin">
          <color auto="1"/>
        </bottom>
        <vertical/>
        <horizontal/>
      </border>
    </dxf>
    <dxf>
      <fill>
        <patternFill>
          <bgColor rgb="FFFFFCF3"/>
        </patternFill>
      </fill>
    </dxf>
    <dxf>
      <fill>
        <patternFill>
          <bgColor rgb="FFFCF1C8"/>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rgb="FFDDECF7"/>
        </patternFill>
      </fill>
    </dxf>
    <dxf>
      <fill>
        <patternFill>
          <bgColor rgb="FFFFB9B9"/>
        </patternFill>
      </fill>
    </dxf>
    <dxf>
      <fill>
        <patternFill>
          <bgColor theme="5" tint="0.79998168889431442"/>
        </patternFill>
      </fill>
    </dxf>
    <dxf>
      <fill>
        <patternFill>
          <bgColor rgb="FFFFD1A3"/>
        </patternFill>
      </fill>
    </dxf>
    <dxf>
      <fill>
        <patternFill>
          <bgColor rgb="FFFFAFAF"/>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8" formatCode="mm/dd/yy\ hh:mm"/>
    </dxf>
    <dxf>
      <numFmt numFmtId="2" formatCode="0.00"/>
    </dxf>
    <dxf>
      <numFmt numFmtId="0" formatCode="General"/>
    </dxf>
    <dxf>
      <numFmt numFmtId="165" formatCode="mm/dd/yy;@"/>
    </dxf>
    <dxf>
      <numFmt numFmtId="0" formatCode="General"/>
    </dxf>
    <dxf>
      <numFmt numFmtId="0" formatCode="General"/>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_(&quot;$&quot;* #,##0_);_(&quot;$&quot;* \(#,##0\);_(&quot;$&quot;* &quot;-&quot;??_);_(@_)"/>
    </dxf>
    <dxf>
      <numFmt numFmtId="171" formatCode="_(&quot;$&quot;* #,##0.0_);_(&quot;$&quot;* \(#,##0.0\);_(&quot;$&quot;* &quot;-&quot;??_);_(@_)"/>
    </dxf>
    <dxf>
      <numFmt numFmtId="34" formatCode="_(&quot;$&quot;* #,##0.00_);_(&quot;$&quot;* \(#,##0.00\);_(&quot;$&quot;* &quot;-&quot;??_);_(@_)"/>
    </dxf>
    <dxf>
      <font>
        <b val="0"/>
        <i val="0"/>
        <strike val="0"/>
        <outline val="0"/>
        <shadow val="0"/>
        <u val="none"/>
        <vertAlign val="baseline"/>
        <sz val="11"/>
        <color auto="1"/>
        <name val="Calibri"/>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79"/>
      <tableStyleElement type="headerRow" dxfId="278"/>
      <tableStyleElement type="totalRow" dxfId="277"/>
      <tableStyleElement type="firstRowStripe" dxfId="276"/>
    </tableStyle>
    <tableStyle name="OmitTableStyle" pivot="0" count="6">
      <tableStyleElement type="wholeTable" dxfId="275"/>
      <tableStyleElement type="headerRow" dxfId="274"/>
      <tableStyleElement type="totalRow" dxfId="273"/>
      <tableStyleElement type="firstColumn" dxfId="272"/>
      <tableStyleElement type="lastColumn" dxfId="271"/>
      <tableStyleElement type="firstRowStripe" dxfId="270"/>
    </tableStyle>
    <tableStyle name="TableFall" pivot="0" count="4">
      <tableStyleElement type="wholeTable" dxfId="269"/>
      <tableStyleElement type="headerRow" dxfId="268"/>
      <tableStyleElement type="totalRow" dxfId="267"/>
      <tableStyleElement type="firstRowStripe" dxfId="266"/>
    </tableStyle>
    <tableStyle name="TableStyleMedium3 2" pivot="0" count="7">
      <tableStyleElement type="wholeTable" dxfId="265"/>
      <tableStyleElement type="headerRow" dxfId="264"/>
      <tableStyleElement type="totalRow" dxfId="263"/>
      <tableStyleElement type="firstColumn" dxfId="262"/>
      <tableStyleElement type="lastColumn" dxfId="261"/>
      <tableStyleElement type="firstRowStripe" dxfId="260"/>
      <tableStyleElement type="firstColumnStripe" dxfId="259"/>
    </tableStyle>
    <tableStyle name="TableStyleMedium7 2" pivot="0" count="7">
      <tableStyleElement type="wholeTable" dxfId="258"/>
      <tableStyleElement type="headerRow" dxfId="257"/>
      <tableStyleElement type="totalRow" dxfId="256"/>
      <tableStyleElement type="firstColumn" dxfId="255"/>
      <tableStyleElement type="lastColumn" dxfId="254"/>
      <tableStyleElement type="firstRowStripe" dxfId="253"/>
      <tableStyleElement type="firstColumnStripe" dxfId="252"/>
    </tableStyle>
  </tableStyles>
  <colors>
    <mruColors>
      <color rgb="FFFFF9E5"/>
      <color rgb="FFFFF7DD"/>
      <color rgb="FFFCF1C8"/>
      <color rgb="FFFFAFAF"/>
      <color rgb="FFFFD5D5"/>
      <color rgb="FFFCEEEE"/>
      <color rgb="FFF9E3E4"/>
      <color rgb="FFFFC5C5"/>
      <color rgb="FFFFE1E1"/>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3" lockText="1"/>
</file>

<file path=xl/ctrlProps/ctrlProp5.xml><?xml version="1.0" encoding="utf-8"?>
<formControlPr xmlns="http://schemas.microsoft.com/office/spreadsheetml/2009/9/main" objectType="Radio" firstButton="1" fmlaLink="J2" lockText="1"/>
</file>

<file path=xl/ctrlProps/ctrlProp6.xml><?xml version="1.0" encoding="utf-8"?>
<formControlPr xmlns="http://schemas.microsoft.com/office/spreadsheetml/2009/9/main" objectType="Radio" checked="Checked"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2</xdr:row>
          <xdr:rowOff>19050</xdr:rowOff>
        </xdr:from>
        <xdr:to>
          <xdr:col>5</xdr:col>
          <xdr:colOff>114300</xdr:colOff>
          <xdr:row>3</xdr:row>
          <xdr:rowOff>19050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5</xdr:row>
          <xdr:rowOff>19050</xdr:rowOff>
        </xdr:from>
        <xdr:to>
          <xdr:col>5</xdr:col>
          <xdr:colOff>114300</xdr:colOff>
          <xdr:row>6</xdr:row>
          <xdr:rowOff>19050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7</xdr:row>
          <xdr:rowOff>57150</xdr:rowOff>
        </xdr:from>
        <xdr:to>
          <xdr:col>5</xdr:col>
          <xdr:colOff>114300</xdr:colOff>
          <xdr:row>8</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7</xdr:col>
      <xdr:colOff>219075</xdr:colOff>
      <xdr:row>0</xdr:row>
      <xdr:rowOff>0</xdr:rowOff>
    </xdr:from>
    <xdr:to>
      <xdr:col>10</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210050" y="0"/>
          <a:ext cx="2233509"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180975</xdr:colOff>
          <xdr:row>2</xdr:row>
          <xdr:rowOff>180975</xdr:rowOff>
        </xdr:from>
        <xdr:to>
          <xdr:col>12</xdr:col>
          <xdr:colOff>1647825</xdr:colOff>
          <xdr:row>3</xdr:row>
          <xdr:rowOff>200025</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3</xdr:row>
          <xdr:rowOff>171450</xdr:rowOff>
        </xdr:from>
        <xdr:to>
          <xdr:col>13</xdr:col>
          <xdr:colOff>38100</xdr:colOff>
          <xdr:row>4</xdr:row>
          <xdr:rowOff>133350</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4</xdr:row>
          <xdr:rowOff>133350</xdr:rowOff>
        </xdr:from>
        <xdr:to>
          <xdr:col>13</xdr:col>
          <xdr:colOff>142875</xdr:colOff>
          <xdr:row>5</xdr:row>
          <xdr:rowOff>66675</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180975</xdr:colOff>
          <xdr:row>5</xdr:row>
          <xdr:rowOff>57150</xdr:rowOff>
        </xdr:from>
        <xdr:to>
          <xdr:col>13</xdr:col>
          <xdr:colOff>38100</xdr:colOff>
          <xdr:row>6</xdr:row>
          <xdr:rowOff>19050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171450</xdr:colOff>
          <xdr:row>0</xdr:row>
          <xdr:rowOff>200025</xdr:rowOff>
        </xdr:from>
        <xdr:to>
          <xdr:col>13</xdr:col>
          <xdr:colOff>0</xdr:colOff>
          <xdr:row>1</xdr:row>
          <xdr:rowOff>180975</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119743</xdr:colOff>
      <xdr:row>0</xdr:row>
      <xdr:rowOff>70758</xdr:rowOff>
    </xdr:from>
    <xdr:to>
      <xdr:col>17</xdr:col>
      <xdr:colOff>234043</xdr:colOff>
      <xdr:row>0</xdr:row>
      <xdr:rowOff>206829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34786" y="70758"/>
          <a:ext cx="7658100" cy="1360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you see if there are missing context statements, RAs, differences between the leads&amp;non-leads, or miscodes.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489857</xdr:colOff>
      <xdr:row>0</xdr:row>
      <xdr:rowOff>32658</xdr:rowOff>
    </xdr:from>
    <xdr:to>
      <xdr:col>11</xdr:col>
      <xdr:colOff>97971</xdr:colOff>
      <xdr:row>0</xdr:row>
      <xdr:rowOff>195944</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489857" y="32658"/>
          <a:ext cx="5646964" cy="163286"/>
          <a:chOff x="293914" y="32658"/>
          <a:chExt cx="6003471" cy="163286"/>
        </a:xfrm>
      </xdr:grpSpPr>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93914" y="32658"/>
            <a:ext cx="5867400" cy="1632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a:t>
            </a:r>
            <a:r>
              <a:rPr lang="en-US" sz="1100" baseline="0"/>
              <a:t>check for differences to proposal info. Summary in pivot table at right </a:t>
            </a:r>
            <a:endParaRPr lang="en-US" sz="1100"/>
          </a:p>
        </xdr:txBody>
      </xdr:sp>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6095999" y="43542"/>
            <a:ext cx="201386"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4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5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6</xdr:row>
          <xdr:rowOff>19050</xdr:rowOff>
        </xdr:from>
        <xdr:to>
          <xdr:col>10</xdr:col>
          <xdr:colOff>0</xdr:colOff>
          <xdr:row>6</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7</xdr:row>
          <xdr:rowOff>9525</xdr:rowOff>
        </xdr:from>
        <xdr:to>
          <xdr:col>10</xdr:col>
          <xdr:colOff>9525</xdr:colOff>
          <xdr:row>7</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2121634" y="0"/>
          <a:ext cx="2063924" cy="1654628"/>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44089</xdr:rowOff>
    </xdr:to>
    <xdr:pic macro="[0]!ClearQueryParams">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81128</xdr:rowOff>
    </xdr:to>
    <xdr:pic macro="[0]!RefreshFromPanel">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161925</xdr:colOff>
          <xdr:row>0</xdr:row>
          <xdr:rowOff>66675</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8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75.410476157405" createdVersion="6" refreshedVersion="6" minRefreshableVersion="3" recordCount="52">
  <cacheSource type="worksheet">
    <worksheetSource name="RADataTable"/>
  </cacheSource>
  <cacheFields count="133">
    <cacheField name="dd_rcom_date" numFmtId="165">
      <sharedItems containsNonDate="0" containsDate="1" containsString="0" containsBlank="1" minDate="2000-01-01T00:00:00" maxDate="2017-11-27T08:33:00"/>
    </cacheField>
    <cacheField name="nsf_rcvd_date" numFmtId="168">
      <sharedItems containsSemiMixedTypes="0" containsNonDate="0" containsDate="1" containsString="0" minDate="2000-01-01T00:00:00" maxDate="2017-08-23T17:29: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17-12-06T08:16:42"/>
    </cacheField>
    <cacheField name="nPanl" numFmtId="0">
      <sharedItems containsSemiMixedTypes="0" containsString="0" containsNumber="1" containsInteger="1" minValue="0" maxValue="3"/>
    </cacheField>
    <cacheField name="RecRkMin" numFmtId="2">
      <sharedItems containsSemiMixedTypes="0" containsString="0" containsNumber="1" minValue="-0.99999998999999995" maxValue="4"/>
    </cacheField>
    <cacheField name="rec0" numFmtId="0">
      <sharedItems containsBlank="1"/>
    </cacheField>
    <cacheField name="rec1" numFmtId="0">
      <sharedItems containsBlank="1"/>
    </cacheField>
    <cacheField name="rec2" numFmtId="0">
      <sharedItems containsBlank="1"/>
    </cacheField>
    <cacheField name="RAtemplate" numFmtId="49">
      <sharedItems count="6">
        <s v="zztemplateFname RAt.docx"/>
        <s v=" "/>
        <s v="Awd RAt.docx"/>
        <s v="Decline RAt.docx"/>
        <s v="Std Decline RAt.docx"/>
        <s v="templateFilename_RAt.docx"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11"/>
    </cacheField>
    <cacheField name="Nunmkd" numFmtId="0">
      <sharedItems containsString="0" containsBlank="1" containsNumber="1" containsInteger="1" minValue="0" maxValue="11"/>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9"/>
    </cacheField>
    <cacheField name="avg_score" numFmtId="2">
      <sharedItems containsSemiMixedTypes="0" containsString="0" containsNumber="1" minValue="2" maxValue="9"/>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03T12:14:00"/>
    </cacheField>
    <cacheField name="rqst_tot" numFmtId="166">
      <sharedItems containsSemiMixedTypes="0" containsString="0" containsNumber="1" containsInteger="1" minValue="269021" maxValue="99999999"/>
    </cacheField>
    <cacheField name="budg_tot" numFmtId="166">
      <sharedItems containsSemiMixedTypes="0" containsString="0" containsNumber="1" containsInteger="1" minValue="269021" maxValue="99999999"/>
    </cacheField>
    <cacheField name="budRevnMax" numFmtId="0">
      <sharedItems containsSemiMixedTypes="0" containsString="0" containsNumber="1" containsInteger="1" minValue="0" maxValue="1"/>
    </cacheField>
    <cacheField name="rqst_eff_date" numFmtId="165">
      <sharedItems containsSemiMixedTypes="0" containsNonDate="0" containsDate="1" containsString="0" minDate="2000-01-01T00:00:00" maxDate="2018-09-16T00:00:00"/>
    </cacheField>
    <cacheField name="rqst_mnth_cnt" numFmtId="0">
      <sharedItems containsSemiMixedTypes="0" containsString="0" containsNumber="1" containsInteger="1" minValue="36" maxValue="60"/>
    </cacheField>
    <cacheField name="prop_titl_txt" numFmtId="0">
      <sharedItems/>
    </cacheField>
    <cacheField name="AhNrev" numFmtId="0">
      <sharedItems containsString="0" containsBlank="1" containsNumber="1" containsInteger="1" minValue="0" maxValue="0"/>
    </cacheField>
    <cacheField name="AhRevs" numFmtId="0">
      <sharedItems containsBlank="1"/>
    </cacheField>
    <cacheField name="AhLast" numFmtId="165">
      <sharedItems containsNonDate="0" containsDate="1" containsString="0" containsBlank="1" minDate="2000-01-01T00:00:00" maxDate="2000-01-02T00:00:00"/>
    </cacheField>
    <cacheField name="panl_id0" numFmtId="0">
      <sharedItems/>
    </cacheField>
    <cacheField name="RCOM_TXT0" numFmtId="0">
      <sharedItems containsBlank="1"/>
    </cacheField>
    <cacheField name="rank0" numFmtId="0">
      <sharedItems containsString="0" containsBlank="1" containsNumber="1" containsInteger="1" minValue="2" maxValue="99"/>
    </cacheField>
    <cacheField name="panl_name0" numFmtId="0">
      <sharedItems/>
    </cacheField>
    <cacheField name="panl_end0" numFmtId="165">
      <sharedItems containsSemiMixedTypes="0" containsNonDate="0" containsDate="1" containsString="0" minDate="2000-01-01T00:00:00" maxDate="2017-11-04T00:00:00"/>
    </cacheField>
    <cacheField name="revs0" numFmtId="0">
      <sharedItems/>
    </cacheField>
    <cacheField name="PanlString0" numFmtId="0">
      <sharedItems/>
    </cacheField>
    <cacheField name="pnlst0" numFmtId="0">
      <sharedItems containsSemiMixedTypes="0" containsString="0" containsNumber="1" containsInteger="1" minValue="0" maxValue="13"/>
    </cacheField>
    <cacheField name="confl0" numFmtId="0">
      <sharedItems containsSemiMixedTypes="0" containsString="0" containsNumber="1" containsInteger="1" minValue="0" maxValue="3"/>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17-11-04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13"/>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1" maxValue="99"/>
    </cacheField>
    <cacheField name="panl_name2" numFmtId="0">
      <sharedItems containsBlank="1"/>
    </cacheField>
    <cacheField name="panl_end2" numFmtId="165">
      <sharedItems containsNonDate="0" containsDate="1" containsString="0" containsBlank="1" minDate="2000-01-01T00:00:00" maxDate="2017-11-04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13"/>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69021" maxValue="99999999"/>
    </cacheField>
    <cacheField name="b0tot" numFmtId="166">
      <sharedItems containsSemiMixedTypes="0" containsString="0" containsNumber="1" containsInteger="1" minValue="269021" maxValue="99999999"/>
    </cacheField>
    <cacheField name="PRC0" numFmtId="0">
      <sharedItems containsBlank="1"/>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604262" maxValue="99999999"/>
    </cacheField>
    <cacheField name="b1tot" numFmtId="166">
      <sharedItems containsString="0" containsBlank="1" containsNumber="1" containsInteger="1" minValue="60426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200189" maxValue="99999999"/>
    </cacheField>
    <cacheField name="b2tot" numFmtId="166">
      <sharedItems containsString="0" containsBlank="1" containsNumber="1" containsInteger="1" minValue="200189"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450000" maxValue="99999999"/>
    </cacheField>
    <cacheField name="b3tot" numFmtId="166">
      <sharedItems containsString="0" containsBlank="1" containsNumber="1" containsInteger="1" minValue="450000"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460230" maxValue="99999999"/>
    </cacheField>
    <cacheField name="b4tot" numFmtId="166">
      <sharedItems containsString="0" containsBlank="1" containsNumber="1" containsInteger="1" minValue="460230"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06T09:38:42"/>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75.751660995367" createdVersion="6" refreshedVersion="6" minRefreshableVersion="3" recordCount="1">
  <cacheSource type="worksheet">
    <worksheetSource name="ckSplitTable"/>
  </cacheSource>
  <cacheFields count="34">
    <cacheField name="dd_rcom_date" numFmtId="165">
      <sharedItems containsNonDate="0" containsString="0" containsBlank="1"/>
    </cacheField>
    <cacheField name="nsf_rcvd_date" numFmtId="165">
      <sharedItems containsSemiMixedTypes="0" containsNonDate="0" containsDate="1" containsString="0" minDate="2017-08-23T15:36:00" maxDate="2017-08-23T15:36:00"/>
    </cacheField>
    <cacheField name="cntx_stmt_id" numFmtId="0">
      <sharedItems/>
    </cacheField>
    <cacheField name="pgm_annc_id" numFmtId="0">
      <sharedItems/>
    </cacheField>
    <cacheField name="pObj" numFmtId="22">
      <sharedItems/>
    </cacheField>
    <cacheField name="bObj" numFmtId="22">
      <sharedItems/>
    </cacheField>
    <cacheField name="pOrg" numFmtId="0">
      <sharedItems/>
    </cacheField>
    <cacheField name="bOrg" numFmtId="0">
      <sharedItems/>
    </cacheField>
    <cacheField name="pPEC" numFmtId="0">
      <sharedItems/>
    </cacheField>
    <cacheField name="bPEC" numFmtId="0">
      <sharedItems count="6">
        <s v="1139"/>
        <s v="041Y" u="1"/>
        <s v="7796" u="1"/>
        <s v="1253" u="1"/>
        <s v="9150" u="1"/>
        <s v="8078" u="1"/>
      </sharedItems>
    </cacheField>
    <cacheField name="pPO" numFmtId="0">
      <sharedItems/>
    </cacheField>
    <cacheField name="bPO" numFmtId="0">
      <sharedItems/>
    </cacheField>
    <cacheField name="prop_stts_abbr" numFmtId="0">
      <sharedItems/>
    </cacheField>
    <cacheField name="natr_rqst_abbr" numFmtId="22">
      <sharedItems/>
    </cacheField>
    <cacheField name="rcom_istr_abbr" numFmtId="22">
      <sharedItems/>
    </cacheField>
    <cacheField name="budg_yr" numFmtId="0">
      <sharedItems containsSemiMixedTypes="0" containsString="0" containsNumber="1" containsInteger="1" minValue="2015" maxValue="2021" count="6">
        <n v="2018"/>
        <n v="2015" u="1"/>
        <n v="2020" u="1"/>
        <n v="2021" u="1"/>
        <n v="2019" u="1"/>
        <n v="2017" u="1"/>
      </sharedItems>
    </cacheField>
    <cacheField name="splt_id" numFmtId="22">
      <sharedItems/>
    </cacheField>
    <cacheField name="budg_splt_tot_dol" numFmtId="169">
      <sharedItems containsSemiMixedTypes="0" containsString="0" containsNumber="1" containsInteger="1" minValue="287959" maxValue="287959"/>
    </cacheField>
    <cacheField name="0" numFmtId="0">
      <sharedItems containsSemiMixedTypes="0" containsString="0" containsNumber="1" containsInteger="1" minValue="1" maxValue="1"/>
    </cacheField>
    <cacheField name="ILN" numFmtId="22">
      <sharedItems/>
    </cacheField>
    <cacheField name="lead" numFmtId="22">
      <sharedItems/>
    </cacheField>
    <cacheField name="eJ" numFmtId="22">
      <sharedItems/>
    </cacheField>
    <cacheField name="Div" numFmtId="22">
      <sharedItems/>
    </cacheField>
    <cacheField name="prop_id" numFmtId="22">
      <sharedItems count="23">
        <s v="1757781"/>
        <s v="1740776" u="1"/>
        <s v="1652257" u="1"/>
        <s v="1740796"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unt="22">
        <s v="Yuan"/>
        <s v="Wright" u="1"/>
        <s v="Peikert" u="1"/>
        <s v="Scheinberg" u="1"/>
        <s v="Indyk" u="1"/>
        <s v="Weinberger"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acheField>
    <cacheField name="inst" numFmtId="22">
      <sharedItems/>
    </cacheField>
    <cacheField name="@ pi" numFmtId="22">
      <sharedItems/>
    </cacheField>
    <cacheField name="email" numFmtId="22">
      <sharedItems/>
    </cacheField>
    <cacheField name="propPRCs" numFmtId="22">
      <sharedItems/>
    </cacheField>
    <cacheField name="bPRCs" numFmtId="22">
      <sharedItems/>
    </cacheField>
    <cacheField name="awd_id" numFmtId="22">
      <sharedItems/>
    </cacheField>
    <cacheField name="prop_stts_txt" numFmtId="22">
      <sharedItems/>
    </cacheField>
    <cacheField name="prop_titl_txt" numFmtId="2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2">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s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7-19T11:10:00"/>
    <s v="NSF 17-537"/>
    <s v="05050000"/>
    <s v="7918"/>
    <s v="NEW"/>
    <s v="PEND"/>
    <s v="4110"/>
    <s v="CARCSFY18"/>
    <s v="DCORMAN"/>
    <d v="2017-11-09T14:50:12"/>
    <n v="2"/>
    <n v="0"/>
    <m/>
    <s v="NC"/>
    <m/>
    <x v="1"/>
    <s v="RA 1750279 Jin"/>
    <m/>
    <m/>
    <s v="David Corman"/>
    <s v="Cognisant Program Director"/>
    <s v="eJ"/>
    <s v="jran5@vt.edu"/>
    <s v="PIs@"/>
    <s v="CNS"/>
    <s v="1750279"/>
    <n v="8"/>
    <n v="8"/>
    <m/>
    <s v=""/>
    <n v="3"/>
    <n v="4.25"/>
    <n v="7"/>
    <s v="V,G,G,G,F,F,F,F"/>
    <d v="2017-11-02T00:14:00"/>
    <n v="500000"/>
    <n v="500000"/>
    <n v="0"/>
    <d v="2018-05-15T00:00:00"/>
    <n v="60"/>
    <s v="CAREER: Cognitive Smart Manufacturing Autonomy"/>
    <m/>
    <m/>
    <m/>
    <s v="P180195"/>
    <m/>
    <m/>
    <s v="006Y/018Y OE/CM CAREER Proposal Review - Manufacturing"/>
    <d v="2017-10-11T00:00:00"/>
    <s v=" G ,F ,F,F"/>
    <s v="9 rated projects"/>
    <n v="5"/>
    <n v="1"/>
    <s v="P180067"/>
    <s v="Not Competitive"/>
    <m/>
    <s v="CPS CAREER"/>
    <d v="2017-11-03T00:00:00"/>
    <s v=" V,G ,G ,F"/>
    <s v="25 rated projects: 1 HC, 6 C, 11 LC, 7 NC"/>
    <n v="13"/>
    <n v="0"/>
    <m/>
    <m/>
    <m/>
    <m/>
    <m/>
    <m/>
    <m/>
    <m/>
    <m/>
    <s v="1750279"/>
    <s v="Jin"/>
    <s v="Ran"/>
    <s v="VA Polytechnic Inst &amp; St U"/>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jran5@vt.edu"/>
    <s v="jran5@vt.edu      "/>
  </r>
  <r>
    <m/>
    <d v="2017-07-20T09:02:00"/>
    <s v="NSF 17-537"/>
    <s v="05050000"/>
    <s v="7918"/>
    <s v="NEW"/>
    <s v="PEND"/>
    <s v="4110"/>
    <s v="17-537FY18"/>
    <s v="DCORMAN"/>
    <m/>
    <n v="3"/>
    <n v="0.01"/>
    <m/>
    <m/>
    <s v="HC"/>
    <x v="1"/>
    <s v="RA 1751454 Sun"/>
    <m/>
    <m/>
    <s v="David Corman"/>
    <s v="Cognisant Program Director"/>
    <s v="eJ"/>
    <s v="yes@mtu.edu"/>
    <s v="PIs@"/>
    <s v="CNS"/>
    <s v="1751454"/>
    <n v="11"/>
    <n v="11"/>
    <m/>
    <s v="Y"/>
    <n v="3"/>
    <n v="6"/>
    <n v="9"/>
    <s v="E,V,V,V,V/G,V/G,V/G,G,G,G,F"/>
    <d v="2017-11-02T10:12:00"/>
    <n v="508934"/>
    <n v="508934"/>
    <n v="0"/>
    <d v="2018-05-01T00:00:00"/>
    <n v="60"/>
    <s v="CAREER: System-on-Cloth: A Cloud Manufacturing Framework for Embroidered Wearable Electronics"/>
    <m/>
    <m/>
    <m/>
    <s v="P172373"/>
    <m/>
    <m/>
    <s v="1468 MME CAREER Proposal Review Panel 1"/>
    <d v="2017-09-18T00:00:00"/>
    <s v=" V/G ,G,G"/>
    <s v="16 rated projects"/>
    <n v="7"/>
    <n v="0"/>
    <s v="P180195"/>
    <m/>
    <m/>
    <s v="006Y/018Y OE/CM CAREER Proposal Review - Manufacturing"/>
    <d v="2017-10-11T00:00:00"/>
    <s v=" V  ,V/G ,G  ,F"/>
    <s v="9 rated projects"/>
    <n v="5"/>
    <n v="0"/>
    <s v="P180067"/>
    <s v="Highly Competitive"/>
    <n v="1"/>
    <s v="CPS CAREER"/>
    <d v="2017-11-03T00:00:00"/>
    <s v=" E,V ,V,V/G"/>
    <s v="25 rated projects: 1 HC, 6 C, 11 LC, 7 NC"/>
    <n v="13"/>
    <n v="0"/>
    <s v="1751454"/>
    <s v="Sun"/>
    <s v="Ye (Sarah)"/>
    <s v="Mich Technological Univ"/>
    <n v="508934"/>
    <n v="508934"/>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yes@mtu.edu"/>
    <s v="yes@mtu.edu      "/>
  </r>
  <r>
    <m/>
    <d v="2017-08-23T15:36:00"/>
    <s v="NSF 13-542"/>
    <s v="05050000"/>
    <s v="1139"/>
    <s v="NEW"/>
    <s v="PEND"/>
    <s v="4110"/>
    <s v="REUSITE18"/>
    <s v="JSPRINK"/>
    <d v="2017-12-06T08:16:42"/>
    <n v="1"/>
    <n v="1"/>
    <s v="HC"/>
    <m/>
    <m/>
    <x v="1"/>
    <s v="RA 1757781 Yuan"/>
    <m/>
    <m/>
    <s v="Jonathan Sprinkle"/>
    <s v="Cognisant Program Director"/>
    <s v="eJ"/>
    <s v="yuanj@erau.edu"/>
    <s v="PIs@"/>
    <s v="CNS"/>
    <s v="1757781"/>
    <n v="4"/>
    <m/>
    <m/>
    <s v=""/>
    <n v="7"/>
    <n v="7"/>
    <n v="7"/>
    <s v="V,V,V,V"/>
    <d v="2017-10-26T07:30:00"/>
    <n v="357969"/>
    <n v="287959"/>
    <n v="1"/>
    <d v="2018-06-01T00:00:00"/>
    <n v="36"/>
    <s v="REU Site: Cybersecurity Research of Unmanned Aerial Vehicles"/>
    <m/>
    <m/>
    <m/>
    <s v="P180116"/>
    <s v="Highly Competitive"/>
    <m/>
    <s v="REU SITE - CIS"/>
    <d v="2017-10-27T00:00:00"/>
    <s v=" V,V,V,V"/>
    <s v="15 rated projects: 3 HC, 3 C, 7 LC, 2 NC"/>
    <n v="8"/>
    <n v="0"/>
    <m/>
    <m/>
    <m/>
    <m/>
    <m/>
    <m/>
    <m/>
    <m/>
    <m/>
    <m/>
    <m/>
    <m/>
    <m/>
    <m/>
    <m/>
    <m/>
    <m/>
    <m/>
    <s v="1757781"/>
    <s v="Yuan"/>
    <s v="Jiawei"/>
    <s v="Embry Riddle Aero Univ"/>
    <n v="357969"/>
    <n v="287959"/>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yuanj@erau.edu"/>
    <s v="yuanj@erau.edu      "/>
  </r>
  <r>
    <m/>
    <d v="2017-08-23T16:35:00"/>
    <s v="NSF 13-542"/>
    <s v="05050000"/>
    <s v="1139"/>
    <s v="NEW"/>
    <s v="PEND"/>
    <s v="4110"/>
    <s v="REUSITE18"/>
    <s v="JSPRINK"/>
    <m/>
    <n v="1"/>
    <n v="1"/>
    <s v="HC"/>
    <m/>
    <m/>
    <x v="2"/>
    <s v="Awd  1757884 Wilson"/>
    <m/>
    <m/>
    <s v="Jonathan Sprinkle"/>
    <s v="Cognisant Program Director"/>
    <s v="eJ"/>
    <s v="davils@uncc.edu"/>
    <s v="PIs@"/>
    <s v="CNS"/>
    <s v="1757884"/>
    <n v="4"/>
    <n v="4"/>
    <m/>
    <s v=""/>
    <n v="9"/>
    <n v="9"/>
    <n v="9"/>
    <s v="E,E,E,E"/>
    <d v="2017-10-26T23:43:00"/>
    <n v="360182"/>
    <n v="360182"/>
    <n v="0"/>
    <d v="2018-02-01T00:00:00"/>
    <n v="36"/>
    <s v="REU Site:  Making Future Communities: Infrastructure and Interaction Design for Cyber-Physical Systems"/>
    <m/>
    <m/>
    <m/>
    <s v="P180116"/>
    <s v="Highly Competitive"/>
    <m/>
    <s v="REU SITE - CIS"/>
    <d v="2017-10-27T00:00:00"/>
    <s v=" E,E,E,E"/>
    <s v="15 rated projects: 3 HC, 3 C, 7 LC, 2 NC"/>
    <n v="8"/>
    <n v="1"/>
    <m/>
    <m/>
    <m/>
    <m/>
    <m/>
    <m/>
    <m/>
    <m/>
    <m/>
    <m/>
    <m/>
    <m/>
    <m/>
    <m/>
    <m/>
    <m/>
    <m/>
    <m/>
    <s v="1757884"/>
    <s v="Wilson"/>
    <s v="David"/>
    <s v="U of NC Charlotte"/>
    <n v="360182"/>
    <n v="360182"/>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davils@uncc.edu"/>
    <s v="davils@uncc.edu      "/>
  </r>
  <r>
    <m/>
    <d v="2017-08-23T17:02:00"/>
    <s v="NSF 13-542"/>
    <s v="05050000"/>
    <s v="1139"/>
    <s v="NEW"/>
    <s v="PEND"/>
    <s v="4110"/>
    <s v="REUSITE18"/>
    <s v="JSPRINK"/>
    <m/>
    <n v="1"/>
    <n v="1"/>
    <s v="HC"/>
    <m/>
    <m/>
    <x v="2"/>
    <s v="Awd  1757940 Kar"/>
    <m/>
    <m/>
    <s v="Jonathan Sprinkle"/>
    <s v="Cognisant Program Director"/>
    <s v="eJ"/>
    <s v="dulal.kar@tamucc.edu"/>
    <s v="PIs@"/>
    <s v="CNS"/>
    <s v="1757940"/>
    <n v="4"/>
    <n v="4"/>
    <m/>
    <s v=""/>
    <n v="5"/>
    <n v="6.5"/>
    <n v="7"/>
    <s v="V,V,V,G"/>
    <d v="2017-10-26T16:12:00"/>
    <n v="357018"/>
    <n v="357018"/>
    <n v="0"/>
    <d v="2018-06-01T00:00:00"/>
    <n v="36"/>
    <s v="REU Site: Applied Computing Research in Unmanned Aerial Systems"/>
    <m/>
    <m/>
    <m/>
    <s v="P180116"/>
    <s v="Highly Competitive"/>
    <m/>
    <s v="REU SITE - CIS"/>
    <d v="2017-10-27T00:00:00"/>
    <s v=" V,V,V,G"/>
    <s v="15 rated projects: 3 HC, 3 C, 7 LC, 2 NC"/>
    <n v="8"/>
    <n v="0"/>
    <m/>
    <m/>
    <m/>
    <m/>
    <m/>
    <m/>
    <m/>
    <m/>
    <m/>
    <m/>
    <m/>
    <m/>
    <m/>
    <m/>
    <m/>
    <m/>
    <m/>
    <m/>
    <s v="1757940"/>
    <s v="Kar"/>
    <s v="Dulal"/>
    <s v="TX A&amp;M U Corpus Christi"/>
    <n v="357018"/>
    <n v="357018"/>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dulal.kar@tamucc.edu"/>
    <s v="dulal.kar@tamucc.edu      "/>
  </r>
  <r>
    <m/>
    <d v="2017-03-03T16:18:00"/>
    <s v="NSF 17-529"/>
    <s v="05050000"/>
    <s v="7918"/>
    <s v="NEW"/>
    <s v="PEND"/>
    <s v="4110"/>
    <s v="CPSFRT2017"/>
    <s v="DCORMAN"/>
    <m/>
    <n v="1"/>
    <n v="2"/>
    <s v="C"/>
    <m/>
    <m/>
    <x v="1"/>
    <s v="RA 1739204 Stojanovic"/>
    <m/>
    <m/>
    <s v="David Corman"/>
    <s v="Cognisant Program Director"/>
    <s v="eJ"/>
    <s v="mns18@columbia.edu"/>
    <s v="PIs@"/>
    <s v="CNS"/>
    <s v="1739204"/>
    <n v="4"/>
    <n v="4"/>
    <m/>
    <s v=""/>
    <n v="6"/>
    <n v="6.5"/>
    <n v="8"/>
    <s v="E/V,V/G,V/G,V/G"/>
    <d v="2017-10-20T08:34:00"/>
    <n v="6646096"/>
    <n v="6646096"/>
    <n v="0"/>
    <d v="2018-01-01T00:00:00"/>
    <n v="60"/>
    <s v="CPS: Frontier: Collaborative Research: Interfacing Molecular Sensing, Computing, and Actuation with Humanized Animal Models"/>
    <m/>
    <m/>
    <m/>
    <s v="P180038"/>
    <s v="Competitive"/>
    <m/>
    <s v="CPS Frontiers (2017)"/>
    <d v="2017-10-20T00:00:00"/>
    <s v=" E/V,V/G,V/G,V/G"/>
    <s v="11 rated projects , 3 C, 6 LC, 2 NC"/>
    <n v="8"/>
    <n v="0"/>
    <m/>
    <m/>
    <m/>
    <m/>
    <m/>
    <m/>
    <m/>
    <m/>
    <m/>
    <m/>
    <m/>
    <m/>
    <m/>
    <m/>
    <m/>
    <m/>
    <m/>
    <m/>
    <s v="1739204"/>
    <s v="Stojanovic"/>
    <s v="Milan"/>
    <s v="Columbia University"/>
    <n v="4613676"/>
    <n v="4613676"/>
    <s v="8236"/>
    <s v="1739054"/>
    <s v="Rudchenko"/>
    <s v="Sergei"/>
    <s v="Hospital For Spec Surgery"/>
    <n v="1028304"/>
    <n v="1028304"/>
    <s v="8236"/>
    <s v="1739194"/>
    <s v="Stefanovic"/>
    <s v="Darko"/>
    <s v="University of New Mexico"/>
    <n v="1004116"/>
    <n v="1004116"/>
    <s v="8236"/>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mns18@columbia.edu"/>
    <s v="mns18@columbia.edu;Rudchenkos@hss.edu;darko@cs.unm.edu    "/>
  </r>
  <r>
    <m/>
    <d v="2017-03-06T14:50:00"/>
    <s v="NSF 17-529"/>
    <s v="05050000"/>
    <s v="7918"/>
    <s v="NEW"/>
    <s v="PEND"/>
    <s v="4110"/>
    <s v="CPSFRT2017"/>
    <s v="DCORMAN"/>
    <m/>
    <n v="1"/>
    <n v="2"/>
    <s v="C"/>
    <m/>
    <m/>
    <x v="1"/>
    <s v="RA 1739570 Sanyal"/>
    <m/>
    <m/>
    <s v="David Corman"/>
    <s v="Cognisant Program Director"/>
    <s v="eJ"/>
    <s v="aksanyal@syr.edu"/>
    <s v="PIs@"/>
    <s v="CNS"/>
    <s v="1739570"/>
    <n v="4"/>
    <n v="4"/>
    <m/>
    <s v=""/>
    <n v="5"/>
    <n v="6.25"/>
    <n v="7"/>
    <s v="V,V,V/G,G"/>
    <d v="2017-10-20T12:04:00"/>
    <n v="5940800"/>
    <n v="5940800"/>
    <n v="0"/>
    <d v="2017-09-01T00:00:00"/>
    <n v="48"/>
    <s v="CPS: Frontier: Collaborative Research: TAURUAS - Trusted, Autonomous and Resilient Unmanned Aerial Systems"/>
    <m/>
    <m/>
    <m/>
    <s v="P180038"/>
    <s v="Competitive"/>
    <m/>
    <s v="CPS Frontiers (2017)"/>
    <d v="2017-10-20T00:00:00"/>
    <s v=" V,V,V/G,G"/>
    <s v="11 rated projects , 3 C, 6 LC, 2 NC"/>
    <n v="8"/>
    <n v="3"/>
    <m/>
    <m/>
    <m/>
    <m/>
    <m/>
    <m/>
    <m/>
    <m/>
    <m/>
    <m/>
    <m/>
    <m/>
    <m/>
    <m/>
    <m/>
    <m/>
    <m/>
    <m/>
    <s v="1739570"/>
    <s v="Sanyal"/>
    <s v="Amit"/>
    <s v="Syracuse University"/>
    <n v="2230900"/>
    <n v="2230900"/>
    <s v="8236"/>
    <s v="1739133"/>
    <s v="Cummings"/>
    <s v="Mary"/>
    <s v="Duke University"/>
    <n v="800000"/>
    <n v="800000"/>
    <s v="8236"/>
    <s v="1739169"/>
    <s v="Clark"/>
    <s v="Andrew"/>
    <s v="Worcester Polytech Inst"/>
    <n v="449670"/>
    <n v="449670"/>
    <s v="8236"/>
    <s v="1739227"/>
    <s v="Poovendran"/>
    <s v="Radha"/>
    <s v="U of Washington"/>
    <n v="2000000"/>
    <n v="2000000"/>
    <s v="8236"/>
    <s v="1739256"/>
    <s v="Kolmanovsky"/>
    <s v="Ilya V."/>
    <s v="University of Michigan"/>
    <n v="460230"/>
    <n v="460230"/>
    <s v="8236"/>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aksanyal@syr.edu"/>
    <s v="aksanyal@syr.edu;m.cummings@duke.edu;aclark@wpi.edu;rp3@uw.edu;ilya@umich.edu  "/>
  </r>
  <r>
    <m/>
    <d v="2017-03-06T14:56:00"/>
    <s v="NSF 17-529"/>
    <s v="05050000"/>
    <s v="7918"/>
    <s v="NEW"/>
    <s v="PEND"/>
    <s v="4110"/>
    <s v="CPSFRT2017"/>
    <s v="DCORMAN"/>
    <m/>
    <n v="1"/>
    <n v="2"/>
    <s v="C"/>
    <m/>
    <m/>
    <x v="1"/>
    <s v="RA 1739586 Lee"/>
    <m/>
    <m/>
    <s v="David Corman"/>
    <s v="Cognisant Program Director"/>
    <s v="eJ"/>
    <s v="lee@cis.upenn.edu"/>
    <s v="PIs@"/>
    <s v="CNS"/>
    <s v="1739586"/>
    <n v="4"/>
    <n v="4"/>
    <m/>
    <s v=""/>
    <n v="6"/>
    <n v="6.75"/>
    <n v="8"/>
    <s v="E/V,V,V/G,V/G"/>
    <d v="2017-10-20T12:00:00"/>
    <n v="6882281"/>
    <n v="6882281"/>
    <n v="0"/>
    <d v="2017-09-01T00:00:00"/>
    <n v="60"/>
    <s v="CPS: Frontier: Collaborative Research: Rigorous Design and Analysis of Closed-Loop Medical CPS"/>
    <m/>
    <m/>
    <m/>
    <s v="P180038"/>
    <s v="Competitive"/>
    <m/>
    <s v="CPS Frontiers (2017)"/>
    <d v="2017-10-20T00:00:00"/>
    <s v=" E/V,V,V/G,V/G"/>
    <s v="11 rated projects , 3 C, 6 LC, 2 NC"/>
    <n v="8"/>
    <n v="2"/>
    <m/>
    <m/>
    <m/>
    <m/>
    <m/>
    <m/>
    <m/>
    <m/>
    <m/>
    <m/>
    <m/>
    <m/>
    <m/>
    <m/>
    <m/>
    <m/>
    <m/>
    <m/>
    <s v="1739586"/>
    <s v="Lee"/>
    <s v="Insup"/>
    <s v="U of Pennsylvania"/>
    <n v="4667281"/>
    <n v="4667281"/>
    <m/>
    <s v="1739127"/>
    <s v="Pajic"/>
    <s v="Miroslav"/>
    <s v="Duke University"/>
    <n v="1000000"/>
    <n v="1000000"/>
    <m/>
    <s v="1739198"/>
    <s v="Hahn"/>
    <s v="Jin-Oh"/>
    <s v="U of MD College Park"/>
    <n v="765000"/>
    <n v="765000"/>
    <m/>
    <s v="1739274"/>
    <s v="Feng"/>
    <s v="Lu"/>
    <s v="University of Virginia"/>
    <n v="450000"/>
    <n v="450000"/>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lee@cis.upenn.edu"/>
    <s v="lee@cis.upenn.edu;miroslav.pajic@duke.edu;jhahn12@umd.edu;lf9u@virginia.edu   "/>
  </r>
  <r>
    <m/>
    <d v="2017-08-23T12:52:00"/>
    <s v="NSF 13-542"/>
    <s v="05050000"/>
    <s v="1139"/>
    <s v="RNEW"/>
    <s v="PEND"/>
    <s v="4110"/>
    <s v="REUSITE18"/>
    <s v="JSPRINK"/>
    <m/>
    <n v="1"/>
    <n v="2"/>
    <s v="C"/>
    <m/>
    <m/>
    <x v="3"/>
    <s v="Decline  1757632 Holder"/>
    <m/>
    <m/>
    <s v="Jonathan Sprinkle"/>
    <s v="Cognisant Program Director"/>
    <s v="eJ"/>
    <s v="holder@eecs.wsu.edu"/>
    <s v="PIs@"/>
    <s v="CNS"/>
    <s v="1757632"/>
    <n v="4"/>
    <n v="4"/>
    <m/>
    <s v="Y"/>
    <n v="4"/>
    <n v="6.75"/>
    <n v="9"/>
    <s v="E,V,V,G/F"/>
    <d v="2017-10-25T23:52:00"/>
    <n v="410400"/>
    <n v="410400"/>
    <n v="0"/>
    <d v="2018-03-01T00:00:00"/>
    <n v="36"/>
    <s v="REU Site: Undergraduate Research in Smart Environments"/>
    <m/>
    <m/>
    <m/>
    <s v="P180116"/>
    <s v="Competitive"/>
    <m/>
    <s v="REU SITE - CIS"/>
    <d v="2017-10-27T00:00:00"/>
    <s v=" E,V,V,G/F"/>
    <s v="15 rated projects: 3 HC, 3 C, 7 LC, 2 NC"/>
    <n v="8"/>
    <n v="0"/>
    <m/>
    <m/>
    <m/>
    <m/>
    <m/>
    <m/>
    <m/>
    <m/>
    <m/>
    <m/>
    <m/>
    <m/>
    <m/>
    <m/>
    <m/>
    <m/>
    <m/>
    <m/>
    <s v="1757632"/>
    <s v="Holder"/>
    <s v="Lawrence"/>
    <s v="Washington State Univ"/>
    <n v="410400"/>
    <n v="410400"/>
    <s v="9250"/>
    <m/>
    <m/>
    <m/>
    <m/>
    <m/>
    <m/>
    <m/>
    <m/>
    <m/>
    <m/>
    <m/>
    <m/>
    <m/>
    <m/>
    <m/>
    <m/>
    <m/>
    <m/>
    <m/>
    <m/>
    <m/>
    <m/>
    <m/>
    <m/>
    <m/>
    <m/>
    <m/>
    <m/>
    <m/>
    <m/>
    <m/>
    <m/>
    <m/>
    <m/>
    <m/>
    <m/>
    <m/>
    <m/>
    <m/>
    <m/>
    <m/>
    <m/>
    <s v="Research Experiences for Undergraduates"/>
    <s v="Division Of Computer and Network Systems"/>
    <s v="RSCH EXPER FOR UNDERGRAD SITES"/>
    <s v="Jonathan Sprinkle"/>
    <s v="Pending, Review Package Produced"/>
    <s v="Renewal"/>
    <s v="Research Grants-Not Elsewh Cla"/>
    <s v="CSE"/>
    <s v="Direct For Computer &amp; Info Scie &amp; Enginr"/>
    <d v="2017-12-06T09:38:42"/>
    <s v="holder@eecs.wsu.edu"/>
    <s v="holder@eecs.wsu.edu      "/>
  </r>
  <r>
    <m/>
    <d v="2017-08-23T15:39:00"/>
    <s v="NSF 13-542"/>
    <s v="05050000"/>
    <s v="1139"/>
    <s v="NEW"/>
    <s v="PEND"/>
    <s v="4110"/>
    <s v="REUSITE18"/>
    <s v="JSPRINK"/>
    <m/>
    <n v="1"/>
    <n v="2"/>
    <s v="C"/>
    <m/>
    <m/>
    <x v="3"/>
    <s v="Decline  1757787 Davison"/>
    <m/>
    <m/>
    <s v="Jonathan Sprinkle"/>
    <s v="Cognisant Program Director"/>
    <s v="eJ"/>
    <s v="brian@cse.lehigh.edu"/>
    <s v="PIs@"/>
    <s v="CNS"/>
    <s v="1757787"/>
    <n v="5"/>
    <n v="5"/>
    <m/>
    <s v=""/>
    <n v="4"/>
    <n v="5.6"/>
    <n v="7"/>
    <s v="V,V,G,G,G/F"/>
    <d v="2017-10-27T08:39:00"/>
    <n v="359969"/>
    <n v="359969"/>
    <n v="0"/>
    <d v="2018-05-01T00:00:00"/>
    <n v="36"/>
    <s v="REU Site: Intelligent and Scalable Systems"/>
    <m/>
    <m/>
    <m/>
    <s v="P180116"/>
    <s v="Competitive"/>
    <m/>
    <s v="REU SITE - CIS"/>
    <d v="2017-10-27T00:00:00"/>
    <s v=" V,V,G,G,G/F"/>
    <s v="15 rated projects: 3 HC, 3 C, 7 LC, 2 NC"/>
    <n v="8"/>
    <n v="0"/>
    <m/>
    <m/>
    <m/>
    <m/>
    <m/>
    <m/>
    <m/>
    <m/>
    <m/>
    <m/>
    <m/>
    <m/>
    <m/>
    <m/>
    <m/>
    <m/>
    <m/>
    <m/>
    <s v="1757787"/>
    <s v="Davison"/>
    <s v="Brian"/>
    <s v="Lehigh University"/>
    <n v="359969"/>
    <n v="359969"/>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brian@cse.lehigh.edu"/>
    <s v="brian@cse.lehigh.edu      "/>
  </r>
  <r>
    <m/>
    <d v="2017-08-23T16:46:00"/>
    <s v="NSF 13-542"/>
    <s v="05050000"/>
    <s v="1139"/>
    <s v="NEW"/>
    <s v="PEND"/>
    <s v="4110"/>
    <s v="REUSITE18"/>
    <s v="JSPRINK"/>
    <m/>
    <n v="1"/>
    <n v="2"/>
    <s v="C"/>
    <m/>
    <m/>
    <x v="3"/>
    <s v="Decline  1757908 Elbaum"/>
    <m/>
    <m/>
    <s v="Jonathan Sprinkle"/>
    <s v="Cognisant Program Director"/>
    <s v="eJ"/>
    <s v="elbaum@cse.unl.edu"/>
    <s v="PIs@"/>
    <s v="CNS"/>
    <s v="1757908"/>
    <n v="4"/>
    <n v="4"/>
    <m/>
    <s v=""/>
    <n v="5"/>
    <n v="6.5"/>
    <n v="7"/>
    <s v="V,V,V,G"/>
    <d v="2017-10-26T16:18:00"/>
    <n v="344650"/>
    <n v="344650"/>
    <n v="0"/>
    <d v="2018-03-01T00:00:00"/>
    <n v="36"/>
    <s v="REU SITE: UNDERGRADUATE RESEARCH OPPORTUNITIES IN UNMANNED SYSTEMS FOUNDATIONS AND APPLICATIONS"/>
    <m/>
    <m/>
    <m/>
    <s v="P180116"/>
    <s v="Competitive"/>
    <m/>
    <s v="REU SITE - CIS"/>
    <d v="2017-10-27T00:00:00"/>
    <s v=" V,V,V,G"/>
    <s v="15 rated projects: 3 HC, 3 C, 7 LC, 2 NC"/>
    <n v="8"/>
    <n v="0"/>
    <m/>
    <m/>
    <m/>
    <m/>
    <m/>
    <m/>
    <m/>
    <m/>
    <m/>
    <m/>
    <m/>
    <m/>
    <m/>
    <m/>
    <m/>
    <m/>
    <m/>
    <m/>
    <s v="1757908"/>
    <s v="Elbaum"/>
    <s v="Sebastian"/>
    <s v="U of Nebraska-Lincoln"/>
    <n v="344650"/>
    <n v="344650"/>
    <s v="9150 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elbaum@cse.unl.edu"/>
    <s v="elbaum@cse.unl.edu      "/>
  </r>
  <r>
    <m/>
    <d v="2017-07-19T07:48:00"/>
    <s v="NSF 17-537"/>
    <s v="05050000"/>
    <s v="7918"/>
    <s v="NEW"/>
    <s v="PEND"/>
    <s v="4110"/>
    <s v="CARCSFY18"/>
    <s v="DCORMAN"/>
    <m/>
    <n v="1"/>
    <n v="2.02"/>
    <s v="C"/>
    <m/>
    <m/>
    <x v="1"/>
    <s v="RA 1750102 Frias-Martinez"/>
    <m/>
    <m/>
    <s v="David Corman"/>
    <s v="Cognisant Program Director"/>
    <s v="eJ"/>
    <s v="vfrias@umd.edu"/>
    <s v="PIs@"/>
    <s v="CNS"/>
    <s v="1750102"/>
    <n v="4"/>
    <n v="4"/>
    <m/>
    <s v=""/>
    <n v="5"/>
    <n v="6"/>
    <n v="8"/>
    <s v="E/V,V/G,G,G"/>
    <d v="2017-11-03T08:44:00"/>
    <n v="634696"/>
    <n v="634696"/>
    <n v="0"/>
    <d v="2018-09-01T00:00:00"/>
    <n v="60"/>
    <s v="CAREER: Data-driven Models of Human Mobility and Resilience for Decision Making"/>
    <m/>
    <m/>
    <m/>
    <s v="P180067"/>
    <s v="Competitive"/>
    <n v="2"/>
    <s v="CPS CAREER"/>
    <d v="2017-11-03T00:00:00"/>
    <s v=" E/V,V/G,G,G"/>
    <s v="25 rated projects: 1 HC, 6 C, 11 LC, 7 NC"/>
    <n v="13"/>
    <n v="0"/>
    <m/>
    <m/>
    <m/>
    <m/>
    <m/>
    <m/>
    <m/>
    <m/>
    <m/>
    <m/>
    <m/>
    <m/>
    <m/>
    <m/>
    <m/>
    <m/>
    <m/>
    <m/>
    <s v="1750102"/>
    <s v="Frias-Martinez"/>
    <s v="Vanessa"/>
    <s v="U of MD College Park"/>
    <n v="634696"/>
    <n v="634696"/>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vfrias@umd.edu"/>
    <s v="vfrias@umd.edu      "/>
  </r>
  <r>
    <m/>
    <d v="2017-07-19T15:14:00"/>
    <s v="NSF 17-537"/>
    <s v="05050000"/>
    <s v="7918"/>
    <s v="NEW"/>
    <s v="PEND"/>
    <s v="4110"/>
    <s v="CARCSFY18"/>
    <s v="DCORMAN"/>
    <m/>
    <n v="1"/>
    <n v="2.0299999999999998"/>
    <s v="C"/>
    <m/>
    <m/>
    <x v="1"/>
    <s v="RA 1750789 Vamvoudakis"/>
    <m/>
    <m/>
    <s v="David Corman"/>
    <s v="Cognisant Program Director"/>
    <s v="eJ"/>
    <s v="kyriakos@vt.edu"/>
    <s v="PIs@"/>
    <s v="CNS"/>
    <s v="1750789"/>
    <n v="4"/>
    <n v="4"/>
    <m/>
    <s v=""/>
    <n v="5"/>
    <n v="6.25"/>
    <n v="8"/>
    <s v="E/V,V/G,V/G,G"/>
    <d v="2017-11-02T16:42:00"/>
    <n v="645910"/>
    <n v="645910"/>
    <n v="0"/>
    <d v="2018-01-01T00:00:00"/>
    <n v="60"/>
    <s v="CAREER:Towards an Intermittent Learning Framework for Smart and Efficient Cyber-Physical Autonomy"/>
    <m/>
    <m/>
    <m/>
    <s v="P180067"/>
    <s v="Competitive"/>
    <n v="3"/>
    <s v="CPS CAREER"/>
    <d v="2017-11-03T00:00:00"/>
    <s v=" E/V,V/G,V/G,G"/>
    <s v="25 rated projects: 1 HC, 6 C, 11 LC, 7 NC"/>
    <n v="13"/>
    <n v="1"/>
    <m/>
    <m/>
    <m/>
    <m/>
    <m/>
    <m/>
    <m/>
    <m/>
    <m/>
    <m/>
    <m/>
    <m/>
    <m/>
    <m/>
    <m/>
    <m/>
    <m/>
    <m/>
    <s v="1750789"/>
    <s v="Vamvoudakis"/>
    <s v="Kyriakos G."/>
    <s v="VA Polytechnic Inst &amp; St U"/>
    <n v="645910"/>
    <n v="64591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kyriakos@vt.edu"/>
    <s v="kyriakos@vt.edu      "/>
  </r>
  <r>
    <m/>
    <d v="2017-07-19T13:41:00"/>
    <s v="NSF 17-537"/>
    <s v="05050000"/>
    <s v="7918"/>
    <s v="NEW"/>
    <s v="PEND"/>
    <s v="4110"/>
    <s v="CARCSFY18"/>
    <s v="DCORMAN"/>
    <m/>
    <n v="1"/>
    <n v="2.04"/>
    <s v="C"/>
    <m/>
    <m/>
    <x v="1"/>
    <s v="RA 1750533 Wang"/>
    <m/>
    <m/>
    <s v="David Corman"/>
    <s v="Cognisant Program Director"/>
    <s v="eJ"/>
    <s v="dwang5@nd.edu"/>
    <s v="PIs@"/>
    <s v="CNS"/>
    <s v="1750533"/>
    <n v="4"/>
    <n v="4"/>
    <m/>
    <s v=""/>
    <n v="5"/>
    <n v="5.75"/>
    <n v="7"/>
    <s v="V,V/G,G,G"/>
    <d v="2017-11-03T08:55:00"/>
    <n v="533683"/>
    <n v="533683"/>
    <n v="0"/>
    <d v="2018-09-01T00:00:00"/>
    <n v="60"/>
    <s v="CAREER: Towards Reliable and Optimized Data-driven Cyber-Physical Systems using Crowdsensing"/>
    <m/>
    <m/>
    <m/>
    <s v="P180067"/>
    <s v="Competitive"/>
    <n v="4"/>
    <s v="CPS CAREER"/>
    <d v="2017-11-03T00:00:00"/>
    <s v=" V,V/G,G,G"/>
    <s v="25 rated projects: 1 HC, 6 C, 11 LC, 7 NC"/>
    <n v="13"/>
    <n v="0"/>
    <m/>
    <m/>
    <m/>
    <m/>
    <m/>
    <m/>
    <m/>
    <m/>
    <m/>
    <m/>
    <m/>
    <m/>
    <m/>
    <m/>
    <m/>
    <m/>
    <m/>
    <m/>
    <s v="1750533"/>
    <s v="Wang"/>
    <s v="Dong"/>
    <s v="University of Notre Dame"/>
    <n v="533683"/>
    <n v="53368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dwang5@nd.edu"/>
    <s v="dwang5@nd.edu      "/>
  </r>
  <r>
    <m/>
    <d v="2017-07-19T15:33:00"/>
    <s v="NSF 17-537"/>
    <s v="05050000"/>
    <s v="7918"/>
    <s v="NEW"/>
    <s v="PEND"/>
    <s v="4110"/>
    <s v="CARCSFY18"/>
    <s v="DCORMAN"/>
    <m/>
    <n v="1"/>
    <n v="2.0499999999999998"/>
    <s v="C"/>
    <m/>
    <m/>
    <x v="1"/>
    <s v="RA 1750864 Gao"/>
    <m/>
    <m/>
    <s v="David Corman"/>
    <s v="Cognisant Program Director"/>
    <s v="eJ"/>
    <s v="gracegao@illinois.edu"/>
    <s v="PIs@"/>
    <s v="CNS"/>
    <s v="1750864"/>
    <n v="4"/>
    <n v="4"/>
    <m/>
    <s v=""/>
    <n v="5"/>
    <n v="6.5"/>
    <n v="9"/>
    <s v="E,V/G,V/G,G"/>
    <d v="2017-11-03T08:58:00"/>
    <n v="517473"/>
    <n v="517473"/>
    <n v="0"/>
    <d v="2018-05-16T00:00:00"/>
    <n v="60"/>
    <s v="CAREER: High Integrity Navigation for Autonomous Vehicles"/>
    <m/>
    <m/>
    <m/>
    <s v="P180067"/>
    <s v="Competitive"/>
    <n v="5"/>
    <s v="CPS CAREER"/>
    <d v="2017-11-03T00:00:00"/>
    <s v=" E,V/G,V/G,G"/>
    <s v="25 rated projects: 1 HC, 6 C, 11 LC, 7 NC"/>
    <n v="13"/>
    <n v="1"/>
    <m/>
    <m/>
    <m/>
    <m/>
    <m/>
    <m/>
    <m/>
    <m/>
    <m/>
    <m/>
    <m/>
    <m/>
    <m/>
    <m/>
    <m/>
    <m/>
    <m/>
    <m/>
    <s v="1750864"/>
    <s v="Gao"/>
    <s v="Grace Xingxin"/>
    <s v="U of Ill Urbana-Champaign"/>
    <n v="517473"/>
    <n v="51747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gracegao@illinois.edu"/>
    <s v="gracegao@illinois.edu      "/>
  </r>
  <r>
    <m/>
    <d v="2017-07-10T16:42:00"/>
    <s v="NSF 17-537"/>
    <s v="05050000"/>
    <s v="7918"/>
    <s v="NEW"/>
    <s v="PEND"/>
    <s v="4110"/>
    <s v="CARCSFY18"/>
    <s v="DCORMAN"/>
    <m/>
    <n v="1"/>
    <n v="2.06"/>
    <s v="C"/>
    <m/>
    <m/>
    <x v="1"/>
    <s v="RA 1748762 Hahn"/>
    <m/>
    <m/>
    <s v="David Corman"/>
    <s v="Cognisant Program Director"/>
    <s v="eJ"/>
    <s v="jhahn12@umd.edu"/>
    <s v="PIs@"/>
    <s v="CNS"/>
    <s v="1748762"/>
    <n v="4"/>
    <n v="4"/>
    <m/>
    <s v=""/>
    <n v="4"/>
    <n v="5.75"/>
    <n v="7"/>
    <s v="V,V,G,G/F"/>
    <d v="2017-11-02T17:37:00"/>
    <n v="500409"/>
    <n v="500409"/>
    <n v="0"/>
    <d v="2018-01-01T00:00:00"/>
    <n v="60"/>
    <s v="CAREER: Enabling &quot;White-Box&quot; Autonomy in Medical Cyber-Physical Systems"/>
    <m/>
    <m/>
    <m/>
    <s v="P180067"/>
    <s v="Competitive"/>
    <n v="6"/>
    <s v="CPS CAREER"/>
    <d v="2017-11-03T00:00:00"/>
    <s v=" V,V,G,G/F"/>
    <s v="25 rated projects: 1 HC, 6 C, 11 LC, 7 NC"/>
    <n v="13"/>
    <n v="0"/>
    <m/>
    <m/>
    <m/>
    <m/>
    <m/>
    <m/>
    <m/>
    <m/>
    <m/>
    <m/>
    <m/>
    <m/>
    <m/>
    <m/>
    <m/>
    <m/>
    <m/>
    <m/>
    <s v="1748762"/>
    <s v="Hahn"/>
    <s v="Jin-Oh"/>
    <s v="U of MD College Park"/>
    <n v="500409"/>
    <n v="500409"/>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jhahn12@umd.edu"/>
    <s v="jhahn12@umd.edu      "/>
  </r>
  <r>
    <m/>
    <d v="2017-07-19T14:54:00"/>
    <s v="NSF 17-537"/>
    <s v="05050000"/>
    <s v="7918"/>
    <s v="NEW"/>
    <s v="PEND"/>
    <s v="4110"/>
    <s v="CARCSFY18"/>
    <s v="DCORMAN"/>
    <m/>
    <n v="1"/>
    <n v="2.06"/>
    <s v="C"/>
    <m/>
    <m/>
    <x v="1"/>
    <s v="RA 1750722 Liu"/>
    <m/>
    <m/>
    <s v="David Corman"/>
    <s v="Cognisant Program Director"/>
    <s v="eJ"/>
    <s v="kaikai.liu@sjsu.edu"/>
    <s v="PIs@"/>
    <s v="CNS"/>
    <s v="1750722"/>
    <n v="4"/>
    <n v="4"/>
    <m/>
    <s v="Y"/>
    <n v="4"/>
    <n v="6"/>
    <n v="9"/>
    <s v="E,V/G,G,G/F"/>
    <d v="2017-11-02T16:47:00"/>
    <n v="486820"/>
    <n v="486820"/>
    <n v="0"/>
    <d v="2018-03-01T00:00:00"/>
    <n v="60"/>
    <s v="CAREER: Intelligent Localization and Navigation Systems for Autonomous Scooters"/>
    <m/>
    <m/>
    <m/>
    <s v="P180067"/>
    <s v="Competitive"/>
    <n v="6"/>
    <s v="CPS CAREER"/>
    <d v="2017-11-03T00:00:00"/>
    <s v=" E,V/G,G,G/F"/>
    <s v="25 rated projects: 1 HC, 6 C, 11 LC, 7 NC"/>
    <n v="13"/>
    <n v="1"/>
    <m/>
    <m/>
    <m/>
    <m/>
    <m/>
    <m/>
    <m/>
    <m/>
    <m/>
    <m/>
    <m/>
    <m/>
    <m/>
    <m/>
    <m/>
    <m/>
    <m/>
    <m/>
    <s v="1750722"/>
    <s v="Liu"/>
    <s v="Kaikai"/>
    <s v="San Jose State Univ Fdn"/>
    <n v="486820"/>
    <n v="48682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kaikai.liu@sjsu.edu"/>
    <s v="kaikai.liu@sjsu.edu      "/>
  </r>
  <r>
    <m/>
    <d v="2017-03-06T15:51:00"/>
    <s v="NSF 17-529"/>
    <s v="05050000"/>
    <s v="7918"/>
    <s v="NEW"/>
    <s v="PEND"/>
    <s v="4110"/>
    <s v="CPSFRT2017"/>
    <s v="DCORMAN"/>
    <m/>
    <n v="1"/>
    <n v="3"/>
    <s v="LC"/>
    <m/>
    <m/>
    <x v="1"/>
    <s v="RA 1739733 Sztipanovits"/>
    <m/>
    <m/>
    <s v="David Corman"/>
    <s v="Cognisant Program Director"/>
    <s v="eJ"/>
    <s v="Janos.Sztipanovits@Vanderbilt.edu"/>
    <s v="PIs@"/>
    <s v="CNS"/>
    <s v="1739733"/>
    <n v="4"/>
    <n v="4"/>
    <m/>
    <s v=""/>
    <n v="3"/>
    <n v="4.25"/>
    <n v="6"/>
    <s v="V/G,G,F,F"/>
    <d v="2017-10-20T14:26:00"/>
    <n v="6999505"/>
    <n v="6999505"/>
    <n v="0"/>
    <d v="2017-10-01T00:00:00"/>
    <n v="60"/>
    <s v="CPS:Frontier:Collaborative Research: Design of High Confidence Learning and Adaptive Systems for CPS (HiCLAS-CPS)"/>
    <m/>
    <m/>
    <m/>
    <s v="P180038"/>
    <s v="Low Competitive"/>
    <m/>
    <s v="CPS Frontiers (2017)"/>
    <d v="2017-10-20T00:00:00"/>
    <s v=" V/G,G,F,F"/>
    <s v="11 rated projects , 3 C, 6 LC, 2 NC"/>
    <n v="8"/>
    <n v="2"/>
    <m/>
    <m/>
    <m/>
    <m/>
    <m/>
    <m/>
    <m/>
    <m/>
    <m/>
    <m/>
    <m/>
    <m/>
    <m/>
    <m/>
    <m/>
    <m/>
    <m/>
    <m/>
    <s v="1739733"/>
    <s v="Sztipanovits"/>
    <s v="Janos"/>
    <s v="Vanderbilt University"/>
    <n v="3499505"/>
    <n v="3499505"/>
    <m/>
    <s v="1739376"/>
    <s v="Tomlin"/>
    <s v="Claire"/>
    <s v="U of Cal Berkeley"/>
    <n v="3500000"/>
    <n v="3500000"/>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Janos.Sztipanovits@Vanderbilt.edu"/>
    <s v="Janos.Sztipanovits@Vanderbilt.edu;tomlin@eecs.berkeley.edu     "/>
  </r>
  <r>
    <m/>
    <d v="2017-03-06T16:25:00"/>
    <s v="NSF 17-529"/>
    <s v="05050000"/>
    <s v="7918"/>
    <s v="NEW"/>
    <s v="PEND"/>
    <s v="4110"/>
    <s v="CPSFRT2017"/>
    <s v="DCORMAN"/>
    <m/>
    <n v="1"/>
    <n v="3"/>
    <s v="LC"/>
    <m/>
    <m/>
    <x v="1"/>
    <s v="RA 1739830 Guvenc"/>
    <m/>
    <m/>
    <s v="David Corman"/>
    <s v="Cognisant Program Director"/>
    <s v="eJ"/>
    <s v="iguvenc@ncsu.edu"/>
    <s v="PIs@"/>
    <s v="CNS"/>
    <s v="1739830"/>
    <n v="4"/>
    <n v="4"/>
    <m/>
    <s v=""/>
    <n v="5"/>
    <n v="5.25"/>
    <n v="6"/>
    <s v="V/G,G,G,G"/>
    <d v="2017-10-20T11:55:00"/>
    <n v="5127095"/>
    <n v="5127095"/>
    <n v="0"/>
    <d v="2017-12-15T00:00:00"/>
    <n v="60"/>
    <s v="CPS: Frontier: Collaborative Research: Data-Driven Disaster and Energy Management for the Electric Power Grid"/>
    <m/>
    <m/>
    <m/>
    <s v="P180038"/>
    <s v="Low Competitive"/>
    <m/>
    <s v="CPS Frontiers (2017)"/>
    <d v="2017-10-20T00:00:00"/>
    <s v=" V/G,G,G,G"/>
    <s v="11 rated projects , 3 C, 6 LC, 2 NC"/>
    <n v="8"/>
    <n v="1"/>
    <m/>
    <m/>
    <m/>
    <m/>
    <m/>
    <m/>
    <m/>
    <m/>
    <m/>
    <m/>
    <m/>
    <m/>
    <m/>
    <m/>
    <m/>
    <m/>
    <m/>
    <m/>
    <s v="1739830"/>
    <s v="Guvenc"/>
    <s v="Ismail"/>
    <s v="North Carolina State U"/>
    <n v="1817030"/>
    <n v="1817030"/>
    <m/>
    <s v="1739359"/>
    <s v="Demir"/>
    <s v="Ibrahim"/>
    <s v="University of Iowa"/>
    <n v="604262"/>
    <n v="604262"/>
    <m/>
    <s v="1739527"/>
    <s v="Cali"/>
    <s v="Umit"/>
    <s v="U of NC Charlotte"/>
    <n v="1298699"/>
    <n v="1298699"/>
    <m/>
    <s v="1739877"/>
    <s v="Saad"/>
    <s v="Walid"/>
    <s v="VA Polytechnic Inst &amp; St U"/>
    <n v="1407104"/>
    <n v="1407104"/>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iguvenc@ncsu.edu"/>
    <s v="iguvenc@ncsu.edu;ibrahim-demir@uiowa.edu;ucali@uncc.edu;walids@vt.edu   "/>
  </r>
  <r>
    <m/>
    <d v="2017-03-06T16:44:00"/>
    <s v="NSF 17-529"/>
    <s v="05050000"/>
    <s v="7918"/>
    <s v="NEW"/>
    <s v="PEND"/>
    <s v="4110"/>
    <s v="CPSFRT2017"/>
    <s v="DCORMAN"/>
    <m/>
    <n v="1"/>
    <n v="3"/>
    <s v="LC"/>
    <m/>
    <m/>
    <x v="1"/>
    <s v="RA 1739887 Baras"/>
    <m/>
    <m/>
    <s v="David Corman"/>
    <s v="Cognisant Program Director"/>
    <s v="eJ"/>
    <s v="baras@umd.edu"/>
    <s v="PIs@"/>
    <s v="CNS"/>
    <s v="1739887"/>
    <n v="4"/>
    <n v="4"/>
    <m/>
    <s v=""/>
    <n v="4"/>
    <n v="4.75"/>
    <n v="5"/>
    <s v="G,G,G,G/F"/>
    <d v="2017-10-20T09:57:00"/>
    <n v="6999568"/>
    <n v="6999568"/>
    <n v="0"/>
    <d v="2017-09-01T00:00:00"/>
    <n v="60"/>
    <s v="CPS: Frontier: Collaborative Research: Networked HCPS: Models, Architectures and Performance Evaluation"/>
    <m/>
    <m/>
    <m/>
    <s v="P180038"/>
    <s v="Low Competitive"/>
    <m/>
    <s v="CPS Frontiers (2017)"/>
    <d v="2017-10-20T00:00:00"/>
    <s v=" G,G,G,G/F"/>
    <s v="11 rated projects , 3 C, 6 LC, 2 NC"/>
    <n v="8"/>
    <n v="1"/>
    <m/>
    <m/>
    <m/>
    <m/>
    <m/>
    <m/>
    <m/>
    <m/>
    <m/>
    <m/>
    <m/>
    <m/>
    <m/>
    <m/>
    <m/>
    <m/>
    <m/>
    <m/>
    <s v="1739887"/>
    <s v="Baras"/>
    <s v="John"/>
    <s v="U of MD College Park"/>
    <n v="5999568"/>
    <n v="5999568"/>
    <m/>
    <s v="1739754"/>
    <s v="Javidi"/>
    <s v="Tara"/>
    <s v="U of Cal San Diego"/>
    <n v="1000000"/>
    <n v="1000000"/>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baras@umd.edu"/>
    <s v="baras@umd.edu;tara@ece.ucsd.edu     "/>
  </r>
  <r>
    <m/>
    <d v="2017-03-06T16:54:00"/>
    <s v="NSF 17-529"/>
    <s v="05050000"/>
    <s v="7918"/>
    <s v="NEW"/>
    <s v="PEND"/>
    <s v="4110"/>
    <s v="CPSFRT2017"/>
    <s v="DCORMAN"/>
    <m/>
    <n v="1"/>
    <n v="3"/>
    <s v="LC"/>
    <m/>
    <m/>
    <x v="1"/>
    <s v="RA 1739922 Roy"/>
    <m/>
    <m/>
    <s v="David Corman"/>
    <s v="Cognisant Program Director"/>
    <s v="eJ"/>
    <s v="sroy@eecs.wsu.edu"/>
    <s v="PIs@"/>
    <s v="CNS"/>
    <s v="1739922"/>
    <n v="4"/>
    <n v="4"/>
    <m/>
    <s v=""/>
    <n v="3"/>
    <n v="5.25"/>
    <n v="7"/>
    <s v="V,V/G,G,F"/>
    <d v="2017-10-20T14:28:00"/>
    <n v="6099131"/>
    <n v="6099131"/>
    <n v="0"/>
    <d v="2018-01-01T00:00:00"/>
    <n v="60"/>
    <s v="CPS: Frontier: Collaborative Research: Wide-Area Monitoring and Control of Hidden Dynamic Cascades in Cyber-Physical Infrastructures"/>
    <m/>
    <m/>
    <m/>
    <s v="P180038"/>
    <s v="Low Competitive"/>
    <m/>
    <s v="CPS Frontiers (2017)"/>
    <d v="2017-10-20T00:00:00"/>
    <s v=" V,V/G,G,F"/>
    <s v="11 rated projects , 3 C, 6 LC, 2 NC"/>
    <n v="8"/>
    <n v="1"/>
    <m/>
    <m/>
    <m/>
    <m/>
    <m/>
    <m/>
    <m/>
    <m/>
    <m/>
    <m/>
    <m/>
    <m/>
    <m/>
    <m/>
    <m/>
    <m/>
    <m/>
    <m/>
    <s v="1739922"/>
    <s v="Roy"/>
    <s v="Sandip"/>
    <s v="Washington State Univ"/>
    <n v="2414634"/>
    <n v="2414634"/>
    <m/>
    <s v="1739202"/>
    <s v="PRECIADO"/>
    <s v="VICTOR"/>
    <s v="U of Pennsylvania"/>
    <n v="1500000"/>
    <n v="1500000"/>
    <m/>
    <s v="1739463"/>
    <s v="Lesieutre"/>
    <s v="Bernard"/>
    <s v="U of Wisconsin Madison"/>
    <n v="1267898"/>
    <n v="1267898"/>
    <m/>
    <s v="1740027"/>
    <s v="Pasqualetti"/>
    <s v="Fabio"/>
    <s v="U of Cal Riverside"/>
    <n v="916599"/>
    <n v="916599"/>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sroy@eecs.wsu.edu"/>
    <s v="sroy@eecs.wsu.edu;preciado@seas.upenn.edu;lesieutre@wisc.edu;fabio.pasqualetti@ucr.edu   "/>
  </r>
  <r>
    <m/>
    <d v="2017-03-06T16:55:00"/>
    <s v="NSF 17-529"/>
    <s v="05050000"/>
    <s v="7918"/>
    <s v="NEW"/>
    <s v="PEND"/>
    <s v="4110"/>
    <s v="CPSFRT2017"/>
    <s v="DCORMAN"/>
    <m/>
    <n v="1"/>
    <n v="3"/>
    <s v="LC"/>
    <m/>
    <m/>
    <x v="1"/>
    <s v="RA 1739927 Gerdes"/>
    <m/>
    <m/>
    <s v="David Corman"/>
    <s v="Cognisant Program Director"/>
    <s v="eJ"/>
    <s v="rgerdes@vt.edu"/>
    <s v="PIs@"/>
    <s v="CNS"/>
    <s v="1739927"/>
    <n v="4"/>
    <n v="4"/>
    <m/>
    <s v=""/>
    <n v="3"/>
    <n v="5"/>
    <n v="7"/>
    <s v="V,G,G,F"/>
    <d v="2017-10-19T14:19:00"/>
    <n v="4974830"/>
    <n v="4974830"/>
    <n v="0"/>
    <d v="2017-07-01T00:00:00"/>
    <n v="60"/>
    <s v="CPS: Frontier: Collaborative Research: Assurance in Aviation CPS"/>
    <m/>
    <m/>
    <m/>
    <s v="P180038"/>
    <s v="Low Competitive"/>
    <m/>
    <s v="CPS Frontiers (2017)"/>
    <d v="2017-10-20T00:00:00"/>
    <s v=" V,G,G,F"/>
    <s v="11 rated projects , 3 C, 6 LC, 2 NC"/>
    <n v="8"/>
    <n v="1"/>
    <m/>
    <m/>
    <m/>
    <m/>
    <m/>
    <m/>
    <m/>
    <m/>
    <m/>
    <m/>
    <m/>
    <m/>
    <m/>
    <m/>
    <m/>
    <m/>
    <m/>
    <m/>
    <s v="1739927"/>
    <s v="Gerdes"/>
    <s v="Ryan"/>
    <s v="VA Polytechnic Inst &amp; St U"/>
    <n v="2296997"/>
    <n v="2296997"/>
    <m/>
    <s v="1739079"/>
    <s v="Kohno"/>
    <s v="Tadayoshi"/>
    <s v="U of Washington"/>
    <n v="1000000"/>
    <n v="1000000"/>
    <m/>
    <s v="1739237"/>
    <s v="Wang"/>
    <s v="Chao"/>
    <s v="U of Southern California"/>
    <n v="200189"/>
    <n v="200189"/>
    <m/>
    <s v="1739786"/>
    <s v="Beckman"/>
    <s v="Wendy"/>
    <s v="Middle Tennessee St Univ"/>
    <n v="1477644"/>
    <n v="1477644"/>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rgerdes@vt.edu"/>
    <s v="rgerdes@vt.edu;yoshi@cs.washington.edu;wang626@usc.edu;wbeckman@mtsu.edu   "/>
  </r>
  <r>
    <m/>
    <d v="2017-03-06T19:59:00"/>
    <s v="NSF 17-529"/>
    <s v="05050000"/>
    <s v="7918"/>
    <s v="NEW"/>
    <s v="PEND"/>
    <s v="4110"/>
    <s v="CPSFRT2017"/>
    <s v="DCORMAN"/>
    <m/>
    <n v="1"/>
    <n v="3"/>
    <s v="LC"/>
    <m/>
    <m/>
    <x v="1"/>
    <s v="RA 1740088 Venkatasubramanian"/>
    <m/>
    <m/>
    <s v="David Corman"/>
    <s v="Cognisant Program Director"/>
    <s v="eJ"/>
    <s v="nalini@ics.uci.edu"/>
    <s v="PIs@"/>
    <s v="CNS"/>
    <s v="1740088"/>
    <n v="4"/>
    <n v="4"/>
    <m/>
    <s v=""/>
    <n v="4"/>
    <n v="4.75"/>
    <n v="5"/>
    <s v="G,G,G,G/F"/>
    <d v="2017-10-20T12:54:00"/>
    <n v="6995030"/>
    <n v="6995030"/>
    <n v="0"/>
    <d v="2017-10-01T00:00:00"/>
    <n v="48"/>
    <s v="CPS:Frontier:Collaborative Research:CISTERN: Community Based Intelligent Stormwater Networks"/>
    <m/>
    <m/>
    <m/>
    <s v="P180038"/>
    <s v="Low Competitive"/>
    <m/>
    <s v="CPS Frontiers (2017)"/>
    <d v="2017-10-20T00:00:00"/>
    <s v=" G,G,G,G/F"/>
    <s v="11 rated projects , 3 C, 6 LC, 2 NC"/>
    <n v="8"/>
    <n v="0"/>
    <m/>
    <m/>
    <m/>
    <m/>
    <m/>
    <m/>
    <m/>
    <m/>
    <m/>
    <m/>
    <m/>
    <m/>
    <m/>
    <m/>
    <m/>
    <m/>
    <m/>
    <m/>
    <s v="1740088"/>
    <s v="Venkatasubramanian"/>
    <s v="Nalini"/>
    <s v="U of Cal Irvine"/>
    <n v="5296730"/>
    <n v="5296730"/>
    <m/>
    <s v="1739367"/>
    <s v="Low"/>
    <s v="Steven"/>
    <s v="California Inst of Tech"/>
    <n v="900000"/>
    <n v="900000"/>
    <m/>
    <s v="1739749"/>
    <s v="Talcott"/>
    <s v="Carolyn"/>
    <s v="SRI International"/>
    <n v="798300"/>
    <n v="798300"/>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nalini@ics.uci.edu"/>
    <s v="nalini@ics.uci.edu;slow@caltech.edu;clt@cs.stanford.edu    "/>
  </r>
  <r>
    <m/>
    <d v="2017-07-14T10:33:00"/>
    <s v="NSF 17-537"/>
    <s v="05050000"/>
    <s v="7918"/>
    <s v="NEW"/>
    <s v="PEND"/>
    <s v="4110"/>
    <s v="CARCSFY18"/>
    <s v="DCORMAN"/>
    <m/>
    <n v="1"/>
    <n v="3"/>
    <s v="LC"/>
    <m/>
    <m/>
    <x v="1"/>
    <s v="RA 1749118 Dawn"/>
    <m/>
    <m/>
    <s v="David Corman"/>
    <s v="Cognisant Program Director"/>
    <s v="eJ"/>
    <s v="debasis.dawn@ndsu.edu"/>
    <s v="PIs@"/>
    <s v="CNS"/>
    <s v="1749118"/>
    <n v="4"/>
    <n v="4"/>
    <m/>
    <s v=""/>
    <n v="4"/>
    <n v="5.5"/>
    <n v="7"/>
    <s v="V,V/G,G,G/F"/>
    <d v="2017-11-02T14:21:00"/>
    <n v="504542"/>
    <n v="504542"/>
    <n v="0"/>
    <d v="2018-02-01T00:00:00"/>
    <n v="60"/>
    <s v="CAREER:Wireless Body Area Network Sensors: A New Pathway for Ultra-Low-Power, Security and Adaptability to Dynamic Changes"/>
    <m/>
    <m/>
    <m/>
    <s v="P180067"/>
    <s v="Low Competitive"/>
    <m/>
    <s v="CPS CAREER"/>
    <d v="2017-11-03T00:00:00"/>
    <s v=" V,V/G,G,G/F"/>
    <s v="25 rated projects: 1 HC, 6 C, 11 LC, 7 NC"/>
    <n v="13"/>
    <n v="0"/>
    <m/>
    <m/>
    <m/>
    <m/>
    <m/>
    <m/>
    <m/>
    <m/>
    <m/>
    <m/>
    <m/>
    <m/>
    <m/>
    <m/>
    <m/>
    <m/>
    <m/>
    <m/>
    <s v="1749118"/>
    <s v="Dawn"/>
    <s v="Debasis"/>
    <s v="North Dakota State U Fargo"/>
    <n v="504542"/>
    <n v="504542"/>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debasis.dawn@ndsu.edu"/>
    <s v="debasis.dawn@ndsu.edu      "/>
  </r>
  <r>
    <m/>
    <d v="2017-07-19T12:40:00"/>
    <s v="NSF 17-537"/>
    <s v="05050000"/>
    <s v="7918"/>
    <s v="NEW"/>
    <s v="PEND"/>
    <s v="4110"/>
    <s v="CARCSFY18"/>
    <s v="DCORMAN"/>
    <m/>
    <n v="1"/>
    <n v="3"/>
    <s v="LC"/>
    <m/>
    <m/>
    <x v="1"/>
    <s v="RA 1750414 Zeng"/>
    <m/>
    <m/>
    <s v="David Corman"/>
    <s v="Cognisant Program Director"/>
    <s v="eJ"/>
    <s v="hbzeng@vt.edu"/>
    <s v="PIs@"/>
    <s v="CNS"/>
    <s v="1750414"/>
    <n v="4"/>
    <n v="4"/>
    <m/>
    <s v=""/>
    <n v="3"/>
    <n v="4.75"/>
    <n v="7"/>
    <s v="V,G,G/F,F"/>
    <d v="2017-11-03T10:31:00"/>
    <n v="499449"/>
    <n v="499449"/>
    <n v="0"/>
    <d v="2018-01-01T00:00:00"/>
    <n v="60"/>
    <s v="CAREER: Revolutionizing Optimization Techniques for Time-Critical CPS"/>
    <m/>
    <m/>
    <m/>
    <s v="P180067"/>
    <s v="Low Competitive"/>
    <m/>
    <s v="CPS CAREER"/>
    <d v="2017-11-03T00:00:00"/>
    <s v=" V,G,G/F,F"/>
    <s v="25 rated projects: 1 HC, 6 C, 11 LC, 7 NC"/>
    <n v="13"/>
    <n v="0"/>
    <m/>
    <m/>
    <m/>
    <m/>
    <m/>
    <m/>
    <m/>
    <m/>
    <m/>
    <m/>
    <m/>
    <m/>
    <m/>
    <m/>
    <m/>
    <m/>
    <m/>
    <m/>
    <s v="1750414"/>
    <s v="Zeng"/>
    <s v="Haibo"/>
    <s v="VA Polytechnic Inst &amp; St U"/>
    <n v="499449"/>
    <n v="499449"/>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hbzeng@vt.edu"/>
    <s v="hbzeng@vt.edu      "/>
  </r>
  <r>
    <m/>
    <d v="2017-07-19T12:46:00"/>
    <s v="NSF 17-537"/>
    <s v="05050000"/>
    <s v="7918"/>
    <s v="NEW"/>
    <s v="PEND"/>
    <s v="4110"/>
    <s v="CARCSFY18"/>
    <s v="DCORMAN"/>
    <m/>
    <n v="1"/>
    <n v="3"/>
    <s v="LC"/>
    <m/>
    <m/>
    <x v="1"/>
    <s v="RA 1750426 Li"/>
    <m/>
    <m/>
    <s v="David Corman"/>
    <s v="Cognisant Program Director"/>
    <s v="eJ"/>
    <s v="yli15@wpi.edu"/>
    <s v="PIs@"/>
    <s v="CNS"/>
    <s v="1750426"/>
    <n v="4"/>
    <n v="4"/>
    <m/>
    <s v=""/>
    <n v="4"/>
    <n v="5.25"/>
    <n v="7"/>
    <s v="V,G,G,G/F"/>
    <d v="2017-11-02T10:23:00"/>
    <n v="499714"/>
    <n v="499714"/>
    <n v="0"/>
    <d v="2018-07-01T00:00:00"/>
    <n v="60"/>
    <s v="CAREER: CityMind: Spatial-Temporal-Human Knowledge Transfer for Urban Transportation Evolution Planning"/>
    <m/>
    <m/>
    <m/>
    <s v="P180067"/>
    <s v="Low Competitive"/>
    <m/>
    <s v="CPS CAREER"/>
    <d v="2017-11-03T00:00:00"/>
    <s v=" V,G,G,G/F"/>
    <s v="25 rated projects: 1 HC, 6 C, 11 LC, 7 NC"/>
    <n v="13"/>
    <n v="0"/>
    <m/>
    <m/>
    <m/>
    <m/>
    <m/>
    <m/>
    <m/>
    <m/>
    <m/>
    <m/>
    <m/>
    <m/>
    <m/>
    <m/>
    <m/>
    <m/>
    <m/>
    <m/>
    <s v="1750426"/>
    <s v="Li"/>
    <s v="Yanhua"/>
    <s v="Worcester Polytech Inst"/>
    <n v="499714"/>
    <n v="499714"/>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yli15@wpi.edu"/>
    <s v="yli15@wpi.edu      "/>
  </r>
  <r>
    <m/>
    <d v="2017-07-19T13:11:00"/>
    <s v="NSF 17-537"/>
    <s v="05050000"/>
    <s v="7918"/>
    <s v="NEW"/>
    <s v="PEND"/>
    <s v="4110"/>
    <s v="CARCSFY18"/>
    <s v="DCORMAN"/>
    <m/>
    <n v="1"/>
    <n v="3"/>
    <s v="LC"/>
    <m/>
    <m/>
    <x v="1"/>
    <s v="RA 1750477 Xu"/>
    <m/>
    <m/>
    <s v="David Corman"/>
    <s v="Cognisant Program Director"/>
    <s v="eJ"/>
    <s v="mumu@umd.edu"/>
    <s v="PIs@"/>
    <s v="CNS"/>
    <s v="1750477"/>
    <n v="4"/>
    <n v="4"/>
    <m/>
    <s v=""/>
    <n v="3"/>
    <n v="4.25"/>
    <n v="5"/>
    <s v="G,G,G/F,F"/>
    <d v="2017-11-03T10:22:00"/>
    <n v="500000"/>
    <n v="500000"/>
    <n v="0"/>
    <d v="2018-01-01T00:00:00"/>
    <n v="60"/>
    <s v="CAREER: Autonomous Mission Planning for UAS in Unstructured Environments"/>
    <m/>
    <m/>
    <m/>
    <s v="P180067"/>
    <s v="Low Competitive"/>
    <m/>
    <s v="CPS CAREER"/>
    <d v="2017-11-03T00:00:00"/>
    <s v=" G,G,G/F,F"/>
    <s v="25 rated projects: 1 HC, 6 C, 11 LC, 7 NC"/>
    <n v="13"/>
    <n v="0"/>
    <m/>
    <m/>
    <m/>
    <m/>
    <m/>
    <m/>
    <m/>
    <m/>
    <m/>
    <m/>
    <m/>
    <m/>
    <m/>
    <m/>
    <m/>
    <m/>
    <m/>
    <m/>
    <s v="1750477"/>
    <s v="Xu"/>
    <s v="Huan"/>
    <s v="U of MD College Park"/>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mumu@umd.edu"/>
    <s v="mumu@umd.edu      "/>
  </r>
  <r>
    <m/>
    <d v="2017-07-19T13:44:00"/>
    <s v="NSF 17-537"/>
    <s v="05050000"/>
    <s v="7918"/>
    <s v="NEW"/>
    <s v="PEND"/>
    <s v="4110"/>
    <s v="CARCSFY18"/>
    <s v="DCORMAN"/>
    <m/>
    <n v="1"/>
    <n v="3"/>
    <s v="LC"/>
    <m/>
    <m/>
    <x v="1"/>
    <s v="RA 1750541 Kong"/>
    <m/>
    <m/>
    <s v="David Corman"/>
    <s v="Cognisant Program Director"/>
    <s v="eJ"/>
    <s v="zdkong@ucdavis.edu"/>
    <s v="PIs@"/>
    <s v="CNS"/>
    <s v="1750541"/>
    <n v="4"/>
    <n v="4"/>
    <m/>
    <s v=""/>
    <n v="4"/>
    <n v="4.75"/>
    <n v="5"/>
    <s v="G,G,G,G/F"/>
    <d v="2017-11-02T08:57:00"/>
    <n v="588632"/>
    <n v="588632"/>
    <n v="0"/>
    <d v="2018-03-01T00:00:00"/>
    <n v="60"/>
    <s v="CAREER: Foundations for Safe and Cognitive-Aware Human-Cyber-Physical Systems"/>
    <m/>
    <m/>
    <m/>
    <s v="P180067"/>
    <s v="Low Competitive"/>
    <m/>
    <s v="CPS CAREER"/>
    <d v="2017-11-03T00:00:00"/>
    <s v=" G,G,G,G/F"/>
    <s v="25 rated projects: 1 HC, 6 C, 11 LC, 7 NC"/>
    <n v="13"/>
    <n v="1"/>
    <m/>
    <m/>
    <m/>
    <m/>
    <m/>
    <m/>
    <m/>
    <m/>
    <m/>
    <m/>
    <m/>
    <m/>
    <m/>
    <m/>
    <m/>
    <m/>
    <m/>
    <m/>
    <s v="1750541"/>
    <s v="Kong"/>
    <s v="Zhaodan"/>
    <s v="U of Cal Davis"/>
    <n v="588632"/>
    <n v="588632"/>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zdkong@ucdavis.edu"/>
    <s v="zdkong@ucdavis.edu      "/>
  </r>
  <r>
    <m/>
    <d v="2017-07-19T15:21:00"/>
    <s v="NSF 17-537"/>
    <s v="05050000"/>
    <s v="7918"/>
    <s v="NEW"/>
    <s v="PEND"/>
    <s v="4110"/>
    <s v="CARCSFY18"/>
    <s v="DCORMAN"/>
    <m/>
    <n v="1"/>
    <n v="3"/>
    <s v="LC"/>
    <m/>
    <m/>
    <x v="1"/>
    <s v="RA 1750811 Duggirala"/>
    <m/>
    <m/>
    <s v="David Corman"/>
    <s v="Cognisant Program Director"/>
    <s v="eJ"/>
    <s v="psd@engr.uconn.edu"/>
    <s v="PIs@"/>
    <s v="CNS"/>
    <s v="1750811"/>
    <n v="4"/>
    <n v="4"/>
    <m/>
    <s v=""/>
    <n v="5"/>
    <n v="5.5"/>
    <n v="7"/>
    <s v="V,G,G,G"/>
    <d v="2017-11-02T15:12:00"/>
    <n v="508393"/>
    <n v="508393"/>
    <n v="0"/>
    <d v="2018-01-01T00:00:00"/>
    <n v="60"/>
    <s v="CAREER: A Rigorous Framework for End-To-End Certification of Autonomous Vehicles"/>
    <m/>
    <m/>
    <m/>
    <s v="P180067"/>
    <s v="Low Competitive"/>
    <m/>
    <s v="CPS CAREER"/>
    <d v="2017-11-03T00:00:00"/>
    <s v=" V,G,G,G"/>
    <s v="25 rated projects: 1 HC, 6 C, 11 LC, 7 NC"/>
    <n v="13"/>
    <n v="1"/>
    <m/>
    <m/>
    <m/>
    <m/>
    <m/>
    <m/>
    <m/>
    <m/>
    <m/>
    <m/>
    <m/>
    <m/>
    <m/>
    <m/>
    <m/>
    <m/>
    <m/>
    <m/>
    <s v="1750811"/>
    <s v="Duggirala"/>
    <s v="Parasara"/>
    <s v="Univ of Connecticut"/>
    <n v="508393"/>
    <n v="50839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psd@engr.uconn.edu"/>
    <s v="psd@engr.uconn.edu      "/>
  </r>
  <r>
    <m/>
    <d v="2017-07-19T16:24:00"/>
    <s v="NSF 17-537"/>
    <s v="05050000"/>
    <s v="7918"/>
    <s v="NEW"/>
    <s v="PEND"/>
    <s v="4110"/>
    <s v="CARCSFY18"/>
    <s v="DCORMAN"/>
    <m/>
    <n v="1"/>
    <n v="3"/>
    <s v="LC"/>
    <m/>
    <m/>
    <x v="1"/>
    <s v="RA 1751068 Lauf"/>
    <m/>
    <m/>
    <s v="David Corman"/>
    <s v="Cognisant Program Director"/>
    <s v="eJ"/>
    <s v="adrian.lauf@louisville.edu"/>
    <s v="PIs@"/>
    <s v="CNS"/>
    <s v="1751068"/>
    <n v="4"/>
    <n v="4"/>
    <m/>
    <s v=""/>
    <n v="4"/>
    <n v="5.25"/>
    <n v="7"/>
    <s v="V,V/G,G/F,G/F"/>
    <d v="2017-11-03T08:44:00"/>
    <n v="519006"/>
    <n v="519006"/>
    <n v="0"/>
    <d v="2018-01-01T00:00:00"/>
    <n v="60"/>
    <s v="CAREER: CyclONE: Synoptic-Scale Real-Time Sensing with Unmanned Aerial Systems"/>
    <m/>
    <m/>
    <m/>
    <s v="P180067"/>
    <s v="Low Competitive"/>
    <m/>
    <s v="CPS CAREER"/>
    <d v="2017-11-03T00:00:00"/>
    <s v=" V,V/G,G/F,G/F"/>
    <s v="25 rated projects: 1 HC, 6 C, 11 LC, 7 NC"/>
    <n v="13"/>
    <n v="0"/>
    <m/>
    <m/>
    <m/>
    <m/>
    <m/>
    <m/>
    <m/>
    <m/>
    <m/>
    <m/>
    <m/>
    <m/>
    <m/>
    <m/>
    <m/>
    <m/>
    <m/>
    <m/>
    <s v="1751068"/>
    <s v="Lauf"/>
    <s v="Adrian"/>
    <s v="U of Louisville Res Fdn"/>
    <n v="519006"/>
    <n v="519006"/>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adrian.lauf@louisville.edu"/>
    <s v="adrian.lauf@louisville.edu      "/>
  </r>
  <r>
    <m/>
    <d v="2017-07-19T17:00:00"/>
    <s v="NSF 17-537"/>
    <s v="05050000"/>
    <s v="7918"/>
    <s v="NEW"/>
    <s v="PEND"/>
    <s v="4110"/>
    <s v="CARCSFY18"/>
    <s v="DCORMAN"/>
    <m/>
    <n v="1"/>
    <n v="3"/>
    <s v="LC"/>
    <m/>
    <m/>
    <x v="1"/>
    <s v="RA 1751205 Kassas"/>
    <m/>
    <m/>
    <s v="David Corman"/>
    <s v="Cognisant Program Director"/>
    <s v="eJ"/>
    <s v="zak.kassas@ucr.edu"/>
    <s v="PIs@"/>
    <s v="CNS"/>
    <s v="1751205"/>
    <n v="4"/>
    <n v="4"/>
    <m/>
    <s v=""/>
    <n v="5"/>
    <n v="6"/>
    <n v="7"/>
    <s v="V,V,G,G"/>
    <d v="2017-11-03T12:14:00"/>
    <n v="500000"/>
    <n v="500000"/>
    <n v="0"/>
    <d v="2018-04-01T00:00:00"/>
    <n v="60"/>
    <s v="CAREER: Situational Awareness Strategies for Autonomous Systems in Dynamic Uncertain Environments"/>
    <m/>
    <m/>
    <m/>
    <s v="P180067"/>
    <s v="Low Competitive"/>
    <m/>
    <s v="CPS CAREER"/>
    <d v="2017-11-03T00:00:00"/>
    <s v=" V,V,G,G"/>
    <s v="25 rated projects: 1 HC, 6 C, 11 LC, 7 NC"/>
    <n v="13"/>
    <n v="0"/>
    <m/>
    <m/>
    <m/>
    <m/>
    <m/>
    <m/>
    <m/>
    <m/>
    <m/>
    <m/>
    <m/>
    <m/>
    <m/>
    <m/>
    <m/>
    <m/>
    <m/>
    <m/>
    <s v="1751205"/>
    <s v="Kassas"/>
    <s v="Zak"/>
    <s v="U of Cal Riverside"/>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zak.kassas@ucr.edu"/>
    <s v="zak.kassas@ucr.edu      "/>
  </r>
  <r>
    <m/>
    <d v="2017-07-19T17:35:00"/>
    <s v="NSF 17-537"/>
    <s v="05050000"/>
    <s v="7918"/>
    <s v="NEW"/>
    <s v="PEND"/>
    <s v="4110"/>
    <s v="CARCSFY18"/>
    <s v="DCORMAN"/>
    <m/>
    <n v="1"/>
    <n v="3"/>
    <s v="LC"/>
    <m/>
    <m/>
    <x v="1"/>
    <s v="RA 1751276 Johnson"/>
    <m/>
    <m/>
    <s v="David Corman"/>
    <s v="Cognisant Program Director"/>
    <s v="eJ"/>
    <s v="taylor.johnson@gmail.com"/>
    <s v="PIs@"/>
    <s v="CNS"/>
    <s v="1751276"/>
    <n v="4"/>
    <n v="4"/>
    <m/>
    <s v=""/>
    <n v="3"/>
    <n v="5.25"/>
    <n v="7"/>
    <s v="V,V/G,G,F"/>
    <d v="2017-11-03T09:00:00"/>
    <n v="557308"/>
    <n v="557308"/>
    <n v="0"/>
    <d v="2018-01-01T00:00:00"/>
    <n v="60"/>
    <s v="CAREER: Provable Cyber-Physical Safety and Security in Intra and Inter-Vehicular Networks"/>
    <m/>
    <m/>
    <m/>
    <s v="P180067"/>
    <s v="Low Competitive"/>
    <m/>
    <s v="CPS CAREER"/>
    <d v="2017-11-03T00:00:00"/>
    <s v=" V,V/G,G,F"/>
    <s v="25 rated projects: 1 HC, 6 C, 11 LC, 7 NC"/>
    <n v="13"/>
    <n v="2"/>
    <m/>
    <m/>
    <m/>
    <m/>
    <m/>
    <m/>
    <m/>
    <m/>
    <m/>
    <m/>
    <m/>
    <m/>
    <m/>
    <m/>
    <m/>
    <m/>
    <m/>
    <m/>
    <s v="1751276"/>
    <s v="Johnson"/>
    <s v="Taylor"/>
    <s v="Vanderbilt University"/>
    <n v="557308"/>
    <n v="557308"/>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taylor.johnson@gmail.com"/>
    <s v="taylor.johnson@gmail.com      "/>
  </r>
  <r>
    <m/>
    <d v="2017-07-19T17:51:00"/>
    <s v="NSF 17-537"/>
    <s v="05050000"/>
    <s v="7918"/>
    <s v="NEW"/>
    <s v="PEND"/>
    <s v="4110"/>
    <s v="CARCSFY18"/>
    <s v="DCORMAN"/>
    <m/>
    <n v="1"/>
    <n v="3"/>
    <s v="LC"/>
    <m/>
    <m/>
    <x v="1"/>
    <s v="RA 1751307 Chao"/>
    <m/>
    <m/>
    <s v="David Corman"/>
    <s v="Cognisant Program Director"/>
    <s v="eJ"/>
    <s v="chaohaiyang@ku.edu"/>
    <s v="PIs@"/>
    <s v="CNS"/>
    <s v="1751307"/>
    <n v="4"/>
    <n v="4"/>
    <m/>
    <s v=""/>
    <n v="3"/>
    <n v="4"/>
    <n v="5"/>
    <s v="G,G,F,F"/>
    <d v="2017-11-02T18:01:00"/>
    <n v="500000"/>
    <n v="500000"/>
    <n v="0"/>
    <d v="2018-01-01T00:00:00"/>
    <n v="60"/>
    <s v="CAREER: CPS: Collaborative Sensing and Surfing of Spatio-Temporal Wind for Improved Safety and Increased Autonomy of Next Generation UAS Networks"/>
    <m/>
    <m/>
    <m/>
    <s v="P180067"/>
    <s v="Low Competitive"/>
    <m/>
    <s v="CPS CAREER"/>
    <d v="2017-11-03T00:00:00"/>
    <s v=" G,G,F,F"/>
    <s v="25 rated projects: 1 HC, 6 C, 11 LC, 7 NC"/>
    <n v="13"/>
    <n v="0"/>
    <m/>
    <m/>
    <m/>
    <m/>
    <m/>
    <m/>
    <m/>
    <m/>
    <m/>
    <m/>
    <m/>
    <m/>
    <m/>
    <m/>
    <m/>
    <m/>
    <m/>
    <m/>
    <s v="1751307"/>
    <s v="Chao"/>
    <s v="Haiyang"/>
    <s v="U of Kansas Ctr for Res In"/>
    <n v="500000"/>
    <n v="500000"/>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chaohaiyang@ku.edu"/>
    <s v="chaohaiyang@ku.edu      "/>
  </r>
  <r>
    <m/>
    <d v="2017-07-19T18:23:00"/>
    <s v="NSF 17-537"/>
    <s v="05050000"/>
    <s v="7918"/>
    <s v="NEW"/>
    <s v="PEND"/>
    <s v="4110"/>
    <s v="CARCSFY18"/>
    <s v="DCORMAN"/>
    <m/>
    <n v="1"/>
    <n v="3"/>
    <s v="LC"/>
    <m/>
    <m/>
    <x v="1"/>
    <s v="RA 1751346 Rrushi"/>
    <m/>
    <m/>
    <s v="David Corman"/>
    <s v="Cognisant Program Director"/>
    <s v="eJ"/>
    <s v="julian.rrushi@wwu.edu"/>
    <s v="PIs@"/>
    <s v="CNS"/>
    <s v="1751346"/>
    <n v="4"/>
    <n v="4"/>
    <m/>
    <s v=""/>
    <n v="3"/>
    <n v="3.5"/>
    <n v="4"/>
    <s v="G/F,G/F,F,F"/>
    <d v="2017-11-03T08:01:00"/>
    <n v="630787"/>
    <n v="630787"/>
    <n v="0"/>
    <d v="2018-09-15T00:00:00"/>
    <n v="60"/>
    <s v="CAREER: INDUSTRIAL MIRAGE IN CYBER SPACE"/>
    <m/>
    <m/>
    <m/>
    <s v="P180067"/>
    <s v="Low Competitive"/>
    <m/>
    <s v="CPS CAREER"/>
    <d v="2017-11-03T00:00:00"/>
    <s v=" G/F,G/F,F,F"/>
    <s v="25 rated projects: 1 HC, 6 C, 11 LC, 7 NC"/>
    <n v="13"/>
    <n v="1"/>
    <m/>
    <m/>
    <m/>
    <m/>
    <m/>
    <m/>
    <m/>
    <m/>
    <m/>
    <m/>
    <m/>
    <m/>
    <m/>
    <m/>
    <m/>
    <m/>
    <m/>
    <m/>
    <s v="1751346"/>
    <s v="Rrushi"/>
    <s v="Julian"/>
    <s v="Western Washington Univ"/>
    <n v="630787"/>
    <n v="630787"/>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julian.rrushi@wwu.edu"/>
    <s v="julian.rrushi@wwu.edu      "/>
  </r>
  <r>
    <m/>
    <d v="2017-08-21T17:14:00"/>
    <s v="NSF 13-542"/>
    <s v="05050000"/>
    <s v="1139"/>
    <s v="NEW"/>
    <s v="PEND"/>
    <s v="4110"/>
    <s v="REUSITE18"/>
    <s v="JSPRINK"/>
    <d v="2017-11-09T12:05:14"/>
    <n v="1"/>
    <n v="3"/>
    <s v="LC"/>
    <m/>
    <m/>
    <x v="1"/>
    <s v="RA 1757384 Fu"/>
    <m/>
    <m/>
    <s v="Jonathan Sprinkle"/>
    <s v="Cognisant Program Director"/>
    <s v="eJ"/>
    <s v="song.fu@unt.edu"/>
    <s v="PIs@"/>
    <s v="CNS"/>
    <s v="1757384"/>
    <n v="4"/>
    <m/>
    <m/>
    <s v=""/>
    <n v="3"/>
    <n v="5"/>
    <n v="7"/>
    <s v="V,G,G,F"/>
    <d v="2017-10-26T15:43:00"/>
    <n v="365510"/>
    <n v="357120"/>
    <n v="0"/>
    <d v="2018-03-01T00:00:00"/>
    <n v="36"/>
    <s v="REU Site: Research in Autonomous Vehicular Information Technology and Automotive Smart Things"/>
    <m/>
    <m/>
    <m/>
    <s v="P180116"/>
    <s v="Low Competitive"/>
    <m/>
    <s v="REU SITE - CIS"/>
    <d v="2017-10-27T00:00:00"/>
    <s v=" V,G,G,F"/>
    <s v="15 rated projects: 3 HC, 3 C, 7 LC, 2 NC"/>
    <n v="8"/>
    <n v="0"/>
    <m/>
    <m/>
    <m/>
    <m/>
    <m/>
    <m/>
    <m/>
    <m/>
    <m/>
    <m/>
    <m/>
    <m/>
    <m/>
    <m/>
    <m/>
    <m/>
    <m/>
    <m/>
    <s v="1757384"/>
    <s v="Fu"/>
    <s v="Song"/>
    <s v="University of North Texas"/>
    <n v="365510"/>
    <n v="357120"/>
    <s v="9250"/>
    <m/>
    <m/>
    <m/>
    <m/>
    <m/>
    <m/>
    <m/>
    <m/>
    <m/>
    <m/>
    <m/>
    <m/>
    <m/>
    <m/>
    <m/>
    <m/>
    <m/>
    <m/>
    <m/>
    <m/>
    <m/>
    <m/>
    <m/>
    <m/>
    <m/>
    <m/>
    <m/>
    <m/>
    <m/>
    <m/>
    <m/>
    <m/>
    <m/>
    <m/>
    <m/>
    <m/>
    <m/>
    <m/>
    <m/>
    <m/>
    <m/>
    <m/>
    <s v="Research Experiences for Undergraduates"/>
    <s v="Division Of Computer and Network Systems"/>
    <s v="RSCH EXPER FOR UNDERGRAD SITES"/>
    <s v="Jonathan Sprinkle"/>
    <s v="Pending, De-recommended"/>
    <s v="New Project"/>
    <s v="Research Grants-Not Elsewh Cla"/>
    <s v="CSE"/>
    <s v="Direct For Computer &amp; Info Scie &amp; Enginr"/>
    <d v="2017-12-06T09:38:42"/>
    <s v="song.fu@unt.edu"/>
    <s v="song.fu@unt.edu      "/>
  </r>
  <r>
    <d v="2017-11-24T23:21:31"/>
    <d v="2017-08-23T09:05:00"/>
    <s v="NSF 13-542"/>
    <s v="05050000"/>
    <s v="1139"/>
    <s v="NEW"/>
    <s v="DECL"/>
    <s v="4110"/>
    <s v="REUSITE18"/>
    <s v="JSPRINK"/>
    <d v="2017-11-02T11:25:01"/>
    <n v="1"/>
    <n v="3"/>
    <s v="LC"/>
    <m/>
    <m/>
    <x v="1"/>
    <s v="RA 1757535 Zhang"/>
    <m/>
    <m/>
    <s v="Jonathan Sprinkle"/>
    <s v="Cognisant Program Director"/>
    <s v="eJ"/>
    <s v="wzhang4@vcu.edu"/>
    <s v="PIs@"/>
    <s v="CNS"/>
    <s v="1757535"/>
    <n v="5"/>
    <m/>
    <m/>
    <s v=""/>
    <n v="3"/>
    <n v="3.6"/>
    <n v="5"/>
    <s v="G,G/F,F,F,F"/>
    <d v="2017-10-27T12:19:00"/>
    <n v="447942"/>
    <n v="447942"/>
    <n v="0"/>
    <d v="2018-03-01T00:00:00"/>
    <n v="36"/>
    <s v="REU Site: Undergraduate Research in Cyber-Physical Systems"/>
    <m/>
    <m/>
    <m/>
    <s v="P180116"/>
    <s v="Low Competitive"/>
    <m/>
    <s v="REU SITE - CIS"/>
    <d v="2017-10-27T00:00:00"/>
    <s v=" G,G/F,F,F,F"/>
    <s v="15 rated projects: 3 HC, 3 C, 7 LC, 2 NC"/>
    <n v="8"/>
    <n v="0"/>
    <m/>
    <m/>
    <m/>
    <m/>
    <m/>
    <m/>
    <m/>
    <m/>
    <m/>
    <m/>
    <m/>
    <m/>
    <m/>
    <m/>
    <m/>
    <m/>
    <m/>
    <m/>
    <s v="1757535"/>
    <s v="Zhang"/>
    <s v="Wei"/>
    <s v="Virginia Commonwealth Univ"/>
    <n v="447942"/>
    <n v="447942"/>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wzhang4@vcu.edu"/>
    <s v="wzhang4@vcu.edu      "/>
  </r>
  <r>
    <d v="2017-11-27T08:23:03"/>
    <d v="2017-08-23T16:20:00"/>
    <s v="NSF 13-542"/>
    <s v="05050000"/>
    <s v="1139"/>
    <s v="NEW"/>
    <s v="DECL"/>
    <s v="4110"/>
    <s v="REUSITE18"/>
    <s v="JSPRINK"/>
    <d v="2017-11-09T12:04:40"/>
    <n v="1"/>
    <n v="3"/>
    <s v="LC"/>
    <m/>
    <m/>
    <x v="1"/>
    <s v="RA 1757853 Jung"/>
    <m/>
    <m/>
    <s v="Jonathan Sprinkle"/>
    <s v="Cognisant Program Director"/>
    <s v="eJ"/>
    <s v="jung@uta.edu"/>
    <s v="PIs@"/>
    <s v="CNS"/>
    <s v="1757853"/>
    <n v="4"/>
    <m/>
    <m/>
    <s v=""/>
    <n v="3"/>
    <n v="3"/>
    <n v="3"/>
    <s v="F,F,F,F"/>
    <d v="2017-10-26T15:13:00"/>
    <n v="339491"/>
    <n v="339491"/>
    <n v="0"/>
    <d v="2018-01-01T00:00:00"/>
    <n v="36"/>
    <s v="REU Site: Smart Distributed Data Sensing and Processing Systems"/>
    <m/>
    <m/>
    <m/>
    <s v="P180116"/>
    <s v="Low Competitive"/>
    <m/>
    <s v="REU SITE - CIS"/>
    <d v="2017-10-27T00:00:00"/>
    <s v=" F,F,F,F"/>
    <s v="15 rated projects: 3 HC, 3 C, 7 LC, 2 NC"/>
    <n v="8"/>
    <n v="0"/>
    <m/>
    <m/>
    <m/>
    <m/>
    <m/>
    <m/>
    <m/>
    <m/>
    <m/>
    <m/>
    <m/>
    <m/>
    <m/>
    <m/>
    <m/>
    <m/>
    <m/>
    <m/>
    <s v="1757853"/>
    <s v="Jung"/>
    <s v="Sungyong"/>
    <s v="U of Texas Arlington"/>
    <n v="339491"/>
    <n v="339491"/>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jung@uta.edu"/>
    <s v="jung@uta.edu      "/>
  </r>
  <r>
    <m/>
    <d v="2017-08-23T16:38:00"/>
    <s v="NSF 13-542"/>
    <s v="05050000"/>
    <s v="1139"/>
    <s v="NEW"/>
    <s v="PEND"/>
    <s v="4110"/>
    <s v="REUSITE18"/>
    <s v="JSPRINK"/>
    <d v="2017-11-09T12:03:28"/>
    <n v="1"/>
    <n v="3"/>
    <s v="LC"/>
    <m/>
    <m/>
    <x v="1"/>
    <s v="RA 1757893 Metsis"/>
    <m/>
    <m/>
    <s v="Jonathan Sprinkle"/>
    <s v="Cognisant Program Director"/>
    <s v="eJ"/>
    <s v="vmetsis@txstate.edu"/>
    <s v="PIs@"/>
    <s v="CNS"/>
    <s v="1757893"/>
    <n v="4"/>
    <m/>
    <m/>
    <s v=""/>
    <n v="4"/>
    <n v="6"/>
    <n v="7"/>
    <s v="V,V,V/G,G/F"/>
    <d v="2017-10-26T16:15:00"/>
    <n v="359812"/>
    <n v="359812"/>
    <n v="0"/>
    <d v="2018-01-01T00:00:00"/>
    <n v="36"/>
    <s v="REU Site: Research Experiences for Undergraduates in Smart &amp; Connected Communities"/>
    <m/>
    <m/>
    <m/>
    <s v="P180116"/>
    <s v="Low Competitive"/>
    <m/>
    <s v="REU SITE - CIS"/>
    <d v="2017-10-27T00:00:00"/>
    <s v=" V,V,V/G,G/F"/>
    <s v="15 rated projects: 3 HC, 3 C, 7 LC, 2 NC"/>
    <n v="8"/>
    <n v="0"/>
    <m/>
    <m/>
    <m/>
    <m/>
    <m/>
    <m/>
    <m/>
    <m/>
    <m/>
    <m/>
    <m/>
    <m/>
    <m/>
    <m/>
    <m/>
    <m/>
    <m/>
    <m/>
    <s v="1757893"/>
    <s v="Metsis"/>
    <s v="Vangelis"/>
    <s v="Texas State U - San Marcos"/>
    <n v="359812"/>
    <n v="359812"/>
    <s v="9250"/>
    <m/>
    <m/>
    <m/>
    <m/>
    <m/>
    <m/>
    <m/>
    <m/>
    <m/>
    <m/>
    <m/>
    <m/>
    <m/>
    <m/>
    <m/>
    <m/>
    <m/>
    <m/>
    <m/>
    <m/>
    <m/>
    <m/>
    <m/>
    <m/>
    <m/>
    <m/>
    <m/>
    <m/>
    <m/>
    <m/>
    <m/>
    <m/>
    <m/>
    <m/>
    <m/>
    <m/>
    <m/>
    <m/>
    <m/>
    <m/>
    <m/>
    <m/>
    <s v="Research Experiences for Undergraduates"/>
    <s v="Division Of Computer and Network Systems"/>
    <s v="RSCH EXPER FOR UNDERGRAD SITES"/>
    <s v="Jonathan Sprinkle"/>
    <s v="Pending, Review Package Produced"/>
    <s v="New Project"/>
    <s v="Research Grants-Not Elsewh Cla"/>
    <s v="CSE"/>
    <s v="Direct For Computer &amp; Info Scie &amp; Enginr"/>
    <d v="2017-12-06T09:38:42"/>
    <s v="vmetsis@txstate.edu"/>
    <s v="vmetsis@txstate.edu      "/>
  </r>
  <r>
    <m/>
    <d v="2017-08-23T16:51:00"/>
    <s v="NSF 13-542"/>
    <s v="05050000"/>
    <s v="1139"/>
    <s v="NEW"/>
    <s v="PEND"/>
    <s v="4110"/>
    <s v="REUSITE18"/>
    <s v="JSPRINK"/>
    <d v="2017-11-09T12:02:59"/>
    <n v="1"/>
    <n v="3"/>
    <s v="LC"/>
    <m/>
    <m/>
    <x v="1"/>
    <s v="RA 1757919 Odumosu"/>
    <m/>
    <m/>
    <s v="Jonathan Sprinkle"/>
    <s v="Cognisant Program Director"/>
    <s v="eJ"/>
    <s v="tbo4z@virginia.edu"/>
    <s v="PIs@"/>
    <s v="CNS"/>
    <s v="1757919"/>
    <n v="4"/>
    <m/>
    <m/>
    <s v=""/>
    <n v="4"/>
    <n v="5"/>
    <n v="6"/>
    <s v="V/G,G,G,G/F"/>
    <d v="2017-10-27T09:31:00"/>
    <n v="299333"/>
    <n v="299333"/>
    <n v="0"/>
    <d v="2018-06-01T00:00:00"/>
    <n v="36"/>
    <s v="Designing the Future through Integrative Research in Cyber-Physical Systems"/>
    <m/>
    <m/>
    <m/>
    <s v="P180116"/>
    <s v="Low Competitive"/>
    <m/>
    <s v="REU SITE - CIS"/>
    <d v="2017-10-27T00:00:00"/>
    <s v=" V/G,G,G,G/F"/>
    <s v="15 rated projects: 3 HC, 3 C, 7 LC, 2 NC"/>
    <n v="8"/>
    <n v="0"/>
    <m/>
    <m/>
    <m/>
    <m/>
    <m/>
    <m/>
    <m/>
    <m/>
    <m/>
    <m/>
    <m/>
    <m/>
    <m/>
    <m/>
    <m/>
    <m/>
    <m/>
    <m/>
    <s v="1757919"/>
    <s v="Odumosu"/>
    <s v="Toluwalogo"/>
    <s v="University of Virginia"/>
    <n v="299333"/>
    <n v="299333"/>
    <s v="9250"/>
    <m/>
    <m/>
    <m/>
    <m/>
    <m/>
    <m/>
    <m/>
    <m/>
    <m/>
    <m/>
    <m/>
    <m/>
    <m/>
    <m/>
    <m/>
    <m/>
    <m/>
    <m/>
    <m/>
    <m/>
    <m/>
    <m/>
    <m/>
    <m/>
    <m/>
    <m/>
    <m/>
    <m/>
    <m/>
    <m/>
    <m/>
    <m/>
    <m/>
    <m/>
    <m/>
    <m/>
    <m/>
    <m/>
    <m/>
    <m/>
    <m/>
    <m/>
    <s v="Research Experiences for Undergraduates"/>
    <s v="Division Of Computer and Network Systems"/>
    <s v="RSCH EXPER FOR UNDERGRAD SITES"/>
    <s v="Jonathan Sprinkle"/>
    <s v="Pending, PM recommends decline"/>
    <s v="New Project"/>
    <s v="Research Grants-Not Elsewh Cla"/>
    <s v="CSE"/>
    <s v="Direct For Computer &amp; Info Scie &amp; Enginr"/>
    <d v="2017-12-06T09:38:42"/>
    <s v="tbo4z@virginia.edu"/>
    <s v="tbo4z@virginia.edu      "/>
  </r>
  <r>
    <d v="2017-11-24T23:25:05"/>
    <d v="2017-08-23T16:51:00"/>
    <s v="NSF 13-542"/>
    <s v="05050000"/>
    <s v="1139"/>
    <s v="NEW"/>
    <s v="DECL"/>
    <s v="4110"/>
    <s v="REUSITE18"/>
    <s v="JSPRINK"/>
    <d v="2017-11-09T12:06:23"/>
    <n v="1"/>
    <n v="3"/>
    <s v="LC"/>
    <m/>
    <m/>
    <x v="1"/>
    <s v="RA 1757921 Ashok"/>
    <m/>
    <m/>
    <s v="Jonathan Sprinkle"/>
    <s v="Cognisant Program Director"/>
    <s v="eJ"/>
    <s v="aashok@gsu.edu"/>
    <s v="PIs@"/>
    <s v="CNS"/>
    <s v="1757921"/>
    <n v="4"/>
    <m/>
    <m/>
    <s v=""/>
    <n v="3"/>
    <n v="4.5"/>
    <n v="7"/>
    <s v="V,G,F,F"/>
    <d v="2017-10-27T10:04:00"/>
    <n v="358313"/>
    <n v="358313"/>
    <n v="0"/>
    <d v="2018-01-30T00:00:00"/>
    <n v="36"/>
    <s v="REU Site: Developing Smart and Autonomous Internet-of-Things Systems"/>
    <m/>
    <m/>
    <m/>
    <s v="P180116"/>
    <s v="Low Competitive"/>
    <m/>
    <s v="REU SITE - CIS"/>
    <d v="2017-10-27T00:00:00"/>
    <s v=" V,G,F,F"/>
    <s v="15 rated projects: 3 HC, 3 C, 7 LC, 2 NC"/>
    <n v="8"/>
    <n v="0"/>
    <m/>
    <m/>
    <m/>
    <m/>
    <m/>
    <m/>
    <m/>
    <m/>
    <m/>
    <m/>
    <m/>
    <m/>
    <m/>
    <m/>
    <m/>
    <m/>
    <m/>
    <m/>
    <s v="1757921"/>
    <s v="Ashok"/>
    <s v="Ashwin"/>
    <s v="Ga State U Res Fdn, Inc."/>
    <n v="358313"/>
    <n v="358313"/>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aashok@gsu.edu"/>
    <s v="aashok@gsu.edu      "/>
  </r>
  <r>
    <d v="2017-11-27T08:33:00"/>
    <d v="2017-08-23T17:29:00"/>
    <s v="NSF 13-542"/>
    <s v="05050000"/>
    <s v="1139"/>
    <s v="NEW"/>
    <s v="DECL"/>
    <s v="4110"/>
    <s v="REUSITE18"/>
    <s v="JSPRINK"/>
    <d v="2017-11-09T12:05:59"/>
    <n v="1"/>
    <n v="3"/>
    <s v="LC"/>
    <m/>
    <m/>
    <x v="1"/>
    <s v="RA 1757956 Bobda"/>
    <m/>
    <m/>
    <s v="Jonathan Sprinkle"/>
    <s v="Cognisant Program Director"/>
    <s v="eJ"/>
    <s v="cbobda@uark.edu"/>
    <s v="PIs@"/>
    <s v="CNS"/>
    <s v="1757956"/>
    <n v="4"/>
    <m/>
    <m/>
    <s v=""/>
    <n v="2"/>
    <n v="2.75"/>
    <n v="3"/>
    <s v="F,F,F,F/P"/>
    <d v="2017-10-27T10:26:00"/>
    <n v="399415"/>
    <n v="399415"/>
    <n v="0"/>
    <d v="2018-01-01T00:00:00"/>
    <n v="36"/>
    <s v="REU Site:Reliable and Secure Autonomous Systems"/>
    <m/>
    <m/>
    <m/>
    <s v="P180116"/>
    <s v="Low Competitive"/>
    <m/>
    <s v="REU SITE - CIS"/>
    <d v="2017-10-27T00:00:00"/>
    <s v=" F,F,F,F/P"/>
    <s v="15 rated projects: 3 HC, 3 C, 7 LC, 2 NC"/>
    <n v="8"/>
    <n v="0"/>
    <m/>
    <m/>
    <m/>
    <m/>
    <m/>
    <m/>
    <m/>
    <m/>
    <m/>
    <m/>
    <m/>
    <m/>
    <m/>
    <m/>
    <m/>
    <m/>
    <m/>
    <m/>
    <s v="1757956"/>
    <s v="Bobda"/>
    <s v="Christophe"/>
    <s v="U of Arkansas"/>
    <n v="399415"/>
    <n v="399415"/>
    <s v="9150 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cbobda@uark.edu"/>
    <s v="cbobda@uark.edu      "/>
  </r>
  <r>
    <m/>
    <d v="2017-03-06T15:41:00"/>
    <s v="NSF 17-529"/>
    <s v="05050000"/>
    <s v="7918"/>
    <s v="NEW"/>
    <s v="PEND"/>
    <s v="4110"/>
    <s v="CPSFRT2017"/>
    <s v="DCORMAN"/>
    <m/>
    <n v="1"/>
    <n v="4"/>
    <s v="NC"/>
    <m/>
    <m/>
    <x v="1"/>
    <s v="RA 1739710 Mankoff"/>
    <m/>
    <m/>
    <s v="David Corman"/>
    <s v="Cognisant Program Director"/>
    <s v="eJ"/>
    <s v="jmanoff@uw.edu"/>
    <s v="PIs@"/>
    <s v="CNS"/>
    <s v="1739710"/>
    <n v="4"/>
    <n v="4"/>
    <m/>
    <s v=""/>
    <n v="3"/>
    <n v="3.25"/>
    <n v="4"/>
    <s v="G/F,F,F,F"/>
    <d v="2017-10-20T11:31:00"/>
    <n v="7000000"/>
    <n v="7000000"/>
    <n v="0"/>
    <d v="2018-01-01T00:00:00"/>
    <n v="60"/>
    <s v="CPS: Frontier: Collaborative Research: Revolutionizing Cyberphysical Design with Semi-Autonomous, Data-Driven Optimization Techniques"/>
    <m/>
    <m/>
    <m/>
    <s v="P180038"/>
    <s v="Not Competitive"/>
    <m/>
    <s v="CPS Frontiers (2017)"/>
    <d v="2017-10-20T00:00:00"/>
    <s v=" G/F,F,F,F"/>
    <s v="11 rated projects , 3 C, 6 LC, 2 NC"/>
    <n v="8"/>
    <n v="1"/>
    <m/>
    <m/>
    <m/>
    <m/>
    <m/>
    <m/>
    <m/>
    <m/>
    <m/>
    <m/>
    <m/>
    <m/>
    <m/>
    <m/>
    <m/>
    <m/>
    <m/>
    <m/>
    <s v="1739710"/>
    <s v="Mankoff"/>
    <s v="Jennifer"/>
    <s v="Carnegie Mellon University"/>
    <n v="7000000"/>
    <n v="7000000"/>
    <m/>
    <m/>
    <m/>
    <m/>
    <m/>
    <m/>
    <m/>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jmanoff@uw.edu"/>
    <s v="jmanoff@uw.edu      "/>
  </r>
  <r>
    <m/>
    <d v="2017-03-06T16:07:00"/>
    <s v="NSF 17-529"/>
    <s v="05050000"/>
    <s v="7918"/>
    <s v="NEW"/>
    <s v="PEND"/>
    <s v="4110"/>
    <s v="CPSFRT2017"/>
    <s v="DCORMAN"/>
    <m/>
    <n v="1"/>
    <n v="4"/>
    <s v="NC"/>
    <m/>
    <m/>
    <x v="1"/>
    <s v="RA 1739782 Akyildiz"/>
    <m/>
    <m/>
    <s v="David Corman"/>
    <s v="Cognisant Program Director"/>
    <s v="eJ"/>
    <s v="ian@ece.gatech.edu"/>
    <s v="PIs@"/>
    <s v="CNS"/>
    <s v="1739782"/>
    <n v="4"/>
    <n v="4"/>
    <m/>
    <s v="Y"/>
    <n v="1"/>
    <n v="4"/>
    <n v="7"/>
    <s v="V,G,F,P"/>
    <d v="2017-10-19T02:03:00"/>
    <n v="7000000"/>
    <n v="7000000"/>
    <n v="0"/>
    <d v="2017-10-01T00:00:00"/>
    <n v="60"/>
    <s v="CPS: Frontier: Collaborative Research: Internet of Bio-Nano Things for Early Detection of Infections"/>
    <m/>
    <m/>
    <m/>
    <s v="P180038"/>
    <s v="Not Competitive"/>
    <m/>
    <s v="CPS Frontiers (2017)"/>
    <d v="2017-10-20T00:00:00"/>
    <s v=" V,G,F,P"/>
    <s v="11 rated projects , 3 C, 6 LC, 2 NC"/>
    <n v="8"/>
    <n v="0"/>
    <m/>
    <m/>
    <m/>
    <m/>
    <m/>
    <m/>
    <m/>
    <m/>
    <m/>
    <m/>
    <m/>
    <m/>
    <m/>
    <m/>
    <m/>
    <m/>
    <m/>
    <m/>
    <s v="1739782"/>
    <s v="Akyildiz"/>
    <s v="Ian"/>
    <s v="Georgia Tech Research Corp"/>
    <n v="3883266"/>
    <n v="3883266"/>
    <m/>
    <s v="1739814"/>
    <s v="Bilen"/>
    <s v="Mehmet"/>
    <s v="Emory University"/>
    <n v="3116734"/>
    <n v="3116734"/>
    <m/>
    <m/>
    <m/>
    <m/>
    <m/>
    <m/>
    <m/>
    <m/>
    <m/>
    <m/>
    <m/>
    <m/>
    <m/>
    <m/>
    <m/>
    <m/>
    <m/>
    <m/>
    <m/>
    <m/>
    <m/>
    <m/>
    <m/>
    <m/>
    <m/>
    <m/>
    <m/>
    <m/>
    <m/>
    <m/>
    <m/>
    <m/>
    <m/>
    <m/>
    <m/>
    <m/>
    <s v="Cyber-Physical Systems"/>
    <s v="Division Of Computer and Network Systems"/>
    <s v="CYBER-PHYSICAL SYSTEMS (CPS)"/>
    <s v="David Corman"/>
    <s v="Pending, Review Package Produced"/>
    <s v="New Project"/>
    <s v="Research Grants-Not Elsewh Cla"/>
    <s v="CSE"/>
    <s v="Direct For Computer &amp; Info Scie &amp; Enginr"/>
    <d v="2017-12-06T09:38:42"/>
    <s v="ian@ece.gatech.edu"/>
    <s v="ian@ece.gatech.edu;mehmet.a.bilen@emory.edu     "/>
  </r>
  <r>
    <m/>
    <d v="2017-07-19T10:48:00"/>
    <s v="NSF 17-537"/>
    <s v="05050000"/>
    <s v="7918"/>
    <s v="NEW"/>
    <s v="PEND"/>
    <s v="4110"/>
    <s v="CARCSFY18"/>
    <s v="DCORMAN"/>
    <m/>
    <n v="1"/>
    <n v="4"/>
    <s v="NC"/>
    <m/>
    <m/>
    <x v="1"/>
    <s v="RA 1750246 Zhang"/>
    <m/>
    <m/>
    <s v="David Corman"/>
    <s v="Cognisant Program Director"/>
    <s v="eJ"/>
    <s v="zhangs@cs.fit.edu"/>
    <s v="PIs@"/>
    <s v="CNS"/>
    <s v="1750246"/>
    <n v="4"/>
    <n v="4"/>
    <m/>
    <s v=""/>
    <n v="1"/>
    <n v="2.5"/>
    <n v="3"/>
    <s v="F,F,F,P"/>
    <d v="2017-11-02T11:04:00"/>
    <n v="792792"/>
    <n v="792792"/>
    <n v="0"/>
    <d v="2018-01-01T00:00:00"/>
    <n v="60"/>
    <s v="CAREER: Securing Autonomous Driving Vehicles Using ARM TrustZone"/>
    <m/>
    <m/>
    <m/>
    <s v="P180067"/>
    <s v="Not Competitive"/>
    <m/>
    <s v="CPS CAREER"/>
    <d v="2017-11-03T00:00:00"/>
    <s v=" F,F,F,P"/>
    <s v="25 rated projects: 1 HC, 6 C, 11 LC, 7 NC"/>
    <n v="13"/>
    <n v="0"/>
    <m/>
    <m/>
    <m/>
    <m/>
    <m/>
    <m/>
    <m/>
    <m/>
    <m/>
    <m/>
    <m/>
    <m/>
    <m/>
    <m/>
    <m/>
    <m/>
    <m/>
    <m/>
    <s v="1750246"/>
    <s v="Zhang"/>
    <s v="Shengzhi"/>
    <s v="Florida Institute of Tech"/>
    <n v="792792"/>
    <n v="792792"/>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zhangs@cs.fit.edu"/>
    <s v="zhangs@cs.fit.edu      "/>
  </r>
  <r>
    <m/>
    <d v="2017-07-19T13:07:00"/>
    <s v="NSF 17-537"/>
    <s v="05050000"/>
    <s v="7918"/>
    <s v="NEW"/>
    <s v="PEND"/>
    <s v="4110"/>
    <s v="CARCSFY18"/>
    <s v="DCORMAN"/>
    <m/>
    <n v="1"/>
    <n v="4"/>
    <s v="NC"/>
    <m/>
    <m/>
    <x v="1"/>
    <s v="RA 1750466 Zhu"/>
    <m/>
    <m/>
    <s v="David Corman"/>
    <s v="Cognisant Program Director"/>
    <s v="eJ"/>
    <s v="quanyan.zhu@nyu.edu"/>
    <s v="PIs@"/>
    <s v="CNS"/>
    <s v="1750466"/>
    <n v="4"/>
    <n v="4"/>
    <m/>
    <s v=""/>
    <n v="2"/>
    <n v="3.5"/>
    <n v="5"/>
    <s v="G,G/F,F,F/P"/>
    <d v="2017-11-03T09:00:00"/>
    <n v="499953"/>
    <n v="499953"/>
    <n v="0"/>
    <d v="2018-09-01T00:00:00"/>
    <n v="60"/>
    <s v="CAREER: Systemic Game-Theoretic Analysis and Design for Cross-Layer Cyber-Physical System Security and Resilience"/>
    <m/>
    <m/>
    <m/>
    <s v="P180067"/>
    <s v="Not Competitive"/>
    <m/>
    <s v="CPS CAREER"/>
    <d v="2017-11-03T00:00:00"/>
    <s v=" G,G/F,F,F/P"/>
    <s v="25 rated projects: 1 HC, 6 C, 11 LC, 7 NC"/>
    <n v="13"/>
    <n v="0"/>
    <m/>
    <m/>
    <m/>
    <m/>
    <m/>
    <m/>
    <m/>
    <m/>
    <m/>
    <m/>
    <m/>
    <m/>
    <m/>
    <m/>
    <m/>
    <m/>
    <m/>
    <m/>
    <s v="1750466"/>
    <s v="Zhu"/>
    <s v="Quanyan"/>
    <s v="New York University"/>
    <n v="499953"/>
    <n v="499953"/>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quanyan.zhu@nyu.edu"/>
    <s v="quanyan.zhu@nyu.edu      "/>
  </r>
  <r>
    <m/>
    <d v="2017-07-19T16:11:00"/>
    <s v="NSF 17-537"/>
    <s v="05050000"/>
    <s v="7918"/>
    <s v="NEW"/>
    <s v="PEND"/>
    <s v="4110"/>
    <s v="CARCSFY18"/>
    <s v="JSPRINK"/>
    <m/>
    <n v="1"/>
    <n v="4"/>
    <s v="NC"/>
    <m/>
    <m/>
    <x v="4"/>
    <s v="Std Decline  1751021 Dantu"/>
    <m/>
    <m/>
    <s v="Jonathan Sprinkle"/>
    <s v="Cognisant Program Director"/>
    <s v="eJ"/>
    <s v="kdantu@buffalo.edu"/>
    <s v="PIs@"/>
    <s v="CNS"/>
    <s v="1751021"/>
    <n v="4"/>
    <n v="4"/>
    <m/>
    <s v=""/>
    <n v="1"/>
    <n v="3.5"/>
    <n v="5"/>
    <s v="G,G,F,P"/>
    <d v="2017-11-02T17:31:00"/>
    <n v="651679"/>
    <n v="651679"/>
    <n v="0"/>
    <d v="2018-05-01T00:00:00"/>
    <n v="60"/>
    <s v="CAREER: Energy-Centric Autonomy in Micro-Aerial Vehicles"/>
    <m/>
    <m/>
    <m/>
    <s v="P180067"/>
    <s v="Not Competitive"/>
    <m/>
    <s v="CPS CAREER"/>
    <d v="2017-11-03T00:00:00"/>
    <s v=" G,G,F,P"/>
    <s v="25 rated projects: 1 HC, 6 C, 11 LC, 7 NC"/>
    <n v="13"/>
    <n v="0"/>
    <m/>
    <m/>
    <m/>
    <m/>
    <m/>
    <m/>
    <m/>
    <m/>
    <m/>
    <m/>
    <m/>
    <m/>
    <m/>
    <m/>
    <m/>
    <m/>
    <m/>
    <m/>
    <s v="1751021"/>
    <s v="Dantu"/>
    <s v="Karthik"/>
    <s v="SUNY Buffalo"/>
    <n v="651679"/>
    <n v="651679"/>
    <s v="1045 7495"/>
    <m/>
    <m/>
    <m/>
    <m/>
    <m/>
    <m/>
    <m/>
    <m/>
    <m/>
    <m/>
    <m/>
    <m/>
    <m/>
    <m/>
    <m/>
    <m/>
    <m/>
    <m/>
    <m/>
    <m/>
    <m/>
    <m/>
    <m/>
    <m/>
    <m/>
    <m/>
    <m/>
    <m/>
    <m/>
    <m/>
    <m/>
    <m/>
    <m/>
    <m/>
    <m/>
    <m/>
    <m/>
    <m/>
    <m/>
    <m/>
    <m/>
    <m/>
    <s v="Faculty Early Career Development Program"/>
    <s v="Division Of Computer and Network Systems"/>
    <s v="CYBER-PHYSICAL SYSTEMS (CPS)"/>
    <s v="Jonathan Sprinkle"/>
    <s v="Pending, Review Package Produced"/>
    <s v="New Project"/>
    <s v="Research Grants-Not Elsewh Cla"/>
    <s v="CSE"/>
    <s v="Direct For Computer &amp; Info Scie &amp; Enginr"/>
    <d v="2017-12-06T09:38:42"/>
    <s v="kdantu@buffalo.edu"/>
    <s v="kdantu@buffalo.edu      "/>
  </r>
  <r>
    <m/>
    <d v="2017-07-19T17:06:00"/>
    <s v="NSF 17-537"/>
    <s v="05050000"/>
    <s v="7918"/>
    <s v="NEW"/>
    <s v="PEND"/>
    <s v="4110"/>
    <s v="CARCSFY18"/>
    <s v="DCORMAN"/>
    <m/>
    <n v="1"/>
    <n v="4"/>
    <s v="NC"/>
    <m/>
    <m/>
    <x v="1"/>
    <s v="RA 1751219 Atkison"/>
    <m/>
    <m/>
    <s v="David Corman"/>
    <s v="Cognisant Program Director"/>
    <s v="eJ"/>
    <s v="atkison@cs.ua.edu"/>
    <s v="PIs@"/>
    <s v="CNS"/>
    <s v="1751219"/>
    <n v="4"/>
    <n v="4"/>
    <m/>
    <s v=""/>
    <n v="1"/>
    <n v="2"/>
    <n v="3"/>
    <s v="F,F,P,P"/>
    <d v="2017-11-02T15:28:00"/>
    <n v="662136"/>
    <n v="662136"/>
    <n v="0"/>
    <d v="2018-08-15T00:00:00"/>
    <n v="60"/>
    <s v="CAREER: An Efficient, Safe, and Secure Traffic Infrastructure (ESSTI)"/>
    <m/>
    <m/>
    <m/>
    <s v="P180067"/>
    <s v="Not Competitive"/>
    <m/>
    <s v="CPS CAREER"/>
    <d v="2017-11-03T00:00:00"/>
    <s v=" F,F,P,P"/>
    <s v="25 rated projects: 1 HC, 6 C, 11 LC, 7 NC"/>
    <n v="13"/>
    <n v="0"/>
    <m/>
    <m/>
    <m/>
    <m/>
    <m/>
    <m/>
    <m/>
    <m/>
    <m/>
    <m/>
    <m/>
    <m/>
    <m/>
    <m/>
    <m/>
    <m/>
    <m/>
    <m/>
    <s v="1751219"/>
    <s v="Atkison"/>
    <s v="Travis"/>
    <s v="U of Alabama Tuscaloosa"/>
    <n v="662136"/>
    <n v="662136"/>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atkison@cs.ua.edu"/>
    <s v="atkison@cs.ua.edu      "/>
  </r>
  <r>
    <m/>
    <d v="2017-07-19T22:00:00"/>
    <s v="NSF 17-537"/>
    <s v="05050000"/>
    <s v="7918"/>
    <s v="NEW"/>
    <s v="PEND"/>
    <s v="4110"/>
    <s v="CARCSFY18"/>
    <s v="DCORMAN"/>
    <m/>
    <n v="1"/>
    <n v="4"/>
    <s v="NC"/>
    <m/>
    <m/>
    <x v="1"/>
    <s v="RA 1751420 Li"/>
    <m/>
    <m/>
    <s v="David Corman"/>
    <s v="Cognisant Program Director"/>
    <s v="eJ"/>
    <s v="depengli@hawaii.edu"/>
    <s v="PIs@"/>
    <s v="CNS"/>
    <s v="1751420"/>
    <n v="4"/>
    <n v="4"/>
    <m/>
    <s v=""/>
    <n v="1"/>
    <n v="2.75"/>
    <n v="4"/>
    <s v="G/F,F,F,P"/>
    <d v="2017-11-02T10:08:00"/>
    <n v="400188"/>
    <n v="400188"/>
    <n v="0"/>
    <d v="2017-09-01T00:00:00"/>
    <n v="60"/>
    <s v="CAREER: CPS: New Access Control Mechanism for Internet of Things and its  Application of Air Vehicle System"/>
    <m/>
    <m/>
    <m/>
    <s v="P180067"/>
    <s v="Not Competitive"/>
    <m/>
    <s v="CPS CAREER"/>
    <d v="2017-11-03T00:00:00"/>
    <s v=" G/F,F,F,P"/>
    <s v="25 rated projects: 1 HC, 6 C, 11 LC, 7 NC"/>
    <n v="13"/>
    <n v="0"/>
    <m/>
    <m/>
    <m/>
    <m/>
    <m/>
    <m/>
    <m/>
    <m/>
    <m/>
    <m/>
    <m/>
    <m/>
    <m/>
    <m/>
    <m/>
    <m/>
    <m/>
    <m/>
    <s v="1751420"/>
    <s v="Li"/>
    <s v="Depeng"/>
    <s v="U of Hawaii"/>
    <n v="400188"/>
    <n v="400188"/>
    <s v="1045 9150"/>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depengli@hawaii.edu"/>
    <s v="depengli@hawaii.edu      "/>
  </r>
  <r>
    <m/>
    <d v="2017-07-20T16:31:00"/>
    <s v="NSF 17-537"/>
    <s v="05050000"/>
    <s v="7918"/>
    <s v="NEW"/>
    <s v="PEND"/>
    <s v="4110"/>
    <s v="CARCSFY18"/>
    <s v="DCORMAN"/>
    <m/>
    <n v="1"/>
    <n v="4"/>
    <s v="NC"/>
    <m/>
    <m/>
    <x v="1"/>
    <s v="RA 1752310 Karimoddini"/>
    <m/>
    <m/>
    <s v="David Corman"/>
    <s v="Cognisant Program Director"/>
    <s v="eJ"/>
    <s v="akarimod@ncat.edu"/>
    <s v="PIs@"/>
    <s v="CNS"/>
    <s v="1752310"/>
    <n v="4"/>
    <n v="4"/>
    <m/>
    <s v="Y"/>
    <n v="1"/>
    <n v="4.25"/>
    <n v="6"/>
    <s v="V/G,G,G,P"/>
    <d v="2017-11-02T16:43:00"/>
    <n v="500000"/>
    <n v="500000"/>
    <n v="0"/>
    <d v="2018-01-15T00:00:00"/>
    <n v="60"/>
    <s v="CAREER: Resilient Distributed Cooporative Control of Autonomous Vehicles"/>
    <m/>
    <m/>
    <m/>
    <s v="P180067"/>
    <s v="Not Competitive"/>
    <m/>
    <s v="CPS CAREER"/>
    <d v="2017-11-03T00:00:00"/>
    <s v=" V/G,G,G,P"/>
    <s v="25 rated projects: 1 HC, 6 C, 11 LC, 7 NC"/>
    <n v="13"/>
    <n v="1"/>
    <m/>
    <m/>
    <m/>
    <m/>
    <m/>
    <m/>
    <m/>
    <m/>
    <m/>
    <m/>
    <m/>
    <m/>
    <m/>
    <m/>
    <m/>
    <m/>
    <m/>
    <m/>
    <s v="1752310"/>
    <s v="Karimoddini"/>
    <s v="Ali"/>
    <s v="North Carolina A&amp;T St Univ"/>
    <n v="500000"/>
    <n v="500000"/>
    <s v="1045"/>
    <m/>
    <m/>
    <m/>
    <m/>
    <m/>
    <m/>
    <m/>
    <m/>
    <m/>
    <m/>
    <m/>
    <m/>
    <m/>
    <m/>
    <m/>
    <m/>
    <m/>
    <m/>
    <m/>
    <m/>
    <m/>
    <m/>
    <m/>
    <m/>
    <m/>
    <m/>
    <m/>
    <m/>
    <m/>
    <m/>
    <m/>
    <m/>
    <m/>
    <m/>
    <m/>
    <m/>
    <m/>
    <m/>
    <m/>
    <m/>
    <m/>
    <m/>
    <s v="Faculty Early Career Development Program"/>
    <s v="Division Of Computer and Network Systems"/>
    <s v="CYBER-PHYSICAL SYSTEMS (CPS)"/>
    <s v="David Corman"/>
    <s v="Pending, Review Package Produced"/>
    <s v="New Project"/>
    <s v="Research Grants-Not Elsewh Cla"/>
    <s v="CSE"/>
    <s v="Direct For Computer &amp; Info Scie &amp; Enginr"/>
    <d v="2017-12-06T09:38:42"/>
    <s v="akarimod@ncat.edu"/>
    <s v="akarimod@ncat.edu      "/>
  </r>
  <r>
    <d v="2017-11-21T09:31:50"/>
    <d v="2017-08-22T10:47:00"/>
    <s v="NSF 13-542"/>
    <s v="05050000"/>
    <s v="1139"/>
    <s v="NEW"/>
    <s v="DECL"/>
    <s v="4110"/>
    <s v="REUSITE18"/>
    <s v="JSPRINK"/>
    <d v="2017-11-09T12:02:21"/>
    <n v="1"/>
    <n v="4"/>
    <s v="NC"/>
    <m/>
    <m/>
    <x v="1"/>
    <s v="RA 1757414 Shen"/>
    <m/>
    <m/>
    <s v="Jonathan Sprinkle"/>
    <s v="Cognisant Program Director"/>
    <s v="eJ"/>
    <s v="shen@umich.edu"/>
    <s v="PIs@"/>
    <s v="CNS"/>
    <s v="1757414"/>
    <n v="4"/>
    <m/>
    <m/>
    <s v=""/>
    <n v="3"/>
    <n v="4.25"/>
    <n v="5"/>
    <s v="G,G,G/F,F"/>
    <d v="2017-10-26T16:03:00"/>
    <n v="269021"/>
    <n v="269021"/>
    <n v="0"/>
    <d v="2018-03-15T00:00:00"/>
    <n v="36"/>
    <s v="REU Site: Digital and Cyber Connected and Automated Vehicles"/>
    <m/>
    <m/>
    <m/>
    <s v="P180116"/>
    <s v="Non Competitive"/>
    <m/>
    <s v="REU SITE - CIS"/>
    <d v="2017-10-27T00:00:00"/>
    <s v=" G,G,G/F,F"/>
    <s v="15 rated projects: 3 HC, 3 C, 7 LC, 2 NC"/>
    <n v="8"/>
    <n v="0"/>
    <m/>
    <m/>
    <m/>
    <m/>
    <m/>
    <m/>
    <m/>
    <m/>
    <m/>
    <m/>
    <m/>
    <m/>
    <m/>
    <m/>
    <m/>
    <m/>
    <m/>
    <m/>
    <s v="1757414"/>
    <s v="Shen"/>
    <s v="Jie"/>
    <s v="University of Michigan"/>
    <n v="269021"/>
    <n v="269021"/>
    <s v="116E 9178 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shen@umich.edu"/>
    <s v="shen@umich.edu      "/>
  </r>
  <r>
    <d v="2017-11-27T08:28:00"/>
    <d v="2017-08-23T16:31:00"/>
    <s v="NSF 13-542"/>
    <s v="05050000"/>
    <s v="1139"/>
    <s v="NEW"/>
    <s v="DECL"/>
    <s v="4110"/>
    <s v="REUSITE18"/>
    <s v="JSPRINK"/>
    <d v="2017-11-09T12:01:55"/>
    <n v="1"/>
    <n v="4"/>
    <s v="NC"/>
    <m/>
    <m/>
    <x v="1"/>
    <s v="RA 1757870 Xie"/>
    <m/>
    <m/>
    <s v="Jonathan Sprinkle"/>
    <s v="Cognisant Program Director"/>
    <s v="eJ"/>
    <s v="jiafeng.xie@wright.edu"/>
    <s v="PIs@"/>
    <s v="CNS"/>
    <s v="1757870"/>
    <n v="4"/>
    <m/>
    <m/>
    <s v=""/>
    <n v="1"/>
    <n v="2.25"/>
    <n v="4"/>
    <s v="G/F,F,P,P"/>
    <d v="2017-10-27T09:33:00"/>
    <n v="353763"/>
    <n v="353763"/>
    <n v="0"/>
    <d v="2018-02-01T00:00:00"/>
    <n v="36"/>
    <s v="REU Site: Undergraduate Research in Designing and Implementing Secure Internet-of-Things (IoT)-Related Embedded Devices"/>
    <m/>
    <m/>
    <m/>
    <s v="P180116"/>
    <s v="Non Competitive"/>
    <m/>
    <s v="REU SITE - CIS"/>
    <d v="2017-10-27T00:00:00"/>
    <s v=" G/F,F,P,P"/>
    <s v="15 rated projects: 3 HC, 3 C, 7 LC, 2 NC"/>
    <n v="8"/>
    <n v="0"/>
    <m/>
    <m/>
    <m/>
    <m/>
    <m/>
    <m/>
    <m/>
    <m/>
    <m/>
    <m/>
    <m/>
    <m/>
    <m/>
    <m/>
    <m/>
    <m/>
    <m/>
    <m/>
    <s v="1757870"/>
    <s v="Xie"/>
    <s v="Jiafeng"/>
    <s v="Wright State University"/>
    <n v="353763"/>
    <n v="353763"/>
    <s v="9250"/>
    <m/>
    <m/>
    <m/>
    <m/>
    <m/>
    <m/>
    <m/>
    <m/>
    <m/>
    <m/>
    <m/>
    <m/>
    <m/>
    <m/>
    <m/>
    <m/>
    <m/>
    <m/>
    <m/>
    <m/>
    <m/>
    <m/>
    <m/>
    <m/>
    <m/>
    <m/>
    <m/>
    <m/>
    <m/>
    <m/>
    <m/>
    <m/>
    <m/>
    <m/>
    <m/>
    <m/>
    <m/>
    <m/>
    <m/>
    <m/>
    <m/>
    <m/>
    <s v="Research Experiences for Undergraduates"/>
    <s v="Division Of Computer and Network Systems"/>
    <s v="RSCH EXPER FOR UNDERGRAD SITES"/>
    <s v="Jonathan Sprinkle"/>
    <s v="Decline, DDConcurred"/>
    <s v="New Project"/>
    <s v="Research Grants-Not Elsewh Cla"/>
    <s v="CSE"/>
    <s v="Direct For Computer &amp; Info Scie &amp; Enginr"/>
    <d v="2017-12-06T09:38:42"/>
    <s v="jiafeng.xie@wright.edu"/>
    <s v="jiafeng.xie@wright.edu      "/>
  </r>
</pivotCacheRecords>
</file>

<file path=xl/pivotCache/pivotCacheRecords2.xml><?xml version="1.0" encoding="utf-8"?>
<pivotCacheRecords xmlns="http://schemas.openxmlformats.org/spreadsheetml/2006/main" xmlns:r="http://schemas.openxmlformats.org/officeDocument/2006/relationships" count="1">
  <r>
    <m/>
    <d v="2017-08-23T15:36:00"/>
    <s v="REUSITE18"/>
    <s v="NSF 13-542"/>
    <s v="4110"/>
    <s v="4110"/>
    <s v="05050000"/>
    <s v="05050000"/>
    <s v="1139"/>
    <x v="0"/>
    <s v="JSPRINK"/>
    <s v="JSPRINK"/>
    <s v="PEND"/>
    <s v="NEW"/>
    <s v="STND"/>
    <x v="0"/>
    <s v="01"/>
    <n v="287959"/>
    <n v="1"/>
    <s v="I"/>
    <s v="1757781"/>
    <s v="eJ"/>
    <s v="CNS"/>
    <x v="0"/>
    <x v="0"/>
    <s v="Jiawei"/>
    <s v="Embry Riddle Aero Univ"/>
    <s v="yuanj@erau.edu"/>
    <s v="yuanj@erau.edu"/>
    <s v="9250"/>
    <s v="9250"/>
    <s v=""/>
    <s v="Pending, Review Package Produced"/>
    <s v="REU Site: Cybersecurity Research of Unmanned Aerial Vehicl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7">
        <item m="1" x="1"/>
        <item m="1" x="3"/>
        <item m="1" x="2"/>
        <item m="1" x="5"/>
        <item m="1" x="4"/>
        <item x="0"/>
        <item t="default"/>
      </items>
    </pivotField>
    <pivotField subtotalTop="0" showAll="0"/>
    <pivotField subtotalTop="0" showAll="0"/>
    <pivotField subtotalTop="0" showAll="0"/>
    <pivotField subtotalTop="0" showAll="0"/>
    <pivotField subtotalTop="0" showAll="0"/>
    <pivotField axis="axisCol" subtotalTop="0" showAll="0">
      <items count="7">
        <item m="1" x="5"/>
        <item x="0"/>
        <item m="1" x="4"/>
        <item m="1" x="2"/>
        <item m="1" x="3"/>
        <item m="1" x="1"/>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3">
        <item m="1" x="4"/>
        <item m="1" x="20"/>
        <item m="1" x="21"/>
        <item m="1" x="2"/>
        <item m="1" x="7"/>
        <item m="1" x="9"/>
        <item m="1" x="18"/>
        <item m="1" x="16"/>
        <item m="1" x="10"/>
        <item m="1" x="11"/>
        <item m="1" x="14"/>
        <item m="1" x="1"/>
        <item m="1" x="3"/>
        <item m="1" x="5"/>
        <item m="1" x="8"/>
        <item m="1" x="22"/>
        <item m="1" x="15"/>
        <item m="1" x="12"/>
        <item m="1" x="6"/>
        <item m="1" x="13"/>
        <item m="1" x="17"/>
        <item x="0"/>
        <item m="1" x="19"/>
      </items>
    </pivotField>
    <pivotField axis="axisRow" subtotalTop="0" showAll="0" defaultSubtotal="0">
      <items count="22">
        <item m="1" x="6"/>
        <item m="1" x="16"/>
        <item m="1" x="9"/>
        <item m="1" x="21"/>
        <item m="1" x="4"/>
        <item m="1" x="13"/>
        <item m="1" x="8"/>
        <item m="1" x="12"/>
        <item m="1" x="15"/>
        <item m="1" x="3"/>
        <item m="1" x="11"/>
        <item m="1" x="10"/>
        <item m="1" x="5"/>
        <item m="1" x="20"/>
        <item m="1" x="1"/>
        <item m="1" x="17"/>
        <item m="1" x="7"/>
        <item m="1" x="19"/>
        <item m="1" x="14"/>
        <item m="1" x="18"/>
        <item x="0"/>
        <item m="1" x="2"/>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1"/>
      <x v="20"/>
    </i>
    <i r="2">
      <x v="5"/>
    </i>
    <i t="grand">
      <x/>
    </i>
  </rowItems>
  <colFields count="1">
    <field x="15"/>
  </colFields>
  <colItems count="2">
    <i>
      <x v="1"/>
    </i>
    <i t="grand">
      <x/>
    </i>
  </colItems>
  <dataFields count="1">
    <dataField name="Sum of budg_splt_tot_dol" fld="17" baseField="0" baseItem="0" numFmtId="166"/>
  </dataFields>
  <formats count="3">
    <format dxfId="244">
      <pivotArea outline="0" collapsedLevelsAreSubtotals="1" fieldPosition="0"/>
    </format>
    <format dxfId="243">
      <pivotArea outline="0" collapsedLevelsAreSubtotals="1" fieldPosition="0"/>
    </format>
    <format dxfId="24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6:E12"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7">
        <item x="1"/>
        <item x="2"/>
        <item x="3"/>
        <item x="4"/>
        <item m="1" x="5"/>
        <item x="0"/>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6">
    <i>
      <x/>
    </i>
    <i>
      <x v="1"/>
    </i>
    <i>
      <x v="2"/>
    </i>
    <i>
      <x v="3"/>
    </i>
    <i>
      <x v="5"/>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77">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6" name="nPSunmrkd" tableColumnId="148"/>
      <queryTableField id="27" name="nPSunrls" tableColumnId="149"/>
      <queryTableField id="28" name="RecRkMin" tableColumnId="150"/>
      <queryTableField id="30" name="allReviews" tableColumnId="152"/>
      <queryTableField id="31" name="avg_score" tableColumnId="153"/>
      <queryTableField id="32" name="last_rev_date" tableColumnId="154"/>
      <queryTableField id="29" name="nRev" tableColumnId="151"/>
      <queryTableField id="35" name="Nunrlsbl" tableColumnId="157"/>
      <queryTableField id="33" name="Nunmkd" tableColumnId="155"/>
      <queryTableField id="34" name="Nconfl" tableColumnId="156"/>
      <queryTableField id="36" name="NrlsdCDNPS" tableColumnId="158"/>
      <queryTableField id="37" name="NpendSlct" tableColumnId="159"/>
      <queryTableField id="38" name="NdiffFLeJ" tableColumnId="160"/>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5" name="NhndcpPIs" tableColumnId="177"/>
      <queryTableField id="56" name="NnonWhtAsnPIs" tableColumnId="178"/>
      <queryTableField id="57" name="email" tableColumnId="179"/>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3">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7" name="OTH_AGCY_SUBM_FLAG" tableColumnId="33"/>
      <queryTableField id="320" dataBound="0" tableColumnId="50"/>
      <queryTableField id="251" name="abst_narr_txt" tableColumnId="31"/>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83" name="prop_titl_txt" tableColumnId="83"/>
      <queryTableField id="322" dataBound="0" tableColumnId="52"/>
      <queryTableField id="284" name="email" tableColumnId="26"/>
    </queryTable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5.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31" totalsRowShown="0" dataDxfId="251">
  <autoFilter ref="B12:B31"/>
  <tableColumns count="1">
    <tableColumn id="1" name="prop_id" dataDxfId="250"/>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32" totalsRowShown="0" dataDxfId="249">
  <autoFilter ref="E12:E32"/>
  <tableColumns count="1">
    <tableColumn id="1" name="prop_id" dataDxfId="248"/>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4" totalsRowShown="0" dataDxfId="247">
  <autoFilter ref="H12:H14"/>
  <tableColumns count="1">
    <tableColumn id="1" name="prop_id" dataDxfId="246"/>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75" tableType="queryTable" totalsRowShown="0">
  <autoFilter ref="A1:BL75"/>
  <tableColumns count="64">
    <tableColumn id="123" uniqueName="123" name="dd_rcom_date" queryTableFieldId="1" dataDxfId="227"/>
    <tableColumn id="124" uniqueName="124" name="nsf_rcvd_date" queryTableFieldId="2" dataDxfId="226"/>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5"/>
    <tableColumn id="131" uniqueName="131" name="bas_rsch_pct" queryTableFieldId="9" dataDxfId="224"/>
    <tableColumn id="132" uniqueName="132" name="other_pct" queryTableFieldId="10" dataDxfId="223"/>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22">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21"/>
    <tableColumn id="186" uniqueName="186" name="0" queryTableFieldId="65" dataDxfId="220">
      <calculatedColumnFormula>S1+(ckCodingTable[[#This Row],[ILN]]&lt;"M")</calculatedColumnFormula>
    </tableColumn>
    <tableColumn id="139" uniqueName="139" name="ILN" queryTableFieldId="17" dataDxfId="219"/>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tableColumn id="145" uniqueName="145" name="rqst_eff_date" queryTableFieldId="23" dataDxfId="218"/>
    <tableColumn id="146" uniqueName="146" name="rqst_mnth_cnt" queryTableFieldId="24"/>
    <tableColumn id="147" uniqueName="147" name="nPanl" queryTableFieldId="25"/>
    <tableColumn id="148" uniqueName="148" name="nPSunmrkd" queryTableFieldId="26"/>
    <tableColumn id="149" uniqueName="149" name="nPSunrls" queryTableFieldId="27"/>
    <tableColumn id="150" uniqueName="150" name="RecRkMin" queryTableFieldId="28" dataDxfId="217"/>
    <tableColumn id="152" uniqueName="152" name="allReviews" queryTableFieldId="30"/>
    <tableColumn id="153" uniqueName="153" name="avg_score" queryTableFieldId="31" dataDxfId="216"/>
    <tableColumn id="154" uniqueName="154" name="last_rev_date" queryTableFieldId="32" dataDxfId="215"/>
    <tableColumn id="151" uniqueName="151" name="nRev" queryTableFieldId="29"/>
    <tableColumn id="157" uniqueName="157" name="Nunrlsbl" queryTableFieldId="35"/>
    <tableColumn id="155" uniqueName="155" name="Nunmkd" queryTableFieldId="33"/>
    <tableColumn id="156" uniqueName="156" name="Nconfl" queryTableFieldId="34"/>
    <tableColumn id="158" uniqueName="158" name="NrlsdCDNPS" queryTableFieldId="36"/>
    <tableColumn id="159" uniqueName="159" name="NpendSlct" queryTableFieldId="37"/>
    <tableColumn id="160" uniqueName="160" name="NdiffFLeJ" queryTableFieldId="38"/>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14" dataCellStyle="Currency"/>
    <tableColumn id="165" uniqueName="165" name="budg_tot" queryTableFieldId="43" dataDxfId="213" dataCellStyle="Currency"/>
    <tableColumn id="166" uniqueName="166" name="sub_ctr_tot" queryTableFieldId="44" dataDxfId="212" dataCellStyle="Currency"/>
    <tableColumn id="167" uniqueName="167" name="frgn_trav_tot" queryTableFieldId="45" dataDxfId="211" dataCellStyle="Currency"/>
    <tableColumn id="168" uniqueName="168" name="pdoc_tot" queryTableFieldId="46" dataDxfId="210" dataCellStyle="Currency"/>
    <tableColumn id="169" uniqueName="169" name="part_tot_dol" queryTableFieldId="47" dataDxfId="209"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7" uniqueName="177" name="NhndcpPIs" queryTableFieldId="55"/>
    <tableColumn id="178" uniqueName="178" name="NnonWhtAsnPIs" queryTableFieldId="56"/>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5" name="BudgetsTable" displayName="BudgetsTable" ref="A3:AD409" tableType="queryTable" totalsRowShown="0" dataDxfId="245">
  <autoFilter ref="A3:AD409"/>
  <tableColumns count="30">
    <tableColumn id="10" uniqueName="10" name="prop_id" queryTableFieldId="10" dataDxfId="109"/>
    <tableColumn id="9" uniqueName="9" name="ILN" queryTableFieldId="89" dataDxfId="108" dataCellStyle="Hyperlink"/>
    <tableColumn id="31" uniqueName="31" name="10" queryTableFieldId="98" dataDxfId="107" dataCellStyle="Hyperlink">
      <calculatedColumnFormula>C3+(BudgetsTable[[#This Row],[lead]]&lt;&gt;K3)</calculatedColumnFormula>
    </tableColumn>
    <tableColumn id="32" uniqueName="32" name="0" queryTableFieldId="97" dataDxfId="106" dataCellStyle="Hyperlink">
      <calculatedColumnFormula>D3*(BudgetsTable[[#This Row],[lead]]=K3)+(BudgetsTable[[#This Row],[prop_id]]&lt;&gt;A3)</calculatedColumnFormula>
    </tableColumn>
    <tableColumn id="3" uniqueName="3" name="nsf_rcvd_date" queryTableFieldId="63" dataDxfId="105" dataCellStyle="Hyperlink"/>
    <tableColumn id="4" uniqueName="4" name="pgm_annc_id" queryTableFieldId="64" dataDxfId="104" dataCellStyle="Hyperlink"/>
    <tableColumn id="5" uniqueName="5" name="org_code" queryTableFieldId="65" dataDxfId="103" dataCellStyle="Hyperlink"/>
    <tableColumn id="6" uniqueName="6" name="pgm_ele_code" queryTableFieldId="66" dataDxfId="102" dataCellStyle="Hyperlink"/>
    <tableColumn id="27" uniqueName="27" name="PO" queryTableFieldId="91" dataDxfId="101" dataCellStyle="Hyperlink"/>
    <tableColumn id="28" uniqueName="28" name="pi_email" queryTableFieldId="92" dataDxfId="100" dataCellStyle="Hyperlink"/>
    <tableColumn id="8" uniqueName="8" name="lead" queryTableFieldId="68" dataDxfId="99"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98"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97"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96" dataCellStyle="Hyperlink"/>
    <tableColumn id="14" uniqueName="14" name="sr_pers_cnt" queryTableFieldId="73" dataDxfId="95" dataCellStyle="Hyperlink"/>
    <tableColumn id="15" uniqueName="15" name="sr_summ_mnth_cnt" queryTableFieldId="74" dataDxfId="94" dataCellStyle="Hyperlink"/>
    <tableColumn id="16" uniqueName="16" name="pdoc_grnt_dol" queryTableFieldId="75" dataDxfId="93" dataCellStyle="Currency"/>
    <tableColumn id="17" uniqueName="17" name="frgn_trav_dol" queryTableFieldId="76" dataDxfId="92" dataCellStyle="Currency"/>
    <tableColumn id="18" uniqueName="18" name="part_dol" queryTableFieldId="77" dataDxfId="91" dataCellStyle="Currency"/>
    <tableColumn id="19" uniqueName="19" name="budg_tot_dol" queryTableFieldId="78" dataDxfId="90" dataCellStyle="Currency"/>
    <tableColumn id="20" uniqueName="20" name="revn_num" queryTableFieldId="79" dataDxfId="89" dataCellStyle="Hyperlink"/>
    <tableColumn id="21" uniqueName="21" name="budg_seq_yr" queryTableFieldId="80" dataDxfId="88" dataCellStyle="Hyperlink"/>
    <tableColumn id="26" uniqueName="26" name="Column1" queryTableFieldId="85" dataDxfId="87" dataCellStyle="Hyperlink">
      <calculatedColumnFormula>IF(ISBLANK(BudgetsTable[[#This Row],[budg_seq_yr]]),"FY"&amp;fiscalyear,"FY"&amp;fiscalyear-1+BudgetsTable[[#This Row],[budg_seq_yr]])</calculatedColumnFormula>
    </tableColumn>
    <tableColumn id="22" uniqueName="22" name="dol" queryTableFieldId="81" dataDxfId="86" dataCellStyle="Currency"/>
    <tableColumn id="23" uniqueName="23" name="org_code2" queryTableFieldId="82" dataDxfId="85" dataCellStyle="Hyperlink"/>
    <tableColumn id="24" uniqueName="24" name="PEC" queryTableFieldId="83" dataDxfId="84" dataCellStyle="Hyperlink"/>
    <tableColumn id="7" uniqueName="7" name="Obj" queryTableFieldId="99" dataDxfId="83" dataCellStyle="Hyperlink"/>
    <tableColumn id="25" uniqueName="25" name="PRCs" queryTableFieldId="84" dataDxfId="82"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X75" tableType="queryTable" totalsRowShown="0">
  <autoFilter ref="A1:AX75"/>
  <tableColumns count="50">
    <tableColumn id="1" uniqueName="1" name="dd_rcom_date" queryTableFieldId="214" dataDxfId="56"/>
    <tableColumn id="4" uniqueName="4" name="nsf_rcvd_date" queryTableFieldId="4" dataDxfId="55"/>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54"/>
    <tableColumn id="39" uniqueName="39" name="natr_rqst_abbr" queryTableFieldId="280" dataDxfId="53"/>
    <tableColumn id="49" uniqueName="49" name="rcom_istr_abbr" queryTableFieldId="281" dataDxfId="52"/>
    <tableColumn id="19" uniqueName="19" name="obj_clas_code" queryTableFieldId="221"/>
    <tableColumn id="11" uniqueName="11" name="cntx_stmt_id" queryTableFieldId="11"/>
    <tableColumn id="32" uniqueName="32" name="RAupdate" queryTableFieldId="254" dataDxfId="51"/>
    <tableColumn id="25" uniqueName="25" name="0" queryTableFieldId="230">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50" dataCellStyle="Hyperlink">
      <calculatedColumnFormula>HYPERLINK("https://www.ejacket.nsf.gov/ej/showProposal.do?ID="&amp;ckAwdTable[[#This Row],[prop_id]],"eJ")</calculatedColumnFormula>
    </tableColumn>
    <tableColumn id="27" uniqueName="27" name="Div" queryTableFieldId="282" dataDxfId="49"/>
    <tableColumn id="12" uniqueName="12" name="prop_id" queryTableFieldId="12"/>
    <tableColumn id="13" uniqueName="13" name="pi_last_name" queryTableFieldId="13"/>
    <tableColumn id="14" uniqueName="14" name="pi_frst_name" queryTableFieldId="14"/>
    <tableColumn id="24" uniqueName="24" name="inst" queryTableFieldId="283" dataDxfId="48"/>
    <tableColumn id="23" uniqueName="23" name="st_code" queryTableFieldId="225"/>
    <tableColumn id="206" uniqueName="206" name="@pi email" queryTableFieldId="212" dataDxfId="47"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46"/>
    <tableColumn id="17" uniqueName="17" name="rqst_mnth_cnt" queryTableFieldId="17"/>
    <tableColumn id="9" uniqueName="9" name="humn_date" queryTableFieldId="218"/>
    <tableColumn id="28" uniqueName="28" name="hum_asur" queryTableFieldId="301" dataDxfId="45"/>
    <tableColumn id="29" uniqueName="29" name="HUM_EXPT" queryTableFieldId="302" dataDxfId="44"/>
    <tableColumn id="10" uniqueName="10" name="vrtb_date" queryTableFieldId="219"/>
    <tableColumn id="37" uniqueName="37" name="vrtb_asur" queryTableFieldId="303" dataDxfId="43"/>
    <tableColumn id="30" uniqueName="30" name="Country" queryTableFieldId="250" dataDxfId="42"/>
    <tableColumn id="33" uniqueName="33" name="OTH_AGCY_SUBM_FLAG" queryTableFieldId="287" dataDxfId="41"/>
    <tableColumn id="50" uniqueName="50" name="Abstr?marks" queryTableFieldId="320" dataDxfId="40">
      <calculatedColumnFormula>IFERROR(IF(FIND("?",ckAwdTable[[#This Row],[abst_narr_txt]]),SummarizeQuestMarks(ckAwdTable[[#This Row],[abst_narr_txt]]),""),"")</calculatedColumnFormula>
    </tableColumn>
    <tableColumn id="31" uniqueName="31" name="abst_narr_txt" queryTableFieldId="251" dataDxfId="39"/>
    <tableColumn id="34" uniqueName="34" name="rqst_tot" queryTableFieldId="288" dataDxfId="38" dataCellStyle="Currency"/>
    <tableColumn id="35" uniqueName="35" name="brevn" queryTableFieldId="289" dataDxfId="37"/>
    <tableColumn id="36" uniqueName="36" name="budg_tot" queryTableFieldId="290" dataDxfId="36"/>
    <tableColumn id="40" uniqueName="40" name="sub_ctr_tot" queryTableFieldId="292" dataDxfId="35"/>
    <tableColumn id="41" uniqueName="41" name="frgn_trav_tot" queryTableFieldId="293" dataDxfId="34"/>
    <tableColumn id="42" uniqueName="42" name="pdoc_tot" queryTableFieldId="294" dataDxfId="33"/>
    <tableColumn id="43" uniqueName="43" name="part_tot_dol" queryTableFieldId="295" dataDxfId="32"/>
    <tableColumn id="44" uniqueName="44" name="grad_tot_cnt" queryTableFieldId="296" dataDxfId="31"/>
    <tableColumn id="45" uniqueName="45" name="sr_tot_cnt" queryTableFieldId="297" dataDxfId="30"/>
    <tableColumn id="46" uniqueName="46" name="sr_sumr_mnths" queryTableFieldId="298" dataDxfId="29"/>
    <tableColumn id="47" uniqueName="47" name="sr_acad_mnths" queryTableFieldId="299" dataDxfId="28"/>
    <tableColumn id="48" uniqueName="48" name="sr_cal_mnths" queryTableFieldId="300" dataDxfId="27"/>
    <tableColumn id="8" uniqueName="8" name="prop_stts_txt" queryTableFieldId="278" dataDxfId="26"/>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25"/>
  </tableColumns>
  <tableStyleInfo name="TableStyleLight11" showFirstColumn="0" showLastColumn="0" showRowStripes="0" showColumnStripes="0"/>
</table>
</file>

<file path=xl/tables/table7.xml><?xml version="1.0" encoding="utf-8"?>
<table xmlns="http://schemas.openxmlformats.org/spreadsheetml/2006/main" id="12" name="ckSplitTable" displayName="ckSplitTable" ref="A1:AH2" tableType="queryTable" totalsRowShown="0">
  <autoFilter ref="A1:AH2"/>
  <tableColumns count="34">
    <tableColumn id="21" uniqueName="21" name="dd_rcom_date" queryTableFieldId="1" dataDxfId="24"/>
    <tableColumn id="22" uniqueName="22" name="nsf_rcvd_date" queryTableFieldId="2" dataDxfId="23"/>
    <tableColumn id="23" uniqueName="23" name="cntx_stmt_id" queryTableFieldId="3"/>
    <tableColumn id="24" uniqueName="24" name="pgm_annc_id" queryTableFieldId="4"/>
    <tableColumn id="60" uniqueName="60" name="pObj" queryTableFieldId="13" dataDxfId="22"/>
    <tableColumn id="61" uniqueName="61" name="bObj" queryTableFieldId="14" dataDxfId="21"/>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0"/>
    <tableColumn id="35" uniqueName="35" name="rcom_istr_abbr" queryTableFieldId="15" dataDxfId="19"/>
    <tableColumn id="57" uniqueName="57" name="budg_yr" queryTableFieldId="27" dataDxfId="18"/>
    <tableColumn id="58" uniqueName="58" name="splt_id" queryTableFieldId="28" dataDxfId="17"/>
    <tableColumn id="59" uniqueName="59" name="budg_splt_tot_dol" queryTableFieldId="29" dataDxfId="16"/>
    <tableColumn id="54" uniqueName="54" name="0" queryTableFieldId="35" dataDxfId="15">
      <calculatedColumnFormula>S1+(X2&lt;&gt;X1)</calculatedColumnFormula>
    </tableColumn>
    <tableColumn id="37" uniqueName="37" name="ILN" queryTableFieldId="17" dataDxfId="14"/>
    <tableColumn id="36" uniqueName="36" name="lead" queryTableFieldId="16" dataDxfId="13"/>
    <tableColumn id="55" uniqueName="55" name="eJ" queryTableFieldId="36" dataDxfId="12" dataCellStyle="Hyperlink">
      <calculatedColumnFormula>HYPERLINK("https://www.ejacket.nsf.gov/ej/showProposal.do?ID="&amp;ckSplitTable[[#This Row],[prop_id]],"eJ")</calculatedColumnFormula>
    </tableColumn>
    <tableColumn id="38" uniqueName="38" name="Div" queryTableFieldId="18" dataDxfId="11"/>
    <tableColumn id="39" uniqueName="39" name="prop_id" queryTableFieldId="19" dataDxfId="10"/>
    <tableColumn id="40" uniqueName="40" name="pi_last_name" queryTableFieldId="20" dataDxfId="9"/>
    <tableColumn id="41" uniqueName="41" name="pi_frst_name" queryTableFieldId="21" dataDxfId="8"/>
    <tableColumn id="42" uniqueName="42" name="inst" queryTableFieldId="22" dataDxfId="7"/>
    <tableColumn id="56" uniqueName="56" name="@ pi" queryTableFieldId="37" dataDxfId="6" dataCellStyle="Hyperlink">
      <calculatedColumnFormula>HYPERLINK("mailto:"&amp;ckSplitTable[[#This Row],[email]]&amp;"&amp;subject=Your NSF Proposal:  "&amp;ckSplitTable[[#This Row],[prop_id]],ckSplitTable[[#This Row],[email]])</calculatedColumnFormula>
    </tableColumn>
    <tableColumn id="43" uniqueName="43" name="email" queryTableFieldId="23" dataDxfId="5"/>
    <tableColumn id="44" uniqueName="44" name="propPRCs" queryTableFieldId="24" dataDxfId="4"/>
    <tableColumn id="45" uniqueName="45" name="bPRCs" queryTableFieldId="25" dataDxfId="3"/>
    <tableColumn id="46" uniqueName="46" name="awd_id" queryTableFieldId="26" dataDxfId="2"/>
    <tableColumn id="50" uniqueName="50" name="prop_stts_txt" queryTableFieldId="30" dataDxfId="1"/>
    <tableColumn id="51" uniqueName="51" name="prop_titl_txt" queryTableFieldId="31" dataDxfId="0"/>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331" tableType="queryTable" totalsRowCount="1">
  <autoFilter ref="A1:P330"/>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31" totalsRowDxfId="232"/>
    <tableColumn id="11" uniqueName="11" name="returned" queryTableFieldId="11" dataDxfId="230"/>
    <tableColumn id="14" uniqueName="14" name="nchars" queryTableFieldId="15" dataDxfId="229">
      <calculatedColumnFormula>LEN(ProjTextTable[[#This Row],[text]])</calculatedColumnFormula>
    </tableColumn>
    <tableColumn id="15" uniqueName="15" name="nwords" queryTableFieldId="14" dataDxfId="228">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9" tableType="queryTable" totalsRowShown="0" headerRowCellStyle="Normal" dataCellStyle="Normal">
  <autoFilter ref="A2:B9"/>
  <tableColumns count="2">
    <tableColumn id="1" uniqueName="1" name="PRC" queryTableFieldId="278" dataDxfId="233"/>
    <tableColumn id="2" uniqueName="2" name="PRC_Description" queryTableFieldId="279"/>
  </tableColumns>
  <tableStyleInfo name="TableFall" showFirstColumn="0" showLastColumn="0" showRowStripes="1" showColumnStripes="0"/>
</table>
</file>

<file path=xl/tables/table10.xml><?xml version="1.0" encoding="utf-8"?>
<table xmlns="http://schemas.openxmlformats.org/spreadsheetml/2006/main" id="13" name="PECGlossaryTable" displayName="PECGlossaryTable" ref="D2:E4" tableType="queryTable" totalsRowShown="0" headerRowCellStyle="Normal" dataCellStyle="Normal">
  <autoFilter ref="D2:E4"/>
  <tableColumns count="2">
    <tableColumn id="1" uniqueName="1" name="PEC" queryTableFieldId="280" dataDxfId="234" dataCellStyle="Normal"/>
    <tableColumn id="2" uniqueName="2" name="PEC_Description" queryTableFieldId="281" dataCellStyle="Normal"/>
  </tableColumns>
  <tableStyleInfo name="TableFall" showFirstColumn="0" showLastColumn="0" showRowStripes="1" showColumnStripes="0"/>
</table>
</file>

<file path=xl/tables/table11.xml><?xml version="1.0" encoding="utf-8"?>
<table xmlns="http://schemas.openxmlformats.org/spreadsheetml/2006/main" id="6" name="AvailableTemplates" displayName="AvailableTemplates" ref="I10:I17" totalsRowShown="0" headerRowDxfId="241" dataDxfId="240">
  <autoFilter ref="I10:I17"/>
  <tableColumns count="1">
    <tableColumn id="1" name="Available templates:" dataDxfId="239"/>
  </tableColumns>
  <tableStyleInfo name="TableStyleLight8" showFirstColumn="0" showLastColumn="0" showRowStripes="1" showColumnStripes="0"/>
</table>
</file>

<file path=xl/tables/table12.xml><?xml version="1.0" encoding="utf-8"?>
<table xmlns="http://schemas.openxmlformats.org/spreadsheetml/2006/main" id="4" name="EpscorTable" displayName="EpscorTable" ref="M2:M29" headerRowDxfId="238" dataDxfId="237">
  <autoFilter ref="M2:M29"/>
  <tableColumns count="1">
    <tableColumn id="1" name="Epscor" totalsRowFunction="count" dataDxfId="236" totalsRowDxfId="235"/>
  </tableColumns>
  <tableStyleInfo name="TableFall" showFirstColumn="0" showLastColumn="0" showRowStripes="1" showColumnStripes="0"/>
</table>
</file>

<file path=xl/tables/table13.xml><?xml version="1.0" encoding="utf-8"?>
<table xmlns="http://schemas.openxmlformats.org/spreadsheetml/2006/main" id="2" name="RADataTable" displayName="RADataTable" ref="A1:EC53" tableType="queryTable" totalsRowShown="0">
  <autoFilter ref="A1:EC53">
    <filterColumn colId="0">
      <filters blank="1"/>
    </filterColumn>
    <filterColumn colId="12">
      <filters>
        <filter val="0.00"/>
        <filter val="0.01"/>
        <filter val="1.00"/>
        <filter val="2.00"/>
        <filter val="2.02"/>
        <filter val="2.03"/>
        <filter val="2.04"/>
        <filter val="2.05"/>
        <filter val="2.06"/>
        <filter val="3.00"/>
        <filter val="4.00"/>
      </filters>
    </filterColumn>
  </autoFilter>
  <sortState ref="A2:EC53">
    <sortCondition ref="M1:M53"/>
  </sortState>
  <tableColumns count="133">
    <tableColumn id="1" uniqueName="1" name="dd_rcom_date" queryTableFieldId="1" dataDxfId="208"/>
    <tableColumn id="2" uniqueName="2" name="nsf_rcvd_date" queryTableFieldId="2" dataDxfId="207"/>
    <tableColumn id="3" uniqueName="3" name="pgm_annc_id" queryTableFieldId="3" dataDxfId="206"/>
    <tableColumn id="4" uniqueName="4" name="org_code" queryTableFieldId="4" dataDxfId="205"/>
    <tableColumn id="5" uniqueName="5" name="pgm_ele_code" queryTableFieldId="5" dataDxfId="204"/>
    <tableColumn id="6" uniqueName="6" name="natr_rqst_abbr" queryTableFieldId="6" dataDxfId="203"/>
    <tableColumn id="7" uniqueName="7" name="prop_stts_abbr" queryTableFieldId="7" dataDxfId="202"/>
    <tableColumn id="8" uniqueName="8" name="obj_clas_code" queryTableFieldId="8"/>
    <tableColumn id="9" uniqueName="9" name="cntx_stmt_id" queryTableFieldId="9"/>
    <tableColumn id="10" uniqueName="10" name="PO" queryTableFieldId="10"/>
    <tableColumn id="11" uniqueName="11" name="RAupdate" queryTableFieldId="11" dataDxfId="201"/>
    <tableColumn id="12" uniqueName="12" name="nPanl" queryTableFieldId="12"/>
    <tableColumn id="13" uniqueName="13" name="RecRkMin" queryTableFieldId="13" dataDxfId="200"/>
    <tableColumn id="14" uniqueName="14" name="rec0" queryTableFieldId="14"/>
    <tableColumn id="15" uniqueName="15" name="rec1" queryTableFieldId="15"/>
    <tableColumn id="16" uniqueName="16" name="rec2" queryTableFieldId="16"/>
    <tableColumn id="17" uniqueName="17" name="RAtemplate" queryTableFieldId="17" dataDxfId="199"/>
    <tableColumn id="133" uniqueName="133" name="Radraft_filename" queryTableFieldId="135" dataDxfId="198">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97"/>
    <tableColumn id="137" uniqueName="137" name="RAps_note" queryTableFieldId="136" dataDxfId="196"/>
    <tableColumn id="134" uniqueName="134" name="RAsigner" queryTableFieldId="134" dataDxfId="195">
      <calculatedColumnFormula>IF(signer1="PD",IF(ISBLANK(RADataTable[[#This Row],[sign_blck_name]]),"",RADataTable[[#This Row],[sign_blck_name]]),IF(ISBLANK(signer1),"",signer1))</calculatedColumnFormula>
    </tableColumn>
    <tableColumn id="135" uniqueName="135" name="RAsigner2" queryTableFieldId="133" dataDxfId="194">
      <calculatedColumnFormula>signer2</calculatedColumnFormula>
    </tableColumn>
    <tableColumn id="138" uniqueName="138" name="ej" queryTableFieldId="142" dataDxfId="193" dataCellStyle="Hyperlink">
      <calculatedColumnFormula>HYPERLINK("https://www.ejacket.nsf.gov/ej/showProposal.do?Continue=Y&amp;ID="&amp;RADataTable[[#This Row],[prop_id0]],"eJ")</calculatedColumnFormula>
    </tableColumn>
    <tableColumn id="139" uniqueName="139" name="@PI" queryTableFieldId="141" dataDxfId="192"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91"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90">
      <calculatedColumnFormula>IF(RADataTable[[#This Row],[maxScore]]-RADataTable[[#This Row],[minScore]]&gt;4,"Y","")</calculatedColumnFormula>
    </tableColumn>
    <tableColumn id="22" uniqueName="22" name="minScore" queryTableFieldId="22" dataDxfId="189"/>
    <tableColumn id="23" uniqueName="23" name="avg_score" queryTableFieldId="23" dataDxfId="188"/>
    <tableColumn id="24" uniqueName="24" name="maxScore" queryTableFieldId="24"/>
    <tableColumn id="25" uniqueName="25" name="allReviews" queryTableFieldId="25"/>
    <tableColumn id="26" uniqueName="26" name="last_rev_date" queryTableFieldId="26" dataDxfId="187"/>
    <tableColumn id="28" uniqueName="28" name="rqst_tot" queryTableFieldId="28" dataDxfId="186" dataCellStyle="Currency"/>
    <tableColumn id="29" uniqueName="29" name="budg_tot" queryTableFieldId="29" dataDxfId="185" dataCellStyle="Currency"/>
    <tableColumn id="30" uniqueName="30" name="budRevnMax" queryTableFieldId="30"/>
    <tableColumn id="31" uniqueName="31" name="rqst_eff_date" queryTableFieldId="31" dataDxfId="184"/>
    <tableColumn id="32" uniqueName="32" name="rqst_mnth_cnt" queryTableFieldId="32" dataDxfId="183"/>
    <tableColumn id="33" uniqueName="33" name="prop_titl_txt" queryTableFieldId="33" dataDxfId="182"/>
    <tableColumn id="34" uniqueName="34" name="AhNrev" queryTableFieldId="34"/>
    <tableColumn id="35" uniqueName="35" name="AhRevs" queryTableFieldId="35"/>
    <tableColumn id="36" uniqueName="36" name="AhLast" queryTableFieldId="36" dataDxfId="181"/>
    <tableColumn id="37" uniqueName="37" name="panl_id0" queryTableFieldId="37"/>
    <tableColumn id="38" uniqueName="38" name="RCOM_TXT0" queryTableFieldId="38" dataDxfId="180"/>
    <tableColumn id="39" uniqueName="39" name="rank0" queryTableFieldId="39" dataDxfId="179"/>
    <tableColumn id="40" uniqueName="40" name="panl_name0" queryTableFieldId="40" dataDxfId="178"/>
    <tableColumn id="41" uniqueName="41" name="panl_end0" queryTableFieldId="41" dataDxfId="177"/>
    <tableColumn id="42" uniqueName="42" name="revs0" queryTableFieldId="42" dataDxfId="176"/>
    <tableColumn id="43" uniqueName="43" name="PanlString0" queryTableFieldId="43" dataDxfId="175"/>
    <tableColumn id="44" uniqueName="44" name="pnlst0" queryTableFieldId="44" dataDxfId="174"/>
    <tableColumn id="45" uniqueName="45" name="confl0" queryTableFieldId="45" dataDxfId="173"/>
    <tableColumn id="46" uniqueName="46" name="panl_id1" queryTableFieldId="46" dataDxfId="172"/>
    <tableColumn id="47" uniqueName="47" name="RCOM_TXT1" queryTableFieldId="47" dataDxfId="171"/>
    <tableColumn id="48" uniqueName="48" name="rank1" queryTableFieldId="48" dataDxfId="170"/>
    <tableColumn id="49" uniqueName="49" name="panl_name1" queryTableFieldId="49" dataDxfId="169"/>
    <tableColumn id="50" uniqueName="50" name="panl_end1" queryTableFieldId="50" dataDxfId="168"/>
    <tableColumn id="51" uniqueName="51" name="revs1" queryTableFieldId="51" dataDxfId="167"/>
    <tableColumn id="52" uniqueName="52" name="PanlString1" queryTableFieldId="52" dataDxfId="166"/>
    <tableColumn id="53" uniqueName="53" name="pnlst1" queryTableFieldId="53" dataDxfId="165"/>
    <tableColumn id="54" uniqueName="54" name="confl1" queryTableFieldId="54" dataDxfId="164"/>
    <tableColumn id="55" uniqueName="55" name="panl_id2" queryTableFieldId="55" dataDxfId="163"/>
    <tableColumn id="56" uniqueName="56" name="RCOM_TXT2" queryTableFieldId="56" dataDxfId="162"/>
    <tableColumn id="57" uniqueName="57" name="rank2" queryTableFieldId="57" dataDxfId="161"/>
    <tableColumn id="58" uniqueName="58" name="panl_name2" queryTableFieldId="58" dataDxfId="160"/>
    <tableColumn id="59" uniqueName="59" name="panl_end2" queryTableFieldId="59" dataDxfId="159"/>
    <tableColumn id="60" uniqueName="60" name="revs2" queryTableFieldId="60" dataDxfId="158"/>
    <tableColumn id="61" uniqueName="61" name="PanlString2" queryTableFieldId="61" dataDxfId="157"/>
    <tableColumn id="62" uniqueName="62" name="pnlst2" queryTableFieldId="62" dataDxfId="156"/>
    <tableColumn id="63" uniqueName="63" name="confl2" queryTableFieldId="63" dataDxfId="155"/>
    <tableColumn id="64" uniqueName="64" name="prop_id0" queryTableFieldId="64"/>
    <tableColumn id="65" uniqueName="65" name="last0" queryTableFieldId="65" dataDxfId="154"/>
    <tableColumn id="66" uniqueName="66" name="frst0" queryTableFieldId="66" dataDxfId="153"/>
    <tableColumn id="67" uniqueName="67" name="inst0" queryTableFieldId="67" dataDxfId="152"/>
    <tableColumn id="68" uniqueName="68" name="rqst0" queryTableFieldId="68" dataDxfId="151"/>
    <tableColumn id="69" uniqueName="69" name="b0tot" queryTableFieldId="69" dataDxfId="150"/>
    <tableColumn id="70" uniqueName="70" name="PRC0" queryTableFieldId="70"/>
    <tableColumn id="71" uniqueName="71" name="prop_id1" queryTableFieldId="71" dataDxfId="149"/>
    <tableColumn id="72" uniqueName="72" name="last1" queryTableFieldId="72" dataDxfId="148"/>
    <tableColumn id="73" uniqueName="73" name="frst1" queryTableFieldId="73" dataDxfId="147"/>
    <tableColumn id="74" uniqueName="74" name="inst1" queryTableFieldId="74" dataDxfId="146"/>
    <tableColumn id="75" uniqueName="75" name="rqst1" queryTableFieldId="75" dataDxfId="145"/>
    <tableColumn id="76" uniqueName="76" name="b1tot" queryTableFieldId="76" dataDxfId="144"/>
    <tableColumn id="77" uniqueName="77" name="PRC1" queryTableFieldId="77"/>
    <tableColumn id="78" uniqueName="78" name="prop_id2" queryTableFieldId="78" dataDxfId="143"/>
    <tableColumn id="79" uniqueName="79" name="last2" queryTableFieldId="79" dataDxfId="142"/>
    <tableColumn id="80" uniqueName="80" name="frst2" queryTableFieldId="80" dataDxfId="141"/>
    <tableColumn id="81" uniqueName="81" name="inst2" queryTableFieldId="81" dataDxfId="140"/>
    <tableColumn id="82" uniqueName="82" name="rqst2" queryTableFieldId="82" dataDxfId="139"/>
    <tableColumn id="83" uniqueName="83" name="b2tot" queryTableFieldId="83" dataDxfId="138"/>
    <tableColumn id="84" uniqueName="84" name="PRC2" queryTableFieldId="84"/>
    <tableColumn id="85" uniqueName="85" name="prop_id3" queryTableFieldId="85" dataDxfId="137"/>
    <tableColumn id="86" uniqueName="86" name="last3" queryTableFieldId="86" dataDxfId="136"/>
    <tableColumn id="87" uniqueName="87" name="frst3" queryTableFieldId="87" dataDxfId="135"/>
    <tableColumn id="88" uniqueName="88" name="inst3" queryTableFieldId="88" dataDxfId="134"/>
    <tableColumn id="89" uniqueName="89" name="rqst3" queryTableFieldId="89" dataDxfId="133"/>
    <tableColumn id="90" uniqueName="90" name="b3tot" queryTableFieldId="90" dataDxfId="132"/>
    <tableColumn id="91" uniqueName="91" name="PRC3" queryTableFieldId="91" dataDxfId="131"/>
    <tableColumn id="92" uniqueName="92" name="prop_id4" queryTableFieldId="92" dataDxfId="130"/>
    <tableColumn id="93" uniqueName="93" name="last4" queryTableFieldId="93" dataDxfId="129"/>
    <tableColumn id="94" uniqueName="94" name="frst4" queryTableFieldId="94" dataDxfId="128"/>
    <tableColumn id="95" uniqueName="95" name="inst4" queryTableFieldId="95" dataDxfId="127"/>
    <tableColumn id="96" uniqueName="96" name="rqst4" queryTableFieldId="96" dataDxfId="126"/>
    <tableColumn id="97" uniqueName="97" name="b4tot" queryTableFieldId="97" dataDxfId="125"/>
    <tableColumn id="98" uniqueName="98" name="PRC4" queryTableFieldId="98" dataDxfId="124"/>
    <tableColumn id="99" uniqueName="99" name="prop_id5" queryTableFieldId="99" dataDxfId="123"/>
    <tableColumn id="100" uniqueName="100" name="last5" queryTableFieldId="100" dataDxfId="122"/>
    <tableColumn id="101" uniqueName="101" name="frst5" queryTableFieldId="101" dataDxfId="121"/>
    <tableColumn id="102" uniqueName="102" name="inst5" queryTableFieldId="102" dataDxfId="120"/>
    <tableColumn id="103" uniqueName="103" name="rqst5" queryTableFieldId="103" dataDxfId="119"/>
    <tableColumn id="104" uniqueName="104" name="b5tot" queryTableFieldId="104" dataDxfId="118"/>
    <tableColumn id="105" uniqueName="105" name="PRC5" queryTableFieldId="105"/>
    <tableColumn id="106" uniqueName="106" name="prop_id6" queryTableFieldId="106" dataDxfId="117"/>
    <tableColumn id="107" uniqueName="107" name="last6" queryTableFieldId="107" dataDxfId="116"/>
    <tableColumn id="108" uniqueName="108" name="frst6" queryTableFieldId="108" dataDxfId="115"/>
    <tableColumn id="109" uniqueName="109" name="inst6" queryTableFieldId="109" dataDxfId="114"/>
    <tableColumn id="110" uniqueName="110" name="rqst6" queryTableFieldId="110" dataDxfId="113"/>
    <tableColumn id="111" uniqueName="111" name="b6tot" queryTableFieldId="111" dataDxfId="112"/>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111"/>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110"/>
    <tableColumn id="123" uniqueName="123" name="email" queryTableFieldId="123"/>
    <tableColumn id="124" uniqueName="124" name="allPIemail" queryTableFieldId="124"/>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omments" Target="../comments4.xml"/><Relationship Id="rId5" Type="http://schemas.openxmlformats.org/officeDocument/2006/relationships/table" Target="../tables/table7.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drawing" Target="../drawings/drawing8.xml"/><Relationship Id="rId7" Type="http://schemas.openxmlformats.org/officeDocument/2006/relationships/table" Target="../tables/table11.xml"/><Relationship Id="rId2" Type="http://schemas.openxmlformats.org/officeDocument/2006/relationships/printerSettings" Target="../printerSettings/printerSettings8.bin"/><Relationship Id="rId1" Type="http://schemas.openxmlformats.org/officeDocument/2006/relationships/hyperlink" Target="../../../../Desktop/Automation/scratch/output" TargetMode="Externa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3.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3"/>
  <sheetViews>
    <sheetView showGridLines="0" tabSelected="1" workbookViewId="0"/>
  </sheetViews>
  <sheetFormatPr defaultRowHeight="15"/>
  <cols>
    <col min="1" max="1" width="4.28515625" customWidth="1"/>
    <col min="2" max="2" width="12.85546875" customWidth="1"/>
    <col min="3" max="3" width="10.5703125" customWidth="1"/>
    <col min="4" max="4" width="3.140625" customWidth="1"/>
    <col min="5" max="5" width="15.28515625" customWidth="1"/>
    <col min="7" max="7" width="4.5703125" customWidth="1"/>
    <col min="8" max="8" width="14" customWidth="1"/>
    <col min="12" max="12" width="4.5703125" customWidth="1"/>
    <col min="13" max="13" width="26.7109375" customWidth="1"/>
  </cols>
  <sheetData>
    <row r="1" spans="2:14" ht="18" customHeight="1">
      <c r="B1" s="36" t="s">
        <v>232</v>
      </c>
      <c r="C1" s="36"/>
      <c r="D1" s="36"/>
      <c r="E1" s="36"/>
      <c r="F1" s="36"/>
      <c r="G1" s="36"/>
      <c r="L1" s="3" t="s">
        <v>221</v>
      </c>
    </row>
    <row r="2" spans="2:14" ht="18" customHeight="1">
      <c r="B2" s="36" t="s">
        <v>453</v>
      </c>
      <c r="C2" s="36"/>
      <c r="D2" s="36"/>
      <c r="E2" s="36"/>
      <c r="F2" s="36"/>
      <c r="G2" s="36"/>
      <c r="I2" s="33"/>
      <c r="J2">
        <v>2</v>
      </c>
    </row>
    <row r="3" spans="2:14" ht="18" customHeight="1">
      <c r="B3" s="3" t="s">
        <v>223</v>
      </c>
      <c r="C3" s="3"/>
      <c r="D3" s="37" t="s">
        <v>224</v>
      </c>
      <c r="E3" s="36"/>
      <c r="F3" s="36"/>
      <c r="I3" s="33"/>
      <c r="J3" t="b">
        <v>0</v>
      </c>
      <c r="L3" s="3" t="s">
        <v>222</v>
      </c>
    </row>
    <row r="4" spans="2:14" ht="18" customHeight="1">
      <c r="B4" s="3"/>
      <c r="C4" s="35" t="s">
        <v>230</v>
      </c>
      <c r="D4" s="38" t="s">
        <v>225</v>
      </c>
      <c r="E4" s="36" t="s">
        <v>235</v>
      </c>
      <c r="F4" s="36"/>
      <c r="I4" s="33"/>
      <c r="J4" t="b">
        <v>0</v>
      </c>
    </row>
    <row r="5" spans="2:14" ht="18" customHeight="1">
      <c r="B5" s="3"/>
      <c r="C5" s="35"/>
      <c r="D5" s="38" t="s">
        <v>226</v>
      </c>
      <c r="E5" s="36" t="s">
        <v>236</v>
      </c>
      <c r="F5" s="36"/>
      <c r="I5" s="33"/>
    </row>
    <row r="6" spans="2:14" ht="18" customHeight="1">
      <c r="B6" s="3"/>
      <c r="C6" s="35" t="s">
        <v>231</v>
      </c>
      <c r="D6" s="38" t="s">
        <v>227</v>
      </c>
      <c r="E6" s="36"/>
      <c r="F6" s="36"/>
    </row>
    <row r="7" spans="2:14" ht="18" customHeight="1">
      <c r="B7" s="3"/>
      <c r="C7" s="35" t="s">
        <v>233</v>
      </c>
      <c r="D7" s="38" t="s">
        <v>228</v>
      </c>
      <c r="E7" s="36"/>
      <c r="F7" s="36"/>
      <c r="L7" s="44">
        <v>50</v>
      </c>
      <c r="M7" s="45" t="s">
        <v>244</v>
      </c>
    </row>
    <row r="8" spans="2:14" ht="18" customHeight="1">
      <c r="B8" s="3"/>
      <c r="C8" s="35" t="s">
        <v>234</v>
      </c>
      <c r="D8" s="38" t="s">
        <v>229</v>
      </c>
      <c r="E8" s="36"/>
      <c r="F8" s="36"/>
    </row>
    <row r="9" spans="2:14" ht="18" customHeight="1">
      <c r="B9" s="3"/>
      <c r="C9" s="35"/>
      <c r="D9" s="38"/>
      <c r="E9" s="36"/>
      <c r="F9" s="36"/>
      <c r="L9" s="3" t="s">
        <v>517</v>
      </c>
    </row>
    <row r="10" spans="2:14" ht="18" customHeight="1">
      <c r="B10" s="3" t="s">
        <v>220</v>
      </c>
      <c r="C10" s="3"/>
      <c r="D10" s="34"/>
      <c r="E10" s="3" t="s">
        <v>219</v>
      </c>
      <c r="F10" s="3"/>
      <c r="G10" s="3"/>
      <c r="H10" s="3" t="s">
        <v>237</v>
      </c>
      <c r="L10" s="62" t="s">
        <v>299</v>
      </c>
      <c r="M10" s="29" t="s">
        <v>297</v>
      </c>
    </row>
    <row r="11" spans="2:14" ht="18" customHeight="1">
      <c r="B11" t="s">
        <v>174</v>
      </c>
      <c r="E11" t="s">
        <v>175</v>
      </c>
      <c r="H11" t="s">
        <v>177</v>
      </c>
      <c r="L11" s="62" t="s">
        <v>300</v>
      </c>
      <c r="M11" s="29" t="s">
        <v>298</v>
      </c>
    </row>
    <row r="12" spans="2:14" ht="18" customHeight="1">
      <c r="B12" t="s">
        <v>0</v>
      </c>
      <c r="E12" t="s">
        <v>0</v>
      </c>
      <c r="H12" t="s">
        <v>0</v>
      </c>
    </row>
    <row r="13" spans="2:14">
      <c r="B13" s="25"/>
      <c r="E13" s="25"/>
      <c r="H13" s="25">
        <v>1234567</v>
      </c>
      <c r="L13" s="3" t="s">
        <v>529</v>
      </c>
    </row>
    <row r="14" spans="2:14">
      <c r="B14" s="25"/>
      <c r="E14" s="25">
        <v>1749173</v>
      </c>
      <c r="H14" s="25">
        <v>1802840</v>
      </c>
      <c r="M14" s="3" t="s">
        <v>525</v>
      </c>
      <c r="N14" s="7" t="s">
        <v>527</v>
      </c>
    </row>
    <row r="15" spans="2:14">
      <c r="B15" s="25">
        <v>1420750</v>
      </c>
      <c r="E15" s="25">
        <v>1749385</v>
      </c>
      <c r="M15" s="3" t="s">
        <v>539</v>
      </c>
      <c r="N15" s="7" t="s">
        <v>523</v>
      </c>
    </row>
    <row r="16" spans="2:14">
      <c r="B16" s="25">
        <v>1217462</v>
      </c>
      <c r="E16" s="25">
        <v>1749563</v>
      </c>
      <c r="M16" s="3" t="s">
        <v>534</v>
      </c>
      <c r="N16" s="7" t="s">
        <v>523</v>
      </c>
    </row>
    <row r="17" spans="2:14">
      <c r="B17" s="25">
        <v>1218620</v>
      </c>
      <c r="E17" s="25">
        <v>1749609</v>
      </c>
      <c r="M17" s="3" t="s">
        <v>524</v>
      </c>
      <c r="N17" s="7" t="s">
        <v>523</v>
      </c>
    </row>
    <row r="18" spans="2:14">
      <c r="B18" s="25">
        <v>1546098</v>
      </c>
      <c r="E18" s="25">
        <v>1749748</v>
      </c>
      <c r="M18" s="3" t="s">
        <v>584</v>
      </c>
      <c r="N18" s="7" t="s">
        <v>521</v>
      </c>
    </row>
    <row r="19" spans="2:14">
      <c r="B19" s="25">
        <v>1320835</v>
      </c>
      <c r="E19" s="25">
        <v>1749855</v>
      </c>
      <c r="M19" s="3" t="s">
        <v>538</v>
      </c>
      <c r="N19" s="7" t="s">
        <v>521</v>
      </c>
    </row>
    <row r="20" spans="2:14">
      <c r="B20" s="25">
        <v>1423560</v>
      </c>
      <c r="E20" s="25">
        <v>1749977</v>
      </c>
      <c r="M20" s="3" t="s">
        <v>535</v>
      </c>
      <c r="N20" s="7" t="s">
        <v>521</v>
      </c>
    </row>
    <row r="21" spans="2:14">
      <c r="B21" s="25">
        <v>1421161</v>
      </c>
      <c r="C21" s="43"/>
      <c r="E21" s="25">
        <v>1750039</v>
      </c>
      <c r="M21" s="3" t="s">
        <v>1590</v>
      </c>
      <c r="N21" s="7" t="s">
        <v>12</v>
      </c>
    </row>
    <row r="22" spans="2:14">
      <c r="B22" s="25">
        <v>1422102</v>
      </c>
      <c r="E22" s="25">
        <v>1750076</v>
      </c>
      <c r="M22" s="3" t="s">
        <v>543</v>
      </c>
      <c r="N22" s="7" t="s">
        <v>531</v>
      </c>
    </row>
    <row r="23" spans="2:14">
      <c r="B23" s="25">
        <v>1637564</v>
      </c>
      <c r="E23" s="25">
        <v>1750780</v>
      </c>
      <c r="M23" s="3" t="s">
        <v>544</v>
      </c>
      <c r="N23" s="7" t="s">
        <v>531</v>
      </c>
    </row>
    <row r="24" spans="2:14">
      <c r="B24" s="25">
        <v>1540634</v>
      </c>
      <c r="E24" s="25">
        <v>1751047</v>
      </c>
      <c r="M24" s="3" t="s">
        <v>542</v>
      </c>
      <c r="N24" s="7" t="s">
        <v>531</v>
      </c>
    </row>
    <row r="25" spans="2:14">
      <c r="B25" s="25">
        <v>1565641</v>
      </c>
      <c r="E25" s="25">
        <v>1751102</v>
      </c>
      <c r="M25" s="3" t="s">
        <v>1585</v>
      </c>
      <c r="N25" s="7" t="s">
        <v>522</v>
      </c>
    </row>
    <row r="26" spans="2:14">
      <c r="B26" s="25">
        <v>1422668</v>
      </c>
      <c r="E26" s="25">
        <v>1751135</v>
      </c>
      <c r="M26" s="3" t="s">
        <v>549</v>
      </c>
      <c r="N26" s="7" t="s">
        <v>548</v>
      </c>
    </row>
    <row r="27" spans="2:14">
      <c r="B27" s="25">
        <v>1618657</v>
      </c>
      <c r="E27" s="25">
        <v>1755702</v>
      </c>
      <c r="M27" s="3" t="s">
        <v>532</v>
      </c>
      <c r="N27" s="7" t="s">
        <v>533</v>
      </c>
    </row>
    <row r="28" spans="2:14">
      <c r="B28" s="25">
        <v>1317143</v>
      </c>
      <c r="E28" s="25">
        <v>1755847</v>
      </c>
      <c r="M28" s="3" t="s">
        <v>530</v>
      </c>
      <c r="N28" s="7" t="s">
        <v>526</v>
      </c>
    </row>
    <row r="29" spans="2:14">
      <c r="B29" s="25">
        <v>1421163</v>
      </c>
      <c r="E29" s="25">
        <v>1755881</v>
      </c>
      <c r="M29" s="3" t="s">
        <v>537</v>
      </c>
      <c r="N29" s="7" t="s">
        <v>536</v>
      </c>
    </row>
    <row r="30" spans="2:14">
      <c r="B30" s="25">
        <v>1527822</v>
      </c>
      <c r="E30" s="25">
        <v>1755954</v>
      </c>
      <c r="M30" s="3" t="s">
        <v>545</v>
      </c>
      <c r="N30" s="7" t="s">
        <v>546</v>
      </c>
    </row>
    <row r="31" spans="2:14">
      <c r="B31" s="25">
        <v>1735569</v>
      </c>
      <c r="E31" s="25">
        <v>1755978</v>
      </c>
    </row>
    <row r="32" spans="2:14">
      <c r="E32" s="25">
        <v>1735569</v>
      </c>
    </row>
    <row r="36" spans="8:8">
      <c r="H36" s="43"/>
    </row>
    <row r="46" spans="8:8">
      <c r="H46" s="43"/>
    </row>
    <row r="47" spans="8:8">
      <c r="H47" s="43"/>
    </row>
    <row r="48" spans="8:8">
      <c r="H48" s="43"/>
    </row>
    <row r="49" spans="8:8">
      <c r="H49" s="43"/>
    </row>
    <row r="50" spans="8:8">
      <c r="H50" s="43"/>
    </row>
    <row r="51" spans="8:8">
      <c r="H51" s="43"/>
    </row>
    <row r="52" spans="8:8">
      <c r="H52" s="43"/>
    </row>
    <row r="53" spans="8:8">
      <c r="H53" s="43"/>
    </row>
    <row r="54" spans="8:8">
      <c r="H54" s="43"/>
    </row>
    <row r="55" spans="8:8">
      <c r="H55" s="43"/>
    </row>
    <row r="56" spans="8:8">
      <c r="H56" s="43"/>
    </row>
    <row r="57" spans="8:8">
      <c r="H57" s="43"/>
    </row>
    <row r="58" spans="8:8">
      <c r="H58" s="43"/>
    </row>
    <row r="59" spans="8:8">
      <c r="H59" s="43"/>
    </row>
    <row r="60" spans="8:8">
      <c r="H60" s="43"/>
    </row>
    <row r="61" spans="8:8">
      <c r="H61" s="43"/>
    </row>
    <row r="62" spans="8:8">
      <c r="H62" s="43"/>
    </row>
    <row r="63" spans="8:8">
      <c r="H63" s="43"/>
    </row>
  </sheetData>
  <sortState ref="M14:N21">
    <sortCondition ref="N14"/>
  </sortState>
  <dataValidations count="1">
    <dataValidation type="list" allowBlank="1" showInputMessage="1" showErrorMessage="1" sqref="B11 E11 H11">
      <formula1>INDIRECT("AvailableTemplates[Available templates:]")</formula1>
    </dataValidation>
  </dataValidations>
  <hyperlinks>
    <hyperlink ref="N15" location="ckCoding!I1" display="ckCoding"/>
    <hyperlink ref="N30" location="ProjText!A1" tooltip="see step 4 above; pdf with RA drafts" display="pdf from ProjText"/>
    <hyperlink ref="N29" location="RAData!T1" tooltip="Text in RAps_note is added to RA drafts after signature without modifying the template" display="RAData, or edit template"/>
    <hyperlink ref="N28" location="RAData!R1" tooltip="to change all, set above and 'Pull Data'; set individually in RAdata, or leave blank for Word to fill in." display="above, or RAData"/>
    <hyperlink ref="N27" location="ckSplits!AM1" tooltip="Feel free to edit pivot table" display="Pivot table on ckSplits"/>
    <hyperlink ref="N25" location="Budgets!L1" tooltip="Latest budget revisions shown" display="Budgets"/>
    <hyperlink ref="N22" location="Advanced!H7" tooltip="Hit Refresh to load new ones" display="Advanced"/>
    <hyperlink ref="N23" location="Advanced!H8" tooltip="Pick either your R drive or your local drive" display="Advanced"/>
    <hyperlink ref="N24" location="Advanced!M1" tooltip="Add/remove state abbreviations here" display="Advanced"/>
    <hyperlink ref="N21" location="PRCs!A1" tooltip="Shows only those in use by projects" display="PRCs"/>
    <hyperlink ref="N18" location="ckAwd!AG1" tooltip="Filter out blanks." display="ckAwd"/>
    <hyperlink ref="N19" location="ckAwd!AE1" tooltip="See countries from cover and total frgn_trav bugdet" display="ckAwd"/>
    <hyperlink ref="N20" location="ckAwd!Z1" display="ckAwd"/>
    <hyperlink ref="N14" location="RAData!W1" display="RAData"/>
    <hyperlink ref="N26" location="ckSplits!A1" display="ckSplits"/>
    <hyperlink ref="N16" location="ckCoding!M1" display="ckCoding"/>
    <hyperlink ref="N17" location="ckCoding!C1" tooltip="Comparison throughout tab"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3</xdr:col>
                    <xdr:colOff>200025</xdr:colOff>
                    <xdr:row>2</xdr:row>
                    <xdr:rowOff>19050</xdr:rowOff>
                  </from>
                  <to>
                    <xdr:col>5</xdr:col>
                    <xdr:colOff>114300</xdr:colOff>
                    <xdr:row>3</xdr:row>
                    <xdr:rowOff>19050</xdr:rowOff>
                  </to>
                </anchor>
              </controlPr>
            </control>
          </mc:Choice>
        </mc:AlternateContent>
        <mc:AlternateContent xmlns:mc="http://schemas.openxmlformats.org/markup-compatibility/2006">
          <mc:Choice Requires="x14">
            <control shapeId="16387" r:id="rId5" name="Button 3">
              <controlPr defaultSize="0" print="0" autoFill="0" autoPict="0" macro="[0]!PullDataFromTables">
                <anchor moveWithCells="1">
                  <from>
                    <xdr:col>3</xdr:col>
                    <xdr:colOff>200025</xdr:colOff>
                    <xdr:row>5</xdr:row>
                    <xdr:rowOff>19050</xdr:rowOff>
                  </from>
                  <to>
                    <xdr:col>5</xdr:col>
                    <xdr:colOff>114300</xdr:colOff>
                    <xdr:row>6</xdr:row>
                    <xdr:rowOff>19050</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3</xdr:col>
                    <xdr:colOff>200025</xdr:colOff>
                    <xdr:row>7</xdr:row>
                    <xdr:rowOff>57150</xdr:rowOff>
                  </from>
                  <to>
                    <xdr:col>5</xdr:col>
                    <xdr:colOff>114300</xdr:colOff>
                    <xdr:row>8</xdr:row>
                    <xdr:rowOff>57150</xdr:rowOff>
                  </to>
                </anchor>
              </controlPr>
            </control>
          </mc:Choice>
        </mc:AlternateContent>
        <mc:AlternateContent xmlns:mc="http://schemas.openxmlformats.org/markup-compatibility/2006">
          <mc:Choice Requires="x14">
            <control shapeId="16395" r:id="rId7" name="cbAutoloadAll">
              <controlPr defaultSize="0" autoFill="0" autoLine="0" autoPict="0">
                <anchor moveWithCells="1">
                  <from>
                    <xdr:col>11</xdr:col>
                    <xdr:colOff>180975</xdr:colOff>
                    <xdr:row>2</xdr:row>
                    <xdr:rowOff>180975</xdr:rowOff>
                  </from>
                  <to>
                    <xdr:col>12</xdr:col>
                    <xdr:colOff>1647825</xdr:colOff>
                    <xdr:row>3</xdr:row>
                    <xdr:rowOff>200025</xdr:rowOff>
                  </to>
                </anchor>
              </controlPr>
            </control>
          </mc:Choice>
        </mc:AlternateContent>
        <mc:AlternateContent xmlns:mc="http://schemas.openxmlformats.org/markup-compatibility/2006">
          <mc:Choice Requires="x14">
            <control shapeId="16397" r:id="rId8" name="obtnNeverOverwrite">
              <controlPr defaultSize="0" autoFill="0" autoLine="0" autoPict="0">
                <anchor moveWithCells="1">
                  <from>
                    <xdr:col>11</xdr:col>
                    <xdr:colOff>180975</xdr:colOff>
                    <xdr:row>3</xdr:row>
                    <xdr:rowOff>171450</xdr:rowOff>
                  </from>
                  <to>
                    <xdr:col>13</xdr:col>
                    <xdr:colOff>38100</xdr:colOff>
                    <xdr:row>4</xdr:row>
                    <xdr:rowOff>133350</xdr:rowOff>
                  </to>
                </anchor>
              </controlPr>
            </control>
          </mc:Choice>
        </mc:AlternateContent>
        <mc:AlternateContent xmlns:mc="http://schemas.openxmlformats.org/markup-compatibility/2006">
          <mc:Choice Requires="x14">
            <control shapeId="16398" r:id="rId9" name="obtnAskOverwrite">
              <controlPr defaultSize="0" autoFill="0" autoLine="0" autoPict="0">
                <anchor moveWithCells="1">
                  <from>
                    <xdr:col>11</xdr:col>
                    <xdr:colOff>180975</xdr:colOff>
                    <xdr:row>4</xdr:row>
                    <xdr:rowOff>133350</xdr:rowOff>
                  </from>
                  <to>
                    <xdr:col>13</xdr:col>
                    <xdr:colOff>142875</xdr:colOff>
                    <xdr:row>5</xdr:row>
                    <xdr:rowOff>66675</xdr:rowOff>
                  </to>
                </anchor>
              </controlPr>
            </control>
          </mc:Choice>
        </mc:AlternateContent>
        <mc:AlternateContent xmlns:mc="http://schemas.openxmlformats.org/markup-compatibility/2006">
          <mc:Choice Requires="x14">
            <control shapeId="16399" r:id="rId10" name="Option Button 15">
              <controlPr defaultSize="0" autoFill="0" autoLine="0" autoPict="0" macro="[0]!OptionButton_AreYouSure">
                <anchor moveWithCells="1">
                  <from>
                    <xdr:col>11</xdr:col>
                    <xdr:colOff>180975</xdr:colOff>
                    <xdr:row>5</xdr:row>
                    <xdr:rowOff>57150</xdr:rowOff>
                  </from>
                  <to>
                    <xdr:col>13</xdr:col>
                    <xdr:colOff>38100</xdr:colOff>
                    <xdr:row>6</xdr:row>
                    <xdr:rowOff>19050</xdr:rowOff>
                  </to>
                </anchor>
              </controlPr>
            </control>
          </mc:Choice>
        </mc:AlternateContent>
        <mc:AlternateContent xmlns:mc="http://schemas.openxmlformats.org/markup-compatibility/2006">
          <mc:Choice Requires="x14">
            <control shapeId="16400" r:id="rId11" name="cbConfirmActions">
              <controlPr defaultSize="0" autoFill="0" autoLine="0" autoPict="0">
                <anchor moveWithCells="1">
                  <from>
                    <xdr:col>11</xdr:col>
                    <xdr:colOff>171450</xdr:colOff>
                    <xdr:row>0</xdr:row>
                    <xdr:rowOff>200025</xdr:rowOff>
                  </from>
                  <to>
                    <xdr:col>13</xdr:col>
                    <xdr:colOff>0</xdr:colOff>
                    <xdr:row>1</xdr:row>
                    <xdr:rowOff>180975</xdr:rowOff>
                  </to>
                </anchor>
              </controlPr>
            </control>
          </mc:Choice>
        </mc:AlternateContent>
        <mc:AlternateContent xmlns:mc="http://schemas.openxmlformats.org/markup-compatibility/2006">
          <mc:Choice Requires="x14">
            <control shapeId="16402" r:id="rId12" name="Button 18">
              <controlPr defaultSize="0" print="0" autoFill="0" autoPict="0" macro="[0]!SQLtoStringinClipboard">
                <anchor moveWithCells="1">
                  <from>
                    <xdr:col>3</xdr:col>
                    <xdr:colOff>200025</xdr:colOff>
                    <xdr:row>6</xdr:row>
                    <xdr:rowOff>38100</xdr:rowOff>
                  </from>
                  <to>
                    <xdr:col>5</xdr:col>
                    <xdr:colOff>114300</xdr:colOff>
                    <xdr:row>7</xdr:row>
                    <xdr:rowOff>38100</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75"/>
  <sheetViews>
    <sheetView zoomScale="98" zoomScaleNormal="98" workbookViewId="0">
      <selection activeCell="I1" sqref="I1"/>
    </sheetView>
  </sheetViews>
  <sheetFormatPr defaultRowHeight="15"/>
  <cols>
    <col min="1" max="1" width="8.7109375" style="17" customWidth="1"/>
    <col min="2" max="2" width="8.7109375" style="30" customWidth="1"/>
    <col min="3" max="3" width="11.28515625" customWidth="1"/>
    <col min="4" max="4" width="9.85546875" customWidth="1"/>
    <col min="5" max="5" width="5.42578125" customWidth="1"/>
    <col min="6" max="6" width="5.7109375" style="18" customWidth="1"/>
    <col min="7" max="7" width="5.5703125" style="18" customWidth="1"/>
    <col min="8" max="8" width="5.28515625" style="21" customWidth="1"/>
    <col min="9" max="10" width="5.140625" customWidth="1"/>
    <col min="11" max="11" width="11.5703125" customWidth="1"/>
    <col min="12" max="12" width="9.28515625" bestFit="1" customWidth="1"/>
    <col min="13" max="13" width="4.28515625" customWidth="1"/>
    <col min="14" max="14" width="3.85546875" customWidth="1"/>
    <col min="15" max="15" width="5.5703125" hidden="1" customWidth="1"/>
    <col min="16" max="16" width="6.5703125" style="21" hidden="1" customWidth="1"/>
    <col min="17" max="17" width="15.42578125" customWidth="1"/>
    <col min="18" max="18" width="13.42578125" style="22" bestFit="1" customWidth="1"/>
    <col min="19" max="19" width="4.140625" style="21" customWidth="1"/>
    <col min="20" max="20" width="2.140625" style="91" customWidth="1"/>
    <col min="21" max="21" width="8.7109375" style="39" customWidth="1"/>
    <col min="22" max="22" width="3" style="39" customWidth="1"/>
    <col min="23" max="23" width="4.28515625" customWidth="1"/>
    <col min="24" max="24" width="8.5703125" customWidth="1"/>
    <col min="25" max="25" width="12.42578125" customWidth="1"/>
    <col min="26" max="26" width="11.140625" style="17" customWidth="1"/>
    <col min="27" max="27" width="24.5703125" bestFit="1" customWidth="1"/>
    <col min="28" max="28" width="8.140625" customWidth="1"/>
    <col min="29" max="29" width="8.7109375" style="30" customWidth="1"/>
    <col min="30" max="30" width="3.5703125" style="18" customWidth="1"/>
    <col min="31" max="33" width="2.140625" customWidth="1"/>
    <col min="34" max="34" width="4.85546875" style="21" customWidth="1"/>
    <col min="35" max="35" width="14.42578125" customWidth="1"/>
    <col min="36" max="36" width="4.5703125" customWidth="1"/>
    <col min="37" max="37" width="14.42578125" style="26" customWidth="1"/>
    <col min="38" max="38" width="3.42578125" style="22" customWidth="1"/>
    <col min="39" max="44" width="2.85546875" customWidth="1"/>
    <col min="45" max="45" width="23" customWidth="1"/>
    <col min="46" max="46" width="80.5703125" bestFit="1" customWidth="1"/>
    <col min="47" max="47" width="7.85546875" customWidth="1"/>
    <col min="48" max="48" width="4.5703125" customWidth="1"/>
    <col min="49" max="49" width="11.7109375" customWidth="1"/>
    <col min="50" max="50" width="11.42578125" customWidth="1"/>
    <col min="51" max="51" width="10.5703125" customWidth="1"/>
    <col min="52" max="52" width="10.85546875" customWidth="1"/>
    <col min="53" max="53" width="11.140625" customWidth="1"/>
    <col min="54" max="54" width="9.85546875" customWidth="1"/>
    <col min="55" max="59" width="4.7109375" customWidth="1"/>
    <col min="60" max="63" width="4.28515625" customWidth="1"/>
    <col min="64" max="64" width="18.28515625" customWidth="1"/>
  </cols>
  <sheetData>
    <row r="1" spans="1:64" ht="32.1" customHeight="1">
      <c r="A1" s="17" t="s">
        <v>87</v>
      </c>
      <c r="B1" s="30" t="s">
        <v>7</v>
      </c>
      <c r="C1" t="s">
        <v>8</v>
      </c>
      <c r="D1" t="s">
        <v>5</v>
      </c>
      <c r="E1" t="s">
        <v>4</v>
      </c>
      <c r="F1" t="s">
        <v>166</v>
      </c>
      <c r="G1" t="s">
        <v>164</v>
      </c>
      <c r="H1" s="91" t="s">
        <v>92</v>
      </c>
      <c r="I1" s="39" t="s">
        <v>126</v>
      </c>
      <c r="J1" s="39" t="s">
        <v>127</v>
      </c>
      <c r="K1" t="s">
        <v>17</v>
      </c>
      <c r="L1" t="s">
        <v>91</v>
      </c>
      <c r="M1" t="s">
        <v>93</v>
      </c>
      <c r="N1" t="s">
        <v>510</v>
      </c>
      <c r="O1" t="s">
        <v>511</v>
      </c>
      <c r="P1" s="21" t="s">
        <v>512</v>
      </c>
      <c r="Q1" t="s">
        <v>329</v>
      </c>
      <c r="R1" s="22" t="s">
        <v>16</v>
      </c>
      <c r="S1" s="21" t="s">
        <v>102</v>
      </c>
      <c r="T1" s="21" t="s">
        <v>88</v>
      </c>
      <c r="U1" t="s">
        <v>9</v>
      </c>
      <c r="V1" t="s">
        <v>1</v>
      </c>
      <c r="W1" s="14" t="s">
        <v>144</v>
      </c>
      <c r="X1" t="s">
        <v>0</v>
      </c>
      <c r="Y1" t="s">
        <v>10</v>
      </c>
      <c r="Z1" t="s">
        <v>18</v>
      </c>
      <c r="AA1" t="s">
        <v>328</v>
      </c>
      <c r="AB1" s="14" t="s">
        <v>505</v>
      </c>
      <c r="AC1" s="30" t="s">
        <v>19</v>
      </c>
      <c r="AD1" t="s">
        <v>20</v>
      </c>
      <c r="AE1" t="s">
        <v>152</v>
      </c>
      <c r="AF1" t="s">
        <v>153</v>
      </c>
      <c r="AG1" s="14" t="s">
        <v>330</v>
      </c>
      <c r="AH1" s="21" t="s">
        <v>180</v>
      </c>
      <c r="AI1" t="s">
        <v>332</v>
      </c>
      <c r="AJ1" s="26" t="s">
        <v>23</v>
      </c>
      <c r="AK1" s="22" t="s">
        <v>148</v>
      </c>
      <c r="AL1" t="s">
        <v>331</v>
      </c>
      <c r="AM1" t="s">
        <v>333</v>
      </c>
      <c r="AN1" t="s">
        <v>147</v>
      </c>
      <c r="AO1" t="s">
        <v>490</v>
      </c>
      <c r="AP1" t="s">
        <v>334</v>
      </c>
      <c r="AQ1" t="s">
        <v>335</v>
      </c>
      <c r="AR1" t="s">
        <v>336</v>
      </c>
      <c r="AS1" t="s">
        <v>167</v>
      </c>
      <c r="AT1" t="s">
        <v>36</v>
      </c>
      <c r="AU1" t="s">
        <v>513</v>
      </c>
      <c r="AV1" t="s">
        <v>337</v>
      </c>
      <c r="AW1" t="s">
        <v>21</v>
      </c>
      <c r="AX1" t="s">
        <v>22</v>
      </c>
      <c r="AY1" t="s">
        <v>338</v>
      </c>
      <c r="AZ1" t="s">
        <v>339</v>
      </c>
      <c r="BA1" t="s">
        <v>340</v>
      </c>
      <c r="BB1" t="s">
        <v>341</v>
      </c>
      <c r="BC1" t="s">
        <v>342</v>
      </c>
      <c r="BD1" t="s">
        <v>343</v>
      </c>
      <c r="BE1" t="s">
        <v>344</v>
      </c>
      <c r="BF1" t="s">
        <v>345</v>
      </c>
      <c r="BG1" t="s">
        <v>346</v>
      </c>
      <c r="BH1" t="s">
        <v>134</v>
      </c>
      <c r="BI1" t="s">
        <v>135</v>
      </c>
      <c r="BJ1" t="s">
        <v>136</v>
      </c>
      <c r="BK1" t="s">
        <v>137</v>
      </c>
      <c r="BL1" t="s">
        <v>146</v>
      </c>
    </row>
    <row r="2" spans="1:64">
      <c r="A2" s="30"/>
      <c r="B2" s="30">
        <v>42797.679166666669</v>
      </c>
      <c r="C2" t="s">
        <v>1123</v>
      </c>
      <c r="D2" t="s">
        <v>1124</v>
      </c>
      <c r="E2" t="s">
        <v>1125</v>
      </c>
      <c r="F2" t="s">
        <v>172</v>
      </c>
      <c r="G2" t="s">
        <v>170</v>
      </c>
      <c r="H2" s="21" t="s">
        <v>94</v>
      </c>
      <c r="I2" s="87">
        <v>1</v>
      </c>
      <c r="J2" s="87">
        <v>0</v>
      </c>
      <c r="K2" t="s">
        <v>1126</v>
      </c>
      <c r="L2" t="s">
        <v>596</v>
      </c>
      <c r="M2" t="s">
        <v>266</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588</v>
      </c>
      <c r="S2" s="21">
        <f>S1+(ckCodingTable[[#This Row],[ILN]]&lt;"M")</f>
        <v>1</v>
      </c>
      <c r="T2" s="21" t="s">
        <v>463</v>
      </c>
      <c r="U2" t="s">
        <v>594</v>
      </c>
      <c r="V2" s="7" t="str">
        <f>HYPERLINK("https://www.ejacket.nsf.gov/ej/showProposal.do?ID="&amp;ckCodingTable[[#This Row],[prop_id]],"eJ")</f>
        <v>eJ</v>
      </c>
      <c r="W2" t="s">
        <v>1127</v>
      </c>
      <c r="X2" t="s">
        <v>594</v>
      </c>
      <c r="Y2" t="s">
        <v>595</v>
      </c>
      <c r="Z2" t="s">
        <v>1128</v>
      </c>
      <c r="AA2" t="s">
        <v>468</v>
      </c>
      <c r="AC2" s="30">
        <v>43101</v>
      </c>
      <c r="AD2">
        <v>60</v>
      </c>
      <c r="AE2">
        <v>1</v>
      </c>
      <c r="AF2">
        <v>1</v>
      </c>
      <c r="AH2" s="21">
        <v>2</v>
      </c>
      <c r="AI2" t="s">
        <v>1129</v>
      </c>
      <c r="AJ2" s="26">
        <v>6.5</v>
      </c>
      <c r="AK2" s="22">
        <v>43028.356944444444</v>
      </c>
      <c r="AL2">
        <v>4</v>
      </c>
      <c r="AN2">
        <v>4</v>
      </c>
      <c r="AS2" t="s">
        <v>173</v>
      </c>
      <c r="AT2" t="s">
        <v>1130</v>
      </c>
      <c r="AU2" t="b">
        <f>IF(ckCodingTable[[#This Row],[ILN]]="N",SUBSTITUTE(AT1," ","")&lt;&gt;SUBSTITUTE(ckCodingTable[[#This Row],[prop_titl_txt]]," ",""), FALSE)</f>
        <v>0</v>
      </c>
      <c r="AV2">
        <v>0</v>
      </c>
      <c r="AW2" s="13">
        <v>4613676</v>
      </c>
      <c r="AX2" s="13">
        <v>4613676</v>
      </c>
      <c r="AY2" s="13"/>
      <c r="AZ2" s="13"/>
      <c r="BA2" s="13">
        <v>292585</v>
      </c>
      <c r="BB2" s="13">
        <v>233401</v>
      </c>
      <c r="BC2">
        <v>10</v>
      </c>
      <c r="BD2">
        <v>20</v>
      </c>
      <c r="BE2">
        <v>5</v>
      </c>
      <c r="BG2">
        <v>31</v>
      </c>
      <c r="BH2">
        <v>0</v>
      </c>
      <c r="BI2">
        <v>2</v>
      </c>
      <c r="BJ2">
        <v>0</v>
      </c>
      <c r="BK2">
        <v>0</v>
      </c>
      <c r="BL2" t="s">
        <v>1131</v>
      </c>
    </row>
    <row r="3" spans="1:64">
      <c r="A3" s="30"/>
      <c r="B3" s="30">
        <v>42796.521527777775</v>
      </c>
      <c r="C3" t="s">
        <v>1123</v>
      </c>
      <c r="D3" t="s">
        <v>1124</v>
      </c>
      <c r="E3" t="s">
        <v>1125</v>
      </c>
      <c r="F3" t="s">
        <v>172</v>
      </c>
      <c r="G3" t="s">
        <v>170</v>
      </c>
      <c r="H3" s="21" t="s">
        <v>94</v>
      </c>
      <c r="I3" s="87">
        <v>1</v>
      </c>
      <c r="J3" s="87">
        <v>0</v>
      </c>
      <c r="K3" t="s">
        <v>1126</v>
      </c>
      <c r="L3" t="s">
        <v>596</v>
      </c>
      <c r="M3" t="s">
        <v>266</v>
      </c>
      <c r="N3" t="str">
        <f>IF(SUM(ckCodingTable[[#This Row],[NfmlPIs]:[NnonWhtAsnPIs]])&gt;0,"WMD","")</f>
        <v/>
      </c>
      <c r="O3" t="b">
        <f>_xlfn.XOR(IFERROR(MATCH(ckCodingTable[[#This Row],[st_code]],EpscorTable[],0)&gt;0,FALSE),IFERROR(FIND("9150",ckCodingTable[[#This Row],[propPRCs]])&gt;0,FALSE))</f>
        <v>0</v>
      </c>
      <c r="P3" s="21" t="b">
        <f>_xlfn.XOR(ckCodingTable[[#This Row],[wmd]]&lt;&gt;"",IFERROR(FIND("9102",ckCodingTable[[#This Row],[propPRCs]])&gt;0,FALSE))</f>
        <v>0</v>
      </c>
      <c r="Q3" t="s">
        <v>588</v>
      </c>
      <c r="S3" s="21">
        <f>S2+(ckCodingTable[[#This Row],[ILN]]&lt;"M")</f>
        <v>1</v>
      </c>
      <c r="T3" s="21" t="s">
        <v>450</v>
      </c>
      <c r="U3" t="s">
        <v>594</v>
      </c>
      <c r="V3" s="7" t="str">
        <f>HYPERLINK("https://www.ejacket.nsf.gov/ej/showProposal.do?ID="&amp;ckCodingTable[[#This Row],[prop_id]],"eJ")</f>
        <v>eJ</v>
      </c>
      <c r="W3" t="s">
        <v>1127</v>
      </c>
      <c r="X3" t="s">
        <v>1132</v>
      </c>
      <c r="Y3" t="s">
        <v>1133</v>
      </c>
      <c r="Z3" t="s">
        <v>1134</v>
      </c>
      <c r="AA3" t="s">
        <v>1135</v>
      </c>
      <c r="AC3" s="30">
        <v>43101</v>
      </c>
      <c r="AD3">
        <v>60</v>
      </c>
      <c r="AJ3" s="26"/>
      <c r="AK3" s="22"/>
      <c r="AL3"/>
      <c r="AS3" t="s">
        <v>173</v>
      </c>
      <c r="AT3" t="s">
        <v>1130</v>
      </c>
      <c r="AU3" t="b">
        <f>IF(ckCodingTable[[#This Row],[ILN]]="N",SUBSTITUTE(AT2," ","")&lt;&gt;SUBSTITUTE(ckCodingTable[[#This Row],[prop_titl_txt]]," ",""), FALSE)</f>
        <v>0</v>
      </c>
      <c r="AV3">
        <v>0</v>
      </c>
      <c r="AW3" s="13">
        <v>1028304</v>
      </c>
      <c r="AX3" s="13">
        <v>1028304</v>
      </c>
      <c r="AY3" s="13"/>
      <c r="AZ3" s="13"/>
      <c r="BA3" s="13">
        <v>159274</v>
      </c>
      <c r="BB3" s="13"/>
      <c r="BD3">
        <v>5</v>
      </c>
      <c r="BG3">
        <v>15</v>
      </c>
      <c r="BH3">
        <v>0</v>
      </c>
      <c r="BI3">
        <v>0</v>
      </c>
      <c r="BJ3">
        <v>0</v>
      </c>
      <c r="BK3">
        <v>0</v>
      </c>
      <c r="BL3" t="s">
        <v>1136</v>
      </c>
    </row>
    <row r="4" spans="1:64">
      <c r="A4" s="30"/>
      <c r="B4" s="30">
        <v>42797.665277777778</v>
      </c>
      <c r="C4" t="s">
        <v>1123</v>
      </c>
      <c r="D4" t="s">
        <v>1124</v>
      </c>
      <c r="E4" t="s">
        <v>1125</v>
      </c>
      <c r="F4" t="s">
        <v>172</v>
      </c>
      <c r="G4" t="s">
        <v>170</v>
      </c>
      <c r="H4" s="21" t="s">
        <v>94</v>
      </c>
      <c r="I4" s="87">
        <v>1</v>
      </c>
      <c r="J4" s="87">
        <v>0</v>
      </c>
      <c r="K4" t="s">
        <v>1126</v>
      </c>
      <c r="L4" t="s">
        <v>596</v>
      </c>
      <c r="M4" t="s">
        <v>116</v>
      </c>
      <c r="N4" t="str">
        <f>IF(SUM(ckCodingTable[[#This Row],[NfmlPIs]:[NnonWhtAsnPIs]])&gt;0,"WMD","")</f>
        <v/>
      </c>
      <c r="O4" t="b">
        <f>_xlfn.XOR(IFERROR(MATCH(ckCodingTable[[#This Row],[st_code]],EpscorTable[],0)&gt;0,FALSE),IFERROR(FIND("9150",ckCodingTable[[#This Row],[propPRCs]])&gt;0,FALSE))</f>
        <v>1</v>
      </c>
      <c r="P4" s="21" t="b">
        <f>_xlfn.XOR(ckCodingTable[[#This Row],[wmd]]&lt;&gt;"",IFERROR(FIND("9102",ckCodingTable[[#This Row],[propPRCs]])&gt;0,FALSE))</f>
        <v>0</v>
      </c>
      <c r="Q4" t="s">
        <v>588</v>
      </c>
      <c r="S4" s="21">
        <f>S3+(ckCodingTable[[#This Row],[ILN]]&lt;"M")</f>
        <v>1</v>
      </c>
      <c r="T4" s="21" t="s">
        <v>450</v>
      </c>
      <c r="U4" t="s">
        <v>594</v>
      </c>
      <c r="V4" s="7" t="str">
        <f>HYPERLINK("https://www.ejacket.nsf.gov/ej/showProposal.do?ID="&amp;ckCodingTable[[#This Row],[prop_id]],"eJ")</f>
        <v>eJ</v>
      </c>
      <c r="W4" t="s">
        <v>1127</v>
      </c>
      <c r="X4" t="s">
        <v>1137</v>
      </c>
      <c r="Y4" t="s">
        <v>1138</v>
      </c>
      <c r="Z4" t="s">
        <v>1139</v>
      </c>
      <c r="AA4" t="s">
        <v>1140</v>
      </c>
      <c r="AC4" s="30">
        <v>43101</v>
      </c>
      <c r="AD4">
        <v>60</v>
      </c>
      <c r="AJ4" s="26"/>
      <c r="AK4" s="22"/>
      <c r="AL4"/>
      <c r="AS4" t="s">
        <v>173</v>
      </c>
      <c r="AT4" t="s">
        <v>1130</v>
      </c>
      <c r="AU4" t="b">
        <f>IF(ckCodingTable[[#This Row],[ILN]]="N",SUBSTITUTE(AT3," ","")&lt;&gt;SUBSTITUTE(ckCodingTable[[#This Row],[prop_titl_txt]]," ",""), FALSE)</f>
        <v>0</v>
      </c>
      <c r="AV4">
        <v>0</v>
      </c>
      <c r="AW4" s="13">
        <v>1004116</v>
      </c>
      <c r="AX4" s="13">
        <v>1004116</v>
      </c>
      <c r="AY4" s="13"/>
      <c r="AZ4" s="13">
        <v>25000</v>
      </c>
      <c r="BA4" s="13"/>
      <c r="BB4" s="13"/>
      <c r="BC4">
        <v>10</v>
      </c>
      <c r="BD4">
        <v>10</v>
      </c>
      <c r="BE4">
        <v>3.75</v>
      </c>
      <c r="BG4">
        <v>10</v>
      </c>
      <c r="BH4">
        <v>0</v>
      </c>
      <c r="BI4">
        <v>0</v>
      </c>
      <c r="BJ4">
        <v>0</v>
      </c>
      <c r="BK4">
        <v>0</v>
      </c>
      <c r="BL4" t="s">
        <v>1141</v>
      </c>
    </row>
    <row r="5" spans="1:64">
      <c r="A5" s="30"/>
      <c r="B5" s="30">
        <v>42800.618055555555</v>
      </c>
      <c r="C5" t="s">
        <v>1123</v>
      </c>
      <c r="D5" t="s">
        <v>1124</v>
      </c>
      <c r="E5" t="s">
        <v>1125</v>
      </c>
      <c r="F5" t="s">
        <v>172</v>
      </c>
      <c r="G5" t="s">
        <v>170</v>
      </c>
      <c r="H5" s="21" t="s">
        <v>94</v>
      </c>
      <c r="I5" s="87">
        <v>1</v>
      </c>
      <c r="J5" s="87">
        <v>0</v>
      </c>
      <c r="K5" t="s">
        <v>1126</v>
      </c>
      <c r="L5" t="s">
        <v>596</v>
      </c>
      <c r="M5" t="s">
        <v>266</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588</v>
      </c>
      <c r="S5" s="21">
        <f>S4+(ckCodingTable[[#This Row],[ILN]]&lt;"M")</f>
        <v>2</v>
      </c>
      <c r="T5" s="21" t="s">
        <v>463</v>
      </c>
      <c r="U5" t="s">
        <v>615</v>
      </c>
      <c r="V5" s="7" t="str">
        <f>HYPERLINK("https://www.ejacket.nsf.gov/ej/showProposal.do?ID="&amp;ckCodingTable[[#This Row],[prop_id]],"eJ")</f>
        <v>eJ</v>
      </c>
      <c r="W5" t="s">
        <v>1127</v>
      </c>
      <c r="X5" t="s">
        <v>615</v>
      </c>
      <c r="Y5" t="s">
        <v>616</v>
      </c>
      <c r="Z5" t="s">
        <v>1142</v>
      </c>
      <c r="AA5" t="s">
        <v>1143</v>
      </c>
      <c r="AC5" s="30">
        <v>42979</v>
      </c>
      <c r="AD5">
        <v>48</v>
      </c>
      <c r="AE5">
        <v>1</v>
      </c>
      <c r="AF5">
        <v>1</v>
      </c>
      <c r="AH5" s="21">
        <v>2</v>
      </c>
      <c r="AI5" t="s">
        <v>1144</v>
      </c>
      <c r="AJ5" s="26">
        <v>6.25</v>
      </c>
      <c r="AK5" s="22">
        <v>43028.50277777778</v>
      </c>
      <c r="AL5">
        <v>4</v>
      </c>
      <c r="AN5">
        <v>4</v>
      </c>
      <c r="AO5">
        <v>3</v>
      </c>
      <c r="AS5" t="s">
        <v>173</v>
      </c>
      <c r="AT5" t="s">
        <v>1145</v>
      </c>
      <c r="AU5" t="b">
        <f>IF(ckCodingTable[[#This Row],[ILN]]="N",SUBSTITUTE(AT4," ","")&lt;&gt;SUBSTITUTE(ckCodingTable[[#This Row],[prop_titl_txt]]," ",""), FALSE)</f>
        <v>0</v>
      </c>
      <c r="AV5">
        <v>0</v>
      </c>
      <c r="AW5" s="13">
        <v>2230900</v>
      </c>
      <c r="AX5" s="13">
        <v>2230900</v>
      </c>
      <c r="AY5" s="13"/>
      <c r="AZ5" s="13"/>
      <c r="BA5" s="13">
        <v>204579</v>
      </c>
      <c r="BB5" s="13">
        <v>45200</v>
      </c>
      <c r="BC5">
        <v>16</v>
      </c>
      <c r="BD5">
        <v>23</v>
      </c>
      <c r="BE5">
        <v>12</v>
      </c>
      <c r="BF5">
        <v>5.5</v>
      </c>
      <c r="BH5">
        <v>0</v>
      </c>
      <c r="BI5">
        <v>0</v>
      </c>
      <c r="BJ5">
        <v>0</v>
      </c>
      <c r="BK5">
        <v>0</v>
      </c>
      <c r="BL5" t="s">
        <v>1146</v>
      </c>
    </row>
    <row r="6" spans="1:64">
      <c r="A6" s="30"/>
      <c r="B6" s="30">
        <v>42797.47152777778</v>
      </c>
      <c r="C6" t="s">
        <v>1123</v>
      </c>
      <c r="D6" t="s">
        <v>1124</v>
      </c>
      <c r="E6" t="s">
        <v>1125</v>
      </c>
      <c r="F6" t="s">
        <v>172</v>
      </c>
      <c r="G6" t="s">
        <v>170</v>
      </c>
      <c r="H6" s="21" t="s">
        <v>94</v>
      </c>
      <c r="I6" s="87">
        <v>1</v>
      </c>
      <c r="J6" s="87">
        <v>0</v>
      </c>
      <c r="K6" t="s">
        <v>1126</v>
      </c>
      <c r="L6" t="s">
        <v>596</v>
      </c>
      <c r="M6" t="s">
        <v>359</v>
      </c>
      <c r="N6" t="str">
        <f>IF(SUM(ckCodingTable[[#This Row],[NfmlPIs]:[NnonWhtAsnPIs]])&gt;0,"WMD","")</f>
        <v>WMD</v>
      </c>
      <c r="O6" t="b">
        <f>_xlfn.XOR(IFERROR(MATCH(ckCodingTable[[#This Row],[st_code]],EpscorTable[],0)&gt;0,FALSE),IFERROR(FIND("9150",ckCodingTable[[#This Row],[propPRCs]])&gt;0,FALSE))</f>
        <v>0</v>
      </c>
      <c r="P6" s="21" t="b">
        <f>_xlfn.XOR(ckCodingTable[[#This Row],[wmd]]&lt;&gt;"",IFERROR(FIND("9102",ckCodingTable[[#This Row],[propPRCs]])&gt;0,FALSE))</f>
        <v>1</v>
      </c>
      <c r="Q6" t="s">
        <v>588</v>
      </c>
      <c r="S6" s="21">
        <f>S5+(ckCodingTable[[#This Row],[ILN]]&lt;"M")</f>
        <v>2</v>
      </c>
      <c r="T6" s="21" t="s">
        <v>450</v>
      </c>
      <c r="U6" t="s">
        <v>615</v>
      </c>
      <c r="V6" s="7" t="str">
        <f>HYPERLINK("https://www.ejacket.nsf.gov/ej/showProposal.do?ID="&amp;ckCodingTable[[#This Row],[prop_id]],"eJ")</f>
        <v>eJ</v>
      </c>
      <c r="W6" t="s">
        <v>1127</v>
      </c>
      <c r="X6" t="s">
        <v>1147</v>
      </c>
      <c r="Y6" t="s">
        <v>1148</v>
      </c>
      <c r="Z6" t="s">
        <v>1149</v>
      </c>
      <c r="AA6" t="s">
        <v>358</v>
      </c>
      <c r="AC6" s="30">
        <v>42979</v>
      </c>
      <c r="AD6">
        <v>48</v>
      </c>
      <c r="AJ6" s="26"/>
      <c r="AK6" s="22"/>
      <c r="AL6"/>
      <c r="AS6" t="s">
        <v>173</v>
      </c>
      <c r="AT6" t="s">
        <v>1145</v>
      </c>
      <c r="AU6" t="b">
        <f>IF(ckCodingTable[[#This Row],[ILN]]="N",SUBSTITUTE(AT5," ","")&lt;&gt;SUBSTITUTE(ckCodingTable[[#This Row],[prop_titl_txt]]," ",""), FALSE)</f>
        <v>0</v>
      </c>
      <c r="AV6">
        <v>0</v>
      </c>
      <c r="AW6" s="13">
        <v>800000</v>
      </c>
      <c r="AX6" s="13">
        <v>800000</v>
      </c>
      <c r="AY6" s="13"/>
      <c r="AZ6" s="13"/>
      <c r="BA6" s="13"/>
      <c r="BB6" s="13"/>
      <c r="BC6">
        <v>4</v>
      </c>
      <c r="BD6">
        <v>4</v>
      </c>
      <c r="BE6">
        <v>3</v>
      </c>
      <c r="BH6">
        <v>2</v>
      </c>
      <c r="BI6">
        <v>0</v>
      </c>
      <c r="BJ6">
        <v>0</v>
      </c>
      <c r="BK6">
        <v>0</v>
      </c>
      <c r="BL6" t="s">
        <v>1150</v>
      </c>
    </row>
    <row r="7" spans="1:64">
      <c r="A7" s="30"/>
      <c r="B7" s="30">
        <v>42797.618750000001</v>
      </c>
      <c r="C7" t="s">
        <v>1123</v>
      </c>
      <c r="D7" t="s">
        <v>1124</v>
      </c>
      <c r="E7" t="s">
        <v>1125</v>
      </c>
      <c r="F7" t="s">
        <v>172</v>
      </c>
      <c r="G7" t="s">
        <v>170</v>
      </c>
      <c r="H7" s="21" t="s">
        <v>94</v>
      </c>
      <c r="I7" s="87">
        <v>1</v>
      </c>
      <c r="J7" s="87">
        <v>0</v>
      </c>
      <c r="K7" t="s">
        <v>1126</v>
      </c>
      <c r="L7" t="s">
        <v>596</v>
      </c>
      <c r="M7" t="s">
        <v>265</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588</v>
      </c>
      <c r="S7" s="21">
        <f>S6+(ckCodingTable[[#This Row],[ILN]]&lt;"M")</f>
        <v>2</v>
      </c>
      <c r="T7" s="21" t="s">
        <v>450</v>
      </c>
      <c r="U7" t="s">
        <v>615</v>
      </c>
      <c r="V7" s="7" t="str">
        <f>HYPERLINK("https://www.ejacket.nsf.gov/ej/showProposal.do?ID="&amp;ckCodingTable[[#This Row],[prop_id]],"eJ")</f>
        <v>eJ</v>
      </c>
      <c r="W7" t="s">
        <v>1127</v>
      </c>
      <c r="X7" t="s">
        <v>1151</v>
      </c>
      <c r="Y7" t="s">
        <v>576</v>
      </c>
      <c r="Z7" t="s">
        <v>467</v>
      </c>
      <c r="AA7" t="s">
        <v>1152</v>
      </c>
      <c r="AC7" s="30">
        <v>42979</v>
      </c>
      <c r="AD7">
        <v>48</v>
      </c>
      <c r="AJ7" s="26"/>
      <c r="AK7" s="22"/>
      <c r="AL7"/>
      <c r="AS7" t="s">
        <v>173</v>
      </c>
      <c r="AT7" t="s">
        <v>1145</v>
      </c>
      <c r="AU7" t="b">
        <f>IF(ckCodingTable[[#This Row],[ILN]]="N",SUBSTITUTE(AT6," ","")&lt;&gt;SUBSTITUTE(ckCodingTable[[#This Row],[prop_titl_txt]]," ",""), FALSE)</f>
        <v>0</v>
      </c>
      <c r="AV7">
        <v>0</v>
      </c>
      <c r="AW7" s="13">
        <v>449670</v>
      </c>
      <c r="AX7" s="13">
        <v>449670</v>
      </c>
      <c r="AY7" s="13"/>
      <c r="AZ7" s="13"/>
      <c r="BA7" s="13"/>
      <c r="BB7" s="13"/>
      <c r="BC7">
        <v>8</v>
      </c>
      <c r="BD7">
        <v>4</v>
      </c>
      <c r="BE7">
        <v>2</v>
      </c>
      <c r="BH7">
        <v>0</v>
      </c>
      <c r="BI7">
        <v>0</v>
      </c>
      <c r="BJ7">
        <v>0</v>
      </c>
      <c r="BK7">
        <v>0</v>
      </c>
      <c r="BL7" t="s">
        <v>1153</v>
      </c>
    </row>
    <row r="8" spans="1:64">
      <c r="A8" s="30"/>
      <c r="B8" s="30">
        <v>42797.715277777781</v>
      </c>
      <c r="C8" t="s">
        <v>1123</v>
      </c>
      <c r="D8" t="s">
        <v>1124</v>
      </c>
      <c r="E8" t="s">
        <v>1125</v>
      </c>
      <c r="F8" t="s">
        <v>172</v>
      </c>
      <c r="G8" t="s">
        <v>170</v>
      </c>
      <c r="H8" s="21" t="s">
        <v>94</v>
      </c>
      <c r="I8" s="87">
        <v>1</v>
      </c>
      <c r="J8" s="87">
        <v>0</v>
      </c>
      <c r="K8" t="s">
        <v>1126</v>
      </c>
      <c r="L8" t="s">
        <v>596</v>
      </c>
      <c r="M8" t="s">
        <v>263</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588</v>
      </c>
      <c r="S8" s="21">
        <f>S7+(ckCodingTable[[#This Row],[ILN]]&lt;"M")</f>
        <v>2</v>
      </c>
      <c r="T8" s="21" t="s">
        <v>450</v>
      </c>
      <c r="U8" t="s">
        <v>615</v>
      </c>
      <c r="V8" s="7" t="str">
        <f>HYPERLINK("https://www.ejacket.nsf.gov/ej/showProposal.do?ID="&amp;ckCodingTable[[#This Row],[prop_id]],"eJ")</f>
        <v>eJ</v>
      </c>
      <c r="W8" t="s">
        <v>1127</v>
      </c>
      <c r="X8" t="s">
        <v>1154</v>
      </c>
      <c r="Y8" t="s">
        <v>1155</v>
      </c>
      <c r="Z8" t="s">
        <v>1156</v>
      </c>
      <c r="AA8" t="s">
        <v>250</v>
      </c>
      <c r="AC8" s="30">
        <v>42979</v>
      </c>
      <c r="AD8">
        <v>48</v>
      </c>
      <c r="AJ8" s="26"/>
      <c r="AK8" s="22"/>
      <c r="AL8"/>
      <c r="AS8" t="s">
        <v>173</v>
      </c>
      <c r="AT8" t="s">
        <v>1157</v>
      </c>
      <c r="AU8" t="b">
        <f>IF(ckCodingTable[[#This Row],[ILN]]="N",SUBSTITUTE(AT7," ","")&lt;&gt;SUBSTITUTE(ckCodingTable[[#This Row],[prop_titl_txt]]," ",""), FALSE)</f>
        <v>0</v>
      </c>
      <c r="AV8">
        <v>0</v>
      </c>
      <c r="AW8" s="13">
        <v>2000000</v>
      </c>
      <c r="AX8" s="13">
        <v>2000000</v>
      </c>
      <c r="AY8" s="13"/>
      <c r="AZ8" s="13">
        <v>20000</v>
      </c>
      <c r="BA8" s="13">
        <v>254787</v>
      </c>
      <c r="BB8" s="13"/>
      <c r="BC8">
        <v>12</v>
      </c>
      <c r="BD8">
        <v>16</v>
      </c>
      <c r="BG8">
        <v>8</v>
      </c>
      <c r="BH8">
        <v>0</v>
      </c>
      <c r="BI8">
        <v>0</v>
      </c>
      <c r="BJ8">
        <v>0</v>
      </c>
      <c r="BK8">
        <v>0</v>
      </c>
      <c r="BL8" t="s">
        <v>1158</v>
      </c>
    </row>
    <row r="9" spans="1:64">
      <c r="A9" s="30"/>
      <c r="B9" s="30">
        <v>42800.361805555556</v>
      </c>
      <c r="C9" t="s">
        <v>1123</v>
      </c>
      <c r="D9" t="s">
        <v>1124</v>
      </c>
      <c r="E9" t="s">
        <v>1125</v>
      </c>
      <c r="F9" t="s">
        <v>172</v>
      </c>
      <c r="G9" t="s">
        <v>170</v>
      </c>
      <c r="H9" s="21" t="s">
        <v>94</v>
      </c>
      <c r="I9" s="87">
        <v>1</v>
      </c>
      <c r="J9" s="87">
        <v>0</v>
      </c>
      <c r="K9" t="s">
        <v>1126</v>
      </c>
      <c r="L9" t="s">
        <v>596</v>
      </c>
      <c r="M9" t="s">
        <v>357</v>
      </c>
      <c r="N9" t="str">
        <f>IF(SUM(ckCodingTable[[#This Row],[NfmlPIs]:[NnonWhtAsnPIs]])&gt;0,"WMD","")</f>
        <v/>
      </c>
      <c r="O9" t="b">
        <f>_xlfn.XOR(IFERROR(MATCH(ckCodingTable[[#This Row],[st_code]],EpscorTable[],0)&gt;0,FALSE),IFERROR(FIND("9150",ckCodingTable[[#This Row],[propPRCs]])&gt;0,FALSE))</f>
        <v>0</v>
      </c>
      <c r="P9" s="21" t="b">
        <f>_xlfn.XOR(ckCodingTable[[#This Row],[wmd]]&lt;&gt;"",IFERROR(FIND("9102",ckCodingTable[[#This Row],[propPRCs]])&gt;0,FALSE))</f>
        <v>0</v>
      </c>
      <c r="Q9" t="s">
        <v>588</v>
      </c>
      <c r="S9" s="21">
        <f>S8+(ckCodingTable[[#This Row],[ILN]]&lt;"M")</f>
        <v>2</v>
      </c>
      <c r="T9" s="21" t="s">
        <v>450</v>
      </c>
      <c r="U9" t="s">
        <v>615</v>
      </c>
      <c r="V9" s="7" t="str">
        <f>HYPERLINK("https://www.ejacket.nsf.gov/ej/showProposal.do?ID="&amp;ckCodingTable[[#This Row],[prop_id]],"eJ")</f>
        <v>eJ</v>
      </c>
      <c r="W9" t="s">
        <v>1127</v>
      </c>
      <c r="X9" t="s">
        <v>1159</v>
      </c>
      <c r="Y9" t="s">
        <v>1160</v>
      </c>
      <c r="Z9" t="s">
        <v>1161</v>
      </c>
      <c r="AA9" t="s">
        <v>356</v>
      </c>
      <c r="AC9" s="30">
        <v>42979</v>
      </c>
      <c r="AD9">
        <v>48</v>
      </c>
      <c r="AJ9" s="26"/>
      <c r="AK9" s="22"/>
      <c r="AL9"/>
      <c r="AS9" t="s">
        <v>173</v>
      </c>
      <c r="AT9" t="s">
        <v>1162</v>
      </c>
      <c r="AU9" t="b">
        <f>IF(ckCodingTable[[#This Row],[ILN]]="N",SUBSTITUTE(AT8," ","")&lt;&gt;SUBSTITUTE(ckCodingTable[[#This Row],[prop_titl_txt]]," ",""), FALSE)</f>
        <v>1</v>
      </c>
      <c r="AV9">
        <v>0</v>
      </c>
      <c r="AW9" s="13">
        <v>460230</v>
      </c>
      <c r="AX9" s="13">
        <v>460230</v>
      </c>
      <c r="AY9" s="13"/>
      <c r="AZ9" s="13"/>
      <c r="BA9" s="13"/>
      <c r="BB9" s="13"/>
      <c r="BC9">
        <v>4</v>
      </c>
      <c r="BD9">
        <v>4</v>
      </c>
      <c r="BE9">
        <v>2</v>
      </c>
      <c r="BH9">
        <v>0</v>
      </c>
      <c r="BI9">
        <v>0</v>
      </c>
      <c r="BJ9">
        <v>0</v>
      </c>
      <c r="BK9">
        <v>0</v>
      </c>
      <c r="BL9" t="s">
        <v>1163</v>
      </c>
    </row>
    <row r="10" spans="1:64">
      <c r="A10" s="30"/>
      <c r="B10" s="30">
        <v>42800.62222222222</v>
      </c>
      <c r="C10" t="s">
        <v>1123</v>
      </c>
      <c r="D10" t="s">
        <v>1124</v>
      </c>
      <c r="E10" t="s">
        <v>1125</v>
      </c>
      <c r="F10" t="s">
        <v>172</v>
      </c>
      <c r="G10" t="s">
        <v>170</v>
      </c>
      <c r="H10" s="21" t="s">
        <v>94</v>
      </c>
      <c r="I10" s="87">
        <v>0</v>
      </c>
      <c r="J10" s="87">
        <v>0</v>
      </c>
      <c r="K10" t="s">
        <v>1126</v>
      </c>
      <c r="L10" t="s">
        <v>596</v>
      </c>
      <c r="M10" t="s">
        <v>261</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S10" s="21">
        <f>S9+(ckCodingTable[[#This Row],[ILN]]&lt;"M")</f>
        <v>3</v>
      </c>
      <c r="T10" s="21" t="s">
        <v>463</v>
      </c>
      <c r="U10" t="s">
        <v>632</v>
      </c>
      <c r="V10" s="7" t="str">
        <f>HYPERLINK("https://www.ejacket.nsf.gov/ej/showProposal.do?ID="&amp;ckCodingTable[[#This Row],[prop_id]],"eJ")</f>
        <v>eJ</v>
      </c>
      <c r="W10" t="s">
        <v>1127</v>
      </c>
      <c r="X10" t="s">
        <v>632</v>
      </c>
      <c r="Y10" t="s">
        <v>349</v>
      </c>
      <c r="Z10" t="s">
        <v>1164</v>
      </c>
      <c r="AA10" t="s">
        <v>1165</v>
      </c>
      <c r="AC10" s="30">
        <v>42979</v>
      </c>
      <c r="AD10">
        <v>60</v>
      </c>
      <c r="AE10">
        <v>1</v>
      </c>
      <c r="AF10">
        <v>1</v>
      </c>
      <c r="AH10" s="21">
        <v>2</v>
      </c>
      <c r="AI10" t="s">
        <v>360</v>
      </c>
      <c r="AJ10" s="26">
        <v>6.75</v>
      </c>
      <c r="AK10" s="22">
        <v>43028.5</v>
      </c>
      <c r="AL10">
        <v>4</v>
      </c>
      <c r="AN10">
        <v>4</v>
      </c>
      <c r="AO10">
        <v>2</v>
      </c>
      <c r="AS10" t="s">
        <v>173</v>
      </c>
      <c r="AT10" t="s">
        <v>1166</v>
      </c>
      <c r="AU10" t="b">
        <f>IF(ckCodingTable[[#This Row],[ILN]]="N",SUBSTITUTE(AT9," ","")&lt;&gt;SUBSTITUTE(ckCodingTable[[#This Row],[prop_titl_txt]]," ",""), FALSE)</f>
        <v>0</v>
      </c>
      <c r="AV10">
        <v>0</v>
      </c>
      <c r="AW10" s="13">
        <v>4667281</v>
      </c>
      <c r="AX10" s="13">
        <v>4667281</v>
      </c>
      <c r="AY10" s="13"/>
      <c r="AZ10" s="13">
        <v>25000</v>
      </c>
      <c r="BA10" s="13">
        <v>322736</v>
      </c>
      <c r="BB10" s="13"/>
      <c r="BC10">
        <v>15</v>
      </c>
      <c r="BD10">
        <v>45</v>
      </c>
      <c r="BE10">
        <v>9.6</v>
      </c>
      <c r="BG10">
        <v>17.7</v>
      </c>
      <c r="BH10">
        <v>0</v>
      </c>
      <c r="BI10">
        <v>0</v>
      </c>
      <c r="BJ10">
        <v>0</v>
      </c>
      <c r="BK10">
        <v>0</v>
      </c>
      <c r="BL10" t="s">
        <v>1167</v>
      </c>
    </row>
    <row r="11" spans="1:64">
      <c r="A11" s="30"/>
      <c r="B11" s="30">
        <v>42797.460416666669</v>
      </c>
      <c r="C11" t="s">
        <v>1123</v>
      </c>
      <c r="D11" t="s">
        <v>1124</v>
      </c>
      <c r="E11" t="s">
        <v>1125</v>
      </c>
      <c r="F11" t="s">
        <v>172</v>
      </c>
      <c r="G11" t="s">
        <v>170</v>
      </c>
      <c r="H11" s="21" t="s">
        <v>94</v>
      </c>
      <c r="I11" s="87">
        <v>0</v>
      </c>
      <c r="J11" s="87">
        <v>0</v>
      </c>
      <c r="K11" t="s">
        <v>1126</v>
      </c>
      <c r="L11" t="s">
        <v>596</v>
      </c>
      <c r="M11" t="s">
        <v>359</v>
      </c>
      <c r="N11" t="str">
        <f>IF(SUM(ckCodingTable[[#This Row],[NfmlPIs]:[NnonWhtAsnPIs]])&gt;0,"WMD","")</f>
        <v>WMD</v>
      </c>
      <c r="O11" t="b">
        <f>_xlfn.XOR(IFERROR(MATCH(ckCodingTable[[#This Row],[st_code]],EpscorTable[],0)&gt;0,FALSE),IFERROR(FIND("9150",ckCodingTable[[#This Row],[propPRCs]])&gt;0,FALSE))</f>
        <v>0</v>
      </c>
      <c r="P11" s="21" t="b">
        <f>_xlfn.XOR(ckCodingTable[[#This Row],[wmd]]&lt;&gt;"",IFERROR(FIND("9102",ckCodingTable[[#This Row],[propPRCs]])&gt;0,FALSE))</f>
        <v>1</v>
      </c>
      <c r="S11" s="21">
        <f>S10+(ckCodingTable[[#This Row],[ILN]]&lt;"M")</f>
        <v>3</v>
      </c>
      <c r="T11" s="21" t="s">
        <v>450</v>
      </c>
      <c r="U11" t="s">
        <v>632</v>
      </c>
      <c r="V11" s="7" t="str">
        <f>HYPERLINK("https://www.ejacket.nsf.gov/ej/showProposal.do?ID="&amp;ckCodingTable[[#This Row],[prop_id]],"eJ")</f>
        <v>eJ</v>
      </c>
      <c r="W11" t="s">
        <v>1127</v>
      </c>
      <c r="X11" t="s">
        <v>1168</v>
      </c>
      <c r="Y11" t="s">
        <v>1169</v>
      </c>
      <c r="Z11" t="s">
        <v>1170</v>
      </c>
      <c r="AA11" t="s">
        <v>358</v>
      </c>
      <c r="AC11" s="30">
        <v>42979</v>
      </c>
      <c r="AD11">
        <v>60</v>
      </c>
      <c r="AJ11" s="26"/>
      <c r="AK11" s="22"/>
      <c r="AL11"/>
      <c r="AS11" t="s">
        <v>173</v>
      </c>
      <c r="AT11" t="s">
        <v>1166</v>
      </c>
      <c r="AU11" t="b">
        <f>IF(ckCodingTable[[#This Row],[ILN]]="N",SUBSTITUTE(AT10," ","")&lt;&gt;SUBSTITUTE(ckCodingTable[[#This Row],[prop_titl_txt]]," ",""), FALSE)</f>
        <v>0</v>
      </c>
      <c r="AV11">
        <v>0</v>
      </c>
      <c r="AW11" s="13">
        <v>1000000</v>
      </c>
      <c r="AX11" s="13">
        <v>1000000</v>
      </c>
      <c r="AY11" s="13"/>
      <c r="AZ11" s="13"/>
      <c r="BA11" s="13"/>
      <c r="BB11" s="13"/>
      <c r="BC11">
        <v>10</v>
      </c>
      <c r="BD11">
        <v>10</v>
      </c>
      <c r="BE11">
        <v>7.4</v>
      </c>
      <c r="BH11">
        <v>2</v>
      </c>
      <c r="BI11">
        <v>0</v>
      </c>
      <c r="BJ11">
        <v>0</v>
      </c>
      <c r="BK11">
        <v>0</v>
      </c>
      <c r="BL11" t="s">
        <v>1171</v>
      </c>
    </row>
    <row r="12" spans="1:64">
      <c r="A12" s="30"/>
      <c r="B12" s="30">
        <v>42797.675000000003</v>
      </c>
      <c r="C12" t="s">
        <v>1123</v>
      </c>
      <c r="D12" t="s">
        <v>1124</v>
      </c>
      <c r="E12" t="s">
        <v>1125</v>
      </c>
      <c r="F12" t="s">
        <v>172</v>
      </c>
      <c r="G12" t="s">
        <v>170</v>
      </c>
      <c r="H12" s="21" t="s">
        <v>94</v>
      </c>
      <c r="I12" s="87">
        <v>0</v>
      </c>
      <c r="J12" s="87">
        <v>0</v>
      </c>
      <c r="K12" t="s">
        <v>1126</v>
      </c>
      <c r="L12" t="s">
        <v>596</v>
      </c>
      <c r="M12" t="s">
        <v>267</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S12" s="21">
        <f>S11+(ckCodingTable[[#This Row],[ILN]]&lt;"M")</f>
        <v>3</v>
      </c>
      <c r="T12" s="21" t="s">
        <v>450</v>
      </c>
      <c r="U12" t="s">
        <v>632</v>
      </c>
      <c r="V12" s="7" t="str">
        <f>HYPERLINK("https://www.ejacket.nsf.gov/ej/showProposal.do?ID="&amp;ckCodingTable[[#This Row],[prop_id]],"eJ")</f>
        <v>eJ</v>
      </c>
      <c r="W12" t="s">
        <v>1127</v>
      </c>
      <c r="X12" t="s">
        <v>1172</v>
      </c>
      <c r="Y12" t="s">
        <v>704</v>
      </c>
      <c r="Z12" t="s">
        <v>1173</v>
      </c>
      <c r="AA12" t="s">
        <v>475</v>
      </c>
      <c r="AC12" s="30">
        <v>42979</v>
      </c>
      <c r="AD12">
        <v>60</v>
      </c>
      <c r="AJ12" s="26"/>
      <c r="AK12" s="22"/>
      <c r="AL12"/>
      <c r="AS12" t="s">
        <v>173</v>
      </c>
      <c r="AT12" t="s">
        <v>1166</v>
      </c>
      <c r="AU12" t="b">
        <f>IF(ckCodingTable[[#This Row],[ILN]]="N",SUBSTITUTE(AT11," ","")&lt;&gt;SUBSTITUTE(ckCodingTable[[#This Row],[prop_titl_txt]]," ",""), FALSE)</f>
        <v>0</v>
      </c>
      <c r="AV12">
        <v>0</v>
      </c>
      <c r="AW12" s="13">
        <v>765000</v>
      </c>
      <c r="AX12" s="13">
        <v>765000</v>
      </c>
      <c r="AY12" s="13"/>
      <c r="AZ12" s="13"/>
      <c r="BA12" s="13">
        <v>108326</v>
      </c>
      <c r="BB12" s="13"/>
      <c r="BC12">
        <v>5</v>
      </c>
      <c r="BD12">
        <v>5</v>
      </c>
      <c r="BG12">
        <v>5</v>
      </c>
      <c r="BH12">
        <v>0</v>
      </c>
      <c r="BI12">
        <v>0</v>
      </c>
      <c r="BJ12">
        <v>0</v>
      </c>
      <c r="BK12">
        <v>0</v>
      </c>
      <c r="BL12" t="s">
        <v>1174</v>
      </c>
    </row>
    <row r="13" spans="1:64">
      <c r="A13" s="30"/>
      <c r="B13" s="30">
        <v>42800.413194444445</v>
      </c>
      <c r="C13" t="s">
        <v>1123</v>
      </c>
      <c r="D13" t="s">
        <v>1124</v>
      </c>
      <c r="E13" t="s">
        <v>1125</v>
      </c>
      <c r="F13" t="s">
        <v>172</v>
      </c>
      <c r="G13" t="s">
        <v>170</v>
      </c>
      <c r="H13" s="21" t="s">
        <v>94</v>
      </c>
      <c r="I13" s="87">
        <v>0</v>
      </c>
      <c r="J13" s="87">
        <v>0</v>
      </c>
      <c r="K13" t="s">
        <v>1126</v>
      </c>
      <c r="L13" t="s">
        <v>596</v>
      </c>
      <c r="M13" t="s">
        <v>362</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S13" s="21">
        <f>S12+(ckCodingTable[[#This Row],[ILN]]&lt;"M")</f>
        <v>3</v>
      </c>
      <c r="T13" s="21" t="s">
        <v>450</v>
      </c>
      <c r="U13" t="s">
        <v>632</v>
      </c>
      <c r="V13" s="7" t="str">
        <f>HYPERLINK("https://www.ejacket.nsf.gov/ej/showProposal.do?ID="&amp;ckCodingTable[[#This Row],[prop_id]],"eJ")</f>
        <v>eJ</v>
      </c>
      <c r="W13" t="s">
        <v>1127</v>
      </c>
      <c r="X13" t="s">
        <v>1175</v>
      </c>
      <c r="Y13" t="s">
        <v>1176</v>
      </c>
      <c r="Z13" t="s">
        <v>1177</v>
      </c>
      <c r="AA13" t="s">
        <v>476</v>
      </c>
      <c r="AC13" s="30">
        <v>42979</v>
      </c>
      <c r="AD13">
        <v>60</v>
      </c>
      <c r="AJ13" s="26"/>
      <c r="AK13" s="22"/>
      <c r="AL13"/>
      <c r="AS13" t="s">
        <v>173</v>
      </c>
      <c r="AT13" t="s">
        <v>1166</v>
      </c>
      <c r="AU13" t="b">
        <f>IF(ckCodingTable[[#This Row],[ILN]]="N",SUBSTITUTE(AT12," ","")&lt;&gt;SUBSTITUTE(ckCodingTable[[#This Row],[prop_titl_txt]]," ",""), FALSE)</f>
        <v>0</v>
      </c>
      <c r="AV13">
        <v>0</v>
      </c>
      <c r="AW13" s="13">
        <v>450000</v>
      </c>
      <c r="AX13" s="13">
        <v>450000</v>
      </c>
      <c r="AY13" s="13"/>
      <c r="AZ13" s="13">
        <v>14000</v>
      </c>
      <c r="BA13" s="13"/>
      <c r="BB13" s="13"/>
      <c r="BC13">
        <v>5</v>
      </c>
      <c r="BD13">
        <v>5</v>
      </c>
      <c r="BG13">
        <v>5</v>
      </c>
      <c r="BH13">
        <v>0</v>
      </c>
      <c r="BI13">
        <v>0</v>
      </c>
      <c r="BJ13">
        <v>0</v>
      </c>
      <c r="BK13">
        <v>0</v>
      </c>
      <c r="BL13" t="s">
        <v>1178</v>
      </c>
    </row>
    <row r="14" spans="1:64">
      <c r="A14" s="30"/>
      <c r="B14" s="30">
        <v>42800.65347222222</v>
      </c>
      <c r="C14" t="s">
        <v>1123</v>
      </c>
      <c r="D14" t="s">
        <v>1124</v>
      </c>
      <c r="E14" t="s">
        <v>1125</v>
      </c>
      <c r="F14" t="s">
        <v>172</v>
      </c>
      <c r="G14" t="s">
        <v>170</v>
      </c>
      <c r="H14" s="21" t="s">
        <v>94</v>
      </c>
      <c r="I14" s="87">
        <v>0</v>
      </c>
      <c r="J14" s="87">
        <v>0</v>
      </c>
      <c r="K14" t="s">
        <v>1126</v>
      </c>
      <c r="L14" t="s">
        <v>596</v>
      </c>
      <c r="M14" t="s">
        <v>261</v>
      </c>
      <c r="N14" t="str">
        <f>IF(SUM(ckCodingTable[[#This Row],[NfmlPIs]:[NnonWhtAsnPIs]])&gt;0,"WMD","")</f>
        <v>WMD</v>
      </c>
      <c r="O14" t="b">
        <f>_xlfn.XOR(IFERROR(MATCH(ckCodingTable[[#This Row],[st_code]],EpscorTable[],0)&gt;0,FALSE),IFERROR(FIND("9150",ckCodingTable[[#This Row],[propPRCs]])&gt;0,FALSE))</f>
        <v>0</v>
      </c>
      <c r="P14" s="21" t="b">
        <f>_xlfn.XOR(ckCodingTable[[#This Row],[wmd]]&lt;&gt;"",IFERROR(FIND("9102",ckCodingTable[[#This Row],[propPRCs]])&gt;0,FALSE))</f>
        <v>1</v>
      </c>
      <c r="S14" s="21">
        <f>S13+(ckCodingTable[[#This Row],[ILN]]&lt;"M")</f>
        <v>4</v>
      </c>
      <c r="T14" s="21" t="s">
        <v>96</v>
      </c>
      <c r="U14" t="s">
        <v>639</v>
      </c>
      <c r="V14" s="7" t="str">
        <f>HYPERLINK("https://www.ejacket.nsf.gov/ej/showProposal.do?ID="&amp;ckCodingTable[[#This Row],[prop_id]],"eJ")</f>
        <v>eJ</v>
      </c>
      <c r="W14" t="s">
        <v>1127</v>
      </c>
      <c r="X14" t="s">
        <v>639</v>
      </c>
      <c r="Y14" t="s">
        <v>640</v>
      </c>
      <c r="Z14" t="s">
        <v>568</v>
      </c>
      <c r="AA14" t="s">
        <v>348</v>
      </c>
      <c r="AC14" s="30">
        <v>43101</v>
      </c>
      <c r="AD14">
        <v>60</v>
      </c>
      <c r="AE14">
        <v>1</v>
      </c>
      <c r="AF14">
        <v>1</v>
      </c>
      <c r="AH14" s="21">
        <v>4</v>
      </c>
      <c r="AI14" t="s">
        <v>367</v>
      </c>
      <c r="AJ14" s="26">
        <v>3.25</v>
      </c>
      <c r="AK14" s="22">
        <v>43028.479861111111</v>
      </c>
      <c r="AL14">
        <v>4</v>
      </c>
      <c r="AN14">
        <v>4</v>
      </c>
      <c r="AO14">
        <v>1</v>
      </c>
      <c r="AS14" t="s">
        <v>173</v>
      </c>
      <c r="AT14" t="s">
        <v>1179</v>
      </c>
      <c r="AU14" t="b">
        <f>IF(ckCodingTable[[#This Row],[ILN]]="N",SUBSTITUTE(AT13," ","")&lt;&gt;SUBSTITUTE(ckCodingTable[[#This Row],[prop_titl_txt]]," ",""), FALSE)</f>
        <v>0</v>
      </c>
      <c r="AV14">
        <v>0</v>
      </c>
      <c r="AW14" s="13">
        <v>7000000</v>
      </c>
      <c r="AX14" s="13">
        <v>7000000</v>
      </c>
      <c r="AY14" s="13">
        <v>493485</v>
      </c>
      <c r="AZ14" s="13"/>
      <c r="BA14" s="13">
        <v>292003</v>
      </c>
      <c r="BB14" s="13"/>
      <c r="BC14">
        <v>45</v>
      </c>
      <c r="BD14">
        <v>35</v>
      </c>
      <c r="BE14">
        <v>37.5</v>
      </c>
      <c r="BH14">
        <v>2</v>
      </c>
      <c r="BI14">
        <v>0</v>
      </c>
      <c r="BJ14">
        <v>1</v>
      </c>
      <c r="BK14">
        <v>0</v>
      </c>
      <c r="BL14" t="s">
        <v>1180</v>
      </c>
    </row>
    <row r="15" spans="1:64">
      <c r="A15" s="30"/>
      <c r="B15" s="30">
        <v>42800.660416666666</v>
      </c>
      <c r="C15" t="s">
        <v>1123</v>
      </c>
      <c r="D15" t="s">
        <v>1124</v>
      </c>
      <c r="E15" t="s">
        <v>1125</v>
      </c>
      <c r="F15" t="s">
        <v>172</v>
      </c>
      <c r="G15" t="s">
        <v>170</v>
      </c>
      <c r="H15" s="21" t="s">
        <v>94</v>
      </c>
      <c r="I15" s="87">
        <v>0</v>
      </c>
      <c r="J15" s="87">
        <v>0</v>
      </c>
      <c r="K15" t="s">
        <v>1126</v>
      </c>
      <c r="L15" t="s">
        <v>596</v>
      </c>
      <c r="M15" t="s">
        <v>1181</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S15" s="21">
        <f>S14+(ckCodingTable[[#This Row],[ILN]]&lt;"M")</f>
        <v>5</v>
      </c>
      <c r="T15" s="21" t="s">
        <v>463</v>
      </c>
      <c r="U15" t="s">
        <v>647</v>
      </c>
      <c r="V15" s="7" t="str">
        <f>HYPERLINK("https://www.ejacket.nsf.gov/ej/showProposal.do?ID="&amp;ckCodingTable[[#This Row],[prop_id]],"eJ")</f>
        <v>eJ</v>
      </c>
      <c r="W15" t="s">
        <v>1127</v>
      </c>
      <c r="X15" t="s">
        <v>647</v>
      </c>
      <c r="Y15" t="s">
        <v>648</v>
      </c>
      <c r="Z15" t="s">
        <v>1182</v>
      </c>
      <c r="AA15" t="s">
        <v>1183</v>
      </c>
      <c r="AC15" s="30">
        <v>43009</v>
      </c>
      <c r="AD15">
        <v>60</v>
      </c>
      <c r="AE15">
        <v>1</v>
      </c>
      <c r="AF15">
        <v>1</v>
      </c>
      <c r="AH15" s="21">
        <v>3</v>
      </c>
      <c r="AI15" t="s">
        <v>1184</v>
      </c>
      <c r="AJ15" s="26">
        <v>4.25</v>
      </c>
      <c r="AK15" s="22">
        <v>43028.601388888892</v>
      </c>
      <c r="AL15">
        <v>4</v>
      </c>
      <c r="AN15">
        <v>4</v>
      </c>
      <c r="AO15">
        <v>2</v>
      </c>
      <c r="AS15" t="s">
        <v>173</v>
      </c>
      <c r="AT15" t="s">
        <v>1185</v>
      </c>
      <c r="AU15" t="b">
        <f>IF(ckCodingTable[[#This Row],[ILN]]="N",SUBSTITUTE(AT14," ","")&lt;&gt;SUBSTITUTE(ckCodingTable[[#This Row],[prop_titl_txt]]," ",""), FALSE)</f>
        <v>0</v>
      </c>
      <c r="AV15">
        <v>0</v>
      </c>
      <c r="AW15" s="13">
        <v>3499505</v>
      </c>
      <c r="AX15" s="13">
        <v>3499505</v>
      </c>
      <c r="AY15" s="13"/>
      <c r="AZ15" s="13"/>
      <c r="BA15" s="13">
        <v>152740</v>
      </c>
      <c r="BB15" s="13">
        <v>125000</v>
      </c>
      <c r="BC15">
        <v>20</v>
      </c>
      <c r="BD15">
        <v>20</v>
      </c>
      <c r="BE15">
        <v>12.5</v>
      </c>
      <c r="BF15">
        <v>9</v>
      </c>
      <c r="BH15">
        <v>2</v>
      </c>
      <c r="BI15">
        <v>0</v>
      </c>
      <c r="BJ15">
        <v>0</v>
      </c>
      <c r="BK15">
        <v>0</v>
      </c>
      <c r="BL15" t="s">
        <v>1186</v>
      </c>
    </row>
    <row r="16" spans="1:64">
      <c r="A16" s="30"/>
      <c r="B16" s="30">
        <v>42800.525000000001</v>
      </c>
      <c r="C16" t="s">
        <v>1123</v>
      </c>
      <c r="D16" t="s">
        <v>1124</v>
      </c>
      <c r="E16" t="s">
        <v>1125</v>
      </c>
      <c r="F16" t="s">
        <v>172</v>
      </c>
      <c r="G16" t="s">
        <v>170</v>
      </c>
      <c r="H16" s="21" t="s">
        <v>94</v>
      </c>
      <c r="I16" s="87">
        <v>0</v>
      </c>
      <c r="J16" s="87">
        <v>0</v>
      </c>
      <c r="K16" t="s">
        <v>1126</v>
      </c>
      <c r="L16" t="s">
        <v>596</v>
      </c>
      <c r="M16" t="s">
        <v>264</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S16" s="21">
        <f>S15+(ckCodingTable[[#This Row],[ILN]]&lt;"M")</f>
        <v>5</v>
      </c>
      <c r="T16" s="21" t="s">
        <v>450</v>
      </c>
      <c r="U16" t="s">
        <v>647</v>
      </c>
      <c r="V16" s="7" t="str">
        <f>HYPERLINK("https://www.ejacket.nsf.gov/ej/showProposal.do?ID="&amp;ckCodingTable[[#This Row],[prop_id]],"eJ")</f>
        <v>eJ</v>
      </c>
      <c r="W16" t="s">
        <v>1127</v>
      </c>
      <c r="X16" t="s">
        <v>1187</v>
      </c>
      <c r="Y16" t="s">
        <v>1188</v>
      </c>
      <c r="Z16" t="s">
        <v>464</v>
      </c>
      <c r="AA16" t="s">
        <v>571</v>
      </c>
      <c r="AC16" s="30">
        <v>43009</v>
      </c>
      <c r="AD16">
        <v>60</v>
      </c>
      <c r="AJ16" s="26"/>
      <c r="AK16" s="22"/>
      <c r="AL16"/>
      <c r="AS16" t="s">
        <v>173</v>
      </c>
      <c r="AT16" t="s">
        <v>1189</v>
      </c>
      <c r="AU16" t="b">
        <f>IF(ckCodingTable[[#This Row],[ILN]]="N",SUBSTITUTE(AT15," ","")&lt;&gt;SUBSTITUTE(ckCodingTable[[#This Row],[prop_titl_txt]]," ",""), FALSE)</f>
        <v>0</v>
      </c>
      <c r="AV16">
        <v>0</v>
      </c>
      <c r="AW16" s="13">
        <v>3500000</v>
      </c>
      <c r="AX16" s="13">
        <v>3500000</v>
      </c>
      <c r="AY16" s="13"/>
      <c r="AZ16" s="13"/>
      <c r="BA16" s="13">
        <v>236450</v>
      </c>
      <c r="BB16" s="13">
        <v>125000</v>
      </c>
      <c r="BC16">
        <v>25</v>
      </c>
      <c r="BD16">
        <v>15</v>
      </c>
      <c r="BE16">
        <v>7.5</v>
      </c>
      <c r="BH16">
        <v>2</v>
      </c>
      <c r="BI16">
        <v>0</v>
      </c>
      <c r="BJ16">
        <v>0</v>
      </c>
      <c r="BK16">
        <v>0</v>
      </c>
      <c r="BL16" t="s">
        <v>1190</v>
      </c>
    </row>
    <row r="17" spans="1:64">
      <c r="A17" s="30"/>
      <c r="B17" s="30">
        <v>42800.671527777777</v>
      </c>
      <c r="C17" t="s">
        <v>1123</v>
      </c>
      <c r="D17" t="s">
        <v>1124</v>
      </c>
      <c r="E17" t="s">
        <v>1125</v>
      </c>
      <c r="F17" t="s">
        <v>172</v>
      </c>
      <c r="G17" t="s">
        <v>170</v>
      </c>
      <c r="H17" s="21" t="s">
        <v>94</v>
      </c>
      <c r="I17" s="87">
        <v>0</v>
      </c>
      <c r="J17" s="87">
        <v>0</v>
      </c>
      <c r="K17" t="s">
        <v>1126</v>
      </c>
      <c r="L17" t="s">
        <v>596</v>
      </c>
      <c r="M17" t="s">
        <v>268</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S17" s="21">
        <f>S16+(ckCodingTable[[#This Row],[ILN]]&lt;"M")</f>
        <v>6</v>
      </c>
      <c r="T17" s="21" t="s">
        <v>463</v>
      </c>
      <c r="U17" t="s">
        <v>658</v>
      </c>
      <c r="V17" s="7" t="str">
        <f>HYPERLINK("https://www.ejacket.nsf.gov/ej/showProposal.do?ID="&amp;ckCodingTable[[#This Row],[prop_id]],"eJ")</f>
        <v>eJ</v>
      </c>
      <c r="W17" t="s">
        <v>1127</v>
      </c>
      <c r="X17" t="s">
        <v>658</v>
      </c>
      <c r="Y17" t="s">
        <v>659</v>
      </c>
      <c r="Z17" t="s">
        <v>1191</v>
      </c>
      <c r="AA17" t="s">
        <v>459</v>
      </c>
      <c r="AC17" s="30">
        <v>43009</v>
      </c>
      <c r="AD17">
        <v>60</v>
      </c>
      <c r="AE17">
        <v>1</v>
      </c>
      <c r="AF17">
        <v>1</v>
      </c>
      <c r="AH17" s="21">
        <v>4</v>
      </c>
      <c r="AI17" t="s">
        <v>1192</v>
      </c>
      <c r="AJ17" s="26">
        <v>4</v>
      </c>
      <c r="AK17" s="22">
        <v>43027.085416666669</v>
      </c>
      <c r="AL17">
        <v>4</v>
      </c>
      <c r="AN17">
        <v>4</v>
      </c>
      <c r="AS17" t="s">
        <v>173</v>
      </c>
      <c r="AT17" t="s">
        <v>1193</v>
      </c>
      <c r="AU17" t="b">
        <f>IF(ckCodingTable[[#This Row],[ILN]]="N",SUBSTITUTE(AT16," ","")&lt;&gt;SUBSTITUTE(ckCodingTable[[#This Row],[prop_titl_txt]]," ",""), FALSE)</f>
        <v>0</v>
      </c>
      <c r="AV17">
        <v>0</v>
      </c>
      <c r="AW17" s="13">
        <v>3883266</v>
      </c>
      <c r="AX17" s="13">
        <v>3883266</v>
      </c>
      <c r="AY17" s="13"/>
      <c r="AZ17" s="13">
        <v>10000</v>
      </c>
      <c r="BA17" s="13">
        <v>584005</v>
      </c>
      <c r="BB17" s="13"/>
      <c r="BC17">
        <v>15</v>
      </c>
      <c r="BD17">
        <v>15</v>
      </c>
      <c r="BE17">
        <v>20</v>
      </c>
      <c r="BH17">
        <v>0</v>
      </c>
      <c r="BI17">
        <v>0</v>
      </c>
      <c r="BJ17">
        <v>0</v>
      </c>
      <c r="BK17">
        <v>0</v>
      </c>
      <c r="BL17" t="s">
        <v>1194</v>
      </c>
    </row>
    <row r="18" spans="1:64">
      <c r="A18" s="30"/>
      <c r="B18" s="30">
        <v>42800.681250000001</v>
      </c>
      <c r="C18" t="s">
        <v>1123</v>
      </c>
      <c r="D18" t="s">
        <v>1124</v>
      </c>
      <c r="E18" t="s">
        <v>1125</v>
      </c>
      <c r="F18" t="s">
        <v>172</v>
      </c>
      <c r="G18" t="s">
        <v>170</v>
      </c>
      <c r="H18" s="21" t="s">
        <v>94</v>
      </c>
      <c r="I18" s="87">
        <v>0</v>
      </c>
      <c r="J18" s="87">
        <v>0</v>
      </c>
      <c r="K18" t="s">
        <v>1126</v>
      </c>
      <c r="L18" t="s">
        <v>596</v>
      </c>
      <c r="M18" t="s">
        <v>268</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S18" s="21">
        <f>S17+(ckCodingTable[[#This Row],[ILN]]&lt;"M")</f>
        <v>6</v>
      </c>
      <c r="T18" s="21" t="s">
        <v>450</v>
      </c>
      <c r="U18" t="s">
        <v>658</v>
      </c>
      <c r="V18" s="7" t="str">
        <f>HYPERLINK("https://www.ejacket.nsf.gov/ej/showProposal.do?ID="&amp;ckCodingTable[[#This Row],[prop_id]],"eJ")</f>
        <v>eJ</v>
      </c>
      <c r="W18" t="s">
        <v>1127</v>
      </c>
      <c r="X18" t="s">
        <v>1195</v>
      </c>
      <c r="Y18" t="s">
        <v>1196</v>
      </c>
      <c r="Z18" t="s">
        <v>1197</v>
      </c>
      <c r="AA18" t="s">
        <v>1198</v>
      </c>
      <c r="AC18" s="30">
        <v>43009</v>
      </c>
      <c r="AD18">
        <v>60</v>
      </c>
      <c r="AJ18" s="26"/>
      <c r="AK18" s="22"/>
      <c r="AL18"/>
      <c r="AS18" t="s">
        <v>173</v>
      </c>
      <c r="AT18" t="s">
        <v>1199</v>
      </c>
      <c r="AU18" t="b">
        <f>IF(ckCodingTable[[#This Row],[ILN]]="N",SUBSTITUTE(AT17," ","")&lt;&gt;SUBSTITUTE(ckCodingTable[[#This Row],[prop_titl_txt]]," ",""), FALSE)</f>
        <v>0</v>
      </c>
      <c r="AV18">
        <v>0</v>
      </c>
      <c r="AW18" s="13">
        <v>3116734</v>
      </c>
      <c r="AX18" s="13">
        <v>3116734</v>
      </c>
      <c r="AY18" s="13"/>
      <c r="AZ18" s="13"/>
      <c r="BA18" s="13">
        <v>557506</v>
      </c>
      <c r="BB18" s="13"/>
      <c r="BD18">
        <v>15</v>
      </c>
      <c r="BG18">
        <v>26</v>
      </c>
      <c r="BH18">
        <v>0</v>
      </c>
      <c r="BI18">
        <v>0</v>
      </c>
      <c r="BJ18">
        <v>0</v>
      </c>
      <c r="BK18">
        <v>0</v>
      </c>
      <c r="BL18" t="s">
        <v>1200</v>
      </c>
    </row>
    <row r="19" spans="1:64">
      <c r="A19" s="30"/>
      <c r="B19" s="30">
        <v>42800.684027777781</v>
      </c>
      <c r="C19" t="s">
        <v>1123</v>
      </c>
      <c r="D19" t="s">
        <v>1124</v>
      </c>
      <c r="E19" t="s">
        <v>1125</v>
      </c>
      <c r="F19" t="s">
        <v>172</v>
      </c>
      <c r="G19" t="s">
        <v>170</v>
      </c>
      <c r="H19" s="21" t="s">
        <v>94</v>
      </c>
      <c r="I19" s="87">
        <v>0</v>
      </c>
      <c r="J19" s="87">
        <v>0</v>
      </c>
      <c r="K19" t="s">
        <v>1126</v>
      </c>
      <c r="L19" t="s">
        <v>596</v>
      </c>
      <c r="M19" t="s">
        <v>359</v>
      </c>
      <c r="N19" t="str">
        <f>IF(SUM(ckCodingTable[[#This Row],[NfmlPIs]:[NnonWhtAsnPIs]])&gt;0,"WMD","")</f>
        <v>WMD</v>
      </c>
      <c r="O19" t="b">
        <f>_xlfn.XOR(IFERROR(MATCH(ckCodingTable[[#This Row],[st_code]],EpscorTable[],0)&gt;0,FALSE),IFERROR(FIND("9150",ckCodingTable[[#This Row],[propPRCs]])&gt;0,FALSE))</f>
        <v>0</v>
      </c>
      <c r="P19" s="21" t="b">
        <f>_xlfn.XOR(ckCodingTable[[#This Row],[wmd]]&lt;&gt;"",IFERROR(FIND("9102",ckCodingTable[[#This Row],[propPRCs]])&gt;0,FALSE))</f>
        <v>1</v>
      </c>
      <c r="S19" s="21">
        <f>S18+(ckCodingTable[[#This Row],[ILN]]&lt;"M")</f>
        <v>7</v>
      </c>
      <c r="T19" s="21" t="s">
        <v>463</v>
      </c>
      <c r="U19" t="s">
        <v>666</v>
      </c>
      <c r="V19" s="7" t="str">
        <f>HYPERLINK("https://www.ejacket.nsf.gov/ej/showProposal.do?ID="&amp;ckCodingTable[[#This Row],[prop_id]],"eJ")</f>
        <v>eJ</v>
      </c>
      <c r="W19" t="s">
        <v>1127</v>
      </c>
      <c r="X19" t="s">
        <v>666</v>
      </c>
      <c r="Y19" t="s">
        <v>667</v>
      </c>
      <c r="Z19" t="s">
        <v>1201</v>
      </c>
      <c r="AA19" t="s">
        <v>563</v>
      </c>
      <c r="AC19" s="30">
        <v>43084</v>
      </c>
      <c r="AD19">
        <v>60</v>
      </c>
      <c r="AE19">
        <v>1</v>
      </c>
      <c r="AF19">
        <v>1</v>
      </c>
      <c r="AH19" s="21">
        <v>3</v>
      </c>
      <c r="AI19" t="s">
        <v>1202</v>
      </c>
      <c r="AJ19" s="26">
        <v>5.25</v>
      </c>
      <c r="AK19" s="22">
        <v>43028.496527777781</v>
      </c>
      <c r="AL19">
        <v>4</v>
      </c>
      <c r="AN19">
        <v>4</v>
      </c>
      <c r="AO19">
        <v>1</v>
      </c>
      <c r="AS19" t="s">
        <v>173</v>
      </c>
      <c r="AT19" t="s">
        <v>1203</v>
      </c>
      <c r="AU19" t="b">
        <f>IF(ckCodingTable[[#This Row],[ILN]]="N",SUBSTITUTE(AT18," ","")&lt;&gt;SUBSTITUTE(ckCodingTable[[#This Row],[prop_titl_txt]]," ",""), FALSE)</f>
        <v>0</v>
      </c>
      <c r="AV19">
        <v>0</v>
      </c>
      <c r="AW19" s="13">
        <v>1817030</v>
      </c>
      <c r="AX19" s="13">
        <v>1817030</v>
      </c>
      <c r="AY19" s="13"/>
      <c r="AZ19" s="13">
        <v>10000</v>
      </c>
      <c r="BA19" s="13">
        <v>154545</v>
      </c>
      <c r="BB19" s="13">
        <v>121900</v>
      </c>
      <c r="BC19">
        <v>15</v>
      </c>
      <c r="BD19">
        <v>15</v>
      </c>
      <c r="BE19">
        <v>7.35</v>
      </c>
      <c r="BH19">
        <v>2</v>
      </c>
      <c r="BI19">
        <v>0</v>
      </c>
      <c r="BJ19">
        <v>0</v>
      </c>
      <c r="BK19">
        <v>0</v>
      </c>
      <c r="BL19" t="s">
        <v>1204</v>
      </c>
    </row>
    <row r="20" spans="1:64">
      <c r="A20" s="30"/>
      <c r="B20" s="30">
        <v>42800.517361111109</v>
      </c>
      <c r="C20" t="s">
        <v>1123</v>
      </c>
      <c r="D20" t="s">
        <v>1124</v>
      </c>
      <c r="E20" t="s">
        <v>1125</v>
      </c>
      <c r="F20" t="s">
        <v>172</v>
      </c>
      <c r="G20" t="s">
        <v>170</v>
      </c>
      <c r="H20" s="21" t="s">
        <v>94</v>
      </c>
      <c r="I20" s="87">
        <v>0</v>
      </c>
      <c r="J20" s="87">
        <v>0</v>
      </c>
      <c r="K20" t="s">
        <v>1126</v>
      </c>
      <c r="L20" t="s">
        <v>596</v>
      </c>
      <c r="M20" t="s">
        <v>564</v>
      </c>
      <c r="N20" t="str">
        <f>IF(SUM(ckCodingTable[[#This Row],[NfmlPIs]:[NnonWhtAsnPIs]])&gt;0,"WMD","")</f>
        <v/>
      </c>
      <c r="O20" t="b">
        <f>_xlfn.XOR(IFERROR(MATCH(ckCodingTable[[#This Row],[st_code]],EpscorTable[],0)&gt;0,FALSE),IFERROR(FIND("9150",ckCodingTable[[#This Row],[propPRCs]])&gt;0,FALSE))</f>
        <v>0</v>
      </c>
      <c r="P20" s="21" t="b">
        <f>_xlfn.XOR(ckCodingTable[[#This Row],[wmd]]&lt;&gt;"",IFERROR(FIND("9102",ckCodingTable[[#This Row],[propPRCs]])&gt;0,FALSE))</f>
        <v>0</v>
      </c>
      <c r="S20" s="21">
        <f>S19+(ckCodingTable[[#This Row],[ILN]]&lt;"M")</f>
        <v>7</v>
      </c>
      <c r="T20" s="21" t="s">
        <v>450</v>
      </c>
      <c r="U20" t="s">
        <v>666</v>
      </c>
      <c r="V20" s="7" t="str">
        <f>HYPERLINK("https://www.ejacket.nsf.gov/ej/showProposal.do?ID="&amp;ckCodingTable[[#This Row],[prop_id]],"eJ")</f>
        <v>eJ</v>
      </c>
      <c r="W20" t="s">
        <v>1127</v>
      </c>
      <c r="X20" t="s">
        <v>1205</v>
      </c>
      <c r="Y20" t="s">
        <v>1206</v>
      </c>
      <c r="Z20" t="s">
        <v>1207</v>
      </c>
      <c r="AA20" t="s">
        <v>565</v>
      </c>
      <c r="AC20" s="30">
        <v>43084</v>
      </c>
      <c r="AD20">
        <v>60</v>
      </c>
      <c r="AJ20" s="26"/>
      <c r="AK20" s="22"/>
      <c r="AL20"/>
      <c r="AS20" t="s">
        <v>173</v>
      </c>
      <c r="AT20" t="s">
        <v>1203</v>
      </c>
      <c r="AU20" t="b">
        <f>IF(ckCodingTable[[#This Row],[ILN]]="N",SUBSTITUTE(AT19," ","")&lt;&gt;SUBSTITUTE(ckCodingTable[[#This Row],[prop_titl_txt]]," ",""), FALSE)</f>
        <v>0</v>
      </c>
      <c r="AV20">
        <v>0</v>
      </c>
      <c r="AW20" s="13">
        <v>604262</v>
      </c>
      <c r="AX20" s="13">
        <v>604262</v>
      </c>
      <c r="AY20" s="13"/>
      <c r="AZ20" s="13"/>
      <c r="BA20" s="13">
        <v>51504</v>
      </c>
      <c r="BB20" s="13"/>
      <c r="BC20">
        <v>5</v>
      </c>
      <c r="BD20">
        <v>5</v>
      </c>
      <c r="BE20">
        <v>5</v>
      </c>
      <c r="BH20">
        <v>0</v>
      </c>
      <c r="BI20">
        <v>0</v>
      </c>
      <c r="BJ20">
        <v>0</v>
      </c>
      <c r="BK20">
        <v>0</v>
      </c>
      <c r="BL20" t="s">
        <v>1208</v>
      </c>
    </row>
    <row r="21" spans="1:64">
      <c r="A21" s="30"/>
      <c r="B21" s="30">
        <v>42800.601388888892</v>
      </c>
      <c r="C21" t="s">
        <v>1123</v>
      </c>
      <c r="D21" t="s">
        <v>1124</v>
      </c>
      <c r="E21" t="s">
        <v>1125</v>
      </c>
      <c r="F21" t="s">
        <v>172</v>
      </c>
      <c r="G21" t="s">
        <v>170</v>
      </c>
      <c r="H21" s="21" t="s">
        <v>94</v>
      </c>
      <c r="I21" s="87">
        <v>0</v>
      </c>
      <c r="J21" s="87">
        <v>0</v>
      </c>
      <c r="K21" t="s">
        <v>1126</v>
      </c>
      <c r="L21" t="s">
        <v>596</v>
      </c>
      <c r="M21" t="s">
        <v>359</v>
      </c>
      <c r="N21" t="str">
        <f>IF(SUM(ckCodingTable[[#This Row],[NfmlPIs]:[NnonWhtAsnPIs]])&gt;0,"WMD","")</f>
        <v>WMD</v>
      </c>
      <c r="O21" t="b">
        <f>_xlfn.XOR(IFERROR(MATCH(ckCodingTable[[#This Row],[st_code]],EpscorTable[],0)&gt;0,FALSE),IFERROR(FIND("9150",ckCodingTable[[#This Row],[propPRCs]])&gt;0,FALSE))</f>
        <v>0</v>
      </c>
      <c r="P21" s="21" t="b">
        <f>_xlfn.XOR(ckCodingTable[[#This Row],[wmd]]&lt;&gt;"",IFERROR(FIND("9102",ckCodingTable[[#This Row],[propPRCs]])&gt;0,FALSE))</f>
        <v>1</v>
      </c>
      <c r="S21" s="21">
        <f>S20+(ckCodingTable[[#This Row],[ILN]]&lt;"M")</f>
        <v>7</v>
      </c>
      <c r="T21" s="21" t="s">
        <v>450</v>
      </c>
      <c r="U21" t="s">
        <v>666</v>
      </c>
      <c r="V21" s="7" t="str">
        <f>HYPERLINK("https://www.ejacket.nsf.gov/ej/showProposal.do?ID="&amp;ckCodingTable[[#This Row],[prop_id]],"eJ")</f>
        <v>eJ</v>
      </c>
      <c r="W21" t="s">
        <v>1127</v>
      </c>
      <c r="X21" t="s">
        <v>1209</v>
      </c>
      <c r="Y21" t="s">
        <v>1210</v>
      </c>
      <c r="Z21" t="s">
        <v>1211</v>
      </c>
      <c r="AA21" t="s">
        <v>1212</v>
      </c>
      <c r="AC21" s="30">
        <v>43084</v>
      </c>
      <c r="AD21">
        <v>60</v>
      </c>
      <c r="AJ21" s="26"/>
      <c r="AK21" s="22"/>
      <c r="AL21"/>
      <c r="AS21" t="s">
        <v>173</v>
      </c>
      <c r="AT21" t="s">
        <v>1203</v>
      </c>
      <c r="AU21" t="b">
        <f>IF(ckCodingTable[[#This Row],[ILN]]="N",SUBSTITUTE(AT20," ","")&lt;&gt;SUBSTITUTE(ckCodingTable[[#This Row],[prop_titl_txt]]," ",""), FALSE)</f>
        <v>0</v>
      </c>
      <c r="AV21">
        <v>0</v>
      </c>
      <c r="AW21" s="13">
        <v>1298699</v>
      </c>
      <c r="AX21" s="13">
        <v>1298699</v>
      </c>
      <c r="AY21" s="13"/>
      <c r="AZ21" s="13"/>
      <c r="BA21" s="13">
        <v>77530</v>
      </c>
      <c r="BB21" s="13"/>
      <c r="BC21">
        <v>9</v>
      </c>
      <c r="BD21">
        <v>15</v>
      </c>
      <c r="BE21">
        <v>12.5</v>
      </c>
      <c r="BF21">
        <v>5.65</v>
      </c>
      <c r="BH21">
        <v>1</v>
      </c>
      <c r="BI21">
        <v>0</v>
      </c>
      <c r="BJ21">
        <v>0</v>
      </c>
      <c r="BK21">
        <v>0</v>
      </c>
      <c r="BL21" t="s">
        <v>1213</v>
      </c>
    </row>
    <row r="22" spans="1:64">
      <c r="A22" s="30"/>
      <c r="B22" s="30">
        <v>42800.695138888892</v>
      </c>
      <c r="C22" t="s">
        <v>1123</v>
      </c>
      <c r="D22" t="s">
        <v>1124</v>
      </c>
      <c r="E22" t="s">
        <v>1125</v>
      </c>
      <c r="F22" t="s">
        <v>172</v>
      </c>
      <c r="G22" t="s">
        <v>170</v>
      </c>
      <c r="H22" s="21" t="s">
        <v>94</v>
      </c>
      <c r="I22" s="87">
        <v>0</v>
      </c>
      <c r="J22" s="87">
        <v>0</v>
      </c>
      <c r="K22" t="s">
        <v>1126</v>
      </c>
      <c r="L22" t="s">
        <v>596</v>
      </c>
      <c r="M22" t="s">
        <v>362</v>
      </c>
      <c r="N22" t="str">
        <f>IF(SUM(ckCodingTable[[#This Row],[NfmlPIs]:[NnonWhtAsnPIs]])&gt;0,"WMD","")</f>
        <v/>
      </c>
      <c r="O22" t="b">
        <f>_xlfn.XOR(IFERROR(MATCH(ckCodingTable[[#This Row],[st_code]],EpscorTable[],0)&gt;0,FALSE),IFERROR(FIND("9150",ckCodingTable[[#This Row],[propPRCs]])&gt;0,FALSE))</f>
        <v>0</v>
      </c>
      <c r="P22" s="21" t="b">
        <f>_xlfn.XOR(ckCodingTable[[#This Row],[wmd]]&lt;&gt;"",IFERROR(FIND("9102",ckCodingTable[[#This Row],[propPRCs]])&gt;0,FALSE))</f>
        <v>0</v>
      </c>
      <c r="S22" s="21">
        <f>S21+(ckCodingTable[[#This Row],[ILN]]&lt;"M")</f>
        <v>7</v>
      </c>
      <c r="T22" s="21" t="s">
        <v>450</v>
      </c>
      <c r="U22" t="s">
        <v>666</v>
      </c>
      <c r="V22" s="7" t="str">
        <f>HYPERLINK("https://www.ejacket.nsf.gov/ej/showProposal.do?ID="&amp;ckCodingTable[[#This Row],[prop_id]],"eJ")</f>
        <v>eJ</v>
      </c>
      <c r="W22" t="s">
        <v>1127</v>
      </c>
      <c r="X22" t="s">
        <v>1214</v>
      </c>
      <c r="Y22" t="s">
        <v>1215</v>
      </c>
      <c r="Z22" t="s">
        <v>1216</v>
      </c>
      <c r="AA22" t="s">
        <v>361</v>
      </c>
      <c r="AC22" s="30">
        <v>43084</v>
      </c>
      <c r="AD22">
        <v>60</v>
      </c>
      <c r="AJ22" s="26"/>
      <c r="AK22" s="22"/>
      <c r="AL22"/>
      <c r="AS22" t="s">
        <v>173</v>
      </c>
      <c r="AT22" t="s">
        <v>1203</v>
      </c>
      <c r="AU22" t="b">
        <f>IF(ckCodingTable[[#This Row],[ILN]]="N",SUBSTITUTE(AT21," ","")&lt;&gt;SUBSTITUTE(ckCodingTable[[#This Row],[prop_titl_txt]]," ",""), FALSE)</f>
        <v>0</v>
      </c>
      <c r="AV22">
        <v>0</v>
      </c>
      <c r="AW22" s="13">
        <v>1407104</v>
      </c>
      <c r="AX22" s="13">
        <v>1407104</v>
      </c>
      <c r="AY22" s="13"/>
      <c r="AZ22" s="13">
        <v>23500</v>
      </c>
      <c r="BA22" s="13">
        <v>150086</v>
      </c>
      <c r="BB22" s="13"/>
      <c r="BC22">
        <v>10</v>
      </c>
      <c r="BD22">
        <v>9</v>
      </c>
      <c r="BE22">
        <v>3</v>
      </c>
      <c r="BF22">
        <v>1.34</v>
      </c>
      <c r="BG22">
        <v>5.4</v>
      </c>
      <c r="BH22">
        <v>0</v>
      </c>
      <c r="BI22">
        <v>0</v>
      </c>
      <c r="BJ22">
        <v>0</v>
      </c>
      <c r="BK22">
        <v>0</v>
      </c>
      <c r="BL22" t="s">
        <v>1217</v>
      </c>
    </row>
    <row r="23" spans="1:64">
      <c r="A23" s="30"/>
      <c r="B23" s="30">
        <v>42800.697222222225</v>
      </c>
      <c r="C23" t="s">
        <v>1123</v>
      </c>
      <c r="D23" t="s">
        <v>1124</v>
      </c>
      <c r="E23" t="s">
        <v>1125</v>
      </c>
      <c r="F23" t="s">
        <v>172</v>
      </c>
      <c r="G23" t="s">
        <v>170</v>
      </c>
      <c r="H23" s="21" t="s">
        <v>94</v>
      </c>
      <c r="I23" s="87">
        <v>0</v>
      </c>
      <c r="J23" s="87">
        <v>0</v>
      </c>
      <c r="K23" t="s">
        <v>1126</v>
      </c>
      <c r="L23" t="s">
        <v>596</v>
      </c>
      <c r="M23" t="s">
        <v>267</v>
      </c>
      <c r="N23" t="str">
        <f>IF(SUM(ckCodingTable[[#This Row],[NfmlPIs]:[NnonWhtAsnPIs]])&gt;0,"WMD","")</f>
        <v>WMD</v>
      </c>
      <c r="O23" t="b">
        <f>_xlfn.XOR(IFERROR(MATCH(ckCodingTable[[#This Row],[st_code]],EpscorTable[],0)&gt;0,FALSE),IFERROR(FIND("9150",ckCodingTable[[#This Row],[propPRCs]])&gt;0,FALSE))</f>
        <v>0</v>
      </c>
      <c r="P23" s="21" t="b">
        <f>_xlfn.XOR(ckCodingTable[[#This Row],[wmd]]&lt;&gt;"",IFERROR(FIND("9102",ckCodingTable[[#This Row],[propPRCs]])&gt;0,FALSE))</f>
        <v>1</v>
      </c>
      <c r="S23" s="21">
        <f>S22+(ckCodingTable[[#This Row],[ILN]]&lt;"M")</f>
        <v>8</v>
      </c>
      <c r="T23" s="21" t="s">
        <v>463</v>
      </c>
      <c r="U23" t="s">
        <v>673</v>
      </c>
      <c r="V23" s="7" t="str">
        <f>HYPERLINK("https://www.ejacket.nsf.gov/ej/showProposal.do?ID="&amp;ckCodingTable[[#This Row],[prop_id]],"eJ")</f>
        <v>eJ</v>
      </c>
      <c r="W23" t="s">
        <v>1127</v>
      </c>
      <c r="X23" t="s">
        <v>673</v>
      </c>
      <c r="Y23" t="s">
        <v>674</v>
      </c>
      <c r="Z23" t="s">
        <v>466</v>
      </c>
      <c r="AA23" t="s">
        <v>475</v>
      </c>
      <c r="AC23" s="30">
        <v>42979</v>
      </c>
      <c r="AD23">
        <v>60</v>
      </c>
      <c r="AE23">
        <v>1</v>
      </c>
      <c r="AF23">
        <v>1</v>
      </c>
      <c r="AH23" s="21">
        <v>3</v>
      </c>
      <c r="AI23" t="s">
        <v>1218</v>
      </c>
      <c r="AJ23" s="26">
        <v>4.75</v>
      </c>
      <c r="AK23" s="22">
        <v>43028.414583333331</v>
      </c>
      <c r="AL23">
        <v>4</v>
      </c>
      <c r="AN23">
        <v>4</v>
      </c>
      <c r="AO23">
        <v>1</v>
      </c>
      <c r="AS23" t="s">
        <v>173</v>
      </c>
      <c r="AT23" t="s">
        <v>1219</v>
      </c>
      <c r="AU23" t="b">
        <f>IF(ckCodingTable[[#This Row],[ILN]]="N",SUBSTITUTE(AT22," ","")&lt;&gt;SUBSTITUTE(ckCodingTable[[#This Row],[prop_titl_txt]]," ",""), FALSE)</f>
        <v>0</v>
      </c>
      <c r="AV23">
        <v>0</v>
      </c>
      <c r="AW23" s="13">
        <v>5999568</v>
      </c>
      <c r="AX23" s="13">
        <v>5999568</v>
      </c>
      <c r="AY23" s="13"/>
      <c r="AZ23" s="13">
        <v>75000</v>
      </c>
      <c r="BA23" s="13">
        <v>331538</v>
      </c>
      <c r="BB23" s="13"/>
      <c r="BC23">
        <v>50</v>
      </c>
      <c r="BD23">
        <v>30</v>
      </c>
      <c r="BG23">
        <v>30</v>
      </c>
      <c r="BH23">
        <v>2</v>
      </c>
      <c r="BI23">
        <v>0</v>
      </c>
      <c r="BJ23">
        <v>0</v>
      </c>
      <c r="BK23">
        <v>1</v>
      </c>
      <c r="BL23" t="s">
        <v>1220</v>
      </c>
    </row>
    <row r="24" spans="1:64">
      <c r="A24" s="30"/>
      <c r="B24" s="30">
        <v>42800.666666666664</v>
      </c>
      <c r="C24" t="s">
        <v>1123</v>
      </c>
      <c r="D24" t="s">
        <v>1124</v>
      </c>
      <c r="E24" t="s">
        <v>1125</v>
      </c>
      <c r="F24" t="s">
        <v>172</v>
      </c>
      <c r="G24" t="s">
        <v>170</v>
      </c>
      <c r="H24" s="21" t="s">
        <v>94</v>
      </c>
      <c r="I24" s="87">
        <v>0</v>
      </c>
      <c r="J24" s="87">
        <v>0</v>
      </c>
      <c r="K24" t="s">
        <v>1126</v>
      </c>
      <c r="L24" t="s">
        <v>596</v>
      </c>
      <c r="M24" t="s">
        <v>264</v>
      </c>
      <c r="N24" t="str">
        <f>IF(SUM(ckCodingTable[[#This Row],[NfmlPIs]:[NnonWhtAsnPIs]])&gt;0,"WMD","")</f>
        <v>WMD</v>
      </c>
      <c r="O24" t="b">
        <f>_xlfn.XOR(IFERROR(MATCH(ckCodingTable[[#This Row],[st_code]],EpscorTable[],0)&gt;0,FALSE),IFERROR(FIND("9150",ckCodingTable[[#This Row],[propPRCs]])&gt;0,FALSE))</f>
        <v>0</v>
      </c>
      <c r="P24" s="21" t="b">
        <f>_xlfn.XOR(ckCodingTable[[#This Row],[wmd]]&lt;&gt;"",IFERROR(FIND("9102",ckCodingTable[[#This Row],[propPRCs]])&gt;0,FALSE))</f>
        <v>1</v>
      </c>
      <c r="S24" s="21">
        <f>S23+(ckCodingTable[[#This Row],[ILN]]&lt;"M")</f>
        <v>8</v>
      </c>
      <c r="T24" s="21" t="s">
        <v>450</v>
      </c>
      <c r="U24" t="s">
        <v>673</v>
      </c>
      <c r="V24" s="7" t="str">
        <f>HYPERLINK("https://www.ejacket.nsf.gov/ej/showProposal.do?ID="&amp;ckCodingTable[[#This Row],[prop_id]],"eJ")</f>
        <v>eJ</v>
      </c>
      <c r="W24" t="s">
        <v>1127</v>
      </c>
      <c r="X24" t="s">
        <v>1221</v>
      </c>
      <c r="Y24" t="s">
        <v>574</v>
      </c>
      <c r="Z24" t="s">
        <v>1222</v>
      </c>
      <c r="AA24" t="s">
        <v>1223</v>
      </c>
      <c r="AC24" s="30">
        <v>42979</v>
      </c>
      <c r="AD24">
        <v>60</v>
      </c>
      <c r="AJ24" s="26"/>
      <c r="AK24" s="22"/>
      <c r="AL24"/>
      <c r="AS24" t="s">
        <v>173</v>
      </c>
      <c r="AT24" t="s">
        <v>1224</v>
      </c>
      <c r="AU24" t="b">
        <f>IF(ckCodingTable[[#This Row],[ILN]]="N",SUBSTITUTE(AT23," ","")&lt;&gt;SUBSTITUTE(ckCodingTable[[#This Row],[prop_titl_txt]]," ",""), FALSE)</f>
        <v>0</v>
      </c>
      <c r="AV24">
        <v>0</v>
      </c>
      <c r="AW24" s="13">
        <v>1000000</v>
      </c>
      <c r="AX24" s="13">
        <v>1000000</v>
      </c>
      <c r="AY24" s="13"/>
      <c r="AZ24" s="13"/>
      <c r="BA24" s="13">
        <v>219447</v>
      </c>
      <c r="BB24" s="13"/>
      <c r="BC24">
        <v>5</v>
      </c>
      <c r="BD24">
        <v>5</v>
      </c>
      <c r="BE24">
        <v>5</v>
      </c>
      <c r="BH24">
        <v>1</v>
      </c>
      <c r="BI24">
        <v>0</v>
      </c>
      <c r="BJ24">
        <v>0</v>
      </c>
      <c r="BK24">
        <v>0</v>
      </c>
      <c r="BL24" t="s">
        <v>1225</v>
      </c>
    </row>
    <row r="25" spans="1:64">
      <c r="A25" s="30"/>
      <c r="B25" s="30">
        <v>42800.70416666667</v>
      </c>
      <c r="C25" t="s">
        <v>1123</v>
      </c>
      <c r="D25" t="s">
        <v>1124</v>
      </c>
      <c r="E25" t="s">
        <v>1125</v>
      </c>
      <c r="F25" t="s">
        <v>172</v>
      </c>
      <c r="G25" t="s">
        <v>170</v>
      </c>
      <c r="H25" s="21" t="s">
        <v>94</v>
      </c>
      <c r="I25" s="87">
        <v>0</v>
      </c>
      <c r="J25" s="87">
        <v>0</v>
      </c>
      <c r="K25" t="s">
        <v>1126</v>
      </c>
      <c r="L25" t="s">
        <v>596</v>
      </c>
      <c r="M25" t="s">
        <v>263</v>
      </c>
      <c r="N25" t="str">
        <f>IF(SUM(ckCodingTable[[#This Row],[NfmlPIs]:[NnonWhtAsnPIs]])&gt;0,"WMD","")</f>
        <v>WMD</v>
      </c>
      <c r="O25" t="b">
        <f>_xlfn.XOR(IFERROR(MATCH(ckCodingTable[[#This Row],[st_code]],EpscorTable[],0)&gt;0,FALSE),IFERROR(FIND("9150",ckCodingTable[[#This Row],[propPRCs]])&gt;0,FALSE))</f>
        <v>0</v>
      </c>
      <c r="P25" s="21" t="b">
        <f>_xlfn.XOR(ckCodingTable[[#This Row],[wmd]]&lt;&gt;"",IFERROR(FIND("9102",ckCodingTable[[#This Row],[propPRCs]])&gt;0,FALSE))</f>
        <v>1</v>
      </c>
      <c r="S25" s="21">
        <f>S24+(ckCodingTable[[#This Row],[ILN]]&lt;"M")</f>
        <v>9</v>
      </c>
      <c r="T25" s="21" t="s">
        <v>463</v>
      </c>
      <c r="U25" t="s">
        <v>681</v>
      </c>
      <c r="V25" s="7" t="str">
        <f>HYPERLINK("https://www.ejacket.nsf.gov/ej/showProposal.do?ID="&amp;ckCodingTable[[#This Row],[prop_id]],"eJ")</f>
        <v>eJ</v>
      </c>
      <c r="W25" t="s">
        <v>1127</v>
      </c>
      <c r="X25" t="s">
        <v>681</v>
      </c>
      <c r="Y25" t="s">
        <v>682</v>
      </c>
      <c r="Z25" t="s">
        <v>1226</v>
      </c>
      <c r="AA25" t="s">
        <v>1227</v>
      </c>
      <c r="AC25" s="30">
        <v>43101</v>
      </c>
      <c r="AD25">
        <v>60</v>
      </c>
      <c r="AE25">
        <v>1</v>
      </c>
      <c r="AF25">
        <v>1</v>
      </c>
      <c r="AH25" s="21">
        <v>3</v>
      </c>
      <c r="AI25" t="s">
        <v>1228</v>
      </c>
      <c r="AJ25" s="26">
        <v>5.25</v>
      </c>
      <c r="AK25" s="22">
        <v>43028.602777777778</v>
      </c>
      <c r="AL25">
        <v>4</v>
      </c>
      <c r="AN25">
        <v>4</v>
      </c>
      <c r="AO25">
        <v>1</v>
      </c>
      <c r="AS25" t="s">
        <v>173</v>
      </c>
      <c r="AT25" t="s">
        <v>1229</v>
      </c>
      <c r="AU25" t="b">
        <f>IF(ckCodingTable[[#This Row],[ILN]]="N",SUBSTITUTE(AT24," ","")&lt;&gt;SUBSTITUTE(ckCodingTable[[#This Row],[prop_titl_txt]]," ",""), FALSE)</f>
        <v>0</v>
      </c>
      <c r="AV25">
        <v>0</v>
      </c>
      <c r="AW25" s="13">
        <v>2414634</v>
      </c>
      <c r="AX25" s="13">
        <v>2414634</v>
      </c>
      <c r="AY25" s="13"/>
      <c r="AZ25" s="13"/>
      <c r="BA25" s="13"/>
      <c r="BB25" s="13"/>
      <c r="BC25">
        <v>22</v>
      </c>
      <c r="BD25">
        <v>25</v>
      </c>
      <c r="BE25">
        <v>27</v>
      </c>
      <c r="BH25">
        <v>2</v>
      </c>
      <c r="BI25">
        <v>0</v>
      </c>
      <c r="BJ25">
        <v>0</v>
      </c>
      <c r="BK25">
        <v>0</v>
      </c>
      <c r="BL25" t="s">
        <v>1230</v>
      </c>
    </row>
    <row r="26" spans="1:64">
      <c r="A26" s="30"/>
      <c r="B26" s="30">
        <v>42797.677777777775</v>
      </c>
      <c r="C26" t="s">
        <v>1123</v>
      </c>
      <c r="D26" t="s">
        <v>1124</v>
      </c>
      <c r="E26" t="s">
        <v>1125</v>
      </c>
      <c r="F26" t="s">
        <v>172</v>
      </c>
      <c r="G26" t="s">
        <v>170</v>
      </c>
      <c r="H26" s="21" t="s">
        <v>94</v>
      </c>
      <c r="I26" s="87">
        <v>0</v>
      </c>
      <c r="J26" s="87">
        <v>0</v>
      </c>
      <c r="K26" t="s">
        <v>1126</v>
      </c>
      <c r="L26" t="s">
        <v>596</v>
      </c>
      <c r="M26" t="s">
        <v>261</v>
      </c>
      <c r="N26" t="str">
        <f>IF(SUM(ckCodingTable[[#This Row],[NfmlPIs]:[NnonWhtAsnPIs]])&gt;0,"WMD","")</f>
        <v>WMD</v>
      </c>
      <c r="O26" t="b">
        <f>_xlfn.XOR(IFERROR(MATCH(ckCodingTable[[#This Row],[st_code]],EpscorTable[],0)&gt;0,FALSE),IFERROR(FIND("9150",ckCodingTable[[#This Row],[propPRCs]])&gt;0,FALSE))</f>
        <v>0</v>
      </c>
      <c r="P26" s="21" t="b">
        <f>_xlfn.XOR(ckCodingTable[[#This Row],[wmd]]&lt;&gt;"",IFERROR(FIND("9102",ckCodingTable[[#This Row],[propPRCs]])&gt;0,FALSE))</f>
        <v>1</v>
      </c>
      <c r="S26" s="21">
        <f>S25+(ckCodingTable[[#This Row],[ILN]]&lt;"M")</f>
        <v>9</v>
      </c>
      <c r="T26" s="21" t="s">
        <v>450</v>
      </c>
      <c r="U26" t="s">
        <v>681</v>
      </c>
      <c r="V26" s="7" t="str">
        <f>HYPERLINK("https://www.ejacket.nsf.gov/ej/showProposal.do?ID="&amp;ckCodingTable[[#This Row],[prop_id]],"eJ")</f>
        <v>eJ</v>
      </c>
      <c r="W26" t="s">
        <v>1127</v>
      </c>
      <c r="X26" t="s">
        <v>1231</v>
      </c>
      <c r="Y26" t="s">
        <v>1232</v>
      </c>
      <c r="Z26" t="s">
        <v>1233</v>
      </c>
      <c r="AA26" t="s">
        <v>1165</v>
      </c>
      <c r="AC26" s="30">
        <v>43101</v>
      </c>
      <c r="AD26">
        <v>60</v>
      </c>
      <c r="AJ26" s="26"/>
      <c r="AK26" s="22"/>
      <c r="AL26"/>
      <c r="AS26" t="s">
        <v>173</v>
      </c>
      <c r="AT26" t="s">
        <v>1229</v>
      </c>
      <c r="AU26" t="b">
        <f>IF(ckCodingTable[[#This Row],[ILN]]="N",SUBSTITUTE(AT25," ","")&lt;&gt;SUBSTITUTE(ckCodingTable[[#This Row],[prop_titl_txt]]," ",""), FALSE)</f>
        <v>0</v>
      </c>
      <c r="AV26">
        <v>0</v>
      </c>
      <c r="AW26" s="13">
        <v>1500000</v>
      </c>
      <c r="AX26" s="13">
        <v>1500000</v>
      </c>
      <c r="AY26" s="13"/>
      <c r="AZ26" s="13">
        <v>10000</v>
      </c>
      <c r="BA26" s="13"/>
      <c r="BB26" s="13"/>
      <c r="BC26">
        <v>15</v>
      </c>
      <c r="BD26">
        <v>15</v>
      </c>
      <c r="BE26">
        <v>15</v>
      </c>
      <c r="BH26">
        <v>1</v>
      </c>
      <c r="BI26">
        <v>2</v>
      </c>
      <c r="BJ26">
        <v>0</v>
      </c>
      <c r="BK26">
        <v>0</v>
      </c>
      <c r="BL26" t="s">
        <v>1234</v>
      </c>
    </row>
    <row r="27" spans="1:64">
      <c r="A27" s="30"/>
      <c r="B27" s="30">
        <v>42800.574305555558</v>
      </c>
      <c r="C27" t="s">
        <v>1123</v>
      </c>
      <c r="D27" t="s">
        <v>1124</v>
      </c>
      <c r="E27" t="s">
        <v>1125</v>
      </c>
      <c r="F27" t="s">
        <v>172</v>
      </c>
      <c r="G27" t="s">
        <v>170</v>
      </c>
      <c r="H27" s="21" t="s">
        <v>94</v>
      </c>
      <c r="I27" s="87">
        <v>0</v>
      </c>
      <c r="J27" s="87">
        <v>0</v>
      </c>
      <c r="K27" t="s">
        <v>1126</v>
      </c>
      <c r="L27" t="s">
        <v>596</v>
      </c>
      <c r="M27" t="s">
        <v>262</v>
      </c>
      <c r="N27" t="str">
        <f>IF(SUM(ckCodingTable[[#This Row],[NfmlPIs]:[NnonWhtAsnPIs]])&gt;0,"WMD","")</f>
        <v/>
      </c>
      <c r="O27" t="b">
        <f>_xlfn.XOR(IFERROR(MATCH(ckCodingTable[[#This Row],[st_code]],EpscorTable[],0)&gt;0,FALSE),IFERROR(FIND("9150",ckCodingTable[[#This Row],[propPRCs]])&gt;0,FALSE))</f>
        <v>0</v>
      </c>
      <c r="P27" s="21" t="b">
        <f>_xlfn.XOR(ckCodingTable[[#This Row],[wmd]]&lt;&gt;"",IFERROR(FIND("9102",ckCodingTable[[#This Row],[propPRCs]])&gt;0,FALSE))</f>
        <v>0</v>
      </c>
      <c r="S27" s="21">
        <f>S26+(ckCodingTable[[#This Row],[ILN]]&lt;"M")</f>
        <v>9</v>
      </c>
      <c r="T27" s="21" t="s">
        <v>450</v>
      </c>
      <c r="U27" t="s">
        <v>681</v>
      </c>
      <c r="V27" s="7" t="str">
        <f>HYPERLINK("https://www.ejacket.nsf.gov/ej/showProposal.do?ID="&amp;ckCodingTable[[#This Row],[prop_id]],"eJ")</f>
        <v>eJ</v>
      </c>
      <c r="W27" t="s">
        <v>1127</v>
      </c>
      <c r="X27" t="s">
        <v>1235</v>
      </c>
      <c r="Y27" t="s">
        <v>1236</v>
      </c>
      <c r="Z27" t="s">
        <v>1237</v>
      </c>
      <c r="AA27" t="s">
        <v>253</v>
      </c>
      <c r="AC27" s="30">
        <v>43101</v>
      </c>
      <c r="AD27">
        <v>60</v>
      </c>
      <c r="AJ27" s="26"/>
      <c r="AK27" s="22"/>
      <c r="AL27"/>
      <c r="AS27" t="s">
        <v>173</v>
      </c>
      <c r="AT27" t="s">
        <v>1229</v>
      </c>
      <c r="AU27" t="b">
        <f>IF(ckCodingTable[[#This Row],[ILN]]="N",SUBSTITUTE(AT26," ","")&lt;&gt;SUBSTITUTE(ckCodingTable[[#This Row],[prop_titl_txt]]," ",""), FALSE)</f>
        <v>0</v>
      </c>
      <c r="AV27">
        <v>0</v>
      </c>
      <c r="AW27" s="13">
        <v>1267898</v>
      </c>
      <c r="AX27" s="13">
        <v>1267898</v>
      </c>
      <c r="AY27" s="13"/>
      <c r="AZ27" s="13"/>
      <c r="BA27" s="13">
        <v>105367</v>
      </c>
      <c r="BB27" s="13"/>
      <c r="BC27">
        <v>10</v>
      </c>
      <c r="BD27">
        <v>10</v>
      </c>
      <c r="BE27">
        <v>10</v>
      </c>
      <c r="BH27">
        <v>0</v>
      </c>
      <c r="BI27">
        <v>0</v>
      </c>
      <c r="BJ27">
        <v>0</v>
      </c>
      <c r="BK27">
        <v>0</v>
      </c>
      <c r="BL27" t="s">
        <v>1238</v>
      </c>
    </row>
    <row r="28" spans="1:64">
      <c r="A28" s="30"/>
      <c r="B28" s="30">
        <v>42800.745833333334</v>
      </c>
      <c r="C28" t="s">
        <v>1123</v>
      </c>
      <c r="D28" t="s">
        <v>1124</v>
      </c>
      <c r="E28" t="s">
        <v>1125</v>
      </c>
      <c r="F28" t="s">
        <v>172</v>
      </c>
      <c r="G28" t="s">
        <v>170</v>
      </c>
      <c r="H28" s="21" t="s">
        <v>94</v>
      </c>
      <c r="I28" s="87">
        <v>0</v>
      </c>
      <c r="J28" s="87">
        <v>0</v>
      </c>
      <c r="K28" t="s">
        <v>1126</v>
      </c>
      <c r="L28" t="s">
        <v>596</v>
      </c>
      <c r="M28" t="s">
        <v>264</v>
      </c>
      <c r="N28" t="str">
        <f>IF(SUM(ckCodingTable[[#This Row],[NfmlPIs]:[NnonWhtAsnPIs]])&gt;0,"WMD","")</f>
        <v/>
      </c>
      <c r="O28" t="b">
        <f>_xlfn.XOR(IFERROR(MATCH(ckCodingTable[[#This Row],[st_code]],EpscorTable[],0)&gt;0,FALSE),IFERROR(FIND("9150",ckCodingTable[[#This Row],[propPRCs]])&gt;0,FALSE))</f>
        <v>0</v>
      </c>
      <c r="P28" s="21" t="b">
        <f>_xlfn.XOR(ckCodingTable[[#This Row],[wmd]]&lt;&gt;"",IFERROR(FIND("9102",ckCodingTable[[#This Row],[propPRCs]])&gt;0,FALSE))</f>
        <v>0</v>
      </c>
      <c r="S28" s="21">
        <f>S27+(ckCodingTable[[#This Row],[ILN]]&lt;"M")</f>
        <v>9</v>
      </c>
      <c r="T28" s="21" t="s">
        <v>450</v>
      </c>
      <c r="U28" t="s">
        <v>681</v>
      </c>
      <c r="V28" s="7" t="str">
        <f>HYPERLINK("https://www.ejacket.nsf.gov/ej/showProposal.do?ID="&amp;ckCodingTable[[#This Row],[prop_id]],"eJ")</f>
        <v>eJ</v>
      </c>
      <c r="W28" t="s">
        <v>1127</v>
      </c>
      <c r="X28" t="s">
        <v>1239</v>
      </c>
      <c r="Y28" t="s">
        <v>1240</v>
      </c>
      <c r="Z28" t="s">
        <v>1241</v>
      </c>
      <c r="AA28" t="s">
        <v>353</v>
      </c>
      <c r="AC28" s="30">
        <v>43101</v>
      </c>
      <c r="AD28">
        <v>60</v>
      </c>
      <c r="AJ28" s="26"/>
      <c r="AK28" s="22"/>
      <c r="AL28"/>
      <c r="AS28" t="s">
        <v>173</v>
      </c>
      <c r="AT28" t="s">
        <v>1229</v>
      </c>
      <c r="AU28" t="b">
        <f>IF(ckCodingTable[[#This Row],[ILN]]="N",SUBSTITUTE(AT27," ","")&lt;&gt;SUBSTITUTE(ckCodingTable[[#This Row],[prop_titl_txt]]," ",""), FALSE)</f>
        <v>0</v>
      </c>
      <c r="AV28">
        <v>0</v>
      </c>
      <c r="AW28" s="13">
        <v>916599</v>
      </c>
      <c r="AX28" s="13">
        <v>916599</v>
      </c>
      <c r="AY28" s="13"/>
      <c r="AZ28" s="13"/>
      <c r="BA28" s="13"/>
      <c r="BB28" s="13"/>
      <c r="BC28">
        <v>10</v>
      </c>
      <c r="BD28">
        <v>10</v>
      </c>
      <c r="BE28">
        <v>10</v>
      </c>
      <c r="BH28">
        <v>0</v>
      </c>
      <c r="BI28">
        <v>0</v>
      </c>
      <c r="BJ28">
        <v>0</v>
      </c>
      <c r="BK28">
        <v>0</v>
      </c>
      <c r="BL28" t="s">
        <v>1242</v>
      </c>
    </row>
    <row r="29" spans="1:64">
      <c r="A29" s="30"/>
      <c r="B29" s="30">
        <v>42800.704861111109</v>
      </c>
      <c r="C29" t="s">
        <v>1123</v>
      </c>
      <c r="D29" t="s">
        <v>1124</v>
      </c>
      <c r="E29" t="s">
        <v>1125</v>
      </c>
      <c r="F29" t="s">
        <v>172</v>
      </c>
      <c r="G29" t="s">
        <v>170</v>
      </c>
      <c r="H29" s="21" t="s">
        <v>94</v>
      </c>
      <c r="I29" s="87">
        <v>0</v>
      </c>
      <c r="J29" s="87">
        <v>0</v>
      </c>
      <c r="K29" t="s">
        <v>1126</v>
      </c>
      <c r="L29" t="s">
        <v>596</v>
      </c>
      <c r="M29" t="s">
        <v>362</v>
      </c>
      <c r="N29" t="str">
        <f>IF(SUM(ckCodingTable[[#This Row],[NfmlPIs]:[NnonWhtAsnPIs]])&gt;0,"WMD","")</f>
        <v>WMD</v>
      </c>
      <c r="O29" t="b">
        <f>_xlfn.XOR(IFERROR(MATCH(ckCodingTable[[#This Row],[st_code]],EpscorTable[],0)&gt;0,FALSE),IFERROR(FIND("9150",ckCodingTable[[#This Row],[propPRCs]])&gt;0,FALSE))</f>
        <v>0</v>
      </c>
      <c r="P29" s="21" t="b">
        <f>_xlfn.XOR(ckCodingTable[[#This Row],[wmd]]&lt;&gt;"",IFERROR(FIND("9102",ckCodingTable[[#This Row],[propPRCs]])&gt;0,FALSE))</f>
        <v>1</v>
      </c>
      <c r="S29" s="21">
        <f>S28+(ckCodingTable[[#This Row],[ILN]]&lt;"M")</f>
        <v>10</v>
      </c>
      <c r="T29" s="21" t="s">
        <v>463</v>
      </c>
      <c r="U29" t="s">
        <v>689</v>
      </c>
      <c r="V29" s="7" t="str">
        <f>HYPERLINK("https://www.ejacket.nsf.gov/ej/showProposal.do?ID="&amp;ckCodingTable[[#This Row],[prop_id]],"eJ")</f>
        <v>eJ</v>
      </c>
      <c r="W29" t="s">
        <v>1127</v>
      </c>
      <c r="X29" t="s">
        <v>689</v>
      </c>
      <c r="Y29" t="s">
        <v>690</v>
      </c>
      <c r="Z29" t="s">
        <v>1243</v>
      </c>
      <c r="AA29" t="s">
        <v>361</v>
      </c>
      <c r="AC29" s="30">
        <v>42917</v>
      </c>
      <c r="AD29">
        <v>60</v>
      </c>
      <c r="AE29">
        <v>1</v>
      </c>
      <c r="AF29">
        <v>1</v>
      </c>
      <c r="AH29" s="21">
        <v>3</v>
      </c>
      <c r="AI29" t="s">
        <v>1244</v>
      </c>
      <c r="AJ29" s="26">
        <v>5</v>
      </c>
      <c r="AK29" s="22">
        <v>43027.59652777778</v>
      </c>
      <c r="AL29">
        <v>4</v>
      </c>
      <c r="AN29">
        <v>4</v>
      </c>
      <c r="AO29">
        <v>1</v>
      </c>
      <c r="AS29" t="s">
        <v>173</v>
      </c>
      <c r="AT29" t="s">
        <v>1245</v>
      </c>
      <c r="AU29" t="b">
        <f>IF(ckCodingTable[[#This Row],[ILN]]="N",SUBSTITUTE(AT28," ","")&lt;&gt;SUBSTITUTE(ckCodingTable[[#This Row],[prop_titl_txt]]," ",""), FALSE)</f>
        <v>0</v>
      </c>
      <c r="AV29">
        <v>0</v>
      </c>
      <c r="AW29" s="13">
        <v>2296997</v>
      </c>
      <c r="AX29" s="13">
        <v>2296997</v>
      </c>
      <c r="AY29" s="13"/>
      <c r="AZ29" s="13">
        <v>55190</v>
      </c>
      <c r="BA29" s="13"/>
      <c r="BB29" s="13">
        <v>25000</v>
      </c>
      <c r="BC29">
        <v>20</v>
      </c>
      <c r="BD29">
        <v>27</v>
      </c>
      <c r="BE29">
        <v>6.75</v>
      </c>
      <c r="BF29">
        <v>3.93</v>
      </c>
      <c r="BH29">
        <v>2</v>
      </c>
      <c r="BI29">
        <v>0</v>
      </c>
      <c r="BJ29">
        <v>0</v>
      </c>
      <c r="BK29">
        <v>0</v>
      </c>
      <c r="BL29" t="s">
        <v>1246</v>
      </c>
    </row>
    <row r="30" spans="1:64">
      <c r="A30" s="30"/>
      <c r="B30" s="30">
        <v>42796.675694444442</v>
      </c>
      <c r="C30" t="s">
        <v>1123</v>
      </c>
      <c r="D30" t="s">
        <v>1124</v>
      </c>
      <c r="E30" t="s">
        <v>1125</v>
      </c>
      <c r="F30" t="s">
        <v>172</v>
      </c>
      <c r="G30" t="s">
        <v>170</v>
      </c>
      <c r="H30" s="21" t="s">
        <v>94</v>
      </c>
      <c r="I30" s="87">
        <v>0</v>
      </c>
      <c r="J30" s="87">
        <v>0</v>
      </c>
      <c r="K30" t="s">
        <v>1126</v>
      </c>
      <c r="L30" t="s">
        <v>596</v>
      </c>
      <c r="M30" t="s">
        <v>263</v>
      </c>
      <c r="N30" t="str">
        <f>IF(SUM(ckCodingTable[[#This Row],[NfmlPIs]:[NnonWhtAsnPIs]])&gt;0,"WMD","")</f>
        <v/>
      </c>
      <c r="O30" t="b">
        <f>_xlfn.XOR(IFERROR(MATCH(ckCodingTable[[#This Row],[st_code]],EpscorTable[],0)&gt;0,FALSE),IFERROR(FIND("9150",ckCodingTable[[#This Row],[propPRCs]])&gt;0,FALSE))</f>
        <v>0</v>
      </c>
      <c r="P30" s="21" t="b">
        <f>_xlfn.XOR(ckCodingTable[[#This Row],[wmd]]&lt;&gt;"",IFERROR(FIND("9102",ckCodingTable[[#This Row],[propPRCs]])&gt;0,FALSE))</f>
        <v>0</v>
      </c>
      <c r="S30" s="21">
        <f>S29+(ckCodingTable[[#This Row],[ILN]]&lt;"M")</f>
        <v>10</v>
      </c>
      <c r="T30" s="21" t="s">
        <v>450</v>
      </c>
      <c r="U30" t="s">
        <v>689</v>
      </c>
      <c r="V30" s="7" t="str">
        <f>HYPERLINK("https://www.ejacket.nsf.gov/ej/showProposal.do?ID="&amp;ckCodingTable[[#This Row],[prop_id]],"eJ")</f>
        <v>eJ</v>
      </c>
      <c r="W30" t="s">
        <v>1127</v>
      </c>
      <c r="X30" t="s">
        <v>1247</v>
      </c>
      <c r="Y30" t="s">
        <v>1248</v>
      </c>
      <c r="Z30" t="s">
        <v>1249</v>
      </c>
      <c r="AA30" t="s">
        <v>250</v>
      </c>
      <c r="AC30" s="30">
        <v>42917</v>
      </c>
      <c r="AD30">
        <v>60</v>
      </c>
      <c r="AJ30" s="26"/>
      <c r="AK30" s="22"/>
      <c r="AL30"/>
      <c r="AS30" t="s">
        <v>173</v>
      </c>
      <c r="AT30" t="s">
        <v>1245</v>
      </c>
      <c r="AU30" t="b">
        <f>IF(ckCodingTable[[#This Row],[ILN]]="N",SUBSTITUTE(AT29," ","")&lt;&gt;SUBSTITUTE(ckCodingTable[[#This Row],[prop_titl_txt]]," ",""), FALSE)</f>
        <v>0</v>
      </c>
      <c r="AV30">
        <v>0</v>
      </c>
      <c r="AW30" s="13">
        <v>1000000</v>
      </c>
      <c r="AX30" s="13">
        <v>1000000</v>
      </c>
      <c r="AY30" s="13"/>
      <c r="AZ30" s="13"/>
      <c r="BA30" s="13"/>
      <c r="BB30" s="13"/>
      <c r="BC30">
        <v>5</v>
      </c>
      <c r="BD30">
        <v>10</v>
      </c>
      <c r="BE30">
        <v>2.5</v>
      </c>
      <c r="BG30">
        <v>15</v>
      </c>
      <c r="BH30">
        <v>0</v>
      </c>
      <c r="BI30">
        <v>0</v>
      </c>
      <c r="BJ30">
        <v>0</v>
      </c>
      <c r="BK30">
        <v>0</v>
      </c>
      <c r="BL30" t="s">
        <v>1250</v>
      </c>
    </row>
    <row r="31" spans="1:64">
      <c r="A31" s="30"/>
      <c r="B31" s="30">
        <v>42797.749305555553</v>
      </c>
      <c r="C31" t="s">
        <v>1123</v>
      </c>
      <c r="D31" t="s">
        <v>1124</v>
      </c>
      <c r="E31" t="s">
        <v>1125</v>
      </c>
      <c r="F31" t="s">
        <v>172</v>
      </c>
      <c r="G31" t="s">
        <v>170</v>
      </c>
      <c r="H31" s="21" t="s">
        <v>94</v>
      </c>
      <c r="I31" s="87">
        <v>0</v>
      </c>
      <c r="J31" s="87">
        <v>0</v>
      </c>
      <c r="K31" t="s">
        <v>1126</v>
      </c>
      <c r="L31" t="s">
        <v>596</v>
      </c>
      <c r="M31" t="s">
        <v>264</v>
      </c>
      <c r="N31" t="str">
        <f>IF(SUM(ckCodingTable[[#This Row],[NfmlPIs]:[NnonWhtAsnPIs]])&gt;0,"WMD","")</f>
        <v/>
      </c>
      <c r="O31" t="b">
        <f>_xlfn.XOR(IFERROR(MATCH(ckCodingTable[[#This Row],[st_code]],EpscorTable[],0)&gt;0,FALSE),IFERROR(FIND("9150",ckCodingTable[[#This Row],[propPRCs]])&gt;0,FALSE))</f>
        <v>0</v>
      </c>
      <c r="P31" s="21" t="b">
        <f>_xlfn.XOR(ckCodingTable[[#This Row],[wmd]]&lt;&gt;"",IFERROR(FIND("9102",ckCodingTable[[#This Row],[propPRCs]])&gt;0,FALSE))</f>
        <v>0</v>
      </c>
      <c r="S31" s="21">
        <f>S30+(ckCodingTable[[#This Row],[ILN]]&lt;"M")</f>
        <v>10</v>
      </c>
      <c r="T31" s="21" t="s">
        <v>450</v>
      </c>
      <c r="U31" t="s">
        <v>689</v>
      </c>
      <c r="V31" s="7" t="str">
        <f>HYPERLINK("https://www.ejacket.nsf.gov/ej/showProposal.do?ID="&amp;ckCodingTable[[#This Row],[prop_id]],"eJ")</f>
        <v>eJ</v>
      </c>
      <c r="W31" t="s">
        <v>1127</v>
      </c>
      <c r="X31" t="s">
        <v>1251</v>
      </c>
      <c r="Y31" t="s">
        <v>347</v>
      </c>
      <c r="Z31" t="s">
        <v>916</v>
      </c>
      <c r="AA31" t="s">
        <v>462</v>
      </c>
      <c r="AC31" s="30">
        <v>42917</v>
      </c>
      <c r="AD31">
        <v>60</v>
      </c>
      <c r="AJ31" s="26"/>
      <c r="AK31" s="22"/>
      <c r="AL31"/>
      <c r="AS31" t="s">
        <v>173</v>
      </c>
      <c r="AT31" t="s">
        <v>1252</v>
      </c>
      <c r="AU31" t="b">
        <f>IF(ckCodingTable[[#This Row],[ILN]]="N",SUBSTITUTE(AT30," ","")&lt;&gt;SUBSTITUTE(ckCodingTable[[#This Row],[prop_titl_txt]]," ",""), FALSE)</f>
        <v>0</v>
      </c>
      <c r="AV31">
        <v>0</v>
      </c>
      <c r="AW31" s="13">
        <v>200189</v>
      </c>
      <c r="AX31" s="13">
        <v>200189</v>
      </c>
      <c r="AY31" s="13"/>
      <c r="AZ31" s="13"/>
      <c r="BA31" s="13"/>
      <c r="BB31" s="13"/>
      <c r="BC31">
        <v>2</v>
      </c>
      <c r="BD31">
        <v>5</v>
      </c>
      <c r="BE31">
        <v>1.51</v>
      </c>
      <c r="BH31">
        <v>0</v>
      </c>
      <c r="BI31">
        <v>0</v>
      </c>
      <c r="BJ31">
        <v>0</v>
      </c>
      <c r="BK31">
        <v>0</v>
      </c>
      <c r="BL31" t="s">
        <v>1253</v>
      </c>
    </row>
    <row r="32" spans="1:64">
      <c r="A32" s="30"/>
      <c r="B32" s="30">
        <v>42800.672222222223</v>
      </c>
      <c r="C32" t="s">
        <v>1123</v>
      </c>
      <c r="D32" t="s">
        <v>1124</v>
      </c>
      <c r="E32" t="s">
        <v>1125</v>
      </c>
      <c r="F32" t="s">
        <v>172</v>
      </c>
      <c r="G32" t="s">
        <v>170</v>
      </c>
      <c r="H32" s="21" t="s">
        <v>94</v>
      </c>
      <c r="I32" s="87">
        <v>0</v>
      </c>
      <c r="J32" s="87">
        <v>0</v>
      </c>
      <c r="K32" t="s">
        <v>1126</v>
      </c>
      <c r="L32" t="s">
        <v>596</v>
      </c>
      <c r="M32" t="s">
        <v>1181</v>
      </c>
      <c r="N32" t="str">
        <f>IF(SUM(ckCodingTable[[#This Row],[NfmlPIs]:[NnonWhtAsnPIs]])&gt;0,"WMD","")</f>
        <v>WMD</v>
      </c>
      <c r="O32" t="b">
        <f>_xlfn.XOR(IFERROR(MATCH(ckCodingTable[[#This Row],[st_code]],EpscorTable[],0)&gt;0,FALSE),IFERROR(FIND("9150",ckCodingTable[[#This Row],[propPRCs]])&gt;0,FALSE))</f>
        <v>0</v>
      </c>
      <c r="P32" s="21" t="b">
        <f>_xlfn.XOR(ckCodingTable[[#This Row],[wmd]]&lt;&gt;"",IFERROR(FIND("9102",ckCodingTable[[#This Row],[propPRCs]])&gt;0,FALSE))</f>
        <v>1</v>
      </c>
      <c r="S32" s="21">
        <f>S31+(ckCodingTable[[#This Row],[ILN]]&lt;"M")</f>
        <v>10</v>
      </c>
      <c r="T32" s="21" t="s">
        <v>450</v>
      </c>
      <c r="U32" t="s">
        <v>689</v>
      </c>
      <c r="V32" s="7" t="str">
        <f>HYPERLINK("https://www.ejacket.nsf.gov/ej/showProposal.do?ID="&amp;ckCodingTable[[#This Row],[prop_id]],"eJ")</f>
        <v>eJ</v>
      </c>
      <c r="W32" t="s">
        <v>1127</v>
      </c>
      <c r="X32" t="s">
        <v>1254</v>
      </c>
      <c r="Y32" t="s">
        <v>1255</v>
      </c>
      <c r="Z32" t="s">
        <v>1256</v>
      </c>
      <c r="AA32" t="s">
        <v>1257</v>
      </c>
      <c r="AC32" s="30">
        <v>42917</v>
      </c>
      <c r="AD32">
        <v>60</v>
      </c>
      <c r="AJ32" s="26"/>
      <c r="AK32" s="22"/>
      <c r="AL32"/>
      <c r="AS32" t="s">
        <v>173</v>
      </c>
      <c r="AT32" t="s">
        <v>1245</v>
      </c>
      <c r="AU32" t="b">
        <f>IF(ckCodingTable[[#This Row],[ILN]]="N",SUBSTITUTE(AT31," ","")&lt;&gt;SUBSTITUTE(ckCodingTable[[#This Row],[prop_titl_txt]]," ",""), FALSE)</f>
        <v>0</v>
      </c>
      <c r="AV32">
        <v>0</v>
      </c>
      <c r="AW32" s="13">
        <v>1477644</v>
      </c>
      <c r="AX32" s="13">
        <v>1477644</v>
      </c>
      <c r="AY32" s="13">
        <v>238557</v>
      </c>
      <c r="AZ32" s="13"/>
      <c r="BA32" s="13"/>
      <c r="BB32" s="13"/>
      <c r="BC32">
        <v>30</v>
      </c>
      <c r="BD32">
        <v>20</v>
      </c>
      <c r="BE32">
        <v>14.7</v>
      </c>
      <c r="BF32">
        <v>13.5</v>
      </c>
      <c r="BH32">
        <v>1</v>
      </c>
      <c r="BI32">
        <v>0</v>
      </c>
      <c r="BJ32">
        <v>0</v>
      </c>
      <c r="BK32">
        <v>0</v>
      </c>
      <c r="BL32" t="s">
        <v>1258</v>
      </c>
    </row>
    <row r="33" spans="1:64">
      <c r="A33" s="30"/>
      <c r="B33" s="30">
        <v>42800.832638888889</v>
      </c>
      <c r="C33" t="s">
        <v>1123</v>
      </c>
      <c r="D33" t="s">
        <v>1124</v>
      </c>
      <c r="E33" t="s">
        <v>1125</v>
      </c>
      <c r="F33" t="s">
        <v>172</v>
      </c>
      <c r="G33" t="s">
        <v>170</v>
      </c>
      <c r="H33" s="21" t="s">
        <v>94</v>
      </c>
      <c r="I33" s="87">
        <v>0</v>
      </c>
      <c r="J33" s="87">
        <v>0</v>
      </c>
      <c r="K33" t="s">
        <v>1126</v>
      </c>
      <c r="L33" t="s">
        <v>596</v>
      </c>
      <c r="M33" t="s">
        <v>264</v>
      </c>
      <c r="N33" t="str">
        <f>IF(SUM(ckCodingTable[[#This Row],[NfmlPIs]:[NnonWhtAsnPIs]])&gt;0,"WMD","")</f>
        <v>WMD</v>
      </c>
      <c r="O33" t="b">
        <f>_xlfn.XOR(IFERROR(MATCH(ckCodingTable[[#This Row],[st_code]],EpscorTable[],0)&gt;0,FALSE),IFERROR(FIND("9150",ckCodingTable[[#This Row],[propPRCs]])&gt;0,FALSE))</f>
        <v>0</v>
      </c>
      <c r="P33" s="21" t="b">
        <f>_xlfn.XOR(ckCodingTable[[#This Row],[wmd]]&lt;&gt;"",IFERROR(FIND("9102",ckCodingTable[[#This Row],[propPRCs]])&gt;0,FALSE))</f>
        <v>1</v>
      </c>
      <c r="S33" s="21">
        <f>S32+(ckCodingTable[[#This Row],[ILN]]&lt;"M")</f>
        <v>11</v>
      </c>
      <c r="T33" s="21" t="s">
        <v>463</v>
      </c>
      <c r="U33" t="s">
        <v>696</v>
      </c>
      <c r="V33" s="7" t="str">
        <f>HYPERLINK("https://www.ejacket.nsf.gov/ej/showProposal.do?ID="&amp;ckCodingTable[[#This Row],[prop_id]],"eJ")</f>
        <v>eJ</v>
      </c>
      <c r="W33" t="s">
        <v>1127</v>
      </c>
      <c r="X33" t="s">
        <v>696</v>
      </c>
      <c r="Y33" t="s">
        <v>697</v>
      </c>
      <c r="Z33" t="s">
        <v>465</v>
      </c>
      <c r="AA33" t="s">
        <v>570</v>
      </c>
      <c r="AC33" s="30">
        <v>43009</v>
      </c>
      <c r="AD33">
        <v>48</v>
      </c>
      <c r="AE33">
        <v>1</v>
      </c>
      <c r="AF33">
        <v>1</v>
      </c>
      <c r="AH33" s="21">
        <v>3</v>
      </c>
      <c r="AI33" t="s">
        <v>1218</v>
      </c>
      <c r="AJ33" s="26">
        <v>4.75</v>
      </c>
      <c r="AK33" s="22">
        <v>43028.537499999999</v>
      </c>
      <c r="AL33">
        <v>4</v>
      </c>
      <c r="AN33">
        <v>4</v>
      </c>
      <c r="AS33" t="s">
        <v>173</v>
      </c>
      <c r="AT33" t="s">
        <v>1259</v>
      </c>
      <c r="AU33" t="b">
        <f>IF(ckCodingTable[[#This Row],[ILN]]="N",SUBSTITUTE(AT32," ","")&lt;&gt;SUBSTITUTE(ckCodingTable[[#This Row],[prop_titl_txt]]," ",""), FALSE)</f>
        <v>0</v>
      </c>
      <c r="AV33">
        <v>0</v>
      </c>
      <c r="AW33" s="13">
        <v>5296730</v>
      </c>
      <c r="AX33" s="13">
        <v>5296730</v>
      </c>
      <c r="AY33" s="13">
        <v>499936</v>
      </c>
      <c r="AZ33" s="13">
        <v>10459</v>
      </c>
      <c r="BA33" s="13">
        <v>300501</v>
      </c>
      <c r="BB33" s="13"/>
      <c r="BC33">
        <v>20</v>
      </c>
      <c r="BD33">
        <v>32</v>
      </c>
      <c r="BE33">
        <v>26</v>
      </c>
      <c r="BG33">
        <v>2</v>
      </c>
      <c r="BH33">
        <v>2</v>
      </c>
      <c r="BI33">
        <v>0</v>
      </c>
      <c r="BJ33">
        <v>0</v>
      </c>
      <c r="BK33">
        <v>0</v>
      </c>
      <c r="BL33" t="s">
        <v>1260</v>
      </c>
    </row>
    <row r="34" spans="1:64">
      <c r="A34" s="30"/>
      <c r="B34" s="30">
        <v>42800.522222222222</v>
      </c>
      <c r="C34" t="s">
        <v>1123</v>
      </c>
      <c r="D34" t="s">
        <v>1124</v>
      </c>
      <c r="E34" t="s">
        <v>1125</v>
      </c>
      <c r="F34" t="s">
        <v>172</v>
      </c>
      <c r="G34" t="s">
        <v>170</v>
      </c>
      <c r="H34" s="21" t="s">
        <v>94</v>
      </c>
      <c r="I34" s="87">
        <v>0</v>
      </c>
      <c r="J34" s="87">
        <v>0</v>
      </c>
      <c r="K34" t="s">
        <v>1126</v>
      </c>
      <c r="L34" t="s">
        <v>596</v>
      </c>
      <c r="M34" t="s">
        <v>264</v>
      </c>
      <c r="N34" t="str">
        <f>IF(SUM(ckCodingTable[[#This Row],[NfmlPIs]:[NnonWhtAsnPIs]])&gt;0,"WMD","")</f>
        <v/>
      </c>
      <c r="O34" t="b">
        <f>_xlfn.XOR(IFERROR(MATCH(ckCodingTable[[#This Row],[st_code]],EpscorTable[],0)&gt;0,FALSE),IFERROR(FIND("9150",ckCodingTable[[#This Row],[propPRCs]])&gt;0,FALSE))</f>
        <v>0</v>
      </c>
      <c r="P34" s="21" t="b">
        <f>_xlfn.XOR(ckCodingTable[[#This Row],[wmd]]&lt;&gt;"",IFERROR(FIND("9102",ckCodingTable[[#This Row],[propPRCs]])&gt;0,FALSE))</f>
        <v>0</v>
      </c>
      <c r="S34" s="21">
        <f>S33+(ckCodingTable[[#This Row],[ILN]]&lt;"M")</f>
        <v>11</v>
      </c>
      <c r="T34" s="21" t="s">
        <v>450</v>
      </c>
      <c r="U34" t="s">
        <v>696</v>
      </c>
      <c r="V34" s="7" t="str">
        <f>HYPERLINK("https://www.ejacket.nsf.gov/ej/showProposal.do?ID="&amp;ckCodingTable[[#This Row],[prop_id]],"eJ")</f>
        <v>eJ</v>
      </c>
      <c r="W34" t="s">
        <v>1127</v>
      </c>
      <c r="X34" t="s">
        <v>1261</v>
      </c>
      <c r="Y34" t="s">
        <v>1262</v>
      </c>
      <c r="Z34" t="s">
        <v>1263</v>
      </c>
      <c r="AA34" t="s">
        <v>1264</v>
      </c>
      <c r="AC34" s="30">
        <v>43009</v>
      </c>
      <c r="AD34">
        <v>48</v>
      </c>
      <c r="AJ34" s="26"/>
      <c r="AK34" s="22"/>
      <c r="AL34"/>
      <c r="AS34" t="s">
        <v>173</v>
      </c>
      <c r="AT34" t="s">
        <v>1259</v>
      </c>
      <c r="AU34" t="b">
        <f>IF(ckCodingTable[[#This Row],[ILN]]="N",SUBSTITUTE(AT33," ","")&lt;&gt;SUBSTITUTE(ckCodingTable[[#This Row],[prop_titl_txt]]," ",""), FALSE)</f>
        <v>0</v>
      </c>
      <c r="AV34">
        <v>0</v>
      </c>
      <c r="AW34" s="13">
        <v>900000</v>
      </c>
      <c r="AX34" s="13">
        <v>900000</v>
      </c>
      <c r="AY34" s="13"/>
      <c r="AZ34" s="13"/>
      <c r="BA34" s="13"/>
      <c r="BB34" s="13"/>
      <c r="BC34">
        <v>4</v>
      </c>
      <c r="BD34">
        <v>8</v>
      </c>
      <c r="BG34">
        <v>14.4</v>
      </c>
      <c r="BH34">
        <v>0</v>
      </c>
      <c r="BI34">
        <v>0</v>
      </c>
      <c r="BJ34">
        <v>0</v>
      </c>
      <c r="BK34">
        <v>0</v>
      </c>
      <c r="BL34" t="s">
        <v>1265</v>
      </c>
    </row>
    <row r="35" spans="1:64">
      <c r="A35" s="30"/>
      <c r="B35" s="30">
        <v>42800.665277777778</v>
      </c>
      <c r="C35" t="s">
        <v>1123</v>
      </c>
      <c r="D35" t="s">
        <v>1124</v>
      </c>
      <c r="E35" t="s">
        <v>1125</v>
      </c>
      <c r="F35" t="s">
        <v>172</v>
      </c>
      <c r="G35" t="s">
        <v>170</v>
      </c>
      <c r="H35" s="21" t="s">
        <v>94</v>
      </c>
      <c r="I35" s="87">
        <v>0</v>
      </c>
      <c r="J35" s="87">
        <v>0</v>
      </c>
      <c r="K35" t="s">
        <v>1126</v>
      </c>
      <c r="L35" t="s">
        <v>596</v>
      </c>
      <c r="M35" t="s">
        <v>264</v>
      </c>
      <c r="N35" t="str">
        <f>IF(SUM(ckCodingTable[[#This Row],[NfmlPIs]:[NnonWhtAsnPIs]])&gt;0,"WMD","")</f>
        <v>WMD</v>
      </c>
      <c r="O35" t="b">
        <f>_xlfn.XOR(IFERROR(MATCH(ckCodingTable[[#This Row],[st_code]],EpscorTable[],0)&gt;0,FALSE),IFERROR(FIND("9150",ckCodingTable[[#This Row],[propPRCs]])&gt;0,FALSE))</f>
        <v>0</v>
      </c>
      <c r="P35" s="21" t="b">
        <f>_xlfn.XOR(ckCodingTable[[#This Row],[wmd]]&lt;&gt;"",IFERROR(FIND("9102",ckCodingTable[[#This Row],[propPRCs]])&gt;0,FALSE))</f>
        <v>1</v>
      </c>
      <c r="S35" s="21">
        <f>S34+(ckCodingTable[[#This Row],[ILN]]&lt;"M")</f>
        <v>11</v>
      </c>
      <c r="T35" s="21" t="s">
        <v>450</v>
      </c>
      <c r="U35" t="s">
        <v>696</v>
      </c>
      <c r="V35" s="7" t="str">
        <f>HYPERLINK("https://www.ejacket.nsf.gov/ej/showProposal.do?ID="&amp;ckCodingTable[[#This Row],[prop_id]],"eJ")</f>
        <v>eJ</v>
      </c>
      <c r="W35" t="s">
        <v>1127</v>
      </c>
      <c r="X35" t="s">
        <v>1266</v>
      </c>
      <c r="Y35" t="s">
        <v>1267</v>
      </c>
      <c r="Z35" t="s">
        <v>1268</v>
      </c>
      <c r="AA35" t="s">
        <v>1269</v>
      </c>
      <c r="AC35" s="30">
        <v>43009</v>
      </c>
      <c r="AD35">
        <v>48</v>
      </c>
      <c r="AJ35" s="26"/>
      <c r="AK35" s="22"/>
      <c r="AL35"/>
      <c r="AS35" t="s">
        <v>173</v>
      </c>
      <c r="AT35" t="s">
        <v>1259</v>
      </c>
      <c r="AU35" t="b">
        <f>IF(ckCodingTable[[#This Row],[ILN]]="N",SUBSTITUTE(AT34," ","")&lt;&gt;SUBSTITUTE(ckCodingTable[[#This Row],[prop_titl_txt]]," ",""), FALSE)</f>
        <v>0</v>
      </c>
      <c r="AV35">
        <v>0</v>
      </c>
      <c r="AW35" s="13">
        <v>798300</v>
      </c>
      <c r="AX35" s="13">
        <v>798300</v>
      </c>
      <c r="AY35" s="13"/>
      <c r="AZ35" s="13"/>
      <c r="BA35" s="13"/>
      <c r="BB35" s="13"/>
      <c r="BC35">
        <v>8</v>
      </c>
      <c r="BD35">
        <v>8</v>
      </c>
      <c r="BG35">
        <v>11</v>
      </c>
      <c r="BH35">
        <v>2</v>
      </c>
      <c r="BI35">
        <v>0</v>
      </c>
      <c r="BJ35">
        <v>0</v>
      </c>
      <c r="BK35">
        <v>0</v>
      </c>
      <c r="BL35" t="s">
        <v>1270</v>
      </c>
    </row>
    <row r="36" spans="1:64">
      <c r="A36" s="30"/>
      <c r="B36" s="30">
        <v>42926.695833333331</v>
      </c>
      <c r="C36" t="s">
        <v>248</v>
      </c>
      <c r="D36" t="s">
        <v>1124</v>
      </c>
      <c r="E36" t="s">
        <v>1125</v>
      </c>
      <c r="F36" t="s">
        <v>172</v>
      </c>
      <c r="G36" t="s">
        <v>170</v>
      </c>
      <c r="H36" s="21" t="s">
        <v>94</v>
      </c>
      <c r="I36" s="87">
        <v>1</v>
      </c>
      <c r="J36" s="87">
        <v>0</v>
      </c>
      <c r="K36" t="s">
        <v>1271</v>
      </c>
      <c r="L36" t="s">
        <v>596</v>
      </c>
      <c r="M36" t="s">
        <v>267</v>
      </c>
      <c r="N36" t="str">
        <f>IF(SUM(ckCodingTable[[#This Row],[NfmlPIs]:[NnonWhtAsnPIs]])&gt;0,"WMD","")</f>
        <v/>
      </c>
      <c r="O36" t="b">
        <f>_xlfn.XOR(IFERROR(MATCH(ckCodingTable[[#This Row],[st_code]],EpscorTable[],0)&gt;0,FALSE),IFERROR(FIND("9150",ckCodingTable[[#This Row],[propPRCs]])&gt;0,FALSE))</f>
        <v>0</v>
      </c>
      <c r="P36" s="21" t="b">
        <f>_xlfn.XOR(ckCodingTable[[#This Row],[wmd]]&lt;&gt;"",IFERROR(FIND("9102",ckCodingTable[[#This Row],[propPRCs]])&gt;0,FALSE))</f>
        <v>0</v>
      </c>
      <c r="Q36" t="s">
        <v>256</v>
      </c>
      <c r="S36" s="21">
        <f>S35+(ckCodingTable[[#This Row],[ILN]]&lt;"M")</f>
        <v>12</v>
      </c>
      <c r="T36" s="21" t="s">
        <v>96</v>
      </c>
      <c r="U36" t="s">
        <v>703</v>
      </c>
      <c r="V36" s="7" t="str">
        <f>HYPERLINK("https://www.ejacket.nsf.gov/ej/showProposal.do?ID="&amp;ckCodingTable[[#This Row],[prop_id]],"eJ")</f>
        <v>eJ</v>
      </c>
      <c r="W36" t="s">
        <v>1127</v>
      </c>
      <c r="X36" t="s">
        <v>703</v>
      </c>
      <c r="Y36" t="s">
        <v>704</v>
      </c>
      <c r="Z36" t="s">
        <v>1173</v>
      </c>
      <c r="AA36" t="s">
        <v>475</v>
      </c>
      <c r="AC36" s="30">
        <v>43101</v>
      </c>
      <c r="AD36">
        <v>60</v>
      </c>
      <c r="AE36">
        <v>1</v>
      </c>
      <c r="AF36">
        <v>1</v>
      </c>
      <c r="AH36" s="21">
        <v>2.06</v>
      </c>
      <c r="AI36" t="s">
        <v>1272</v>
      </c>
      <c r="AJ36" s="26">
        <v>5.75</v>
      </c>
      <c r="AK36" s="22">
        <v>43041.734027777777</v>
      </c>
      <c r="AL36">
        <v>4</v>
      </c>
      <c r="AN36">
        <v>4</v>
      </c>
      <c r="AS36" t="s">
        <v>173</v>
      </c>
      <c r="AT36" t="s">
        <v>1273</v>
      </c>
      <c r="AU36" t="b">
        <f>IF(ckCodingTable[[#This Row],[ILN]]="N",SUBSTITUTE(AT35," ","")&lt;&gt;SUBSTITUTE(ckCodingTable[[#This Row],[prop_titl_txt]]," ",""), FALSE)</f>
        <v>0</v>
      </c>
      <c r="AV36">
        <v>0</v>
      </c>
      <c r="AW36" s="13">
        <v>500409</v>
      </c>
      <c r="AX36" s="13">
        <v>500409</v>
      </c>
      <c r="AY36" s="13"/>
      <c r="AZ36" s="13"/>
      <c r="BA36" s="13"/>
      <c r="BB36" s="13"/>
      <c r="BC36">
        <v>5</v>
      </c>
      <c r="BD36">
        <v>5</v>
      </c>
      <c r="BG36">
        <v>2.5</v>
      </c>
      <c r="BH36">
        <v>0</v>
      </c>
      <c r="BI36">
        <v>0</v>
      </c>
      <c r="BJ36">
        <v>0</v>
      </c>
      <c r="BK36">
        <v>0</v>
      </c>
      <c r="BL36" t="s">
        <v>1174</v>
      </c>
    </row>
    <row r="37" spans="1:64">
      <c r="A37" s="30"/>
      <c r="B37" s="30">
        <v>42930.439583333333</v>
      </c>
      <c r="C37" t="s">
        <v>248</v>
      </c>
      <c r="D37" t="s">
        <v>1124</v>
      </c>
      <c r="E37" t="s">
        <v>1125</v>
      </c>
      <c r="F37" t="s">
        <v>172</v>
      </c>
      <c r="G37" t="s">
        <v>170</v>
      </c>
      <c r="H37" s="21" t="s">
        <v>94</v>
      </c>
      <c r="I37" s="87">
        <v>1</v>
      </c>
      <c r="J37" s="87">
        <v>0</v>
      </c>
      <c r="K37" t="s">
        <v>1271</v>
      </c>
      <c r="L37" t="s">
        <v>596</v>
      </c>
      <c r="M37" t="s">
        <v>117</v>
      </c>
      <c r="N37" t="str">
        <f>IF(SUM(ckCodingTable[[#This Row],[NfmlPIs]:[NnonWhtAsnPIs]])&gt;0,"WMD","")</f>
        <v/>
      </c>
      <c r="O37" t="b">
        <f>_xlfn.XOR(IFERROR(MATCH(ckCodingTable[[#This Row],[st_code]],EpscorTable[],0)&gt;0,FALSE),IFERROR(FIND("9150",ckCodingTable[[#This Row],[propPRCs]])&gt;0,FALSE))</f>
        <v>0</v>
      </c>
      <c r="P37" s="21" t="b">
        <f>_xlfn.XOR(ckCodingTable[[#This Row],[wmd]]&lt;&gt;"",IFERROR(FIND("9102",ckCodingTable[[#This Row],[propPRCs]])&gt;0,FALSE))</f>
        <v>0</v>
      </c>
      <c r="Q37" t="s">
        <v>1274</v>
      </c>
      <c r="S37" s="21">
        <f>S36+(ckCodingTable[[#This Row],[ILN]]&lt;"M")</f>
        <v>13</v>
      </c>
      <c r="T37" s="21" t="s">
        <v>96</v>
      </c>
      <c r="U37" t="s">
        <v>728</v>
      </c>
      <c r="V37" s="7" t="str">
        <f>HYPERLINK("https://www.ejacket.nsf.gov/ej/showProposal.do?ID="&amp;ckCodingTable[[#This Row],[prop_id]],"eJ")</f>
        <v>eJ</v>
      </c>
      <c r="W37" t="s">
        <v>1127</v>
      </c>
      <c r="X37" t="s">
        <v>728</v>
      </c>
      <c r="Y37" t="s">
        <v>729</v>
      </c>
      <c r="Z37" t="s">
        <v>1275</v>
      </c>
      <c r="AA37" t="s">
        <v>1276</v>
      </c>
      <c r="AC37" s="30">
        <v>43132</v>
      </c>
      <c r="AD37">
        <v>60</v>
      </c>
      <c r="AE37">
        <v>1</v>
      </c>
      <c r="AF37">
        <v>1</v>
      </c>
      <c r="AH37" s="21">
        <v>3</v>
      </c>
      <c r="AI37" t="s">
        <v>366</v>
      </c>
      <c r="AJ37" s="26">
        <v>5.5</v>
      </c>
      <c r="AK37" s="22">
        <v>43041.597916666666</v>
      </c>
      <c r="AL37">
        <v>4</v>
      </c>
      <c r="AN37">
        <v>4</v>
      </c>
      <c r="AS37" t="s">
        <v>173</v>
      </c>
      <c r="AT37" t="s">
        <v>1277</v>
      </c>
      <c r="AU37" t="b">
        <f>IF(ckCodingTable[[#This Row],[ILN]]="N",SUBSTITUTE(AT36," ","")&lt;&gt;SUBSTITUTE(ckCodingTable[[#This Row],[prop_titl_txt]]," ",""), FALSE)</f>
        <v>0</v>
      </c>
      <c r="AV37">
        <v>0</v>
      </c>
      <c r="AW37" s="13">
        <v>504542</v>
      </c>
      <c r="AX37" s="13">
        <v>504542</v>
      </c>
      <c r="AY37" s="13"/>
      <c r="AZ37" s="13"/>
      <c r="BA37" s="13"/>
      <c r="BB37" s="13">
        <v>10000</v>
      </c>
      <c r="BC37">
        <v>10</v>
      </c>
      <c r="BD37">
        <v>5</v>
      </c>
      <c r="BE37">
        <v>5</v>
      </c>
      <c r="BH37">
        <v>0</v>
      </c>
      <c r="BI37">
        <v>0</v>
      </c>
      <c r="BJ37">
        <v>0</v>
      </c>
      <c r="BK37">
        <v>0</v>
      </c>
      <c r="BL37" t="s">
        <v>1278</v>
      </c>
    </row>
    <row r="38" spans="1:64">
      <c r="A38" s="30"/>
      <c r="B38" s="30">
        <v>42935.324999999997</v>
      </c>
      <c r="C38" t="s">
        <v>248</v>
      </c>
      <c r="D38" t="s">
        <v>1124</v>
      </c>
      <c r="E38" t="s">
        <v>1125</v>
      </c>
      <c r="F38" t="s">
        <v>172</v>
      </c>
      <c r="G38" t="s">
        <v>170</v>
      </c>
      <c r="H38" s="21" t="s">
        <v>94</v>
      </c>
      <c r="I38" s="87">
        <v>1</v>
      </c>
      <c r="J38" s="87">
        <v>0</v>
      </c>
      <c r="K38" t="s">
        <v>1271</v>
      </c>
      <c r="L38" t="s">
        <v>596</v>
      </c>
      <c r="M38" t="s">
        <v>267</v>
      </c>
      <c r="N38" t="str">
        <f>IF(SUM(ckCodingTable[[#This Row],[NfmlPIs]:[NnonWhtAsnPIs]])&gt;0,"WMD","")</f>
        <v>WMD</v>
      </c>
      <c r="O38" t="b">
        <f>_xlfn.XOR(IFERROR(MATCH(ckCodingTable[[#This Row],[st_code]],EpscorTable[],0)&gt;0,FALSE),IFERROR(FIND("9150",ckCodingTable[[#This Row],[propPRCs]])&gt;0,FALSE))</f>
        <v>0</v>
      </c>
      <c r="P38" s="21" t="b">
        <f>_xlfn.XOR(ckCodingTable[[#This Row],[wmd]]&lt;&gt;"",IFERROR(FIND("9102",ckCodingTable[[#This Row],[propPRCs]])&gt;0,FALSE))</f>
        <v>1</v>
      </c>
      <c r="Q38" t="s">
        <v>256</v>
      </c>
      <c r="S38" s="21">
        <f>S37+(ckCodingTable[[#This Row],[ILN]]&lt;"M")</f>
        <v>14</v>
      </c>
      <c r="T38" s="21" t="s">
        <v>96</v>
      </c>
      <c r="U38" t="s">
        <v>741</v>
      </c>
      <c r="V38" s="7" t="str">
        <f>HYPERLINK("https://www.ejacket.nsf.gov/ej/showProposal.do?ID="&amp;ckCodingTable[[#This Row],[prop_id]],"eJ")</f>
        <v>eJ</v>
      </c>
      <c r="W38" t="s">
        <v>1127</v>
      </c>
      <c r="X38" t="s">
        <v>741</v>
      </c>
      <c r="Y38" t="s">
        <v>742</v>
      </c>
      <c r="Z38" t="s">
        <v>1279</v>
      </c>
      <c r="AA38" t="s">
        <v>475</v>
      </c>
      <c r="AC38" s="30">
        <v>43344</v>
      </c>
      <c r="AD38">
        <v>60</v>
      </c>
      <c r="AE38">
        <v>1</v>
      </c>
      <c r="AF38">
        <v>1</v>
      </c>
      <c r="AH38" s="21">
        <v>2.02</v>
      </c>
      <c r="AI38" t="s">
        <v>1280</v>
      </c>
      <c r="AJ38" s="26">
        <v>6</v>
      </c>
      <c r="AK38" s="22">
        <v>43042.363888888889</v>
      </c>
      <c r="AL38">
        <v>4</v>
      </c>
      <c r="AN38">
        <v>4</v>
      </c>
      <c r="AS38" t="s">
        <v>173</v>
      </c>
      <c r="AT38" t="s">
        <v>1281</v>
      </c>
      <c r="AU38" t="b">
        <f>IF(ckCodingTable[[#This Row],[ILN]]="N",SUBSTITUTE(AT37," ","")&lt;&gt;SUBSTITUTE(ckCodingTable[[#This Row],[prop_titl_txt]]," ",""), FALSE)</f>
        <v>0</v>
      </c>
      <c r="AV38">
        <v>0</v>
      </c>
      <c r="AW38" s="13">
        <v>634696</v>
      </c>
      <c r="AX38" s="13">
        <v>634696</v>
      </c>
      <c r="AY38" s="13"/>
      <c r="AZ38" s="13">
        <v>25000</v>
      </c>
      <c r="BA38" s="13"/>
      <c r="BB38" s="13">
        <v>1000</v>
      </c>
      <c r="BC38">
        <v>5</v>
      </c>
      <c r="BD38">
        <v>5</v>
      </c>
      <c r="BE38">
        <v>5</v>
      </c>
      <c r="BH38">
        <v>1</v>
      </c>
      <c r="BI38">
        <v>1</v>
      </c>
      <c r="BJ38">
        <v>0</v>
      </c>
      <c r="BK38">
        <v>0</v>
      </c>
      <c r="BL38" t="s">
        <v>1282</v>
      </c>
    </row>
    <row r="39" spans="1:64">
      <c r="A39" s="30"/>
      <c r="B39" s="30">
        <v>42935.45</v>
      </c>
      <c r="C39" t="s">
        <v>248</v>
      </c>
      <c r="D39" t="s">
        <v>1124</v>
      </c>
      <c r="E39" t="s">
        <v>1125</v>
      </c>
      <c r="F39" t="s">
        <v>172</v>
      </c>
      <c r="G39" t="s">
        <v>170</v>
      </c>
      <c r="H39" s="21" t="s">
        <v>94</v>
      </c>
      <c r="I39" s="87">
        <v>1</v>
      </c>
      <c r="J39" s="87">
        <v>0</v>
      </c>
      <c r="K39" t="s">
        <v>1271</v>
      </c>
      <c r="L39" t="s">
        <v>596</v>
      </c>
      <c r="M39" t="s">
        <v>368</v>
      </c>
      <c r="N39" t="str">
        <f>IF(SUM(ckCodingTable[[#This Row],[NfmlPIs]:[NnonWhtAsnPIs]])&gt;0,"WMD","")</f>
        <v/>
      </c>
      <c r="O39" t="b">
        <f>_xlfn.XOR(IFERROR(MATCH(ckCodingTable[[#This Row],[st_code]],EpscorTable[],0)&gt;0,FALSE),IFERROR(FIND("9150",ckCodingTable[[#This Row],[propPRCs]])&gt;0,FALSE))</f>
        <v>0</v>
      </c>
      <c r="P39" s="21" t="b">
        <f>_xlfn.XOR(ckCodingTable[[#This Row],[wmd]]&lt;&gt;"",IFERROR(FIND("9102",ckCodingTable[[#This Row],[propPRCs]])&gt;0,FALSE))</f>
        <v>0</v>
      </c>
      <c r="Q39" t="s">
        <v>256</v>
      </c>
      <c r="S39" s="21">
        <f>S38+(ckCodingTable[[#This Row],[ILN]]&lt;"M")</f>
        <v>15</v>
      </c>
      <c r="T39" s="21" t="s">
        <v>96</v>
      </c>
      <c r="U39" t="s">
        <v>758</v>
      </c>
      <c r="V39" s="7" t="str">
        <f>HYPERLINK("https://www.ejacket.nsf.gov/ej/showProposal.do?ID="&amp;ckCodingTable[[#This Row],[prop_id]],"eJ")</f>
        <v>eJ</v>
      </c>
      <c r="W39" t="s">
        <v>1127</v>
      </c>
      <c r="X39" t="s">
        <v>758</v>
      </c>
      <c r="Y39" t="s">
        <v>457</v>
      </c>
      <c r="Z39" t="s">
        <v>1283</v>
      </c>
      <c r="AA39" t="s">
        <v>1284</v>
      </c>
      <c r="AC39" s="30">
        <v>43101</v>
      </c>
      <c r="AD39">
        <v>60</v>
      </c>
      <c r="AE39">
        <v>1</v>
      </c>
      <c r="AF39">
        <v>1</v>
      </c>
      <c r="AH39" s="21">
        <v>4</v>
      </c>
      <c r="AI39" t="s">
        <v>1285</v>
      </c>
      <c r="AJ39" s="26">
        <v>2.5</v>
      </c>
      <c r="AK39" s="22">
        <v>43041.461111111108</v>
      </c>
      <c r="AL39">
        <v>4</v>
      </c>
      <c r="AN39">
        <v>4</v>
      </c>
      <c r="AS39" t="s">
        <v>173</v>
      </c>
      <c r="AT39" t="s">
        <v>1286</v>
      </c>
      <c r="AU39" t="b">
        <f>IF(ckCodingTable[[#This Row],[ILN]]="N",SUBSTITUTE(AT38," ","")&lt;&gt;SUBSTITUTE(ckCodingTable[[#This Row],[prop_titl_txt]]," ",""), FALSE)</f>
        <v>0</v>
      </c>
      <c r="AV39">
        <v>0</v>
      </c>
      <c r="AW39" s="13">
        <v>792792</v>
      </c>
      <c r="AX39" s="13">
        <v>792792</v>
      </c>
      <c r="AY39" s="13"/>
      <c r="AZ39" s="13"/>
      <c r="BA39" s="13"/>
      <c r="BB39" s="13"/>
      <c r="BC39">
        <v>15</v>
      </c>
      <c r="BD39">
        <v>5</v>
      </c>
      <c r="BE39">
        <v>10</v>
      </c>
      <c r="BH39">
        <v>0</v>
      </c>
      <c r="BI39">
        <v>0</v>
      </c>
      <c r="BJ39">
        <v>0</v>
      </c>
      <c r="BK39">
        <v>0</v>
      </c>
      <c r="BL39" t="s">
        <v>1287</v>
      </c>
    </row>
    <row r="40" spans="1:64">
      <c r="A40" s="30"/>
      <c r="B40" s="30">
        <v>42935.465277777781</v>
      </c>
      <c r="C40" t="s">
        <v>248</v>
      </c>
      <c r="D40" t="s">
        <v>1124</v>
      </c>
      <c r="E40" t="s">
        <v>1125</v>
      </c>
      <c r="F40" t="s">
        <v>172</v>
      </c>
      <c r="G40" t="s">
        <v>170</v>
      </c>
      <c r="H40" s="21" t="s">
        <v>94</v>
      </c>
      <c r="I40" s="87">
        <v>1</v>
      </c>
      <c r="J40" s="87">
        <v>0</v>
      </c>
      <c r="K40" t="s">
        <v>1271</v>
      </c>
      <c r="L40" t="s">
        <v>596</v>
      </c>
      <c r="M40" t="s">
        <v>362</v>
      </c>
      <c r="N40" t="str">
        <f>IF(SUM(ckCodingTable[[#This Row],[NfmlPIs]:[NnonWhtAsnPIs]])&gt;0,"WMD","")</f>
        <v/>
      </c>
      <c r="O40" t="b">
        <f>_xlfn.XOR(IFERROR(MATCH(ckCodingTable[[#This Row],[st_code]],EpscorTable[],0)&gt;0,FALSE),IFERROR(FIND("9150",ckCodingTable[[#This Row],[propPRCs]])&gt;0,FALSE))</f>
        <v>0</v>
      </c>
      <c r="P40" s="21" t="b">
        <f>_xlfn.XOR(ckCodingTable[[#This Row],[wmd]]&lt;&gt;"",IFERROR(FIND("9102",ckCodingTable[[#This Row],[propPRCs]])&gt;0,FALSE))</f>
        <v>0</v>
      </c>
      <c r="Q40" t="s">
        <v>256</v>
      </c>
      <c r="R40" s="22">
        <v>43048.618194444447</v>
      </c>
      <c r="S40" s="21">
        <f>S39+(ckCodingTable[[#This Row],[ILN]]&lt;"M")</f>
        <v>16</v>
      </c>
      <c r="T40" s="21" t="s">
        <v>96</v>
      </c>
      <c r="U40" t="s">
        <v>765</v>
      </c>
      <c r="V40" s="7" t="str">
        <f>HYPERLINK("https://www.ejacket.nsf.gov/ej/showProposal.do?ID="&amp;ckCodingTable[[#This Row],[prop_id]],"eJ")</f>
        <v>eJ</v>
      </c>
      <c r="W40" t="s">
        <v>1127</v>
      </c>
      <c r="X40" t="s">
        <v>765</v>
      </c>
      <c r="Y40" t="s">
        <v>766</v>
      </c>
      <c r="Z40" t="s">
        <v>1288</v>
      </c>
      <c r="AA40" t="s">
        <v>361</v>
      </c>
      <c r="AC40" s="30">
        <v>43235</v>
      </c>
      <c r="AD40">
        <v>60</v>
      </c>
      <c r="AE40">
        <v>2</v>
      </c>
      <c r="AF40">
        <v>1</v>
      </c>
      <c r="AH40" s="21">
        <v>0</v>
      </c>
      <c r="AI40" t="s">
        <v>1289</v>
      </c>
      <c r="AJ40" s="26">
        <v>4.25</v>
      </c>
      <c r="AK40" s="22">
        <v>43041.009722222225</v>
      </c>
      <c r="AL40">
        <v>8</v>
      </c>
      <c r="AN40">
        <v>8</v>
      </c>
      <c r="AO40">
        <v>1</v>
      </c>
      <c r="AS40" t="s">
        <v>173</v>
      </c>
      <c r="AT40" t="s">
        <v>1290</v>
      </c>
      <c r="AU40" t="b">
        <f>IF(ckCodingTable[[#This Row],[ILN]]="N",SUBSTITUTE(AT39," ","")&lt;&gt;SUBSTITUTE(ckCodingTable[[#This Row],[prop_titl_txt]]," ",""), FALSE)</f>
        <v>0</v>
      </c>
      <c r="AV40">
        <v>0</v>
      </c>
      <c r="AW40" s="13">
        <v>500000</v>
      </c>
      <c r="AX40" s="13">
        <v>500000</v>
      </c>
      <c r="AY40" s="13"/>
      <c r="AZ40" s="13"/>
      <c r="BA40" s="13"/>
      <c r="BB40" s="13"/>
      <c r="BC40">
        <v>10</v>
      </c>
      <c r="BD40">
        <v>5</v>
      </c>
      <c r="BE40">
        <v>2.25</v>
      </c>
      <c r="BF40">
        <v>1.2</v>
      </c>
      <c r="BH40">
        <v>0</v>
      </c>
      <c r="BI40">
        <v>0</v>
      </c>
      <c r="BJ40">
        <v>0</v>
      </c>
      <c r="BK40">
        <v>0</v>
      </c>
      <c r="BL40" t="s">
        <v>1291</v>
      </c>
    </row>
    <row r="41" spans="1:64">
      <c r="A41" s="30"/>
      <c r="B41" s="30">
        <v>42935.527777777781</v>
      </c>
      <c r="C41" t="s">
        <v>248</v>
      </c>
      <c r="D41" t="s">
        <v>1124</v>
      </c>
      <c r="E41" t="s">
        <v>1125</v>
      </c>
      <c r="F41" t="s">
        <v>172</v>
      </c>
      <c r="G41" t="s">
        <v>170</v>
      </c>
      <c r="H41" s="21" t="s">
        <v>94</v>
      </c>
      <c r="I41" s="87">
        <v>1</v>
      </c>
      <c r="J41" s="87">
        <v>0</v>
      </c>
      <c r="K41" t="s">
        <v>1271</v>
      </c>
      <c r="L41" t="s">
        <v>596</v>
      </c>
      <c r="M41" t="s">
        <v>362</v>
      </c>
      <c r="N41" t="str">
        <f>IF(SUM(ckCodingTable[[#This Row],[NfmlPIs]:[NnonWhtAsnPIs]])&gt;0,"WMD","")</f>
        <v/>
      </c>
      <c r="O41" t="b">
        <f>_xlfn.XOR(IFERROR(MATCH(ckCodingTable[[#This Row],[st_code]],EpscorTable[],0)&gt;0,FALSE),IFERROR(FIND("9150",ckCodingTable[[#This Row],[propPRCs]])&gt;0,FALSE))</f>
        <v>0</v>
      </c>
      <c r="P41" s="21" t="b">
        <f>_xlfn.XOR(ckCodingTable[[#This Row],[wmd]]&lt;&gt;"",IFERROR(FIND("9102",ckCodingTable[[#This Row],[propPRCs]])&gt;0,FALSE))</f>
        <v>0</v>
      </c>
      <c r="Q41" t="s">
        <v>256</v>
      </c>
      <c r="S41" s="21">
        <f>S40+(ckCodingTable[[#This Row],[ILN]]&lt;"M")</f>
        <v>17</v>
      </c>
      <c r="T41" s="21" t="s">
        <v>96</v>
      </c>
      <c r="U41" t="s">
        <v>793</v>
      </c>
      <c r="V41" s="7" t="str">
        <f>HYPERLINK("https://www.ejacket.nsf.gov/ej/showProposal.do?ID="&amp;ckCodingTable[[#This Row],[prop_id]],"eJ")</f>
        <v>eJ</v>
      </c>
      <c r="W41" t="s">
        <v>1127</v>
      </c>
      <c r="X41" t="s">
        <v>793</v>
      </c>
      <c r="Y41" t="s">
        <v>794</v>
      </c>
      <c r="Z41" t="s">
        <v>1292</v>
      </c>
      <c r="AA41" t="s">
        <v>361</v>
      </c>
      <c r="AC41" s="30">
        <v>43101</v>
      </c>
      <c r="AD41">
        <v>60</v>
      </c>
      <c r="AE41">
        <v>1</v>
      </c>
      <c r="AF41">
        <v>1</v>
      </c>
      <c r="AH41" s="21">
        <v>3</v>
      </c>
      <c r="AI41" t="s">
        <v>364</v>
      </c>
      <c r="AJ41" s="26">
        <v>4.75</v>
      </c>
      <c r="AK41" s="22">
        <v>43042.438194444447</v>
      </c>
      <c r="AL41">
        <v>4</v>
      </c>
      <c r="AN41">
        <v>4</v>
      </c>
      <c r="AS41" t="s">
        <v>173</v>
      </c>
      <c r="AT41" t="s">
        <v>1293</v>
      </c>
      <c r="AU41" t="b">
        <f>IF(ckCodingTable[[#This Row],[ILN]]="N",SUBSTITUTE(AT40," ","")&lt;&gt;SUBSTITUTE(ckCodingTable[[#This Row],[prop_titl_txt]]," ",""), FALSE)</f>
        <v>0</v>
      </c>
      <c r="AV41">
        <v>0</v>
      </c>
      <c r="AW41" s="13">
        <v>499449</v>
      </c>
      <c r="AX41" s="13">
        <v>499449</v>
      </c>
      <c r="AY41" s="13"/>
      <c r="AZ41" s="13"/>
      <c r="BA41" s="13"/>
      <c r="BB41" s="13">
        <v>6000</v>
      </c>
      <c r="BC41">
        <v>5</v>
      </c>
      <c r="BD41">
        <v>5</v>
      </c>
      <c r="BE41">
        <v>5</v>
      </c>
      <c r="BF41">
        <v>1.35</v>
      </c>
      <c r="BH41">
        <v>0</v>
      </c>
      <c r="BI41">
        <v>0</v>
      </c>
      <c r="BJ41">
        <v>0</v>
      </c>
      <c r="BK41">
        <v>0</v>
      </c>
      <c r="BL41" t="s">
        <v>1294</v>
      </c>
    </row>
    <row r="42" spans="1:64">
      <c r="A42" s="30"/>
      <c r="B42" s="30">
        <v>42935.531944444447</v>
      </c>
      <c r="C42" t="s">
        <v>248</v>
      </c>
      <c r="D42" t="s">
        <v>1124</v>
      </c>
      <c r="E42" t="s">
        <v>1125</v>
      </c>
      <c r="F42" t="s">
        <v>172</v>
      </c>
      <c r="G42" t="s">
        <v>170</v>
      </c>
      <c r="H42" s="21" t="s">
        <v>94</v>
      </c>
      <c r="I42" s="87">
        <v>1</v>
      </c>
      <c r="J42" s="87">
        <v>0</v>
      </c>
      <c r="K42" t="s">
        <v>1271</v>
      </c>
      <c r="L42" t="s">
        <v>596</v>
      </c>
      <c r="M42" t="s">
        <v>265</v>
      </c>
      <c r="N42" t="str">
        <f>IF(SUM(ckCodingTable[[#This Row],[NfmlPIs]:[NnonWhtAsnPIs]])&gt;0,"WMD","")</f>
        <v/>
      </c>
      <c r="O42" t="b">
        <f>_xlfn.XOR(IFERROR(MATCH(ckCodingTable[[#This Row],[st_code]],EpscorTable[],0)&gt;0,FALSE),IFERROR(FIND("9150",ckCodingTable[[#This Row],[propPRCs]])&gt;0,FALSE))</f>
        <v>0</v>
      </c>
      <c r="P42" s="21" t="b">
        <f>_xlfn.XOR(ckCodingTable[[#This Row],[wmd]]&lt;&gt;"",IFERROR(FIND("9102",ckCodingTable[[#This Row],[propPRCs]])&gt;0,FALSE))</f>
        <v>0</v>
      </c>
      <c r="Q42" t="s">
        <v>256</v>
      </c>
      <c r="S42" s="21">
        <f>S41+(ckCodingTable[[#This Row],[ILN]]&lt;"M")</f>
        <v>18</v>
      </c>
      <c r="T42" s="21" t="s">
        <v>96</v>
      </c>
      <c r="U42" t="s">
        <v>800</v>
      </c>
      <c r="V42" s="7" t="str">
        <f>HYPERLINK("https://www.ejacket.nsf.gov/ej/showProposal.do?ID="&amp;ckCodingTable[[#This Row],[prop_id]],"eJ")</f>
        <v>eJ</v>
      </c>
      <c r="W42" t="s">
        <v>1127</v>
      </c>
      <c r="X42" t="s">
        <v>800</v>
      </c>
      <c r="Y42" t="s">
        <v>354</v>
      </c>
      <c r="Z42" t="s">
        <v>1295</v>
      </c>
      <c r="AA42" t="s">
        <v>1152</v>
      </c>
      <c r="AC42" s="30">
        <v>43282</v>
      </c>
      <c r="AD42">
        <v>60</v>
      </c>
      <c r="AE42">
        <v>1</v>
      </c>
      <c r="AF42">
        <v>1</v>
      </c>
      <c r="AH42" s="21">
        <v>3</v>
      </c>
      <c r="AI42" t="s">
        <v>355</v>
      </c>
      <c r="AJ42" s="26">
        <v>5.25</v>
      </c>
      <c r="AK42" s="22">
        <v>43041.432638888888</v>
      </c>
      <c r="AL42">
        <v>4</v>
      </c>
      <c r="AN42">
        <v>4</v>
      </c>
      <c r="AS42" t="s">
        <v>173</v>
      </c>
      <c r="AT42" t="s">
        <v>1296</v>
      </c>
      <c r="AU42" t="b">
        <f>IF(ckCodingTable[[#This Row],[ILN]]="N",SUBSTITUTE(AT41," ","")&lt;&gt;SUBSTITUTE(ckCodingTable[[#This Row],[prop_titl_txt]]," ",""), FALSE)</f>
        <v>0</v>
      </c>
      <c r="AV42">
        <v>0</v>
      </c>
      <c r="AW42" s="13">
        <v>499714</v>
      </c>
      <c r="AX42" s="13">
        <v>499714</v>
      </c>
      <c r="AY42" s="13"/>
      <c r="AZ42" s="13">
        <v>8500</v>
      </c>
      <c r="BA42" s="13"/>
      <c r="BB42" s="13"/>
      <c r="BC42">
        <v>7</v>
      </c>
      <c r="BD42">
        <v>5</v>
      </c>
      <c r="BE42">
        <v>5</v>
      </c>
      <c r="BH42">
        <v>0</v>
      </c>
      <c r="BI42">
        <v>0</v>
      </c>
      <c r="BJ42">
        <v>0</v>
      </c>
      <c r="BK42">
        <v>0</v>
      </c>
      <c r="BL42" t="s">
        <v>1297</v>
      </c>
    </row>
    <row r="43" spans="1:64">
      <c r="A43" s="30"/>
      <c r="B43" s="30">
        <v>42935.546527777777</v>
      </c>
      <c r="C43" t="s">
        <v>248</v>
      </c>
      <c r="D43" t="s">
        <v>1124</v>
      </c>
      <c r="E43" t="s">
        <v>1125</v>
      </c>
      <c r="F43" t="s">
        <v>172</v>
      </c>
      <c r="G43" t="s">
        <v>170</v>
      </c>
      <c r="H43" s="21" t="s">
        <v>94</v>
      </c>
      <c r="I43" s="87">
        <v>1</v>
      </c>
      <c r="J43" s="87">
        <v>0</v>
      </c>
      <c r="K43" t="s">
        <v>1271</v>
      </c>
      <c r="L43" t="s">
        <v>596</v>
      </c>
      <c r="M43" t="s">
        <v>266</v>
      </c>
      <c r="N43" t="str">
        <f>IF(SUM(ckCodingTable[[#This Row],[NfmlPIs]:[NnonWhtAsnPIs]])&gt;0,"WMD","")</f>
        <v/>
      </c>
      <c r="O43" t="b">
        <f>_xlfn.XOR(IFERROR(MATCH(ckCodingTable[[#This Row],[st_code]],EpscorTable[],0)&gt;0,FALSE),IFERROR(FIND("9150",ckCodingTable[[#This Row],[propPRCs]])&gt;0,FALSE))</f>
        <v>0</v>
      </c>
      <c r="P43" s="21" t="b">
        <f>_xlfn.XOR(ckCodingTable[[#This Row],[wmd]]&lt;&gt;"",IFERROR(FIND("9102",ckCodingTable[[#This Row],[propPRCs]])&gt;0,FALSE))</f>
        <v>0</v>
      </c>
      <c r="Q43" t="s">
        <v>256</v>
      </c>
      <c r="S43" s="21">
        <f>S42+(ckCodingTable[[#This Row],[ILN]]&lt;"M")</f>
        <v>19</v>
      </c>
      <c r="T43" s="21" t="s">
        <v>96</v>
      </c>
      <c r="U43" t="s">
        <v>810</v>
      </c>
      <c r="V43" s="7" t="str">
        <f>HYPERLINK("https://www.ejacket.nsf.gov/ej/showProposal.do?ID="&amp;ckCodingTable[[#This Row],[prop_id]],"eJ")</f>
        <v>eJ</v>
      </c>
      <c r="W43" t="s">
        <v>1127</v>
      </c>
      <c r="X43" t="s">
        <v>810</v>
      </c>
      <c r="Y43" t="s">
        <v>811</v>
      </c>
      <c r="Z43" t="s">
        <v>1298</v>
      </c>
      <c r="AA43" t="s">
        <v>474</v>
      </c>
      <c r="AC43" s="30">
        <v>43344</v>
      </c>
      <c r="AD43">
        <v>60</v>
      </c>
      <c r="AE43">
        <v>1</v>
      </c>
      <c r="AF43">
        <v>1</v>
      </c>
      <c r="AH43" s="21">
        <v>4</v>
      </c>
      <c r="AI43" t="s">
        <v>1299</v>
      </c>
      <c r="AJ43" s="26">
        <v>3.5</v>
      </c>
      <c r="AK43" s="22">
        <v>43042.375</v>
      </c>
      <c r="AL43">
        <v>4</v>
      </c>
      <c r="AN43">
        <v>4</v>
      </c>
      <c r="AS43" t="s">
        <v>173</v>
      </c>
      <c r="AT43" t="s">
        <v>1300</v>
      </c>
      <c r="AU43" t="b">
        <f>IF(ckCodingTable[[#This Row],[ILN]]="N",SUBSTITUTE(AT42," ","")&lt;&gt;SUBSTITUTE(ckCodingTable[[#This Row],[prop_titl_txt]]," ",""), FALSE)</f>
        <v>0</v>
      </c>
      <c r="AV43">
        <v>0</v>
      </c>
      <c r="AW43" s="13">
        <v>499953</v>
      </c>
      <c r="AX43" s="13">
        <v>499953</v>
      </c>
      <c r="AY43" s="13"/>
      <c r="AZ43" s="13"/>
      <c r="BA43" s="13"/>
      <c r="BB43" s="13"/>
      <c r="BC43">
        <v>5</v>
      </c>
      <c r="BD43">
        <v>5</v>
      </c>
      <c r="BE43">
        <v>5</v>
      </c>
      <c r="BH43">
        <v>0</v>
      </c>
      <c r="BI43">
        <v>0</v>
      </c>
      <c r="BJ43">
        <v>0</v>
      </c>
      <c r="BK43">
        <v>0</v>
      </c>
      <c r="BL43" t="s">
        <v>1301</v>
      </c>
    </row>
    <row r="44" spans="1:64">
      <c r="A44" s="30"/>
      <c r="B44" s="30">
        <v>42935.549305555556</v>
      </c>
      <c r="C44" t="s">
        <v>248</v>
      </c>
      <c r="D44" t="s">
        <v>1124</v>
      </c>
      <c r="E44" t="s">
        <v>1125</v>
      </c>
      <c r="F44" t="s">
        <v>172</v>
      </c>
      <c r="G44" t="s">
        <v>170</v>
      </c>
      <c r="H44" s="21" t="s">
        <v>94</v>
      </c>
      <c r="I44" s="87">
        <v>1</v>
      </c>
      <c r="J44" s="87">
        <v>0</v>
      </c>
      <c r="K44" t="s">
        <v>1271</v>
      </c>
      <c r="L44" t="s">
        <v>596</v>
      </c>
      <c r="M44" t="s">
        <v>267</v>
      </c>
      <c r="N44" t="str">
        <f>IF(SUM(ckCodingTable[[#This Row],[NfmlPIs]:[NnonWhtAsnPIs]])&gt;0,"WMD","")</f>
        <v>WMD</v>
      </c>
      <c r="O44" t="b">
        <f>_xlfn.XOR(IFERROR(MATCH(ckCodingTable[[#This Row],[st_code]],EpscorTable[],0)&gt;0,FALSE),IFERROR(FIND("9150",ckCodingTable[[#This Row],[propPRCs]])&gt;0,FALSE))</f>
        <v>0</v>
      </c>
      <c r="P44" s="21" t="b">
        <f>_xlfn.XOR(ckCodingTable[[#This Row],[wmd]]&lt;&gt;"",IFERROR(FIND("9102",ckCodingTable[[#This Row],[propPRCs]])&gt;0,FALSE))</f>
        <v>1</v>
      </c>
      <c r="Q44" t="s">
        <v>256</v>
      </c>
      <c r="S44" s="21">
        <f>S43+(ckCodingTable[[#This Row],[ILN]]&lt;"M")</f>
        <v>20</v>
      </c>
      <c r="T44" s="21" t="s">
        <v>96</v>
      </c>
      <c r="U44" t="s">
        <v>820</v>
      </c>
      <c r="V44" s="7" t="str">
        <f>HYPERLINK("https://www.ejacket.nsf.gov/ej/showProposal.do?ID="&amp;ckCodingTable[[#This Row],[prop_id]],"eJ")</f>
        <v>eJ</v>
      </c>
      <c r="W44" t="s">
        <v>1127</v>
      </c>
      <c r="X44" t="s">
        <v>820</v>
      </c>
      <c r="Y44" t="s">
        <v>489</v>
      </c>
      <c r="Z44" t="s">
        <v>1302</v>
      </c>
      <c r="AA44" t="s">
        <v>475</v>
      </c>
      <c r="AC44" s="30">
        <v>43101</v>
      </c>
      <c r="AD44">
        <v>60</v>
      </c>
      <c r="AE44">
        <v>1</v>
      </c>
      <c r="AF44">
        <v>1</v>
      </c>
      <c r="AH44" s="21">
        <v>3</v>
      </c>
      <c r="AI44" t="s">
        <v>1303</v>
      </c>
      <c r="AJ44" s="26">
        <v>4.25</v>
      </c>
      <c r="AK44" s="22">
        <v>43042.431944444441</v>
      </c>
      <c r="AL44">
        <v>4</v>
      </c>
      <c r="AN44">
        <v>4</v>
      </c>
      <c r="AS44" t="s">
        <v>173</v>
      </c>
      <c r="AT44" t="s">
        <v>1304</v>
      </c>
      <c r="AU44" t="b">
        <f>IF(ckCodingTable[[#This Row],[ILN]]="N",SUBSTITUTE(AT43," ","")&lt;&gt;SUBSTITUTE(ckCodingTable[[#This Row],[prop_titl_txt]]," ",""), FALSE)</f>
        <v>0</v>
      </c>
      <c r="AV44">
        <v>0</v>
      </c>
      <c r="AW44" s="13">
        <v>500000</v>
      </c>
      <c r="AX44" s="13">
        <v>500000</v>
      </c>
      <c r="AY44" s="13"/>
      <c r="AZ44" s="13"/>
      <c r="BA44" s="13"/>
      <c r="BB44" s="13"/>
      <c r="BC44">
        <v>5</v>
      </c>
      <c r="BD44">
        <v>5</v>
      </c>
      <c r="BG44">
        <v>5</v>
      </c>
      <c r="BH44">
        <v>2</v>
      </c>
      <c r="BI44">
        <v>0</v>
      </c>
      <c r="BJ44">
        <v>0</v>
      </c>
      <c r="BK44">
        <v>0</v>
      </c>
      <c r="BL44" t="s">
        <v>1305</v>
      </c>
    </row>
    <row r="45" spans="1:64">
      <c r="A45" s="30"/>
      <c r="B45" s="30">
        <v>42935.570138888892</v>
      </c>
      <c r="C45" t="s">
        <v>248</v>
      </c>
      <c r="D45" t="s">
        <v>1124</v>
      </c>
      <c r="E45" t="s">
        <v>1125</v>
      </c>
      <c r="F45" t="s">
        <v>172</v>
      </c>
      <c r="G45" t="s">
        <v>170</v>
      </c>
      <c r="H45" s="21" t="s">
        <v>94</v>
      </c>
      <c r="I45" s="87">
        <v>1</v>
      </c>
      <c r="J45" s="87">
        <v>0</v>
      </c>
      <c r="K45" t="s">
        <v>1271</v>
      </c>
      <c r="L45" t="s">
        <v>596</v>
      </c>
      <c r="M45" t="s">
        <v>458</v>
      </c>
      <c r="N45" t="str">
        <f>IF(SUM(ckCodingTable[[#This Row],[NfmlPIs]:[NnonWhtAsnPIs]])&gt;0,"WMD","")</f>
        <v/>
      </c>
      <c r="O45" t="b">
        <f>_xlfn.XOR(IFERROR(MATCH(ckCodingTable[[#This Row],[st_code]],EpscorTable[],0)&gt;0,FALSE),IFERROR(FIND("9150",ckCodingTable[[#This Row],[propPRCs]])&gt;0,FALSE))</f>
        <v>0</v>
      </c>
      <c r="P45" s="21" t="b">
        <f>_xlfn.XOR(ckCodingTable[[#This Row],[wmd]]&lt;&gt;"",IFERROR(FIND("9102",ckCodingTable[[#This Row],[propPRCs]])&gt;0,FALSE))</f>
        <v>0</v>
      </c>
      <c r="Q45" t="s">
        <v>256</v>
      </c>
      <c r="S45" s="21">
        <f>S44+(ckCodingTable[[#This Row],[ILN]]&lt;"M")</f>
        <v>21</v>
      </c>
      <c r="T45" s="21" t="s">
        <v>96</v>
      </c>
      <c r="U45" t="s">
        <v>830</v>
      </c>
      <c r="V45" s="7" t="str">
        <f>HYPERLINK("https://www.ejacket.nsf.gov/ej/showProposal.do?ID="&amp;ckCodingTable[[#This Row],[prop_id]],"eJ")</f>
        <v>eJ</v>
      </c>
      <c r="W45" t="s">
        <v>1127</v>
      </c>
      <c r="X45" t="s">
        <v>830</v>
      </c>
      <c r="Y45" t="s">
        <v>347</v>
      </c>
      <c r="Z45" t="s">
        <v>1306</v>
      </c>
      <c r="AA45" t="s">
        <v>1307</v>
      </c>
      <c r="AC45" s="30">
        <v>43344</v>
      </c>
      <c r="AD45">
        <v>60</v>
      </c>
      <c r="AE45">
        <v>1</v>
      </c>
      <c r="AF45">
        <v>1</v>
      </c>
      <c r="AH45" s="21">
        <v>2.04</v>
      </c>
      <c r="AI45" t="s">
        <v>1308</v>
      </c>
      <c r="AJ45" s="26">
        <v>5.75</v>
      </c>
      <c r="AK45" s="22">
        <v>43042.371527777781</v>
      </c>
      <c r="AL45">
        <v>4</v>
      </c>
      <c r="AN45">
        <v>4</v>
      </c>
      <c r="AS45" t="s">
        <v>173</v>
      </c>
      <c r="AT45" t="s">
        <v>1309</v>
      </c>
      <c r="AU45" t="b">
        <f>IF(ckCodingTable[[#This Row],[ILN]]="N",SUBSTITUTE(AT44," ","")&lt;&gt;SUBSTITUTE(ckCodingTable[[#This Row],[prop_titl_txt]]," ",""), FALSE)</f>
        <v>0</v>
      </c>
      <c r="AV45">
        <v>0</v>
      </c>
      <c r="AW45" s="13">
        <v>533683</v>
      </c>
      <c r="AX45" s="13">
        <v>533683</v>
      </c>
      <c r="AY45" s="13"/>
      <c r="AZ45" s="13">
        <v>15000</v>
      </c>
      <c r="BA45" s="13"/>
      <c r="BB45" s="13"/>
      <c r="BC45">
        <v>5</v>
      </c>
      <c r="BD45">
        <v>5</v>
      </c>
      <c r="BE45">
        <v>5</v>
      </c>
      <c r="BH45">
        <v>0</v>
      </c>
      <c r="BI45">
        <v>0</v>
      </c>
      <c r="BJ45">
        <v>0</v>
      </c>
      <c r="BK45">
        <v>0</v>
      </c>
      <c r="BL45" t="s">
        <v>1310</v>
      </c>
    </row>
    <row r="46" spans="1:64">
      <c r="A46" s="30"/>
      <c r="B46" s="30">
        <v>42935.572222222225</v>
      </c>
      <c r="C46" t="s">
        <v>248</v>
      </c>
      <c r="D46" t="s">
        <v>1124</v>
      </c>
      <c r="E46" t="s">
        <v>1125</v>
      </c>
      <c r="F46" t="s">
        <v>172</v>
      </c>
      <c r="G46" t="s">
        <v>170</v>
      </c>
      <c r="H46" s="21" t="s">
        <v>94</v>
      </c>
      <c r="I46" s="87">
        <v>1</v>
      </c>
      <c r="J46" s="87">
        <v>0</v>
      </c>
      <c r="K46" t="s">
        <v>1271</v>
      </c>
      <c r="L46" t="s">
        <v>596</v>
      </c>
      <c r="M46" t="s">
        <v>264</v>
      </c>
      <c r="N46" t="str">
        <f>IF(SUM(ckCodingTable[[#This Row],[NfmlPIs]:[NnonWhtAsnPIs]])&gt;0,"WMD","")</f>
        <v/>
      </c>
      <c r="O46" t="b">
        <f>_xlfn.XOR(IFERROR(MATCH(ckCodingTable[[#This Row],[st_code]],EpscorTable[],0)&gt;0,FALSE),IFERROR(FIND("9150",ckCodingTable[[#This Row],[propPRCs]])&gt;0,FALSE))</f>
        <v>0</v>
      </c>
      <c r="P46" s="21" t="b">
        <f>_xlfn.XOR(ckCodingTable[[#This Row],[wmd]]&lt;&gt;"",IFERROR(FIND("9102",ckCodingTable[[#This Row],[propPRCs]])&gt;0,FALSE))</f>
        <v>0</v>
      </c>
      <c r="Q46" t="s">
        <v>256</v>
      </c>
      <c r="S46" s="21">
        <f>S45+(ckCodingTable[[#This Row],[ILN]]&lt;"M")</f>
        <v>22</v>
      </c>
      <c r="T46" s="21" t="s">
        <v>96</v>
      </c>
      <c r="U46" t="s">
        <v>837</v>
      </c>
      <c r="V46" s="7" t="str">
        <f>HYPERLINK("https://www.ejacket.nsf.gov/ej/showProposal.do?ID="&amp;ckCodingTable[[#This Row],[prop_id]],"eJ")</f>
        <v>eJ</v>
      </c>
      <c r="W46" t="s">
        <v>1127</v>
      </c>
      <c r="X46" t="s">
        <v>837</v>
      </c>
      <c r="Y46" t="s">
        <v>838</v>
      </c>
      <c r="Z46" t="s">
        <v>1311</v>
      </c>
      <c r="AA46" t="s">
        <v>567</v>
      </c>
      <c r="AC46" s="30">
        <v>43160</v>
      </c>
      <c r="AD46">
        <v>60</v>
      </c>
      <c r="AE46">
        <v>1</v>
      </c>
      <c r="AF46">
        <v>1</v>
      </c>
      <c r="AH46" s="21">
        <v>3</v>
      </c>
      <c r="AI46" t="s">
        <v>1218</v>
      </c>
      <c r="AJ46" s="26">
        <v>4.75</v>
      </c>
      <c r="AK46" s="22">
        <v>43041.372916666667</v>
      </c>
      <c r="AL46">
        <v>4</v>
      </c>
      <c r="AN46">
        <v>4</v>
      </c>
      <c r="AO46">
        <v>1</v>
      </c>
      <c r="AS46" t="s">
        <v>173</v>
      </c>
      <c r="AT46" t="s">
        <v>1312</v>
      </c>
      <c r="AU46" t="b">
        <f>IF(ckCodingTable[[#This Row],[ILN]]="N",SUBSTITUTE(AT45," ","")&lt;&gt;SUBSTITUTE(ckCodingTable[[#This Row],[prop_titl_txt]]," ",""), FALSE)</f>
        <v>0</v>
      </c>
      <c r="AV46">
        <v>0</v>
      </c>
      <c r="AW46" s="13">
        <v>588632</v>
      </c>
      <c r="AX46" s="13">
        <v>588632</v>
      </c>
      <c r="AY46" s="13"/>
      <c r="AZ46" s="13"/>
      <c r="BA46" s="13"/>
      <c r="BB46" s="13">
        <v>3600</v>
      </c>
      <c r="BC46">
        <v>10</v>
      </c>
      <c r="BD46">
        <v>5</v>
      </c>
      <c r="BE46">
        <v>2.5</v>
      </c>
      <c r="BH46">
        <v>0</v>
      </c>
      <c r="BI46">
        <v>0</v>
      </c>
      <c r="BJ46">
        <v>0</v>
      </c>
      <c r="BK46">
        <v>0</v>
      </c>
      <c r="BL46" t="s">
        <v>1313</v>
      </c>
    </row>
    <row r="47" spans="1:64">
      <c r="A47" s="30"/>
      <c r="B47" s="30">
        <v>42935.620833333334</v>
      </c>
      <c r="C47" t="s">
        <v>248</v>
      </c>
      <c r="D47" t="s">
        <v>1124</v>
      </c>
      <c r="E47" t="s">
        <v>1125</v>
      </c>
      <c r="F47" t="s">
        <v>172</v>
      </c>
      <c r="G47" t="s">
        <v>170</v>
      </c>
      <c r="H47" s="21" t="s">
        <v>94</v>
      </c>
      <c r="I47" s="87">
        <v>1</v>
      </c>
      <c r="J47" s="87">
        <v>0</v>
      </c>
      <c r="K47" t="s">
        <v>1271</v>
      </c>
      <c r="L47" t="s">
        <v>596</v>
      </c>
      <c r="M47" t="s">
        <v>264</v>
      </c>
      <c r="N47" t="str">
        <f>IF(SUM(ckCodingTable[[#This Row],[NfmlPIs]:[NnonWhtAsnPIs]])&gt;0,"WMD","")</f>
        <v/>
      </c>
      <c r="O47" t="b">
        <f>_xlfn.XOR(IFERROR(MATCH(ckCodingTable[[#This Row],[st_code]],EpscorTable[],0)&gt;0,FALSE),IFERROR(FIND("9150",ckCodingTable[[#This Row],[propPRCs]])&gt;0,FALSE))</f>
        <v>0</v>
      </c>
      <c r="P47" s="21" t="b">
        <f>_xlfn.XOR(ckCodingTable[[#This Row],[wmd]]&lt;&gt;"",IFERROR(FIND("9102",ckCodingTable[[#This Row],[propPRCs]])&gt;0,FALSE))</f>
        <v>0</v>
      </c>
      <c r="Q47" t="s">
        <v>256</v>
      </c>
      <c r="S47" s="21">
        <f>S46+(ckCodingTable[[#This Row],[ILN]]&lt;"M")</f>
        <v>23</v>
      </c>
      <c r="T47" s="21" t="s">
        <v>96</v>
      </c>
      <c r="U47" t="s">
        <v>845</v>
      </c>
      <c r="V47" s="7" t="str">
        <f>HYPERLINK("https://www.ejacket.nsf.gov/ej/showProposal.do?ID="&amp;ckCodingTable[[#This Row],[prop_id]],"eJ")</f>
        <v>eJ</v>
      </c>
      <c r="W47" t="s">
        <v>1127</v>
      </c>
      <c r="X47" t="s">
        <v>845</v>
      </c>
      <c r="Y47" t="s">
        <v>473</v>
      </c>
      <c r="Z47" t="s">
        <v>1314</v>
      </c>
      <c r="AA47" t="s">
        <v>1315</v>
      </c>
      <c r="AC47" s="30">
        <v>43160</v>
      </c>
      <c r="AD47">
        <v>60</v>
      </c>
      <c r="AE47">
        <v>1</v>
      </c>
      <c r="AF47">
        <v>1</v>
      </c>
      <c r="AH47" s="21">
        <v>2.06</v>
      </c>
      <c r="AI47" t="s">
        <v>1316</v>
      </c>
      <c r="AJ47" s="26">
        <v>6</v>
      </c>
      <c r="AK47" s="22">
        <v>43041.699305555558</v>
      </c>
      <c r="AL47">
        <v>4</v>
      </c>
      <c r="AN47">
        <v>4</v>
      </c>
      <c r="AO47">
        <v>1</v>
      </c>
      <c r="AS47" t="s">
        <v>173</v>
      </c>
      <c r="AT47" t="s">
        <v>1317</v>
      </c>
      <c r="AU47" t="b">
        <f>IF(ckCodingTable[[#This Row],[ILN]]="N",SUBSTITUTE(AT46," ","")&lt;&gt;SUBSTITUTE(ckCodingTable[[#This Row],[prop_titl_txt]]," ",""), FALSE)</f>
        <v>0</v>
      </c>
      <c r="AV47">
        <v>0</v>
      </c>
      <c r="AW47" s="13">
        <v>486820</v>
      </c>
      <c r="AX47" s="13">
        <v>486820</v>
      </c>
      <c r="AY47" s="13"/>
      <c r="AZ47" s="13"/>
      <c r="BA47" s="13"/>
      <c r="BB47" s="13"/>
      <c r="BC47">
        <v>15</v>
      </c>
      <c r="BD47">
        <v>5</v>
      </c>
      <c r="BE47">
        <v>5</v>
      </c>
      <c r="BH47">
        <v>0</v>
      </c>
      <c r="BI47">
        <v>0</v>
      </c>
      <c r="BJ47">
        <v>0</v>
      </c>
      <c r="BK47">
        <v>0</v>
      </c>
      <c r="BL47" t="s">
        <v>1318</v>
      </c>
    </row>
    <row r="48" spans="1:64">
      <c r="A48" s="30"/>
      <c r="B48" s="30">
        <v>42935.634722222225</v>
      </c>
      <c r="C48" t="s">
        <v>248</v>
      </c>
      <c r="D48" t="s">
        <v>1124</v>
      </c>
      <c r="E48" t="s">
        <v>1125</v>
      </c>
      <c r="F48" t="s">
        <v>172</v>
      </c>
      <c r="G48" t="s">
        <v>170</v>
      </c>
      <c r="H48" s="21" t="s">
        <v>94</v>
      </c>
      <c r="I48" s="87">
        <v>1</v>
      </c>
      <c r="J48" s="87">
        <v>0</v>
      </c>
      <c r="K48" t="s">
        <v>1271</v>
      </c>
      <c r="L48" t="s">
        <v>596</v>
      </c>
      <c r="M48" t="s">
        <v>362</v>
      </c>
      <c r="N48" t="str">
        <f>IF(SUM(ckCodingTable[[#This Row],[NfmlPIs]:[NnonWhtAsnPIs]])&gt;0,"WMD","")</f>
        <v/>
      </c>
      <c r="O48" t="b">
        <f>_xlfn.XOR(IFERROR(MATCH(ckCodingTable[[#This Row],[st_code]],EpscorTable[],0)&gt;0,FALSE),IFERROR(FIND("9150",ckCodingTable[[#This Row],[propPRCs]])&gt;0,FALSE))</f>
        <v>0</v>
      </c>
      <c r="P48" s="21" t="b">
        <f>_xlfn.XOR(ckCodingTable[[#This Row],[wmd]]&lt;&gt;"",IFERROR(FIND("9102",ckCodingTable[[#This Row],[propPRCs]])&gt;0,FALSE))</f>
        <v>0</v>
      </c>
      <c r="Q48" t="s">
        <v>256</v>
      </c>
      <c r="S48" s="21">
        <f>S47+(ckCodingTable[[#This Row],[ILN]]&lt;"M")</f>
        <v>24</v>
      </c>
      <c r="T48" s="21" t="s">
        <v>96</v>
      </c>
      <c r="U48" t="s">
        <v>852</v>
      </c>
      <c r="V48" s="7" t="str">
        <f>HYPERLINK("https://www.ejacket.nsf.gov/ej/showProposal.do?ID="&amp;ckCodingTable[[#This Row],[prop_id]],"eJ")</f>
        <v>eJ</v>
      </c>
      <c r="W48" t="s">
        <v>1127</v>
      </c>
      <c r="X48" t="s">
        <v>852</v>
      </c>
      <c r="Y48" t="s">
        <v>853</v>
      </c>
      <c r="Z48" t="s">
        <v>1319</v>
      </c>
      <c r="AA48" t="s">
        <v>361</v>
      </c>
      <c r="AC48" s="30">
        <v>43101</v>
      </c>
      <c r="AD48">
        <v>60</v>
      </c>
      <c r="AE48">
        <v>1</v>
      </c>
      <c r="AF48">
        <v>1</v>
      </c>
      <c r="AH48" s="21">
        <v>2.0299999999999998</v>
      </c>
      <c r="AI48" t="s">
        <v>1320</v>
      </c>
      <c r="AJ48" s="26">
        <v>6.25</v>
      </c>
      <c r="AK48" s="22">
        <v>43041.695833333331</v>
      </c>
      <c r="AL48">
        <v>4</v>
      </c>
      <c r="AN48">
        <v>4</v>
      </c>
      <c r="AO48">
        <v>1</v>
      </c>
      <c r="AS48" t="s">
        <v>173</v>
      </c>
      <c r="AT48" t="s">
        <v>1321</v>
      </c>
      <c r="AU48" t="b">
        <f>IF(ckCodingTable[[#This Row],[ILN]]="N",SUBSTITUTE(AT47," ","")&lt;&gt;SUBSTITUTE(ckCodingTable[[#This Row],[prop_titl_txt]]," ",""), FALSE)</f>
        <v>0</v>
      </c>
      <c r="AV48">
        <v>0</v>
      </c>
      <c r="AW48" s="13">
        <v>645910</v>
      </c>
      <c r="AX48" s="13">
        <v>645910</v>
      </c>
      <c r="AY48" s="13"/>
      <c r="AZ48" s="13">
        <v>35000</v>
      </c>
      <c r="BA48" s="13"/>
      <c r="BB48" s="13"/>
      <c r="BC48">
        <v>5</v>
      </c>
      <c r="BD48">
        <v>5</v>
      </c>
      <c r="BE48">
        <v>5</v>
      </c>
      <c r="BH48">
        <v>0</v>
      </c>
      <c r="BI48">
        <v>0</v>
      </c>
      <c r="BJ48">
        <v>0</v>
      </c>
      <c r="BK48">
        <v>0</v>
      </c>
      <c r="BL48" t="s">
        <v>1322</v>
      </c>
    </row>
    <row r="49" spans="1:64">
      <c r="A49" s="30"/>
      <c r="B49" s="30">
        <v>42935.63958333333</v>
      </c>
      <c r="C49" t="s">
        <v>248</v>
      </c>
      <c r="D49" t="s">
        <v>1124</v>
      </c>
      <c r="E49" t="s">
        <v>1125</v>
      </c>
      <c r="F49" t="s">
        <v>172</v>
      </c>
      <c r="G49" t="s">
        <v>170</v>
      </c>
      <c r="H49" s="21" t="s">
        <v>94</v>
      </c>
      <c r="I49" s="87">
        <v>1</v>
      </c>
      <c r="J49" s="87">
        <v>0</v>
      </c>
      <c r="K49" t="s">
        <v>1271</v>
      </c>
      <c r="L49" t="s">
        <v>596</v>
      </c>
      <c r="M49" t="s">
        <v>461</v>
      </c>
      <c r="N49" t="str">
        <f>IF(SUM(ckCodingTable[[#This Row],[NfmlPIs]:[NnonWhtAsnPIs]])&gt;0,"WMD","")</f>
        <v/>
      </c>
      <c r="O49" t="b">
        <f>_xlfn.XOR(IFERROR(MATCH(ckCodingTable[[#This Row],[st_code]],EpscorTable[],0)&gt;0,FALSE),IFERROR(FIND("9150",ckCodingTable[[#This Row],[propPRCs]])&gt;0,FALSE))</f>
        <v>0</v>
      </c>
      <c r="P49" s="21" t="b">
        <f>_xlfn.XOR(ckCodingTable[[#This Row],[wmd]]&lt;&gt;"",IFERROR(FIND("9102",ckCodingTable[[#This Row],[propPRCs]])&gt;0,FALSE))</f>
        <v>0</v>
      </c>
      <c r="Q49" t="s">
        <v>256</v>
      </c>
      <c r="S49" s="21">
        <f>S48+(ckCodingTable[[#This Row],[ILN]]&lt;"M")</f>
        <v>25</v>
      </c>
      <c r="T49" s="21" t="s">
        <v>96</v>
      </c>
      <c r="U49" t="s">
        <v>859</v>
      </c>
      <c r="V49" s="7" t="str">
        <f>HYPERLINK("https://www.ejacket.nsf.gov/ej/showProposal.do?ID="&amp;ckCodingTable[[#This Row],[prop_id]],"eJ")</f>
        <v>eJ</v>
      </c>
      <c r="W49" t="s">
        <v>1127</v>
      </c>
      <c r="X49" t="s">
        <v>859</v>
      </c>
      <c r="Y49" t="s">
        <v>860</v>
      </c>
      <c r="Z49" t="s">
        <v>1323</v>
      </c>
      <c r="AA49" t="s">
        <v>460</v>
      </c>
      <c r="AC49" s="30">
        <v>43101</v>
      </c>
      <c r="AD49">
        <v>60</v>
      </c>
      <c r="AE49">
        <v>1</v>
      </c>
      <c r="AF49">
        <v>1</v>
      </c>
      <c r="AH49" s="21">
        <v>3</v>
      </c>
      <c r="AI49" t="s">
        <v>578</v>
      </c>
      <c r="AJ49" s="26">
        <v>5.5</v>
      </c>
      <c r="AK49" s="22">
        <v>43041.633333333331</v>
      </c>
      <c r="AL49">
        <v>4</v>
      </c>
      <c r="AN49">
        <v>4</v>
      </c>
      <c r="AO49">
        <v>1</v>
      </c>
      <c r="AS49" t="s">
        <v>173</v>
      </c>
      <c r="AT49" t="s">
        <v>1324</v>
      </c>
      <c r="AU49" t="b">
        <f>IF(ckCodingTable[[#This Row],[ILN]]="N",SUBSTITUTE(AT48," ","")&lt;&gt;SUBSTITUTE(ckCodingTable[[#This Row],[prop_titl_txt]]," ",""), FALSE)</f>
        <v>0</v>
      </c>
      <c r="AV49">
        <v>0</v>
      </c>
      <c r="AW49" s="13">
        <v>508393</v>
      </c>
      <c r="AX49" s="13">
        <v>508393</v>
      </c>
      <c r="AY49" s="13"/>
      <c r="AZ49" s="13">
        <v>15000</v>
      </c>
      <c r="BA49" s="13"/>
      <c r="BB49" s="13"/>
      <c r="BC49">
        <v>5</v>
      </c>
      <c r="BD49">
        <v>5</v>
      </c>
      <c r="BE49">
        <v>5</v>
      </c>
      <c r="BH49">
        <v>0</v>
      </c>
      <c r="BI49">
        <v>0</v>
      </c>
      <c r="BJ49">
        <v>0</v>
      </c>
      <c r="BK49">
        <v>0</v>
      </c>
      <c r="BL49" t="s">
        <v>1325</v>
      </c>
    </row>
    <row r="50" spans="1:64">
      <c r="A50" s="30"/>
      <c r="B50" s="30">
        <v>42935.647916666669</v>
      </c>
      <c r="C50" t="s">
        <v>248</v>
      </c>
      <c r="D50" t="s">
        <v>1124</v>
      </c>
      <c r="E50" t="s">
        <v>1125</v>
      </c>
      <c r="F50" t="s">
        <v>172</v>
      </c>
      <c r="G50" t="s">
        <v>170</v>
      </c>
      <c r="H50" s="21" t="s">
        <v>94</v>
      </c>
      <c r="I50" s="87">
        <v>1</v>
      </c>
      <c r="J50" s="87">
        <v>0</v>
      </c>
      <c r="K50" t="s">
        <v>1271</v>
      </c>
      <c r="L50" t="s">
        <v>596</v>
      </c>
      <c r="M50" t="s">
        <v>352</v>
      </c>
      <c r="N50" t="str">
        <f>IF(SUM(ckCodingTable[[#This Row],[NfmlPIs]:[NnonWhtAsnPIs]])&gt;0,"WMD","")</f>
        <v>WMD</v>
      </c>
      <c r="O50" t="b">
        <f>_xlfn.XOR(IFERROR(MATCH(ckCodingTable[[#This Row],[st_code]],EpscorTable[],0)&gt;0,FALSE),IFERROR(FIND("9150",ckCodingTable[[#This Row],[propPRCs]])&gt;0,FALSE))</f>
        <v>0</v>
      </c>
      <c r="P50" s="21" t="b">
        <f>_xlfn.XOR(ckCodingTable[[#This Row],[wmd]]&lt;&gt;"",IFERROR(FIND("9102",ckCodingTable[[#This Row],[propPRCs]])&gt;0,FALSE))</f>
        <v>1</v>
      </c>
      <c r="Q50" t="s">
        <v>256</v>
      </c>
      <c r="S50" s="21">
        <f>S49+(ckCodingTable[[#This Row],[ILN]]&lt;"M")</f>
        <v>26</v>
      </c>
      <c r="T50" s="21" t="s">
        <v>96</v>
      </c>
      <c r="U50" t="s">
        <v>867</v>
      </c>
      <c r="V50" s="7" t="str">
        <f>HYPERLINK("https://www.ejacket.nsf.gov/ej/showProposal.do?ID="&amp;ckCodingTable[[#This Row],[prop_id]],"eJ")</f>
        <v>eJ</v>
      </c>
      <c r="W50" t="s">
        <v>1127</v>
      </c>
      <c r="X50" t="s">
        <v>867</v>
      </c>
      <c r="Y50" t="s">
        <v>561</v>
      </c>
      <c r="Z50" t="s">
        <v>1326</v>
      </c>
      <c r="AA50" t="s">
        <v>351</v>
      </c>
      <c r="AC50" s="30">
        <v>43236</v>
      </c>
      <c r="AD50">
        <v>60</v>
      </c>
      <c r="AE50">
        <v>1</v>
      </c>
      <c r="AF50">
        <v>1</v>
      </c>
      <c r="AH50" s="21">
        <v>2.0499999999999998</v>
      </c>
      <c r="AI50" t="s">
        <v>1327</v>
      </c>
      <c r="AJ50" s="26">
        <v>6.5</v>
      </c>
      <c r="AK50" s="22">
        <v>43042.373611111114</v>
      </c>
      <c r="AL50">
        <v>4</v>
      </c>
      <c r="AN50">
        <v>4</v>
      </c>
      <c r="AO50">
        <v>1</v>
      </c>
      <c r="AS50" t="s">
        <v>173</v>
      </c>
      <c r="AT50" t="s">
        <v>1328</v>
      </c>
      <c r="AU50" t="b">
        <f>IF(ckCodingTable[[#This Row],[ILN]]="N",SUBSTITUTE(AT49," ","")&lt;&gt;SUBSTITUTE(ckCodingTable[[#This Row],[prop_titl_txt]]," ",""), FALSE)</f>
        <v>0</v>
      </c>
      <c r="AV50">
        <v>0</v>
      </c>
      <c r="AW50" s="13">
        <v>517473</v>
      </c>
      <c r="AX50" s="13">
        <v>517473</v>
      </c>
      <c r="AY50" s="13"/>
      <c r="AZ50" s="13"/>
      <c r="BA50" s="13"/>
      <c r="BB50" s="13"/>
      <c r="BC50">
        <v>7</v>
      </c>
      <c r="BD50">
        <v>5</v>
      </c>
      <c r="BE50">
        <v>3.12</v>
      </c>
      <c r="BH50">
        <v>2</v>
      </c>
      <c r="BI50">
        <v>0</v>
      </c>
      <c r="BJ50">
        <v>0</v>
      </c>
      <c r="BK50">
        <v>0</v>
      </c>
      <c r="BL50" t="s">
        <v>1329</v>
      </c>
    </row>
    <row r="51" spans="1:64">
      <c r="A51" s="30"/>
      <c r="B51" s="30">
        <v>42935.674305555556</v>
      </c>
      <c r="C51" t="s">
        <v>248</v>
      </c>
      <c r="D51" t="s">
        <v>1124</v>
      </c>
      <c r="E51" t="s">
        <v>1125</v>
      </c>
      <c r="F51" t="s">
        <v>172</v>
      </c>
      <c r="G51" t="s">
        <v>170</v>
      </c>
      <c r="H51" s="21" t="s">
        <v>94</v>
      </c>
      <c r="I51" s="87">
        <v>1</v>
      </c>
      <c r="J51" s="87">
        <v>0</v>
      </c>
      <c r="K51" t="s">
        <v>1271</v>
      </c>
      <c r="L51" t="s">
        <v>705</v>
      </c>
      <c r="M51" t="s">
        <v>266</v>
      </c>
      <c r="N51" t="str">
        <f>IF(SUM(ckCodingTable[[#This Row],[NfmlPIs]:[NnonWhtAsnPIs]])&gt;0,"WMD","")</f>
        <v/>
      </c>
      <c r="O51" t="b">
        <f>_xlfn.XOR(IFERROR(MATCH(ckCodingTable[[#This Row],[st_code]],EpscorTable[],0)&gt;0,FALSE),IFERROR(FIND("9150",ckCodingTable[[#This Row],[propPRCs]])&gt;0,FALSE))</f>
        <v>0</v>
      </c>
      <c r="P51" s="21" t="b">
        <f>_xlfn.XOR(ckCodingTable[[#This Row],[wmd]]&lt;&gt;"",IFERROR(FIND("9102",ckCodingTable[[#This Row],[propPRCs]])&gt;0,FALSE))</f>
        <v>0</v>
      </c>
      <c r="Q51" t="s">
        <v>577</v>
      </c>
      <c r="S51" s="21">
        <f>S50+(ckCodingTable[[#This Row],[ILN]]&lt;"M")</f>
        <v>27</v>
      </c>
      <c r="T51" s="21" t="s">
        <v>96</v>
      </c>
      <c r="U51" t="s">
        <v>874</v>
      </c>
      <c r="V51" s="7" t="str">
        <f>HYPERLINK("https://www.ejacket.nsf.gov/ej/showProposal.do?ID="&amp;ckCodingTable[[#This Row],[prop_id]],"eJ")</f>
        <v>eJ</v>
      </c>
      <c r="W51" t="s">
        <v>1127</v>
      </c>
      <c r="X51" t="s">
        <v>874</v>
      </c>
      <c r="Y51" t="s">
        <v>875</v>
      </c>
      <c r="Z51" t="s">
        <v>1330</v>
      </c>
      <c r="AA51" t="s">
        <v>217</v>
      </c>
      <c r="AC51" s="30">
        <v>43221</v>
      </c>
      <c r="AD51">
        <v>60</v>
      </c>
      <c r="AE51">
        <v>1</v>
      </c>
      <c r="AF51">
        <v>1</v>
      </c>
      <c r="AH51" s="21">
        <v>4</v>
      </c>
      <c r="AI51" t="s">
        <v>1331</v>
      </c>
      <c r="AJ51" s="26">
        <v>3.5</v>
      </c>
      <c r="AK51" s="22">
        <v>43041.729861111111</v>
      </c>
      <c r="AL51">
        <v>4</v>
      </c>
      <c r="AN51">
        <v>4</v>
      </c>
      <c r="AS51" t="s">
        <v>173</v>
      </c>
      <c r="AT51" t="s">
        <v>1332</v>
      </c>
      <c r="AU51" t="b">
        <f>IF(ckCodingTable[[#This Row],[ILN]]="N",SUBSTITUTE(AT50," ","")&lt;&gt;SUBSTITUTE(ckCodingTable[[#This Row],[prop_titl_txt]]," ",""), FALSE)</f>
        <v>0</v>
      </c>
      <c r="AV51">
        <v>0</v>
      </c>
      <c r="AW51" s="13">
        <v>651679</v>
      </c>
      <c r="AX51" s="13">
        <v>651679</v>
      </c>
      <c r="AY51" s="13"/>
      <c r="AZ51" s="13">
        <v>50000</v>
      </c>
      <c r="BA51" s="13"/>
      <c r="BB51" s="13"/>
      <c r="BC51">
        <v>5</v>
      </c>
      <c r="BD51">
        <v>5</v>
      </c>
      <c r="BE51">
        <v>2.5</v>
      </c>
      <c r="BH51">
        <v>0</v>
      </c>
      <c r="BI51">
        <v>0</v>
      </c>
      <c r="BJ51">
        <v>0</v>
      </c>
      <c r="BK51">
        <v>0</v>
      </c>
      <c r="BL51" t="s">
        <v>1333</v>
      </c>
    </row>
    <row r="52" spans="1:64">
      <c r="A52" s="30"/>
      <c r="B52" s="30">
        <v>42935.683333333334</v>
      </c>
      <c r="C52" t="s">
        <v>248</v>
      </c>
      <c r="D52" t="s">
        <v>1124</v>
      </c>
      <c r="E52" t="s">
        <v>1125</v>
      </c>
      <c r="F52" t="s">
        <v>172</v>
      </c>
      <c r="G52" t="s">
        <v>170</v>
      </c>
      <c r="H52" s="21" t="s">
        <v>94</v>
      </c>
      <c r="I52" s="87">
        <v>1</v>
      </c>
      <c r="J52" s="87">
        <v>0</v>
      </c>
      <c r="K52" t="s">
        <v>1271</v>
      </c>
      <c r="L52" t="s">
        <v>596</v>
      </c>
      <c r="M52" t="s">
        <v>97</v>
      </c>
      <c r="N52" t="str">
        <f>IF(SUM(ckCodingTable[[#This Row],[NfmlPIs]:[NnonWhtAsnPIs]])&gt;0,"WMD","")</f>
        <v/>
      </c>
      <c r="O52" t="b">
        <f>_xlfn.XOR(IFERROR(MATCH(ckCodingTable[[#This Row],[st_code]],EpscorTable[],0)&gt;0,FALSE),IFERROR(FIND("9150",ckCodingTable[[#This Row],[propPRCs]])&gt;0,FALSE))</f>
        <v>0</v>
      </c>
      <c r="P52" s="21" t="b">
        <f>_xlfn.XOR(ckCodingTable[[#This Row],[wmd]]&lt;&gt;"",IFERROR(FIND("9102",ckCodingTable[[#This Row],[propPRCs]])&gt;0,FALSE))</f>
        <v>0</v>
      </c>
      <c r="Q52" t="s">
        <v>1274</v>
      </c>
      <c r="S52" s="21">
        <f>S51+(ckCodingTable[[#This Row],[ILN]]&lt;"M")</f>
        <v>28</v>
      </c>
      <c r="T52" s="21" t="s">
        <v>96</v>
      </c>
      <c r="U52" t="s">
        <v>883</v>
      </c>
      <c r="V52" s="7" t="str">
        <f>HYPERLINK("https://www.ejacket.nsf.gov/ej/showProposal.do?ID="&amp;ckCodingTable[[#This Row],[prop_id]],"eJ")</f>
        <v>eJ</v>
      </c>
      <c r="W52" t="s">
        <v>1127</v>
      </c>
      <c r="X52" t="s">
        <v>883</v>
      </c>
      <c r="Y52" t="s">
        <v>884</v>
      </c>
      <c r="Z52" t="s">
        <v>1334</v>
      </c>
      <c r="AA52" t="s">
        <v>1335</v>
      </c>
      <c r="AC52" s="30">
        <v>43101</v>
      </c>
      <c r="AD52">
        <v>60</v>
      </c>
      <c r="AE52">
        <v>1</v>
      </c>
      <c r="AF52">
        <v>1</v>
      </c>
      <c r="AH52" s="21">
        <v>3</v>
      </c>
      <c r="AI52" t="s">
        <v>1336</v>
      </c>
      <c r="AJ52" s="26">
        <v>5.25</v>
      </c>
      <c r="AK52" s="22">
        <v>43042.363888888889</v>
      </c>
      <c r="AL52">
        <v>4</v>
      </c>
      <c r="AN52">
        <v>4</v>
      </c>
      <c r="AS52" t="s">
        <v>173</v>
      </c>
      <c r="AT52" t="s">
        <v>1337</v>
      </c>
      <c r="AU52" t="b">
        <f>IF(ckCodingTable[[#This Row],[ILN]]="N",SUBSTITUTE(AT51," ","")&lt;&gt;SUBSTITUTE(ckCodingTable[[#This Row],[prop_titl_txt]]," ",""), FALSE)</f>
        <v>0</v>
      </c>
      <c r="AV52">
        <v>0</v>
      </c>
      <c r="AW52" s="13">
        <v>519006</v>
      </c>
      <c r="AX52" s="13">
        <v>519006</v>
      </c>
      <c r="AY52" s="13"/>
      <c r="AZ52" s="13"/>
      <c r="BA52" s="13"/>
      <c r="BB52" s="13"/>
      <c r="BC52">
        <v>7</v>
      </c>
      <c r="BD52">
        <v>5</v>
      </c>
      <c r="BE52">
        <v>5</v>
      </c>
      <c r="BH52">
        <v>0</v>
      </c>
      <c r="BI52">
        <v>0</v>
      </c>
      <c r="BJ52">
        <v>0</v>
      </c>
      <c r="BK52">
        <v>0</v>
      </c>
      <c r="BL52" t="s">
        <v>1338</v>
      </c>
    </row>
    <row r="53" spans="1:64">
      <c r="A53" s="30"/>
      <c r="B53" s="30">
        <v>42935.708333333336</v>
      </c>
      <c r="C53" t="s">
        <v>248</v>
      </c>
      <c r="D53" t="s">
        <v>1124</v>
      </c>
      <c r="E53" t="s">
        <v>1125</v>
      </c>
      <c r="F53" t="s">
        <v>172</v>
      </c>
      <c r="G53" t="s">
        <v>170</v>
      </c>
      <c r="H53" s="21" t="s">
        <v>94</v>
      </c>
      <c r="I53" s="87">
        <v>1</v>
      </c>
      <c r="J53" s="87">
        <v>0</v>
      </c>
      <c r="K53" t="s">
        <v>1271</v>
      </c>
      <c r="L53" t="s">
        <v>596</v>
      </c>
      <c r="M53" t="s">
        <v>264</v>
      </c>
      <c r="N53" t="str">
        <f>IF(SUM(ckCodingTable[[#This Row],[NfmlPIs]:[NnonWhtAsnPIs]])&gt;0,"WMD","")</f>
        <v/>
      </c>
      <c r="O53" t="b">
        <f>_xlfn.XOR(IFERROR(MATCH(ckCodingTable[[#This Row],[st_code]],EpscorTable[],0)&gt;0,FALSE),IFERROR(FIND("9150",ckCodingTable[[#This Row],[propPRCs]])&gt;0,FALSE))</f>
        <v>0</v>
      </c>
      <c r="P53" s="21" t="b">
        <f>_xlfn.XOR(ckCodingTable[[#This Row],[wmd]]&lt;&gt;"",IFERROR(FIND("9102",ckCodingTable[[#This Row],[propPRCs]])&gt;0,FALSE))</f>
        <v>0</v>
      </c>
      <c r="Q53" t="s">
        <v>256</v>
      </c>
      <c r="S53" s="21">
        <f>S52+(ckCodingTable[[#This Row],[ILN]]&lt;"M")</f>
        <v>29</v>
      </c>
      <c r="T53" s="21" t="s">
        <v>96</v>
      </c>
      <c r="U53" t="s">
        <v>891</v>
      </c>
      <c r="V53" s="7" t="str">
        <f>HYPERLINK("https://www.ejacket.nsf.gov/ej/showProposal.do?ID="&amp;ckCodingTable[[#This Row],[prop_id]],"eJ")</f>
        <v>eJ</v>
      </c>
      <c r="W53" t="s">
        <v>1127</v>
      </c>
      <c r="X53" t="s">
        <v>891</v>
      </c>
      <c r="Y53" t="s">
        <v>892</v>
      </c>
      <c r="Z53" t="s">
        <v>1339</v>
      </c>
      <c r="AA53" t="s">
        <v>353</v>
      </c>
      <c r="AC53" s="30">
        <v>43191</v>
      </c>
      <c r="AD53">
        <v>60</v>
      </c>
      <c r="AE53">
        <v>1</v>
      </c>
      <c r="AF53">
        <v>1</v>
      </c>
      <c r="AH53" s="21">
        <v>3</v>
      </c>
      <c r="AI53" t="s">
        <v>1340</v>
      </c>
      <c r="AJ53" s="26">
        <v>6</v>
      </c>
      <c r="AK53" s="22">
        <v>43042.509722222225</v>
      </c>
      <c r="AL53">
        <v>4</v>
      </c>
      <c r="AN53">
        <v>4</v>
      </c>
      <c r="AS53" t="s">
        <v>173</v>
      </c>
      <c r="AT53" t="s">
        <v>1341</v>
      </c>
      <c r="AU53" t="b">
        <f>IF(ckCodingTable[[#This Row],[ILN]]="N",SUBSTITUTE(AT52," ","")&lt;&gt;SUBSTITUTE(ckCodingTable[[#This Row],[prop_titl_txt]]," ",""), FALSE)</f>
        <v>0</v>
      </c>
      <c r="AV53">
        <v>0</v>
      </c>
      <c r="AW53" s="13">
        <v>500000</v>
      </c>
      <c r="AX53" s="13">
        <v>500000</v>
      </c>
      <c r="AY53" s="13"/>
      <c r="AZ53" s="13">
        <v>8000</v>
      </c>
      <c r="BA53" s="13"/>
      <c r="BB53" s="13"/>
      <c r="BC53">
        <v>5</v>
      </c>
      <c r="BD53">
        <v>5</v>
      </c>
      <c r="BE53">
        <v>5</v>
      </c>
      <c r="BH53">
        <v>0</v>
      </c>
      <c r="BI53">
        <v>0</v>
      </c>
      <c r="BJ53">
        <v>0</v>
      </c>
      <c r="BK53">
        <v>0</v>
      </c>
      <c r="BL53" t="s">
        <v>1342</v>
      </c>
    </row>
    <row r="54" spans="1:64">
      <c r="A54" s="30"/>
      <c r="B54" s="30">
        <v>42935.712500000001</v>
      </c>
      <c r="C54" t="s">
        <v>248</v>
      </c>
      <c r="D54" t="s">
        <v>1124</v>
      </c>
      <c r="E54" t="s">
        <v>1125</v>
      </c>
      <c r="F54" t="s">
        <v>172</v>
      </c>
      <c r="G54" t="s">
        <v>170</v>
      </c>
      <c r="H54" s="21" t="s">
        <v>94</v>
      </c>
      <c r="I54" s="87">
        <v>1</v>
      </c>
      <c r="J54" s="87">
        <v>0</v>
      </c>
      <c r="K54" t="s">
        <v>1271</v>
      </c>
      <c r="L54" t="s">
        <v>596</v>
      </c>
      <c r="M54" t="s">
        <v>99</v>
      </c>
      <c r="N54" t="str">
        <f>IF(SUM(ckCodingTable[[#This Row],[NfmlPIs]:[NnonWhtAsnPIs]])&gt;0,"WMD","")</f>
        <v/>
      </c>
      <c r="O54" t="b">
        <f>_xlfn.XOR(IFERROR(MATCH(ckCodingTable[[#This Row],[st_code]],EpscorTable[],0)&gt;0,FALSE),IFERROR(FIND("9150",ckCodingTable[[#This Row],[propPRCs]])&gt;0,FALSE))</f>
        <v>0</v>
      </c>
      <c r="P54" s="21" t="b">
        <f>_xlfn.XOR(ckCodingTable[[#This Row],[wmd]]&lt;&gt;"",IFERROR(FIND("9102",ckCodingTable[[#This Row],[propPRCs]])&gt;0,FALSE))</f>
        <v>0</v>
      </c>
      <c r="Q54" t="s">
        <v>1274</v>
      </c>
      <c r="S54" s="21">
        <f>S53+(ckCodingTable[[#This Row],[ILN]]&lt;"M")</f>
        <v>30</v>
      </c>
      <c r="T54" s="21" t="s">
        <v>96</v>
      </c>
      <c r="U54" t="s">
        <v>899</v>
      </c>
      <c r="V54" s="7" t="str">
        <f>HYPERLINK("https://www.ejacket.nsf.gov/ej/showProposal.do?ID="&amp;ckCodingTable[[#This Row],[prop_id]],"eJ")</f>
        <v>eJ</v>
      </c>
      <c r="W54" t="s">
        <v>1127</v>
      </c>
      <c r="X54" t="s">
        <v>899</v>
      </c>
      <c r="Y54" t="s">
        <v>900</v>
      </c>
      <c r="Z54" t="s">
        <v>1343</v>
      </c>
      <c r="AA54" t="s">
        <v>1344</v>
      </c>
      <c r="AC54" s="30">
        <v>43327</v>
      </c>
      <c r="AD54">
        <v>60</v>
      </c>
      <c r="AE54">
        <v>1</v>
      </c>
      <c r="AF54">
        <v>1</v>
      </c>
      <c r="AH54" s="21">
        <v>4</v>
      </c>
      <c r="AI54" t="s">
        <v>1345</v>
      </c>
      <c r="AJ54" s="26">
        <v>2</v>
      </c>
      <c r="AK54" s="22">
        <v>43041.644444444442</v>
      </c>
      <c r="AL54">
        <v>4</v>
      </c>
      <c r="AN54">
        <v>4</v>
      </c>
      <c r="AS54" t="s">
        <v>173</v>
      </c>
      <c r="AT54" t="s">
        <v>1346</v>
      </c>
      <c r="AU54" t="b">
        <f>IF(ckCodingTable[[#This Row],[ILN]]="N",SUBSTITUTE(AT53," ","")&lt;&gt;SUBSTITUTE(ckCodingTable[[#This Row],[prop_titl_txt]]," ",""), FALSE)</f>
        <v>0</v>
      </c>
      <c r="AV54">
        <v>0</v>
      </c>
      <c r="AW54" s="13">
        <v>662136</v>
      </c>
      <c r="AX54" s="13">
        <v>662136</v>
      </c>
      <c r="AY54" s="13"/>
      <c r="AZ54" s="13"/>
      <c r="BA54" s="13"/>
      <c r="BB54" s="13"/>
      <c r="BC54">
        <v>5</v>
      </c>
      <c r="BD54">
        <v>5</v>
      </c>
      <c r="BE54">
        <v>10</v>
      </c>
      <c r="BH54">
        <v>0</v>
      </c>
      <c r="BI54">
        <v>0</v>
      </c>
      <c r="BJ54">
        <v>0</v>
      </c>
      <c r="BK54">
        <v>0</v>
      </c>
      <c r="BL54" t="s">
        <v>1347</v>
      </c>
    </row>
    <row r="55" spans="1:64">
      <c r="A55" s="30"/>
      <c r="B55" s="30">
        <v>42935.732638888891</v>
      </c>
      <c r="C55" t="s">
        <v>248</v>
      </c>
      <c r="D55" t="s">
        <v>1124</v>
      </c>
      <c r="E55" t="s">
        <v>1125</v>
      </c>
      <c r="F55" t="s">
        <v>172</v>
      </c>
      <c r="G55" t="s">
        <v>170</v>
      </c>
      <c r="H55" s="21" t="s">
        <v>94</v>
      </c>
      <c r="I55" s="87">
        <v>1</v>
      </c>
      <c r="J55" s="87">
        <v>0</v>
      </c>
      <c r="K55" t="s">
        <v>1271</v>
      </c>
      <c r="L55" t="s">
        <v>596</v>
      </c>
      <c r="M55" t="s">
        <v>1181</v>
      </c>
      <c r="N55" t="str">
        <f>IF(SUM(ckCodingTable[[#This Row],[NfmlPIs]:[NnonWhtAsnPIs]])&gt;0,"WMD","")</f>
        <v/>
      </c>
      <c r="O55" t="b">
        <f>_xlfn.XOR(IFERROR(MATCH(ckCodingTable[[#This Row],[st_code]],EpscorTable[],0)&gt;0,FALSE),IFERROR(FIND("9150",ckCodingTable[[#This Row],[propPRCs]])&gt;0,FALSE))</f>
        <v>0</v>
      </c>
      <c r="P55" s="21" t="b">
        <f>_xlfn.XOR(ckCodingTable[[#This Row],[wmd]]&lt;&gt;"",IFERROR(FIND("9102",ckCodingTable[[#This Row],[propPRCs]])&gt;0,FALSE))</f>
        <v>0</v>
      </c>
      <c r="Q55" t="s">
        <v>256</v>
      </c>
      <c r="S55" s="21">
        <f>S54+(ckCodingTable[[#This Row],[ILN]]&lt;"M")</f>
        <v>31</v>
      </c>
      <c r="T55" s="21" t="s">
        <v>96</v>
      </c>
      <c r="U55" t="s">
        <v>907</v>
      </c>
      <c r="V55" s="7" t="str">
        <f>HYPERLINK("https://www.ejacket.nsf.gov/ej/showProposal.do?ID="&amp;ckCodingTable[[#This Row],[prop_id]],"eJ")</f>
        <v>eJ</v>
      </c>
      <c r="W55" t="s">
        <v>1127</v>
      </c>
      <c r="X55" t="s">
        <v>907</v>
      </c>
      <c r="Y55" t="s">
        <v>908</v>
      </c>
      <c r="Z55" t="s">
        <v>1348</v>
      </c>
      <c r="AA55" t="s">
        <v>1183</v>
      </c>
      <c r="AC55" s="30">
        <v>43101</v>
      </c>
      <c r="AD55">
        <v>60</v>
      </c>
      <c r="AE55">
        <v>1</v>
      </c>
      <c r="AF55">
        <v>1</v>
      </c>
      <c r="AH55" s="21">
        <v>3</v>
      </c>
      <c r="AI55" t="s">
        <v>1228</v>
      </c>
      <c r="AJ55" s="26">
        <v>5.25</v>
      </c>
      <c r="AK55" s="22">
        <v>43042.375</v>
      </c>
      <c r="AL55">
        <v>4</v>
      </c>
      <c r="AN55">
        <v>4</v>
      </c>
      <c r="AO55">
        <v>2</v>
      </c>
      <c r="AS55" t="s">
        <v>173</v>
      </c>
      <c r="AT55" t="s">
        <v>1349</v>
      </c>
      <c r="AU55" t="b">
        <f>IF(ckCodingTable[[#This Row],[ILN]]="N",SUBSTITUTE(AT54," ","")&lt;&gt;SUBSTITUTE(ckCodingTable[[#This Row],[prop_titl_txt]]," ",""), FALSE)</f>
        <v>0</v>
      </c>
      <c r="AV55">
        <v>0</v>
      </c>
      <c r="AW55" s="13">
        <v>557308</v>
      </c>
      <c r="AX55" s="13">
        <v>557308</v>
      </c>
      <c r="AY55" s="13"/>
      <c r="AZ55" s="13">
        <v>41480</v>
      </c>
      <c r="BA55" s="13"/>
      <c r="BB55" s="13"/>
      <c r="BC55">
        <v>5</v>
      </c>
      <c r="BD55">
        <v>5</v>
      </c>
      <c r="BE55">
        <v>2.5</v>
      </c>
      <c r="BF55">
        <v>2.25</v>
      </c>
      <c r="BH55">
        <v>0</v>
      </c>
      <c r="BI55">
        <v>0</v>
      </c>
      <c r="BJ55">
        <v>0</v>
      </c>
      <c r="BK55">
        <v>0</v>
      </c>
      <c r="BL55" t="s">
        <v>1350</v>
      </c>
    </row>
    <row r="56" spans="1:64">
      <c r="A56" s="30"/>
      <c r="B56" s="30">
        <v>42935.743750000001</v>
      </c>
      <c r="C56" t="s">
        <v>248</v>
      </c>
      <c r="D56" t="s">
        <v>1124</v>
      </c>
      <c r="E56" t="s">
        <v>1125</v>
      </c>
      <c r="F56" t="s">
        <v>172</v>
      </c>
      <c r="G56" t="s">
        <v>170</v>
      </c>
      <c r="H56" s="21" t="s">
        <v>94</v>
      </c>
      <c r="I56" s="87">
        <v>1</v>
      </c>
      <c r="J56" s="87">
        <v>0</v>
      </c>
      <c r="K56" t="s">
        <v>1271</v>
      </c>
      <c r="L56" t="s">
        <v>596</v>
      </c>
      <c r="M56" t="s">
        <v>109</v>
      </c>
      <c r="N56" t="str">
        <f>IF(SUM(ckCodingTable[[#This Row],[NfmlPIs]:[NnonWhtAsnPIs]])&gt;0,"WMD","")</f>
        <v/>
      </c>
      <c r="O56" t="b">
        <f>_xlfn.XOR(IFERROR(MATCH(ckCodingTable[[#This Row],[st_code]],EpscorTable[],0)&gt;0,FALSE),IFERROR(FIND("9150",ckCodingTable[[#This Row],[propPRCs]])&gt;0,FALSE))</f>
        <v>0</v>
      </c>
      <c r="P56" s="21" t="b">
        <f>_xlfn.XOR(ckCodingTable[[#This Row],[wmd]]&lt;&gt;"",IFERROR(FIND("9102",ckCodingTable[[#This Row],[propPRCs]])&gt;0,FALSE))</f>
        <v>0</v>
      </c>
      <c r="Q56" t="s">
        <v>1274</v>
      </c>
      <c r="S56" s="21">
        <f>S55+(ckCodingTable[[#This Row],[ILN]]&lt;"M")</f>
        <v>32</v>
      </c>
      <c r="T56" s="21" t="s">
        <v>96</v>
      </c>
      <c r="U56" t="s">
        <v>915</v>
      </c>
      <c r="V56" s="7" t="str">
        <f>HYPERLINK("https://www.ejacket.nsf.gov/ej/showProposal.do?ID="&amp;ckCodingTable[[#This Row],[prop_id]],"eJ")</f>
        <v>eJ</v>
      </c>
      <c r="W56" t="s">
        <v>1127</v>
      </c>
      <c r="X56" t="s">
        <v>915</v>
      </c>
      <c r="Y56" t="s">
        <v>916</v>
      </c>
      <c r="Z56" t="s">
        <v>1351</v>
      </c>
      <c r="AA56" t="s">
        <v>1352</v>
      </c>
      <c r="AC56" s="30">
        <v>43101</v>
      </c>
      <c r="AD56">
        <v>60</v>
      </c>
      <c r="AE56">
        <v>1</v>
      </c>
      <c r="AF56">
        <v>1</v>
      </c>
      <c r="AH56" s="21">
        <v>3</v>
      </c>
      <c r="AI56" t="s">
        <v>1353</v>
      </c>
      <c r="AJ56" s="26">
        <v>4</v>
      </c>
      <c r="AK56" s="22">
        <v>43041.750694444447</v>
      </c>
      <c r="AL56">
        <v>4</v>
      </c>
      <c r="AN56">
        <v>4</v>
      </c>
      <c r="AS56" t="s">
        <v>173</v>
      </c>
      <c r="AT56" t="s">
        <v>1354</v>
      </c>
      <c r="AU56" t="b">
        <f>IF(ckCodingTable[[#This Row],[ILN]]="N",SUBSTITUTE(AT55," ","")&lt;&gt;SUBSTITUTE(ckCodingTable[[#This Row],[prop_titl_txt]]," ",""), FALSE)</f>
        <v>0</v>
      </c>
      <c r="AV56">
        <v>0</v>
      </c>
      <c r="AW56" s="13">
        <v>500000</v>
      </c>
      <c r="AX56" s="13">
        <v>500000</v>
      </c>
      <c r="AY56" s="13"/>
      <c r="AZ56" s="13"/>
      <c r="BA56" s="13"/>
      <c r="BB56" s="13"/>
      <c r="BC56">
        <v>10</v>
      </c>
      <c r="BD56">
        <v>5</v>
      </c>
      <c r="BE56">
        <v>5</v>
      </c>
      <c r="BH56">
        <v>0</v>
      </c>
      <c r="BI56">
        <v>0</v>
      </c>
      <c r="BJ56">
        <v>0</v>
      </c>
      <c r="BK56">
        <v>0</v>
      </c>
      <c r="BL56" t="s">
        <v>1355</v>
      </c>
    </row>
    <row r="57" spans="1:64">
      <c r="A57" s="30"/>
      <c r="B57" s="30">
        <v>42935.765972222223</v>
      </c>
      <c r="C57" t="s">
        <v>248</v>
      </c>
      <c r="D57" t="s">
        <v>1124</v>
      </c>
      <c r="E57" t="s">
        <v>1125</v>
      </c>
      <c r="F57" t="s">
        <v>172</v>
      </c>
      <c r="G57" t="s">
        <v>170</v>
      </c>
      <c r="H57" s="21" t="s">
        <v>94</v>
      </c>
      <c r="I57" s="87">
        <v>1</v>
      </c>
      <c r="J57" s="87">
        <v>0</v>
      </c>
      <c r="K57" t="s">
        <v>1271</v>
      </c>
      <c r="L57" t="s">
        <v>596</v>
      </c>
      <c r="M57" t="s">
        <v>263</v>
      </c>
      <c r="N57" t="str">
        <f>IF(SUM(ckCodingTable[[#This Row],[NfmlPIs]:[NnonWhtAsnPIs]])&gt;0,"WMD","")</f>
        <v/>
      </c>
      <c r="O57" t="b">
        <f>_xlfn.XOR(IFERROR(MATCH(ckCodingTable[[#This Row],[st_code]],EpscorTable[],0)&gt;0,FALSE),IFERROR(FIND("9150",ckCodingTable[[#This Row],[propPRCs]])&gt;0,FALSE))</f>
        <v>0</v>
      </c>
      <c r="P57" s="21" t="b">
        <f>_xlfn.XOR(ckCodingTable[[#This Row],[wmd]]&lt;&gt;"",IFERROR(FIND("9102",ckCodingTable[[#This Row],[propPRCs]])&gt;0,FALSE))</f>
        <v>0</v>
      </c>
      <c r="Q57" t="s">
        <v>256</v>
      </c>
      <c r="S57" s="21">
        <f>S56+(ckCodingTable[[#This Row],[ILN]]&lt;"M")</f>
        <v>33</v>
      </c>
      <c r="T57" s="21" t="s">
        <v>96</v>
      </c>
      <c r="U57" t="s">
        <v>923</v>
      </c>
      <c r="V57" s="7" t="str">
        <f>HYPERLINK("https://www.ejacket.nsf.gov/ej/showProposal.do?ID="&amp;ckCodingTable[[#This Row],[prop_id]],"eJ")</f>
        <v>eJ</v>
      </c>
      <c r="W57" t="s">
        <v>1127</v>
      </c>
      <c r="X57" t="s">
        <v>923</v>
      </c>
      <c r="Y57" t="s">
        <v>924</v>
      </c>
      <c r="Z57" t="s">
        <v>1356</v>
      </c>
      <c r="AA57" t="s">
        <v>1357</v>
      </c>
      <c r="AC57" s="30">
        <v>43358</v>
      </c>
      <c r="AD57">
        <v>60</v>
      </c>
      <c r="AE57">
        <v>1</v>
      </c>
      <c r="AF57">
        <v>1</v>
      </c>
      <c r="AH57" s="21">
        <v>3</v>
      </c>
      <c r="AI57" t="s">
        <v>1358</v>
      </c>
      <c r="AJ57" s="26">
        <v>3.5</v>
      </c>
      <c r="AK57" s="22">
        <v>43042.334027777775</v>
      </c>
      <c r="AL57">
        <v>4</v>
      </c>
      <c r="AN57">
        <v>4</v>
      </c>
      <c r="AO57">
        <v>1</v>
      </c>
      <c r="AS57" t="s">
        <v>173</v>
      </c>
      <c r="AT57" t="s">
        <v>1359</v>
      </c>
      <c r="AU57" t="b">
        <f>IF(ckCodingTable[[#This Row],[ILN]]="N",SUBSTITUTE(AT56," ","")&lt;&gt;SUBSTITUTE(ckCodingTable[[#This Row],[prop_titl_txt]]," ",""), FALSE)</f>
        <v>0</v>
      </c>
      <c r="AV57">
        <v>0</v>
      </c>
      <c r="AW57" s="13">
        <v>630787</v>
      </c>
      <c r="AX57" s="13">
        <v>630787</v>
      </c>
      <c r="AY57" s="13"/>
      <c r="AZ57" s="13"/>
      <c r="BA57" s="13"/>
      <c r="BB57" s="13"/>
      <c r="BC57">
        <v>5</v>
      </c>
      <c r="BD57">
        <v>5</v>
      </c>
      <c r="BE57">
        <v>10</v>
      </c>
      <c r="BH57">
        <v>0</v>
      </c>
      <c r="BI57">
        <v>0</v>
      </c>
      <c r="BJ57">
        <v>0</v>
      </c>
      <c r="BK57">
        <v>0</v>
      </c>
      <c r="BL57" t="s">
        <v>1360</v>
      </c>
    </row>
    <row r="58" spans="1:64">
      <c r="A58" s="30"/>
      <c r="B58" s="30">
        <v>42935.916666666664</v>
      </c>
      <c r="C58" t="s">
        <v>248</v>
      </c>
      <c r="D58" t="s">
        <v>1124</v>
      </c>
      <c r="E58" t="s">
        <v>1125</v>
      </c>
      <c r="F58" t="s">
        <v>172</v>
      </c>
      <c r="G58" t="s">
        <v>170</v>
      </c>
      <c r="H58" s="21" t="s">
        <v>94</v>
      </c>
      <c r="I58" s="87">
        <v>1</v>
      </c>
      <c r="J58" s="87">
        <v>0</v>
      </c>
      <c r="K58" t="s">
        <v>1271</v>
      </c>
      <c r="L58" t="s">
        <v>596</v>
      </c>
      <c r="M58" t="s">
        <v>101</v>
      </c>
      <c r="N58" t="str">
        <f>IF(SUM(ckCodingTable[[#This Row],[NfmlPIs]:[NnonWhtAsnPIs]])&gt;0,"WMD","")</f>
        <v/>
      </c>
      <c r="O58" t="b">
        <f>_xlfn.XOR(IFERROR(MATCH(ckCodingTable[[#This Row],[st_code]],EpscorTable[],0)&gt;0,FALSE),IFERROR(FIND("9150",ckCodingTable[[#This Row],[propPRCs]])&gt;0,FALSE))</f>
        <v>0</v>
      </c>
      <c r="P58" s="21" t="b">
        <f>_xlfn.XOR(ckCodingTable[[#This Row],[wmd]]&lt;&gt;"",IFERROR(FIND("9102",ckCodingTable[[#This Row],[propPRCs]])&gt;0,FALSE))</f>
        <v>0</v>
      </c>
      <c r="Q58" t="s">
        <v>1274</v>
      </c>
      <c r="S58" s="21">
        <f>S57+(ckCodingTable[[#This Row],[ILN]]&lt;"M")</f>
        <v>34</v>
      </c>
      <c r="T58" s="21" t="s">
        <v>96</v>
      </c>
      <c r="U58" t="s">
        <v>931</v>
      </c>
      <c r="V58" s="7" t="str">
        <f>HYPERLINK("https://www.ejacket.nsf.gov/ej/showProposal.do?ID="&amp;ckCodingTable[[#This Row],[prop_id]],"eJ")</f>
        <v>eJ</v>
      </c>
      <c r="W58" t="s">
        <v>1127</v>
      </c>
      <c r="X58" t="s">
        <v>931</v>
      </c>
      <c r="Y58" t="s">
        <v>354</v>
      </c>
      <c r="Z58" t="s">
        <v>1361</v>
      </c>
      <c r="AA58" t="s">
        <v>365</v>
      </c>
      <c r="AC58" s="30">
        <v>42979</v>
      </c>
      <c r="AD58">
        <v>60</v>
      </c>
      <c r="AE58">
        <v>1</v>
      </c>
      <c r="AF58">
        <v>1</v>
      </c>
      <c r="AH58" s="21">
        <v>4</v>
      </c>
      <c r="AI58" t="s">
        <v>1362</v>
      </c>
      <c r="AJ58" s="26">
        <v>2.75</v>
      </c>
      <c r="AK58" s="22">
        <v>43041.422222222223</v>
      </c>
      <c r="AL58">
        <v>4</v>
      </c>
      <c r="AN58">
        <v>4</v>
      </c>
      <c r="AS58" t="s">
        <v>173</v>
      </c>
      <c r="AT58" t="s">
        <v>1363</v>
      </c>
      <c r="AU58" t="b">
        <f>IF(ckCodingTable[[#This Row],[ILN]]="N",SUBSTITUTE(AT57," ","")&lt;&gt;SUBSTITUTE(ckCodingTable[[#This Row],[prop_titl_txt]]," ",""), FALSE)</f>
        <v>0</v>
      </c>
      <c r="AV58">
        <v>0</v>
      </c>
      <c r="AW58" s="13">
        <v>400188</v>
      </c>
      <c r="AX58" s="13">
        <v>400188</v>
      </c>
      <c r="AY58" s="13"/>
      <c r="AZ58" s="13">
        <v>17500</v>
      </c>
      <c r="BA58" s="13"/>
      <c r="BB58" s="13"/>
      <c r="BC58">
        <v>5</v>
      </c>
      <c r="BD58">
        <v>5</v>
      </c>
      <c r="BE58">
        <v>10</v>
      </c>
      <c r="BH58">
        <v>0</v>
      </c>
      <c r="BI58">
        <v>0</v>
      </c>
      <c r="BJ58">
        <v>0</v>
      </c>
      <c r="BK58">
        <v>0</v>
      </c>
      <c r="BL58" t="s">
        <v>1364</v>
      </c>
    </row>
    <row r="59" spans="1:64">
      <c r="A59" s="30"/>
      <c r="B59" s="30">
        <v>42936.376388888886</v>
      </c>
      <c r="C59" t="s">
        <v>248</v>
      </c>
      <c r="D59" t="s">
        <v>1124</v>
      </c>
      <c r="E59" t="s">
        <v>1125</v>
      </c>
      <c r="F59" t="s">
        <v>172</v>
      </c>
      <c r="G59" t="s">
        <v>170</v>
      </c>
      <c r="H59" s="21" t="s">
        <v>94</v>
      </c>
      <c r="I59" s="87">
        <v>1</v>
      </c>
      <c r="J59" s="87">
        <v>0</v>
      </c>
      <c r="K59" t="s">
        <v>1365</v>
      </c>
      <c r="L59" t="s">
        <v>596</v>
      </c>
      <c r="M59" t="s">
        <v>357</v>
      </c>
      <c r="N59" t="str">
        <f>IF(SUM(ckCodingTable[[#This Row],[NfmlPIs]:[NnonWhtAsnPIs]])&gt;0,"WMD","")</f>
        <v>WMD</v>
      </c>
      <c r="O59" t="b">
        <f>_xlfn.XOR(IFERROR(MATCH(ckCodingTable[[#This Row],[st_code]],EpscorTable[],0)&gt;0,FALSE),IFERROR(FIND("9150",ckCodingTable[[#This Row],[propPRCs]])&gt;0,FALSE))</f>
        <v>0</v>
      </c>
      <c r="P59" s="21" t="b">
        <f>_xlfn.XOR(ckCodingTable[[#This Row],[wmd]]&lt;&gt;"",IFERROR(FIND("9102",ckCodingTable[[#This Row],[propPRCs]])&gt;0,FALSE))</f>
        <v>1</v>
      </c>
      <c r="Q59" t="s">
        <v>256</v>
      </c>
      <c r="S59" s="21">
        <f>S58+(ckCodingTable[[#This Row],[ILN]]&lt;"M")</f>
        <v>35</v>
      </c>
      <c r="T59" s="21" t="s">
        <v>96</v>
      </c>
      <c r="U59" t="s">
        <v>940</v>
      </c>
      <c r="V59" s="7" t="str">
        <f>HYPERLINK("https://www.ejacket.nsf.gov/ej/showProposal.do?ID="&amp;ckCodingTable[[#This Row],[prop_id]],"eJ")</f>
        <v>eJ</v>
      </c>
      <c r="W59" t="s">
        <v>1127</v>
      </c>
      <c r="X59" t="s">
        <v>940</v>
      </c>
      <c r="Y59" t="s">
        <v>369</v>
      </c>
      <c r="Z59" t="s">
        <v>1366</v>
      </c>
      <c r="AA59" t="s">
        <v>1367</v>
      </c>
      <c r="AC59" s="30">
        <v>43221</v>
      </c>
      <c r="AD59">
        <v>60</v>
      </c>
      <c r="AE59">
        <v>3</v>
      </c>
      <c r="AF59">
        <v>2</v>
      </c>
      <c r="AH59" s="21">
        <v>0.01</v>
      </c>
      <c r="AI59" t="s">
        <v>1368</v>
      </c>
      <c r="AJ59" s="26">
        <v>6</v>
      </c>
      <c r="AK59" s="22">
        <v>43041.425000000003</v>
      </c>
      <c r="AL59">
        <v>11</v>
      </c>
      <c r="AN59">
        <v>11</v>
      </c>
      <c r="AS59" t="s">
        <v>173</v>
      </c>
      <c r="AT59" t="s">
        <v>1369</v>
      </c>
      <c r="AU59" t="b">
        <f>IF(ckCodingTable[[#This Row],[ILN]]="N",SUBSTITUTE(AT58," ","")&lt;&gt;SUBSTITUTE(ckCodingTable[[#This Row],[prop_titl_txt]]," ",""), FALSE)</f>
        <v>0</v>
      </c>
      <c r="AV59">
        <v>0</v>
      </c>
      <c r="AW59" s="13">
        <v>508934</v>
      </c>
      <c r="AX59" s="13">
        <v>508934</v>
      </c>
      <c r="AY59" s="13"/>
      <c r="AZ59" s="13"/>
      <c r="BA59" s="13"/>
      <c r="BB59" s="13"/>
      <c r="BC59">
        <v>5</v>
      </c>
      <c r="BD59">
        <v>5</v>
      </c>
      <c r="BE59">
        <v>5</v>
      </c>
      <c r="BH59">
        <v>2</v>
      </c>
      <c r="BI59">
        <v>0</v>
      </c>
      <c r="BJ59">
        <v>0</v>
      </c>
      <c r="BK59">
        <v>0</v>
      </c>
      <c r="BL59" t="s">
        <v>1370</v>
      </c>
    </row>
    <row r="60" spans="1:64">
      <c r="A60" s="30"/>
      <c r="B60" s="30">
        <v>42936.688194444447</v>
      </c>
      <c r="C60" t="s">
        <v>248</v>
      </c>
      <c r="D60" t="s">
        <v>1124</v>
      </c>
      <c r="E60" t="s">
        <v>1125</v>
      </c>
      <c r="F60" t="s">
        <v>172</v>
      </c>
      <c r="G60" t="s">
        <v>170</v>
      </c>
      <c r="H60" s="21" t="s">
        <v>94</v>
      </c>
      <c r="I60" s="87">
        <v>1</v>
      </c>
      <c r="J60" s="87">
        <v>0</v>
      </c>
      <c r="K60" t="s">
        <v>1271</v>
      </c>
      <c r="L60" t="s">
        <v>596</v>
      </c>
      <c r="M60" t="s">
        <v>359</v>
      </c>
      <c r="N60" t="str">
        <f>IF(SUM(ckCodingTable[[#This Row],[NfmlPIs]:[NnonWhtAsnPIs]])&gt;0,"WMD","")</f>
        <v/>
      </c>
      <c r="O60" t="b">
        <f>_xlfn.XOR(IFERROR(MATCH(ckCodingTable[[#This Row],[st_code]],EpscorTable[],0)&gt;0,FALSE),IFERROR(FIND("9150",ckCodingTable[[#This Row],[propPRCs]])&gt;0,FALSE))</f>
        <v>0</v>
      </c>
      <c r="P60" s="21" t="b">
        <f>_xlfn.XOR(ckCodingTable[[#This Row],[wmd]]&lt;&gt;"",IFERROR(FIND("9102",ckCodingTable[[#This Row],[propPRCs]])&gt;0,FALSE))</f>
        <v>0</v>
      </c>
      <c r="Q60" t="s">
        <v>256</v>
      </c>
      <c r="S60" s="21">
        <f>S59+(ckCodingTable[[#This Row],[ILN]]&lt;"M")</f>
        <v>36</v>
      </c>
      <c r="T60" s="21" t="s">
        <v>96</v>
      </c>
      <c r="U60" t="s">
        <v>966</v>
      </c>
      <c r="V60" s="7" t="str">
        <f>HYPERLINK("https://www.ejacket.nsf.gov/ej/showProposal.do?ID="&amp;ckCodingTable[[#This Row],[prop_id]],"eJ")</f>
        <v>eJ</v>
      </c>
      <c r="W60" t="s">
        <v>1127</v>
      </c>
      <c r="X60" t="s">
        <v>966</v>
      </c>
      <c r="Y60" t="s">
        <v>967</v>
      </c>
      <c r="Z60" t="s">
        <v>1371</v>
      </c>
      <c r="AA60" t="s">
        <v>1372</v>
      </c>
      <c r="AC60" s="30">
        <v>43115</v>
      </c>
      <c r="AD60">
        <v>60</v>
      </c>
      <c r="AE60">
        <v>1</v>
      </c>
      <c r="AF60">
        <v>1</v>
      </c>
      <c r="AH60" s="21">
        <v>4</v>
      </c>
      <c r="AI60" t="s">
        <v>1373</v>
      </c>
      <c r="AJ60" s="26">
        <v>4.25</v>
      </c>
      <c r="AK60" s="22">
        <v>43041.696527777778</v>
      </c>
      <c r="AL60">
        <v>4</v>
      </c>
      <c r="AN60">
        <v>4</v>
      </c>
      <c r="AO60">
        <v>1</v>
      </c>
      <c r="AS60" t="s">
        <v>173</v>
      </c>
      <c r="AT60" t="s">
        <v>1374</v>
      </c>
      <c r="AU60" t="b">
        <f>IF(ckCodingTable[[#This Row],[ILN]]="N",SUBSTITUTE(AT59," ","")&lt;&gt;SUBSTITUTE(ckCodingTable[[#This Row],[prop_titl_txt]]," ",""), FALSE)</f>
        <v>0</v>
      </c>
      <c r="AV60">
        <v>0</v>
      </c>
      <c r="AW60" s="13">
        <v>500000</v>
      </c>
      <c r="AX60" s="13">
        <v>500000</v>
      </c>
      <c r="AY60" s="13"/>
      <c r="AZ60" s="13"/>
      <c r="BA60" s="13"/>
      <c r="BB60" s="13"/>
      <c r="BC60">
        <v>8</v>
      </c>
      <c r="BD60">
        <v>5</v>
      </c>
      <c r="BE60">
        <v>5</v>
      </c>
      <c r="BH60">
        <v>0</v>
      </c>
      <c r="BI60">
        <v>0</v>
      </c>
      <c r="BJ60">
        <v>0</v>
      </c>
      <c r="BK60">
        <v>0</v>
      </c>
      <c r="BL60" t="s">
        <v>1375</v>
      </c>
    </row>
    <row r="61" spans="1:64">
      <c r="A61" s="30"/>
      <c r="B61" s="30">
        <v>42968.718055555553</v>
      </c>
      <c r="C61" t="s">
        <v>1376</v>
      </c>
      <c r="D61" t="s">
        <v>1124</v>
      </c>
      <c r="E61" t="s">
        <v>1377</v>
      </c>
      <c r="F61" t="s">
        <v>172</v>
      </c>
      <c r="G61" t="s">
        <v>170</v>
      </c>
      <c r="H61" s="21" t="s">
        <v>94</v>
      </c>
      <c r="I61" s="87">
        <v>1</v>
      </c>
      <c r="J61" s="87">
        <v>0</v>
      </c>
      <c r="K61" t="s">
        <v>1378</v>
      </c>
      <c r="L61" t="s">
        <v>705</v>
      </c>
      <c r="M61" t="s">
        <v>363</v>
      </c>
      <c r="N61" t="str">
        <f>IF(SUM(ckCodingTable[[#This Row],[NfmlPIs]:[NnonWhtAsnPIs]])&gt;0,"WMD","")</f>
        <v/>
      </c>
      <c r="O61" t="b">
        <f>_xlfn.XOR(IFERROR(MATCH(ckCodingTable[[#This Row],[st_code]],EpscorTable[],0)&gt;0,FALSE),IFERROR(FIND("9150",ckCodingTable[[#This Row],[propPRCs]])&gt;0,FALSE))</f>
        <v>0</v>
      </c>
      <c r="P61" s="21" t="b">
        <f>_xlfn.XOR(ckCodingTable[[#This Row],[wmd]]&lt;&gt;"",IFERROR(FIND("9102",ckCodingTable[[#This Row],[propPRCs]])&gt;0,FALSE))</f>
        <v>0</v>
      </c>
      <c r="Q61" t="s">
        <v>592</v>
      </c>
      <c r="R61" s="22">
        <v>43048.503634259258</v>
      </c>
      <c r="S61" s="21">
        <f>S60+(ckCodingTable[[#This Row],[ILN]]&lt;"M")</f>
        <v>37</v>
      </c>
      <c r="T61" s="21" t="s">
        <v>96</v>
      </c>
      <c r="U61" t="s">
        <v>975</v>
      </c>
      <c r="V61" s="7" t="str">
        <f>HYPERLINK("https://www.ejacket.nsf.gov/ej/showProposal.do?ID="&amp;ckCodingTable[[#This Row],[prop_id]],"eJ")</f>
        <v>eJ</v>
      </c>
      <c r="W61" t="s">
        <v>1127</v>
      </c>
      <c r="X61" t="s">
        <v>975</v>
      </c>
      <c r="Y61" t="s">
        <v>976</v>
      </c>
      <c r="Z61" t="s">
        <v>1379</v>
      </c>
      <c r="AA61" t="s">
        <v>1380</v>
      </c>
      <c r="AC61" s="30">
        <v>43160</v>
      </c>
      <c r="AD61">
        <v>36</v>
      </c>
      <c r="AE61">
        <v>1</v>
      </c>
      <c r="AF61">
        <v>1</v>
      </c>
      <c r="AH61" s="21">
        <v>3</v>
      </c>
      <c r="AI61" t="s">
        <v>1244</v>
      </c>
      <c r="AJ61" s="26">
        <v>5</v>
      </c>
      <c r="AK61" s="22">
        <v>43034.654861111114</v>
      </c>
      <c r="AL61">
        <v>4</v>
      </c>
      <c r="AS61" t="s">
        <v>1381</v>
      </c>
      <c r="AT61" t="s">
        <v>1382</v>
      </c>
      <c r="AU61" t="b">
        <f>IF(ckCodingTable[[#This Row],[ILN]]="N",SUBSTITUTE(AT60," ","")&lt;&gt;SUBSTITUTE(ckCodingTable[[#This Row],[prop_titl_txt]]," ",""), FALSE)</f>
        <v>0</v>
      </c>
      <c r="AV61">
        <v>0</v>
      </c>
      <c r="AW61" s="13">
        <v>365510</v>
      </c>
      <c r="AX61" s="13">
        <v>357120</v>
      </c>
      <c r="AY61" s="13"/>
      <c r="AZ61" s="13"/>
      <c r="BA61" s="13"/>
      <c r="BB61" s="13">
        <v>255000</v>
      </c>
      <c r="BC61">
        <v>3</v>
      </c>
      <c r="BD61">
        <v>6</v>
      </c>
      <c r="BE61">
        <v>2.88</v>
      </c>
      <c r="BH61">
        <v>0</v>
      </c>
      <c r="BI61">
        <v>0</v>
      </c>
      <c r="BJ61">
        <v>0</v>
      </c>
      <c r="BK61">
        <v>0</v>
      </c>
      <c r="BL61" t="s">
        <v>1383</v>
      </c>
    </row>
    <row r="62" spans="1:64">
      <c r="A62" s="30">
        <v>43060.397106481483</v>
      </c>
      <c r="B62" s="30">
        <v>42969.449305555558</v>
      </c>
      <c r="C62" t="s">
        <v>1376</v>
      </c>
      <c r="D62" t="s">
        <v>1124</v>
      </c>
      <c r="E62" t="s">
        <v>1377</v>
      </c>
      <c r="F62" t="s">
        <v>456</v>
      </c>
      <c r="G62" t="s">
        <v>170</v>
      </c>
      <c r="H62" s="21" t="s">
        <v>94</v>
      </c>
      <c r="I62" s="87">
        <v>1</v>
      </c>
      <c r="J62" s="87">
        <v>0</v>
      </c>
      <c r="K62" t="s">
        <v>1378</v>
      </c>
      <c r="L62" t="s">
        <v>705</v>
      </c>
      <c r="M62" t="s">
        <v>357</v>
      </c>
      <c r="N62" t="str">
        <f>IF(SUM(ckCodingTable[[#This Row],[NfmlPIs]:[NnonWhtAsnPIs]])&gt;0,"WMD","")</f>
        <v/>
      </c>
      <c r="O62" t="b">
        <f>_xlfn.XOR(IFERROR(MATCH(ckCodingTable[[#This Row],[st_code]],EpscorTable[],0)&gt;0,FALSE),IFERROR(FIND("9150",ckCodingTable[[#This Row],[propPRCs]])&gt;0,FALSE))</f>
        <v>0</v>
      </c>
      <c r="P62" s="21" t="b">
        <f>_xlfn.XOR(ckCodingTable[[#This Row],[wmd]]&lt;&gt;"",IFERROR(FIND("9102",ckCodingTable[[#This Row],[propPRCs]])&gt;0,FALSE))</f>
        <v>0</v>
      </c>
      <c r="Q62" t="s">
        <v>1384</v>
      </c>
      <c r="R62" s="22">
        <v>43048.501631944448</v>
      </c>
      <c r="S62" s="21">
        <f>S61+(ckCodingTable[[#This Row],[ILN]]&lt;"M")</f>
        <v>38</v>
      </c>
      <c r="T62" s="21" t="s">
        <v>96</v>
      </c>
      <c r="U62" t="s">
        <v>996</v>
      </c>
      <c r="V62" s="7" t="str">
        <f>HYPERLINK("https://www.ejacket.nsf.gov/ej/showProposal.do?ID="&amp;ckCodingTable[[#This Row],[prop_id]],"eJ")</f>
        <v>eJ</v>
      </c>
      <c r="W62" t="s">
        <v>1127</v>
      </c>
      <c r="X62" t="s">
        <v>996</v>
      </c>
      <c r="Y62" t="s">
        <v>997</v>
      </c>
      <c r="Z62" t="s">
        <v>1385</v>
      </c>
      <c r="AA62" t="s">
        <v>356</v>
      </c>
      <c r="AC62" s="30">
        <v>43174</v>
      </c>
      <c r="AD62">
        <v>36</v>
      </c>
      <c r="AE62">
        <v>1</v>
      </c>
      <c r="AH62" s="21">
        <v>4</v>
      </c>
      <c r="AI62" t="s">
        <v>1303</v>
      </c>
      <c r="AJ62" s="26">
        <v>4.25</v>
      </c>
      <c r="AK62" s="22">
        <v>43034.668749999997</v>
      </c>
      <c r="AL62">
        <v>4</v>
      </c>
      <c r="AS62" t="s">
        <v>455</v>
      </c>
      <c r="AT62" t="s">
        <v>1386</v>
      </c>
      <c r="AU62" t="b">
        <f>IF(ckCodingTable[[#This Row],[ILN]]="N",SUBSTITUTE(AT61," ","")&lt;&gt;SUBSTITUTE(ckCodingTable[[#This Row],[prop_titl_txt]]," ",""), FALSE)</f>
        <v>0</v>
      </c>
      <c r="AV62">
        <v>0</v>
      </c>
      <c r="AW62" s="13">
        <v>269021</v>
      </c>
      <c r="AX62" s="13">
        <v>269021</v>
      </c>
      <c r="AY62" s="13"/>
      <c r="AZ62" s="13"/>
      <c r="BA62" s="13"/>
      <c r="BB62" s="13">
        <v>147000</v>
      </c>
      <c r="BC62">
        <v>3</v>
      </c>
      <c r="BD62">
        <v>30</v>
      </c>
      <c r="BE62">
        <v>2.58</v>
      </c>
      <c r="BH62">
        <v>0</v>
      </c>
      <c r="BI62">
        <v>0</v>
      </c>
      <c r="BJ62">
        <v>0</v>
      </c>
      <c r="BK62">
        <v>0</v>
      </c>
      <c r="BL62" t="s">
        <v>1387</v>
      </c>
    </row>
    <row r="63" spans="1:64">
      <c r="A63" s="30">
        <v>43063.973275462966</v>
      </c>
      <c r="B63" s="30">
        <v>42970.378472222219</v>
      </c>
      <c r="C63" t="s">
        <v>1376</v>
      </c>
      <c r="D63" t="s">
        <v>1124</v>
      </c>
      <c r="E63" t="s">
        <v>1377</v>
      </c>
      <c r="F63" t="s">
        <v>456</v>
      </c>
      <c r="G63" t="s">
        <v>170</v>
      </c>
      <c r="H63" s="21" t="s">
        <v>94</v>
      </c>
      <c r="I63" s="87">
        <v>1</v>
      </c>
      <c r="J63" s="87">
        <v>0</v>
      </c>
      <c r="K63" t="s">
        <v>1378</v>
      </c>
      <c r="L63" t="s">
        <v>705</v>
      </c>
      <c r="M63" t="s">
        <v>362</v>
      </c>
      <c r="N63" t="str">
        <f>IF(SUM(ckCodingTable[[#This Row],[NfmlPIs]:[NnonWhtAsnPIs]])&gt;0,"WMD","")</f>
        <v/>
      </c>
      <c r="O63" t="b">
        <f>_xlfn.XOR(IFERROR(MATCH(ckCodingTable[[#This Row],[st_code]],EpscorTable[],0)&gt;0,FALSE),IFERROR(FIND("9150",ckCodingTable[[#This Row],[propPRCs]])&gt;0,FALSE))</f>
        <v>0</v>
      </c>
      <c r="P63" s="21" t="b">
        <f>_xlfn.XOR(ckCodingTable[[#This Row],[wmd]]&lt;&gt;"",IFERROR(FIND("9102",ckCodingTable[[#This Row],[propPRCs]])&gt;0,FALSE))</f>
        <v>0</v>
      </c>
      <c r="Q63" t="s">
        <v>592</v>
      </c>
      <c r="R63" s="22">
        <v>43041.475706018522</v>
      </c>
      <c r="S63" s="21">
        <f>S62+(ckCodingTable[[#This Row],[ILN]]&lt;"M")</f>
        <v>39</v>
      </c>
      <c r="T63" s="21" t="s">
        <v>96</v>
      </c>
      <c r="U63" t="s">
        <v>1013</v>
      </c>
      <c r="V63" s="7" t="str">
        <f>HYPERLINK("https://www.ejacket.nsf.gov/ej/showProposal.do?ID="&amp;ckCodingTable[[#This Row],[prop_id]],"eJ")</f>
        <v>eJ</v>
      </c>
      <c r="W63" t="s">
        <v>1127</v>
      </c>
      <c r="X63" t="s">
        <v>1013</v>
      </c>
      <c r="Y63" t="s">
        <v>457</v>
      </c>
      <c r="Z63" t="s">
        <v>1388</v>
      </c>
      <c r="AA63" t="s">
        <v>1389</v>
      </c>
      <c r="AC63" s="30">
        <v>43160</v>
      </c>
      <c r="AD63">
        <v>36</v>
      </c>
      <c r="AE63">
        <v>1</v>
      </c>
      <c r="AH63" s="21">
        <v>3</v>
      </c>
      <c r="AI63" t="s">
        <v>1390</v>
      </c>
      <c r="AJ63" s="26">
        <v>3.6</v>
      </c>
      <c r="AK63" s="22">
        <v>43035.513194444444</v>
      </c>
      <c r="AL63">
        <v>5</v>
      </c>
      <c r="AS63" t="s">
        <v>455</v>
      </c>
      <c r="AT63" t="s">
        <v>1391</v>
      </c>
      <c r="AU63" t="b">
        <f>IF(ckCodingTable[[#This Row],[ILN]]="N",SUBSTITUTE(AT62," ","")&lt;&gt;SUBSTITUTE(ckCodingTable[[#This Row],[prop_titl_txt]]," ",""), FALSE)</f>
        <v>0</v>
      </c>
      <c r="AV63">
        <v>0</v>
      </c>
      <c r="AW63" s="13">
        <v>447942</v>
      </c>
      <c r="AX63" s="13">
        <v>447942</v>
      </c>
      <c r="AY63" s="13"/>
      <c r="AZ63" s="13"/>
      <c r="BA63" s="13"/>
      <c r="BB63" s="13">
        <v>325089</v>
      </c>
      <c r="BC63">
        <v>3</v>
      </c>
      <c r="BD63">
        <v>6</v>
      </c>
      <c r="BE63">
        <v>2.25</v>
      </c>
      <c r="BH63">
        <v>0</v>
      </c>
      <c r="BI63">
        <v>0</v>
      </c>
      <c r="BJ63">
        <v>0</v>
      </c>
      <c r="BK63">
        <v>0</v>
      </c>
      <c r="BL63" t="s">
        <v>1392</v>
      </c>
    </row>
    <row r="64" spans="1:64">
      <c r="A64" s="30"/>
      <c r="B64" s="30">
        <v>42970.536111111112</v>
      </c>
      <c r="C64" t="s">
        <v>1376</v>
      </c>
      <c r="D64" t="s">
        <v>1124</v>
      </c>
      <c r="E64" t="s">
        <v>1377</v>
      </c>
      <c r="F64" t="s">
        <v>172</v>
      </c>
      <c r="G64" t="s">
        <v>1393</v>
      </c>
      <c r="H64" s="21" t="s">
        <v>94</v>
      </c>
      <c r="I64" s="87">
        <v>1</v>
      </c>
      <c r="J64" s="87">
        <v>0</v>
      </c>
      <c r="K64" t="s">
        <v>1378</v>
      </c>
      <c r="L64" t="s">
        <v>705</v>
      </c>
      <c r="M64" t="s">
        <v>263</v>
      </c>
      <c r="N64" t="str">
        <f>IF(SUM(ckCodingTable[[#This Row],[NfmlPIs]:[NnonWhtAsnPIs]])&gt;0,"WMD","")</f>
        <v/>
      </c>
      <c r="O64" t="b">
        <f>_xlfn.XOR(IFERROR(MATCH(ckCodingTable[[#This Row],[st_code]],EpscorTable[],0)&gt;0,FALSE),IFERROR(FIND("9150",ckCodingTable[[#This Row],[propPRCs]])&gt;0,FALSE))</f>
        <v>0</v>
      </c>
      <c r="P64" s="21" t="b">
        <f>_xlfn.XOR(ckCodingTable[[#This Row],[wmd]]&lt;&gt;"",IFERROR(FIND("9102",ckCodingTable[[#This Row],[propPRCs]])&gt;0,FALSE))</f>
        <v>0</v>
      </c>
      <c r="Q64" t="s">
        <v>592</v>
      </c>
      <c r="S64" s="21">
        <f>S63+(ckCodingTable[[#This Row],[ILN]]&lt;"M")</f>
        <v>40</v>
      </c>
      <c r="T64" s="21" t="s">
        <v>96</v>
      </c>
      <c r="U64" t="s">
        <v>1028</v>
      </c>
      <c r="V64" s="7" t="str">
        <f>HYPERLINK("https://www.ejacket.nsf.gov/ej/showProposal.do?ID="&amp;ckCodingTable[[#This Row],[prop_id]],"eJ")</f>
        <v>eJ</v>
      </c>
      <c r="W64" t="s">
        <v>1127</v>
      </c>
      <c r="X64" t="s">
        <v>1028</v>
      </c>
      <c r="Y64" t="s">
        <v>1029</v>
      </c>
      <c r="Z64" t="s">
        <v>1394</v>
      </c>
      <c r="AA64" t="s">
        <v>1227</v>
      </c>
      <c r="AC64" s="30">
        <v>43160</v>
      </c>
      <c r="AD64">
        <v>36</v>
      </c>
      <c r="AE64">
        <v>1</v>
      </c>
      <c r="AF64">
        <v>1</v>
      </c>
      <c r="AH64" s="21">
        <v>2</v>
      </c>
      <c r="AI64" t="s">
        <v>1395</v>
      </c>
      <c r="AJ64" s="26">
        <v>6.75</v>
      </c>
      <c r="AK64" s="22">
        <v>43033.994444444441</v>
      </c>
      <c r="AL64">
        <v>4</v>
      </c>
      <c r="AN64">
        <v>4</v>
      </c>
      <c r="AS64" t="s">
        <v>173</v>
      </c>
      <c r="AT64" t="s">
        <v>1396</v>
      </c>
      <c r="AU64" t="b">
        <f>IF(ckCodingTable[[#This Row],[ILN]]="N",SUBSTITUTE(AT63," ","")&lt;&gt;SUBSTITUTE(ckCodingTable[[#This Row],[prop_titl_txt]]," ",""), FALSE)</f>
        <v>0</v>
      </c>
      <c r="AV64">
        <v>0</v>
      </c>
      <c r="AW64" s="13">
        <v>410400</v>
      </c>
      <c r="AX64" s="13">
        <v>410400</v>
      </c>
      <c r="AY64" s="13"/>
      <c r="AZ64" s="13"/>
      <c r="BA64" s="13"/>
      <c r="BB64" s="13">
        <v>283680</v>
      </c>
      <c r="BD64">
        <v>3</v>
      </c>
      <c r="BG64">
        <v>3</v>
      </c>
      <c r="BH64">
        <v>0</v>
      </c>
      <c r="BI64">
        <v>0</v>
      </c>
      <c r="BJ64">
        <v>0</v>
      </c>
      <c r="BK64">
        <v>0</v>
      </c>
      <c r="BL64" t="s">
        <v>1397</v>
      </c>
    </row>
    <row r="65" spans="1:64">
      <c r="A65" s="30"/>
      <c r="B65" s="30">
        <v>42970.65</v>
      </c>
      <c r="C65" t="s">
        <v>1376</v>
      </c>
      <c r="D65" t="s">
        <v>1124</v>
      </c>
      <c r="E65" t="s">
        <v>1377</v>
      </c>
      <c r="F65" t="s">
        <v>172</v>
      </c>
      <c r="G65" t="s">
        <v>170</v>
      </c>
      <c r="H65" s="21" t="s">
        <v>94</v>
      </c>
      <c r="I65" s="87">
        <v>1</v>
      </c>
      <c r="J65" s="87">
        <v>0</v>
      </c>
      <c r="K65" t="s">
        <v>1378</v>
      </c>
      <c r="L65" t="s">
        <v>705</v>
      </c>
      <c r="M65" t="s">
        <v>368</v>
      </c>
      <c r="N65" t="str">
        <f>IF(SUM(ckCodingTable[[#This Row],[NfmlPIs]:[NnonWhtAsnPIs]])&gt;0,"WMD","")</f>
        <v>WMD</v>
      </c>
      <c r="O65" t="b">
        <f>_xlfn.XOR(IFERROR(MATCH(ckCodingTable[[#This Row],[st_code]],EpscorTable[],0)&gt;0,FALSE),IFERROR(FIND("9150",ckCodingTable[[#This Row],[propPRCs]])&gt;0,FALSE))</f>
        <v>0</v>
      </c>
      <c r="P65" s="21" t="b">
        <f>_xlfn.XOR(ckCodingTable[[#This Row],[wmd]]&lt;&gt;"",IFERROR(FIND("9102",ckCodingTable[[#This Row],[propPRCs]])&gt;0,FALSE))</f>
        <v>1</v>
      </c>
      <c r="Q65" t="s">
        <v>592</v>
      </c>
      <c r="R65" s="22">
        <v>43075.643761574072</v>
      </c>
      <c r="S65" s="21">
        <f>S64+(ckCodingTable[[#This Row],[ILN]]&lt;"M")</f>
        <v>41</v>
      </c>
      <c r="T65" s="21" t="s">
        <v>96</v>
      </c>
      <c r="U65" t="s">
        <v>1036</v>
      </c>
      <c r="V65" s="7" t="str">
        <f>HYPERLINK("https://www.ejacket.nsf.gov/ej/showProposal.do?ID="&amp;ckCodingTable[[#This Row],[prop_id]],"eJ")</f>
        <v>eJ</v>
      </c>
      <c r="W65" t="s">
        <v>1127</v>
      </c>
      <c r="X65" t="s">
        <v>1036</v>
      </c>
      <c r="Y65" t="s">
        <v>579</v>
      </c>
      <c r="Z65" t="s">
        <v>1398</v>
      </c>
      <c r="AA65" t="s">
        <v>1399</v>
      </c>
      <c r="AC65" s="30">
        <v>43252</v>
      </c>
      <c r="AD65">
        <v>36</v>
      </c>
      <c r="AE65">
        <v>1</v>
      </c>
      <c r="AH65" s="21">
        <v>1</v>
      </c>
      <c r="AI65" t="s">
        <v>1400</v>
      </c>
      <c r="AJ65" s="26">
        <v>7</v>
      </c>
      <c r="AK65" s="22">
        <v>43034.3125</v>
      </c>
      <c r="AL65">
        <v>4</v>
      </c>
      <c r="AS65" t="s">
        <v>173</v>
      </c>
      <c r="AT65" t="s">
        <v>1401</v>
      </c>
      <c r="AU65" t="b">
        <f>IF(ckCodingTable[[#This Row],[ILN]]="N",SUBSTITUTE(AT64," ","")&lt;&gt;SUBSTITUTE(ckCodingTable[[#This Row],[prop_titl_txt]]," ",""), FALSE)</f>
        <v>0</v>
      </c>
      <c r="AV65">
        <v>1</v>
      </c>
      <c r="AW65" s="13">
        <v>357969</v>
      </c>
      <c r="AX65" s="13">
        <v>287959</v>
      </c>
      <c r="AY65" s="13"/>
      <c r="AZ65" s="13"/>
      <c r="BA65" s="13"/>
      <c r="BB65" s="13">
        <v>203520</v>
      </c>
      <c r="BD65">
        <v>21</v>
      </c>
      <c r="BE65">
        <v>3.87</v>
      </c>
      <c r="BH65">
        <v>0</v>
      </c>
      <c r="BI65">
        <v>0</v>
      </c>
      <c r="BJ65">
        <v>1</v>
      </c>
      <c r="BK65">
        <v>0</v>
      </c>
      <c r="BL65" t="s">
        <v>1402</v>
      </c>
    </row>
    <row r="66" spans="1:64">
      <c r="A66" s="30"/>
      <c r="B66" s="30">
        <v>42970.652083333334</v>
      </c>
      <c r="C66" t="s">
        <v>1376</v>
      </c>
      <c r="D66" t="s">
        <v>1124</v>
      </c>
      <c r="E66" t="s">
        <v>1377</v>
      </c>
      <c r="F66" t="s">
        <v>172</v>
      </c>
      <c r="G66" t="s">
        <v>170</v>
      </c>
      <c r="H66" s="21" t="s">
        <v>94</v>
      </c>
      <c r="I66" s="87">
        <v>1</v>
      </c>
      <c r="J66" s="87">
        <v>0</v>
      </c>
      <c r="K66" t="s">
        <v>1378</v>
      </c>
      <c r="L66" t="s">
        <v>705</v>
      </c>
      <c r="M66" t="s">
        <v>261</v>
      </c>
      <c r="N66" t="str">
        <f>IF(SUM(ckCodingTable[[#This Row],[NfmlPIs]:[NnonWhtAsnPIs]])&gt;0,"WMD","")</f>
        <v/>
      </c>
      <c r="O66" t="b">
        <f>_xlfn.XOR(IFERROR(MATCH(ckCodingTable[[#This Row],[st_code]],EpscorTable[],0)&gt;0,FALSE),IFERROR(FIND("9150",ckCodingTable[[#This Row],[propPRCs]])&gt;0,FALSE))</f>
        <v>0</v>
      </c>
      <c r="P66" s="21" t="b">
        <f>_xlfn.XOR(ckCodingTable[[#This Row],[wmd]]&lt;&gt;"",IFERROR(FIND("9102",ckCodingTable[[#This Row],[propPRCs]])&gt;0,FALSE))</f>
        <v>0</v>
      </c>
      <c r="Q66" t="s">
        <v>592</v>
      </c>
      <c r="S66" s="21">
        <f>S65+(ckCodingTable[[#This Row],[ILN]]&lt;"M")</f>
        <v>42</v>
      </c>
      <c r="T66" s="21" t="s">
        <v>96</v>
      </c>
      <c r="U66" t="s">
        <v>1043</v>
      </c>
      <c r="V66" s="7" t="str">
        <f>HYPERLINK("https://www.ejacket.nsf.gov/ej/showProposal.do?ID="&amp;ckCodingTable[[#This Row],[prop_id]],"eJ")</f>
        <v>eJ</v>
      </c>
      <c r="W66" t="s">
        <v>1127</v>
      </c>
      <c r="X66" t="s">
        <v>1043</v>
      </c>
      <c r="Y66" t="s">
        <v>469</v>
      </c>
      <c r="Z66" t="s">
        <v>470</v>
      </c>
      <c r="AA66" t="s">
        <v>471</v>
      </c>
      <c r="AC66" s="30">
        <v>43221</v>
      </c>
      <c r="AD66">
        <v>36</v>
      </c>
      <c r="AE66">
        <v>1</v>
      </c>
      <c r="AF66">
        <v>1</v>
      </c>
      <c r="AH66" s="21">
        <v>2</v>
      </c>
      <c r="AI66" t="s">
        <v>1403</v>
      </c>
      <c r="AJ66" s="26">
        <v>5.6</v>
      </c>
      <c r="AK66" s="22">
        <v>43035.36041666667</v>
      </c>
      <c r="AL66">
        <v>5</v>
      </c>
      <c r="AN66">
        <v>5</v>
      </c>
      <c r="AS66" t="s">
        <v>173</v>
      </c>
      <c r="AT66" t="s">
        <v>1404</v>
      </c>
      <c r="AU66" t="b">
        <f>IF(ckCodingTable[[#This Row],[ILN]]="N",SUBSTITUTE(AT65," ","")&lt;&gt;SUBSTITUTE(ckCodingTable[[#This Row],[prop_titl_txt]]," ",""), FALSE)</f>
        <v>0</v>
      </c>
      <c r="AV66">
        <v>0</v>
      </c>
      <c r="AW66" s="13">
        <v>359969</v>
      </c>
      <c r="AX66" s="13">
        <v>359969</v>
      </c>
      <c r="AY66" s="13"/>
      <c r="AZ66" s="13"/>
      <c r="BA66" s="13"/>
      <c r="BB66" s="13">
        <v>261921</v>
      </c>
      <c r="BC66">
        <v>3</v>
      </c>
      <c r="BD66">
        <v>6</v>
      </c>
      <c r="BG66">
        <v>1.5</v>
      </c>
      <c r="BH66">
        <v>0</v>
      </c>
      <c r="BI66">
        <v>0</v>
      </c>
      <c r="BJ66">
        <v>0</v>
      </c>
      <c r="BK66">
        <v>0</v>
      </c>
      <c r="BL66" t="s">
        <v>472</v>
      </c>
    </row>
    <row r="67" spans="1:64">
      <c r="A67" s="30">
        <v>43066.349340277775</v>
      </c>
      <c r="B67" s="30">
        <v>42970.680555555555</v>
      </c>
      <c r="C67" t="s">
        <v>1376</v>
      </c>
      <c r="D67" t="s">
        <v>1124</v>
      </c>
      <c r="E67" t="s">
        <v>1377</v>
      </c>
      <c r="F67" t="s">
        <v>456</v>
      </c>
      <c r="G67" t="s">
        <v>170</v>
      </c>
      <c r="H67" s="21" t="s">
        <v>94</v>
      </c>
      <c r="I67" s="87">
        <v>1</v>
      </c>
      <c r="J67" s="87">
        <v>0</v>
      </c>
      <c r="K67" t="s">
        <v>1378</v>
      </c>
      <c r="L67" t="s">
        <v>705</v>
      </c>
      <c r="M67" t="s">
        <v>363</v>
      </c>
      <c r="N67" t="str">
        <f>IF(SUM(ckCodingTable[[#This Row],[NfmlPIs]:[NnonWhtAsnPIs]])&gt;0,"WMD","")</f>
        <v/>
      </c>
      <c r="O67" t="b">
        <f>_xlfn.XOR(IFERROR(MATCH(ckCodingTable[[#This Row],[st_code]],EpscorTable[],0)&gt;0,FALSE),IFERROR(FIND("9150",ckCodingTable[[#This Row],[propPRCs]])&gt;0,FALSE))</f>
        <v>0</v>
      </c>
      <c r="P67" s="21" t="b">
        <f>_xlfn.XOR(ckCodingTable[[#This Row],[wmd]]&lt;&gt;"",IFERROR(FIND("9102",ckCodingTable[[#This Row],[propPRCs]])&gt;0,FALSE))</f>
        <v>0</v>
      </c>
      <c r="Q67" t="s">
        <v>592</v>
      </c>
      <c r="R67" s="22">
        <v>43048.503240740742</v>
      </c>
      <c r="S67" s="21">
        <f>S66+(ckCodingTable[[#This Row],[ILN]]&lt;"M")</f>
        <v>43</v>
      </c>
      <c r="T67" s="21" t="s">
        <v>96</v>
      </c>
      <c r="U67" t="s">
        <v>1051</v>
      </c>
      <c r="V67" s="7" t="str">
        <f>HYPERLINK("https://www.ejacket.nsf.gov/ej/showProposal.do?ID="&amp;ckCodingTable[[#This Row],[prop_id]],"eJ")</f>
        <v>eJ</v>
      </c>
      <c r="W67" t="s">
        <v>1127</v>
      </c>
      <c r="X67" t="s">
        <v>1051</v>
      </c>
      <c r="Y67" t="s">
        <v>1052</v>
      </c>
      <c r="Z67" t="s">
        <v>1405</v>
      </c>
      <c r="AA67" t="s">
        <v>1406</v>
      </c>
      <c r="AC67" s="30">
        <v>43101</v>
      </c>
      <c r="AD67">
        <v>36</v>
      </c>
      <c r="AE67">
        <v>1</v>
      </c>
      <c r="AH67" s="21">
        <v>3</v>
      </c>
      <c r="AI67" t="s">
        <v>1407</v>
      </c>
      <c r="AJ67" s="26">
        <v>3</v>
      </c>
      <c r="AK67" s="22">
        <v>43034.634027777778</v>
      </c>
      <c r="AL67">
        <v>4</v>
      </c>
      <c r="AS67" t="s">
        <v>455</v>
      </c>
      <c r="AT67" t="s">
        <v>1408</v>
      </c>
      <c r="AU67" t="b">
        <f>IF(ckCodingTable[[#This Row],[ILN]]="N",SUBSTITUTE(AT66," ","")&lt;&gt;SUBSTITUTE(ckCodingTable[[#This Row],[prop_titl_txt]]," ",""), FALSE)</f>
        <v>0</v>
      </c>
      <c r="AV67">
        <v>0</v>
      </c>
      <c r="AW67" s="13">
        <v>339491</v>
      </c>
      <c r="AX67" s="13">
        <v>339491</v>
      </c>
      <c r="AY67" s="13"/>
      <c r="AZ67" s="13"/>
      <c r="BA67" s="13"/>
      <c r="BB67" s="13">
        <v>270000</v>
      </c>
      <c r="BD67">
        <v>6</v>
      </c>
      <c r="BE67">
        <v>3</v>
      </c>
      <c r="BH67">
        <v>0</v>
      </c>
      <c r="BI67">
        <v>0</v>
      </c>
      <c r="BJ67">
        <v>0</v>
      </c>
      <c r="BK67">
        <v>0</v>
      </c>
      <c r="BL67" t="s">
        <v>1409</v>
      </c>
    </row>
    <row r="68" spans="1:64">
      <c r="A68" s="30">
        <v>43066.352777777778</v>
      </c>
      <c r="B68" s="30">
        <v>42970.688194444447</v>
      </c>
      <c r="C68" t="s">
        <v>1376</v>
      </c>
      <c r="D68" t="s">
        <v>1124</v>
      </c>
      <c r="E68" t="s">
        <v>1377</v>
      </c>
      <c r="F68" t="s">
        <v>456</v>
      </c>
      <c r="G68" t="s">
        <v>170</v>
      </c>
      <c r="H68" s="21" t="s">
        <v>94</v>
      </c>
      <c r="I68" s="87">
        <v>1</v>
      </c>
      <c r="J68" s="87">
        <v>0</v>
      </c>
      <c r="K68" t="s">
        <v>1378</v>
      </c>
      <c r="L68" t="s">
        <v>705</v>
      </c>
      <c r="M68" t="s">
        <v>566</v>
      </c>
      <c r="N68" t="str">
        <f>IF(SUM(ckCodingTable[[#This Row],[NfmlPIs]:[NnonWhtAsnPIs]])&gt;0,"WMD","")</f>
        <v/>
      </c>
      <c r="O68" t="b">
        <f>_xlfn.XOR(IFERROR(MATCH(ckCodingTable[[#This Row],[st_code]],EpscorTable[],0)&gt;0,FALSE),IFERROR(FIND("9150",ckCodingTable[[#This Row],[propPRCs]])&gt;0,FALSE))</f>
        <v>0</v>
      </c>
      <c r="P68" s="21" t="b">
        <f>_xlfn.XOR(ckCodingTable[[#This Row],[wmd]]&lt;&gt;"",IFERROR(FIND("9102",ckCodingTable[[#This Row],[propPRCs]])&gt;0,FALSE))</f>
        <v>0</v>
      </c>
      <c r="Q68" t="s">
        <v>592</v>
      </c>
      <c r="R68" s="22">
        <v>43048.501331018517</v>
      </c>
      <c r="S68" s="21">
        <f>S67+(ckCodingTable[[#This Row],[ILN]]&lt;"M")</f>
        <v>44</v>
      </c>
      <c r="T68" s="21" t="s">
        <v>96</v>
      </c>
      <c r="U68" t="s">
        <v>1060</v>
      </c>
      <c r="V68" s="7" t="str">
        <f>HYPERLINK("https://www.ejacket.nsf.gov/ej/showProposal.do?ID="&amp;ckCodingTable[[#This Row],[prop_id]],"eJ")</f>
        <v>eJ</v>
      </c>
      <c r="W68" t="s">
        <v>1127</v>
      </c>
      <c r="X68" t="s">
        <v>1060</v>
      </c>
      <c r="Y68" t="s">
        <v>575</v>
      </c>
      <c r="Z68" t="s">
        <v>1410</v>
      </c>
      <c r="AA68" t="s">
        <v>1411</v>
      </c>
      <c r="AC68" s="30">
        <v>43132</v>
      </c>
      <c r="AD68">
        <v>36</v>
      </c>
      <c r="AE68">
        <v>1</v>
      </c>
      <c r="AH68" s="21">
        <v>4</v>
      </c>
      <c r="AI68" t="s">
        <v>1412</v>
      </c>
      <c r="AJ68" s="26">
        <v>2.25</v>
      </c>
      <c r="AK68" s="22">
        <v>43035.397916666669</v>
      </c>
      <c r="AL68">
        <v>4</v>
      </c>
      <c r="AS68" t="s">
        <v>455</v>
      </c>
      <c r="AT68" t="s">
        <v>1413</v>
      </c>
      <c r="AU68" t="b">
        <f>IF(ckCodingTable[[#This Row],[ILN]]="N",SUBSTITUTE(AT67," ","")&lt;&gt;SUBSTITUTE(ckCodingTable[[#This Row],[prop_titl_txt]]," ",""), FALSE)</f>
        <v>0</v>
      </c>
      <c r="AV68">
        <v>0</v>
      </c>
      <c r="AW68" s="13">
        <v>353763</v>
      </c>
      <c r="AX68" s="13">
        <v>353763</v>
      </c>
      <c r="AY68" s="13"/>
      <c r="AZ68" s="13"/>
      <c r="BA68" s="13"/>
      <c r="BB68" s="13">
        <v>237000</v>
      </c>
      <c r="BC68">
        <v>3</v>
      </c>
      <c r="BD68">
        <v>15</v>
      </c>
      <c r="BE68">
        <v>3.7</v>
      </c>
      <c r="BH68">
        <v>0</v>
      </c>
      <c r="BI68">
        <v>0</v>
      </c>
      <c r="BJ68">
        <v>0</v>
      </c>
      <c r="BK68">
        <v>0</v>
      </c>
      <c r="BL68" t="s">
        <v>1414</v>
      </c>
    </row>
    <row r="69" spans="1:64">
      <c r="A69" s="30"/>
      <c r="B69" s="30">
        <v>42970.690972222219</v>
      </c>
      <c r="C69" t="s">
        <v>1376</v>
      </c>
      <c r="D69" t="s">
        <v>1124</v>
      </c>
      <c r="E69" t="s">
        <v>1377</v>
      </c>
      <c r="F69" t="s">
        <v>172</v>
      </c>
      <c r="G69" t="s">
        <v>170</v>
      </c>
      <c r="H69" s="21" t="s">
        <v>94</v>
      </c>
      <c r="I69" s="87">
        <v>1</v>
      </c>
      <c r="J69" s="87">
        <v>0</v>
      </c>
      <c r="K69" t="s">
        <v>1378</v>
      </c>
      <c r="L69" t="s">
        <v>705</v>
      </c>
      <c r="M69" t="s">
        <v>359</v>
      </c>
      <c r="N69" t="str">
        <f>IF(SUM(ckCodingTable[[#This Row],[NfmlPIs]:[NnonWhtAsnPIs]])&gt;0,"WMD","")</f>
        <v>WMD</v>
      </c>
      <c r="O69" t="b">
        <f>_xlfn.XOR(IFERROR(MATCH(ckCodingTable[[#This Row],[st_code]],EpscorTable[],0)&gt;0,FALSE),IFERROR(FIND("9150",ckCodingTable[[#This Row],[propPRCs]])&gt;0,FALSE))</f>
        <v>0</v>
      </c>
      <c r="P69" s="21" t="b">
        <f>_xlfn.XOR(ckCodingTable[[#This Row],[wmd]]&lt;&gt;"",IFERROR(FIND("9102",ckCodingTable[[#This Row],[propPRCs]])&gt;0,FALSE))</f>
        <v>1</v>
      </c>
      <c r="Q69" t="s">
        <v>592</v>
      </c>
      <c r="S69" s="21">
        <f>S68+(ckCodingTable[[#This Row],[ILN]]&lt;"M")</f>
        <v>45</v>
      </c>
      <c r="T69" s="21" t="s">
        <v>96</v>
      </c>
      <c r="U69" t="s">
        <v>1069</v>
      </c>
      <c r="V69" s="7" t="str">
        <f>HYPERLINK("https://www.ejacket.nsf.gov/ej/showProposal.do?ID="&amp;ckCodingTable[[#This Row],[prop_id]],"eJ")</f>
        <v>eJ</v>
      </c>
      <c r="W69" t="s">
        <v>1127</v>
      </c>
      <c r="X69" t="s">
        <v>1069</v>
      </c>
      <c r="Y69" t="s">
        <v>562</v>
      </c>
      <c r="Z69" t="s">
        <v>1415</v>
      </c>
      <c r="AA69" t="s">
        <v>1212</v>
      </c>
      <c r="AC69" s="30">
        <v>43132</v>
      </c>
      <c r="AD69">
        <v>36</v>
      </c>
      <c r="AE69">
        <v>1</v>
      </c>
      <c r="AH69" s="21">
        <v>1</v>
      </c>
      <c r="AI69" t="s">
        <v>1416</v>
      </c>
      <c r="AJ69" s="26">
        <v>9</v>
      </c>
      <c r="AK69" s="22">
        <v>43034.988194444442</v>
      </c>
      <c r="AL69">
        <v>4</v>
      </c>
      <c r="AO69">
        <v>1</v>
      </c>
      <c r="AS69" t="s">
        <v>173</v>
      </c>
      <c r="AT69" t="s">
        <v>1417</v>
      </c>
      <c r="AU69" t="b">
        <f>IF(ckCodingTable[[#This Row],[ILN]]="N",SUBSTITUTE(AT68," ","")&lt;&gt;SUBSTITUTE(ckCodingTable[[#This Row],[prop_titl_txt]]," ",""), FALSE)</f>
        <v>0</v>
      </c>
      <c r="AV69">
        <v>0</v>
      </c>
      <c r="AW69" s="13">
        <v>360182</v>
      </c>
      <c r="AX69" s="13">
        <v>360182</v>
      </c>
      <c r="AY69" s="13"/>
      <c r="AZ69" s="13"/>
      <c r="BA69" s="13"/>
      <c r="BB69" s="13">
        <v>256350</v>
      </c>
      <c r="BC69">
        <v>9</v>
      </c>
      <c r="BD69">
        <v>9</v>
      </c>
      <c r="BE69">
        <v>0.6</v>
      </c>
      <c r="BG69">
        <v>2.25</v>
      </c>
      <c r="BH69">
        <v>1</v>
      </c>
      <c r="BI69">
        <v>0</v>
      </c>
      <c r="BJ69">
        <v>0</v>
      </c>
      <c r="BK69">
        <v>0</v>
      </c>
      <c r="BL69" t="s">
        <v>1418</v>
      </c>
    </row>
    <row r="70" spans="1:64">
      <c r="A70" s="30"/>
      <c r="B70" s="30">
        <v>42970.693055555559</v>
      </c>
      <c r="C70" t="s">
        <v>1376</v>
      </c>
      <c r="D70" t="s">
        <v>1124</v>
      </c>
      <c r="E70" t="s">
        <v>1377</v>
      </c>
      <c r="F70" t="s">
        <v>172</v>
      </c>
      <c r="G70" t="s">
        <v>170</v>
      </c>
      <c r="H70" s="21" t="s">
        <v>94</v>
      </c>
      <c r="I70" s="87">
        <v>1</v>
      </c>
      <c r="J70" s="87">
        <v>0</v>
      </c>
      <c r="K70" t="s">
        <v>1378</v>
      </c>
      <c r="L70" t="s">
        <v>705</v>
      </c>
      <c r="M70" t="s">
        <v>363</v>
      </c>
      <c r="N70" t="str">
        <f>IF(SUM(ckCodingTable[[#This Row],[NfmlPIs]:[NnonWhtAsnPIs]])&gt;0,"WMD","")</f>
        <v/>
      </c>
      <c r="O70" t="b">
        <f>_xlfn.XOR(IFERROR(MATCH(ckCodingTable[[#This Row],[st_code]],EpscorTable[],0)&gt;0,FALSE),IFERROR(FIND("9150",ckCodingTable[[#This Row],[propPRCs]])&gt;0,FALSE))</f>
        <v>0</v>
      </c>
      <c r="P70" s="21" t="b">
        <f>_xlfn.XOR(ckCodingTable[[#This Row],[wmd]]&lt;&gt;"",IFERROR(FIND("9102",ckCodingTable[[#This Row],[propPRCs]])&gt;0,FALSE))</f>
        <v>0</v>
      </c>
      <c r="Q70" t="s">
        <v>592</v>
      </c>
      <c r="R70" s="22">
        <v>43048.50240740741</v>
      </c>
      <c r="S70" s="21">
        <f>S69+(ckCodingTable[[#This Row],[ILN]]&lt;"M")</f>
        <v>46</v>
      </c>
      <c r="T70" s="21" t="s">
        <v>96</v>
      </c>
      <c r="U70" t="s">
        <v>1076</v>
      </c>
      <c r="V70" s="7" t="str">
        <f>HYPERLINK("https://www.ejacket.nsf.gov/ej/showProposal.do?ID="&amp;ckCodingTable[[#This Row],[prop_id]],"eJ")</f>
        <v>eJ</v>
      </c>
      <c r="W70" t="s">
        <v>1127</v>
      </c>
      <c r="X70" t="s">
        <v>1076</v>
      </c>
      <c r="Y70" t="s">
        <v>1077</v>
      </c>
      <c r="Z70" t="s">
        <v>1419</v>
      </c>
      <c r="AA70" t="s">
        <v>1420</v>
      </c>
      <c r="AC70" s="30">
        <v>43101</v>
      </c>
      <c r="AD70">
        <v>36</v>
      </c>
      <c r="AE70">
        <v>1</v>
      </c>
      <c r="AH70" s="21">
        <v>3</v>
      </c>
      <c r="AI70" t="s">
        <v>1421</v>
      </c>
      <c r="AJ70" s="26">
        <v>6</v>
      </c>
      <c r="AK70" s="22">
        <v>43034.677083333336</v>
      </c>
      <c r="AL70">
        <v>4</v>
      </c>
      <c r="AS70" t="s">
        <v>173</v>
      </c>
      <c r="AT70" t="s">
        <v>1422</v>
      </c>
      <c r="AU70" t="b">
        <f>IF(ckCodingTable[[#This Row],[ILN]]="N",SUBSTITUTE(AT69," ","")&lt;&gt;SUBSTITUTE(ckCodingTable[[#This Row],[prop_titl_txt]]," ",""), FALSE)</f>
        <v>0</v>
      </c>
      <c r="AV70">
        <v>0</v>
      </c>
      <c r="AW70" s="13">
        <v>359812</v>
      </c>
      <c r="AX70" s="13">
        <v>359812</v>
      </c>
      <c r="AY70" s="13"/>
      <c r="AZ70" s="13"/>
      <c r="BA70" s="13"/>
      <c r="BB70" s="13">
        <v>240000</v>
      </c>
      <c r="BC70">
        <v>3</v>
      </c>
      <c r="BD70">
        <v>6</v>
      </c>
      <c r="BE70">
        <v>3.6</v>
      </c>
      <c r="BH70">
        <v>0</v>
      </c>
      <c r="BI70">
        <v>0</v>
      </c>
      <c r="BJ70">
        <v>0</v>
      </c>
      <c r="BK70">
        <v>0</v>
      </c>
      <c r="BL70" t="s">
        <v>1423</v>
      </c>
    </row>
    <row r="71" spans="1:64">
      <c r="A71" s="30"/>
      <c r="B71" s="30">
        <v>42970.698611111111</v>
      </c>
      <c r="C71" t="s">
        <v>1376</v>
      </c>
      <c r="D71" t="s">
        <v>1124</v>
      </c>
      <c r="E71" t="s">
        <v>1377</v>
      </c>
      <c r="F71" t="s">
        <v>172</v>
      </c>
      <c r="G71" t="s">
        <v>170</v>
      </c>
      <c r="H71" s="21" t="s">
        <v>94</v>
      </c>
      <c r="I71" s="87">
        <v>1</v>
      </c>
      <c r="J71" s="87">
        <v>0</v>
      </c>
      <c r="K71" t="s">
        <v>1378</v>
      </c>
      <c r="L71" t="s">
        <v>705</v>
      </c>
      <c r="M71" t="s">
        <v>113</v>
      </c>
      <c r="N71" t="str">
        <f>IF(SUM(ckCodingTable[[#This Row],[NfmlPIs]:[NnonWhtAsnPIs]])&gt;0,"WMD","")</f>
        <v>WMD</v>
      </c>
      <c r="O71" t="b">
        <f>_xlfn.XOR(IFERROR(MATCH(ckCodingTable[[#This Row],[st_code]],EpscorTable[],0)&gt;0,FALSE),IFERROR(FIND("9150",ckCodingTable[[#This Row],[propPRCs]])&gt;0,FALSE))</f>
        <v>0</v>
      </c>
      <c r="P71" s="21" t="b">
        <f>_xlfn.XOR(ckCodingTable[[#This Row],[wmd]]&lt;&gt;"",IFERROR(FIND("9102",ckCodingTable[[#This Row],[propPRCs]])&gt;0,FALSE))</f>
        <v>1</v>
      </c>
      <c r="Q71" t="s">
        <v>1424</v>
      </c>
      <c r="S71" s="21">
        <f>S70+(ckCodingTable[[#This Row],[ILN]]&lt;"M")</f>
        <v>47</v>
      </c>
      <c r="T71" s="21" t="s">
        <v>96</v>
      </c>
      <c r="U71" t="s">
        <v>1083</v>
      </c>
      <c r="V71" s="7" t="str">
        <f>HYPERLINK("https://www.ejacket.nsf.gov/ej/showProposal.do?ID="&amp;ckCodingTable[[#This Row],[prop_id]],"eJ")</f>
        <v>eJ</v>
      </c>
      <c r="W71" t="s">
        <v>1127</v>
      </c>
      <c r="X71" t="s">
        <v>1083</v>
      </c>
      <c r="Y71" t="s">
        <v>1084</v>
      </c>
      <c r="Z71" t="s">
        <v>1425</v>
      </c>
      <c r="AA71" t="s">
        <v>569</v>
      </c>
      <c r="AC71" s="30">
        <v>43160</v>
      </c>
      <c r="AD71">
        <v>36</v>
      </c>
      <c r="AE71">
        <v>1</v>
      </c>
      <c r="AF71">
        <v>1</v>
      </c>
      <c r="AH71" s="21">
        <v>2</v>
      </c>
      <c r="AI71" t="s">
        <v>350</v>
      </c>
      <c r="AJ71" s="26">
        <v>6.5</v>
      </c>
      <c r="AK71" s="22">
        <v>43034.679166666669</v>
      </c>
      <c r="AL71">
        <v>4</v>
      </c>
      <c r="AN71">
        <v>4</v>
      </c>
      <c r="AS71" t="s">
        <v>173</v>
      </c>
      <c r="AT71" t="s">
        <v>1426</v>
      </c>
      <c r="AU71" t="b">
        <f>IF(ckCodingTable[[#This Row],[ILN]]="N",SUBSTITUTE(AT70," ","")&lt;&gt;SUBSTITUTE(ckCodingTable[[#This Row],[prop_titl_txt]]," ",""), FALSE)</f>
        <v>0</v>
      </c>
      <c r="AV71">
        <v>0</v>
      </c>
      <c r="AW71" s="13">
        <v>344650</v>
      </c>
      <c r="AX71" s="13">
        <v>344650</v>
      </c>
      <c r="AY71" s="13"/>
      <c r="AZ71" s="13"/>
      <c r="BA71" s="13"/>
      <c r="BB71" s="13">
        <v>296137</v>
      </c>
      <c r="BH71">
        <v>0</v>
      </c>
      <c r="BI71">
        <v>1</v>
      </c>
      <c r="BJ71">
        <v>0</v>
      </c>
      <c r="BK71">
        <v>0</v>
      </c>
      <c r="BL71" t="s">
        <v>1427</v>
      </c>
    </row>
    <row r="72" spans="1:64">
      <c r="A72" s="30"/>
      <c r="B72" s="30">
        <v>42970.70208333333</v>
      </c>
      <c r="C72" t="s">
        <v>1376</v>
      </c>
      <c r="D72" t="s">
        <v>1124</v>
      </c>
      <c r="E72" t="s">
        <v>1377</v>
      </c>
      <c r="F72" t="s">
        <v>172</v>
      </c>
      <c r="G72" t="s">
        <v>170</v>
      </c>
      <c r="H72" s="21" t="s">
        <v>94</v>
      </c>
      <c r="I72" s="87">
        <v>1</v>
      </c>
      <c r="J72" s="87">
        <v>0</v>
      </c>
      <c r="K72" t="s">
        <v>1378</v>
      </c>
      <c r="L72" t="s">
        <v>705</v>
      </c>
      <c r="M72" t="s">
        <v>362</v>
      </c>
      <c r="N72" t="str">
        <f>IF(SUM(ckCodingTable[[#This Row],[NfmlPIs]:[NnonWhtAsnPIs]])&gt;0,"WMD","")</f>
        <v/>
      </c>
      <c r="O72" t="b">
        <f>_xlfn.XOR(IFERROR(MATCH(ckCodingTable[[#This Row],[st_code]],EpscorTable[],0)&gt;0,FALSE),IFERROR(FIND("9150",ckCodingTable[[#This Row],[propPRCs]])&gt;0,FALSE))</f>
        <v>0</v>
      </c>
      <c r="P72" s="21" t="b">
        <f>_xlfn.XOR(ckCodingTable[[#This Row],[wmd]]&lt;&gt;"",IFERROR(FIND("9102",ckCodingTable[[#This Row],[propPRCs]])&gt;0,FALSE))</f>
        <v>0</v>
      </c>
      <c r="Q72" t="s">
        <v>592</v>
      </c>
      <c r="R72" s="22">
        <v>43048.502071759256</v>
      </c>
      <c r="S72" s="21">
        <f>S71+(ckCodingTable[[#This Row],[ILN]]&lt;"M")</f>
        <v>48</v>
      </c>
      <c r="T72" s="21" t="s">
        <v>96</v>
      </c>
      <c r="U72" t="s">
        <v>1091</v>
      </c>
      <c r="V72" s="7" t="str">
        <f>HYPERLINK("https://www.ejacket.nsf.gov/ej/showProposal.do?ID="&amp;ckCodingTable[[#This Row],[prop_id]],"eJ")</f>
        <v>eJ</v>
      </c>
      <c r="W72" t="s">
        <v>1127</v>
      </c>
      <c r="X72" t="s">
        <v>1091</v>
      </c>
      <c r="Y72" t="s">
        <v>1092</v>
      </c>
      <c r="Z72" t="s">
        <v>1428</v>
      </c>
      <c r="AA72" t="s">
        <v>476</v>
      </c>
      <c r="AC72" s="30">
        <v>43252</v>
      </c>
      <c r="AD72">
        <v>36</v>
      </c>
      <c r="AE72">
        <v>1</v>
      </c>
      <c r="AH72" s="21">
        <v>3</v>
      </c>
      <c r="AI72" t="s">
        <v>1429</v>
      </c>
      <c r="AJ72" s="26">
        <v>5</v>
      </c>
      <c r="AK72" s="22">
        <v>43035.396527777775</v>
      </c>
      <c r="AL72">
        <v>4</v>
      </c>
      <c r="AS72" t="s">
        <v>1430</v>
      </c>
      <c r="AT72" t="s">
        <v>1431</v>
      </c>
      <c r="AU72" t="b">
        <f>IF(ckCodingTable[[#This Row],[ILN]]="N",SUBSTITUTE(AT71," ","")&lt;&gt;SUBSTITUTE(ckCodingTable[[#This Row],[prop_titl_txt]]," ",""), FALSE)</f>
        <v>0</v>
      </c>
      <c r="AV72">
        <v>0</v>
      </c>
      <c r="AW72" s="13">
        <v>299333</v>
      </c>
      <c r="AX72" s="13">
        <v>299333</v>
      </c>
      <c r="AY72" s="13"/>
      <c r="AZ72" s="13"/>
      <c r="BA72" s="13"/>
      <c r="BB72" s="13">
        <v>231600</v>
      </c>
      <c r="BD72">
        <v>3</v>
      </c>
      <c r="BE72">
        <v>2.4</v>
      </c>
      <c r="BH72">
        <v>0</v>
      </c>
      <c r="BI72">
        <v>0</v>
      </c>
      <c r="BJ72">
        <v>0</v>
      </c>
      <c r="BK72">
        <v>0</v>
      </c>
      <c r="BL72" t="s">
        <v>1432</v>
      </c>
    </row>
    <row r="73" spans="1:64">
      <c r="A73" s="30">
        <v>43063.975752314815</v>
      </c>
      <c r="B73" s="30">
        <v>42970.70208333333</v>
      </c>
      <c r="C73" t="s">
        <v>1376</v>
      </c>
      <c r="D73" t="s">
        <v>1124</v>
      </c>
      <c r="E73" t="s">
        <v>1377</v>
      </c>
      <c r="F73" t="s">
        <v>456</v>
      </c>
      <c r="G73" t="s">
        <v>170</v>
      </c>
      <c r="H73" s="21" t="s">
        <v>94</v>
      </c>
      <c r="I73" s="87">
        <v>1</v>
      </c>
      <c r="J73" s="87">
        <v>0</v>
      </c>
      <c r="K73" t="s">
        <v>1378</v>
      </c>
      <c r="L73" t="s">
        <v>705</v>
      </c>
      <c r="M73" t="s">
        <v>268</v>
      </c>
      <c r="N73" t="str">
        <f>IF(SUM(ckCodingTable[[#This Row],[NfmlPIs]:[NnonWhtAsnPIs]])&gt;0,"WMD","")</f>
        <v>WMD</v>
      </c>
      <c r="O73" t="b">
        <f>_xlfn.XOR(IFERROR(MATCH(ckCodingTable[[#This Row],[st_code]],EpscorTable[],0)&gt;0,FALSE),IFERROR(FIND("9150",ckCodingTable[[#This Row],[propPRCs]])&gt;0,FALSE))</f>
        <v>0</v>
      </c>
      <c r="P73" s="21" t="b">
        <f>_xlfn.XOR(ckCodingTable[[#This Row],[wmd]]&lt;&gt;"",IFERROR(FIND("9102",ckCodingTable[[#This Row],[propPRCs]])&gt;0,FALSE))</f>
        <v>1</v>
      </c>
      <c r="Q73" t="s">
        <v>592</v>
      </c>
      <c r="R73" s="22">
        <v>43048.504432870373</v>
      </c>
      <c r="S73" s="21">
        <f>S72+(ckCodingTable[[#This Row],[ILN]]&lt;"M")</f>
        <v>49</v>
      </c>
      <c r="T73" s="21" t="s">
        <v>96</v>
      </c>
      <c r="U73" t="s">
        <v>1099</v>
      </c>
      <c r="V73" s="7" t="str">
        <f>HYPERLINK("https://www.ejacket.nsf.gov/ej/showProposal.do?ID="&amp;ckCodingTable[[#This Row],[prop_id]],"eJ")</f>
        <v>eJ</v>
      </c>
      <c r="W73" t="s">
        <v>1127</v>
      </c>
      <c r="X73" t="s">
        <v>1099</v>
      </c>
      <c r="Y73" t="s">
        <v>1100</v>
      </c>
      <c r="Z73" t="s">
        <v>1433</v>
      </c>
      <c r="AA73" t="s">
        <v>1434</v>
      </c>
      <c r="AC73" s="30">
        <v>43130</v>
      </c>
      <c r="AD73">
        <v>36</v>
      </c>
      <c r="AE73">
        <v>1</v>
      </c>
      <c r="AH73" s="21">
        <v>3</v>
      </c>
      <c r="AI73" t="s">
        <v>1435</v>
      </c>
      <c r="AJ73" s="26">
        <v>4.5</v>
      </c>
      <c r="AK73" s="22">
        <v>43035.419444444444</v>
      </c>
      <c r="AL73">
        <v>4</v>
      </c>
      <c r="AS73" t="s">
        <v>455</v>
      </c>
      <c r="AT73" t="s">
        <v>1436</v>
      </c>
      <c r="AU73" t="b">
        <f>IF(ckCodingTable[[#This Row],[ILN]]="N",SUBSTITUTE(AT72," ","")&lt;&gt;SUBSTITUTE(ckCodingTable[[#This Row],[prop_titl_txt]]," ",""), FALSE)</f>
        <v>0</v>
      </c>
      <c r="AV73">
        <v>0</v>
      </c>
      <c r="AW73" s="13">
        <v>358313</v>
      </c>
      <c r="AX73" s="13">
        <v>358313</v>
      </c>
      <c r="AY73" s="13"/>
      <c r="AZ73" s="13"/>
      <c r="BA73" s="13"/>
      <c r="BB73" s="13">
        <v>250650</v>
      </c>
      <c r="BC73">
        <v>12</v>
      </c>
      <c r="BD73">
        <v>15</v>
      </c>
      <c r="BE73">
        <v>2.13</v>
      </c>
      <c r="BH73">
        <v>2</v>
      </c>
      <c r="BI73">
        <v>0</v>
      </c>
      <c r="BJ73">
        <v>0</v>
      </c>
      <c r="BK73">
        <v>0</v>
      </c>
      <c r="BL73" t="s">
        <v>1437</v>
      </c>
    </row>
    <row r="74" spans="1:64">
      <c r="A74" s="30"/>
      <c r="B74" s="30">
        <v>42970.709722222222</v>
      </c>
      <c r="C74" t="s">
        <v>1376</v>
      </c>
      <c r="D74" t="s">
        <v>1124</v>
      </c>
      <c r="E74" t="s">
        <v>1377</v>
      </c>
      <c r="F74" t="s">
        <v>172</v>
      </c>
      <c r="G74" t="s">
        <v>170</v>
      </c>
      <c r="H74" s="21" t="s">
        <v>94</v>
      </c>
      <c r="I74" s="87">
        <v>1</v>
      </c>
      <c r="J74" s="87">
        <v>0</v>
      </c>
      <c r="K74" t="s">
        <v>1378</v>
      </c>
      <c r="L74" t="s">
        <v>705</v>
      </c>
      <c r="M74" t="s">
        <v>363</v>
      </c>
      <c r="N74" t="str">
        <f>IF(SUM(ckCodingTable[[#This Row],[NfmlPIs]:[NnonWhtAsnPIs]])&gt;0,"WMD","")</f>
        <v/>
      </c>
      <c r="O74" t="b">
        <f>_xlfn.XOR(IFERROR(MATCH(ckCodingTable[[#This Row],[st_code]],EpscorTable[],0)&gt;0,FALSE),IFERROR(FIND("9150",ckCodingTable[[#This Row],[propPRCs]])&gt;0,FALSE))</f>
        <v>0</v>
      </c>
      <c r="P74" s="21" t="b">
        <f>_xlfn.XOR(ckCodingTable[[#This Row],[wmd]]&lt;&gt;"",IFERROR(FIND("9102",ckCodingTable[[#This Row],[propPRCs]])&gt;0,FALSE))</f>
        <v>0</v>
      </c>
      <c r="Q74" t="s">
        <v>592</v>
      </c>
      <c r="S74" s="21">
        <f>S73+(ckCodingTable[[#This Row],[ILN]]&lt;"M")</f>
        <v>50</v>
      </c>
      <c r="T74" s="21" t="s">
        <v>96</v>
      </c>
      <c r="U74" t="s">
        <v>1107</v>
      </c>
      <c r="V74" s="7" t="str">
        <f>HYPERLINK("https://www.ejacket.nsf.gov/ej/showProposal.do?ID="&amp;ckCodingTable[[#This Row],[prop_id]],"eJ")</f>
        <v>eJ</v>
      </c>
      <c r="W74" t="s">
        <v>1127</v>
      </c>
      <c r="X74" t="s">
        <v>1107</v>
      </c>
      <c r="Y74" t="s">
        <v>1108</v>
      </c>
      <c r="Z74" t="s">
        <v>1438</v>
      </c>
      <c r="AA74" t="s">
        <v>1439</v>
      </c>
      <c r="AC74" s="30">
        <v>43252</v>
      </c>
      <c r="AD74">
        <v>36</v>
      </c>
      <c r="AE74">
        <v>1</v>
      </c>
      <c r="AF74">
        <v>1</v>
      </c>
      <c r="AH74" s="21">
        <v>1</v>
      </c>
      <c r="AI74" t="s">
        <v>350</v>
      </c>
      <c r="AJ74" s="26">
        <v>6.5</v>
      </c>
      <c r="AK74" s="22">
        <v>43034.675000000003</v>
      </c>
      <c r="AL74">
        <v>4</v>
      </c>
      <c r="AN74">
        <v>4</v>
      </c>
      <c r="AS74" t="s">
        <v>173</v>
      </c>
      <c r="AT74" t="s">
        <v>1440</v>
      </c>
      <c r="AU74" t="b">
        <f>IF(ckCodingTable[[#This Row],[ILN]]="N",SUBSTITUTE(AT73," ","")&lt;&gt;SUBSTITUTE(ckCodingTable[[#This Row],[prop_titl_txt]]," ",""), FALSE)</f>
        <v>0</v>
      </c>
      <c r="AV74">
        <v>0</v>
      </c>
      <c r="AW74" s="13">
        <v>357018</v>
      </c>
      <c r="AX74" s="13">
        <v>357018</v>
      </c>
      <c r="AY74" s="13"/>
      <c r="AZ74" s="13"/>
      <c r="BA74" s="13"/>
      <c r="BB74" s="13">
        <v>269550</v>
      </c>
      <c r="BC74">
        <v>3</v>
      </c>
      <c r="BD74">
        <v>15</v>
      </c>
      <c r="BG74">
        <v>2.94</v>
      </c>
      <c r="BH74">
        <v>0</v>
      </c>
      <c r="BI74">
        <v>0</v>
      </c>
      <c r="BJ74">
        <v>0</v>
      </c>
      <c r="BK74">
        <v>0</v>
      </c>
      <c r="BL74" t="s">
        <v>1441</v>
      </c>
    </row>
    <row r="75" spans="1:64">
      <c r="A75" s="30">
        <v>43066.356249999997</v>
      </c>
      <c r="B75" s="30">
        <v>42970.728472222225</v>
      </c>
      <c r="C75" t="s">
        <v>1376</v>
      </c>
      <c r="D75" t="s">
        <v>1124</v>
      </c>
      <c r="E75" t="s">
        <v>1377</v>
      </c>
      <c r="F75" t="s">
        <v>456</v>
      </c>
      <c r="G75" t="s">
        <v>170</v>
      </c>
      <c r="H75" s="21" t="s">
        <v>94</v>
      </c>
      <c r="I75" s="87">
        <v>1</v>
      </c>
      <c r="J75" s="87">
        <v>0</v>
      </c>
      <c r="K75" t="s">
        <v>1378</v>
      </c>
      <c r="L75" t="s">
        <v>705</v>
      </c>
      <c r="M75" t="s">
        <v>100</v>
      </c>
      <c r="N75" t="str">
        <f>IF(SUM(ckCodingTable[[#This Row],[NfmlPIs]:[NnonWhtAsnPIs]])&gt;0,"WMD","")</f>
        <v>WMD</v>
      </c>
      <c r="O75" t="b">
        <f>_xlfn.XOR(IFERROR(MATCH(ckCodingTable[[#This Row],[st_code]],EpscorTable[],0)&gt;0,FALSE),IFERROR(FIND("9150",ckCodingTable[[#This Row],[propPRCs]])&gt;0,FALSE))</f>
        <v>0</v>
      </c>
      <c r="P75" s="21" t="b">
        <f>_xlfn.XOR(ckCodingTable[[#This Row],[wmd]]&lt;&gt;"",IFERROR(FIND("9102",ckCodingTable[[#This Row],[propPRCs]])&gt;0,FALSE))</f>
        <v>1</v>
      </c>
      <c r="Q75" t="s">
        <v>1424</v>
      </c>
      <c r="R75" s="22">
        <v>43048.504155092596</v>
      </c>
      <c r="S75" s="21">
        <f>S74+(ckCodingTable[[#This Row],[ILN]]&lt;"M")</f>
        <v>51</v>
      </c>
      <c r="T75" s="21" t="s">
        <v>96</v>
      </c>
      <c r="U75" t="s">
        <v>1115</v>
      </c>
      <c r="V75" s="7" t="str">
        <f>HYPERLINK("https://www.ejacket.nsf.gov/ej/showProposal.do?ID="&amp;ckCodingTable[[#This Row],[prop_id]],"eJ")</f>
        <v>eJ</v>
      </c>
      <c r="W75" t="s">
        <v>1127</v>
      </c>
      <c r="X75" t="s">
        <v>1115</v>
      </c>
      <c r="Y75" t="s">
        <v>1116</v>
      </c>
      <c r="Z75" t="s">
        <v>1442</v>
      </c>
      <c r="AA75" t="s">
        <v>1443</v>
      </c>
      <c r="AC75" s="30">
        <v>43101</v>
      </c>
      <c r="AD75">
        <v>36</v>
      </c>
      <c r="AE75">
        <v>1</v>
      </c>
      <c r="AH75" s="21">
        <v>3</v>
      </c>
      <c r="AI75" t="s">
        <v>1444</v>
      </c>
      <c r="AJ75" s="26">
        <v>2.75</v>
      </c>
      <c r="AK75" s="22">
        <v>43035.43472222222</v>
      </c>
      <c r="AL75">
        <v>4</v>
      </c>
      <c r="AS75" t="s">
        <v>455</v>
      </c>
      <c r="AT75" t="s">
        <v>1445</v>
      </c>
      <c r="AU75" t="b">
        <f>IF(ckCodingTable[[#This Row],[ILN]]="N",SUBSTITUTE(AT74," ","")&lt;&gt;SUBSTITUTE(ckCodingTable[[#This Row],[prop_titl_txt]]," ",""), FALSE)</f>
        <v>0</v>
      </c>
      <c r="AV75">
        <v>0</v>
      </c>
      <c r="AW75" s="13">
        <v>399415</v>
      </c>
      <c r="AX75" s="13">
        <v>399415</v>
      </c>
      <c r="AY75" s="13"/>
      <c r="AZ75" s="13"/>
      <c r="BA75" s="13"/>
      <c r="BB75" s="13">
        <v>265715</v>
      </c>
      <c r="BC75">
        <v>3</v>
      </c>
      <c r="BD75">
        <v>3</v>
      </c>
      <c r="BE75">
        <v>3</v>
      </c>
      <c r="BH75">
        <v>0</v>
      </c>
      <c r="BI75">
        <v>0</v>
      </c>
      <c r="BJ75">
        <v>0</v>
      </c>
      <c r="BK75">
        <v>1</v>
      </c>
      <c r="BL75" t="s">
        <v>1446</v>
      </c>
    </row>
  </sheetData>
  <conditionalFormatting sqref="M2:M75">
    <cfRule type="expression" dxfId="81" priority="12">
      <formula>$O2</formula>
    </cfRule>
  </conditionalFormatting>
  <conditionalFormatting sqref="N2:N75">
    <cfRule type="expression" dxfId="80" priority="11">
      <formula>$P2</formula>
    </cfRule>
  </conditionalFormatting>
  <conditionalFormatting sqref="I2:J75">
    <cfRule type="expression" dxfId="79" priority="1501">
      <formula>($J2+$I2)&lt;&gt;1</formula>
    </cfRule>
  </conditionalFormatting>
  <conditionalFormatting sqref="AT2:AT75">
    <cfRule type="expression" dxfId="78" priority="1559">
      <formula>AU2</formula>
    </cfRule>
  </conditionalFormatting>
  <conditionalFormatting sqref="A2:BL75">
    <cfRule type="expression" dxfId="77" priority="1964">
      <formula>MOD($S2,2)</formula>
    </cfRule>
  </conditionalFormatting>
  <conditionalFormatting sqref="AI2:AI75">
    <cfRule type="expression" dxfId="76" priority="1674">
      <formula>AND($T2&lt;"M",$AL2&lt;$AN2+3)</formula>
    </cfRule>
  </conditionalFormatting>
  <conditionalFormatting sqref="C2:L75 AC2:AD75">
    <cfRule type="expression" dxfId="75" priority="1926">
      <formula>AND($T2="N", C2&lt;&gt;C1)</formula>
    </cfRule>
  </conditionalFormatting>
  <conditionalFormatting sqref="C22:L22 AC22:AD22">
    <cfRule type="expression" dxfId="74" priority="1984">
      <formula>AND($T22="N", C22&lt;&gt;#REF!)</formula>
    </cfRule>
  </conditionalFormatting>
  <conditionalFormatting sqref="C22:L22 AC22:AD22">
    <cfRule type="expression" dxfId="73" priority="2015">
      <formula>AND($T22="N", C22&lt;&gt;#REF!)</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409"/>
  <sheetViews>
    <sheetView topLeftCell="H3" workbookViewId="0">
      <selection activeCell="Y11" sqref="Y11:AD15"/>
    </sheetView>
  </sheetViews>
  <sheetFormatPr defaultRowHeight="15"/>
  <cols>
    <col min="1" max="1" width="6.42578125" style="6" hidden="1" customWidth="1"/>
    <col min="2" max="2" width="1.7109375" hidden="1" customWidth="1"/>
    <col min="3" max="3" width="2.85546875" hidden="1" customWidth="1"/>
    <col min="4" max="4" width="2.140625" hidden="1" customWidth="1"/>
    <col min="5" max="5" width="9.28515625" customWidth="1"/>
    <col min="6" max="6" width="11.85546875" customWidth="1"/>
    <col min="7" max="7" width="9" style="30" customWidth="1"/>
    <col min="8" max="9" width="5.85546875" customWidth="1"/>
    <col min="10" max="10" width="5.85546875" hidden="1" customWidth="1"/>
    <col min="11" max="11" width="8.42578125" customWidth="1"/>
    <col min="12" max="12" width="8.7109375" customWidth="1"/>
    <col min="13" max="13" width="3.5703125" style="21" customWidth="1"/>
    <col min="14" max="14" width="7.85546875" customWidth="1"/>
    <col min="15" max="15" width="7.28515625" customWidth="1"/>
    <col min="16" max="16" width="4.7109375" customWidth="1"/>
    <col min="17" max="17" width="3.28515625" customWidth="1"/>
    <col min="18" max="18" width="2.42578125" customWidth="1"/>
    <col min="19" max="19" width="10.28515625" style="13" customWidth="1"/>
    <col min="20" max="21" width="10.28515625" customWidth="1"/>
    <col min="22" max="22" width="10.5703125" customWidth="1"/>
    <col min="23" max="23" width="3.7109375" customWidth="1"/>
    <col min="24" max="24" width="3.7109375" style="6" customWidth="1"/>
    <col min="25" max="25" width="4.28515625" customWidth="1"/>
    <col min="26" max="26" width="11.140625" customWidth="1"/>
    <col min="27" max="27" width="9.140625" customWidth="1"/>
    <col min="28" max="28" width="6.140625" customWidth="1"/>
    <col min="29" max="29" width="6.42578125" customWidth="1"/>
    <col min="30" max="30" width="19.5703125" customWidth="1"/>
  </cols>
  <sheetData>
    <row r="1" spans="1:30">
      <c r="A1" s="6" t="s">
        <v>130</v>
      </c>
      <c r="Q1" s="3"/>
    </row>
    <row r="2" spans="1:30" s="100" customFormat="1">
      <c r="A2" s="99"/>
      <c r="F2" s="101" t="s">
        <v>15</v>
      </c>
      <c r="G2" s="101"/>
      <c r="I2" s="102" t="s">
        <v>540</v>
      </c>
      <c r="K2" s="12" t="str">
        <f>LOWER(I409)</f>
        <v>jsprink</v>
      </c>
      <c r="L2" s="102" t="s">
        <v>14</v>
      </c>
      <c r="M2" s="104">
        <f ca="1">YEAR(NOW())+(MONTH(NOW())&gt;9)-2000</f>
        <v>18</v>
      </c>
      <c r="Q2" s="101" t="s">
        <v>128</v>
      </c>
      <c r="R2" s="101"/>
      <c r="S2" s="103"/>
      <c r="U2" s="100" t="s">
        <v>129</v>
      </c>
      <c r="Y2" s="100" t="s">
        <v>541</v>
      </c>
    </row>
    <row r="3" spans="1:30">
      <c r="A3" s="6" t="s">
        <v>0</v>
      </c>
      <c r="B3" t="s">
        <v>88</v>
      </c>
      <c r="C3" t="s">
        <v>422</v>
      </c>
      <c r="D3" t="s">
        <v>102</v>
      </c>
      <c r="E3" s="30" t="s">
        <v>7</v>
      </c>
      <c r="F3" t="s">
        <v>8</v>
      </c>
      <c r="G3" t="s">
        <v>5</v>
      </c>
      <c r="H3" t="s">
        <v>4</v>
      </c>
      <c r="I3" t="s">
        <v>91</v>
      </c>
      <c r="J3" t="s">
        <v>448</v>
      </c>
      <c r="K3" t="s">
        <v>9</v>
      </c>
      <c r="L3" t="s">
        <v>1</v>
      </c>
      <c r="M3" s="21" t="s">
        <v>2</v>
      </c>
      <c r="N3" t="s">
        <v>10</v>
      </c>
      <c r="O3" s="14" t="s">
        <v>519</v>
      </c>
      <c r="P3" t="s">
        <v>11</v>
      </c>
      <c r="Q3" t="s">
        <v>424</v>
      </c>
      <c r="R3" t="s">
        <v>425</v>
      </c>
      <c r="S3" s="13" t="s">
        <v>426</v>
      </c>
      <c r="T3" t="s">
        <v>427</v>
      </c>
      <c r="U3" t="s">
        <v>428</v>
      </c>
      <c r="V3" s="6" t="s">
        <v>429</v>
      </c>
      <c r="W3" t="s">
        <v>430</v>
      </c>
      <c r="X3" t="s">
        <v>431</v>
      </c>
      <c r="Y3" t="s">
        <v>6</v>
      </c>
      <c r="Z3" t="s">
        <v>432</v>
      </c>
      <c r="AA3" t="s">
        <v>433</v>
      </c>
      <c r="AB3" t="s">
        <v>434</v>
      </c>
      <c r="AC3" t="s">
        <v>559</v>
      </c>
      <c r="AD3" t="s">
        <v>12</v>
      </c>
    </row>
    <row r="4" spans="1:30">
      <c r="A4" s="10" t="s">
        <v>594</v>
      </c>
      <c r="B4" s="78" t="s">
        <v>463</v>
      </c>
      <c r="C4" s="78">
        <f>C3+(BudgetsTable[[#This Row],[lead]]&lt;&gt;K3)</f>
        <v>11</v>
      </c>
      <c r="D4" s="78">
        <f>D3*(BudgetsTable[[#This Row],[lead]]=K3)+(BudgetsTable[[#This Row],[prop_id]]&lt;&gt;A3)</f>
        <v>1</v>
      </c>
      <c r="E4" s="79">
        <v>42797.679166666669</v>
      </c>
      <c r="F4" s="80" t="s">
        <v>1123</v>
      </c>
      <c r="G4" s="80" t="s">
        <v>1124</v>
      </c>
      <c r="H4" s="80" t="s">
        <v>1125</v>
      </c>
      <c r="I4" s="78" t="s">
        <v>596</v>
      </c>
      <c r="J4" s="78" t="s">
        <v>1131</v>
      </c>
      <c r="K4" s="80" t="s">
        <v>594</v>
      </c>
      <c r="L4" s="7" t="str">
        <f>IF(BudgetsTable[[#This Row],[pi_last_name]]=" ","",HYPERLINK("https://www.ejacket.nsf.gov/ej/showProposal.do?Continue=Y&amp;ID="&amp;BudgetsTable[[#This Row],[prop_id]],BudgetsTable[[#This Row],[prop_id]]))</f>
        <v>1739204</v>
      </c>
      <c r="M4" s="15" t="str">
        <f>IF(BudgetsTable[[#This Row],[pi_last_name]]=" ","",HYPERLINK("https://www.ejacket.nsf.gov/ej/processReviewAnalysis.do?dispatch=add&amp;uniqId="&amp;BudgetsTable[[#This Row],[prop_id]]&amp;PO_id,"&gt;ra"))</f>
        <v>&gt;ra</v>
      </c>
      <c r="N4" s="80" t="s">
        <v>595</v>
      </c>
      <c r="O4" s="7" t="str">
        <f>IF(BudgetsTable[[#This Row],[pi_last_name]]=" ","",HYPERLINK("mailto:"&amp;BudgetsTable[[#This Row],[pi_email]]&amp;"&amp;subject=Your NSF Proposal:  "&amp;BudgetsTable[[#This Row],[prop_id]],BudgetsTable[[#This Row],[pi_email]]))</f>
        <v>mns18@columbia.edu</v>
      </c>
      <c r="P4" s="80" t="s">
        <v>468</v>
      </c>
      <c r="Q4" s="80"/>
      <c r="R4" s="80"/>
      <c r="S4" s="81"/>
      <c r="T4" s="81"/>
      <c r="U4" s="81"/>
      <c r="V4" s="82"/>
      <c r="W4" s="80">
        <v>0</v>
      </c>
      <c r="X4" s="80"/>
      <c r="Y4" s="11" t="str">
        <f ca="1">IF(ISBLANK(BudgetsTable[[#This Row],[budg_seq_yr]]),"FY"&amp;fiscalyear,"FY"&amp;fiscalyear-1+BudgetsTable[[#This Row],[budg_seq_yr]])</f>
        <v>FY18</v>
      </c>
      <c r="Z4" s="81">
        <v>4613676</v>
      </c>
      <c r="AA4" s="80" t="s">
        <v>1124</v>
      </c>
      <c r="AB4" s="80" t="s">
        <v>1125</v>
      </c>
      <c r="AC4" s="105" t="s">
        <v>94</v>
      </c>
      <c r="AD4" s="80" t="s">
        <v>588</v>
      </c>
    </row>
    <row r="5" spans="1:30">
      <c r="A5" s="10" t="s">
        <v>594</v>
      </c>
      <c r="B5" s="78" t="s">
        <v>463</v>
      </c>
      <c r="C5" s="78">
        <f>C4+(BudgetsTable[[#This Row],[lead]]&lt;&gt;K4)</f>
        <v>11</v>
      </c>
      <c r="D5" s="78">
        <f>D4*(BudgetsTable[[#This Row],[lead]]=K4)+(BudgetsTable[[#This Row],[prop_id]]&lt;&gt;A4)</f>
        <v>1</v>
      </c>
      <c r="E5" s="79">
        <v>42797.679166666669</v>
      </c>
      <c r="F5" s="80" t="s">
        <v>1123</v>
      </c>
      <c r="G5" s="80" t="s">
        <v>1124</v>
      </c>
      <c r="H5" s="80" t="s">
        <v>1125</v>
      </c>
      <c r="I5" s="78" t="s">
        <v>596</v>
      </c>
      <c r="J5" s="78" t="s">
        <v>13</v>
      </c>
      <c r="K5" s="80" t="s">
        <v>594</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80" t="s">
        <v>13</v>
      </c>
      <c r="O5" s="7" t="str">
        <f>IF(BudgetsTable[[#This Row],[pi_last_name]]=" ","",HYPERLINK("mailto:"&amp;BudgetsTable[[#This Row],[pi_email]]&amp;"&amp;subject=Your NSF Proposal:  "&amp;BudgetsTable[[#This Row],[prop_id]],BudgetsTable[[#This Row],[pi_email]]))</f>
        <v/>
      </c>
      <c r="P5" s="80" t="s">
        <v>13</v>
      </c>
      <c r="Q5" s="80">
        <v>4</v>
      </c>
      <c r="R5" s="80">
        <v>1</v>
      </c>
      <c r="S5" s="81">
        <v>56223</v>
      </c>
      <c r="T5" s="81">
        <v>0</v>
      </c>
      <c r="U5" s="81">
        <v>44850</v>
      </c>
      <c r="V5" s="82">
        <v>956768</v>
      </c>
      <c r="W5" s="80">
        <v>0</v>
      </c>
      <c r="X5" s="80">
        <v>1</v>
      </c>
      <c r="Y5" s="11" t="str">
        <f ca="1">IF(ISBLANK(BudgetsTable[[#This Row],[budg_seq_yr]]),"FY"&amp;fiscalyear,"FY"&amp;fiscalyear-1+BudgetsTable[[#This Row],[budg_seq_yr]])</f>
        <v>FY18</v>
      </c>
      <c r="Z5" s="81">
        <v>956768</v>
      </c>
      <c r="AA5" s="80" t="s">
        <v>1124</v>
      </c>
      <c r="AB5" s="80" t="s">
        <v>1125</v>
      </c>
      <c r="AC5" s="78" t="s">
        <v>94</v>
      </c>
      <c r="AD5" s="80" t="s">
        <v>588</v>
      </c>
    </row>
    <row r="6" spans="1:30">
      <c r="A6" s="10" t="s">
        <v>594</v>
      </c>
      <c r="B6" s="78" t="s">
        <v>463</v>
      </c>
      <c r="C6" s="78">
        <f>C5+(BudgetsTable[[#This Row],[lead]]&lt;&gt;K5)</f>
        <v>11</v>
      </c>
      <c r="D6" s="78">
        <f>D5*(BudgetsTable[[#This Row],[lead]]=K5)+(BudgetsTable[[#This Row],[prop_id]]&lt;&gt;A5)</f>
        <v>1</v>
      </c>
      <c r="E6" s="79">
        <v>42797.679166666669</v>
      </c>
      <c r="F6" s="80" t="s">
        <v>1123</v>
      </c>
      <c r="G6" s="80" t="s">
        <v>1124</v>
      </c>
      <c r="H6" s="80" t="s">
        <v>1125</v>
      </c>
      <c r="I6" s="78" t="s">
        <v>596</v>
      </c>
      <c r="J6" s="78" t="s">
        <v>13</v>
      </c>
      <c r="K6" s="80" t="s">
        <v>594</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80" t="s">
        <v>13</v>
      </c>
      <c r="O6" s="7" t="str">
        <f>IF(BudgetsTable[[#This Row],[pi_last_name]]=" ","",HYPERLINK("mailto:"&amp;BudgetsTable[[#This Row],[pi_email]]&amp;"&amp;subject=Your NSF Proposal:  "&amp;BudgetsTable[[#This Row],[prop_id]],BudgetsTable[[#This Row],[pi_email]]))</f>
        <v/>
      </c>
      <c r="P6" s="80" t="s">
        <v>13</v>
      </c>
      <c r="Q6" s="80">
        <v>4</v>
      </c>
      <c r="R6" s="80">
        <v>1</v>
      </c>
      <c r="S6" s="81">
        <v>57347</v>
      </c>
      <c r="T6" s="81">
        <v>0</v>
      </c>
      <c r="U6" s="81">
        <v>45747</v>
      </c>
      <c r="V6" s="82">
        <v>928985</v>
      </c>
      <c r="W6" s="80">
        <v>0</v>
      </c>
      <c r="X6" s="80">
        <v>2</v>
      </c>
      <c r="Y6" s="11" t="str">
        <f ca="1">IF(ISBLANK(BudgetsTable[[#This Row],[budg_seq_yr]]),"FY"&amp;fiscalyear,"FY"&amp;fiscalyear-1+BudgetsTable[[#This Row],[budg_seq_yr]])</f>
        <v>FY19</v>
      </c>
      <c r="Z6" s="81">
        <v>928985</v>
      </c>
      <c r="AA6" s="80" t="s">
        <v>1124</v>
      </c>
      <c r="AB6" s="80" t="s">
        <v>1125</v>
      </c>
      <c r="AC6" s="108" t="s">
        <v>94</v>
      </c>
      <c r="AD6" s="80" t="s">
        <v>588</v>
      </c>
    </row>
    <row r="7" spans="1:30">
      <c r="A7" s="10" t="s">
        <v>594</v>
      </c>
      <c r="B7" s="78" t="s">
        <v>463</v>
      </c>
      <c r="C7" s="78">
        <f>C6+(BudgetsTable[[#This Row],[lead]]&lt;&gt;K6)</f>
        <v>11</v>
      </c>
      <c r="D7" s="78">
        <f>D6*(BudgetsTable[[#This Row],[lead]]=K6)+(BudgetsTable[[#This Row],[prop_id]]&lt;&gt;A6)</f>
        <v>1</v>
      </c>
      <c r="E7" s="79">
        <v>42797.679166666669</v>
      </c>
      <c r="F7" s="80" t="s">
        <v>1123</v>
      </c>
      <c r="G7" s="80" t="s">
        <v>1124</v>
      </c>
      <c r="H7" s="80" t="s">
        <v>1125</v>
      </c>
      <c r="I7" s="78" t="s">
        <v>596</v>
      </c>
      <c r="J7" s="78" t="s">
        <v>13</v>
      </c>
      <c r="K7" s="80" t="s">
        <v>594</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80" t="s">
        <v>13</v>
      </c>
      <c r="O7" s="7" t="str">
        <f>IF(BudgetsTable[[#This Row],[pi_last_name]]=" ","",HYPERLINK("mailto:"&amp;BudgetsTable[[#This Row],[pi_email]]&amp;"&amp;subject=Your NSF Proposal:  "&amp;BudgetsTable[[#This Row],[prop_id]],BudgetsTable[[#This Row],[pi_email]]))</f>
        <v/>
      </c>
      <c r="P7" s="80" t="s">
        <v>13</v>
      </c>
      <c r="Q7" s="80">
        <v>4</v>
      </c>
      <c r="R7" s="80">
        <v>1</v>
      </c>
      <c r="S7" s="81">
        <v>58494</v>
      </c>
      <c r="T7" s="81">
        <v>0</v>
      </c>
      <c r="U7" s="81">
        <v>46662</v>
      </c>
      <c r="V7" s="82">
        <v>898608</v>
      </c>
      <c r="W7" s="80">
        <v>0</v>
      </c>
      <c r="X7" s="80">
        <v>3</v>
      </c>
      <c r="Y7" s="11" t="str">
        <f ca="1">IF(ISBLANK(BudgetsTable[[#This Row],[budg_seq_yr]]),"FY"&amp;fiscalyear,"FY"&amp;fiscalyear-1+BudgetsTable[[#This Row],[budg_seq_yr]])</f>
        <v>FY20</v>
      </c>
      <c r="Z7" s="81">
        <v>898608</v>
      </c>
      <c r="AA7" s="80" t="s">
        <v>1124</v>
      </c>
      <c r="AB7" s="80" t="s">
        <v>1125</v>
      </c>
      <c r="AC7" s="108" t="s">
        <v>94</v>
      </c>
      <c r="AD7" s="80" t="s">
        <v>588</v>
      </c>
    </row>
    <row r="8" spans="1:30">
      <c r="A8" s="10" t="s">
        <v>594</v>
      </c>
      <c r="B8" s="78" t="s">
        <v>463</v>
      </c>
      <c r="C8" s="78">
        <f>C7+(BudgetsTable[[#This Row],[lead]]&lt;&gt;K7)</f>
        <v>11</v>
      </c>
      <c r="D8" s="78">
        <f>D7*(BudgetsTable[[#This Row],[lead]]=K7)+(BudgetsTable[[#This Row],[prop_id]]&lt;&gt;A7)</f>
        <v>1</v>
      </c>
      <c r="E8" s="79">
        <v>42797.679166666669</v>
      </c>
      <c r="F8" s="80" t="s">
        <v>1123</v>
      </c>
      <c r="G8" s="80" t="s">
        <v>1124</v>
      </c>
      <c r="H8" s="80" t="s">
        <v>1125</v>
      </c>
      <c r="I8" s="78" t="s">
        <v>596</v>
      </c>
      <c r="J8" s="78" t="s">
        <v>13</v>
      </c>
      <c r="K8" s="80" t="s">
        <v>594</v>
      </c>
      <c r="L8" s="7" t="str">
        <f>IF(BudgetsTable[[#This Row],[pi_last_name]]=" ","",HYPERLINK("https://www.ejacket.nsf.gov/ej/showProposal.do?Continue=Y&amp;ID="&amp;BudgetsTable[[#This Row],[prop_id]],BudgetsTable[[#This Row],[prop_id]]))</f>
        <v/>
      </c>
      <c r="M8" s="15" t="str">
        <f>IF(BudgetsTable[[#This Row],[pi_last_name]]=" ","",HYPERLINK("https://www.ejacket.nsf.gov/ej/processReviewAnalysis.do?dispatch=add&amp;uniqId="&amp;BudgetsTable[[#This Row],[prop_id]]&amp;PO_id,"&gt;ra"))</f>
        <v/>
      </c>
      <c r="N8" s="80" t="s">
        <v>13</v>
      </c>
      <c r="O8" s="7" t="str">
        <f>IF(BudgetsTable[[#This Row],[pi_last_name]]=" ","",HYPERLINK("mailto:"&amp;BudgetsTable[[#This Row],[pi_email]]&amp;"&amp;subject=Your NSF Proposal:  "&amp;BudgetsTable[[#This Row],[prop_id]],BudgetsTable[[#This Row],[pi_email]]))</f>
        <v/>
      </c>
      <c r="P8" s="80" t="s">
        <v>13</v>
      </c>
      <c r="Q8" s="80">
        <v>4</v>
      </c>
      <c r="R8" s="80">
        <v>1</v>
      </c>
      <c r="S8" s="81">
        <v>59664</v>
      </c>
      <c r="T8" s="81">
        <v>0</v>
      </c>
      <c r="U8" s="81">
        <v>47595</v>
      </c>
      <c r="V8" s="82">
        <v>909236</v>
      </c>
      <c r="W8" s="80">
        <v>0</v>
      </c>
      <c r="X8" s="80">
        <v>4</v>
      </c>
      <c r="Y8" s="11" t="str">
        <f ca="1">IF(ISBLANK(BudgetsTable[[#This Row],[budg_seq_yr]]),"FY"&amp;fiscalyear,"FY"&amp;fiscalyear-1+BudgetsTable[[#This Row],[budg_seq_yr]])</f>
        <v>FY21</v>
      </c>
      <c r="Z8" s="81">
        <v>909236</v>
      </c>
      <c r="AA8" s="80" t="s">
        <v>1124</v>
      </c>
      <c r="AB8" s="80" t="s">
        <v>1125</v>
      </c>
      <c r="AC8" s="108" t="s">
        <v>94</v>
      </c>
      <c r="AD8" s="80" t="s">
        <v>588</v>
      </c>
    </row>
    <row r="9" spans="1:30">
      <c r="A9" s="10" t="s">
        <v>594</v>
      </c>
      <c r="B9" s="78" t="s">
        <v>463</v>
      </c>
      <c r="C9" s="78">
        <f>C8+(BudgetsTable[[#This Row],[lead]]&lt;&gt;K8)</f>
        <v>11</v>
      </c>
      <c r="D9" s="78">
        <f>D8*(BudgetsTable[[#This Row],[lead]]=K8)+(BudgetsTable[[#This Row],[prop_id]]&lt;&gt;A8)</f>
        <v>1</v>
      </c>
      <c r="E9" s="79">
        <v>42797.679166666669</v>
      </c>
      <c r="F9" s="80" t="s">
        <v>1123</v>
      </c>
      <c r="G9" s="80" t="s">
        <v>1124</v>
      </c>
      <c r="H9" s="80" t="s">
        <v>1125</v>
      </c>
      <c r="I9" s="78" t="s">
        <v>596</v>
      </c>
      <c r="J9" s="78" t="s">
        <v>13</v>
      </c>
      <c r="K9" s="80" t="s">
        <v>594</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80" t="s">
        <v>13</v>
      </c>
      <c r="O9" s="7" t="str">
        <f>IF(BudgetsTable[[#This Row],[pi_last_name]]=" ","",HYPERLINK("mailto:"&amp;BudgetsTable[[#This Row],[pi_email]]&amp;"&amp;subject=Your NSF Proposal:  "&amp;BudgetsTable[[#This Row],[prop_id]],BudgetsTable[[#This Row],[pi_email]]))</f>
        <v/>
      </c>
      <c r="P9" s="80" t="s">
        <v>13</v>
      </c>
      <c r="Q9" s="80">
        <v>4</v>
      </c>
      <c r="R9" s="80">
        <v>1</v>
      </c>
      <c r="S9" s="81">
        <v>60857</v>
      </c>
      <c r="T9" s="81">
        <v>0</v>
      </c>
      <c r="U9" s="81">
        <v>48547</v>
      </c>
      <c r="V9" s="82">
        <v>920079</v>
      </c>
      <c r="W9" s="80">
        <v>0</v>
      </c>
      <c r="X9" s="80">
        <v>5</v>
      </c>
      <c r="Y9" s="11" t="str">
        <f ca="1">IF(ISBLANK(BudgetsTable[[#This Row],[budg_seq_yr]]),"FY"&amp;fiscalyear,"FY"&amp;fiscalyear-1+BudgetsTable[[#This Row],[budg_seq_yr]])</f>
        <v>FY22</v>
      </c>
      <c r="Z9" s="81">
        <v>920079</v>
      </c>
      <c r="AA9" s="80" t="s">
        <v>1124</v>
      </c>
      <c r="AB9" s="80" t="s">
        <v>1125</v>
      </c>
      <c r="AC9" s="108" t="s">
        <v>94</v>
      </c>
      <c r="AD9" s="80" t="s">
        <v>588</v>
      </c>
    </row>
    <row r="10" spans="1:30">
      <c r="A10" s="10" t="s">
        <v>1132</v>
      </c>
      <c r="B10" s="78" t="s">
        <v>450</v>
      </c>
      <c r="C10" s="78">
        <f>C9+(BudgetsTable[[#This Row],[lead]]&lt;&gt;K9)</f>
        <v>11</v>
      </c>
      <c r="D10" s="78">
        <f>D9*(BudgetsTable[[#This Row],[lead]]=K9)+(BudgetsTable[[#This Row],[prop_id]]&lt;&gt;A9)</f>
        <v>2</v>
      </c>
      <c r="E10" s="79">
        <v>42796.521527777775</v>
      </c>
      <c r="F10" s="80" t="s">
        <v>1123</v>
      </c>
      <c r="G10" s="80" t="s">
        <v>1124</v>
      </c>
      <c r="H10" s="80" t="s">
        <v>1125</v>
      </c>
      <c r="I10" s="78" t="s">
        <v>596</v>
      </c>
      <c r="J10" s="78" t="s">
        <v>1136</v>
      </c>
      <c r="K10" s="80" t="s">
        <v>594</v>
      </c>
      <c r="L10" s="7" t="str">
        <f>IF(BudgetsTable[[#This Row],[pi_last_name]]=" ","",HYPERLINK("https://www.ejacket.nsf.gov/ej/showProposal.do?Continue=Y&amp;ID="&amp;BudgetsTable[[#This Row],[prop_id]],BudgetsTable[[#This Row],[prop_id]]))</f>
        <v>1739054</v>
      </c>
      <c r="M10" s="15" t="str">
        <f>IF(BudgetsTable[[#This Row],[pi_last_name]]=" ","",HYPERLINK("https://www.ejacket.nsf.gov/ej/processReviewAnalysis.do?dispatch=add&amp;uniqId="&amp;BudgetsTable[[#This Row],[prop_id]]&amp;PO_id,"&gt;ra"))</f>
        <v>&gt;ra</v>
      </c>
      <c r="N10" s="80" t="s">
        <v>1133</v>
      </c>
      <c r="O10" s="7" t="str">
        <f>IF(BudgetsTable[[#This Row],[pi_last_name]]=" ","",HYPERLINK("mailto:"&amp;BudgetsTable[[#This Row],[pi_email]]&amp;"&amp;subject=Your NSF Proposal:  "&amp;BudgetsTable[[#This Row],[prop_id]],BudgetsTable[[#This Row],[pi_email]]))</f>
        <v>Rudchenkos@hss.edu</v>
      </c>
      <c r="P10" s="80" t="s">
        <v>1135</v>
      </c>
      <c r="Q10" s="80"/>
      <c r="R10" s="80"/>
      <c r="S10" s="81"/>
      <c r="T10" s="81"/>
      <c r="U10" s="81"/>
      <c r="V10" s="82"/>
      <c r="W10" s="80">
        <v>0</v>
      </c>
      <c r="X10" s="80"/>
      <c r="Y10" s="11" t="str">
        <f ca="1">IF(ISBLANK(BudgetsTable[[#This Row],[budg_seq_yr]]),"FY"&amp;fiscalyear,"FY"&amp;fiscalyear-1+BudgetsTable[[#This Row],[budg_seq_yr]])</f>
        <v>FY18</v>
      </c>
      <c r="Z10" s="81">
        <v>1028304</v>
      </c>
      <c r="AA10" s="80" t="s">
        <v>1124</v>
      </c>
      <c r="AB10" s="80" t="s">
        <v>1125</v>
      </c>
      <c r="AC10" s="108" t="s">
        <v>94</v>
      </c>
      <c r="AD10" s="80" t="s">
        <v>588</v>
      </c>
    </row>
    <row r="11" spans="1:30">
      <c r="A11" s="10" t="s">
        <v>1132</v>
      </c>
      <c r="B11" s="78" t="s">
        <v>450</v>
      </c>
      <c r="C11" s="78">
        <f>C10+(BudgetsTable[[#This Row],[lead]]&lt;&gt;K10)</f>
        <v>11</v>
      </c>
      <c r="D11" s="78">
        <f>D10*(BudgetsTable[[#This Row],[lead]]=K10)+(BudgetsTable[[#This Row],[prop_id]]&lt;&gt;A10)</f>
        <v>2</v>
      </c>
      <c r="E11" s="79">
        <v>42796.521527777775</v>
      </c>
      <c r="F11" s="80" t="s">
        <v>1123</v>
      </c>
      <c r="G11" s="80" t="s">
        <v>1124</v>
      </c>
      <c r="H11" s="80" t="s">
        <v>1125</v>
      </c>
      <c r="I11" s="78" t="s">
        <v>596</v>
      </c>
      <c r="J11" s="78" t="s">
        <v>13</v>
      </c>
      <c r="K11" s="80" t="s">
        <v>594</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80" t="s">
        <v>13</v>
      </c>
      <c r="O11" s="7" t="str">
        <f>IF(BudgetsTable[[#This Row],[pi_last_name]]=" ","",HYPERLINK("mailto:"&amp;BudgetsTable[[#This Row],[pi_email]]&amp;"&amp;subject=Your NSF Proposal:  "&amp;BudgetsTable[[#This Row],[prop_id]],BudgetsTable[[#This Row],[pi_email]]))</f>
        <v/>
      </c>
      <c r="P11" s="80" t="s">
        <v>13</v>
      </c>
      <c r="Q11" s="80">
        <v>1</v>
      </c>
      <c r="R11" s="80">
        <v>0</v>
      </c>
      <c r="S11" s="81">
        <v>30000</v>
      </c>
      <c r="T11" s="81">
        <v>0</v>
      </c>
      <c r="U11" s="81">
        <v>0</v>
      </c>
      <c r="V11" s="82">
        <v>199670</v>
      </c>
      <c r="W11" s="80">
        <v>0</v>
      </c>
      <c r="X11" s="80">
        <v>1</v>
      </c>
      <c r="Y11" s="11" t="str">
        <f ca="1">IF(ISBLANK(BudgetsTable[[#This Row],[budg_seq_yr]]),"FY"&amp;fiscalyear,"FY"&amp;fiscalyear-1+BudgetsTable[[#This Row],[budg_seq_yr]])</f>
        <v>FY18</v>
      </c>
      <c r="Z11" s="81">
        <v>199670</v>
      </c>
      <c r="AA11" s="80" t="s">
        <v>1124</v>
      </c>
      <c r="AB11" s="80" t="s">
        <v>1125</v>
      </c>
      <c r="AC11" s="108" t="s">
        <v>94</v>
      </c>
      <c r="AD11" s="80" t="s">
        <v>588</v>
      </c>
    </row>
    <row r="12" spans="1:30">
      <c r="A12" s="10" t="s">
        <v>1132</v>
      </c>
      <c r="B12" s="78" t="s">
        <v>450</v>
      </c>
      <c r="C12" s="78">
        <f>C11+(BudgetsTable[[#This Row],[lead]]&lt;&gt;K11)</f>
        <v>11</v>
      </c>
      <c r="D12" s="78">
        <f>D11*(BudgetsTable[[#This Row],[lead]]=K11)+(BudgetsTable[[#This Row],[prop_id]]&lt;&gt;A11)</f>
        <v>2</v>
      </c>
      <c r="E12" s="79">
        <v>42796.521527777775</v>
      </c>
      <c r="F12" s="80" t="s">
        <v>1123</v>
      </c>
      <c r="G12" s="80" t="s">
        <v>1124</v>
      </c>
      <c r="H12" s="80" t="s">
        <v>1125</v>
      </c>
      <c r="I12" s="78" t="s">
        <v>596</v>
      </c>
      <c r="J12" s="78" t="s">
        <v>13</v>
      </c>
      <c r="K12" s="80" t="s">
        <v>594</v>
      </c>
      <c r="L12" s="7" t="str">
        <f>IF(BudgetsTable[[#This Row],[pi_last_name]]=" ","",HYPERLINK("https://www.ejacket.nsf.gov/ej/showProposal.do?Continue=Y&amp;ID="&amp;BudgetsTable[[#This Row],[prop_id]],BudgetsTable[[#This Row],[prop_id]]))</f>
        <v/>
      </c>
      <c r="M12" s="15" t="str">
        <f>IF(BudgetsTable[[#This Row],[pi_last_name]]=" ","",HYPERLINK("https://www.ejacket.nsf.gov/ej/processReviewAnalysis.do?dispatch=add&amp;uniqId="&amp;BudgetsTable[[#This Row],[prop_id]]&amp;PO_id,"&gt;ra"))</f>
        <v/>
      </c>
      <c r="N12" s="80" t="s">
        <v>13</v>
      </c>
      <c r="O12" s="7" t="str">
        <f>IF(BudgetsTable[[#This Row],[pi_last_name]]=" ","",HYPERLINK("mailto:"&amp;BudgetsTable[[#This Row],[pi_email]]&amp;"&amp;subject=Your NSF Proposal:  "&amp;BudgetsTable[[#This Row],[prop_id]],BudgetsTable[[#This Row],[pi_email]]))</f>
        <v/>
      </c>
      <c r="P12" s="80" t="s">
        <v>13</v>
      </c>
      <c r="Q12" s="80">
        <v>1</v>
      </c>
      <c r="R12" s="80">
        <v>0</v>
      </c>
      <c r="S12" s="81">
        <v>30900</v>
      </c>
      <c r="T12" s="81">
        <v>0</v>
      </c>
      <c r="U12" s="81">
        <v>0</v>
      </c>
      <c r="V12" s="82">
        <v>199457</v>
      </c>
      <c r="W12" s="80">
        <v>0</v>
      </c>
      <c r="X12" s="80">
        <v>2</v>
      </c>
      <c r="Y12" s="11" t="str">
        <f ca="1">IF(ISBLANK(BudgetsTable[[#This Row],[budg_seq_yr]]),"FY"&amp;fiscalyear,"FY"&amp;fiscalyear-1+BudgetsTable[[#This Row],[budg_seq_yr]])</f>
        <v>FY19</v>
      </c>
      <c r="Z12" s="81">
        <v>199457</v>
      </c>
      <c r="AA12" s="80" t="s">
        <v>1124</v>
      </c>
      <c r="AB12" s="80" t="s">
        <v>1125</v>
      </c>
      <c r="AC12" s="108" t="s">
        <v>94</v>
      </c>
      <c r="AD12" s="80" t="s">
        <v>588</v>
      </c>
    </row>
    <row r="13" spans="1:30">
      <c r="A13" s="10" t="s">
        <v>1132</v>
      </c>
      <c r="B13" s="78" t="s">
        <v>450</v>
      </c>
      <c r="C13" s="78">
        <f>C12+(BudgetsTable[[#This Row],[lead]]&lt;&gt;K12)</f>
        <v>11</v>
      </c>
      <c r="D13" s="78">
        <f>D12*(BudgetsTable[[#This Row],[lead]]=K12)+(BudgetsTable[[#This Row],[prop_id]]&lt;&gt;A12)</f>
        <v>2</v>
      </c>
      <c r="E13" s="79">
        <v>42796.521527777775</v>
      </c>
      <c r="F13" s="80" t="s">
        <v>1123</v>
      </c>
      <c r="G13" s="80" t="s">
        <v>1124</v>
      </c>
      <c r="H13" s="80" t="s">
        <v>1125</v>
      </c>
      <c r="I13" s="78" t="s">
        <v>596</v>
      </c>
      <c r="J13" s="78" t="s">
        <v>13</v>
      </c>
      <c r="K13" s="80" t="s">
        <v>594</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80" t="s">
        <v>13</v>
      </c>
      <c r="O13" s="7" t="str">
        <f>IF(BudgetsTable[[#This Row],[pi_last_name]]=" ","",HYPERLINK("mailto:"&amp;BudgetsTable[[#This Row],[pi_email]]&amp;"&amp;subject=Your NSF Proposal:  "&amp;BudgetsTable[[#This Row],[prop_id]],BudgetsTable[[#This Row],[pi_email]]))</f>
        <v/>
      </c>
      <c r="P13" s="80" t="s">
        <v>13</v>
      </c>
      <c r="Q13" s="80">
        <v>1</v>
      </c>
      <c r="R13" s="80">
        <v>0</v>
      </c>
      <c r="S13" s="81">
        <v>31827</v>
      </c>
      <c r="T13" s="81">
        <v>0</v>
      </c>
      <c r="U13" s="81">
        <v>0</v>
      </c>
      <c r="V13" s="82">
        <v>204489</v>
      </c>
      <c r="W13" s="80">
        <v>0</v>
      </c>
      <c r="X13" s="80">
        <v>3</v>
      </c>
      <c r="Y13" s="11" t="str">
        <f ca="1">IF(ISBLANK(BudgetsTable[[#This Row],[budg_seq_yr]]),"FY"&amp;fiscalyear,"FY"&amp;fiscalyear-1+BudgetsTable[[#This Row],[budg_seq_yr]])</f>
        <v>FY20</v>
      </c>
      <c r="Z13" s="81">
        <v>204489</v>
      </c>
      <c r="AA13" s="80" t="s">
        <v>1124</v>
      </c>
      <c r="AB13" s="80" t="s">
        <v>1125</v>
      </c>
      <c r="AC13" s="108" t="s">
        <v>94</v>
      </c>
      <c r="AD13" s="80" t="s">
        <v>588</v>
      </c>
    </row>
    <row r="14" spans="1:30">
      <c r="A14" s="10" t="s">
        <v>1132</v>
      </c>
      <c r="B14" s="78" t="s">
        <v>450</v>
      </c>
      <c r="C14" s="78">
        <f>C13+(BudgetsTable[[#This Row],[lead]]&lt;&gt;K13)</f>
        <v>11</v>
      </c>
      <c r="D14" s="78">
        <f>D13*(BudgetsTable[[#This Row],[lead]]=K13)+(BudgetsTable[[#This Row],[prop_id]]&lt;&gt;A13)</f>
        <v>2</v>
      </c>
      <c r="E14" s="79">
        <v>42796.521527777775</v>
      </c>
      <c r="F14" s="80" t="s">
        <v>1123</v>
      </c>
      <c r="G14" s="80" t="s">
        <v>1124</v>
      </c>
      <c r="H14" s="80" t="s">
        <v>1125</v>
      </c>
      <c r="I14" s="78" t="s">
        <v>596</v>
      </c>
      <c r="J14" s="78" t="s">
        <v>13</v>
      </c>
      <c r="K14" s="80" t="s">
        <v>594</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80" t="s">
        <v>13</v>
      </c>
      <c r="O14" s="7" t="str">
        <f>IF(BudgetsTable[[#This Row],[pi_last_name]]=" ","",HYPERLINK("mailto:"&amp;BudgetsTable[[#This Row],[pi_email]]&amp;"&amp;subject=Your NSF Proposal:  "&amp;BudgetsTable[[#This Row],[prop_id]],BudgetsTable[[#This Row],[pi_email]]))</f>
        <v/>
      </c>
      <c r="P14" s="80" t="s">
        <v>13</v>
      </c>
      <c r="Q14" s="80">
        <v>1</v>
      </c>
      <c r="R14" s="80">
        <v>0</v>
      </c>
      <c r="S14" s="81">
        <v>32782</v>
      </c>
      <c r="T14" s="81">
        <v>0</v>
      </c>
      <c r="U14" s="81">
        <v>0</v>
      </c>
      <c r="V14" s="82">
        <v>209674</v>
      </c>
      <c r="W14" s="80">
        <v>0</v>
      </c>
      <c r="X14" s="80">
        <v>4</v>
      </c>
      <c r="Y14" s="11" t="str">
        <f ca="1">IF(ISBLANK(BudgetsTable[[#This Row],[budg_seq_yr]]),"FY"&amp;fiscalyear,"FY"&amp;fiscalyear-1+BudgetsTable[[#This Row],[budg_seq_yr]])</f>
        <v>FY21</v>
      </c>
      <c r="Z14" s="81">
        <v>209674</v>
      </c>
      <c r="AA14" s="80" t="s">
        <v>1124</v>
      </c>
      <c r="AB14" s="80" t="s">
        <v>1125</v>
      </c>
      <c r="AC14" s="108" t="s">
        <v>94</v>
      </c>
      <c r="AD14" s="80" t="s">
        <v>588</v>
      </c>
    </row>
    <row r="15" spans="1:30">
      <c r="A15" s="10" t="s">
        <v>1132</v>
      </c>
      <c r="B15" s="78" t="s">
        <v>450</v>
      </c>
      <c r="C15" s="78">
        <f>C14+(BudgetsTable[[#This Row],[lead]]&lt;&gt;K14)</f>
        <v>11</v>
      </c>
      <c r="D15" s="78">
        <f>D14*(BudgetsTable[[#This Row],[lead]]=K14)+(BudgetsTable[[#This Row],[prop_id]]&lt;&gt;A14)</f>
        <v>2</v>
      </c>
      <c r="E15" s="79">
        <v>42796.521527777775</v>
      </c>
      <c r="F15" s="80" t="s">
        <v>1123</v>
      </c>
      <c r="G15" s="80" t="s">
        <v>1124</v>
      </c>
      <c r="H15" s="80" t="s">
        <v>1125</v>
      </c>
      <c r="I15" s="78" t="s">
        <v>596</v>
      </c>
      <c r="J15" s="78" t="s">
        <v>13</v>
      </c>
      <c r="K15" s="80" t="s">
        <v>594</v>
      </c>
      <c r="L15" s="7" t="str">
        <f>IF(BudgetsTable[[#This Row],[pi_last_name]]=" ","",HYPERLINK("https://www.ejacket.nsf.gov/ej/showProposal.do?Continue=Y&amp;ID="&amp;BudgetsTable[[#This Row],[prop_id]],BudgetsTable[[#This Row],[prop_id]]))</f>
        <v/>
      </c>
      <c r="M15" s="15" t="str">
        <f>IF(BudgetsTable[[#This Row],[pi_last_name]]=" ","",HYPERLINK("https://www.ejacket.nsf.gov/ej/processReviewAnalysis.do?dispatch=add&amp;uniqId="&amp;BudgetsTable[[#This Row],[prop_id]]&amp;PO_id,"&gt;ra"))</f>
        <v/>
      </c>
      <c r="N15" s="80" t="s">
        <v>13</v>
      </c>
      <c r="O15" s="7" t="str">
        <f>IF(BudgetsTable[[#This Row],[pi_last_name]]=" ","",HYPERLINK("mailto:"&amp;BudgetsTable[[#This Row],[pi_email]]&amp;"&amp;subject=Your NSF Proposal:  "&amp;BudgetsTable[[#This Row],[prop_id]],BudgetsTable[[#This Row],[pi_email]]))</f>
        <v/>
      </c>
      <c r="P15" s="80" t="s">
        <v>13</v>
      </c>
      <c r="Q15" s="80">
        <v>1</v>
      </c>
      <c r="R15" s="80">
        <v>0</v>
      </c>
      <c r="S15" s="81">
        <v>33765</v>
      </c>
      <c r="T15" s="81">
        <v>0</v>
      </c>
      <c r="U15" s="81">
        <v>0</v>
      </c>
      <c r="V15" s="82">
        <v>215014</v>
      </c>
      <c r="W15" s="80">
        <v>0</v>
      </c>
      <c r="X15" s="80">
        <v>5</v>
      </c>
      <c r="Y15" s="11" t="str">
        <f ca="1">IF(ISBLANK(BudgetsTable[[#This Row],[budg_seq_yr]]),"FY"&amp;fiscalyear,"FY"&amp;fiscalyear-1+BudgetsTable[[#This Row],[budg_seq_yr]])</f>
        <v>FY22</v>
      </c>
      <c r="Z15" s="81">
        <v>215014</v>
      </c>
      <c r="AA15" s="80" t="s">
        <v>1124</v>
      </c>
      <c r="AB15" s="80" t="s">
        <v>1125</v>
      </c>
      <c r="AC15" s="108" t="s">
        <v>94</v>
      </c>
      <c r="AD15" s="80" t="s">
        <v>588</v>
      </c>
    </row>
    <row r="16" spans="1:30">
      <c r="A16" s="10" t="s">
        <v>1137</v>
      </c>
      <c r="B16" s="78" t="s">
        <v>450</v>
      </c>
      <c r="C16" s="78">
        <f>C15+(BudgetsTable[[#This Row],[lead]]&lt;&gt;K15)</f>
        <v>11</v>
      </c>
      <c r="D16" s="78">
        <f>D15*(BudgetsTable[[#This Row],[lead]]=K15)+(BudgetsTable[[#This Row],[prop_id]]&lt;&gt;A15)</f>
        <v>3</v>
      </c>
      <c r="E16" s="79">
        <v>42797.665277777778</v>
      </c>
      <c r="F16" s="80" t="s">
        <v>1123</v>
      </c>
      <c r="G16" s="80" t="s">
        <v>1124</v>
      </c>
      <c r="H16" s="80" t="s">
        <v>1125</v>
      </c>
      <c r="I16" s="78" t="s">
        <v>596</v>
      </c>
      <c r="J16" s="78" t="s">
        <v>1141</v>
      </c>
      <c r="K16" s="80" t="s">
        <v>594</v>
      </c>
      <c r="L16" s="7" t="str">
        <f>IF(BudgetsTable[[#This Row],[pi_last_name]]=" ","",HYPERLINK("https://www.ejacket.nsf.gov/ej/showProposal.do?Continue=Y&amp;ID="&amp;BudgetsTable[[#This Row],[prop_id]],BudgetsTable[[#This Row],[prop_id]]))</f>
        <v>1739194</v>
      </c>
      <c r="M16" s="15" t="str">
        <f>IF(BudgetsTable[[#This Row],[pi_last_name]]=" ","",HYPERLINK("https://www.ejacket.nsf.gov/ej/processReviewAnalysis.do?dispatch=add&amp;uniqId="&amp;BudgetsTable[[#This Row],[prop_id]]&amp;PO_id,"&gt;ra"))</f>
        <v>&gt;ra</v>
      </c>
      <c r="N16" s="80" t="s">
        <v>1138</v>
      </c>
      <c r="O16" s="7" t="str">
        <f>IF(BudgetsTable[[#This Row],[pi_last_name]]=" ","",HYPERLINK("mailto:"&amp;BudgetsTable[[#This Row],[pi_email]]&amp;"&amp;subject=Your NSF Proposal:  "&amp;BudgetsTable[[#This Row],[prop_id]],BudgetsTable[[#This Row],[pi_email]]))</f>
        <v>darko@cs.unm.edu</v>
      </c>
      <c r="P16" s="80" t="s">
        <v>1140</v>
      </c>
      <c r="Q16" s="80"/>
      <c r="R16" s="80"/>
      <c r="S16" s="81"/>
      <c r="T16" s="81"/>
      <c r="U16" s="81"/>
      <c r="V16" s="82"/>
      <c r="W16" s="80">
        <v>0</v>
      </c>
      <c r="X16" s="80"/>
      <c r="Y16" s="11" t="str">
        <f ca="1">IF(ISBLANK(BudgetsTable[[#This Row],[budg_seq_yr]]),"FY"&amp;fiscalyear,"FY"&amp;fiscalyear-1+BudgetsTable[[#This Row],[budg_seq_yr]])</f>
        <v>FY18</v>
      </c>
      <c r="Z16" s="81">
        <v>1004116</v>
      </c>
      <c r="AA16" s="80" t="s">
        <v>1124</v>
      </c>
      <c r="AB16" s="80" t="s">
        <v>1125</v>
      </c>
      <c r="AC16" s="108" t="s">
        <v>94</v>
      </c>
      <c r="AD16" s="80" t="s">
        <v>588</v>
      </c>
    </row>
    <row r="17" spans="1:30">
      <c r="A17" s="10" t="s">
        <v>1137</v>
      </c>
      <c r="B17" s="78" t="s">
        <v>450</v>
      </c>
      <c r="C17" s="78">
        <f>C16+(BudgetsTable[[#This Row],[lead]]&lt;&gt;K16)</f>
        <v>11</v>
      </c>
      <c r="D17" s="78">
        <f>D16*(BudgetsTable[[#This Row],[lead]]=K16)+(BudgetsTable[[#This Row],[prop_id]]&lt;&gt;A16)</f>
        <v>3</v>
      </c>
      <c r="E17" s="79">
        <v>42797.665277777778</v>
      </c>
      <c r="F17" s="80" t="s">
        <v>1123</v>
      </c>
      <c r="G17" s="80" t="s">
        <v>1124</v>
      </c>
      <c r="H17" s="80" t="s">
        <v>1125</v>
      </c>
      <c r="I17" s="78" t="s">
        <v>596</v>
      </c>
      <c r="J17" s="78" t="s">
        <v>13</v>
      </c>
      <c r="K17" s="80" t="s">
        <v>594</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80" t="s">
        <v>13</v>
      </c>
      <c r="O17" s="7" t="str">
        <f>IF(BudgetsTable[[#This Row],[pi_last_name]]=" ","",HYPERLINK("mailto:"&amp;BudgetsTable[[#This Row],[pi_email]]&amp;"&amp;subject=Your NSF Proposal:  "&amp;BudgetsTable[[#This Row],[prop_id]],BudgetsTable[[#This Row],[pi_email]]))</f>
        <v/>
      </c>
      <c r="P17" s="80" t="s">
        <v>13</v>
      </c>
      <c r="Q17" s="80">
        <v>2</v>
      </c>
      <c r="R17" s="80">
        <v>0.75</v>
      </c>
      <c r="S17" s="81">
        <v>0</v>
      </c>
      <c r="T17" s="81">
        <v>5000</v>
      </c>
      <c r="U17" s="81">
        <v>0</v>
      </c>
      <c r="V17" s="82">
        <v>187878</v>
      </c>
      <c r="W17" s="80">
        <v>0</v>
      </c>
      <c r="X17" s="80">
        <v>1</v>
      </c>
      <c r="Y17" s="11" t="str">
        <f ca="1">IF(ISBLANK(BudgetsTable[[#This Row],[budg_seq_yr]]),"FY"&amp;fiscalyear,"FY"&amp;fiscalyear-1+BudgetsTable[[#This Row],[budg_seq_yr]])</f>
        <v>FY18</v>
      </c>
      <c r="Z17" s="81">
        <v>187878</v>
      </c>
      <c r="AA17" s="80" t="s">
        <v>1124</v>
      </c>
      <c r="AB17" s="80" t="s">
        <v>1125</v>
      </c>
      <c r="AC17" s="108" t="s">
        <v>94</v>
      </c>
      <c r="AD17" s="80" t="s">
        <v>588</v>
      </c>
    </row>
    <row r="18" spans="1:30">
      <c r="A18" s="10" t="s">
        <v>1137</v>
      </c>
      <c r="B18" s="78" t="s">
        <v>450</v>
      </c>
      <c r="C18" s="78">
        <f>C17+(BudgetsTable[[#This Row],[lead]]&lt;&gt;K17)</f>
        <v>11</v>
      </c>
      <c r="D18" s="78">
        <f>D17*(BudgetsTable[[#This Row],[lead]]=K17)+(BudgetsTable[[#This Row],[prop_id]]&lt;&gt;A17)</f>
        <v>3</v>
      </c>
      <c r="E18" s="79">
        <v>42797.665277777778</v>
      </c>
      <c r="F18" s="80" t="s">
        <v>1123</v>
      </c>
      <c r="G18" s="80" t="s">
        <v>1124</v>
      </c>
      <c r="H18" s="80" t="s">
        <v>1125</v>
      </c>
      <c r="I18" s="78" t="s">
        <v>596</v>
      </c>
      <c r="J18" s="78" t="s">
        <v>13</v>
      </c>
      <c r="K18" s="80" t="s">
        <v>594</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80" t="s">
        <v>13</v>
      </c>
      <c r="O18" s="7" t="str">
        <f>IF(BudgetsTable[[#This Row],[pi_last_name]]=" ","",HYPERLINK("mailto:"&amp;BudgetsTable[[#This Row],[pi_email]]&amp;"&amp;subject=Your NSF Proposal:  "&amp;BudgetsTable[[#This Row],[prop_id]],BudgetsTable[[#This Row],[pi_email]]))</f>
        <v/>
      </c>
      <c r="P18" s="80" t="s">
        <v>13</v>
      </c>
      <c r="Q18" s="80">
        <v>2</v>
      </c>
      <c r="R18" s="80">
        <v>0.75</v>
      </c>
      <c r="S18" s="81">
        <v>0</v>
      </c>
      <c r="T18" s="81">
        <v>5000</v>
      </c>
      <c r="U18" s="81">
        <v>0</v>
      </c>
      <c r="V18" s="82">
        <v>193805</v>
      </c>
      <c r="W18" s="80">
        <v>0</v>
      </c>
      <c r="X18" s="80">
        <v>2</v>
      </c>
      <c r="Y18" s="11" t="str">
        <f ca="1">IF(ISBLANK(BudgetsTable[[#This Row],[budg_seq_yr]]),"FY"&amp;fiscalyear,"FY"&amp;fiscalyear-1+BudgetsTable[[#This Row],[budg_seq_yr]])</f>
        <v>FY19</v>
      </c>
      <c r="Z18" s="81">
        <v>193805</v>
      </c>
      <c r="AA18" s="80" t="s">
        <v>1124</v>
      </c>
      <c r="AB18" s="80" t="s">
        <v>1125</v>
      </c>
      <c r="AC18" s="108" t="s">
        <v>94</v>
      </c>
      <c r="AD18" s="80" t="s">
        <v>588</v>
      </c>
    </row>
    <row r="19" spans="1:30">
      <c r="A19" s="10" t="s">
        <v>1137</v>
      </c>
      <c r="B19" s="78" t="s">
        <v>450</v>
      </c>
      <c r="C19" s="78">
        <f>C18+(BudgetsTable[[#This Row],[lead]]&lt;&gt;K18)</f>
        <v>11</v>
      </c>
      <c r="D19" s="78">
        <f>D18*(BudgetsTable[[#This Row],[lead]]=K18)+(BudgetsTable[[#This Row],[prop_id]]&lt;&gt;A18)</f>
        <v>3</v>
      </c>
      <c r="E19" s="79">
        <v>42797.665277777778</v>
      </c>
      <c r="F19" s="80" t="s">
        <v>1123</v>
      </c>
      <c r="G19" s="80" t="s">
        <v>1124</v>
      </c>
      <c r="H19" s="80" t="s">
        <v>1125</v>
      </c>
      <c r="I19" s="78" t="s">
        <v>596</v>
      </c>
      <c r="J19" s="78" t="s">
        <v>13</v>
      </c>
      <c r="K19" s="80" t="s">
        <v>594</v>
      </c>
      <c r="L19" s="7" t="str">
        <f>IF(BudgetsTable[[#This Row],[pi_last_name]]=" ","",HYPERLINK("https://www.ejacket.nsf.gov/ej/showProposal.do?Continue=Y&amp;ID="&amp;BudgetsTable[[#This Row],[prop_id]],BudgetsTable[[#This Row],[prop_id]]))</f>
        <v/>
      </c>
      <c r="M19" s="15" t="str">
        <f>IF(BudgetsTable[[#This Row],[pi_last_name]]=" ","",HYPERLINK("https://www.ejacket.nsf.gov/ej/processReviewAnalysis.do?dispatch=add&amp;uniqId="&amp;BudgetsTable[[#This Row],[prop_id]]&amp;PO_id,"&gt;ra"))</f>
        <v/>
      </c>
      <c r="N19" s="80" t="s">
        <v>13</v>
      </c>
      <c r="O19" s="7" t="str">
        <f>IF(BudgetsTable[[#This Row],[pi_last_name]]=" ","",HYPERLINK("mailto:"&amp;BudgetsTable[[#This Row],[pi_email]]&amp;"&amp;subject=Your NSF Proposal:  "&amp;BudgetsTable[[#This Row],[prop_id]],BudgetsTable[[#This Row],[pi_email]]))</f>
        <v/>
      </c>
      <c r="P19" s="80" t="s">
        <v>13</v>
      </c>
      <c r="Q19" s="80">
        <v>2</v>
      </c>
      <c r="R19" s="80">
        <v>0.75</v>
      </c>
      <c r="S19" s="81">
        <v>0</v>
      </c>
      <c r="T19" s="81">
        <v>5000</v>
      </c>
      <c r="U19" s="81">
        <v>0</v>
      </c>
      <c r="V19" s="82">
        <v>199994</v>
      </c>
      <c r="W19" s="80">
        <v>0</v>
      </c>
      <c r="X19" s="80">
        <v>3</v>
      </c>
      <c r="Y19" s="11" t="str">
        <f ca="1">IF(ISBLANK(BudgetsTable[[#This Row],[budg_seq_yr]]),"FY"&amp;fiscalyear,"FY"&amp;fiscalyear-1+BudgetsTable[[#This Row],[budg_seq_yr]])</f>
        <v>FY20</v>
      </c>
      <c r="Z19" s="81">
        <v>199994</v>
      </c>
      <c r="AA19" s="80" t="s">
        <v>1124</v>
      </c>
      <c r="AB19" s="80" t="s">
        <v>1125</v>
      </c>
      <c r="AC19" s="108" t="s">
        <v>94</v>
      </c>
      <c r="AD19" s="80" t="s">
        <v>588</v>
      </c>
    </row>
    <row r="20" spans="1:30">
      <c r="A20" s="10" t="s">
        <v>1137</v>
      </c>
      <c r="B20" s="78" t="s">
        <v>450</v>
      </c>
      <c r="C20" s="78">
        <f>C19+(BudgetsTable[[#This Row],[lead]]&lt;&gt;K19)</f>
        <v>11</v>
      </c>
      <c r="D20" s="78">
        <f>D19*(BudgetsTable[[#This Row],[lead]]=K19)+(BudgetsTable[[#This Row],[prop_id]]&lt;&gt;A19)</f>
        <v>3</v>
      </c>
      <c r="E20" s="79">
        <v>42797.665277777778</v>
      </c>
      <c r="F20" s="80" t="s">
        <v>1123</v>
      </c>
      <c r="G20" s="80" t="s">
        <v>1124</v>
      </c>
      <c r="H20" s="80" t="s">
        <v>1125</v>
      </c>
      <c r="I20" s="78" t="s">
        <v>596</v>
      </c>
      <c r="J20" s="78" t="s">
        <v>13</v>
      </c>
      <c r="K20" s="80" t="s">
        <v>594</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80" t="s">
        <v>13</v>
      </c>
      <c r="O20" s="7" t="str">
        <f>IF(BudgetsTable[[#This Row],[pi_last_name]]=" ","",HYPERLINK("mailto:"&amp;BudgetsTable[[#This Row],[pi_email]]&amp;"&amp;subject=Your NSF Proposal:  "&amp;BudgetsTable[[#This Row],[prop_id]],BudgetsTable[[#This Row],[pi_email]]))</f>
        <v/>
      </c>
      <c r="P20" s="80" t="s">
        <v>13</v>
      </c>
      <c r="Q20" s="80">
        <v>2</v>
      </c>
      <c r="R20" s="80">
        <v>0.75</v>
      </c>
      <c r="S20" s="81">
        <v>0</v>
      </c>
      <c r="T20" s="81">
        <v>5000</v>
      </c>
      <c r="U20" s="81">
        <v>0</v>
      </c>
      <c r="V20" s="82">
        <v>206447</v>
      </c>
      <c r="W20" s="80">
        <v>0</v>
      </c>
      <c r="X20" s="80">
        <v>4</v>
      </c>
      <c r="Y20" s="11" t="str">
        <f ca="1">IF(ISBLANK(BudgetsTable[[#This Row],[budg_seq_yr]]),"FY"&amp;fiscalyear,"FY"&amp;fiscalyear-1+BudgetsTable[[#This Row],[budg_seq_yr]])</f>
        <v>FY21</v>
      </c>
      <c r="Z20" s="81">
        <v>206447</v>
      </c>
      <c r="AA20" s="80" t="s">
        <v>1124</v>
      </c>
      <c r="AB20" s="80" t="s">
        <v>1125</v>
      </c>
      <c r="AC20" s="108" t="s">
        <v>94</v>
      </c>
      <c r="AD20" s="80" t="s">
        <v>588</v>
      </c>
    </row>
    <row r="21" spans="1:30">
      <c r="A21" s="10" t="s">
        <v>1137</v>
      </c>
      <c r="B21" s="78" t="s">
        <v>450</v>
      </c>
      <c r="C21" s="78">
        <f>C20+(BudgetsTable[[#This Row],[lead]]&lt;&gt;K20)</f>
        <v>11</v>
      </c>
      <c r="D21" s="78">
        <f>D20*(BudgetsTable[[#This Row],[lead]]=K20)+(BudgetsTable[[#This Row],[prop_id]]&lt;&gt;A20)</f>
        <v>3</v>
      </c>
      <c r="E21" s="79">
        <v>42797.665277777778</v>
      </c>
      <c r="F21" s="80" t="s">
        <v>1123</v>
      </c>
      <c r="G21" s="80" t="s">
        <v>1124</v>
      </c>
      <c r="H21" s="80" t="s">
        <v>1125</v>
      </c>
      <c r="I21" s="78" t="s">
        <v>596</v>
      </c>
      <c r="J21" s="78" t="s">
        <v>13</v>
      </c>
      <c r="K21" s="80" t="s">
        <v>594</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80" t="s">
        <v>13</v>
      </c>
      <c r="O21" s="7" t="str">
        <f>IF(BudgetsTable[[#This Row],[pi_last_name]]=" ","",HYPERLINK("mailto:"&amp;BudgetsTable[[#This Row],[pi_email]]&amp;"&amp;subject=Your NSF Proposal:  "&amp;BudgetsTable[[#This Row],[prop_id]],BudgetsTable[[#This Row],[pi_email]]))</f>
        <v/>
      </c>
      <c r="P21" s="80" t="s">
        <v>13</v>
      </c>
      <c r="Q21" s="80">
        <v>2</v>
      </c>
      <c r="R21" s="80">
        <v>0.75</v>
      </c>
      <c r="S21" s="81">
        <v>0</v>
      </c>
      <c r="T21" s="81">
        <v>5000</v>
      </c>
      <c r="U21" s="81">
        <v>0</v>
      </c>
      <c r="V21" s="82">
        <v>215992</v>
      </c>
      <c r="W21" s="80">
        <v>0</v>
      </c>
      <c r="X21" s="80">
        <v>5</v>
      </c>
      <c r="Y21" s="11" t="str">
        <f ca="1">IF(ISBLANK(BudgetsTable[[#This Row],[budg_seq_yr]]),"FY"&amp;fiscalyear,"FY"&amp;fiscalyear-1+BudgetsTable[[#This Row],[budg_seq_yr]])</f>
        <v>FY22</v>
      </c>
      <c r="Z21" s="81">
        <v>215992</v>
      </c>
      <c r="AA21" s="80" t="s">
        <v>1124</v>
      </c>
      <c r="AB21" s="80" t="s">
        <v>1125</v>
      </c>
      <c r="AC21" s="108" t="s">
        <v>94</v>
      </c>
      <c r="AD21" s="80" t="s">
        <v>588</v>
      </c>
    </row>
    <row r="22" spans="1:30">
      <c r="A22" s="10" t="s">
        <v>615</v>
      </c>
      <c r="B22" s="78" t="s">
        <v>463</v>
      </c>
      <c r="C22" s="78">
        <f>C21+(BudgetsTable[[#This Row],[lead]]&lt;&gt;K21)</f>
        <v>12</v>
      </c>
      <c r="D22" s="78">
        <f>D21*(BudgetsTable[[#This Row],[lead]]=K21)+(BudgetsTable[[#This Row],[prop_id]]&lt;&gt;A21)</f>
        <v>1</v>
      </c>
      <c r="E22" s="79">
        <v>42800.618055555555</v>
      </c>
      <c r="F22" s="80" t="s">
        <v>1123</v>
      </c>
      <c r="G22" s="80" t="s">
        <v>1124</v>
      </c>
      <c r="H22" s="80" t="s">
        <v>1125</v>
      </c>
      <c r="I22" s="78" t="s">
        <v>596</v>
      </c>
      <c r="J22" s="78" t="s">
        <v>1146</v>
      </c>
      <c r="K22" s="80" t="s">
        <v>615</v>
      </c>
      <c r="L22" s="7" t="str">
        <f>IF(BudgetsTable[[#This Row],[pi_last_name]]=" ","",HYPERLINK("https://www.ejacket.nsf.gov/ej/showProposal.do?Continue=Y&amp;ID="&amp;BudgetsTable[[#This Row],[prop_id]],BudgetsTable[[#This Row],[prop_id]]))</f>
        <v>1739570</v>
      </c>
      <c r="M22" s="15" t="str">
        <f>IF(BudgetsTable[[#This Row],[pi_last_name]]=" ","",HYPERLINK("https://www.ejacket.nsf.gov/ej/processReviewAnalysis.do?dispatch=add&amp;uniqId="&amp;BudgetsTable[[#This Row],[prop_id]]&amp;PO_id,"&gt;ra"))</f>
        <v>&gt;ra</v>
      </c>
      <c r="N22" s="80" t="s">
        <v>616</v>
      </c>
      <c r="O22" s="7" t="str">
        <f>IF(BudgetsTable[[#This Row],[pi_last_name]]=" ","",HYPERLINK("mailto:"&amp;BudgetsTable[[#This Row],[pi_email]]&amp;"&amp;subject=Your NSF Proposal:  "&amp;BudgetsTable[[#This Row],[prop_id]],BudgetsTable[[#This Row],[pi_email]]))</f>
        <v>aksanyal@syr.edu</v>
      </c>
      <c r="P22" s="80" t="s">
        <v>1143</v>
      </c>
      <c r="Q22" s="80"/>
      <c r="R22" s="80"/>
      <c r="S22" s="81"/>
      <c r="T22" s="81"/>
      <c r="U22" s="81"/>
      <c r="V22" s="82"/>
      <c r="W22" s="80">
        <v>0</v>
      </c>
      <c r="X22" s="80"/>
      <c r="Y22" s="11" t="str">
        <f ca="1">IF(ISBLANK(BudgetsTable[[#This Row],[budg_seq_yr]]),"FY"&amp;fiscalyear,"FY"&amp;fiscalyear-1+BudgetsTable[[#This Row],[budg_seq_yr]])</f>
        <v>FY18</v>
      </c>
      <c r="Z22" s="81">
        <v>2230900</v>
      </c>
      <c r="AA22" s="80" t="s">
        <v>1124</v>
      </c>
      <c r="AB22" s="80" t="s">
        <v>1125</v>
      </c>
      <c r="AC22" s="108" t="s">
        <v>94</v>
      </c>
      <c r="AD22" s="80" t="s">
        <v>588</v>
      </c>
    </row>
    <row r="23" spans="1:30">
      <c r="A23" s="10" t="s">
        <v>615</v>
      </c>
      <c r="B23" s="78" t="s">
        <v>463</v>
      </c>
      <c r="C23" s="78">
        <f>C22+(BudgetsTable[[#This Row],[lead]]&lt;&gt;K22)</f>
        <v>12</v>
      </c>
      <c r="D23" s="78">
        <f>D22*(BudgetsTable[[#This Row],[lead]]=K22)+(BudgetsTable[[#This Row],[prop_id]]&lt;&gt;A22)</f>
        <v>1</v>
      </c>
      <c r="E23" s="79">
        <v>42800.618055555555</v>
      </c>
      <c r="F23" s="80" t="s">
        <v>1123</v>
      </c>
      <c r="G23" s="80" t="s">
        <v>1124</v>
      </c>
      <c r="H23" s="80" t="s">
        <v>1125</v>
      </c>
      <c r="I23" s="78" t="s">
        <v>596</v>
      </c>
      <c r="J23" s="78" t="s">
        <v>13</v>
      </c>
      <c r="K23" s="80" t="s">
        <v>615</v>
      </c>
      <c r="L23" s="7" t="str">
        <f>IF(BudgetsTable[[#This Row],[pi_last_name]]=" ","",HYPERLINK("https://www.ejacket.nsf.gov/ej/showProposal.do?Continue=Y&amp;ID="&amp;BudgetsTable[[#This Row],[prop_id]],BudgetsTable[[#This Row],[prop_id]]))</f>
        <v/>
      </c>
      <c r="M23" s="15" t="str">
        <f>IF(BudgetsTable[[#This Row],[pi_last_name]]=" ","",HYPERLINK("https://www.ejacket.nsf.gov/ej/processReviewAnalysis.do?dispatch=add&amp;uniqId="&amp;BudgetsTable[[#This Row],[prop_id]]&amp;PO_id,"&gt;ra"))</f>
        <v/>
      </c>
      <c r="N23" s="80" t="s">
        <v>13</v>
      </c>
      <c r="O23" s="7" t="str">
        <f>IF(BudgetsTable[[#This Row],[pi_last_name]]=" ","",HYPERLINK("mailto:"&amp;BudgetsTable[[#This Row],[pi_email]]&amp;"&amp;subject=Your NSF Proposal:  "&amp;BudgetsTable[[#This Row],[prop_id]],BudgetsTable[[#This Row],[pi_email]]))</f>
        <v/>
      </c>
      <c r="P23" s="80" t="s">
        <v>13</v>
      </c>
      <c r="Q23" s="80">
        <v>6</v>
      </c>
      <c r="R23" s="80">
        <v>3</v>
      </c>
      <c r="S23" s="81">
        <v>48900</v>
      </c>
      <c r="T23" s="81">
        <v>0</v>
      </c>
      <c r="U23" s="81">
        <v>13800</v>
      </c>
      <c r="V23" s="82">
        <v>563534</v>
      </c>
      <c r="W23" s="80">
        <v>0</v>
      </c>
      <c r="X23" s="80">
        <v>1</v>
      </c>
      <c r="Y23" s="11" t="str">
        <f ca="1">IF(ISBLANK(BudgetsTable[[#This Row],[budg_seq_yr]]),"FY"&amp;fiscalyear,"FY"&amp;fiscalyear-1+BudgetsTable[[#This Row],[budg_seq_yr]])</f>
        <v>FY18</v>
      </c>
      <c r="Z23" s="81">
        <v>563534</v>
      </c>
      <c r="AA23" s="80" t="s">
        <v>1124</v>
      </c>
      <c r="AB23" s="80" t="s">
        <v>1125</v>
      </c>
      <c r="AC23" s="108" t="s">
        <v>94</v>
      </c>
      <c r="AD23" s="80" t="s">
        <v>588</v>
      </c>
    </row>
    <row r="24" spans="1:30">
      <c r="A24" s="10" t="s">
        <v>615</v>
      </c>
      <c r="B24" s="78" t="s">
        <v>463</v>
      </c>
      <c r="C24" s="78">
        <f>C23+(BudgetsTable[[#This Row],[lead]]&lt;&gt;K23)</f>
        <v>12</v>
      </c>
      <c r="D24" s="78">
        <f>D23*(BudgetsTable[[#This Row],[lead]]=K23)+(BudgetsTable[[#This Row],[prop_id]]&lt;&gt;A23)</f>
        <v>1</v>
      </c>
      <c r="E24" s="79">
        <v>42800.618055555555</v>
      </c>
      <c r="F24" s="80" t="s">
        <v>1123</v>
      </c>
      <c r="G24" s="80" t="s">
        <v>1124</v>
      </c>
      <c r="H24" s="80" t="s">
        <v>1125</v>
      </c>
      <c r="I24" s="78" t="s">
        <v>596</v>
      </c>
      <c r="J24" s="78" t="s">
        <v>13</v>
      </c>
      <c r="K24" s="80" t="s">
        <v>615</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80" t="s">
        <v>13</v>
      </c>
      <c r="O24" s="7" t="str">
        <f>IF(BudgetsTable[[#This Row],[pi_last_name]]=" ","",HYPERLINK("mailto:"&amp;BudgetsTable[[#This Row],[pi_email]]&amp;"&amp;subject=Your NSF Proposal:  "&amp;BudgetsTable[[#This Row],[prop_id]],BudgetsTable[[#This Row],[pi_email]]))</f>
        <v/>
      </c>
      <c r="P24" s="80" t="s">
        <v>13</v>
      </c>
      <c r="Q24" s="80">
        <v>5</v>
      </c>
      <c r="R24" s="80">
        <v>3</v>
      </c>
      <c r="S24" s="81">
        <v>50367</v>
      </c>
      <c r="T24" s="81">
        <v>0</v>
      </c>
      <c r="U24" s="81">
        <v>8800</v>
      </c>
      <c r="V24" s="82">
        <v>540808</v>
      </c>
      <c r="W24" s="80">
        <v>0</v>
      </c>
      <c r="X24" s="80">
        <v>2</v>
      </c>
      <c r="Y24" s="11" t="str">
        <f ca="1">IF(ISBLANK(BudgetsTable[[#This Row],[budg_seq_yr]]),"FY"&amp;fiscalyear,"FY"&amp;fiscalyear-1+BudgetsTable[[#This Row],[budg_seq_yr]])</f>
        <v>FY19</v>
      </c>
      <c r="Z24" s="81">
        <v>540808</v>
      </c>
      <c r="AA24" s="80" t="s">
        <v>1124</v>
      </c>
      <c r="AB24" s="80" t="s">
        <v>1125</v>
      </c>
      <c r="AC24" s="108" t="s">
        <v>94</v>
      </c>
      <c r="AD24" s="80" t="s">
        <v>588</v>
      </c>
    </row>
    <row r="25" spans="1:30">
      <c r="A25" s="10" t="s">
        <v>615</v>
      </c>
      <c r="B25" s="78" t="s">
        <v>463</v>
      </c>
      <c r="C25" s="78">
        <f>C24+(BudgetsTable[[#This Row],[lead]]&lt;&gt;K24)</f>
        <v>12</v>
      </c>
      <c r="D25" s="78">
        <f>D24*(BudgetsTable[[#This Row],[lead]]=K24)+(BudgetsTable[[#This Row],[prop_id]]&lt;&gt;A24)</f>
        <v>1</v>
      </c>
      <c r="E25" s="79">
        <v>42800.618055555555</v>
      </c>
      <c r="F25" s="80" t="s">
        <v>1123</v>
      </c>
      <c r="G25" s="80" t="s">
        <v>1124</v>
      </c>
      <c r="H25" s="80" t="s">
        <v>1125</v>
      </c>
      <c r="I25" s="78" t="s">
        <v>596</v>
      </c>
      <c r="J25" s="78" t="s">
        <v>13</v>
      </c>
      <c r="K25" s="80" t="s">
        <v>615</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80" t="s">
        <v>13</v>
      </c>
      <c r="O25" s="7" t="str">
        <f>IF(BudgetsTable[[#This Row],[pi_last_name]]=" ","",HYPERLINK("mailto:"&amp;BudgetsTable[[#This Row],[pi_email]]&amp;"&amp;subject=Your NSF Proposal:  "&amp;BudgetsTable[[#This Row],[prop_id]],BudgetsTable[[#This Row],[pi_email]]))</f>
        <v/>
      </c>
      <c r="P25" s="80" t="s">
        <v>13</v>
      </c>
      <c r="Q25" s="80">
        <v>6</v>
      </c>
      <c r="R25" s="80">
        <v>3</v>
      </c>
      <c r="S25" s="81">
        <v>51878</v>
      </c>
      <c r="T25" s="81">
        <v>0</v>
      </c>
      <c r="U25" s="81">
        <v>13800</v>
      </c>
      <c r="V25" s="82">
        <v>558820</v>
      </c>
      <c r="W25" s="80">
        <v>0</v>
      </c>
      <c r="X25" s="80">
        <v>3</v>
      </c>
      <c r="Y25" s="11" t="str">
        <f ca="1">IF(ISBLANK(BudgetsTable[[#This Row],[budg_seq_yr]]),"FY"&amp;fiscalyear,"FY"&amp;fiscalyear-1+BudgetsTable[[#This Row],[budg_seq_yr]])</f>
        <v>FY20</v>
      </c>
      <c r="Z25" s="81">
        <v>558820</v>
      </c>
      <c r="AA25" s="80" t="s">
        <v>1124</v>
      </c>
      <c r="AB25" s="80" t="s">
        <v>1125</v>
      </c>
      <c r="AC25" s="108" t="s">
        <v>94</v>
      </c>
      <c r="AD25" s="80" t="s">
        <v>588</v>
      </c>
    </row>
    <row r="26" spans="1:30">
      <c r="A26" s="10" t="s">
        <v>615</v>
      </c>
      <c r="B26" s="78" t="s">
        <v>463</v>
      </c>
      <c r="C26" s="78">
        <f>C25+(BudgetsTable[[#This Row],[lead]]&lt;&gt;K25)</f>
        <v>12</v>
      </c>
      <c r="D26" s="78">
        <f>D25*(BudgetsTable[[#This Row],[lead]]=K25)+(BudgetsTable[[#This Row],[prop_id]]&lt;&gt;A25)</f>
        <v>1</v>
      </c>
      <c r="E26" s="79">
        <v>42800.618055555555</v>
      </c>
      <c r="F26" s="80" t="s">
        <v>1123</v>
      </c>
      <c r="G26" s="80" t="s">
        <v>1124</v>
      </c>
      <c r="H26" s="80" t="s">
        <v>1125</v>
      </c>
      <c r="I26" s="78" t="s">
        <v>596</v>
      </c>
      <c r="J26" s="78" t="s">
        <v>13</v>
      </c>
      <c r="K26" s="80" t="s">
        <v>615</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80" t="s">
        <v>13</v>
      </c>
      <c r="O26" s="7" t="str">
        <f>IF(BudgetsTable[[#This Row],[pi_last_name]]=" ","",HYPERLINK("mailto:"&amp;BudgetsTable[[#This Row],[pi_email]]&amp;"&amp;subject=Your NSF Proposal:  "&amp;BudgetsTable[[#This Row],[prop_id]],BudgetsTable[[#This Row],[pi_email]]))</f>
        <v/>
      </c>
      <c r="P26" s="80" t="s">
        <v>13</v>
      </c>
      <c r="Q26" s="80">
        <v>6</v>
      </c>
      <c r="R26" s="80">
        <v>3</v>
      </c>
      <c r="S26" s="81">
        <v>53434</v>
      </c>
      <c r="T26" s="81">
        <v>0</v>
      </c>
      <c r="U26" s="81">
        <v>8800</v>
      </c>
      <c r="V26" s="82">
        <v>567738</v>
      </c>
      <c r="W26" s="80">
        <v>0</v>
      </c>
      <c r="X26" s="80">
        <v>4</v>
      </c>
      <c r="Y26" s="11" t="str">
        <f ca="1">IF(ISBLANK(BudgetsTable[[#This Row],[budg_seq_yr]]),"FY"&amp;fiscalyear,"FY"&amp;fiscalyear-1+BudgetsTable[[#This Row],[budg_seq_yr]])</f>
        <v>FY21</v>
      </c>
      <c r="Z26" s="81">
        <v>567738</v>
      </c>
      <c r="AA26" s="80" t="s">
        <v>1124</v>
      </c>
      <c r="AB26" s="80" t="s">
        <v>1125</v>
      </c>
      <c r="AC26" s="108" t="s">
        <v>94</v>
      </c>
      <c r="AD26" s="80" t="s">
        <v>588</v>
      </c>
    </row>
    <row r="27" spans="1:30">
      <c r="A27" s="10" t="s">
        <v>1147</v>
      </c>
      <c r="B27" s="78" t="s">
        <v>450</v>
      </c>
      <c r="C27" s="78">
        <f>C26+(BudgetsTable[[#This Row],[lead]]&lt;&gt;K26)</f>
        <v>12</v>
      </c>
      <c r="D27" s="78">
        <f>D26*(BudgetsTable[[#This Row],[lead]]=K26)+(BudgetsTable[[#This Row],[prop_id]]&lt;&gt;A26)</f>
        <v>2</v>
      </c>
      <c r="E27" s="79">
        <v>42797.47152777778</v>
      </c>
      <c r="F27" s="80" t="s">
        <v>1123</v>
      </c>
      <c r="G27" s="80" t="s">
        <v>1124</v>
      </c>
      <c r="H27" s="80" t="s">
        <v>1125</v>
      </c>
      <c r="I27" s="78" t="s">
        <v>596</v>
      </c>
      <c r="J27" s="78" t="s">
        <v>1150</v>
      </c>
      <c r="K27" s="80" t="s">
        <v>615</v>
      </c>
      <c r="L27" s="7" t="str">
        <f>IF(BudgetsTable[[#This Row],[pi_last_name]]=" ","",HYPERLINK("https://www.ejacket.nsf.gov/ej/showProposal.do?Continue=Y&amp;ID="&amp;BudgetsTable[[#This Row],[prop_id]],BudgetsTable[[#This Row],[prop_id]]))</f>
        <v>1739133</v>
      </c>
      <c r="M27" s="15" t="str">
        <f>IF(BudgetsTable[[#This Row],[pi_last_name]]=" ","",HYPERLINK("https://www.ejacket.nsf.gov/ej/processReviewAnalysis.do?dispatch=add&amp;uniqId="&amp;BudgetsTable[[#This Row],[prop_id]]&amp;PO_id,"&gt;ra"))</f>
        <v>&gt;ra</v>
      </c>
      <c r="N27" s="80" t="s">
        <v>1148</v>
      </c>
      <c r="O27" s="7" t="str">
        <f>IF(BudgetsTable[[#This Row],[pi_last_name]]=" ","",HYPERLINK("mailto:"&amp;BudgetsTable[[#This Row],[pi_email]]&amp;"&amp;subject=Your NSF Proposal:  "&amp;BudgetsTable[[#This Row],[prop_id]],BudgetsTable[[#This Row],[pi_email]]))</f>
        <v>m.cummings@duke.edu</v>
      </c>
      <c r="P27" s="80" t="s">
        <v>358</v>
      </c>
      <c r="Q27" s="80"/>
      <c r="R27" s="80"/>
      <c r="S27" s="81"/>
      <c r="T27" s="81"/>
      <c r="U27" s="81"/>
      <c r="V27" s="82"/>
      <c r="W27" s="80">
        <v>0</v>
      </c>
      <c r="X27" s="80"/>
      <c r="Y27" s="11" t="str">
        <f ca="1">IF(ISBLANK(BudgetsTable[[#This Row],[budg_seq_yr]]),"FY"&amp;fiscalyear,"FY"&amp;fiscalyear-1+BudgetsTable[[#This Row],[budg_seq_yr]])</f>
        <v>FY18</v>
      </c>
      <c r="Z27" s="81">
        <v>800000</v>
      </c>
      <c r="AA27" s="80" t="s">
        <v>1124</v>
      </c>
      <c r="AB27" s="80" t="s">
        <v>1125</v>
      </c>
      <c r="AC27" s="108" t="s">
        <v>94</v>
      </c>
      <c r="AD27" s="80" t="s">
        <v>588</v>
      </c>
    </row>
    <row r="28" spans="1:30">
      <c r="A28" s="10" t="s">
        <v>1147</v>
      </c>
      <c r="B28" s="78" t="s">
        <v>450</v>
      </c>
      <c r="C28" s="78">
        <f>C27+(BudgetsTable[[#This Row],[lead]]&lt;&gt;K27)</f>
        <v>12</v>
      </c>
      <c r="D28" s="78">
        <f>D27*(BudgetsTable[[#This Row],[lead]]=K27)+(BudgetsTable[[#This Row],[prop_id]]&lt;&gt;A27)</f>
        <v>2</v>
      </c>
      <c r="E28" s="79">
        <v>42797.47152777778</v>
      </c>
      <c r="F28" s="80" t="s">
        <v>1123</v>
      </c>
      <c r="G28" s="80" t="s">
        <v>1124</v>
      </c>
      <c r="H28" s="80" t="s">
        <v>1125</v>
      </c>
      <c r="I28" s="78" t="s">
        <v>596</v>
      </c>
      <c r="J28" s="78" t="s">
        <v>13</v>
      </c>
      <c r="K28" s="80" t="s">
        <v>615</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80" t="s">
        <v>13</v>
      </c>
      <c r="O28" s="7" t="str">
        <f>IF(BudgetsTable[[#This Row],[pi_last_name]]=" ","",HYPERLINK("mailto:"&amp;BudgetsTable[[#This Row],[pi_email]]&amp;"&amp;subject=Your NSF Proposal:  "&amp;BudgetsTable[[#This Row],[prop_id]],BudgetsTable[[#This Row],[pi_email]]))</f>
        <v/>
      </c>
      <c r="P28" s="80" t="s">
        <v>13</v>
      </c>
      <c r="Q28" s="80">
        <v>1</v>
      </c>
      <c r="R28" s="80">
        <v>0.75</v>
      </c>
      <c r="S28" s="81">
        <v>0</v>
      </c>
      <c r="T28" s="81">
        <v>0</v>
      </c>
      <c r="U28" s="81">
        <v>0</v>
      </c>
      <c r="V28" s="82">
        <v>200000</v>
      </c>
      <c r="W28" s="80">
        <v>0</v>
      </c>
      <c r="X28" s="80">
        <v>1</v>
      </c>
      <c r="Y28" s="11" t="str">
        <f ca="1">IF(ISBLANK(BudgetsTable[[#This Row],[budg_seq_yr]]),"FY"&amp;fiscalyear,"FY"&amp;fiscalyear-1+BudgetsTable[[#This Row],[budg_seq_yr]])</f>
        <v>FY18</v>
      </c>
      <c r="Z28" s="81">
        <v>200000</v>
      </c>
      <c r="AA28" s="80" t="s">
        <v>1124</v>
      </c>
      <c r="AB28" s="80" t="s">
        <v>1125</v>
      </c>
      <c r="AC28" s="108" t="s">
        <v>94</v>
      </c>
      <c r="AD28" s="80" t="s">
        <v>588</v>
      </c>
    </row>
    <row r="29" spans="1:30">
      <c r="A29" s="10" t="s">
        <v>1147</v>
      </c>
      <c r="B29" s="78" t="s">
        <v>450</v>
      </c>
      <c r="C29" s="78">
        <f>C28+(BudgetsTable[[#This Row],[lead]]&lt;&gt;K28)</f>
        <v>12</v>
      </c>
      <c r="D29" s="78">
        <f>D28*(BudgetsTable[[#This Row],[lead]]=K28)+(BudgetsTable[[#This Row],[prop_id]]&lt;&gt;A28)</f>
        <v>2</v>
      </c>
      <c r="E29" s="79">
        <v>42797.47152777778</v>
      </c>
      <c r="F29" s="80" t="s">
        <v>1123</v>
      </c>
      <c r="G29" s="80" t="s">
        <v>1124</v>
      </c>
      <c r="H29" s="80" t="s">
        <v>1125</v>
      </c>
      <c r="I29" s="78" t="s">
        <v>596</v>
      </c>
      <c r="J29" s="78" t="s">
        <v>13</v>
      </c>
      <c r="K29" s="80" t="s">
        <v>615</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80" t="s">
        <v>13</v>
      </c>
      <c r="O29" s="7" t="str">
        <f>IF(BudgetsTable[[#This Row],[pi_last_name]]=" ","",HYPERLINK("mailto:"&amp;BudgetsTable[[#This Row],[pi_email]]&amp;"&amp;subject=Your NSF Proposal:  "&amp;BudgetsTable[[#This Row],[prop_id]],BudgetsTable[[#This Row],[pi_email]]))</f>
        <v/>
      </c>
      <c r="P29" s="80" t="s">
        <v>13</v>
      </c>
      <c r="Q29" s="80">
        <v>1</v>
      </c>
      <c r="R29" s="80">
        <v>0.75</v>
      </c>
      <c r="S29" s="81">
        <v>0</v>
      </c>
      <c r="T29" s="81">
        <v>0</v>
      </c>
      <c r="U29" s="81">
        <v>0</v>
      </c>
      <c r="V29" s="82">
        <v>200000</v>
      </c>
      <c r="W29" s="80">
        <v>0</v>
      </c>
      <c r="X29" s="80">
        <v>2</v>
      </c>
      <c r="Y29" s="11" t="str">
        <f ca="1">IF(ISBLANK(BudgetsTable[[#This Row],[budg_seq_yr]]),"FY"&amp;fiscalyear,"FY"&amp;fiscalyear-1+BudgetsTable[[#This Row],[budg_seq_yr]])</f>
        <v>FY19</v>
      </c>
      <c r="Z29" s="81">
        <v>200000</v>
      </c>
      <c r="AA29" s="80" t="s">
        <v>1124</v>
      </c>
      <c r="AB29" s="80" t="s">
        <v>1125</v>
      </c>
      <c r="AC29" s="108" t="s">
        <v>94</v>
      </c>
      <c r="AD29" s="80" t="s">
        <v>588</v>
      </c>
    </row>
    <row r="30" spans="1:30">
      <c r="A30" s="10" t="s">
        <v>1147</v>
      </c>
      <c r="B30" s="78" t="s">
        <v>450</v>
      </c>
      <c r="C30" s="78">
        <f>C29+(BudgetsTable[[#This Row],[lead]]&lt;&gt;K29)</f>
        <v>12</v>
      </c>
      <c r="D30" s="78">
        <f>D29*(BudgetsTable[[#This Row],[lead]]=K29)+(BudgetsTable[[#This Row],[prop_id]]&lt;&gt;A29)</f>
        <v>2</v>
      </c>
      <c r="E30" s="79">
        <v>42797.47152777778</v>
      </c>
      <c r="F30" s="80" t="s">
        <v>1123</v>
      </c>
      <c r="G30" s="80" t="s">
        <v>1124</v>
      </c>
      <c r="H30" s="80" t="s">
        <v>1125</v>
      </c>
      <c r="I30" s="78" t="s">
        <v>596</v>
      </c>
      <c r="J30" s="78" t="s">
        <v>13</v>
      </c>
      <c r="K30" s="80" t="s">
        <v>615</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80" t="s">
        <v>13</v>
      </c>
      <c r="O30" s="7" t="str">
        <f>IF(BudgetsTable[[#This Row],[pi_last_name]]=" ","",HYPERLINK("mailto:"&amp;BudgetsTable[[#This Row],[pi_email]]&amp;"&amp;subject=Your NSF Proposal:  "&amp;BudgetsTable[[#This Row],[prop_id]],BudgetsTable[[#This Row],[pi_email]]))</f>
        <v/>
      </c>
      <c r="P30" s="80" t="s">
        <v>13</v>
      </c>
      <c r="Q30" s="80">
        <v>1</v>
      </c>
      <c r="R30" s="80">
        <v>0.75</v>
      </c>
      <c r="S30" s="81">
        <v>0</v>
      </c>
      <c r="T30" s="81">
        <v>0</v>
      </c>
      <c r="U30" s="81">
        <v>0</v>
      </c>
      <c r="V30" s="82">
        <v>200000</v>
      </c>
      <c r="W30" s="80">
        <v>0</v>
      </c>
      <c r="X30" s="80">
        <v>3</v>
      </c>
      <c r="Y30" s="11" t="str">
        <f ca="1">IF(ISBLANK(BudgetsTable[[#This Row],[budg_seq_yr]]),"FY"&amp;fiscalyear,"FY"&amp;fiscalyear-1+BudgetsTable[[#This Row],[budg_seq_yr]])</f>
        <v>FY20</v>
      </c>
      <c r="Z30" s="81">
        <v>200000</v>
      </c>
      <c r="AA30" s="80" t="s">
        <v>1124</v>
      </c>
      <c r="AB30" s="80" t="s">
        <v>1125</v>
      </c>
      <c r="AC30" s="108" t="s">
        <v>94</v>
      </c>
      <c r="AD30" s="80" t="s">
        <v>588</v>
      </c>
    </row>
    <row r="31" spans="1:30">
      <c r="A31" s="10" t="s">
        <v>1147</v>
      </c>
      <c r="B31" s="78" t="s">
        <v>450</v>
      </c>
      <c r="C31" s="78">
        <f>C30+(BudgetsTable[[#This Row],[lead]]&lt;&gt;K30)</f>
        <v>12</v>
      </c>
      <c r="D31" s="78">
        <f>D30*(BudgetsTable[[#This Row],[lead]]=K30)+(BudgetsTable[[#This Row],[prop_id]]&lt;&gt;A30)</f>
        <v>2</v>
      </c>
      <c r="E31" s="79">
        <v>42797.47152777778</v>
      </c>
      <c r="F31" s="80" t="s">
        <v>1123</v>
      </c>
      <c r="G31" s="80" t="s">
        <v>1124</v>
      </c>
      <c r="H31" s="80" t="s">
        <v>1125</v>
      </c>
      <c r="I31" s="78" t="s">
        <v>596</v>
      </c>
      <c r="J31" s="78" t="s">
        <v>13</v>
      </c>
      <c r="K31" s="80" t="s">
        <v>615</v>
      </c>
      <c r="L31" s="7" t="str">
        <f>IF(BudgetsTable[[#This Row],[pi_last_name]]=" ","",HYPERLINK("https://www.ejacket.nsf.gov/ej/showProposal.do?Continue=Y&amp;ID="&amp;BudgetsTable[[#This Row],[prop_id]],BudgetsTable[[#This Row],[prop_id]]))</f>
        <v/>
      </c>
      <c r="M31" s="15" t="str">
        <f>IF(BudgetsTable[[#This Row],[pi_last_name]]=" ","",HYPERLINK("https://www.ejacket.nsf.gov/ej/processReviewAnalysis.do?dispatch=add&amp;uniqId="&amp;BudgetsTable[[#This Row],[prop_id]]&amp;PO_id,"&gt;ra"))</f>
        <v/>
      </c>
      <c r="N31" s="80" t="s">
        <v>13</v>
      </c>
      <c r="O31" s="7" t="str">
        <f>IF(BudgetsTable[[#This Row],[pi_last_name]]=" ","",HYPERLINK("mailto:"&amp;BudgetsTable[[#This Row],[pi_email]]&amp;"&amp;subject=Your NSF Proposal:  "&amp;BudgetsTable[[#This Row],[prop_id]],BudgetsTable[[#This Row],[pi_email]]))</f>
        <v/>
      </c>
      <c r="P31" s="80" t="s">
        <v>13</v>
      </c>
      <c r="Q31" s="80">
        <v>1</v>
      </c>
      <c r="R31" s="80">
        <v>0.75</v>
      </c>
      <c r="S31" s="81">
        <v>0</v>
      </c>
      <c r="T31" s="81">
        <v>0</v>
      </c>
      <c r="U31" s="81">
        <v>0</v>
      </c>
      <c r="V31" s="82">
        <v>200000</v>
      </c>
      <c r="W31" s="80">
        <v>0</v>
      </c>
      <c r="X31" s="80">
        <v>4</v>
      </c>
      <c r="Y31" s="11" t="str">
        <f ca="1">IF(ISBLANK(BudgetsTable[[#This Row],[budg_seq_yr]]),"FY"&amp;fiscalyear,"FY"&amp;fiscalyear-1+BudgetsTable[[#This Row],[budg_seq_yr]])</f>
        <v>FY21</v>
      </c>
      <c r="Z31" s="81">
        <v>200000</v>
      </c>
      <c r="AA31" s="80" t="s">
        <v>1124</v>
      </c>
      <c r="AB31" s="80" t="s">
        <v>1125</v>
      </c>
      <c r="AC31" s="108" t="s">
        <v>94</v>
      </c>
      <c r="AD31" s="80" t="s">
        <v>588</v>
      </c>
    </row>
    <row r="32" spans="1:30">
      <c r="A32" s="10" t="s">
        <v>1151</v>
      </c>
      <c r="B32" s="78" t="s">
        <v>450</v>
      </c>
      <c r="C32" s="78">
        <f>C31+(BudgetsTable[[#This Row],[lead]]&lt;&gt;K31)</f>
        <v>12</v>
      </c>
      <c r="D32" s="78">
        <f>D31*(BudgetsTable[[#This Row],[lead]]=K31)+(BudgetsTable[[#This Row],[prop_id]]&lt;&gt;A31)</f>
        <v>3</v>
      </c>
      <c r="E32" s="79">
        <v>42797.618750000001</v>
      </c>
      <c r="F32" s="80" t="s">
        <v>1123</v>
      </c>
      <c r="G32" s="80" t="s">
        <v>1124</v>
      </c>
      <c r="H32" s="80" t="s">
        <v>1125</v>
      </c>
      <c r="I32" s="78" t="s">
        <v>596</v>
      </c>
      <c r="J32" s="78" t="s">
        <v>1153</v>
      </c>
      <c r="K32" s="80" t="s">
        <v>615</v>
      </c>
      <c r="L32" s="7" t="str">
        <f>IF(BudgetsTable[[#This Row],[pi_last_name]]=" ","",HYPERLINK("https://www.ejacket.nsf.gov/ej/showProposal.do?Continue=Y&amp;ID="&amp;BudgetsTable[[#This Row],[prop_id]],BudgetsTable[[#This Row],[prop_id]]))</f>
        <v>1739169</v>
      </c>
      <c r="M32" s="15" t="str">
        <f>IF(BudgetsTable[[#This Row],[pi_last_name]]=" ","",HYPERLINK("https://www.ejacket.nsf.gov/ej/processReviewAnalysis.do?dispatch=add&amp;uniqId="&amp;BudgetsTable[[#This Row],[prop_id]]&amp;PO_id,"&gt;ra"))</f>
        <v>&gt;ra</v>
      </c>
      <c r="N32" s="80" t="s">
        <v>576</v>
      </c>
      <c r="O32" s="7" t="str">
        <f>IF(BudgetsTable[[#This Row],[pi_last_name]]=" ","",HYPERLINK("mailto:"&amp;BudgetsTable[[#This Row],[pi_email]]&amp;"&amp;subject=Your NSF Proposal:  "&amp;BudgetsTable[[#This Row],[prop_id]],BudgetsTable[[#This Row],[pi_email]]))</f>
        <v>aclark@wpi.edu</v>
      </c>
      <c r="P32" s="80" t="s">
        <v>1152</v>
      </c>
      <c r="Q32" s="80"/>
      <c r="R32" s="80"/>
      <c r="S32" s="81"/>
      <c r="T32" s="81"/>
      <c r="U32" s="81"/>
      <c r="V32" s="82"/>
      <c r="W32" s="80">
        <v>0</v>
      </c>
      <c r="X32" s="80"/>
      <c r="Y32" s="11" t="str">
        <f ca="1">IF(ISBLANK(BudgetsTable[[#This Row],[budg_seq_yr]]),"FY"&amp;fiscalyear,"FY"&amp;fiscalyear-1+BudgetsTable[[#This Row],[budg_seq_yr]])</f>
        <v>FY18</v>
      </c>
      <c r="Z32" s="81">
        <v>449670</v>
      </c>
      <c r="AA32" s="80" t="s">
        <v>1124</v>
      </c>
      <c r="AB32" s="80" t="s">
        <v>1125</v>
      </c>
      <c r="AC32" s="108" t="s">
        <v>94</v>
      </c>
      <c r="AD32" s="80" t="s">
        <v>588</v>
      </c>
    </row>
    <row r="33" spans="1:30">
      <c r="A33" s="10" t="s">
        <v>1151</v>
      </c>
      <c r="B33" s="78" t="s">
        <v>450</v>
      </c>
      <c r="C33" s="78">
        <f>C32+(BudgetsTable[[#This Row],[lead]]&lt;&gt;K32)</f>
        <v>12</v>
      </c>
      <c r="D33" s="78">
        <f>D32*(BudgetsTable[[#This Row],[lead]]=K32)+(BudgetsTable[[#This Row],[prop_id]]&lt;&gt;A32)</f>
        <v>3</v>
      </c>
      <c r="E33" s="79">
        <v>42797.618750000001</v>
      </c>
      <c r="F33" s="80" t="s">
        <v>1123</v>
      </c>
      <c r="G33" s="80" t="s">
        <v>1124</v>
      </c>
      <c r="H33" s="80" t="s">
        <v>1125</v>
      </c>
      <c r="I33" s="78" t="s">
        <v>596</v>
      </c>
      <c r="J33" s="78" t="s">
        <v>13</v>
      </c>
      <c r="K33" s="80" t="s">
        <v>615</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80" t="s">
        <v>13</v>
      </c>
      <c r="O33" s="7" t="str">
        <f>IF(BudgetsTable[[#This Row],[pi_last_name]]=" ","",HYPERLINK("mailto:"&amp;BudgetsTable[[#This Row],[pi_email]]&amp;"&amp;subject=Your NSF Proposal:  "&amp;BudgetsTable[[#This Row],[prop_id]],BudgetsTable[[#This Row],[pi_email]]))</f>
        <v/>
      </c>
      <c r="P33" s="80" t="s">
        <v>13</v>
      </c>
      <c r="Q33" s="80">
        <v>1</v>
      </c>
      <c r="R33" s="80">
        <v>0.5</v>
      </c>
      <c r="S33" s="81">
        <v>0</v>
      </c>
      <c r="T33" s="81">
        <v>0</v>
      </c>
      <c r="U33" s="81">
        <v>0</v>
      </c>
      <c r="V33" s="82">
        <v>107725</v>
      </c>
      <c r="W33" s="80">
        <v>0</v>
      </c>
      <c r="X33" s="80">
        <v>1</v>
      </c>
      <c r="Y33" s="11" t="str">
        <f ca="1">IF(ISBLANK(BudgetsTable[[#This Row],[budg_seq_yr]]),"FY"&amp;fiscalyear,"FY"&amp;fiscalyear-1+BudgetsTable[[#This Row],[budg_seq_yr]])</f>
        <v>FY18</v>
      </c>
      <c r="Z33" s="81">
        <v>107725</v>
      </c>
      <c r="AA33" s="80" t="s">
        <v>1124</v>
      </c>
      <c r="AB33" s="80" t="s">
        <v>1125</v>
      </c>
      <c r="AC33" s="108" t="s">
        <v>94</v>
      </c>
      <c r="AD33" s="80" t="s">
        <v>588</v>
      </c>
    </row>
    <row r="34" spans="1:30">
      <c r="A34" s="10" t="s">
        <v>1151</v>
      </c>
      <c r="B34" s="78" t="s">
        <v>450</v>
      </c>
      <c r="C34" s="78">
        <f>C33+(BudgetsTable[[#This Row],[lead]]&lt;&gt;K33)</f>
        <v>12</v>
      </c>
      <c r="D34" s="78">
        <f>D33*(BudgetsTable[[#This Row],[lead]]=K33)+(BudgetsTable[[#This Row],[prop_id]]&lt;&gt;A33)</f>
        <v>3</v>
      </c>
      <c r="E34" s="79">
        <v>42797.618750000001</v>
      </c>
      <c r="F34" s="80" t="s">
        <v>1123</v>
      </c>
      <c r="G34" s="80" t="s">
        <v>1124</v>
      </c>
      <c r="H34" s="80" t="s">
        <v>1125</v>
      </c>
      <c r="I34" s="78" t="s">
        <v>596</v>
      </c>
      <c r="J34" s="78" t="s">
        <v>13</v>
      </c>
      <c r="K34" s="80" t="s">
        <v>615</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80" t="s">
        <v>13</v>
      </c>
      <c r="O34" s="7" t="str">
        <f>IF(BudgetsTable[[#This Row],[pi_last_name]]=" ","",HYPERLINK("mailto:"&amp;BudgetsTable[[#This Row],[pi_email]]&amp;"&amp;subject=Your NSF Proposal:  "&amp;BudgetsTable[[#This Row],[prop_id]],BudgetsTable[[#This Row],[pi_email]]))</f>
        <v/>
      </c>
      <c r="P34" s="80" t="s">
        <v>13</v>
      </c>
      <c r="Q34" s="80">
        <v>1</v>
      </c>
      <c r="R34" s="80">
        <v>0.5</v>
      </c>
      <c r="S34" s="81">
        <v>0</v>
      </c>
      <c r="T34" s="81">
        <v>0</v>
      </c>
      <c r="U34" s="81">
        <v>0</v>
      </c>
      <c r="V34" s="82">
        <v>110784</v>
      </c>
      <c r="W34" s="80">
        <v>0</v>
      </c>
      <c r="X34" s="80">
        <v>2</v>
      </c>
      <c r="Y34" s="11" t="str">
        <f ca="1">IF(ISBLANK(BudgetsTable[[#This Row],[budg_seq_yr]]),"FY"&amp;fiscalyear,"FY"&amp;fiscalyear-1+BudgetsTable[[#This Row],[budg_seq_yr]])</f>
        <v>FY19</v>
      </c>
      <c r="Z34" s="81">
        <v>110784</v>
      </c>
      <c r="AA34" s="80" t="s">
        <v>1124</v>
      </c>
      <c r="AB34" s="80" t="s">
        <v>1125</v>
      </c>
      <c r="AC34" s="108" t="s">
        <v>94</v>
      </c>
      <c r="AD34" s="80" t="s">
        <v>588</v>
      </c>
    </row>
    <row r="35" spans="1:30">
      <c r="A35" s="10" t="s">
        <v>1151</v>
      </c>
      <c r="B35" s="78" t="s">
        <v>450</v>
      </c>
      <c r="C35" s="78">
        <f>C34+(BudgetsTable[[#This Row],[lead]]&lt;&gt;K34)</f>
        <v>12</v>
      </c>
      <c r="D35" s="78">
        <f>D34*(BudgetsTable[[#This Row],[lead]]=K34)+(BudgetsTable[[#This Row],[prop_id]]&lt;&gt;A34)</f>
        <v>3</v>
      </c>
      <c r="E35" s="79">
        <v>42797.618750000001</v>
      </c>
      <c r="F35" s="80" t="s">
        <v>1123</v>
      </c>
      <c r="G35" s="80" t="s">
        <v>1124</v>
      </c>
      <c r="H35" s="80" t="s">
        <v>1125</v>
      </c>
      <c r="I35" s="78" t="s">
        <v>596</v>
      </c>
      <c r="J35" s="78" t="s">
        <v>13</v>
      </c>
      <c r="K35" s="80" t="s">
        <v>615</v>
      </c>
      <c r="L35" s="7" t="str">
        <f>IF(BudgetsTable[[#This Row],[pi_last_name]]=" ","",HYPERLINK("https://www.ejacket.nsf.gov/ej/showProposal.do?Continue=Y&amp;ID="&amp;BudgetsTable[[#This Row],[prop_id]],BudgetsTable[[#This Row],[prop_id]]))</f>
        <v/>
      </c>
      <c r="M35" s="15" t="str">
        <f>IF(BudgetsTable[[#This Row],[pi_last_name]]=" ","",HYPERLINK("https://www.ejacket.nsf.gov/ej/processReviewAnalysis.do?dispatch=add&amp;uniqId="&amp;BudgetsTable[[#This Row],[prop_id]]&amp;PO_id,"&gt;ra"))</f>
        <v/>
      </c>
      <c r="N35" s="80" t="s">
        <v>13</v>
      </c>
      <c r="O35" s="7" t="str">
        <f>IF(BudgetsTable[[#This Row],[pi_last_name]]=" ","",HYPERLINK("mailto:"&amp;BudgetsTable[[#This Row],[pi_email]]&amp;"&amp;subject=Your NSF Proposal:  "&amp;BudgetsTable[[#This Row],[prop_id]],BudgetsTable[[#This Row],[pi_email]]))</f>
        <v/>
      </c>
      <c r="P35" s="80" t="s">
        <v>13</v>
      </c>
      <c r="Q35" s="80">
        <v>1</v>
      </c>
      <c r="R35" s="80">
        <v>0.5</v>
      </c>
      <c r="S35" s="81">
        <v>0</v>
      </c>
      <c r="T35" s="81">
        <v>0</v>
      </c>
      <c r="U35" s="81">
        <v>0</v>
      </c>
      <c r="V35" s="82">
        <v>113945</v>
      </c>
      <c r="W35" s="80">
        <v>0</v>
      </c>
      <c r="X35" s="80">
        <v>3</v>
      </c>
      <c r="Y35" s="11" t="str">
        <f ca="1">IF(ISBLANK(BudgetsTable[[#This Row],[budg_seq_yr]]),"FY"&amp;fiscalyear,"FY"&amp;fiscalyear-1+BudgetsTable[[#This Row],[budg_seq_yr]])</f>
        <v>FY20</v>
      </c>
      <c r="Z35" s="81">
        <v>113945</v>
      </c>
      <c r="AA35" s="80" t="s">
        <v>1124</v>
      </c>
      <c r="AB35" s="80" t="s">
        <v>1125</v>
      </c>
      <c r="AC35" s="108" t="s">
        <v>94</v>
      </c>
      <c r="AD35" s="80" t="s">
        <v>588</v>
      </c>
    </row>
    <row r="36" spans="1:30">
      <c r="A36" s="10" t="s">
        <v>1151</v>
      </c>
      <c r="B36" s="78" t="s">
        <v>450</v>
      </c>
      <c r="C36" s="78">
        <f>C35+(BudgetsTable[[#This Row],[lead]]&lt;&gt;K35)</f>
        <v>12</v>
      </c>
      <c r="D36" s="78">
        <f>D35*(BudgetsTable[[#This Row],[lead]]=K35)+(BudgetsTable[[#This Row],[prop_id]]&lt;&gt;A35)</f>
        <v>3</v>
      </c>
      <c r="E36" s="79">
        <v>42797.618750000001</v>
      </c>
      <c r="F36" s="80" t="s">
        <v>1123</v>
      </c>
      <c r="G36" s="80" t="s">
        <v>1124</v>
      </c>
      <c r="H36" s="80" t="s">
        <v>1125</v>
      </c>
      <c r="I36" s="78" t="s">
        <v>596</v>
      </c>
      <c r="J36" s="78" t="s">
        <v>13</v>
      </c>
      <c r="K36" s="80" t="s">
        <v>615</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80" t="s">
        <v>13</v>
      </c>
      <c r="O36" s="7" t="str">
        <f>IF(BudgetsTable[[#This Row],[pi_last_name]]=" ","",HYPERLINK("mailto:"&amp;BudgetsTable[[#This Row],[pi_email]]&amp;"&amp;subject=Your NSF Proposal:  "&amp;BudgetsTable[[#This Row],[prop_id]],BudgetsTable[[#This Row],[pi_email]]))</f>
        <v/>
      </c>
      <c r="P36" s="80" t="s">
        <v>13</v>
      </c>
      <c r="Q36" s="80">
        <v>1</v>
      </c>
      <c r="R36" s="80">
        <v>0.5</v>
      </c>
      <c r="S36" s="81">
        <v>0</v>
      </c>
      <c r="T36" s="81">
        <v>0</v>
      </c>
      <c r="U36" s="81">
        <v>0</v>
      </c>
      <c r="V36" s="82">
        <v>117216</v>
      </c>
      <c r="W36" s="80">
        <v>0</v>
      </c>
      <c r="X36" s="80">
        <v>4</v>
      </c>
      <c r="Y36" s="11" t="str">
        <f ca="1">IF(ISBLANK(BudgetsTable[[#This Row],[budg_seq_yr]]),"FY"&amp;fiscalyear,"FY"&amp;fiscalyear-1+BudgetsTable[[#This Row],[budg_seq_yr]])</f>
        <v>FY21</v>
      </c>
      <c r="Z36" s="81">
        <v>117216</v>
      </c>
      <c r="AA36" s="80" t="s">
        <v>1124</v>
      </c>
      <c r="AB36" s="80" t="s">
        <v>1125</v>
      </c>
      <c r="AC36" s="108" t="s">
        <v>94</v>
      </c>
      <c r="AD36" s="80" t="s">
        <v>588</v>
      </c>
    </row>
    <row r="37" spans="1:30">
      <c r="A37" s="10" t="s">
        <v>1154</v>
      </c>
      <c r="B37" s="78" t="s">
        <v>450</v>
      </c>
      <c r="C37" s="78">
        <f>C36+(BudgetsTable[[#This Row],[lead]]&lt;&gt;K36)</f>
        <v>12</v>
      </c>
      <c r="D37" s="78">
        <f>D36*(BudgetsTable[[#This Row],[lead]]=K36)+(BudgetsTable[[#This Row],[prop_id]]&lt;&gt;A36)</f>
        <v>4</v>
      </c>
      <c r="E37" s="79">
        <v>42797.715277777781</v>
      </c>
      <c r="F37" s="80" t="s">
        <v>1123</v>
      </c>
      <c r="G37" s="80" t="s">
        <v>1124</v>
      </c>
      <c r="H37" s="80" t="s">
        <v>1125</v>
      </c>
      <c r="I37" s="78" t="s">
        <v>596</v>
      </c>
      <c r="J37" s="78" t="s">
        <v>1158</v>
      </c>
      <c r="K37" s="80" t="s">
        <v>615</v>
      </c>
      <c r="L37" s="7" t="str">
        <f>IF(BudgetsTable[[#This Row],[pi_last_name]]=" ","",HYPERLINK("https://www.ejacket.nsf.gov/ej/showProposal.do?Continue=Y&amp;ID="&amp;BudgetsTable[[#This Row],[prop_id]],BudgetsTable[[#This Row],[prop_id]]))</f>
        <v>1739227</v>
      </c>
      <c r="M37" s="15" t="str">
        <f>IF(BudgetsTable[[#This Row],[pi_last_name]]=" ","",HYPERLINK("https://www.ejacket.nsf.gov/ej/processReviewAnalysis.do?dispatch=add&amp;uniqId="&amp;BudgetsTable[[#This Row],[prop_id]]&amp;PO_id,"&gt;ra"))</f>
        <v>&gt;ra</v>
      </c>
      <c r="N37" s="80" t="s">
        <v>1155</v>
      </c>
      <c r="O37" s="7" t="str">
        <f>IF(BudgetsTable[[#This Row],[pi_last_name]]=" ","",HYPERLINK("mailto:"&amp;BudgetsTable[[#This Row],[pi_email]]&amp;"&amp;subject=Your NSF Proposal:  "&amp;BudgetsTable[[#This Row],[prop_id]],BudgetsTable[[#This Row],[pi_email]]))</f>
        <v>rp3@uw.edu</v>
      </c>
      <c r="P37" s="80" t="s">
        <v>250</v>
      </c>
      <c r="Q37" s="80"/>
      <c r="R37" s="80"/>
      <c r="S37" s="81"/>
      <c r="T37" s="81"/>
      <c r="U37" s="81"/>
      <c r="V37" s="82"/>
      <c r="W37" s="80">
        <v>0</v>
      </c>
      <c r="X37" s="80"/>
      <c r="Y37" s="11" t="str">
        <f ca="1">IF(ISBLANK(BudgetsTable[[#This Row],[budg_seq_yr]]),"FY"&amp;fiscalyear,"FY"&amp;fiscalyear-1+BudgetsTable[[#This Row],[budg_seq_yr]])</f>
        <v>FY18</v>
      </c>
      <c r="Z37" s="81">
        <v>2000000</v>
      </c>
      <c r="AA37" s="80" t="s">
        <v>1124</v>
      </c>
      <c r="AB37" s="80" t="s">
        <v>1125</v>
      </c>
      <c r="AC37" s="108" t="s">
        <v>94</v>
      </c>
      <c r="AD37" s="80" t="s">
        <v>588</v>
      </c>
    </row>
    <row r="38" spans="1:30">
      <c r="A38" s="10" t="s">
        <v>1154</v>
      </c>
      <c r="B38" s="78" t="s">
        <v>450</v>
      </c>
      <c r="C38" s="78">
        <f>C37+(BudgetsTable[[#This Row],[lead]]&lt;&gt;K37)</f>
        <v>12</v>
      </c>
      <c r="D38" s="78">
        <f>D37*(BudgetsTable[[#This Row],[lead]]=K37)+(BudgetsTable[[#This Row],[prop_id]]&lt;&gt;A37)</f>
        <v>4</v>
      </c>
      <c r="E38" s="79">
        <v>42797.715277777781</v>
      </c>
      <c r="F38" s="80" t="s">
        <v>1123</v>
      </c>
      <c r="G38" s="80" t="s">
        <v>1124</v>
      </c>
      <c r="H38" s="80" t="s">
        <v>1125</v>
      </c>
      <c r="I38" s="78" t="s">
        <v>596</v>
      </c>
      <c r="J38" s="78" t="s">
        <v>13</v>
      </c>
      <c r="K38" s="80" t="s">
        <v>615</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80" t="s">
        <v>13</v>
      </c>
      <c r="O38" s="7" t="str">
        <f>IF(BudgetsTable[[#This Row],[pi_last_name]]=" ","",HYPERLINK("mailto:"&amp;BudgetsTable[[#This Row],[pi_email]]&amp;"&amp;subject=Your NSF Proposal:  "&amp;BudgetsTable[[#This Row],[prop_id]],BudgetsTable[[#This Row],[pi_email]]))</f>
        <v/>
      </c>
      <c r="P38" s="80" t="s">
        <v>13</v>
      </c>
      <c r="Q38" s="80">
        <v>4</v>
      </c>
      <c r="R38" s="80">
        <v>0</v>
      </c>
      <c r="S38" s="81">
        <v>60000</v>
      </c>
      <c r="T38" s="81">
        <v>0</v>
      </c>
      <c r="U38" s="81">
        <v>0</v>
      </c>
      <c r="V38" s="82">
        <v>473582</v>
      </c>
      <c r="W38" s="80">
        <v>0</v>
      </c>
      <c r="X38" s="80">
        <v>1</v>
      </c>
      <c r="Y38" s="11" t="str">
        <f ca="1">IF(ISBLANK(BudgetsTable[[#This Row],[budg_seq_yr]]),"FY"&amp;fiscalyear,"FY"&amp;fiscalyear-1+BudgetsTable[[#This Row],[budg_seq_yr]])</f>
        <v>FY18</v>
      </c>
      <c r="Z38" s="81">
        <v>473582</v>
      </c>
      <c r="AA38" s="80" t="s">
        <v>1124</v>
      </c>
      <c r="AB38" s="80" t="s">
        <v>1125</v>
      </c>
      <c r="AC38" s="108" t="s">
        <v>94</v>
      </c>
      <c r="AD38" s="80" t="s">
        <v>588</v>
      </c>
    </row>
    <row r="39" spans="1:30">
      <c r="A39" s="10" t="s">
        <v>1154</v>
      </c>
      <c r="B39" s="78" t="s">
        <v>450</v>
      </c>
      <c r="C39" s="78">
        <f>C38+(BudgetsTable[[#This Row],[lead]]&lt;&gt;K38)</f>
        <v>12</v>
      </c>
      <c r="D39" s="78">
        <f>D38*(BudgetsTable[[#This Row],[lead]]=K38)+(BudgetsTable[[#This Row],[prop_id]]&lt;&gt;A38)</f>
        <v>4</v>
      </c>
      <c r="E39" s="79">
        <v>42797.715277777781</v>
      </c>
      <c r="F39" s="80" t="s">
        <v>1123</v>
      </c>
      <c r="G39" s="80" t="s">
        <v>1124</v>
      </c>
      <c r="H39" s="80" t="s">
        <v>1125</v>
      </c>
      <c r="I39" s="78" t="s">
        <v>596</v>
      </c>
      <c r="J39" s="78" t="s">
        <v>13</v>
      </c>
      <c r="K39" s="80" t="s">
        <v>615</v>
      </c>
      <c r="L39" s="7" t="str">
        <f>IF(BudgetsTable[[#This Row],[pi_last_name]]=" ","",HYPERLINK("https://www.ejacket.nsf.gov/ej/showProposal.do?Continue=Y&amp;ID="&amp;BudgetsTable[[#This Row],[prop_id]],BudgetsTable[[#This Row],[prop_id]]))</f>
        <v/>
      </c>
      <c r="M39" s="15" t="str">
        <f>IF(BudgetsTable[[#This Row],[pi_last_name]]=" ","",HYPERLINK("https://www.ejacket.nsf.gov/ej/processReviewAnalysis.do?dispatch=add&amp;uniqId="&amp;BudgetsTable[[#This Row],[prop_id]]&amp;PO_id,"&gt;ra"))</f>
        <v/>
      </c>
      <c r="N39" s="80" t="s">
        <v>13</v>
      </c>
      <c r="O39" s="7" t="str">
        <f>IF(BudgetsTable[[#This Row],[pi_last_name]]=" ","",HYPERLINK("mailto:"&amp;BudgetsTable[[#This Row],[pi_email]]&amp;"&amp;subject=Your NSF Proposal:  "&amp;BudgetsTable[[#This Row],[prop_id]],BudgetsTable[[#This Row],[pi_email]]))</f>
        <v/>
      </c>
      <c r="P39" s="80" t="s">
        <v>13</v>
      </c>
      <c r="Q39" s="80">
        <v>4</v>
      </c>
      <c r="R39" s="80">
        <v>0</v>
      </c>
      <c r="S39" s="81">
        <v>62400</v>
      </c>
      <c r="T39" s="81">
        <v>10000</v>
      </c>
      <c r="U39" s="81">
        <v>0</v>
      </c>
      <c r="V39" s="82">
        <v>497245</v>
      </c>
      <c r="W39" s="80">
        <v>0</v>
      </c>
      <c r="X39" s="80">
        <v>2</v>
      </c>
      <c r="Y39" s="11" t="str">
        <f ca="1">IF(ISBLANK(BudgetsTable[[#This Row],[budg_seq_yr]]),"FY"&amp;fiscalyear,"FY"&amp;fiscalyear-1+BudgetsTable[[#This Row],[budg_seq_yr]])</f>
        <v>FY19</v>
      </c>
      <c r="Z39" s="81">
        <v>497245</v>
      </c>
      <c r="AA39" s="80" t="s">
        <v>1124</v>
      </c>
      <c r="AB39" s="80" t="s">
        <v>1125</v>
      </c>
      <c r="AC39" s="108" t="s">
        <v>94</v>
      </c>
      <c r="AD39" s="80" t="s">
        <v>588</v>
      </c>
    </row>
    <row r="40" spans="1:30">
      <c r="A40" s="10" t="s">
        <v>1154</v>
      </c>
      <c r="B40" s="78" t="s">
        <v>450</v>
      </c>
      <c r="C40" s="78">
        <f>C39+(BudgetsTable[[#This Row],[lead]]&lt;&gt;K39)</f>
        <v>12</v>
      </c>
      <c r="D40" s="78">
        <f>D39*(BudgetsTable[[#This Row],[lead]]=K39)+(BudgetsTable[[#This Row],[prop_id]]&lt;&gt;A39)</f>
        <v>4</v>
      </c>
      <c r="E40" s="79">
        <v>42797.715277777781</v>
      </c>
      <c r="F40" s="80" t="s">
        <v>1123</v>
      </c>
      <c r="G40" s="80" t="s">
        <v>1124</v>
      </c>
      <c r="H40" s="80" t="s">
        <v>1125</v>
      </c>
      <c r="I40" s="78" t="s">
        <v>596</v>
      </c>
      <c r="J40" s="78" t="s">
        <v>13</v>
      </c>
      <c r="K40" s="80" t="s">
        <v>615</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80" t="s">
        <v>13</v>
      </c>
      <c r="O40" s="7" t="str">
        <f>IF(BudgetsTable[[#This Row],[pi_last_name]]=" ","",HYPERLINK("mailto:"&amp;BudgetsTable[[#This Row],[pi_email]]&amp;"&amp;subject=Your NSF Proposal:  "&amp;BudgetsTable[[#This Row],[prop_id]],BudgetsTable[[#This Row],[pi_email]]))</f>
        <v/>
      </c>
      <c r="P40" s="80" t="s">
        <v>13</v>
      </c>
      <c r="Q40" s="80">
        <v>4</v>
      </c>
      <c r="R40" s="80">
        <v>0</v>
      </c>
      <c r="S40" s="81">
        <v>64896</v>
      </c>
      <c r="T40" s="81">
        <v>4000</v>
      </c>
      <c r="U40" s="81">
        <v>0</v>
      </c>
      <c r="V40" s="82">
        <v>508436</v>
      </c>
      <c r="W40" s="80">
        <v>0</v>
      </c>
      <c r="X40" s="80">
        <v>3</v>
      </c>
      <c r="Y40" s="11" t="str">
        <f ca="1">IF(ISBLANK(BudgetsTable[[#This Row],[budg_seq_yr]]),"FY"&amp;fiscalyear,"FY"&amp;fiscalyear-1+BudgetsTable[[#This Row],[budg_seq_yr]])</f>
        <v>FY20</v>
      </c>
      <c r="Z40" s="81">
        <v>508436</v>
      </c>
      <c r="AA40" s="80" t="s">
        <v>1124</v>
      </c>
      <c r="AB40" s="80" t="s">
        <v>1125</v>
      </c>
      <c r="AC40" s="108" t="s">
        <v>94</v>
      </c>
      <c r="AD40" s="80" t="s">
        <v>588</v>
      </c>
    </row>
    <row r="41" spans="1:30">
      <c r="A41" s="10" t="s">
        <v>1154</v>
      </c>
      <c r="B41" s="78" t="s">
        <v>450</v>
      </c>
      <c r="C41" s="78">
        <f>C40+(BudgetsTable[[#This Row],[lead]]&lt;&gt;K40)</f>
        <v>12</v>
      </c>
      <c r="D41" s="78">
        <f>D40*(BudgetsTable[[#This Row],[lead]]=K40)+(BudgetsTable[[#This Row],[prop_id]]&lt;&gt;A40)</f>
        <v>4</v>
      </c>
      <c r="E41" s="79">
        <v>42797.715277777781</v>
      </c>
      <c r="F41" s="80" t="s">
        <v>1123</v>
      </c>
      <c r="G41" s="80" t="s">
        <v>1124</v>
      </c>
      <c r="H41" s="80" t="s">
        <v>1125</v>
      </c>
      <c r="I41" s="78" t="s">
        <v>596</v>
      </c>
      <c r="J41" s="78" t="s">
        <v>13</v>
      </c>
      <c r="K41" s="80" t="s">
        <v>615</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80" t="s">
        <v>13</v>
      </c>
      <c r="O41" s="7" t="str">
        <f>IF(BudgetsTable[[#This Row],[pi_last_name]]=" ","",HYPERLINK("mailto:"&amp;BudgetsTable[[#This Row],[pi_email]]&amp;"&amp;subject=Your NSF Proposal:  "&amp;BudgetsTable[[#This Row],[prop_id]],BudgetsTable[[#This Row],[pi_email]]))</f>
        <v/>
      </c>
      <c r="P41" s="80" t="s">
        <v>13</v>
      </c>
      <c r="Q41" s="80">
        <v>4</v>
      </c>
      <c r="R41" s="80">
        <v>0</v>
      </c>
      <c r="S41" s="81">
        <v>67491</v>
      </c>
      <c r="T41" s="81">
        <v>6000</v>
      </c>
      <c r="U41" s="81">
        <v>0</v>
      </c>
      <c r="V41" s="82">
        <v>520737</v>
      </c>
      <c r="W41" s="80">
        <v>0</v>
      </c>
      <c r="X41" s="80">
        <v>4</v>
      </c>
      <c r="Y41" s="11" t="str">
        <f ca="1">IF(ISBLANK(BudgetsTable[[#This Row],[budg_seq_yr]]),"FY"&amp;fiscalyear,"FY"&amp;fiscalyear-1+BudgetsTable[[#This Row],[budg_seq_yr]])</f>
        <v>FY21</v>
      </c>
      <c r="Z41" s="81">
        <v>520737</v>
      </c>
      <c r="AA41" s="80" t="s">
        <v>1124</v>
      </c>
      <c r="AB41" s="80" t="s">
        <v>1125</v>
      </c>
      <c r="AC41" s="108" t="s">
        <v>94</v>
      </c>
      <c r="AD41" s="80" t="s">
        <v>588</v>
      </c>
    </row>
    <row r="42" spans="1:30">
      <c r="A42" s="10" t="s">
        <v>1159</v>
      </c>
      <c r="B42" s="78" t="s">
        <v>450</v>
      </c>
      <c r="C42" s="78">
        <f>C41+(BudgetsTable[[#This Row],[lead]]&lt;&gt;K41)</f>
        <v>12</v>
      </c>
      <c r="D42" s="78">
        <f>D41*(BudgetsTable[[#This Row],[lead]]=K41)+(BudgetsTable[[#This Row],[prop_id]]&lt;&gt;A41)</f>
        <v>5</v>
      </c>
      <c r="E42" s="79">
        <v>42800.361805555556</v>
      </c>
      <c r="F42" s="80" t="s">
        <v>1123</v>
      </c>
      <c r="G42" s="80" t="s">
        <v>1124</v>
      </c>
      <c r="H42" s="80" t="s">
        <v>1125</v>
      </c>
      <c r="I42" s="78" t="s">
        <v>596</v>
      </c>
      <c r="J42" s="78" t="s">
        <v>1163</v>
      </c>
      <c r="K42" s="80" t="s">
        <v>615</v>
      </c>
      <c r="L42" s="7" t="str">
        <f>IF(BudgetsTable[[#This Row],[pi_last_name]]=" ","",HYPERLINK("https://www.ejacket.nsf.gov/ej/showProposal.do?Continue=Y&amp;ID="&amp;BudgetsTable[[#This Row],[prop_id]],BudgetsTable[[#This Row],[prop_id]]))</f>
        <v>1739256</v>
      </c>
      <c r="M42" s="15" t="str">
        <f>IF(BudgetsTable[[#This Row],[pi_last_name]]=" ","",HYPERLINK("https://www.ejacket.nsf.gov/ej/processReviewAnalysis.do?dispatch=add&amp;uniqId="&amp;BudgetsTable[[#This Row],[prop_id]]&amp;PO_id,"&gt;ra"))</f>
        <v>&gt;ra</v>
      </c>
      <c r="N42" s="80" t="s">
        <v>1160</v>
      </c>
      <c r="O42" s="7" t="str">
        <f>IF(BudgetsTable[[#This Row],[pi_last_name]]=" ","",HYPERLINK("mailto:"&amp;BudgetsTable[[#This Row],[pi_email]]&amp;"&amp;subject=Your NSF Proposal:  "&amp;BudgetsTable[[#This Row],[prop_id]],BudgetsTable[[#This Row],[pi_email]]))</f>
        <v>ilya@umich.edu</v>
      </c>
      <c r="P42" s="80" t="s">
        <v>356</v>
      </c>
      <c r="Q42" s="80"/>
      <c r="R42" s="80"/>
      <c r="S42" s="81"/>
      <c r="T42" s="81"/>
      <c r="U42" s="81"/>
      <c r="V42" s="82"/>
      <c r="W42" s="80">
        <v>0</v>
      </c>
      <c r="X42" s="80"/>
      <c r="Y42" s="11" t="str">
        <f ca="1">IF(ISBLANK(BudgetsTable[[#This Row],[budg_seq_yr]]),"FY"&amp;fiscalyear,"FY"&amp;fiscalyear-1+BudgetsTable[[#This Row],[budg_seq_yr]])</f>
        <v>FY18</v>
      </c>
      <c r="Z42" s="81">
        <v>460230</v>
      </c>
      <c r="AA42" s="80" t="s">
        <v>1124</v>
      </c>
      <c r="AB42" s="80" t="s">
        <v>1125</v>
      </c>
      <c r="AC42" s="108" t="s">
        <v>94</v>
      </c>
      <c r="AD42" s="80" t="s">
        <v>588</v>
      </c>
    </row>
    <row r="43" spans="1:30">
      <c r="A43" s="10" t="s">
        <v>1159</v>
      </c>
      <c r="B43" s="78" t="s">
        <v>450</v>
      </c>
      <c r="C43" s="78">
        <f>C42+(BudgetsTable[[#This Row],[lead]]&lt;&gt;K42)</f>
        <v>12</v>
      </c>
      <c r="D43" s="78">
        <f>D42*(BudgetsTable[[#This Row],[lead]]=K42)+(BudgetsTable[[#This Row],[prop_id]]&lt;&gt;A42)</f>
        <v>5</v>
      </c>
      <c r="E43" s="79">
        <v>42800.361805555556</v>
      </c>
      <c r="F43" s="80" t="s">
        <v>1123</v>
      </c>
      <c r="G43" s="80" t="s">
        <v>1124</v>
      </c>
      <c r="H43" s="80" t="s">
        <v>1125</v>
      </c>
      <c r="I43" s="78" t="s">
        <v>596</v>
      </c>
      <c r="J43" s="78" t="s">
        <v>13</v>
      </c>
      <c r="K43" s="80" t="s">
        <v>615</v>
      </c>
      <c r="L43" s="7" t="str">
        <f>IF(BudgetsTable[[#This Row],[pi_last_name]]=" ","",HYPERLINK("https://www.ejacket.nsf.gov/ej/showProposal.do?Continue=Y&amp;ID="&amp;BudgetsTable[[#This Row],[prop_id]],BudgetsTable[[#This Row],[prop_id]]))</f>
        <v/>
      </c>
      <c r="M43" s="15" t="str">
        <f>IF(BudgetsTable[[#This Row],[pi_last_name]]=" ","",HYPERLINK("https://www.ejacket.nsf.gov/ej/processReviewAnalysis.do?dispatch=add&amp;uniqId="&amp;BudgetsTable[[#This Row],[prop_id]]&amp;PO_id,"&gt;ra"))</f>
        <v/>
      </c>
      <c r="N43" s="80" t="s">
        <v>13</v>
      </c>
      <c r="O43" s="7" t="str">
        <f>IF(BudgetsTable[[#This Row],[pi_last_name]]=" ","",HYPERLINK("mailto:"&amp;BudgetsTable[[#This Row],[pi_email]]&amp;"&amp;subject=Your NSF Proposal:  "&amp;BudgetsTable[[#This Row],[prop_id]],BudgetsTable[[#This Row],[pi_email]]))</f>
        <v/>
      </c>
      <c r="P43" s="80" t="s">
        <v>13</v>
      </c>
      <c r="Q43" s="80">
        <v>1</v>
      </c>
      <c r="R43" s="80">
        <v>0.5</v>
      </c>
      <c r="S43" s="81">
        <v>0</v>
      </c>
      <c r="T43" s="81">
        <v>0</v>
      </c>
      <c r="U43" s="81">
        <v>0</v>
      </c>
      <c r="V43" s="82">
        <v>114801</v>
      </c>
      <c r="W43" s="80">
        <v>0</v>
      </c>
      <c r="X43" s="80">
        <v>1</v>
      </c>
      <c r="Y43" s="11" t="str">
        <f ca="1">IF(ISBLANK(BudgetsTable[[#This Row],[budg_seq_yr]]),"FY"&amp;fiscalyear,"FY"&amp;fiscalyear-1+BudgetsTable[[#This Row],[budg_seq_yr]])</f>
        <v>FY18</v>
      </c>
      <c r="Z43" s="81">
        <v>114801</v>
      </c>
      <c r="AA43" s="80" t="s">
        <v>1124</v>
      </c>
      <c r="AB43" s="80" t="s">
        <v>1125</v>
      </c>
      <c r="AC43" s="108" t="s">
        <v>94</v>
      </c>
      <c r="AD43" s="80" t="s">
        <v>588</v>
      </c>
    </row>
    <row r="44" spans="1:30">
      <c r="A44" s="10" t="s">
        <v>1159</v>
      </c>
      <c r="B44" s="78" t="s">
        <v>450</v>
      </c>
      <c r="C44" s="78">
        <f>C43+(BudgetsTable[[#This Row],[lead]]&lt;&gt;K43)</f>
        <v>12</v>
      </c>
      <c r="D44" s="78">
        <f>D43*(BudgetsTable[[#This Row],[lead]]=K43)+(BudgetsTable[[#This Row],[prop_id]]&lt;&gt;A43)</f>
        <v>5</v>
      </c>
      <c r="E44" s="79">
        <v>42800.361805555556</v>
      </c>
      <c r="F44" s="80" t="s">
        <v>1123</v>
      </c>
      <c r="G44" s="80" t="s">
        <v>1124</v>
      </c>
      <c r="H44" s="80" t="s">
        <v>1125</v>
      </c>
      <c r="I44" s="78" t="s">
        <v>596</v>
      </c>
      <c r="J44" s="78" t="s">
        <v>13</v>
      </c>
      <c r="K44" s="80" t="s">
        <v>615</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80" t="s">
        <v>13</v>
      </c>
      <c r="O44" s="7" t="str">
        <f>IF(BudgetsTable[[#This Row],[pi_last_name]]=" ","",HYPERLINK("mailto:"&amp;BudgetsTable[[#This Row],[pi_email]]&amp;"&amp;subject=Your NSF Proposal:  "&amp;BudgetsTable[[#This Row],[prop_id]],BudgetsTable[[#This Row],[pi_email]]))</f>
        <v/>
      </c>
      <c r="P44" s="80" t="s">
        <v>13</v>
      </c>
      <c r="Q44" s="80">
        <v>1</v>
      </c>
      <c r="R44" s="80">
        <v>0.5</v>
      </c>
      <c r="S44" s="81">
        <v>0</v>
      </c>
      <c r="T44" s="81">
        <v>0</v>
      </c>
      <c r="U44" s="81">
        <v>0</v>
      </c>
      <c r="V44" s="82">
        <v>118807</v>
      </c>
      <c r="W44" s="80">
        <v>0</v>
      </c>
      <c r="X44" s="80">
        <v>2</v>
      </c>
      <c r="Y44" s="11" t="str">
        <f ca="1">IF(ISBLANK(BudgetsTable[[#This Row],[budg_seq_yr]]),"FY"&amp;fiscalyear,"FY"&amp;fiscalyear-1+BudgetsTable[[#This Row],[budg_seq_yr]])</f>
        <v>FY19</v>
      </c>
      <c r="Z44" s="81">
        <v>118807</v>
      </c>
      <c r="AA44" s="80" t="s">
        <v>1124</v>
      </c>
      <c r="AB44" s="80" t="s">
        <v>1125</v>
      </c>
      <c r="AC44" s="108" t="s">
        <v>94</v>
      </c>
      <c r="AD44" s="80" t="s">
        <v>588</v>
      </c>
    </row>
    <row r="45" spans="1:30">
      <c r="A45" s="10" t="s">
        <v>1159</v>
      </c>
      <c r="B45" s="78" t="s">
        <v>450</v>
      </c>
      <c r="C45" s="78">
        <f>C44+(BudgetsTable[[#This Row],[lead]]&lt;&gt;K44)</f>
        <v>12</v>
      </c>
      <c r="D45" s="78">
        <f>D44*(BudgetsTable[[#This Row],[lead]]=K44)+(BudgetsTable[[#This Row],[prop_id]]&lt;&gt;A44)</f>
        <v>5</v>
      </c>
      <c r="E45" s="79">
        <v>42800.361805555556</v>
      </c>
      <c r="F45" s="80" t="s">
        <v>1123</v>
      </c>
      <c r="G45" s="80" t="s">
        <v>1124</v>
      </c>
      <c r="H45" s="80" t="s">
        <v>1125</v>
      </c>
      <c r="I45" s="78" t="s">
        <v>596</v>
      </c>
      <c r="J45" s="78" t="s">
        <v>13</v>
      </c>
      <c r="K45" s="80" t="s">
        <v>615</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80" t="s">
        <v>13</v>
      </c>
      <c r="O45" s="7" t="str">
        <f>IF(BudgetsTable[[#This Row],[pi_last_name]]=" ","",HYPERLINK("mailto:"&amp;BudgetsTable[[#This Row],[pi_email]]&amp;"&amp;subject=Your NSF Proposal:  "&amp;BudgetsTable[[#This Row],[prop_id]],BudgetsTable[[#This Row],[pi_email]]))</f>
        <v/>
      </c>
      <c r="P45" s="80" t="s">
        <v>13</v>
      </c>
      <c r="Q45" s="80">
        <v>1</v>
      </c>
      <c r="R45" s="80">
        <v>0.5</v>
      </c>
      <c r="S45" s="81">
        <v>0</v>
      </c>
      <c r="T45" s="81">
        <v>0</v>
      </c>
      <c r="U45" s="81">
        <v>0</v>
      </c>
      <c r="V45" s="82">
        <v>111737</v>
      </c>
      <c r="W45" s="80">
        <v>0</v>
      </c>
      <c r="X45" s="80">
        <v>3</v>
      </c>
      <c r="Y45" s="11" t="str">
        <f ca="1">IF(ISBLANK(BudgetsTable[[#This Row],[budg_seq_yr]]),"FY"&amp;fiscalyear,"FY"&amp;fiscalyear-1+BudgetsTable[[#This Row],[budg_seq_yr]])</f>
        <v>FY20</v>
      </c>
      <c r="Z45" s="81">
        <v>111737</v>
      </c>
      <c r="AA45" s="80" t="s">
        <v>1124</v>
      </c>
      <c r="AB45" s="80" t="s">
        <v>1125</v>
      </c>
      <c r="AC45" s="108" t="s">
        <v>94</v>
      </c>
      <c r="AD45" s="80" t="s">
        <v>588</v>
      </c>
    </row>
    <row r="46" spans="1:30">
      <c r="A46" s="10" t="s">
        <v>1159</v>
      </c>
      <c r="B46" s="78" t="s">
        <v>450</v>
      </c>
      <c r="C46" s="78">
        <f>C45+(BudgetsTable[[#This Row],[lead]]&lt;&gt;K45)</f>
        <v>12</v>
      </c>
      <c r="D46" s="78">
        <f>D45*(BudgetsTable[[#This Row],[lead]]=K45)+(BudgetsTable[[#This Row],[prop_id]]&lt;&gt;A45)</f>
        <v>5</v>
      </c>
      <c r="E46" s="79">
        <v>42800.361805555556</v>
      </c>
      <c r="F46" s="80" t="s">
        <v>1123</v>
      </c>
      <c r="G46" s="80" t="s">
        <v>1124</v>
      </c>
      <c r="H46" s="80" t="s">
        <v>1125</v>
      </c>
      <c r="I46" s="78" t="s">
        <v>596</v>
      </c>
      <c r="J46" s="78" t="s">
        <v>13</v>
      </c>
      <c r="K46" s="80" t="s">
        <v>615</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80" t="s">
        <v>13</v>
      </c>
      <c r="O46" s="7" t="str">
        <f>IF(BudgetsTable[[#This Row],[pi_last_name]]=" ","",HYPERLINK("mailto:"&amp;BudgetsTable[[#This Row],[pi_email]]&amp;"&amp;subject=Your NSF Proposal:  "&amp;BudgetsTable[[#This Row],[prop_id]],BudgetsTable[[#This Row],[pi_email]]))</f>
        <v/>
      </c>
      <c r="P46" s="80" t="s">
        <v>13</v>
      </c>
      <c r="Q46" s="80">
        <v>1</v>
      </c>
      <c r="R46" s="80">
        <v>0.5</v>
      </c>
      <c r="S46" s="81">
        <v>0</v>
      </c>
      <c r="T46" s="81">
        <v>0</v>
      </c>
      <c r="U46" s="81">
        <v>0</v>
      </c>
      <c r="V46" s="82">
        <v>114885</v>
      </c>
      <c r="W46" s="80">
        <v>0</v>
      </c>
      <c r="X46" s="80">
        <v>4</v>
      </c>
      <c r="Y46" s="11" t="str">
        <f ca="1">IF(ISBLANK(BudgetsTable[[#This Row],[budg_seq_yr]]),"FY"&amp;fiscalyear,"FY"&amp;fiscalyear-1+BudgetsTable[[#This Row],[budg_seq_yr]])</f>
        <v>FY21</v>
      </c>
      <c r="Z46" s="81">
        <v>114885</v>
      </c>
      <c r="AA46" s="80" t="s">
        <v>1124</v>
      </c>
      <c r="AB46" s="80" t="s">
        <v>1125</v>
      </c>
      <c r="AC46" s="108" t="s">
        <v>94</v>
      </c>
      <c r="AD46" s="80" t="s">
        <v>588</v>
      </c>
    </row>
    <row r="47" spans="1:30">
      <c r="A47" s="10" t="s">
        <v>632</v>
      </c>
      <c r="B47" s="78" t="s">
        <v>463</v>
      </c>
      <c r="C47" s="78">
        <f>C46+(BudgetsTable[[#This Row],[lead]]&lt;&gt;K46)</f>
        <v>13</v>
      </c>
      <c r="D47" s="78">
        <f>D46*(BudgetsTable[[#This Row],[lead]]=K46)+(BudgetsTable[[#This Row],[prop_id]]&lt;&gt;A46)</f>
        <v>1</v>
      </c>
      <c r="E47" s="79">
        <v>42800.62222222222</v>
      </c>
      <c r="F47" s="80" t="s">
        <v>1123</v>
      </c>
      <c r="G47" s="80" t="s">
        <v>1124</v>
      </c>
      <c r="H47" s="80" t="s">
        <v>1125</v>
      </c>
      <c r="I47" s="78" t="s">
        <v>596</v>
      </c>
      <c r="J47" s="78" t="s">
        <v>1167</v>
      </c>
      <c r="K47" s="80" t="s">
        <v>632</v>
      </c>
      <c r="L47" s="7" t="str">
        <f>IF(BudgetsTable[[#This Row],[pi_last_name]]=" ","",HYPERLINK("https://www.ejacket.nsf.gov/ej/showProposal.do?Continue=Y&amp;ID="&amp;BudgetsTable[[#This Row],[prop_id]],BudgetsTable[[#This Row],[prop_id]]))</f>
        <v>1739586</v>
      </c>
      <c r="M47" s="15" t="str">
        <f>IF(BudgetsTable[[#This Row],[pi_last_name]]=" ","",HYPERLINK("https://www.ejacket.nsf.gov/ej/processReviewAnalysis.do?dispatch=add&amp;uniqId="&amp;BudgetsTable[[#This Row],[prop_id]]&amp;PO_id,"&gt;ra"))</f>
        <v>&gt;ra</v>
      </c>
      <c r="N47" s="80" t="s">
        <v>349</v>
      </c>
      <c r="O47" s="7" t="str">
        <f>IF(BudgetsTable[[#This Row],[pi_last_name]]=" ","",HYPERLINK("mailto:"&amp;BudgetsTable[[#This Row],[pi_email]]&amp;"&amp;subject=Your NSF Proposal:  "&amp;BudgetsTable[[#This Row],[prop_id]],BudgetsTable[[#This Row],[pi_email]]))</f>
        <v>lee@cis.upenn.edu</v>
      </c>
      <c r="P47" s="80" t="s">
        <v>1165</v>
      </c>
      <c r="Q47" s="80"/>
      <c r="R47" s="80"/>
      <c r="S47" s="81"/>
      <c r="T47" s="81"/>
      <c r="U47" s="81"/>
      <c r="V47" s="82"/>
      <c r="W47" s="80">
        <v>0</v>
      </c>
      <c r="X47" s="80"/>
      <c r="Y47" s="11" t="str">
        <f ca="1">IF(ISBLANK(BudgetsTable[[#This Row],[budg_seq_yr]]),"FY"&amp;fiscalyear,"FY"&amp;fiscalyear-1+BudgetsTable[[#This Row],[budg_seq_yr]])</f>
        <v>FY18</v>
      </c>
      <c r="Z47" s="81">
        <v>4667281</v>
      </c>
      <c r="AA47" s="80" t="s">
        <v>1124</v>
      </c>
      <c r="AB47" s="80" t="s">
        <v>1125</v>
      </c>
      <c r="AC47" s="108" t="s">
        <v>94</v>
      </c>
      <c r="AD47" s="80"/>
    </row>
    <row r="48" spans="1:30">
      <c r="A48" s="10" t="s">
        <v>632</v>
      </c>
      <c r="B48" s="78" t="s">
        <v>463</v>
      </c>
      <c r="C48" s="78">
        <f>C47+(BudgetsTable[[#This Row],[lead]]&lt;&gt;K47)</f>
        <v>13</v>
      </c>
      <c r="D48" s="78">
        <f>D47*(BudgetsTable[[#This Row],[lead]]=K47)+(BudgetsTable[[#This Row],[prop_id]]&lt;&gt;A47)</f>
        <v>1</v>
      </c>
      <c r="E48" s="79">
        <v>42800.62222222222</v>
      </c>
      <c r="F48" s="80" t="s">
        <v>1123</v>
      </c>
      <c r="G48" s="80" t="s">
        <v>1124</v>
      </c>
      <c r="H48" s="80" t="s">
        <v>1125</v>
      </c>
      <c r="I48" s="78" t="s">
        <v>596</v>
      </c>
      <c r="J48" s="78" t="s">
        <v>13</v>
      </c>
      <c r="K48" s="80" t="s">
        <v>632</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80" t="s">
        <v>13</v>
      </c>
      <c r="O48" s="7" t="str">
        <f>IF(BudgetsTable[[#This Row],[pi_last_name]]=" ","",HYPERLINK("mailto:"&amp;BudgetsTable[[#This Row],[pi_email]]&amp;"&amp;subject=Your NSF Proposal:  "&amp;BudgetsTable[[#This Row],[prop_id]],BudgetsTable[[#This Row],[pi_email]]))</f>
        <v/>
      </c>
      <c r="P48" s="80" t="s">
        <v>13</v>
      </c>
      <c r="Q48" s="80">
        <v>9</v>
      </c>
      <c r="R48" s="80">
        <v>1.6</v>
      </c>
      <c r="S48" s="81">
        <v>60000</v>
      </c>
      <c r="T48" s="81">
        <v>5000</v>
      </c>
      <c r="U48" s="81">
        <v>0</v>
      </c>
      <c r="V48" s="82">
        <v>868295</v>
      </c>
      <c r="W48" s="80">
        <v>0</v>
      </c>
      <c r="X48" s="80">
        <v>1</v>
      </c>
      <c r="Y48" s="11" t="str">
        <f ca="1">IF(ISBLANK(BudgetsTable[[#This Row],[budg_seq_yr]]),"FY"&amp;fiscalyear,"FY"&amp;fiscalyear-1+BudgetsTable[[#This Row],[budg_seq_yr]])</f>
        <v>FY18</v>
      </c>
      <c r="Z48" s="81">
        <v>868295</v>
      </c>
      <c r="AA48" s="80" t="s">
        <v>1124</v>
      </c>
      <c r="AB48" s="80" t="s">
        <v>1125</v>
      </c>
      <c r="AC48" s="108" t="s">
        <v>94</v>
      </c>
      <c r="AD48" s="80"/>
    </row>
    <row r="49" spans="1:30">
      <c r="A49" s="10" t="s">
        <v>632</v>
      </c>
      <c r="B49" s="78" t="s">
        <v>463</v>
      </c>
      <c r="C49" s="78">
        <f>C48+(BudgetsTable[[#This Row],[lead]]&lt;&gt;K48)</f>
        <v>13</v>
      </c>
      <c r="D49" s="78">
        <f>D48*(BudgetsTable[[#This Row],[lead]]=K48)+(BudgetsTable[[#This Row],[prop_id]]&lt;&gt;A48)</f>
        <v>1</v>
      </c>
      <c r="E49" s="79">
        <v>42800.62222222222</v>
      </c>
      <c r="F49" s="80" t="s">
        <v>1123</v>
      </c>
      <c r="G49" s="80" t="s">
        <v>1124</v>
      </c>
      <c r="H49" s="80" t="s">
        <v>1125</v>
      </c>
      <c r="I49" s="78" t="s">
        <v>596</v>
      </c>
      <c r="J49" s="78" t="s">
        <v>13</v>
      </c>
      <c r="K49" s="80" t="s">
        <v>632</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80" t="s">
        <v>13</v>
      </c>
      <c r="O49" s="7" t="str">
        <f>IF(BudgetsTable[[#This Row],[pi_last_name]]=" ","",HYPERLINK("mailto:"&amp;BudgetsTable[[#This Row],[pi_email]]&amp;"&amp;subject=Your NSF Proposal:  "&amp;BudgetsTable[[#This Row],[prop_id]],BudgetsTable[[#This Row],[pi_email]]))</f>
        <v/>
      </c>
      <c r="P49" s="80" t="s">
        <v>13</v>
      </c>
      <c r="Q49" s="80">
        <v>9</v>
      </c>
      <c r="R49" s="80">
        <v>1.6</v>
      </c>
      <c r="S49" s="81">
        <v>62100</v>
      </c>
      <c r="T49" s="81">
        <v>5000</v>
      </c>
      <c r="U49" s="81">
        <v>0</v>
      </c>
      <c r="V49" s="82">
        <v>899658</v>
      </c>
      <c r="W49" s="80">
        <v>0</v>
      </c>
      <c r="X49" s="80">
        <v>2</v>
      </c>
      <c r="Y49" s="11" t="str">
        <f ca="1">IF(ISBLANK(BudgetsTable[[#This Row],[budg_seq_yr]]),"FY"&amp;fiscalyear,"FY"&amp;fiscalyear-1+BudgetsTable[[#This Row],[budg_seq_yr]])</f>
        <v>FY19</v>
      </c>
      <c r="Z49" s="81">
        <v>899658</v>
      </c>
      <c r="AA49" s="80" t="s">
        <v>1124</v>
      </c>
      <c r="AB49" s="80" t="s">
        <v>1125</v>
      </c>
      <c r="AC49" s="108" t="s">
        <v>94</v>
      </c>
      <c r="AD49" s="80"/>
    </row>
    <row r="50" spans="1:30">
      <c r="A50" s="10" t="s">
        <v>632</v>
      </c>
      <c r="B50" s="78" t="s">
        <v>463</v>
      </c>
      <c r="C50" s="78">
        <f>C49+(BudgetsTable[[#This Row],[lead]]&lt;&gt;K49)</f>
        <v>13</v>
      </c>
      <c r="D50" s="78">
        <f>D49*(BudgetsTable[[#This Row],[lead]]=K49)+(BudgetsTable[[#This Row],[prop_id]]&lt;&gt;A49)</f>
        <v>1</v>
      </c>
      <c r="E50" s="79">
        <v>42800.62222222222</v>
      </c>
      <c r="F50" s="80" t="s">
        <v>1123</v>
      </c>
      <c r="G50" s="80" t="s">
        <v>1124</v>
      </c>
      <c r="H50" s="80" t="s">
        <v>1125</v>
      </c>
      <c r="I50" s="78" t="s">
        <v>596</v>
      </c>
      <c r="J50" s="78" t="s">
        <v>13</v>
      </c>
      <c r="K50" s="80" t="s">
        <v>632</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80" t="s">
        <v>13</v>
      </c>
      <c r="O50" s="7" t="str">
        <f>IF(BudgetsTable[[#This Row],[pi_last_name]]=" ","",HYPERLINK("mailto:"&amp;BudgetsTable[[#This Row],[pi_email]]&amp;"&amp;subject=Your NSF Proposal:  "&amp;BudgetsTable[[#This Row],[prop_id]],BudgetsTable[[#This Row],[pi_email]]))</f>
        <v/>
      </c>
      <c r="P50" s="80" t="s">
        <v>13</v>
      </c>
      <c r="Q50" s="80">
        <v>9</v>
      </c>
      <c r="R50" s="80">
        <v>3.2</v>
      </c>
      <c r="S50" s="81">
        <v>64274</v>
      </c>
      <c r="T50" s="81">
        <v>5000</v>
      </c>
      <c r="U50" s="81">
        <v>0</v>
      </c>
      <c r="V50" s="82">
        <v>930646</v>
      </c>
      <c r="W50" s="80">
        <v>0</v>
      </c>
      <c r="X50" s="80">
        <v>3</v>
      </c>
      <c r="Y50" s="11" t="str">
        <f ca="1">IF(ISBLANK(BudgetsTable[[#This Row],[budg_seq_yr]]),"FY"&amp;fiscalyear,"FY"&amp;fiscalyear-1+BudgetsTable[[#This Row],[budg_seq_yr]])</f>
        <v>FY20</v>
      </c>
      <c r="Z50" s="81">
        <v>930646</v>
      </c>
      <c r="AA50" s="80" t="s">
        <v>1124</v>
      </c>
      <c r="AB50" s="80" t="s">
        <v>1125</v>
      </c>
      <c r="AC50" s="108" t="s">
        <v>94</v>
      </c>
      <c r="AD50" s="80"/>
    </row>
    <row r="51" spans="1:30">
      <c r="A51" s="10" t="s">
        <v>632</v>
      </c>
      <c r="B51" s="78" t="s">
        <v>463</v>
      </c>
      <c r="C51" s="78">
        <f>C50+(BudgetsTable[[#This Row],[lead]]&lt;&gt;K50)</f>
        <v>13</v>
      </c>
      <c r="D51" s="78">
        <f>D50*(BudgetsTable[[#This Row],[lead]]=K50)+(BudgetsTable[[#This Row],[prop_id]]&lt;&gt;A50)</f>
        <v>1</v>
      </c>
      <c r="E51" s="79">
        <v>42800.62222222222</v>
      </c>
      <c r="F51" s="80" t="s">
        <v>1123</v>
      </c>
      <c r="G51" s="80" t="s">
        <v>1124</v>
      </c>
      <c r="H51" s="80" t="s">
        <v>1125</v>
      </c>
      <c r="I51" s="78" t="s">
        <v>596</v>
      </c>
      <c r="J51" s="78" t="s">
        <v>13</v>
      </c>
      <c r="K51" s="80" t="s">
        <v>632</v>
      </c>
      <c r="L51" s="7" t="str">
        <f>IF(BudgetsTable[[#This Row],[pi_last_name]]=" ","",HYPERLINK("https://www.ejacket.nsf.gov/ej/showProposal.do?Continue=Y&amp;ID="&amp;BudgetsTable[[#This Row],[prop_id]],BudgetsTable[[#This Row],[prop_id]]))</f>
        <v/>
      </c>
      <c r="M51" s="15" t="str">
        <f>IF(BudgetsTable[[#This Row],[pi_last_name]]=" ","",HYPERLINK("https://www.ejacket.nsf.gov/ej/processReviewAnalysis.do?dispatch=add&amp;uniqId="&amp;BudgetsTable[[#This Row],[prop_id]]&amp;PO_id,"&gt;ra"))</f>
        <v/>
      </c>
      <c r="N51" s="80" t="s">
        <v>13</v>
      </c>
      <c r="O51" s="7" t="str">
        <f>IF(BudgetsTable[[#This Row],[pi_last_name]]=" ","",HYPERLINK("mailto:"&amp;BudgetsTable[[#This Row],[pi_email]]&amp;"&amp;subject=Your NSF Proposal:  "&amp;BudgetsTable[[#This Row],[prop_id]],BudgetsTable[[#This Row],[pi_email]]))</f>
        <v/>
      </c>
      <c r="P51" s="80" t="s">
        <v>13</v>
      </c>
      <c r="Q51" s="80">
        <v>9</v>
      </c>
      <c r="R51" s="80">
        <v>1.6</v>
      </c>
      <c r="S51" s="81">
        <v>66844</v>
      </c>
      <c r="T51" s="81">
        <v>5000</v>
      </c>
      <c r="U51" s="81">
        <v>0</v>
      </c>
      <c r="V51" s="82">
        <v>969906</v>
      </c>
      <c r="W51" s="80">
        <v>0</v>
      </c>
      <c r="X51" s="80">
        <v>4</v>
      </c>
      <c r="Y51" s="11" t="str">
        <f ca="1">IF(ISBLANK(BudgetsTable[[#This Row],[budg_seq_yr]]),"FY"&amp;fiscalyear,"FY"&amp;fiscalyear-1+BudgetsTable[[#This Row],[budg_seq_yr]])</f>
        <v>FY21</v>
      </c>
      <c r="Z51" s="81">
        <v>969906</v>
      </c>
      <c r="AA51" s="80" t="s">
        <v>1124</v>
      </c>
      <c r="AB51" s="80" t="s">
        <v>1125</v>
      </c>
      <c r="AC51" s="108" t="s">
        <v>94</v>
      </c>
      <c r="AD51" s="80"/>
    </row>
    <row r="52" spans="1:30">
      <c r="A52" s="10" t="s">
        <v>632</v>
      </c>
      <c r="B52" s="78" t="s">
        <v>463</v>
      </c>
      <c r="C52" s="78">
        <f>C51+(BudgetsTable[[#This Row],[lead]]&lt;&gt;K51)</f>
        <v>13</v>
      </c>
      <c r="D52" s="78">
        <f>D51*(BudgetsTable[[#This Row],[lead]]=K51)+(BudgetsTable[[#This Row],[prop_id]]&lt;&gt;A51)</f>
        <v>1</v>
      </c>
      <c r="E52" s="79">
        <v>42800.62222222222</v>
      </c>
      <c r="F52" s="80" t="s">
        <v>1123</v>
      </c>
      <c r="G52" s="80" t="s">
        <v>1124</v>
      </c>
      <c r="H52" s="80" t="s">
        <v>1125</v>
      </c>
      <c r="I52" s="78" t="s">
        <v>596</v>
      </c>
      <c r="J52" s="78" t="s">
        <v>13</v>
      </c>
      <c r="K52" s="80" t="s">
        <v>632</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80" t="s">
        <v>13</v>
      </c>
      <c r="O52" s="7" t="str">
        <f>IF(BudgetsTable[[#This Row],[pi_last_name]]=" ","",HYPERLINK("mailto:"&amp;BudgetsTable[[#This Row],[pi_email]]&amp;"&amp;subject=Your NSF Proposal:  "&amp;BudgetsTable[[#This Row],[prop_id]],BudgetsTable[[#This Row],[pi_email]]))</f>
        <v/>
      </c>
      <c r="P52" s="80" t="s">
        <v>13</v>
      </c>
      <c r="Q52" s="80">
        <v>9</v>
      </c>
      <c r="R52" s="80">
        <v>1.6</v>
      </c>
      <c r="S52" s="81">
        <v>69518</v>
      </c>
      <c r="T52" s="81">
        <v>5000</v>
      </c>
      <c r="U52" s="81">
        <v>0</v>
      </c>
      <c r="V52" s="82">
        <v>998776</v>
      </c>
      <c r="W52" s="80">
        <v>0</v>
      </c>
      <c r="X52" s="80">
        <v>5</v>
      </c>
      <c r="Y52" s="11" t="str">
        <f ca="1">IF(ISBLANK(BudgetsTable[[#This Row],[budg_seq_yr]]),"FY"&amp;fiscalyear,"FY"&amp;fiscalyear-1+BudgetsTable[[#This Row],[budg_seq_yr]])</f>
        <v>FY22</v>
      </c>
      <c r="Z52" s="81">
        <v>998776</v>
      </c>
      <c r="AA52" s="80" t="s">
        <v>1124</v>
      </c>
      <c r="AB52" s="80" t="s">
        <v>1125</v>
      </c>
      <c r="AC52" s="108" t="s">
        <v>94</v>
      </c>
      <c r="AD52" s="80"/>
    </row>
    <row r="53" spans="1:30">
      <c r="A53" s="10" t="s">
        <v>1168</v>
      </c>
      <c r="B53" s="78" t="s">
        <v>450</v>
      </c>
      <c r="C53" s="78">
        <f>C52+(BudgetsTable[[#This Row],[lead]]&lt;&gt;K52)</f>
        <v>13</v>
      </c>
      <c r="D53" s="78">
        <f>D52*(BudgetsTable[[#This Row],[lead]]=K52)+(BudgetsTable[[#This Row],[prop_id]]&lt;&gt;A52)</f>
        <v>2</v>
      </c>
      <c r="E53" s="79">
        <v>42797.460416666669</v>
      </c>
      <c r="F53" s="80" t="s">
        <v>1123</v>
      </c>
      <c r="G53" s="80" t="s">
        <v>1124</v>
      </c>
      <c r="H53" s="80" t="s">
        <v>1125</v>
      </c>
      <c r="I53" s="78" t="s">
        <v>596</v>
      </c>
      <c r="J53" s="78" t="s">
        <v>1171</v>
      </c>
      <c r="K53" s="80" t="s">
        <v>632</v>
      </c>
      <c r="L53" s="7" t="str">
        <f>IF(BudgetsTable[[#This Row],[pi_last_name]]=" ","",HYPERLINK("https://www.ejacket.nsf.gov/ej/showProposal.do?Continue=Y&amp;ID="&amp;BudgetsTable[[#This Row],[prop_id]],BudgetsTable[[#This Row],[prop_id]]))</f>
        <v>1739127</v>
      </c>
      <c r="M53" s="15" t="str">
        <f>IF(BudgetsTable[[#This Row],[pi_last_name]]=" ","",HYPERLINK("https://www.ejacket.nsf.gov/ej/processReviewAnalysis.do?dispatch=add&amp;uniqId="&amp;BudgetsTable[[#This Row],[prop_id]]&amp;PO_id,"&gt;ra"))</f>
        <v>&gt;ra</v>
      </c>
      <c r="N53" s="80" t="s">
        <v>1169</v>
      </c>
      <c r="O53" s="7" t="str">
        <f>IF(BudgetsTable[[#This Row],[pi_last_name]]=" ","",HYPERLINK("mailto:"&amp;BudgetsTable[[#This Row],[pi_email]]&amp;"&amp;subject=Your NSF Proposal:  "&amp;BudgetsTable[[#This Row],[prop_id]],BudgetsTable[[#This Row],[pi_email]]))</f>
        <v>miroslav.pajic@duke.edu</v>
      </c>
      <c r="P53" s="80" t="s">
        <v>358</v>
      </c>
      <c r="Q53" s="80"/>
      <c r="R53" s="80"/>
      <c r="S53" s="81"/>
      <c r="T53" s="81"/>
      <c r="U53" s="81"/>
      <c r="V53" s="82"/>
      <c r="W53" s="80">
        <v>0</v>
      </c>
      <c r="X53" s="80"/>
      <c r="Y53" s="11" t="str">
        <f ca="1">IF(ISBLANK(BudgetsTable[[#This Row],[budg_seq_yr]]),"FY"&amp;fiscalyear,"FY"&amp;fiscalyear-1+BudgetsTable[[#This Row],[budg_seq_yr]])</f>
        <v>FY18</v>
      </c>
      <c r="Z53" s="81">
        <v>1000000</v>
      </c>
      <c r="AA53" s="80" t="s">
        <v>1124</v>
      </c>
      <c r="AB53" s="80" t="s">
        <v>1125</v>
      </c>
      <c r="AC53" s="108" t="s">
        <v>94</v>
      </c>
      <c r="AD53" s="80"/>
    </row>
    <row r="54" spans="1:30">
      <c r="A54" s="10" t="s">
        <v>1168</v>
      </c>
      <c r="B54" s="78" t="s">
        <v>450</v>
      </c>
      <c r="C54" s="78">
        <f>C53+(BudgetsTable[[#This Row],[lead]]&lt;&gt;K53)</f>
        <v>13</v>
      </c>
      <c r="D54" s="78">
        <f>D53*(BudgetsTable[[#This Row],[lead]]=K53)+(BudgetsTable[[#This Row],[prop_id]]&lt;&gt;A53)</f>
        <v>2</v>
      </c>
      <c r="E54" s="79">
        <v>42797.460416666669</v>
      </c>
      <c r="F54" s="80" t="s">
        <v>1123</v>
      </c>
      <c r="G54" s="80" t="s">
        <v>1124</v>
      </c>
      <c r="H54" s="80" t="s">
        <v>1125</v>
      </c>
      <c r="I54" s="78" t="s">
        <v>596</v>
      </c>
      <c r="J54" s="78" t="s">
        <v>13</v>
      </c>
      <c r="K54" s="80" t="s">
        <v>632</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80" t="s">
        <v>13</v>
      </c>
      <c r="O54" s="7" t="str">
        <f>IF(BudgetsTable[[#This Row],[pi_last_name]]=" ","",HYPERLINK("mailto:"&amp;BudgetsTable[[#This Row],[pi_email]]&amp;"&amp;subject=Your NSF Proposal:  "&amp;BudgetsTable[[#This Row],[prop_id]],BudgetsTable[[#This Row],[pi_email]]))</f>
        <v/>
      </c>
      <c r="P54" s="80" t="s">
        <v>13</v>
      </c>
      <c r="Q54" s="80">
        <v>2</v>
      </c>
      <c r="R54" s="80">
        <v>1.5</v>
      </c>
      <c r="S54" s="81">
        <v>0</v>
      </c>
      <c r="T54" s="81">
        <v>0</v>
      </c>
      <c r="U54" s="81">
        <v>0</v>
      </c>
      <c r="V54" s="82">
        <v>200000</v>
      </c>
      <c r="W54" s="80">
        <v>0</v>
      </c>
      <c r="X54" s="80">
        <v>1</v>
      </c>
      <c r="Y54" s="11" t="str">
        <f ca="1">IF(ISBLANK(BudgetsTable[[#This Row],[budg_seq_yr]]),"FY"&amp;fiscalyear,"FY"&amp;fiscalyear-1+BudgetsTable[[#This Row],[budg_seq_yr]])</f>
        <v>FY18</v>
      </c>
      <c r="Z54" s="81">
        <v>200000</v>
      </c>
      <c r="AA54" s="80" t="s">
        <v>1124</v>
      </c>
      <c r="AB54" s="80" t="s">
        <v>1125</v>
      </c>
      <c r="AC54" s="108" t="s">
        <v>94</v>
      </c>
      <c r="AD54" s="80"/>
    </row>
    <row r="55" spans="1:30">
      <c r="A55" s="10" t="s">
        <v>1168</v>
      </c>
      <c r="B55" s="78" t="s">
        <v>450</v>
      </c>
      <c r="C55" s="78">
        <f>C54+(BudgetsTable[[#This Row],[lead]]&lt;&gt;K54)</f>
        <v>13</v>
      </c>
      <c r="D55" s="78">
        <f>D54*(BudgetsTable[[#This Row],[lead]]=K54)+(BudgetsTable[[#This Row],[prop_id]]&lt;&gt;A54)</f>
        <v>2</v>
      </c>
      <c r="E55" s="79">
        <v>42797.460416666669</v>
      </c>
      <c r="F55" s="80" t="s">
        <v>1123</v>
      </c>
      <c r="G55" s="80" t="s">
        <v>1124</v>
      </c>
      <c r="H55" s="80" t="s">
        <v>1125</v>
      </c>
      <c r="I55" s="78" t="s">
        <v>596</v>
      </c>
      <c r="J55" s="78" t="s">
        <v>13</v>
      </c>
      <c r="K55" s="80" t="s">
        <v>632</v>
      </c>
      <c r="L55" s="7" t="str">
        <f>IF(BudgetsTable[[#This Row],[pi_last_name]]=" ","",HYPERLINK("https://www.ejacket.nsf.gov/ej/showProposal.do?Continue=Y&amp;ID="&amp;BudgetsTable[[#This Row],[prop_id]],BudgetsTable[[#This Row],[prop_id]]))</f>
        <v/>
      </c>
      <c r="M55" s="15" t="str">
        <f>IF(BudgetsTable[[#This Row],[pi_last_name]]=" ","",HYPERLINK("https://www.ejacket.nsf.gov/ej/processReviewAnalysis.do?dispatch=add&amp;uniqId="&amp;BudgetsTable[[#This Row],[prop_id]]&amp;PO_id,"&gt;ra"))</f>
        <v/>
      </c>
      <c r="N55" s="80" t="s">
        <v>13</v>
      </c>
      <c r="O55" s="7" t="str">
        <f>IF(BudgetsTable[[#This Row],[pi_last_name]]=" ","",HYPERLINK("mailto:"&amp;BudgetsTable[[#This Row],[pi_email]]&amp;"&amp;subject=Your NSF Proposal:  "&amp;BudgetsTable[[#This Row],[prop_id]],BudgetsTable[[#This Row],[pi_email]]))</f>
        <v/>
      </c>
      <c r="P55" s="80" t="s">
        <v>13</v>
      </c>
      <c r="Q55" s="80">
        <v>2</v>
      </c>
      <c r="R55" s="80">
        <v>1.5</v>
      </c>
      <c r="S55" s="81">
        <v>0</v>
      </c>
      <c r="T55" s="81">
        <v>0</v>
      </c>
      <c r="U55" s="81">
        <v>0</v>
      </c>
      <c r="V55" s="82">
        <v>200000</v>
      </c>
      <c r="W55" s="80">
        <v>0</v>
      </c>
      <c r="X55" s="80">
        <v>2</v>
      </c>
      <c r="Y55" s="11" t="str">
        <f ca="1">IF(ISBLANK(BudgetsTable[[#This Row],[budg_seq_yr]]),"FY"&amp;fiscalyear,"FY"&amp;fiscalyear-1+BudgetsTable[[#This Row],[budg_seq_yr]])</f>
        <v>FY19</v>
      </c>
      <c r="Z55" s="81">
        <v>200000</v>
      </c>
      <c r="AA55" s="80" t="s">
        <v>1124</v>
      </c>
      <c r="AB55" s="80" t="s">
        <v>1125</v>
      </c>
      <c r="AC55" s="108" t="s">
        <v>94</v>
      </c>
      <c r="AD55" s="80"/>
    </row>
    <row r="56" spans="1:30">
      <c r="A56" s="10" t="s">
        <v>1168</v>
      </c>
      <c r="B56" s="78" t="s">
        <v>450</v>
      </c>
      <c r="C56" s="78">
        <f>C55+(BudgetsTable[[#This Row],[lead]]&lt;&gt;K55)</f>
        <v>13</v>
      </c>
      <c r="D56" s="78">
        <f>D55*(BudgetsTable[[#This Row],[lead]]=K55)+(BudgetsTable[[#This Row],[prop_id]]&lt;&gt;A55)</f>
        <v>2</v>
      </c>
      <c r="E56" s="79">
        <v>42797.460416666669</v>
      </c>
      <c r="F56" s="80" t="s">
        <v>1123</v>
      </c>
      <c r="G56" s="80" t="s">
        <v>1124</v>
      </c>
      <c r="H56" s="80" t="s">
        <v>1125</v>
      </c>
      <c r="I56" s="78" t="s">
        <v>596</v>
      </c>
      <c r="J56" s="78" t="s">
        <v>13</v>
      </c>
      <c r="K56" s="80" t="s">
        <v>632</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80" t="s">
        <v>13</v>
      </c>
      <c r="O56" s="7" t="str">
        <f>IF(BudgetsTable[[#This Row],[pi_last_name]]=" ","",HYPERLINK("mailto:"&amp;BudgetsTable[[#This Row],[pi_email]]&amp;"&amp;subject=Your NSF Proposal:  "&amp;BudgetsTable[[#This Row],[prop_id]],BudgetsTable[[#This Row],[pi_email]]))</f>
        <v/>
      </c>
      <c r="P56" s="80" t="s">
        <v>13</v>
      </c>
      <c r="Q56" s="80">
        <v>2</v>
      </c>
      <c r="R56" s="80">
        <v>1.5</v>
      </c>
      <c r="S56" s="81">
        <v>0</v>
      </c>
      <c r="T56" s="81">
        <v>0</v>
      </c>
      <c r="U56" s="81">
        <v>0</v>
      </c>
      <c r="V56" s="82">
        <v>200000</v>
      </c>
      <c r="W56" s="80">
        <v>0</v>
      </c>
      <c r="X56" s="80">
        <v>3</v>
      </c>
      <c r="Y56" s="11" t="str">
        <f ca="1">IF(ISBLANK(BudgetsTable[[#This Row],[budg_seq_yr]]),"FY"&amp;fiscalyear,"FY"&amp;fiscalyear-1+BudgetsTable[[#This Row],[budg_seq_yr]])</f>
        <v>FY20</v>
      </c>
      <c r="Z56" s="81">
        <v>200000</v>
      </c>
      <c r="AA56" s="80" t="s">
        <v>1124</v>
      </c>
      <c r="AB56" s="80" t="s">
        <v>1125</v>
      </c>
      <c r="AC56" s="108" t="s">
        <v>94</v>
      </c>
      <c r="AD56" s="80"/>
    </row>
    <row r="57" spans="1:30">
      <c r="A57" s="10" t="s">
        <v>1168</v>
      </c>
      <c r="B57" s="78" t="s">
        <v>450</v>
      </c>
      <c r="C57" s="78">
        <f>C56+(BudgetsTable[[#This Row],[lead]]&lt;&gt;K56)</f>
        <v>13</v>
      </c>
      <c r="D57" s="78">
        <f>D56*(BudgetsTable[[#This Row],[lead]]=K56)+(BudgetsTable[[#This Row],[prop_id]]&lt;&gt;A56)</f>
        <v>2</v>
      </c>
      <c r="E57" s="79">
        <v>42797.460416666669</v>
      </c>
      <c r="F57" s="80" t="s">
        <v>1123</v>
      </c>
      <c r="G57" s="80" t="s">
        <v>1124</v>
      </c>
      <c r="H57" s="80" t="s">
        <v>1125</v>
      </c>
      <c r="I57" s="78" t="s">
        <v>596</v>
      </c>
      <c r="J57" s="78" t="s">
        <v>13</v>
      </c>
      <c r="K57" s="80" t="s">
        <v>632</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80" t="s">
        <v>13</v>
      </c>
      <c r="O57" s="7" t="str">
        <f>IF(BudgetsTable[[#This Row],[pi_last_name]]=" ","",HYPERLINK("mailto:"&amp;BudgetsTable[[#This Row],[pi_email]]&amp;"&amp;subject=Your NSF Proposal:  "&amp;BudgetsTable[[#This Row],[prop_id]],BudgetsTable[[#This Row],[pi_email]]))</f>
        <v/>
      </c>
      <c r="P57" s="80" t="s">
        <v>13</v>
      </c>
      <c r="Q57" s="80">
        <v>2</v>
      </c>
      <c r="R57" s="80">
        <v>1.5</v>
      </c>
      <c r="S57" s="81">
        <v>0</v>
      </c>
      <c r="T57" s="81">
        <v>0</v>
      </c>
      <c r="U57" s="81">
        <v>0</v>
      </c>
      <c r="V57" s="82">
        <v>200000</v>
      </c>
      <c r="W57" s="80">
        <v>0</v>
      </c>
      <c r="X57" s="80">
        <v>4</v>
      </c>
      <c r="Y57" s="11" t="str">
        <f ca="1">IF(ISBLANK(BudgetsTable[[#This Row],[budg_seq_yr]]),"FY"&amp;fiscalyear,"FY"&amp;fiscalyear-1+BudgetsTable[[#This Row],[budg_seq_yr]])</f>
        <v>FY21</v>
      </c>
      <c r="Z57" s="81">
        <v>200000</v>
      </c>
      <c r="AA57" s="80" t="s">
        <v>1124</v>
      </c>
      <c r="AB57" s="80" t="s">
        <v>1125</v>
      </c>
      <c r="AC57" s="108" t="s">
        <v>94</v>
      </c>
      <c r="AD57" s="80"/>
    </row>
    <row r="58" spans="1:30">
      <c r="A58" s="10" t="s">
        <v>1168</v>
      </c>
      <c r="B58" s="78" t="s">
        <v>450</v>
      </c>
      <c r="C58" s="78">
        <f>C57+(BudgetsTable[[#This Row],[lead]]&lt;&gt;K57)</f>
        <v>13</v>
      </c>
      <c r="D58" s="78">
        <f>D57*(BudgetsTable[[#This Row],[lead]]=K57)+(BudgetsTable[[#This Row],[prop_id]]&lt;&gt;A57)</f>
        <v>2</v>
      </c>
      <c r="E58" s="79">
        <v>42797.460416666669</v>
      </c>
      <c r="F58" s="80" t="s">
        <v>1123</v>
      </c>
      <c r="G58" s="80" t="s">
        <v>1124</v>
      </c>
      <c r="H58" s="80" t="s">
        <v>1125</v>
      </c>
      <c r="I58" s="78" t="s">
        <v>596</v>
      </c>
      <c r="J58" s="78" t="s">
        <v>13</v>
      </c>
      <c r="K58" s="80" t="s">
        <v>632</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80" t="s">
        <v>13</v>
      </c>
      <c r="O58" s="7" t="str">
        <f>IF(BudgetsTable[[#This Row],[pi_last_name]]=" ","",HYPERLINK("mailto:"&amp;BudgetsTable[[#This Row],[pi_email]]&amp;"&amp;subject=Your NSF Proposal:  "&amp;BudgetsTable[[#This Row],[prop_id]],BudgetsTable[[#This Row],[pi_email]]))</f>
        <v/>
      </c>
      <c r="P58" s="80" t="s">
        <v>13</v>
      </c>
      <c r="Q58" s="80">
        <v>2</v>
      </c>
      <c r="R58" s="80">
        <v>1.4</v>
      </c>
      <c r="S58" s="81">
        <v>0</v>
      </c>
      <c r="T58" s="81">
        <v>0</v>
      </c>
      <c r="U58" s="81">
        <v>0</v>
      </c>
      <c r="V58" s="82">
        <v>200000</v>
      </c>
      <c r="W58" s="80">
        <v>0</v>
      </c>
      <c r="X58" s="80">
        <v>5</v>
      </c>
      <c r="Y58" s="11" t="str">
        <f ca="1">IF(ISBLANK(BudgetsTable[[#This Row],[budg_seq_yr]]),"FY"&amp;fiscalyear,"FY"&amp;fiscalyear-1+BudgetsTable[[#This Row],[budg_seq_yr]])</f>
        <v>FY22</v>
      </c>
      <c r="Z58" s="81">
        <v>200000</v>
      </c>
      <c r="AA58" s="80" t="s">
        <v>1124</v>
      </c>
      <c r="AB58" s="80" t="s">
        <v>1125</v>
      </c>
      <c r="AC58" s="108" t="s">
        <v>94</v>
      </c>
      <c r="AD58" s="80"/>
    </row>
    <row r="59" spans="1:30">
      <c r="A59" s="10" t="s">
        <v>1172</v>
      </c>
      <c r="B59" s="78" t="s">
        <v>450</v>
      </c>
      <c r="C59" s="78">
        <f>C58+(BudgetsTable[[#This Row],[lead]]&lt;&gt;K58)</f>
        <v>13</v>
      </c>
      <c r="D59" s="78">
        <f>D58*(BudgetsTable[[#This Row],[lead]]=K58)+(BudgetsTable[[#This Row],[prop_id]]&lt;&gt;A58)</f>
        <v>3</v>
      </c>
      <c r="E59" s="79">
        <v>42797.675000000003</v>
      </c>
      <c r="F59" s="80" t="s">
        <v>1123</v>
      </c>
      <c r="G59" s="80" t="s">
        <v>1124</v>
      </c>
      <c r="H59" s="80" t="s">
        <v>1125</v>
      </c>
      <c r="I59" s="78" t="s">
        <v>596</v>
      </c>
      <c r="J59" s="78" t="s">
        <v>1174</v>
      </c>
      <c r="K59" s="80" t="s">
        <v>632</v>
      </c>
      <c r="L59" s="7" t="str">
        <f>IF(BudgetsTable[[#This Row],[pi_last_name]]=" ","",HYPERLINK("https://www.ejacket.nsf.gov/ej/showProposal.do?Continue=Y&amp;ID="&amp;BudgetsTable[[#This Row],[prop_id]],BudgetsTable[[#This Row],[prop_id]]))</f>
        <v>1739198</v>
      </c>
      <c r="M59" s="15" t="str">
        <f>IF(BudgetsTable[[#This Row],[pi_last_name]]=" ","",HYPERLINK("https://www.ejacket.nsf.gov/ej/processReviewAnalysis.do?dispatch=add&amp;uniqId="&amp;BudgetsTable[[#This Row],[prop_id]]&amp;PO_id,"&gt;ra"))</f>
        <v>&gt;ra</v>
      </c>
      <c r="N59" s="80" t="s">
        <v>704</v>
      </c>
      <c r="O59" s="7" t="str">
        <f>IF(BudgetsTable[[#This Row],[pi_last_name]]=" ","",HYPERLINK("mailto:"&amp;BudgetsTable[[#This Row],[pi_email]]&amp;"&amp;subject=Your NSF Proposal:  "&amp;BudgetsTable[[#This Row],[prop_id]],BudgetsTable[[#This Row],[pi_email]]))</f>
        <v>jhahn12@umd.edu</v>
      </c>
      <c r="P59" s="80" t="s">
        <v>475</v>
      </c>
      <c r="Q59" s="80"/>
      <c r="R59" s="80"/>
      <c r="S59" s="81"/>
      <c r="T59" s="81"/>
      <c r="U59" s="81"/>
      <c r="V59" s="82"/>
      <c r="W59" s="80">
        <v>0</v>
      </c>
      <c r="X59" s="80"/>
      <c r="Y59" s="11" t="str">
        <f ca="1">IF(ISBLANK(BudgetsTable[[#This Row],[budg_seq_yr]]),"FY"&amp;fiscalyear,"FY"&amp;fiscalyear-1+BudgetsTable[[#This Row],[budg_seq_yr]])</f>
        <v>FY18</v>
      </c>
      <c r="Z59" s="81">
        <v>765000</v>
      </c>
      <c r="AA59" s="80" t="s">
        <v>1124</v>
      </c>
      <c r="AB59" s="80" t="s">
        <v>1125</v>
      </c>
      <c r="AC59" s="108" t="s">
        <v>94</v>
      </c>
      <c r="AD59" s="80"/>
    </row>
    <row r="60" spans="1:30">
      <c r="A60" s="10" t="s">
        <v>1172</v>
      </c>
      <c r="B60" s="78" t="s">
        <v>450</v>
      </c>
      <c r="C60" s="78">
        <f>C59+(BudgetsTable[[#This Row],[lead]]&lt;&gt;K59)</f>
        <v>13</v>
      </c>
      <c r="D60" s="78">
        <f>D59*(BudgetsTable[[#This Row],[lead]]=K59)+(BudgetsTable[[#This Row],[prop_id]]&lt;&gt;A59)</f>
        <v>3</v>
      </c>
      <c r="E60" s="79">
        <v>42797.675000000003</v>
      </c>
      <c r="F60" s="80" t="s">
        <v>1123</v>
      </c>
      <c r="G60" s="80" t="s">
        <v>1124</v>
      </c>
      <c r="H60" s="80" t="s">
        <v>1125</v>
      </c>
      <c r="I60" s="78" t="s">
        <v>596</v>
      </c>
      <c r="J60" s="78" t="s">
        <v>13</v>
      </c>
      <c r="K60" s="80" t="s">
        <v>632</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80" t="s">
        <v>13</v>
      </c>
      <c r="O60" s="7" t="str">
        <f>IF(BudgetsTable[[#This Row],[pi_last_name]]=" ","",HYPERLINK("mailto:"&amp;BudgetsTable[[#This Row],[pi_email]]&amp;"&amp;subject=Your NSF Proposal:  "&amp;BudgetsTable[[#This Row],[prop_id]],BudgetsTable[[#This Row],[pi_email]]))</f>
        <v/>
      </c>
      <c r="P60" s="80" t="s">
        <v>13</v>
      </c>
      <c r="Q60" s="80">
        <v>1</v>
      </c>
      <c r="R60" s="80">
        <v>0</v>
      </c>
      <c r="S60" s="81">
        <v>20000</v>
      </c>
      <c r="T60" s="81">
        <v>0</v>
      </c>
      <c r="U60" s="81">
        <v>0</v>
      </c>
      <c r="V60" s="82">
        <v>147128</v>
      </c>
      <c r="W60" s="80">
        <v>0</v>
      </c>
      <c r="X60" s="80">
        <v>1</v>
      </c>
      <c r="Y60" s="11" t="str">
        <f ca="1">IF(ISBLANK(BudgetsTable[[#This Row],[budg_seq_yr]]),"FY"&amp;fiscalyear,"FY"&amp;fiscalyear-1+BudgetsTable[[#This Row],[budg_seq_yr]])</f>
        <v>FY18</v>
      </c>
      <c r="Z60" s="81">
        <v>147128</v>
      </c>
      <c r="AA60" s="80" t="s">
        <v>1124</v>
      </c>
      <c r="AB60" s="80" t="s">
        <v>1125</v>
      </c>
      <c r="AC60" s="108" t="s">
        <v>94</v>
      </c>
      <c r="AD60" s="80"/>
    </row>
    <row r="61" spans="1:30">
      <c r="A61" s="10" t="s">
        <v>1172</v>
      </c>
      <c r="B61" s="78" t="s">
        <v>450</v>
      </c>
      <c r="C61" s="78">
        <f>C60+(BudgetsTable[[#This Row],[lead]]&lt;&gt;K60)</f>
        <v>13</v>
      </c>
      <c r="D61" s="78">
        <f>D60*(BudgetsTable[[#This Row],[lead]]=K60)+(BudgetsTable[[#This Row],[prop_id]]&lt;&gt;A60)</f>
        <v>3</v>
      </c>
      <c r="E61" s="79">
        <v>42797.675000000003</v>
      </c>
      <c r="F61" s="80" t="s">
        <v>1123</v>
      </c>
      <c r="G61" s="80" t="s">
        <v>1124</v>
      </c>
      <c r="H61" s="80" t="s">
        <v>1125</v>
      </c>
      <c r="I61" s="78" t="s">
        <v>596</v>
      </c>
      <c r="J61" s="78" t="s">
        <v>13</v>
      </c>
      <c r="K61" s="80" t="s">
        <v>632</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80" t="s">
        <v>13</v>
      </c>
      <c r="O61" s="7" t="str">
        <f>IF(BudgetsTable[[#This Row],[pi_last_name]]=" ","",HYPERLINK("mailto:"&amp;BudgetsTable[[#This Row],[pi_email]]&amp;"&amp;subject=Your NSF Proposal:  "&amp;BudgetsTable[[#This Row],[prop_id]],BudgetsTable[[#This Row],[pi_email]]))</f>
        <v/>
      </c>
      <c r="P61" s="80" t="s">
        <v>13</v>
      </c>
      <c r="Q61" s="80">
        <v>1</v>
      </c>
      <c r="R61" s="80">
        <v>0</v>
      </c>
      <c r="S61" s="81">
        <v>20800</v>
      </c>
      <c r="T61" s="81">
        <v>0</v>
      </c>
      <c r="U61" s="81">
        <v>0</v>
      </c>
      <c r="V61" s="82">
        <v>152584</v>
      </c>
      <c r="W61" s="80">
        <v>0</v>
      </c>
      <c r="X61" s="80">
        <v>2</v>
      </c>
      <c r="Y61" s="11" t="str">
        <f ca="1">IF(ISBLANK(BudgetsTable[[#This Row],[budg_seq_yr]]),"FY"&amp;fiscalyear,"FY"&amp;fiscalyear-1+BudgetsTable[[#This Row],[budg_seq_yr]])</f>
        <v>FY19</v>
      </c>
      <c r="Z61" s="81">
        <v>152584</v>
      </c>
      <c r="AA61" s="80" t="s">
        <v>1124</v>
      </c>
      <c r="AB61" s="80" t="s">
        <v>1125</v>
      </c>
      <c r="AC61" s="108" t="s">
        <v>94</v>
      </c>
      <c r="AD61" s="80"/>
    </row>
    <row r="62" spans="1:30">
      <c r="A62" s="10" t="s">
        <v>1172</v>
      </c>
      <c r="B62" s="78" t="s">
        <v>450</v>
      </c>
      <c r="C62" s="78">
        <f>C61+(BudgetsTable[[#This Row],[lead]]&lt;&gt;K61)</f>
        <v>13</v>
      </c>
      <c r="D62" s="78">
        <f>D61*(BudgetsTable[[#This Row],[lead]]=K61)+(BudgetsTable[[#This Row],[prop_id]]&lt;&gt;A61)</f>
        <v>3</v>
      </c>
      <c r="E62" s="79">
        <v>42797.675000000003</v>
      </c>
      <c r="F62" s="80" t="s">
        <v>1123</v>
      </c>
      <c r="G62" s="80" t="s">
        <v>1124</v>
      </c>
      <c r="H62" s="80" t="s">
        <v>1125</v>
      </c>
      <c r="I62" s="78" t="s">
        <v>596</v>
      </c>
      <c r="J62" s="78" t="s">
        <v>13</v>
      </c>
      <c r="K62" s="80" t="s">
        <v>632</v>
      </c>
      <c r="L62" s="7" t="str">
        <f>IF(BudgetsTable[[#This Row],[pi_last_name]]=" ","",HYPERLINK("https://www.ejacket.nsf.gov/ej/showProposal.do?Continue=Y&amp;ID="&amp;BudgetsTable[[#This Row],[prop_id]],BudgetsTable[[#This Row],[prop_id]]))</f>
        <v/>
      </c>
      <c r="M62" s="15" t="str">
        <f>IF(BudgetsTable[[#This Row],[pi_last_name]]=" ","",HYPERLINK("https://www.ejacket.nsf.gov/ej/processReviewAnalysis.do?dispatch=add&amp;uniqId="&amp;BudgetsTable[[#This Row],[prop_id]]&amp;PO_id,"&gt;ra"))</f>
        <v/>
      </c>
      <c r="N62" s="80" t="s">
        <v>13</v>
      </c>
      <c r="O62" s="7" t="str">
        <f>IF(BudgetsTable[[#This Row],[pi_last_name]]=" ","",HYPERLINK("mailto:"&amp;BudgetsTable[[#This Row],[pi_email]]&amp;"&amp;subject=Your NSF Proposal:  "&amp;BudgetsTable[[#This Row],[prop_id]],BudgetsTable[[#This Row],[pi_email]]))</f>
        <v/>
      </c>
      <c r="P62" s="80" t="s">
        <v>13</v>
      </c>
      <c r="Q62" s="80">
        <v>1</v>
      </c>
      <c r="R62" s="80">
        <v>0</v>
      </c>
      <c r="S62" s="81">
        <v>21632</v>
      </c>
      <c r="T62" s="81">
        <v>0</v>
      </c>
      <c r="U62" s="81">
        <v>0</v>
      </c>
      <c r="V62" s="82">
        <v>149472</v>
      </c>
      <c r="W62" s="80">
        <v>0</v>
      </c>
      <c r="X62" s="80">
        <v>3</v>
      </c>
      <c r="Y62" s="11" t="str">
        <f ca="1">IF(ISBLANK(BudgetsTable[[#This Row],[budg_seq_yr]]),"FY"&amp;fiscalyear,"FY"&amp;fiscalyear-1+BudgetsTable[[#This Row],[budg_seq_yr]])</f>
        <v>FY20</v>
      </c>
      <c r="Z62" s="81">
        <v>149472</v>
      </c>
      <c r="AA62" s="80" t="s">
        <v>1124</v>
      </c>
      <c r="AB62" s="80" t="s">
        <v>1125</v>
      </c>
      <c r="AC62" s="108" t="s">
        <v>94</v>
      </c>
      <c r="AD62" s="80"/>
    </row>
    <row r="63" spans="1:30">
      <c r="A63" s="10" t="s">
        <v>1172</v>
      </c>
      <c r="B63" s="78" t="s">
        <v>450</v>
      </c>
      <c r="C63" s="78">
        <f>C62+(BudgetsTable[[#This Row],[lead]]&lt;&gt;K62)</f>
        <v>13</v>
      </c>
      <c r="D63" s="78">
        <f>D62*(BudgetsTable[[#This Row],[lead]]=K62)+(BudgetsTable[[#This Row],[prop_id]]&lt;&gt;A62)</f>
        <v>3</v>
      </c>
      <c r="E63" s="79">
        <v>42797.675000000003</v>
      </c>
      <c r="F63" s="80" t="s">
        <v>1123</v>
      </c>
      <c r="G63" s="80" t="s">
        <v>1124</v>
      </c>
      <c r="H63" s="80" t="s">
        <v>1125</v>
      </c>
      <c r="I63" s="78" t="s">
        <v>596</v>
      </c>
      <c r="J63" s="78" t="s">
        <v>13</v>
      </c>
      <c r="K63" s="80" t="s">
        <v>632</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80" t="s">
        <v>13</v>
      </c>
      <c r="O63" s="7" t="str">
        <f>IF(BudgetsTable[[#This Row],[pi_last_name]]=" ","",HYPERLINK("mailto:"&amp;BudgetsTable[[#This Row],[pi_email]]&amp;"&amp;subject=Your NSF Proposal:  "&amp;BudgetsTable[[#This Row],[prop_id]],BudgetsTable[[#This Row],[pi_email]]))</f>
        <v/>
      </c>
      <c r="P63" s="80" t="s">
        <v>13</v>
      </c>
      <c r="Q63" s="80">
        <v>1</v>
      </c>
      <c r="R63" s="80">
        <v>0</v>
      </c>
      <c r="S63" s="81">
        <v>22497</v>
      </c>
      <c r="T63" s="81">
        <v>0</v>
      </c>
      <c r="U63" s="81">
        <v>0</v>
      </c>
      <c r="V63" s="82">
        <v>155023</v>
      </c>
      <c r="W63" s="80">
        <v>0</v>
      </c>
      <c r="X63" s="80">
        <v>4</v>
      </c>
      <c r="Y63" s="11" t="str">
        <f ca="1">IF(ISBLANK(BudgetsTable[[#This Row],[budg_seq_yr]]),"FY"&amp;fiscalyear,"FY"&amp;fiscalyear-1+BudgetsTable[[#This Row],[budg_seq_yr]])</f>
        <v>FY21</v>
      </c>
      <c r="Z63" s="81">
        <v>155023</v>
      </c>
      <c r="AA63" s="80" t="s">
        <v>1124</v>
      </c>
      <c r="AB63" s="80" t="s">
        <v>1125</v>
      </c>
      <c r="AC63" s="108" t="s">
        <v>94</v>
      </c>
      <c r="AD63" s="80"/>
    </row>
    <row r="64" spans="1:30">
      <c r="A64" s="10" t="s">
        <v>1172</v>
      </c>
      <c r="B64" s="78" t="s">
        <v>450</v>
      </c>
      <c r="C64" s="78">
        <f>C63+(BudgetsTable[[#This Row],[lead]]&lt;&gt;K63)</f>
        <v>13</v>
      </c>
      <c r="D64" s="78">
        <f>D63*(BudgetsTable[[#This Row],[lead]]=K63)+(BudgetsTable[[#This Row],[prop_id]]&lt;&gt;A63)</f>
        <v>3</v>
      </c>
      <c r="E64" s="79">
        <v>42797.675000000003</v>
      </c>
      <c r="F64" s="80" t="s">
        <v>1123</v>
      </c>
      <c r="G64" s="80" t="s">
        <v>1124</v>
      </c>
      <c r="H64" s="80" t="s">
        <v>1125</v>
      </c>
      <c r="I64" s="78" t="s">
        <v>596</v>
      </c>
      <c r="J64" s="78" t="s">
        <v>13</v>
      </c>
      <c r="K64" s="80" t="s">
        <v>632</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80" t="s">
        <v>13</v>
      </c>
      <c r="O64" s="7" t="str">
        <f>IF(BudgetsTable[[#This Row],[pi_last_name]]=" ","",HYPERLINK("mailto:"&amp;BudgetsTable[[#This Row],[pi_email]]&amp;"&amp;subject=Your NSF Proposal:  "&amp;BudgetsTable[[#This Row],[prop_id]],BudgetsTable[[#This Row],[pi_email]]))</f>
        <v/>
      </c>
      <c r="P64" s="80" t="s">
        <v>13</v>
      </c>
      <c r="Q64" s="80">
        <v>1</v>
      </c>
      <c r="R64" s="80">
        <v>0</v>
      </c>
      <c r="S64" s="81">
        <v>23397</v>
      </c>
      <c r="T64" s="81">
        <v>0</v>
      </c>
      <c r="U64" s="81">
        <v>0</v>
      </c>
      <c r="V64" s="82">
        <v>160793</v>
      </c>
      <c r="W64" s="80">
        <v>0</v>
      </c>
      <c r="X64" s="80">
        <v>5</v>
      </c>
      <c r="Y64" s="11" t="str">
        <f ca="1">IF(ISBLANK(BudgetsTable[[#This Row],[budg_seq_yr]]),"FY"&amp;fiscalyear,"FY"&amp;fiscalyear-1+BudgetsTable[[#This Row],[budg_seq_yr]])</f>
        <v>FY22</v>
      </c>
      <c r="Z64" s="81">
        <v>160793</v>
      </c>
      <c r="AA64" s="80" t="s">
        <v>1124</v>
      </c>
      <c r="AB64" s="80" t="s">
        <v>1125</v>
      </c>
      <c r="AC64" s="108" t="s">
        <v>94</v>
      </c>
      <c r="AD64" s="80"/>
    </row>
    <row r="65" spans="1:30">
      <c r="A65" s="10" t="s">
        <v>1175</v>
      </c>
      <c r="B65" s="78" t="s">
        <v>450</v>
      </c>
      <c r="C65" s="78">
        <f>C64+(BudgetsTable[[#This Row],[lead]]&lt;&gt;K64)</f>
        <v>13</v>
      </c>
      <c r="D65" s="78">
        <f>D64*(BudgetsTable[[#This Row],[lead]]=K64)+(BudgetsTable[[#This Row],[prop_id]]&lt;&gt;A64)</f>
        <v>4</v>
      </c>
      <c r="E65" s="79">
        <v>42800.413194444445</v>
      </c>
      <c r="F65" s="80" t="s">
        <v>1123</v>
      </c>
      <c r="G65" s="80" t="s">
        <v>1124</v>
      </c>
      <c r="H65" s="80" t="s">
        <v>1125</v>
      </c>
      <c r="I65" s="78" t="s">
        <v>596</v>
      </c>
      <c r="J65" s="78" t="s">
        <v>1178</v>
      </c>
      <c r="K65" s="80" t="s">
        <v>632</v>
      </c>
      <c r="L65" s="7" t="str">
        <f>IF(BudgetsTable[[#This Row],[pi_last_name]]=" ","",HYPERLINK("https://www.ejacket.nsf.gov/ej/showProposal.do?Continue=Y&amp;ID="&amp;BudgetsTable[[#This Row],[prop_id]],BudgetsTable[[#This Row],[prop_id]]))</f>
        <v>1739274</v>
      </c>
      <c r="M65" s="15" t="str">
        <f>IF(BudgetsTable[[#This Row],[pi_last_name]]=" ","",HYPERLINK("https://www.ejacket.nsf.gov/ej/processReviewAnalysis.do?dispatch=add&amp;uniqId="&amp;BudgetsTable[[#This Row],[prop_id]]&amp;PO_id,"&gt;ra"))</f>
        <v>&gt;ra</v>
      </c>
      <c r="N65" s="80" t="s">
        <v>1176</v>
      </c>
      <c r="O65" s="7" t="str">
        <f>IF(BudgetsTable[[#This Row],[pi_last_name]]=" ","",HYPERLINK("mailto:"&amp;BudgetsTable[[#This Row],[pi_email]]&amp;"&amp;subject=Your NSF Proposal:  "&amp;BudgetsTable[[#This Row],[prop_id]],BudgetsTable[[#This Row],[pi_email]]))</f>
        <v>lf9u@virginia.edu</v>
      </c>
      <c r="P65" s="80" t="s">
        <v>476</v>
      </c>
      <c r="Q65" s="80"/>
      <c r="R65" s="80"/>
      <c r="S65" s="81"/>
      <c r="T65" s="81"/>
      <c r="U65" s="81"/>
      <c r="V65" s="82"/>
      <c r="W65" s="80">
        <v>0</v>
      </c>
      <c r="X65" s="80"/>
      <c r="Y65" s="11" t="str">
        <f ca="1">IF(ISBLANK(BudgetsTable[[#This Row],[budg_seq_yr]]),"FY"&amp;fiscalyear,"FY"&amp;fiscalyear-1+BudgetsTable[[#This Row],[budg_seq_yr]])</f>
        <v>FY18</v>
      </c>
      <c r="Z65" s="81">
        <v>450000</v>
      </c>
      <c r="AA65" s="80" t="s">
        <v>1124</v>
      </c>
      <c r="AB65" s="80" t="s">
        <v>1125</v>
      </c>
      <c r="AC65" s="108" t="s">
        <v>94</v>
      </c>
      <c r="AD65" s="80"/>
    </row>
    <row r="66" spans="1:30">
      <c r="A66" s="10" t="s">
        <v>1175</v>
      </c>
      <c r="B66" s="78" t="s">
        <v>450</v>
      </c>
      <c r="C66" s="78">
        <f>C65+(BudgetsTable[[#This Row],[lead]]&lt;&gt;K65)</f>
        <v>13</v>
      </c>
      <c r="D66" s="78">
        <f>D65*(BudgetsTable[[#This Row],[lead]]=K65)+(BudgetsTable[[#This Row],[prop_id]]&lt;&gt;A65)</f>
        <v>4</v>
      </c>
      <c r="E66" s="79">
        <v>42800.413194444445</v>
      </c>
      <c r="F66" s="80" t="s">
        <v>1123</v>
      </c>
      <c r="G66" s="80" t="s">
        <v>1124</v>
      </c>
      <c r="H66" s="80" t="s">
        <v>1125</v>
      </c>
      <c r="I66" s="78" t="s">
        <v>596</v>
      </c>
      <c r="J66" s="78" t="s">
        <v>13</v>
      </c>
      <c r="K66" s="80" t="s">
        <v>632</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80" t="s">
        <v>13</v>
      </c>
      <c r="O66" s="7" t="str">
        <f>IF(BudgetsTable[[#This Row],[pi_last_name]]=" ","",HYPERLINK("mailto:"&amp;BudgetsTable[[#This Row],[pi_email]]&amp;"&amp;subject=Your NSF Proposal:  "&amp;BudgetsTable[[#This Row],[prop_id]],BudgetsTable[[#This Row],[pi_email]]))</f>
        <v/>
      </c>
      <c r="P66" s="80" t="s">
        <v>13</v>
      </c>
      <c r="Q66" s="80">
        <v>1</v>
      </c>
      <c r="R66" s="80">
        <v>0</v>
      </c>
      <c r="S66" s="81">
        <v>0</v>
      </c>
      <c r="T66" s="81">
        <v>4000</v>
      </c>
      <c r="U66" s="81">
        <v>0</v>
      </c>
      <c r="V66" s="82">
        <v>90000</v>
      </c>
      <c r="W66" s="80">
        <v>0</v>
      </c>
      <c r="X66" s="80">
        <v>1</v>
      </c>
      <c r="Y66" s="11" t="str">
        <f ca="1">IF(ISBLANK(BudgetsTable[[#This Row],[budg_seq_yr]]),"FY"&amp;fiscalyear,"FY"&amp;fiscalyear-1+BudgetsTable[[#This Row],[budg_seq_yr]])</f>
        <v>FY18</v>
      </c>
      <c r="Z66" s="81">
        <v>90000</v>
      </c>
      <c r="AA66" s="80" t="s">
        <v>1124</v>
      </c>
      <c r="AB66" s="80" t="s">
        <v>1125</v>
      </c>
      <c r="AC66" s="108" t="s">
        <v>94</v>
      </c>
      <c r="AD66" s="80"/>
    </row>
    <row r="67" spans="1:30">
      <c r="A67" s="10" t="s">
        <v>1175</v>
      </c>
      <c r="B67" s="78" t="s">
        <v>450</v>
      </c>
      <c r="C67" s="78">
        <f>C66+(BudgetsTable[[#This Row],[lead]]&lt;&gt;K66)</f>
        <v>13</v>
      </c>
      <c r="D67" s="78">
        <f>D66*(BudgetsTable[[#This Row],[lead]]=K66)+(BudgetsTable[[#This Row],[prop_id]]&lt;&gt;A66)</f>
        <v>4</v>
      </c>
      <c r="E67" s="79">
        <v>42800.413194444445</v>
      </c>
      <c r="F67" s="80" t="s">
        <v>1123</v>
      </c>
      <c r="G67" s="80" t="s">
        <v>1124</v>
      </c>
      <c r="H67" s="80" t="s">
        <v>1125</v>
      </c>
      <c r="I67" s="78" t="s">
        <v>596</v>
      </c>
      <c r="J67" s="78" t="s">
        <v>13</v>
      </c>
      <c r="K67" s="80" t="s">
        <v>632</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80" t="s">
        <v>13</v>
      </c>
      <c r="O67" s="7" t="str">
        <f>IF(BudgetsTable[[#This Row],[pi_last_name]]=" ","",HYPERLINK("mailto:"&amp;BudgetsTable[[#This Row],[pi_email]]&amp;"&amp;subject=Your NSF Proposal:  "&amp;BudgetsTable[[#This Row],[prop_id]],BudgetsTable[[#This Row],[pi_email]]))</f>
        <v/>
      </c>
      <c r="P67" s="80" t="s">
        <v>13</v>
      </c>
      <c r="Q67" s="80">
        <v>1</v>
      </c>
      <c r="R67" s="80">
        <v>0</v>
      </c>
      <c r="S67" s="81">
        <v>0</v>
      </c>
      <c r="T67" s="81">
        <v>3000</v>
      </c>
      <c r="U67" s="81">
        <v>0</v>
      </c>
      <c r="V67" s="82">
        <v>90000</v>
      </c>
      <c r="W67" s="80">
        <v>0</v>
      </c>
      <c r="X67" s="80">
        <v>2</v>
      </c>
      <c r="Y67" s="11" t="str">
        <f ca="1">IF(ISBLANK(BudgetsTable[[#This Row],[budg_seq_yr]]),"FY"&amp;fiscalyear,"FY"&amp;fiscalyear-1+BudgetsTable[[#This Row],[budg_seq_yr]])</f>
        <v>FY19</v>
      </c>
      <c r="Z67" s="81">
        <v>90000</v>
      </c>
      <c r="AA67" s="80" t="s">
        <v>1124</v>
      </c>
      <c r="AB67" s="80" t="s">
        <v>1125</v>
      </c>
      <c r="AC67" s="108" t="s">
        <v>94</v>
      </c>
      <c r="AD67" s="80"/>
    </row>
    <row r="68" spans="1:30">
      <c r="A68" s="10" t="s">
        <v>1175</v>
      </c>
      <c r="B68" s="78" t="s">
        <v>450</v>
      </c>
      <c r="C68" s="78">
        <f>C67+(BudgetsTable[[#This Row],[lead]]&lt;&gt;K67)</f>
        <v>13</v>
      </c>
      <c r="D68" s="78">
        <f>D67*(BudgetsTable[[#This Row],[lead]]=K67)+(BudgetsTable[[#This Row],[prop_id]]&lt;&gt;A67)</f>
        <v>4</v>
      </c>
      <c r="E68" s="79">
        <v>42800.413194444445</v>
      </c>
      <c r="F68" s="80" t="s">
        <v>1123</v>
      </c>
      <c r="G68" s="80" t="s">
        <v>1124</v>
      </c>
      <c r="H68" s="80" t="s">
        <v>1125</v>
      </c>
      <c r="I68" s="78" t="s">
        <v>596</v>
      </c>
      <c r="J68" s="78" t="s">
        <v>13</v>
      </c>
      <c r="K68" s="80" t="s">
        <v>632</v>
      </c>
      <c r="L68" s="7" t="str">
        <f>IF(BudgetsTable[[#This Row],[pi_last_name]]=" ","",HYPERLINK("https://www.ejacket.nsf.gov/ej/showProposal.do?Continue=Y&amp;ID="&amp;BudgetsTable[[#This Row],[prop_id]],BudgetsTable[[#This Row],[prop_id]]))</f>
        <v/>
      </c>
      <c r="M68" s="15" t="str">
        <f>IF(BudgetsTable[[#This Row],[pi_last_name]]=" ","",HYPERLINK("https://www.ejacket.nsf.gov/ej/processReviewAnalysis.do?dispatch=add&amp;uniqId="&amp;BudgetsTable[[#This Row],[prop_id]]&amp;PO_id,"&gt;ra"))</f>
        <v/>
      </c>
      <c r="N68" s="80" t="s">
        <v>13</v>
      </c>
      <c r="O68" s="7" t="str">
        <f>IF(BudgetsTable[[#This Row],[pi_last_name]]=" ","",HYPERLINK("mailto:"&amp;BudgetsTable[[#This Row],[pi_email]]&amp;"&amp;subject=Your NSF Proposal:  "&amp;BudgetsTable[[#This Row],[prop_id]],BudgetsTable[[#This Row],[pi_email]]))</f>
        <v/>
      </c>
      <c r="P68" s="80" t="s">
        <v>13</v>
      </c>
      <c r="Q68" s="80">
        <v>1</v>
      </c>
      <c r="R68" s="80">
        <v>0</v>
      </c>
      <c r="S68" s="81">
        <v>0</v>
      </c>
      <c r="T68" s="81">
        <v>2000</v>
      </c>
      <c r="U68" s="81">
        <v>0</v>
      </c>
      <c r="V68" s="82">
        <v>90000</v>
      </c>
      <c r="W68" s="80">
        <v>0</v>
      </c>
      <c r="X68" s="80">
        <v>3</v>
      </c>
      <c r="Y68" s="11" t="str">
        <f ca="1">IF(ISBLANK(BudgetsTable[[#This Row],[budg_seq_yr]]),"FY"&amp;fiscalyear,"FY"&amp;fiscalyear-1+BudgetsTable[[#This Row],[budg_seq_yr]])</f>
        <v>FY20</v>
      </c>
      <c r="Z68" s="81">
        <v>90000</v>
      </c>
      <c r="AA68" s="80" t="s">
        <v>1124</v>
      </c>
      <c r="AB68" s="80" t="s">
        <v>1125</v>
      </c>
      <c r="AC68" s="108" t="s">
        <v>94</v>
      </c>
      <c r="AD68" s="80"/>
    </row>
    <row r="69" spans="1:30">
      <c r="A69" s="10" t="s">
        <v>1175</v>
      </c>
      <c r="B69" s="78" t="s">
        <v>450</v>
      </c>
      <c r="C69" s="78">
        <f>C68+(BudgetsTable[[#This Row],[lead]]&lt;&gt;K68)</f>
        <v>13</v>
      </c>
      <c r="D69" s="78">
        <f>D68*(BudgetsTable[[#This Row],[lead]]=K68)+(BudgetsTable[[#This Row],[prop_id]]&lt;&gt;A68)</f>
        <v>4</v>
      </c>
      <c r="E69" s="79">
        <v>42800.413194444445</v>
      </c>
      <c r="F69" s="80" t="s">
        <v>1123</v>
      </c>
      <c r="G69" s="80" t="s">
        <v>1124</v>
      </c>
      <c r="H69" s="80" t="s">
        <v>1125</v>
      </c>
      <c r="I69" s="78" t="s">
        <v>596</v>
      </c>
      <c r="J69" s="78" t="s">
        <v>13</v>
      </c>
      <c r="K69" s="80" t="s">
        <v>632</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80" t="s">
        <v>13</v>
      </c>
      <c r="O69" s="7" t="str">
        <f>IF(BudgetsTable[[#This Row],[pi_last_name]]=" ","",HYPERLINK("mailto:"&amp;BudgetsTable[[#This Row],[pi_email]]&amp;"&amp;subject=Your NSF Proposal:  "&amp;BudgetsTable[[#This Row],[prop_id]],BudgetsTable[[#This Row],[pi_email]]))</f>
        <v/>
      </c>
      <c r="P69" s="80" t="s">
        <v>13</v>
      </c>
      <c r="Q69" s="80">
        <v>1</v>
      </c>
      <c r="R69" s="80">
        <v>0</v>
      </c>
      <c r="S69" s="81">
        <v>0</v>
      </c>
      <c r="T69" s="81">
        <v>3000</v>
      </c>
      <c r="U69" s="81">
        <v>0</v>
      </c>
      <c r="V69" s="82">
        <v>90000</v>
      </c>
      <c r="W69" s="80">
        <v>0</v>
      </c>
      <c r="X69" s="80">
        <v>4</v>
      </c>
      <c r="Y69" s="11" t="str">
        <f ca="1">IF(ISBLANK(BudgetsTable[[#This Row],[budg_seq_yr]]),"FY"&amp;fiscalyear,"FY"&amp;fiscalyear-1+BudgetsTable[[#This Row],[budg_seq_yr]])</f>
        <v>FY21</v>
      </c>
      <c r="Z69" s="81">
        <v>90000</v>
      </c>
      <c r="AA69" s="80" t="s">
        <v>1124</v>
      </c>
      <c r="AB69" s="80" t="s">
        <v>1125</v>
      </c>
      <c r="AC69" s="108" t="s">
        <v>94</v>
      </c>
      <c r="AD69" s="80"/>
    </row>
    <row r="70" spans="1:30">
      <c r="A70" s="10" t="s">
        <v>1175</v>
      </c>
      <c r="B70" s="78" t="s">
        <v>450</v>
      </c>
      <c r="C70" s="78">
        <f>C69+(BudgetsTable[[#This Row],[lead]]&lt;&gt;K69)</f>
        <v>13</v>
      </c>
      <c r="D70" s="78">
        <f>D69*(BudgetsTable[[#This Row],[lead]]=K69)+(BudgetsTable[[#This Row],[prop_id]]&lt;&gt;A69)</f>
        <v>4</v>
      </c>
      <c r="E70" s="79">
        <v>42800.413194444445</v>
      </c>
      <c r="F70" s="80" t="s">
        <v>1123</v>
      </c>
      <c r="G70" s="80" t="s">
        <v>1124</v>
      </c>
      <c r="H70" s="80" t="s">
        <v>1125</v>
      </c>
      <c r="I70" s="78" t="s">
        <v>596</v>
      </c>
      <c r="J70" s="78" t="s">
        <v>13</v>
      </c>
      <c r="K70" s="80" t="s">
        <v>632</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80" t="s">
        <v>13</v>
      </c>
      <c r="O70" s="7" t="str">
        <f>IF(BudgetsTable[[#This Row],[pi_last_name]]=" ","",HYPERLINK("mailto:"&amp;BudgetsTable[[#This Row],[pi_email]]&amp;"&amp;subject=Your NSF Proposal:  "&amp;BudgetsTable[[#This Row],[prop_id]],BudgetsTable[[#This Row],[pi_email]]))</f>
        <v/>
      </c>
      <c r="P70" s="80" t="s">
        <v>13</v>
      </c>
      <c r="Q70" s="80">
        <v>1</v>
      </c>
      <c r="R70" s="80">
        <v>0</v>
      </c>
      <c r="S70" s="81">
        <v>0</v>
      </c>
      <c r="T70" s="81">
        <v>2000</v>
      </c>
      <c r="U70" s="81">
        <v>0</v>
      </c>
      <c r="V70" s="82">
        <v>90000</v>
      </c>
      <c r="W70" s="80">
        <v>0</v>
      </c>
      <c r="X70" s="80">
        <v>5</v>
      </c>
      <c r="Y70" s="11" t="str">
        <f ca="1">IF(ISBLANK(BudgetsTable[[#This Row],[budg_seq_yr]]),"FY"&amp;fiscalyear,"FY"&amp;fiscalyear-1+BudgetsTable[[#This Row],[budg_seq_yr]])</f>
        <v>FY22</v>
      </c>
      <c r="Z70" s="81">
        <v>90000</v>
      </c>
      <c r="AA70" s="80" t="s">
        <v>1124</v>
      </c>
      <c r="AB70" s="80" t="s">
        <v>1125</v>
      </c>
      <c r="AC70" s="108" t="s">
        <v>94</v>
      </c>
      <c r="AD70" s="80"/>
    </row>
    <row r="71" spans="1:30">
      <c r="A71" s="10" t="s">
        <v>639</v>
      </c>
      <c r="B71" s="78" t="s">
        <v>96</v>
      </c>
      <c r="C71" s="78">
        <f>C70+(BudgetsTable[[#This Row],[lead]]&lt;&gt;K70)</f>
        <v>14</v>
      </c>
      <c r="D71" s="78">
        <f>D70*(BudgetsTable[[#This Row],[lead]]=K70)+(BudgetsTable[[#This Row],[prop_id]]&lt;&gt;A70)</f>
        <v>1</v>
      </c>
      <c r="E71" s="79">
        <v>42800.65347222222</v>
      </c>
      <c r="F71" s="80" t="s">
        <v>1123</v>
      </c>
      <c r="G71" s="80" t="s">
        <v>1124</v>
      </c>
      <c r="H71" s="80" t="s">
        <v>1125</v>
      </c>
      <c r="I71" s="78" t="s">
        <v>596</v>
      </c>
      <c r="J71" s="78" t="s">
        <v>1180</v>
      </c>
      <c r="K71" s="80" t="s">
        <v>639</v>
      </c>
      <c r="L71" s="7" t="str">
        <f>IF(BudgetsTable[[#This Row],[pi_last_name]]=" ","",HYPERLINK("https://www.ejacket.nsf.gov/ej/showProposal.do?Continue=Y&amp;ID="&amp;BudgetsTable[[#This Row],[prop_id]],BudgetsTable[[#This Row],[prop_id]]))</f>
        <v>1739710</v>
      </c>
      <c r="M71" s="15" t="str">
        <f>IF(BudgetsTable[[#This Row],[pi_last_name]]=" ","",HYPERLINK("https://www.ejacket.nsf.gov/ej/processReviewAnalysis.do?dispatch=add&amp;uniqId="&amp;BudgetsTable[[#This Row],[prop_id]]&amp;PO_id,"&gt;ra"))</f>
        <v>&gt;ra</v>
      </c>
      <c r="N71" s="80" t="s">
        <v>640</v>
      </c>
      <c r="O71" s="7" t="str">
        <f>IF(BudgetsTable[[#This Row],[pi_last_name]]=" ","",HYPERLINK("mailto:"&amp;BudgetsTable[[#This Row],[pi_email]]&amp;"&amp;subject=Your NSF Proposal:  "&amp;BudgetsTable[[#This Row],[prop_id]],BudgetsTable[[#This Row],[pi_email]]))</f>
        <v>jmanoff@uw.edu</v>
      </c>
      <c r="P71" s="80" t="s">
        <v>348</v>
      </c>
      <c r="Q71" s="80"/>
      <c r="R71" s="80"/>
      <c r="S71" s="81"/>
      <c r="T71" s="81"/>
      <c r="U71" s="81"/>
      <c r="V71" s="82"/>
      <c r="W71" s="80">
        <v>0</v>
      </c>
      <c r="X71" s="80"/>
      <c r="Y71" s="11" t="str">
        <f ca="1">IF(ISBLANK(BudgetsTable[[#This Row],[budg_seq_yr]]),"FY"&amp;fiscalyear,"FY"&amp;fiscalyear-1+BudgetsTable[[#This Row],[budg_seq_yr]])</f>
        <v>FY18</v>
      </c>
      <c r="Z71" s="81">
        <v>7000000</v>
      </c>
      <c r="AA71" s="80" t="s">
        <v>1124</v>
      </c>
      <c r="AB71" s="80" t="s">
        <v>1125</v>
      </c>
      <c r="AC71" s="108" t="s">
        <v>94</v>
      </c>
      <c r="AD71" s="80"/>
    </row>
    <row r="72" spans="1:30">
      <c r="A72" s="10" t="s">
        <v>639</v>
      </c>
      <c r="B72" s="78" t="s">
        <v>96</v>
      </c>
      <c r="C72" s="78">
        <f>C71+(BudgetsTable[[#This Row],[lead]]&lt;&gt;K71)</f>
        <v>14</v>
      </c>
      <c r="D72" s="78">
        <f>D71*(BudgetsTable[[#This Row],[lead]]=K71)+(BudgetsTable[[#This Row],[prop_id]]&lt;&gt;A71)</f>
        <v>1</v>
      </c>
      <c r="E72" s="79">
        <v>42800.65347222222</v>
      </c>
      <c r="F72" s="80" t="s">
        <v>1123</v>
      </c>
      <c r="G72" s="80" t="s">
        <v>1124</v>
      </c>
      <c r="H72" s="80" t="s">
        <v>1125</v>
      </c>
      <c r="I72" s="78" t="s">
        <v>596</v>
      </c>
      <c r="J72" s="78" t="s">
        <v>13</v>
      </c>
      <c r="K72" s="80" t="s">
        <v>639</v>
      </c>
      <c r="L72" s="7" t="str">
        <f>IF(BudgetsTable[[#This Row],[pi_last_name]]=" ","",HYPERLINK("https://www.ejacket.nsf.gov/ej/showProposal.do?Continue=Y&amp;ID="&amp;BudgetsTable[[#This Row],[prop_id]],BudgetsTable[[#This Row],[prop_id]]))</f>
        <v/>
      </c>
      <c r="M72" s="15" t="str">
        <f>IF(BudgetsTable[[#This Row],[pi_last_name]]=" ","",HYPERLINK("https://www.ejacket.nsf.gov/ej/processReviewAnalysis.do?dispatch=add&amp;uniqId="&amp;BudgetsTable[[#This Row],[prop_id]]&amp;PO_id,"&gt;ra"))</f>
        <v/>
      </c>
      <c r="N72" s="80" t="s">
        <v>13</v>
      </c>
      <c r="O72" s="7" t="str">
        <f>IF(BudgetsTable[[#This Row],[pi_last_name]]=" ","",HYPERLINK("mailto:"&amp;BudgetsTable[[#This Row],[pi_email]]&amp;"&amp;subject=Your NSF Proposal:  "&amp;BudgetsTable[[#This Row],[prop_id]],BudgetsTable[[#This Row],[pi_email]]))</f>
        <v/>
      </c>
      <c r="P72" s="80" t="s">
        <v>13</v>
      </c>
      <c r="Q72" s="80">
        <v>7</v>
      </c>
      <c r="R72" s="80">
        <v>7.5</v>
      </c>
      <c r="S72" s="81">
        <v>55000</v>
      </c>
      <c r="T72" s="81">
        <v>0</v>
      </c>
      <c r="U72" s="81">
        <v>0</v>
      </c>
      <c r="V72" s="82">
        <v>1327318</v>
      </c>
      <c r="W72" s="80">
        <v>0</v>
      </c>
      <c r="X72" s="80">
        <v>1</v>
      </c>
      <c r="Y72" s="11" t="str">
        <f ca="1">IF(ISBLANK(BudgetsTable[[#This Row],[budg_seq_yr]]),"FY"&amp;fiscalyear,"FY"&amp;fiscalyear-1+BudgetsTable[[#This Row],[budg_seq_yr]])</f>
        <v>FY18</v>
      </c>
      <c r="Z72" s="81">
        <v>1327318</v>
      </c>
      <c r="AA72" s="80" t="s">
        <v>1124</v>
      </c>
      <c r="AB72" s="80" t="s">
        <v>1125</v>
      </c>
      <c r="AC72" s="108" t="s">
        <v>94</v>
      </c>
      <c r="AD72" s="80"/>
    </row>
    <row r="73" spans="1:30">
      <c r="A73" s="10" t="s">
        <v>639</v>
      </c>
      <c r="B73" s="78" t="s">
        <v>96</v>
      </c>
      <c r="C73" s="78">
        <f>C72+(BudgetsTable[[#This Row],[lead]]&lt;&gt;K72)</f>
        <v>14</v>
      </c>
      <c r="D73" s="78">
        <f>D72*(BudgetsTable[[#This Row],[lead]]=K72)+(BudgetsTable[[#This Row],[prop_id]]&lt;&gt;A72)</f>
        <v>1</v>
      </c>
      <c r="E73" s="79">
        <v>42800.65347222222</v>
      </c>
      <c r="F73" s="80" t="s">
        <v>1123</v>
      </c>
      <c r="G73" s="80" t="s">
        <v>1124</v>
      </c>
      <c r="H73" s="80" t="s">
        <v>1125</v>
      </c>
      <c r="I73" s="78" t="s">
        <v>596</v>
      </c>
      <c r="J73" s="78" t="s">
        <v>13</v>
      </c>
      <c r="K73" s="80" t="s">
        <v>639</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80" t="s">
        <v>13</v>
      </c>
      <c r="O73" s="7" t="str">
        <f>IF(BudgetsTable[[#This Row],[pi_last_name]]=" ","",HYPERLINK("mailto:"&amp;BudgetsTable[[#This Row],[pi_email]]&amp;"&amp;subject=Your NSF Proposal:  "&amp;BudgetsTable[[#This Row],[prop_id]],BudgetsTable[[#This Row],[pi_email]]))</f>
        <v/>
      </c>
      <c r="P73" s="80" t="s">
        <v>13</v>
      </c>
      <c r="Q73" s="80">
        <v>7</v>
      </c>
      <c r="R73" s="80">
        <v>7.5</v>
      </c>
      <c r="S73" s="81">
        <v>56650</v>
      </c>
      <c r="T73" s="81">
        <v>0</v>
      </c>
      <c r="U73" s="81">
        <v>0</v>
      </c>
      <c r="V73" s="82">
        <v>1366470</v>
      </c>
      <c r="W73" s="80">
        <v>0</v>
      </c>
      <c r="X73" s="80">
        <v>2</v>
      </c>
      <c r="Y73" s="11" t="str">
        <f ca="1">IF(ISBLANK(BudgetsTable[[#This Row],[budg_seq_yr]]),"FY"&amp;fiscalyear,"FY"&amp;fiscalyear-1+BudgetsTable[[#This Row],[budg_seq_yr]])</f>
        <v>FY19</v>
      </c>
      <c r="Z73" s="81">
        <v>1366470</v>
      </c>
      <c r="AA73" s="80" t="s">
        <v>1124</v>
      </c>
      <c r="AB73" s="80" t="s">
        <v>1125</v>
      </c>
      <c r="AC73" s="108" t="s">
        <v>94</v>
      </c>
      <c r="AD73" s="80"/>
    </row>
    <row r="74" spans="1:30">
      <c r="A74" s="10" t="s">
        <v>639</v>
      </c>
      <c r="B74" s="78" t="s">
        <v>96</v>
      </c>
      <c r="C74" s="78">
        <f>C73+(BudgetsTable[[#This Row],[lead]]&lt;&gt;K73)</f>
        <v>14</v>
      </c>
      <c r="D74" s="78">
        <f>D73*(BudgetsTable[[#This Row],[lead]]=K73)+(BudgetsTable[[#This Row],[prop_id]]&lt;&gt;A73)</f>
        <v>1</v>
      </c>
      <c r="E74" s="79">
        <v>42800.65347222222</v>
      </c>
      <c r="F74" s="80" t="s">
        <v>1123</v>
      </c>
      <c r="G74" s="80" t="s">
        <v>1124</v>
      </c>
      <c r="H74" s="80" t="s">
        <v>1125</v>
      </c>
      <c r="I74" s="78" t="s">
        <v>596</v>
      </c>
      <c r="J74" s="78" t="s">
        <v>13</v>
      </c>
      <c r="K74" s="80" t="s">
        <v>639</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80" t="s">
        <v>13</v>
      </c>
      <c r="O74" s="7" t="str">
        <f>IF(BudgetsTable[[#This Row],[pi_last_name]]=" ","",HYPERLINK("mailto:"&amp;BudgetsTable[[#This Row],[pi_email]]&amp;"&amp;subject=Your NSF Proposal:  "&amp;BudgetsTable[[#This Row],[prop_id]],BudgetsTable[[#This Row],[pi_email]]))</f>
        <v/>
      </c>
      <c r="P74" s="80" t="s">
        <v>13</v>
      </c>
      <c r="Q74" s="80">
        <v>7</v>
      </c>
      <c r="R74" s="80">
        <v>7.5</v>
      </c>
      <c r="S74" s="81">
        <v>58350</v>
      </c>
      <c r="T74" s="81">
        <v>0</v>
      </c>
      <c r="U74" s="81">
        <v>0</v>
      </c>
      <c r="V74" s="82">
        <v>1393668</v>
      </c>
      <c r="W74" s="80">
        <v>0</v>
      </c>
      <c r="X74" s="80">
        <v>3</v>
      </c>
      <c r="Y74" s="11" t="str">
        <f ca="1">IF(ISBLANK(BudgetsTable[[#This Row],[budg_seq_yr]]),"FY"&amp;fiscalyear,"FY"&amp;fiscalyear-1+BudgetsTable[[#This Row],[budg_seq_yr]])</f>
        <v>FY20</v>
      </c>
      <c r="Z74" s="81">
        <v>1393668</v>
      </c>
      <c r="AA74" s="80" t="s">
        <v>1124</v>
      </c>
      <c r="AB74" s="80" t="s">
        <v>1125</v>
      </c>
      <c r="AC74" s="108" t="s">
        <v>94</v>
      </c>
      <c r="AD74" s="80"/>
    </row>
    <row r="75" spans="1:30">
      <c r="A75" s="10" t="s">
        <v>639</v>
      </c>
      <c r="B75" s="78" t="s">
        <v>96</v>
      </c>
      <c r="C75" s="78">
        <f>C74+(BudgetsTable[[#This Row],[lead]]&lt;&gt;K74)</f>
        <v>14</v>
      </c>
      <c r="D75" s="78">
        <f>D74*(BudgetsTable[[#This Row],[lead]]=K74)+(BudgetsTable[[#This Row],[prop_id]]&lt;&gt;A74)</f>
        <v>1</v>
      </c>
      <c r="E75" s="79">
        <v>42800.65347222222</v>
      </c>
      <c r="F75" s="80" t="s">
        <v>1123</v>
      </c>
      <c r="G75" s="80" t="s">
        <v>1124</v>
      </c>
      <c r="H75" s="80" t="s">
        <v>1125</v>
      </c>
      <c r="I75" s="78" t="s">
        <v>596</v>
      </c>
      <c r="J75" s="78" t="s">
        <v>13</v>
      </c>
      <c r="K75" s="80" t="s">
        <v>639</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80" t="s">
        <v>13</v>
      </c>
      <c r="O75" s="7" t="str">
        <f>IF(BudgetsTable[[#This Row],[pi_last_name]]=" ","",HYPERLINK("mailto:"&amp;BudgetsTable[[#This Row],[pi_email]]&amp;"&amp;subject=Your NSF Proposal:  "&amp;BudgetsTable[[#This Row],[prop_id]],BudgetsTable[[#This Row],[pi_email]]))</f>
        <v/>
      </c>
      <c r="P75" s="80" t="s">
        <v>13</v>
      </c>
      <c r="Q75" s="80">
        <v>7</v>
      </c>
      <c r="R75" s="80">
        <v>7.5</v>
      </c>
      <c r="S75" s="81">
        <v>60100</v>
      </c>
      <c r="T75" s="81">
        <v>0</v>
      </c>
      <c r="U75" s="81">
        <v>0</v>
      </c>
      <c r="V75" s="82">
        <v>1436464</v>
      </c>
      <c r="W75" s="80">
        <v>0</v>
      </c>
      <c r="X75" s="80">
        <v>4</v>
      </c>
      <c r="Y75" s="11" t="str">
        <f ca="1">IF(ISBLANK(BudgetsTable[[#This Row],[budg_seq_yr]]),"FY"&amp;fiscalyear,"FY"&amp;fiscalyear-1+BudgetsTable[[#This Row],[budg_seq_yr]])</f>
        <v>FY21</v>
      </c>
      <c r="Z75" s="81">
        <v>1436464</v>
      </c>
      <c r="AA75" s="80" t="s">
        <v>1124</v>
      </c>
      <c r="AB75" s="80" t="s">
        <v>1125</v>
      </c>
      <c r="AC75" s="108" t="s">
        <v>94</v>
      </c>
      <c r="AD75" s="80"/>
    </row>
    <row r="76" spans="1:30">
      <c r="A76" s="10" t="s">
        <v>639</v>
      </c>
      <c r="B76" s="78" t="s">
        <v>96</v>
      </c>
      <c r="C76" s="78">
        <f>C75+(BudgetsTable[[#This Row],[lead]]&lt;&gt;K75)</f>
        <v>14</v>
      </c>
      <c r="D76" s="78">
        <f>D75*(BudgetsTable[[#This Row],[lead]]=K75)+(BudgetsTable[[#This Row],[prop_id]]&lt;&gt;A75)</f>
        <v>1</v>
      </c>
      <c r="E76" s="79">
        <v>42800.65347222222</v>
      </c>
      <c r="F76" s="80" t="s">
        <v>1123</v>
      </c>
      <c r="G76" s="80" t="s">
        <v>1124</v>
      </c>
      <c r="H76" s="80" t="s">
        <v>1125</v>
      </c>
      <c r="I76" s="78" t="s">
        <v>596</v>
      </c>
      <c r="J76" s="78" t="s">
        <v>13</v>
      </c>
      <c r="K76" s="80" t="s">
        <v>639</v>
      </c>
      <c r="L76" s="7" t="str">
        <f>IF(BudgetsTable[[#This Row],[pi_last_name]]=" ","",HYPERLINK("https://www.ejacket.nsf.gov/ej/showProposal.do?Continue=Y&amp;ID="&amp;BudgetsTable[[#This Row],[prop_id]],BudgetsTable[[#This Row],[prop_id]]))</f>
        <v/>
      </c>
      <c r="M76" s="15" t="str">
        <f>IF(BudgetsTable[[#This Row],[pi_last_name]]=" ","",HYPERLINK("https://www.ejacket.nsf.gov/ej/processReviewAnalysis.do?dispatch=add&amp;uniqId="&amp;BudgetsTable[[#This Row],[prop_id]]&amp;PO_id,"&gt;ra"))</f>
        <v/>
      </c>
      <c r="N76" s="80" t="s">
        <v>13</v>
      </c>
      <c r="O76" s="7" t="str">
        <f>IF(BudgetsTable[[#This Row],[pi_last_name]]=" ","",HYPERLINK("mailto:"&amp;BudgetsTable[[#This Row],[pi_email]]&amp;"&amp;subject=Your NSF Proposal:  "&amp;BudgetsTable[[#This Row],[prop_id]],BudgetsTable[[#This Row],[pi_email]]))</f>
        <v/>
      </c>
      <c r="P76" s="80" t="s">
        <v>13</v>
      </c>
      <c r="Q76" s="80">
        <v>7</v>
      </c>
      <c r="R76" s="80">
        <v>7.5</v>
      </c>
      <c r="S76" s="81">
        <v>61903</v>
      </c>
      <c r="T76" s="81">
        <v>0</v>
      </c>
      <c r="U76" s="81">
        <v>0</v>
      </c>
      <c r="V76" s="82">
        <v>1476080</v>
      </c>
      <c r="W76" s="80">
        <v>0</v>
      </c>
      <c r="X76" s="80">
        <v>5</v>
      </c>
      <c r="Y76" s="11" t="str">
        <f ca="1">IF(ISBLANK(BudgetsTable[[#This Row],[budg_seq_yr]]),"FY"&amp;fiscalyear,"FY"&amp;fiscalyear-1+BudgetsTable[[#This Row],[budg_seq_yr]])</f>
        <v>FY22</v>
      </c>
      <c r="Z76" s="81">
        <v>1476080</v>
      </c>
      <c r="AA76" s="80" t="s">
        <v>1124</v>
      </c>
      <c r="AB76" s="80" t="s">
        <v>1125</v>
      </c>
      <c r="AC76" s="108" t="s">
        <v>94</v>
      </c>
      <c r="AD76" s="80"/>
    </row>
    <row r="77" spans="1:30">
      <c r="A77" s="10" t="s">
        <v>647</v>
      </c>
      <c r="B77" s="78" t="s">
        <v>463</v>
      </c>
      <c r="C77" s="78">
        <f>C76+(BudgetsTable[[#This Row],[lead]]&lt;&gt;K76)</f>
        <v>15</v>
      </c>
      <c r="D77" s="78">
        <f>D76*(BudgetsTable[[#This Row],[lead]]=K76)+(BudgetsTable[[#This Row],[prop_id]]&lt;&gt;A76)</f>
        <v>1</v>
      </c>
      <c r="E77" s="79">
        <v>42800.660416666666</v>
      </c>
      <c r="F77" s="80" t="s">
        <v>1123</v>
      </c>
      <c r="G77" s="80" t="s">
        <v>1124</v>
      </c>
      <c r="H77" s="80" t="s">
        <v>1125</v>
      </c>
      <c r="I77" s="78" t="s">
        <v>596</v>
      </c>
      <c r="J77" s="78" t="s">
        <v>1186</v>
      </c>
      <c r="K77" s="80" t="s">
        <v>647</v>
      </c>
      <c r="L77" s="7" t="str">
        <f>IF(BudgetsTable[[#This Row],[pi_last_name]]=" ","",HYPERLINK("https://www.ejacket.nsf.gov/ej/showProposal.do?Continue=Y&amp;ID="&amp;BudgetsTable[[#This Row],[prop_id]],BudgetsTable[[#This Row],[prop_id]]))</f>
        <v>1739733</v>
      </c>
      <c r="M77" s="15" t="str">
        <f>IF(BudgetsTable[[#This Row],[pi_last_name]]=" ","",HYPERLINK("https://www.ejacket.nsf.gov/ej/processReviewAnalysis.do?dispatch=add&amp;uniqId="&amp;BudgetsTable[[#This Row],[prop_id]]&amp;PO_id,"&gt;ra"))</f>
        <v>&gt;ra</v>
      </c>
      <c r="N77" s="80" t="s">
        <v>648</v>
      </c>
      <c r="O77" s="7" t="str">
        <f>IF(BudgetsTable[[#This Row],[pi_last_name]]=" ","",HYPERLINK("mailto:"&amp;BudgetsTable[[#This Row],[pi_email]]&amp;"&amp;subject=Your NSF Proposal:  "&amp;BudgetsTable[[#This Row],[prop_id]],BudgetsTable[[#This Row],[pi_email]]))</f>
        <v>Janos.Sztipanovits@Vanderbilt.edu</v>
      </c>
      <c r="P77" s="80" t="s">
        <v>1183</v>
      </c>
      <c r="Q77" s="80"/>
      <c r="R77" s="80"/>
      <c r="S77" s="81"/>
      <c r="T77" s="81"/>
      <c r="U77" s="81"/>
      <c r="V77" s="82"/>
      <c r="W77" s="80">
        <v>0</v>
      </c>
      <c r="X77" s="80"/>
      <c r="Y77" s="11" t="str">
        <f ca="1">IF(ISBLANK(BudgetsTable[[#This Row],[budg_seq_yr]]),"FY"&amp;fiscalyear,"FY"&amp;fiscalyear-1+BudgetsTable[[#This Row],[budg_seq_yr]])</f>
        <v>FY18</v>
      </c>
      <c r="Z77" s="81">
        <v>3499505</v>
      </c>
      <c r="AA77" s="80" t="s">
        <v>1124</v>
      </c>
      <c r="AB77" s="80" t="s">
        <v>1125</v>
      </c>
      <c r="AC77" s="108" t="s">
        <v>94</v>
      </c>
      <c r="AD77" s="80"/>
    </row>
    <row r="78" spans="1:30">
      <c r="A78" s="10" t="s">
        <v>647</v>
      </c>
      <c r="B78" s="78" t="s">
        <v>463</v>
      </c>
      <c r="C78" s="78">
        <f>C77+(BudgetsTable[[#This Row],[lead]]&lt;&gt;K77)</f>
        <v>15</v>
      </c>
      <c r="D78" s="78">
        <f>D77*(BudgetsTable[[#This Row],[lead]]=K77)+(BudgetsTable[[#This Row],[prop_id]]&lt;&gt;A77)</f>
        <v>1</v>
      </c>
      <c r="E78" s="79">
        <v>42800.660416666666</v>
      </c>
      <c r="F78" s="80" t="s">
        <v>1123</v>
      </c>
      <c r="G78" s="80" t="s">
        <v>1124</v>
      </c>
      <c r="H78" s="80" t="s">
        <v>1125</v>
      </c>
      <c r="I78" s="78" t="s">
        <v>596</v>
      </c>
      <c r="J78" s="78" t="s">
        <v>13</v>
      </c>
      <c r="K78" s="80" t="s">
        <v>647</v>
      </c>
      <c r="L78" s="7" t="str">
        <f>IF(BudgetsTable[[#This Row],[pi_last_name]]=" ","",HYPERLINK("https://www.ejacket.nsf.gov/ej/showProposal.do?Continue=Y&amp;ID="&amp;BudgetsTable[[#This Row],[prop_id]],BudgetsTable[[#This Row],[prop_id]]))</f>
        <v/>
      </c>
      <c r="M78" s="15" t="str">
        <f>IF(BudgetsTable[[#This Row],[pi_last_name]]=" ","",HYPERLINK("https://www.ejacket.nsf.gov/ej/processReviewAnalysis.do?dispatch=add&amp;uniqId="&amp;BudgetsTable[[#This Row],[prop_id]]&amp;PO_id,"&gt;ra"))</f>
        <v/>
      </c>
      <c r="N78" s="80" t="s">
        <v>13</v>
      </c>
      <c r="O78" s="7" t="str">
        <f>IF(BudgetsTable[[#This Row],[pi_last_name]]=" ","",HYPERLINK("mailto:"&amp;BudgetsTable[[#This Row],[pi_email]]&amp;"&amp;subject=Your NSF Proposal:  "&amp;BudgetsTable[[#This Row],[prop_id]],BudgetsTable[[#This Row],[pi_email]]))</f>
        <v/>
      </c>
      <c r="P78" s="80" t="s">
        <v>13</v>
      </c>
      <c r="Q78" s="80">
        <v>4</v>
      </c>
      <c r="R78" s="80">
        <v>2.5</v>
      </c>
      <c r="S78" s="81">
        <v>35438</v>
      </c>
      <c r="T78" s="81">
        <v>0</v>
      </c>
      <c r="U78" s="81">
        <v>25000</v>
      </c>
      <c r="V78" s="82">
        <v>673434</v>
      </c>
      <c r="W78" s="80">
        <v>0</v>
      </c>
      <c r="X78" s="80">
        <v>1</v>
      </c>
      <c r="Y78" s="11" t="str">
        <f ca="1">IF(ISBLANK(BudgetsTable[[#This Row],[budg_seq_yr]]),"FY"&amp;fiscalyear,"FY"&amp;fiscalyear-1+BudgetsTable[[#This Row],[budg_seq_yr]])</f>
        <v>FY18</v>
      </c>
      <c r="Z78" s="81">
        <v>673434</v>
      </c>
      <c r="AA78" s="80" t="s">
        <v>1124</v>
      </c>
      <c r="AB78" s="80" t="s">
        <v>1125</v>
      </c>
      <c r="AC78" s="108" t="s">
        <v>94</v>
      </c>
      <c r="AD78" s="80"/>
    </row>
    <row r="79" spans="1:30">
      <c r="A79" s="10" t="s">
        <v>647</v>
      </c>
      <c r="B79" s="78" t="s">
        <v>463</v>
      </c>
      <c r="C79" s="78">
        <f>C78+(BudgetsTable[[#This Row],[lead]]&lt;&gt;K78)</f>
        <v>15</v>
      </c>
      <c r="D79" s="78">
        <f>D78*(BudgetsTable[[#This Row],[lead]]=K78)+(BudgetsTable[[#This Row],[prop_id]]&lt;&gt;A78)</f>
        <v>1</v>
      </c>
      <c r="E79" s="79">
        <v>42800.660416666666</v>
      </c>
      <c r="F79" s="80" t="s">
        <v>1123</v>
      </c>
      <c r="G79" s="80" t="s">
        <v>1124</v>
      </c>
      <c r="H79" s="80" t="s">
        <v>1125</v>
      </c>
      <c r="I79" s="78" t="s">
        <v>596</v>
      </c>
      <c r="J79" s="78" t="s">
        <v>13</v>
      </c>
      <c r="K79" s="80" t="s">
        <v>647</v>
      </c>
      <c r="L79" s="7" t="str">
        <f>IF(BudgetsTable[[#This Row],[pi_last_name]]=" ","",HYPERLINK("https://www.ejacket.nsf.gov/ej/showProposal.do?Continue=Y&amp;ID="&amp;BudgetsTable[[#This Row],[prop_id]],BudgetsTable[[#This Row],[prop_id]]))</f>
        <v/>
      </c>
      <c r="M79" s="15" t="str">
        <f>IF(BudgetsTable[[#This Row],[pi_last_name]]=" ","",HYPERLINK("https://www.ejacket.nsf.gov/ej/processReviewAnalysis.do?dispatch=add&amp;uniqId="&amp;BudgetsTable[[#This Row],[prop_id]]&amp;PO_id,"&gt;ra"))</f>
        <v/>
      </c>
      <c r="N79" s="80" t="s">
        <v>13</v>
      </c>
      <c r="O79" s="7" t="str">
        <f>IF(BudgetsTable[[#This Row],[pi_last_name]]=" ","",HYPERLINK("mailto:"&amp;BudgetsTable[[#This Row],[pi_email]]&amp;"&amp;subject=Your NSF Proposal:  "&amp;BudgetsTable[[#This Row],[prop_id]],BudgetsTable[[#This Row],[pi_email]]))</f>
        <v/>
      </c>
      <c r="P79" s="80" t="s">
        <v>13</v>
      </c>
      <c r="Q79" s="80">
        <v>4</v>
      </c>
      <c r="R79" s="80">
        <v>2.5</v>
      </c>
      <c r="S79" s="81">
        <v>37209</v>
      </c>
      <c r="T79" s="81">
        <v>0</v>
      </c>
      <c r="U79" s="81">
        <v>25000</v>
      </c>
      <c r="V79" s="82">
        <v>680708</v>
      </c>
      <c r="W79" s="80">
        <v>0</v>
      </c>
      <c r="X79" s="80">
        <v>2</v>
      </c>
      <c r="Y79" s="11" t="str">
        <f ca="1">IF(ISBLANK(BudgetsTable[[#This Row],[budg_seq_yr]]),"FY"&amp;fiscalyear,"FY"&amp;fiscalyear-1+BudgetsTable[[#This Row],[budg_seq_yr]])</f>
        <v>FY19</v>
      </c>
      <c r="Z79" s="81">
        <v>680708</v>
      </c>
      <c r="AA79" s="80" t="s">
        <v>1124</v>
      </c>
      <c r="AB79" s="80" t="s">
        <v>1125</v>
      </c>
      <c r="AC79" s="108" t="s">
        <v>94</v>
      </c>
      <c r="AD79" s="80"/>
    </row>
    <row r="80" spans="1:30">
      <c r="A80" s="10" t="s">
        <v>647</v>
      </c>
      <c r="B80" s="78" t="s">
        <v>463</v>
      </c>
      <c r="C80" s="78">
        <f>C79+(BudgetsTable[[#This Row],[lead]]&lt;&gt;K79)</f>
        <v>15</v>
      </c>
      <c r="D80" s="78">
        <f>D79*(BudgetsTable[[#This Row],[lead]]=K79)+(BudgetsTable[[#This Row],[prop_id]]&lt;&gt;A79)</f>
        <v>1</v>
      </c>
      <c r="E80" s="79">
        <v>42800.660416666666</v>
      </c>
      <c r="F80" s="80" t="s">
        <v>1123</v>
      </c>
      <c r="G80" s="80" t="s">
        <v>1124</v>
      </c>
      <c r="H80" s="80" t="s">
        <v>1125</v>
      </c>
      <c r="I80" s="78" t="s">
        <v>596</v>
      </c>
      <c r="J80" s="78" t="s">
        <v>13</v>
      </c>
      <c r="K80" s="80" t="s">
        <v>647</v>
      </c>
      <c r="L80" s="7" t="str">
        <f>IF(BudgetsTable[[#This Row],[pi_last_name]]=" ","",HYPERLINK("https://www.ejacket.nsf.gov/ej/showProposal.do?Continue=Y&amp;ID="&amp;BudgetsTable[[#This Row],[prop_id]],BudgetsTable[[#This Row],[prop_id]]))</f>
        <v/>
      </c>
      <c r="M80" s="15" t="str">
        <f>IF(BudgetsTable[[#This Row],[pi_last_name]]=" ","",HYPERLINK("https://www.ejacket.nsf.gov/ej/processReviewAnalysis.do?dispatch=add&amp;uniqId="&amp;BudgetsTable[[#This Row],[prop_id]]&amp;PO_id,"&gt;ra"))</f>
        <v/>
      </c>
      <c r="N80" s="80" t="s">
        <v>13</v>
      </c>
      <c r="O80" s="7" t="str">
        <f>IF(BudgetsTable[[#This Row],[pi_last_name]]=" ","",HYPERLINK("mailto:"&amp;BudgetsTable[[#This Row],[pi_email]]&amp;"&amp;subject=Your NSF Proposal:  "&amp;BudgetsTable[[#This Row],[prop_id]],BudgetsTable[[#This Row],[pi_email]]))</f>
        <v/>
      </c>
      <c r="P80" s="80" t="s">
        <v>13</v>
      </c>
      <c r="Q80" s="80">
        <v>4</v>
      </c>
      <c r="R80" s="80">
        <v>2.5</v>
      </c>
      <c r="S80" s="81">
        <v>39070</v>
      </c>
      <c r="T80" s="81">
        <v>0</v>
      </c>
      <c r="U80" s="81">
        <v>25000</v>
      </c>
      <c r="V80" s="82">
        <v>710764</v>
      </c>
      <c r="W80" s="80">
        <v>0</v>
      </c>
      <c r="X80" s="80">
        <v>3</v>
      </c>
      <c r="Y80" s="11" t="str">
        <f ca="1">IF(ISBLANK(BudgetsTable[[#This Row],[budg_seq_yr]]),"FY"&amp;fiscalyear,"FY"&amp;fiscalyear-1+BudgetsTable[[#This Row],[budg_seq_yr]])</f>
        <v>FY20</v>
      </c>
      <c r="Z80" s="81">
        <v>710764</v>
      </c>
      <c r="AA80" s="80" t="s">
        <v>1124</v>
      </c>
      <c r="AB80" s="80" t="s">
        <v>1125</v>
      </c>
      <c r="AC80" s="108" t="s">
        <v>94</v>
      </c>
      <c r="AD80" s="80"/>
    </row>
    <row r="81" spans="1:30">
      <c r="A81" s="10" t="s">
        <v>647</v>
      </c>
      <c r="B81" s="78" t="s">
        <v>463</v>
      </c>
      <c r="C81" s="78">
        <f>C80+(BudgetsTable[[#This Row],[lead]]&lt;&gt;K80)</f>
        <v>15</v>
      </c>
      <c r="D81" s="78">
        <f>D80*(BudgetsTable[[#This Row],[lead]]=K80)+(BudgetsTable[[#This Row],[prop_id]]&lt;&gt;A80)</f>
        <v>1</v>
      </c>
      <c r="E81" s="79">
        <v>42800.660416666666</v>
      </c>
      <c r="F81" s="80" t="s">
        <v>1123</v>
      </c>
      <c r="G81" s="80" t="s">
        <v>1124</v>
      </c>
      <c r="H81" s="80" t="s">
        <v>1125</v>
      </c>
      <c r="I81" s="78" t="s">
        <v>596</v>
      </c>
      <c r="J81" s="78" t="s">
        <v>13</v>
      </c>
      <c r="K81" s="80" t="s">
        <v>647</v>
      </c>
      <c r="L81" s="7" t="str">
        <f>IF(BudgetsTable[[#This Row],[pi_last_name]]=" ","",HYPERLINK("https://www.ejacket.nsf.gov/ej/showProposal.do?Continue=Y&amp;ID="&amp;BudgetsTable[[#This Row],[prop_id]],BudgetsTable[[#This Row],[prop_id]]))</f>
        <v/>
      </c>
      <c r="M81" s="15" t="str">
        <f>IF(BudgetsTable[[#This Row],[pi_last_name]]=" ","",HYPERLINK("https://www.ejacket.nsf.gov/ej/processReviewAnalysis.do?dispatch=add&amp;uniqId="&amp;BudgetsTable[[#This Row],[prop_id]]&amp;PO_id,"&gt;ra"))</f>
        <v/>
      </c>
      <c r="N81" s="80" t="s">
        <v>13</v>
      </c>
      <c r="O81" s="7" t="str">
        <f>IF(BudgetsTable[[#This Row],[pi_last_name]]=" ","",HYPERLINK("mailto:"&amp;BudgetsTable[[#This Row],[pi_email]]&amp;"&amp;subject=Your NSF Proposal:  "&amp;BudgetsTable[[#This Row],[prop_id]],BudgetsTable[[#This Row],[pi_email]]))</f>
        <v/>
      </c>
      <c r="P81" s="80" t="s">
        <v>13</v>
      </c>
      <c r="Q81" s="80">
        <v>4</v>
      </c>
      <c r="R81" s="80">
        <v>2.5</v>
      </c>
      <c r="S81" s="81">
        <v>41023</v>
      </c>
      <c r="T81" s="81">
        <v>0</v>
      </c>
      <c r="U81" s="81">
        <v>25000</v>
      </c>
      <c r="V81" s="82">
        <v>742322</v>
      </c>
      <c r="W81" s="80">
        <v>0</v>
      </c>
      <c r="X81" s="80">
        <v>4</v>
      </c>
      <c r="Y81" s="11" t="str">
        <f ca="1">IF(ISBLANK(BudgetsTable[[#This Row],[budg_seq_yr]]),"FY"&amp;fiscalyear,"FY"&amp;fiscalyear-1+BudgetsTable[[#This Row],[budg_seq_yr]])</f>
        <v>FY21</v>
      </c>
      <c r="Z81" s="81">
        <v>742322</v>
      </c>
      <c r="AA81" s="80" t="s">
        <v>1124</v>
      </c>
      <c r="AB81" s="80" t="s">
        <v>1125</v>
      </c>
      <c r="AC81" s="108" t="s">
        <v>94</v>
      </c>
      <c r="AD81" s="80"/>
    </row>
    <row r="82" spans="1:30">
      <c r="A82" s="10" t="s">
        <v>647</v>
      </c>
      <c r="B82" s="78" t="s">
        <v>463</v>
      </c>
      <c r="C82" s="78">
        <f>C81+(BudgetsTable[[#This Row],[lead]]&lt;&gt;K81)</f>
        <v>15</v>
      </c>
      <c r="D82" s="78">
        <f>D81*(BudgetsTable[[#This Row],[lead]]=K81)+(BudgetsTable[[#This Row],[prop_id]]&lt;&gt;A81)</f>
        <v>1</v>
      </c>
      <c r="E82" s="79">
        <v>42800.660416666666</v>
      </c>
      <c r="F82" s="80" t="s">
        <v>1123</v>
      </c>
      <c r="G82" s="80" t="s">
        <v>1124</v>
      </c>
      <c r="H82" s="80" t="s">
        <v>1125</v>
      </c>
      <c r="I82" s="78" t="s">
        <v>596</v>
      </c>
      <c r="J82" s="78" t="s">
        <v>13</v>
      </c>
      <c r="K82" s="80" t="s">
        <v>647</v>
      </c>
      <c r="L82" s="7" t="str">
        <f>IF(BudgetsTable[[#This Row],[pi_last_name]]=" ","",HYPERLINK("https://www.ejacket.nsf.gov/ej/showProposal.do?Continue=Y&amp;ID="&amp;BudgetsTable[[#This Row],[prop_id]],BudgetsTable[[#This Row],[prop_id]]))</f>
        <v/>
      </c>
      <c r="M82" s="15" t="str">
        <f>IF(BudgetsTable[[#This Row],[pi_last_name]]=" ","",HYPERLINK("https://www.ejacket.nsf.gov/ej/processReviewAnalysis.do?dispatch=add&amp;uniqId="&amp;BudgetsTable[[#This Row],[prop_id]]&amp;PO_id,"&gt;ra"))</f>
        <v/>
      </c>
      <c r="N82" s="80" t="s">
        <v>13</v>
      </c>
      <c r="O82" s="7" t="str">
        <f>IF(BudgetsTable[[#This Row],[pi_last_name]]=" ","",HYPERLINK("mailto:"&amp;BudgetsTable[[#This Row],[pi_email]]&amp;"&amp;subject=Your NSF Proposal:  "&amp;BudgetsTable[[#This Row],[prop_id]],BudgetsTable[[#This Row],[pi_email]]))</f>
        <v/>
      </c>
      <c r="P82" s="80" t="s">
        <v>13</v>
      </c>
      <c r="Q82" s="80">
        <v>4</v>
      </c>
      <c r="R82" s="80">
        <v>2.5</v>
      </c>
      <c r="S82" s="81">
        <v>0</v>
      </c>
      <c r="T82" s="81">
        <v>0</v>
      </c>
      <c r="U82" s="81">
        <v>25000</v>
      </c>
      <c r="V82" s="82">
        <v>692277</v>
      </c>
      <c r="W82" s="80">
        <v>0</v>
      </c>
      <c r="X82" s="80">
        <v>5</v>
      </c>
      <c r="Y82" s="11" t="str">
        <f ca="1">IF(ISBLANK(BudgetsTable[[#This Row],[budg_seq_yr]]),"FY"&amp;fiscalyear,"FY"&amp;fiscalyear-1+BudgetsTable[[#This Row],[budg_seq_yr]])</f>
        <v>FY22</v>
      </c>
      <c r="Z82" s="81">
        <v>692277</v>
      </c>
      <c r="AA82" s="80" t="s">
        <v>1124</v>
      </c>
      <c r="AB82" s="80" t="s">
        <v>1125</v>
      </c>
      <c r="AC82" s="108" t="s">
        <v>94</v>
      </c>
      <c r="AD82" s="80"/>
    </row>
    <row r="83" spans="1:30">
      <c r="A83" s="10" t="s">
        <v>1187</v>
      </c>
      <c r="B83" s="78" t="s">
        <v>450</v>
      </c>
      <c r="C83" s="78">
        <f>C82+(BudgetsTable[[#This Row],[lead]]&lt;&gt;K82)</f>
        <v>15</v>
      </c>
      <c r="D83" s="78">
        <f>D82*(BudgetsTable[[#This Row],[lead]]=K82)+(BudgetsTable[[#This Row],[prop_id]]&lt;&gt;A82)</f>
        <v>2</v>
      </c>
      <c r="E83" s="79">
        <v>42800.525000000001</v>
      </c>
      <c r="F83" s="80" t="s">
        <v>1123</v>
      </c>
      <c r="G83" s="80" t="s">
        <v>1124</v>
      </c>
      <c r="H83" s="80" t="s">
        <v>1125</v>
      </c>
      <c r="I83" s="78" t="s">
        <v>596</v>
      </c>
      <c r="J83" s="78" t="s">
        <v>1190</v>
      </c>
      <c r="K83" s="80" t="s">
        <v>647</v>
      </c>
      <c r="L83" s="7" t="str">
        <f>IF(BudgetsTable[[#This Row],[pi_last_name]]=" ","",HYPERLINK("https://www.ejacket.nsf.gov/ej/showProposal.do?Continue=Y&amp;ID="&amp;BudgetsTable[[#This Row],[prop_id]],BudgetsTable[[#This Row],[prop_id]]))</f>
        <v>1739376</v>
      </c>
      <c r="M83" s="15" t="str">
        <f>IF(BudgetsTable[[#This Row],[pi_last_name]]=" ","",HYPERLINK("https://www.ejacket.nsf.gov/ej/processReviewAnalysis.do?dispatch=add&amp;uniqId="&amp;BudgetsTable[[#This Row],[prop_id]]&amp;PO_id,"&gt;ra"))</f>
        <v>&gt;ra</v>
      </c>
      <c r="N83" s="80" t="s">
        <v>1188</v>
      </c>
      <c r="O83" s="7" t="str">
        <f>IF(BudgetsTable[[#This Row],[pi_last_name]]=" ","",HYPERLINK("mailto:"&amp;BudgetsTable[[#This Row],[pi_email]]&amp;"&amp;subject=Your NSF Proposal:  "&amp;BudgetsTable[[#This Row],[prop_id]],BudgetsTable[[#This Row],[pi_email]]))</f>
        <v>tomlin@eecs.berkeley.edu</v>
      </c>
      <c r="P83" s="80" t="s">
        <v>571</v>
      </c>
      <c r="Q83" s="80"/>
      <c r="R83" s="80"/>
      <c r="S83" s="81"/>
      <c r="T83" s="81"/>
      <c r="U83" s="81"/>
      <c r="V83" s="82"/>
      <c r="W83" s="80">
        <v>0</v>
      </c>
      <c r="X83" s="80"/>
      <c r="Y83" s="11" t="str">
        <f ca="1">IF(ISBLANK(BudgetsTable[[#This Row],[budg_seq_yr]]),"FY"&amp;fiscalyear,"FY"&amp;fiscalyear-1+BudgetsTable[[#This Row],[budg_seq_yr]])</f>
        <v>FY18</v>
      </c>
      <c r="Z83" s="81">
        <v>3500000</v>
      </c>
      <c r="AA83" s="80" t="s">
        <v>1124</v>
      </c>
      <c r="AB83" s="80" t="s">
        <v>1125</v>
      </c>
      <c r="AC83" s="108" t="s">
        <v>94</v>
      </c>
      <c r="AD83" s="80"/>
    </row>
    <row r="84" spans="1:30">
      <c r="A84" s="10" t="s">
        <v>1187</v>
      </c>
      <c r="B84" s="78" t="s">
        <v>450</v>
      </c>
      <c r="C84" s="78">
        <f>C83+(BudgetsTable[[#This Row],[lead]]&lt;&gt;K83)</f>
        <v>15</v>
      </c>
      <c r="D84" s="78">
        <f>D83*(BudgetsTable[[#This Row],[lead]]=K83)+(BudgetsTable[[#This Row],[prop_id]]&lt;&gt;A83)</f>
        <v>2</v>
      </c>
      <c r="E84" s="79">
        <v>42800.525000000001</v>
      </c>
      <c r="F84" s="80" t="s">
        <v>1123</v>
      </c>
      <c r="G84" s="80" t="s">
        <v>1124</v>
      </c>
      <c r="H84" s="80" t="s">
        <v>1125</v>
      </c>
      <c r="I84" s="78" t="s">
        <v>596</v>
      </c>
      <c r="J84" s="78" t="s">
        <v>13</v>
      </c>
      <c r="K84" s="80" t="s">
        <v>647</v>
      </c>
      <c r="L84" s="7" t="str">
        <f>IF(BudgetsTable[[#This Row],[pi_last_name]]=" ","",HYPERLINK("https://www.ejacket.nsf.gov/ej/showProposal.do?Continue=Y&amp;ID="&amp;BudgetsTable[[#This Row],[prop_id]],BudgetsTable[[#This Row],[prop_id]]))</f>
        <v/>
      </c>
      <c r="M84" s="15" t="str">
        <f>IF(BudgetsTable[[#This Row],[pi_last_name]]=" ","",HYPERLINK("https://www.ejacket.nsf.gov/ej/processReviewAnalysis.do?dispatch=add&amp;uniqId="&amp;BudgetsTable[[#This Row],[prop_id]]&amp;PO_id,"&gt;ra"))</f>
        <v/>
      </c>
      <c r="N84" s="80" t="s">
        <v>13</v>
      </c>
      <c r="O84" s="7" t="str">
        <f>IF(BudgetsTable[[#This Row],[pi_last_name]]=" ","",HYPERLINK("mailto:"&amp;BudgetsTable[[#This Row],[pi_email]]&amp;"&amp;subject=Your NSF Proposal:  "&amp;BudgetsTable[[#This Row],[prop_id]],BudgetsTable[[#This Row],[pi_email]]))</f>
        <v/>
      </c>
      <c r="P84" s="80" t="s">
        <v>13</v>
      </c>
      <c r="Q84" s="80">
        <v>3</v>
      </c>
      <c r="R84" s="80">
        <v>1.5</v>
      </c>
      <c r="S84" s="81">
        <v>46354</v>
      </c>
      <c r="T84" s="81">
        <v>0</v>
      </c>
      <c r="U84" s="81">
        <v>25000</v>
      </c>
      <c r="V84" s="82">
        <v>700000</v>
      </c>
      <c r="W84" s="80">
        <v>0</v>
      </c>
      <c r="X84" s="80">
        <v>1</v>
      </c>
      <c r="Y84" s="11" t="str">
        <f ca="1">IF(ISBLANK(BudgetsTable[[#This Row],[budg_seq_yr]]),"FY"&amp;fiscalyear,"FY"&amp;fiscalyear-1+BudgetsTable[[#This Row],[budg_seq_yr]])</f>
        <v>FY18</v>
      </c>
      <c r="Z84" s="81">
        <v>700000</v>
      </c>
      <c r="AA84" s="80" t="s">
        <v>1124</v>
      </c>
      <c r="AB84" s="80" t="s">
        <v>1125</v>
      </c>
      <c r="AC84" s="108" t="s">
        <v>94</v>
      </c>
      <c r="AD84" s="80"/>
    </row>
    <row r="85" spans="1:30">
      <c r="A85" s="10" t="s">
        <v>1187</v>
      </c>
      <c r="B85" s="78" t="s">
        <v>450</v>
      </c>
      <c r="C85" s="78">
        <f>C84+(BudgetsTable[[#This Row],[lead]]&lt;&gt;K84)</f>
        <v>15</v>
      </c>
      <c r="D85" s="78">
        <f>D84*(BudgetsTable[[#This Row],[lead]]=K84)+(BudgetsTable[[#This Row],[prop_id]]&lt;&gt;A84)</f>
        <v>2</v>
      </c>
      <c r="E85" s="79">
        <v>42800.525000000001</v>
      </c>
      <c r="F85" s="80" t="s">
        <v>1123</v>
      </c>
      <c r="G85" s="80" t="s">
        <v>1124</v>
      </c>
      <c r="H85" s="80" t="s">
        <v>1125</v>
      </c>
      <c r="I85" s="78" t="s">
        <v>596</v>
      </c>
      <c r="J85" s="78" t="s">
        <v>13</v>
      </c>
      <c r="K85" s="80" t="s">
        <v>647</v>
      </c>
      <c r="L85" s="7" t="str">
        <f>IF(BudgetsTable[[#This Row],[pi_last_name]]=" ","",HYPERLINK("https://www.ejacket.nsf.gov/ej/showProposal.do?Continue=Y&amp;ID="&amp;BudgetsTable[[#This Row],[prop_id]],BudgetsTable[[#This Row],[prop_id]]))</f>
        <v/>
      </c>
      <c r="M85" s="15" t="str">
        <f>IF(BudgetsTable[[#This Row],[pi_last_name]]=" ","",HYPERLINK("https://www.ejacket.nsf.gov/ej/processReviewAnalysis.do?dispatch=add&amp;uniqId="&amp;BudgetsTable[[#This Row],[prop_id]]&amp;PO_id,"&gt;ra"))</f>
        <v/>
      </c>
      <c r="N85" s="80" t="s">
        <v>13</v>
      </c>
      <c r="O85" s="7" t="str">
        <f>IF(BudgetsTable[[#This Row],[pi_last_name]]=" ","",HYPERLINK("mailto:"&amp;BudgetsTable[[#This Row],[pi_email]]&amp;"&amp;subject=Your NSF Proposal:  "&amp;BudgetsTable[[#This Row],[prop_id]],BudgetsTable[[#This Row],[pi_email]]))</f>
        <v/>
      </c>
      <c r="P85" s="80" t="s">
        <v>13</v>
      </c>
      <c r="Q85" s="80">
        <v>3</v>
      </c>
      <c r="R85" s="80">
        <v>1.5</v>
      </c>
      <c r="S85" s="81">
        <v>46817</v>
      </c>
      <c r="T85" s="81">
        <v>0</v>
      </c>
      <c r="U85" s="81">
        <v>25000</v>
      </c>
      <c r="V85" s="82">
        <v>700000</v>
      </c>
      <c r="W85" s="80">
        <v>0</v>
      </c>
      <c r="X85" s="80">
        <v>2</v>
      </c>
      <c r="Y85" s="11" t="str">
        <f ca="1">IF(ISBLANK(BudgetsTable[[#This Row],[budg_seq_yr]]),"FY"&amp;fiscalyear,"FY"&amp;fiscalyear-1+BudgetsTable[[#This Row],[budg_seq_yr]])</f>
        <v>FY19</v>
      </c>
      <c r="Z85" s="81">
        <v>700000</v>
      </c>
      <c r="AA85" s="80" t="s">
        <v>1124</v>
      </c>
      <c r="AB85" s="80" t="s">
        <v>1125</v>
      </c>
      <c r="AC85" s="108" t="s">
        <v>94</v>
      </c>
      <c r="AD85" s="80"/>
    </row>
    <row r="86" spans="1:30">
      <c r="A86" s="10" t="s">
        <v>1187</v>
      </c>
      <c r="B86" s="78" t="s">
        <v>450</v>
      </c>
      <c r="C86" s="78">
        <f>C85+(BudgetsTable[[#This Row],[lead]]&lt;&gt;K85)</f>
        <v>15</v>
      </c>
      <c r="D86" s="78">
        <f>D85*(BudgetsTable[[#This Row],[lead]]=K85)+(BudgetsTable[[#This Row],[prop_id]]&lt;&gt;A85)</f>
        <v>2</v>
      </c>
      <c r="E86" s="79">
        <v>42800.525000000001</v>
      </c>
      <c r="F86" s="80" t="s">
        <v>1123</v>
      </c>
      <c r="G86" s="80" t="s">
        <v>1124</v>
      </c>
      <c r="H86" s="80" t="s">
        <v>1125</v>
      </c>
      <c r="I86" s="78" t="s">
        <v>596</v>
      </c>
      <c r="J86" s="78" t="s">
        <v>13</v>
      </c>
      <c r="K86" s="80" t="s">
        <v>647</v>
      </c>
      <c r="L86" s="7" t="str">
        <f>IF(BudgetsTable[[#This Row],[pi_last_name]]=" ","",HYPERLINK("https://www.ejacket.nsf.gov/ej/showProposal.do?Continue=Y&amp;ID="&amp;BudgetsTable[[#This Row],[prop_id]],BudgetsTable[[#This Row],[prop_id]]))</f>
        <v/>
      </c>
      <c r="M86" s="15" t="str">
        <f>IF(BudgetsTable[[#This Row],[pi_last_name]]=" ","",HYPERLINK("https://www.ejacket.nsf.gov/ej/processReviewAnalysis.do?dispatch=add&amp;uniqId="&amp;BudgetsTable[[#This Row],[prop_id]]&amp;PO_id,"&gt;ra"))</f>
        <v/>
      </c>
      <c r="N86" s="80" t="s">
        <v>13</v>
      </c>
      <c r="O86" s="7" t="str">
        <f>IF(BudgetsTable[[#This Row],[pi_last_name]]=" ","",HYPERLINK("mailto:"&amp;BudgetsTable[[#This Row],[pi_email]]&amp;"&amp;subject=Your NSF Proposal:  "&amp;BudgetsTable[[#This Row],[prop_id]],BudgetsTable[[#This Row],[pi_email]]))</f>
        <v/>
      </c>
      <c r="P86" s="80" t="s">
        <v>13</v>
      </c>
      <c r="Q86" s="80">
        <v>3</v>
      </c>
      <c r="R86" s="80">
        <v>1.5</v>
      </c>
      <c r="S86" s="81">
        <v>47285</v>
      </c>
      <c r="T86" s="81">
        <v>0</v>
      </c>
      <c r="U86" s="81">
        <v>25000</v>
      </c>
      <c r="V86" s="82">
        <v>700000</v>
      </c>
      <c r="W86" s="80">
        <v>0</v>
      </c>
      <c r="X86" s="80">
        <v>3</v>
      </c>
      <c r="Y86" s="11" t="str">
        <f ca="1">IF(ISBLANK(BudgetsTable[[#This Row],[budg_seq_yr]]),"FY"&amp;fiscalyear,"FY"&amp;fiscalyear-1+BudgetsTable[[#This Row],[budg_seq_yr]])</f>
        <v>FY20</v>
      </c>
      <c r="Z86" s="81">
        <v>700000</v>
      </c>
      <c r="AA86" s="80" t="s">
        <v>1124</v>
      </c>
      <c r="AB86" s="80" t="s">
        <v>1125</v>
      </c>
      <c r="AC86" s="108" t="s">
        <v>94</v>
      </c>
      <c r="AD86" s="80"/>
    </row>
    <row r="87" spans="1:30">
      <c r="A87" s="10" t="s">
        <v>1187</v>
      </c>
      <c r="B87" s="78" t="s">
        <v>450</v>
      </c>
      <c r="C87" s="78">
        <f>C86+(BudgetsTable[[#This Row],[lead]]&lt;&gt;K86)</f>
        <v>15</v>
      </c>
      <c r="D87" s="78">
        <f>D86*(BudgetsTable[[#This Row],[lead]]=K86)+(BudgetsTable[[#This Row],[prop_id]]&lt;&gt;A86)</f>
        <v>2</v>
      </c>
      <c r="E87" s="79">
        <v>42800.525000000001</v>
      </c>
      <c r="F87" s="80" t="s">
        <v>1123</v>
      </c>
      <c r="G87" s="80" t="s">
        <v>1124</v>
      </c>
      <c r="H87" s="80" t="s">
        <v>1125</v>
      </c>
      <c r="I87" s="78" t="s">
        <v>596</v>
      </c>
      <c r="J87" s="78" t="s">
        <v>13</v>
      </c>
      <c r="K87" s="80" t="s">
        <v>647</v>
      </c>
      <c r="L87" s="7" t="str">
        <f>IF(BudgetsTable[[#This Row],[pi_last_name]]=" ","",HYPERLINK("https://www.ejacket.nsf.gov/ej/showProposal.do?Continue=Y&amp;ID="&amp;BudgetsTable[[#This Row],[prop_id]],BudgetsTable[[#This Row],[prop_id]]))</f>
        <v/>
      </c>
      <c r="M87" s="15" t="str">
        <f>IF(BudgetsTable[[#This Row],[pi_last_name]]=" ","",HYPERLINK("https://www.ejacket.nsf.gov/ej/processReviewAnalysis.do?dispatch=add&amp;uniqId="&amp;BudgetsTable[[#This Row],[prop_id]]&amp;PO_id,"&gt;ra"))</f>
        <v/>
      </c>
      <c r="N87" s="80" t="s">
        <v>13</v>
      </c>
      <c r="O87" s="7" t="str">
        <f>IF(BudgetsTable[[#This Row],[pi_last_name]]=" ","",HYPERLINK("mailto:"&amp;BudgetsTable[[#This Row],[pi_email]]&amp;"&amp;subject=Your NSF Proposal:  "&amp;BudgetsTable[[#This Row],[prop_id]],BudgetsTable[[#This Row],[pi_email]]))</f>
        <v/>
      </c>
      <c r="P87" s="80" t="s">
        <v>13</v>
      </c>
      <c r="Q87" s="80">
        <v>3</v>
      </c>
      <c r="R87" s="80">
        <v>1.5</v>
      </c>
      <c r="S87" s="81">
        <v>47758</v>
      </c>
      <c r="T87" s="81">
        <v>0</v>
      </c>
      <c r="U87" s="81">
        <v>25000</v>
      </c>
      <c r="V87" s="82">
        <v>700000</v>
      </c>
      <c r="W87" s="80">
        <v>0</v>
      </c>
      <c r="X87" s="80">
        <v>4</v>
      </c>
      <c r="Y87" s="11" t="str">
        <f ca="1">IF(ISBLANK(BudgetsTable[[#This Row],[budg_seq_yr]]),"FY"&amp;fiscalyear,"FY"&amp;fiscalyear-1+BudgetsTable[[#This Row],[budg_seq_yr]])</f>
        <v>FY21</v>
      </c>
      <c r="Z87" s="81">
        <v>700000</v>
      </c>
      <c r="AA87" s="80" t="s">
        <v>1124</v>
      </c>
      <c r="AB87" s="80" t="s">
        <v>1125</v>
      </c>
      <c r="AC87" s="108" t="s">
        <v>94</v>
      </c>
      <c r="AD87" s="80"/>
    </row>
    <row r="88" spans="1:30">
      <c r="A88" s="10" t="s">
        <v>1187</v>
      </c>
      <c r="B88" s="78" t="s">
        <v>450</v>
      </c>
      <c r="C88" s="78">
        <f>C87+(BudgetsTable[[#This Row],[lead]]&lt;&gt;K87)</f>
        <v>15</v>
      </c>
      <c r="D88" s="78">
        <f>D87*(BudgetsTable[[#This Row],[lead]]=K87)+(BudgetsTable[[#This Row],[prop_id]]&lt;&gt;A87)</f>
        <v>2</v>
      </c>
      <c r="E88" s="79">
        <v>42800.525000000001</v>
      </c>
      <c r="F88" s="80" t="s">
        <v>1123</v>
      </c>
      <c r="G88" s="80" t="s">
        <v>1124</v>
      </c>
      <c r="H88" s="80" t="s">
        <v>1125</v>
      </c>
      <c r="I88" s="78" t="s">
        <v>596</v>
      </c>
      <c r="J88" s="78" t="s">
        <v>13</v>
      </c>
      <c r="K88" s="80" t="s">
        <v>647</v>
      </c>
      <c r="L88" s="7" t="str">
        <f>IF(BudgetsTable[[#This Row],[pi_last_name]]=" ","",HYPERLINK("https://www.ejacket.nsf.gov/ej/showProposal.do?Continue=Y&amp;ID="&amp;BudgetsTable[[#This Row],[prop_id]],BudgetsTable[[#This Row],[prop_id]]))</f>
        <v/>
      </c>
      <c r="M88" s="15" t="str">
        <f>IF(BudgetsTable[[#This Row],[pi_last_name]]=" ","",HYPERLINK("https://www.ejacket.nsf.gov/ej/processReviewAnalysis.do?dispatch=add&amp;uniqId="&amp;BudgetsTable[[#This Row],[prop_id]]&amp;PO_id,"&gt;ra"))</f>
        <v/>
      </c>
      <c r="N88" s="80" t="s">
        <v>13</v>
      </c>
      <c r="O88" s="7" t="str">
        <f>IF(BudgetsTable[[#This Row],[pi_last_name]]=" ","",HYPERLINK("mailto:"&amp;BudgetsTable[[#This Row],[pi_email]]&amp;"&amp;subject=Your NSF Proposal:  "&amp;BudgetsTable[[#This Row],[prop_id]],BudgetsTable[[#This Row],[pi_email]]))</f>
        <v/>
      </c>
      <c r="P88" s="80" t="s">
        <v>13</v>
      </c>
      <c r="Q88" s="80">
        <v>3</v>
      </c>
      <c r="R88" s="80">
        <v>1.5</v>
      </c>
      <c r="S88" s="81">
        <v>48236</v>
      </c>
      <c r="T88" s="81">
        <v>0</v>
      </c>
      <c r="U88" s="81">
        <v>25000</v>
      </c>
      <c r="V88" s="82">
        <v>700000</v>
      </c>
      <c r="W88" s="80">
        <v>0</v>
      </c>
      <c r="X88" s="80">
        <v>5</v>
      </c>
      <c r="Y88" s="11" t="str">
        <f ca="1">IF(ISBLANK(BudgetsTable[[#This Row],[budg_seq_yr]]),"FY"&amp;fiscalyear,"FY"&amp;fiscalyear-1+BudgetsTable[[#This Row],[budg_seq_yr]])</f>
        <v>FY22</v>
      </c>
      <c r="Z88" s="81">
        <v>700000</v>
      </c>
      <c r="AA88" s="80" t="s">
        <v>1124</v>
      </c>
      <c r="AB88" s="80" t="s">
        <v>1125</v>
      </c>
      <c r="AC88" s="108" t="s">
        <v>94</v>
      </c>
      <c r="AD88" s="80"/>
    </row>
    <row r="89" spans="1:30">
      <c r="A89" s="10" t="s">
        <v>658</v>
      </c>
      <c r="B89" s="78" t="s">
        <v>463</v>
      </c>
      <c r="C89" s="78">
        <f>C88+(BudgetsTable[[#This Row],[lead]]&lt;&gt;K88)</f>
        <v>16</v>
      </c>
      <c r="D89" s="78">
        <f>D88*(BudgetsTable[[#This Row],[lead]]=K88)+(BudgetsTable[[#This Row],[prop_id]]&lt;&gt;A88)</f>
        <v>1</v>
      </c>
      <c r="E89" s="79">
        <v>42800.671527777777</v>
      </c>
      <c r="F89" s="80" t="s">
        <v>1123</v>
      </c>
      <c r="G89" s="80" t="s">
        <v>1124</v>
      </c>
      <c r="H89" s="80" t="s">
        <v>1125</v>
      </c>
      <c r="I89" s="78" t="s">
        <v>596</v>
      </c>
      <c r="J89" s="78" t="s">
        <v>1194</v>
      </c>
      <c r="K89" s="80" t="s">
        <v>658</v>
      </c>
      <c r="L89" s="7" t="str">
        <f>IF(BudgetsTable[[#This Row],[pi_last_name]]=" ","",HYPERLINK("https://www.ejacket.nsf.gov/ej/showProposal.do?Continue=Y&amp;ID="&amp;BudgetsTable[[#This Row],[prop_id]],BudgetsTable[[#This Row],[prop_id]]))</f>
        <v>1739782</v>
      </c>
      <c r="M89" s="15" t="str">
        <f>IF(BudgetsTable[[#This Row],[pi_last_name]]=" ","",HYPERLINK("https://www.ejacket.nsf.gov/ej/processReviewAnalysis.do?dispatch=add&amp;uniqId="&amp;BudgetsTable[[#This Row],[prop_id]]&amp;PO_id,"&gt;ra"))</f>
        <v>&gt;ra</v>
      </c>
      <c r="N89" s="80" t="s">
        <v>659</v>
      </c>
      <c r="O89" s="7" t="str">
        <f>IF(BudgetsTable[[#This Row],[pi_last_name]]=" ","",HYPERLINK("mailto:"&amp;BudgetsTable[[#This Row],[pi_email]]&amp;"&amp;subject=Your NSF Proposal:  "&amp;BudgetsTable[[#This Row],[prop_id]],BudgetsTable[[#This Row],[pi_email]]))</f>
        <v>ian@ece.gatech.edu</v>
      </c>
      <c r="P89" s="80" t="s">
        <v>459</v>
      </c>
      <c r="Q89" s="80"/>
      <c r="R89" s="80"/>
      <c r="S89" s="81"/>
      <c r="T89" s="81"/>
      <c r="U89" s="81"/>
      <c r="V89" s="82"/>
      <c r="W89" s="80">
        <v>0</v>
      </c>
      <c r="X89" s="80"/>
      <c r="Y89" s="11" t="str">
        <f ca="1">IF(ISBLANK(BudgetsTable[[#This Row],[budg_seq_yr]]),"FY"&amp;fiscalyear,"FY"&amp;fiscalyear-1+BudgetsTable[[#This Row],[budg_seq_yr]])</f>
        <v>FY18</v>
      </c>
      <c r="Z89" s="81">
        <v>3883266</v>
      </c>
      <c r="AA89" s="80" t="s">
        <v>1124</v>
      </c>
      <c r="AB89" s="80" t="s">
        <v>1125</v>
      </c>
      <c r="AC89" s="108" t="s">
        <v>94</v>
      </c>
      <c r="AD89" s="80"/>
    </row>
    <row r="90" spans="1:30">
      <c r="A90" s="10" t="s">
        <v>658</v>
      </c>
      <c r="B90" s="78" t="s">
        <v>463</v>
      </c>
      <c r="C90" s="78">
        <f>C89+(BudgetsTable[[#This Row],[lead]]&lt;&gt;K89)</f>
        <v>16</v>
      </c>
      <c r="D90" s="78">
        <f>D89*(BudgetsTable[[#This Row],[lead]]=K89)+(BudgetsTable[[#This Row],[prop_id]]&lt;&gt;A89)</f>
        <v>1</v>
      </c>
      <c r="E90" s="79">
        <v>42800.671527777777</v>
      </c>
      <c r="F90" s="80" t="s">
        <v>1123</v>
      </c>
      <c r="G90" s="80" t="s">
        <v>1124</v>
      </c>
      <c r="H90" s="80" t="s">
        <v>1125</v>
      </c>
      <c r="I90" s="78" t="s">
        <v>596</v>
      </c>
      <c r="J90" s="78" t="s">
        <v>13</v>
      </c>
      <c r="K90" s="80" t="s">
        <v>658</v>
      </c>
      <c r="L90" s="7" t="str">
        <f>IF(BudgetsTable[[#This Row],[pi_last_name]]=" ","",HYPERLINK("https://www.ejacket.nsf.gov/ej/showProposal.do?Continue=Y&amp;ID="&amp;BudgetsTable[[#This Row],[prop_id]],BudgetsTable[[#This Row],[prop_id]]))</f>
        <v/>
      </c>
      <c r="M90" s="15" t="str">
        <f>IF(BudgetsTable[[#This Row],[pi_last_name]]=" ","",HYPERLINK("https://www.ejacket.nsf.gov/ej/processReviewAnalysis.do?dispatch=add&amp;uniqId="&amp;BudgetsTable[[#This Row],[prop_id]]&amp;PO_id,"&gt;ra"))</f>
        <v/>
      </c>
      <c r="N90" s="80" t="s">
        <v>13</v>
      </c>
      <c r="O90" s="7" t="str">
        <f>IF(BudgetsTable[[#This Row],[pi_last_name]]=" ","",HYPERLINK("mailto:"&amp;BudgetsTable[[#This Row],[pi_email]]&amp;"&amp;subject=Your NSF Proposal:  "&amp;BudgetsTable[[#This Row],[prop_id]],BudgetsTable[[#This Row],[pi_email]]))</f>
        <v/>
      </c>
      <c r="P90" s="80" t="s">
        <v>13</v>
      </c>
      <c r="Q90" s="80">
        <v>3</v>
      </c>
      <c r="R90" s="80">
        <v>4</v>
      </c>
      <c r="S90" s="81">
        <v>110000</v>
      </c>
      <c r="T90" s="81">
        <v>2000</v>
      </c>
      <c r="U90" s="81">
        <v>0</v>
      </c>
      <c r="V90" s="82">
        <v>937633</v>
      </c>
      <c r="W90" s="80">
        <v>0</v>
      </c>
      <c r="X90" s="80">
        <v>1</v>
      </c>
      <c r="Y90" s="11" t="str">
        <f ca="1">IF(ISBLANK(BudgetsTable[[#This Row],[budg_seq_yr]]),"FY"&amp;fiscalyear,"FY"&amp;fiscalyear-1+BudgetsTable[[#This Row],[budg_seq_yr]])</f>
        <v>FY18</v>
      </c>
      <c r="Z90" s="81">
        <v>937633</v>
      </c>
      <c r="AA90" s="80" t="s">
        <v>1124</v>
      </c>
      <c r="AB90" s="80" t="s">
        <v>1125</v>
      </c>
      <c r="AC90" s="108" t="s">
        <v>94</v>
      </c>
      <c r="AD90" s="80"/>
    </row>
    <row r="91" spans="1:30">
      <c r="A91" s="10" t="s">
        <v>658</v>
      </c>
      <c r="B91" s="78" t="s">
        <v>463</v>
      </c>
      <c r="C91" s="78">
        <f>C90+(BudgetsTable[[#This Row],[lead]]&lt;&gt;K90)</f>
        <v>16</v>
      </c>
      <c r="D91" s="78">
        <f>D90*(BudgetsTable[[#This Row],[lead]]=K90)+(BudgetsTable[[#This Row],[prop_id]]&lt;&gt;A90)</f>
        <v>1</v>
      </c>
      <c r="E91" s="79">
        <v>42800.671527777777</v>
      </c>
      <c r="F91" s="80" t="s">
        <v>1123</v>
      </c>
      <c r="G91" s="80" t="s">
        <v>1124</v>
      </c>
      <c r="H91" s="80" t="s">
        <v>1125</v>
      </c>
      <c r="I91" s="78" t="s">
        <v>596</v>
      </c>
      <c r="J91" s="78" t="s">
        <v>13</v>
      </c>
      <c r="K91" s="80" t="s">
        <v>658</v>
      </c>
      <c r="L91" s="7" t="str">
        <f>IF(BudgetsTable[[#This Row],[pi_last_name]]=" ","",HYPERLINK("https://www.ejacket.nsf.gov/ej/showProposal.do?Continue=Y&amp;ID="&amp;BudgetsTable[[#This Row],[prop_id]],BudgetsTable[[#This Row],[prop_id]]))</f>
        <v/>
      </c>
      <c r="M91" s="15" t="str">
        <f>IF(BudgetsTable[[#This Row],[pi_last_name]]=" ","",HYPERLINK("https://www.ejacket.nsf.gov/ej/processReviewAnalysis.do?dispatch=add&amp;uniqId="&amp;BudgetsTable[[#This Row],[prop_id]]&amp;PO_id,"&gt;ra"))</f>
        <v/>
      </c>
      <c r="N91" s="80" t="s">
        <v>13</v>
      </c>
      <c r="O91" s="7" t="str">
        <f>IF(BudgetsTable[[#This Row],[pi_last_name]]=" ","",HYPERLINK("mailto:"&amp;BudgetsTable[[#This Row],[pi_email]]&amp;"&amp;subject=Your NSF Proposal:  "&amp;BudgetsTable[[#This Row],[prop_id]],BudgetsTable[[#This Row],[pi_email]]))</f>
        <v/>
      </c>
      <c r="P91" s="80" t="s">
        <v>13</v>
      </c>
      <c r="Q91" s="80">
        <v>3</v>
      </c>
      <c r="R91" s="80">
        <v>4</v>
      </c>
      <c r="S91" s="81">
        <v>113300</v>
      </c>
      <c r="T91" s="81">
        <v>2000</v>
      </c>
      <c r="U91" s="81">
        <v>0</v>
      </c>
      <c r="V91" s="82">
        <v>714649</v>
      </c>
      <c r="W91" s="80">
        <v>0</v>
      </c>
      <c r="X91" s="80">
        <v>2</v>
      </c>
      <c r="Y91" s="11" t="str">
        <f ca="1">IF(ISBLANK(BudgetsTable[[#This Row],[budg_seq_yr]]),"FY"&amp;fiscalyear,"FY"&amp;fiscalyear-1+BudgetsTable[[#This Row],[budg_seq_yr]])</f>
        <v>FY19</v>
      </c>
      <c r="Z91" s="81">
        <v>714649</v>
      </c>
      <c r="AA91" s="80" t="s">
        <v>1124</v>
      </c>
      <c r="AB91" s="80" t="s">
        <v>1125</v>
      </c>
      <c r="AC91" s="108" t="s">
        <v>94</v>
      </c>
      <c r="AD91" s="80"/>
    </row>
    <row r="92" spans="1:30">
      <c r="A92" s="10" t="s">
        <v>658</v>
      </c>
      <c r="B92" s="78" t="s">
        <v>463</v>
      </c>
      <c r="C92" s="78">
        <f>C91+(BudgetsTable[[#This Row],[lead]]&lt;&gt;K91)</f>
        <v>16</v>
      </c>
      <c r="D92" s="78">
        <f>D91*(BudgetsTable[[#This Row],[lead]]=K91)+(BudgetsTable[[#This Row],[prop_id]]&lt;&gt;A91)</f>
        <v>1</v>
      </c>
      <c r="E92" s="79">
        <v>42800.671527777777</v>
      </c>
      <c r="F92" s="80" t="s">
        <v>1123</v>
      </c>
      <c r="G92" s="80" t="s">
        <v>1124</v>
      </c>
      <c r="H92" s="80" t="s">
        <v>1125</v>
      </c>
      <c r="I92" s="78" t="s">
        <v>596</v>
      </c>
      <c r="J92" s="78" t="s">
        <v>13</v>
      </c>
      <c r="K92" s="80" t="s">
        <v>658</v>
      </c>
      <c r="L92" s="7" t="str">
        <f>IF(BudgetsTable[[#This Row],[pi_last_name]]=" ","",HYPERLINK("https://www.ejacket.nsf.gov/ej/showProposal.do?Continue=Y&amp;ID="&amp;BudgetsTable[[#This Row],[prop_id]],BudgetsTable[[#This Row],[prop_id]]))</f>
        <v/>
      </c>
      <c r="M92" s="15" t="str">
        <f>IF(BudgetsTable[[#This Row],[pi_last_name]]=" ","",HYPERLINK("https://www.ejacket.nsf.gov/ej/processReviewAnalysis.do?dispatch=add&amp;uniqId="&amp;BudgetsTable[[#This Row],[prop_id]]&amp;PO_id,"&gt;ra"))</f>
        <v/>
      </c>
      <c r="N92" s="80" t="s">
        <v>13</v>
      </c>
      <c r="O92" s="7" t="str">
        <f>IF(BudgetsTable[[#This Row],[pi_last_name]]=" ","",HYPERLINK("mailto:"&amp;BudgetsTable[[#This Row],[pi_email]]&amp;"&amp;subject=Your NSF Proposal:  "&amp;BudgetsTable[[#This Row],[prop_id]],BudgetsTable[[#This Row],[pi_email]]))</f>
        <v/>
      </c>
      <c r="P92" s="80" t="s">
        <v>13</v>
      </c>
      <c r="Q92" s="80">
        <v>3</v>
      </c>
      <c r="R92" s="80">
        <v>4</v>
      </c>
      <c r="S92" s="81">
        <v>116699</v>
      </c>
      <c r="T92" s="81">
        <v>2000</v>
      </c>
      <c r="U92" s="81">
        <v>0</v>
      </c>
      <c r="V92" s="82">
        <v>728828</v>
      </c>
      <c r="W92" s="80">
        <v>0</v>
      </c>
      <c r="X92" s="80">
        <v>3</v>
      </c>
      <c r="Y92" s="11" t="str">
        <f ca="1">IF(ISBLANK(BudgetsTable[[#This Row],[budg_seq_yr]]),"FY"&amp;fiscalyear,"FY"&amp;fiscalyear-1+BudgetsTable[[#This Row],[budg_seq_yr]])</f>
        <v>FY20</v>
      </c>
      <c r="Z92" s="81">
        <v>728828</v>
      </c>
      <c r="AA92" s="80" t="s">
        <v>1124</v>
      </c>
      <c r="AB92" s="80" t="s">
        <v>1125</v>
      </c>
      <c r="AC92" s="108" t="s">
        <v>94</v>
      </c>
      <c r="AD92" s="80"/>
    </row>
    <row r="93" spans="1:30">
      <c r="A93" s="10" t="s">
        <v>658</v>
      </c>
      <c r="B93" s="78" t="s">
        <v>463</v>
      </c>
      <c r="C93" s="78">
        <f>C92+(BudgetsTable[[#This Row],[lead]]&lt;&gt;K92)</f>
        <v>16</v>
      </c>
      <c r="D93" s="78">
        <f>D92*(BudgetsTable[[#This Row],[lead]]=K92)+(BudgetsTable[[#This Row],[prop_id]]&lt;&gt;A92)</f>
        <v>1</v>
      </c>
      <c r="E93" s="79">
        <v>42800.671527777777</v>
      </c>
      <c r="F93" s="80" t="s">
        <v>1123</v>
      </c>
      <c r="G93" s="80" t="s">
        <v>1124</v>
      </c>
      <c r="H93" s="80" t="s">
        <v>1125</v>
      </c>
      <c r="I93" s="78" t="s">
        <v>596</v>
      </c>
      <c r="J93" s="78" t="s">
        <v>13</v>
      </c>
      <c r="K93" s="80" t="s">
        <v>658</v>
      </c>
      <c r="L93" s="7" t="str">
        <f>IF(BudgetsTable[[#This Row],[pi_last_name]]=" ","",HYPERLINK("https://www.ejacket.nsf.gov/ej/showProposal.do?Continue=Y&amp;ID="&amp;BudgetsTable[[#This Row],[prop_id]],BudgetsTable[[#This Row],[prop_id]]))</f>
        <v/>
      </c>
      <c r="M93" s="15" t="str">
        <f>IF(BudgetsTable[[#This Row],[pi_last_name]]=" ","",HYPERLINK("https://www.ejacket.nsf.gov/ej/processReviewAnalysis.do?dispatch=add&amp;uniqId="&amp;BudgetsTable[[#This Row],[prop_id]]&amp;PO_id,"&gt;ra"))</f>
        <v/>
      </c>
      <c r="N93" s="80" t="s">
        <v>13</v>
      </c>
      <c r="O93" s="7" t="str">
        <f>IF(BudgetsTable[[#This Row],[pi_last_name]]=" ","",HYPERLINK("mailto:"&amp;BudgetsTable[[#This Row],[pi_email]]&amp;"&amp;subject=Your NSF Proposal:  "&amp;BudgetsTable[[#This Row],[prop_id]],BudgetsTable[[#This Row],[pi_email]]))</f>
        <v/>
      </c>
      <c r="P93" s="80" t="s">
        <v>13</v>
      </c>
      <c r="Q93" s="80">
        <v>3</v>
      </c>
      <c r="R93" s="80">
        <v>4</v>
      </c>
      <c r="S93" s="81">
        <v>120200</v>
      </c>
      <c r="T93" s="81">
        <v>2000</v>
      </c>
      <c r="U93" s="81">
        <v>0</v>
      </c>
      <c r="V93" s="82">
        <v>743492</v>
      </c>
      <c r="W93" s="80">
        <v>0</v>
      </c>
      <c r="X93" s="80">
        <v>4</v>
      </c>
      <c r="Y93" s="11" t="str">
        <f ca="1">IF(ISBLANK(BudgetsTable[[#This Row],[budg_seq_yr]]),"FY"&amp;fiscalyear,"FY"&amp;fiscalyear-1+BudgetsTable[[#This Row],[budg_seq_yr]])</f>
        <v>FY21</v>
      </c>
      <c r="Z93" s="81">
        <v>743492</v>
      </c>
      <c r="AA93" s="80" t="s">
        <v>1124</v>
      </c>
      <c r="AB93" s="80" t="s">
        <v>1125</v>
      </c>
      <c r="AC93" s="108" t="s">
        <v>94</v>
      </c>
      <c r="AD93" s="80"/>
    </row>
    <row r="94" spans="1:30">
      <c r="A94" s="10" t="s">
        <v>658</v>
      </c>
      <c r="B94" s="78" t="s">
        <v>463</v>
      </c>
      <c r="C94" s="78">
        <f>C93+(BudgetsTable[[#This Row],[lead]]&lt;&gt;K93)</f>
        <v>16</v>
      </c>
      <c r="D94" s="78">
        <f>D93*(BudgetsTable[[#This Row],[lead]]=K93)+(BudgetsTable[[#This Row],[prop_id]]&lt;&gt;A93)</f>
        <v>1</v>
      </c>
      <c r="E94" s="79">
        <v>42800.671527777777</v>
      </c>
      <c r="F94" s="80" t="s">
        <v>1123</v>
      </c>
      <c r="G94" s="80" t="s">
        <v>1124</v>
      </c>
      <c r="H94" s="80" t="s">
        <v>1125</v>
      </c>
      <c r="I94" s="78" t="s">
        <v>596</v>
      </c>
      <c r="J94" s="78" t="s">
        <v>13</v>
      </c>
      <c r="K94" s="80" t="s">
        <v>658</v>
      </c>
      <c r="L94" s="7" t="str">
        <f>IF(BudgetsTable[[#This Row],[pi_last_name]]=" ","",HYPERLINK("https://www.ejacket.nsf.gov/ej/showProposal.do?Continue=Y&amp;ID="&amp;BudgetsTable[[#This Row],[prop_id]],BudgetsTable[[#This Row],[prop_id]]))</f>
        <v/>
      </c>
      <c r="M94" s="15" t="str">
        <f>IF(BudgetsTable[[#This Row],[pi_last_name]]=" ","",HYPERLINK("https://www.ejacket.nsf.gov/ej/processReviewAnalysis.do?dispatch=add&amp;uniqId="&amp;BudgetsTable[[#This Row],[prop_id]]&amp;PO_id,"&gt;ra"))</f>
        <v/>
      </c>
      <c r="N94" s="80" t="s">
        <v>13</v>
      </c>
      <c r="O94" s="7" t="str">
        <f>IF(BudgetsTable[[#This Row],[pi_last_name]]=" ","",HYPERLINK("mailto:"&amp;BudgetsTable[[#This Row],[pi_email]]&amp;"&amp;subject=Your NSF Proposal:  "&amp;BudgetsTable[[#This Row],[prop_id]],BudgetsTable[[#This Row],[pi_email]]))</f>
        <v/>
      </c>
      <c r="P94" s="80" t="s">
        <v>13</v>
      </c>
      <c r="Q94" s="80">
        <v>3</v>
      </c>
      <c r="R94" s="80">
        <v>4</v>
      </c>
      <c r="S94" s="81">
        <v>123806</v>
      </c>
      <c r="T94" s="81">
        <v>2000</v>
      </c>
      <c r="U94" s="81">
        <v>0</v>
      </c>
      <c r="V94" s="82">
        <v>758664</v>
      </c>
      <c r="W94" s="80">
        <v>0</v>
      </c>
      <c r="X94" s="80">
        <v>5</v>
      </c>
      <c r="Y94" s="11" t="str">
        <f ca="1">IF(ISBLANK(BudgetsTable[[#This Row],[budg_seq_yr]]),"FY"&amp;fiscalyear,"FY"&amp;fiscalyear-1+BudgetsTable[[#This Row],[budg_seq_yr]])</f>
        <v>FY22</v>
      </c>
      <c r="Z94" s="81">
        <v>758664</v>
      </c>
      <c r="AA94" s="80" t="s">
        <v>1124</v>
      </c>
      <c r="AB94" s="80" t="s">
        <v>1125</v>
      </c>
      <c r="AC94" s="108" t="s">
        <v>94</v>
      </c>
      <c r="AD94" s="80"/>
    </row>
    <row r="95" spans="1:30">
      <c r="A95" s="10" t="s">
        <v>1195</v>
      </c>
      <c r="B95" s="78" t="s">
        <v>450</v>
      </c>
      <c r="C95" s="78">
        <f>C94+(BudgetsTable[[#This Row],[lead]]&lt;&gt;K94)</f>
        <v>16</v>
      </c>
      <c r="D95" s="78">
        <f>D94*(BudgetsTable[[#This Row],[lead]]=K94)+(BudgetsTable[[#This Row],[prop_id]]&lt;&gt;A94)</f>
        <v>2</v>
      </c>
      <c r="E95" s="79">
        <v>42800.681250000001</v>
      </c>
      <c r="F95" s="80" t="s">
        <v>1123</v>
      </c>
      <c r="G95" s="80" t="s">
        <v>1124</v>
      </c>
      <c r="H95" s="80" t="s">
        <v>1125</v>
      </c>
      <c r="I95" s="78" t="s">
        <v>596</v>
      </c>
      <c r="J95" s="78" t="s">
        <v>1200</v>
      </c>
      <c r="K95" s="80" t="s">
        <v>658</v>
      </c>
      <c r="L95" s="7" t="str">
        <f>IF(BudgetsTable[[#This Row],[pi_last_name]]=" ","",HYPERLINK("https://www.ejacket.nsf.gov/ej/showProposal.do?Continue=Y&amp;ID="&amp;BudgetsTable[[#This Row],[prop_id]],BudgetsTable[[#This Row],[prop_id]]))</f>
        <v>1739814</v>
      </c>
      <c r="M95" s="15" t="str">
        <f>IF(BudgetsTable[[#This Row],[pi_last_name]]=" ","",HYPERLINK("https://www.ejacket.nsf.gov/ej/processReviewAnalysis.do?dispatch=add&amp;uniqId="&amp;BudgetsTable[[#This Row],[prop_id]]&amp;PO_id,"&gt;ra"))</f>
        <v>&gt;ra</v>
      </c>
      <c r="N95" s="80" t="s">
        <v>1196</v>
      </c>
      <c r="O95" s="7" t="str">
        <f>IF(BudgetsTable[[#This Row],[pi_last_name]]=" ","",HYPERLINK("mailto:"&amp;BudgetsTable[[#This Row],[pi_email]]&amp;"&amp;subject=Your NSF Proposal:  "&amp;BudgetsTable[[#This Row],[prop_id]],BudgetsTable[[#This Row],[pi_email]]))</f>
        <v>mehmet.a.bilen@emory.edu</v>
      </c>
      <c r="P95" s="80" t="s">
        <v>1198</v>
      </c>
      <c r="Q95" s="80"/>
      <c r="R95" s="80"/>
      <c r="S95" s="81"/>
      <c r="T95" s="81"/>
      <c r="U95" s="81"/>
      <c r="V95" s="82"/>
      <c r="W95" s="80">
        <v>0</v>
      </c>
      <c r="X95" s="80"/>
      <c r="Y95" s="11" t="str">
        <f ca="1">IF(ISBLANK(BudgetsTable[[#This Row],[budg_seq_yr]]),"FY"&amp;fiscalyear,"FY"&amp;fiscalyear-1+BudgetsTable[[#This Row],[budg_seq_yr]])</f>
        <v>FY18</v>
      </c>
      <c r="Z95" s="81">
        <v>3116734</v>
      </c>
      <c r="AA95" s="80" t="s">
        <v>1124</v>
      </c>
      <c r="AB95" s="80" t="s">
        <v>1125</v>
      </c>
      <c r="AC95" s="108" t="s">
        <v>94</v>
      </c>
      <c r="AD95" s="80"/>
    </row>
    <row r="96" spans="1:30">
      <c r="A96" s="10" t="s">
        <v>1195</v>
      </c>
      <c r="B96" s="78" t="s">
        <v>450</v>
      </c>
      <c r="C96" s="78">
        <f>C95+(BudgetsTable[[#This Row],[lead]]&lt;&gt;K95)</f>
        <v>16</v>
      </c>
      <c r="D96" s="78">
        <f>D95*(BudgetsTable[[#This Row],[lead]]=K95)+(BudgetsTable[[#This Row],[prop_id]]&lt;&gt;A95)</f>
        <v>2</v>
      </c>
      <c r="E96" s="79">
        <v>42800.681250000001</v>
      </c>
      <c r="F96" s="80" t="s">
        <v>1123</v>
      </c>
      <c r="G96" s="80" t="s">
        <v>1124</v>
      </c>
      <c r="H96" s="80" t="s">
        <v>1125</v>
      </c>
      <c r="I96" s="78" t="s">
        <v>596</v>
      </c>
      <c r="J96" s="78" t="s">
        <v>13</v>
      </c>
      <c r="K96" s="80" t="s">
        <v>658</v>
      </c>
      <c r="L96" s="7" t="str">
        <f>IF(BudgetsTable[[#This Row],[pi_last_name]]=" ","",HYPERLINK("https://www.ejacket.nsf.gov/ej/showProposal.do?Continue=Y&amp;ID="&amp;BudgetsTable[[#This Row],[prop_id]],BudgetsTable[[#This Row],[prop_id]]))</f>
        <v/>
      </c>
      <c r="M96" s="15" t="str">
        <f>IF(BudgetsTable[[#This Row],[pi_last_name]]=" ","",HYPERLINK("https://www.ejacket.nsf.gov/ej/processReviewAnalysis.do?dispatch=add&amp;uniqId="&amp;BudgetsTable[[#This Row],[prop_id]]&amp;PO_id,"&gt;ra"))</f>
        <v/>
      </c>
      <c r="N96" s="80" t="s">
        <v>13</v>
      </c>
      <c r="O96" s="7" t="str">
        <f>IF(BudgetsTable[[#This Row],[pi_last_name]]=" ","",HYPERLINK("mailto:"&amp;BudgetsTable[[#This Row],[pi_email]]&amp;"&amp;subject=Your NSF Proposal:  "&amp;BudgetsTable[[#This Row],[prop_id]],BudgetsTable[[#This Row],[pi_email]]))</f>
        <v/>
      </c>
      <c r="P96" s="80" t="s">
        <v>13</v>
      </c>
      <c r="Q96" s="80">
        <v>3</v>
      </c>
      <c r="R96" s="80">
        <v>0</v>
      </c>
      <c r="S96" s="81">
        <v>104871</v>
      </c>
      <c r="T96" s="81">
        <v>0</v>
      </c>
      <c r="U96" s="81">
        <v>0</v>
      </c>
      <c r="V96" s="82">
        <v>598029</v>
      </c>
      <c r="W96" s="80">
        <v>0</v>
      </c>
      <c r="X96" s="80">
        <v>1</v>
      </c>
      <c r="Y96" s="11" t="str">
        <f ca="1">IF(ISBLANK(BudgetsTable[[#This Row],[budg_seq_yr]]),"FY"&amp;fiscalyear,"FY"&amp;fiscalyear-1+BudgetsTable[[#This Row],[budg_seq_yr]])</f>
        <v>FY18</v>
      </c>
      <c r="Z96" s="81">
        <v>598029</v>
      </c>
      <c r="AA96" s="80" t="s">
        <v>1124</v>
      </c>
      <c r="AB96" s="80" t="s">
        <v>1125</v>
      </c>
      <c r="AC96" s="108" t="s">
        <v>94</v>
      </c>
      <c r="AD96" s="80"/>
    </row>
    <row r="97" spans="1:30">
      <c r="A97" s="10" t="s">
        <v>1195</v>
      </c>
      <c r="B97" s="78" t="s">
        <v>450</v>
      </c>
      <c r="C97" s="78">
        <f>C96+(BudgetsTable[[#This Row],[lead]]&lt;&gt;K96)</f>
        <v>16</v>
      </c>
      <c r="D97" s="78">
        <f>D96*(BudgetsTable[[#This Row],[lead]]=K96)+(BudgetsTable[[#This Row],[prop_id]]&lt;&gt;A96)</f>
        <v>2</v>
      </c>
      <c r="E97" s="79">
        <v>42800.681250000001</v>
      </c>
      <c r="F97" s="80" t="s">
        <v>1123</v>
      </c>
      <c r="G97" s="80" t="s">
        <v>1124</v>
      </c>
      <c r="H97" s="80" t="s">
        <v>1125</v>
      </c>
      <c r="I97" s="78" t="s">
        <v>596</v>
      </c>
      <c r="J97" s="78" t="s">
        <v>13</v>
      </c>
      <c r="K97" s="80" t="s">
        <v>658</v>
      </c>
      <c r="L97" s="7" t="str">
        <f>IF(BudgetsTable[[#This Row],[pi_last_name]]=" ","",HYPERLINK("https://www.ejacket.nsf.gov/ej/showProposal.do?Continue=Y&amp;ID="&amp;BudgetsTable[[#This Row],[prop_id]],BudgetsTable[[#This Row],[prop_id]]))</f>
        <v/>
      </c>
      <c r="M97" s="15" t="str">
        <f>IF(BudgetsTable[[#This Row],[pi_last_name]]=" ","",HYPERLINK("https://www.ejacket.nsf.gov/ej/processReviewAnalysis.do?dispatch=add&amp;uniqId="&amp;BudgetsTable[[#This Row],[prop_id]]&amp;PO_id,"&gt;ra"))</f>
        <v/>
      </c>
      <c r="N97" s="80" t="s">
        <v>13</v>
      </c>
      <c r="O97" s="7" t="str">
        <f>IF(BudgetsTable[[#This Row],[pi_last_name]]=" ","",HYPERLINK("mailto:"&amp;BudgetsTable[[#This Row],[pi_email]]&amp;"&amp;subject=Your NSF Proposal:  "&amp;BudgetsTable[[#This Row],[prop_id]],BudgetsTable[[#This Row],[pi_email]]))</f>
        <v/>
      </c>
      <c r="P97" s="80" t="s">
        <v>13</v>
      </c>
      <c r="Q97" s="80">
        <v>3</v>
      </c>
      <c r="R97" s="80">
        <v>0</v>
      </c>
      <c r="S97" s="81">
        <v>108018</v>
      </c>
      <c r="T97" s="81">
        <v>0</v>
      </c>
      <c r="U97" s="81">
        <v>0</v>
      </c>
      <c r="V97" s="82">
        <v>609575</v>
      </c>
      <c r="W97" s="80">
        <v>0</v>
      </c>
      <c r="X97" s="80">
        <v>2</v>
      </c>
      <c r="Y97" s="11" t="str">
        <f ca="1">IF(ISBLANK(BudgetsTable[[#This Row],[budg_seq_yr]]),"FY"&amp;fiscalyear,"FY"&amp;fiscalyear-1+BudgetsTable[[#This Row],[budg_seq_yr]])</f>
        <v>FY19</v>
      </c>
      <c r="Z97" s="81">
        <v>609575</v>
      </c>
      <c r="AA97" s="80" t="s">
        <v>1124</v>
      </c>
      <c r="AB97" s="80" t="s">
        <v>1125</v>
      </c>
      <c r="AC97" s="108" t="s">
        <v>94</v>
      </c>
      <c r="AD97" s="80"/>
    </row>
    <row r="98" spans="1:30">
      <c r="A98" s="10" t="s">
        <v>1195</v>
      </c>
      <c r="B98" s="78" t="s">
        <v>450</v>
      </c>
      <c r="C98" s="78">
        <f>C97+(BudgetsTable[[#This Row],[lead]]&lt;&gt;K97)</f>
        <v>16</v>
      </c>
      <c r="D98" s="78">
        <f>D97*(BudgetsTable[[#This Row],[lead]]=K97)+(BudgetsTable[[#This Row],[prop_id]]&lt;&gt;A97)</f>
        <v>2</v>
      </c>
      <c r="E98" s="79">
        <v>42800.681250000001</v>
      </c>
      <c r="F98" s="80" t="s">
        <v>1123</v>
      </c>
      <c r="G98" s="80" t="s">
        <v>1124</v>
      </c>
      <c r="H98" s="80" t="s">
        <v>1125</v>
      </c>
      <c r="I98" s="78" t="s">
        <v>596</v>
      </c>
      <c r="J98" s="78" t="s">
        <v>13</v>
      </c>
      <c r="K98" s="80" t="s">
        <v>658</v>
      </c>
      <c r="L98" s="7" t="str">
        <f>IF(BudgetsTable[[#This Row],[pi_last_name]]=" ","",HYPERLINK("https://www.ejacket.nsf.gov/ej/showProposal.do?Continue=Y&amp;ID="&amp;BudgetsTable[[#This Row],[prop_id]],BudgetsTable[[#This Row],[prop_id]]))</f>
        <v/>
      </c>
      <c r="M98" s="15" t="str">
        <f>IF(BudgetsTable[[#This Row],[pi_last_name]]=" ","",HYPERLINK("https://www.ejacket.nsf.gov/ej/processReviewAnalysis.do?dispatch=add&amp;uniqId="&amp;BudgetsTable[[#This Row],[prop_id]]&amp;PO_id,"&gt;ra"))</f>
        <v/>
      </c>
      <c r="N98" s="80" t="s">
        <v>13</v>
      </c>
      <c r="O98" s="7" t="str">
        <f>IF(BudgetsTable[[#This Row],[pi_last_name]]=" ","",HYPERLINK("mailto:"&amp;BudgetsTable[[#This Row],[pi_email]]&amp;"&amp;subject=Your NSF Proposal:  "&amp;BudgetsTable[[#This Row],[prop_id]],BudgetsTable[[#This Row],[pi_email]]))</f>
        <v/>
      </c>
      <c r="P98" s="80" t="s">
        <v>13</v>
      </c>
      <c r="Q98" s="80">
        <v>3</v>
      </c>
      <c r="R98" s="80">
        <v>0</v>
      </c>
      <c r="S98" s="81">
        <v>111258</v>
      </c>
      <c r="T98" s="81">
        <v>0</v>
      </c>
      <c r="U98" s="81">
        <v>0</v>
      </c>
      <c r="V98" s="82">
        <v>624582</v>
      </c>
      <c r="W98" s="80">
        <v>0</v>
      </c>
      <c r="X98" s="80">
        <v>3</v>
      </c>
      <c r="Y98" s="11" t="str">
        <f ca="1">IF(ISBLANK(BudgetsTable[[#This Row],[budg_seq_yr]]),"FY"&amp;fiscalyear,"FY"&amp;fiscalyear-1+BudgetsTable[[#This Row],[budg_seq_yr]])</f>
        <v>FY20</v>
      </c>
      <c r="Z98" s="81">
        <v>624582</v>
      </c>
      <c r="AA98" s="80" t="s">
        <v>1124</v>
      </c>
      <c r="AB98" s="80" t="s">
        <v>1125</v>
      </c>
      <c r="AC98" s="108" t="s">
        <v>94</v>
      </c>
      <c r="AD98" s="80"/>
    </row>
    <row r="99" spans="1:30">
      <c r="A99" s="10" t="s">
        <v>1195</v>
      </c>
      <c r="B99" s="78" t="s">
        <v>450</v>
      </c>
      <c r="C99" s="78">
        <f>C98+(BudgetsTable[[#This Row],[lead]]&lt;&gt;K98)</f>
        <v>16</v>
      </c>
      <c r="D99" s="78">
        <f>D98*(BudgetsTable[[#This Row],[lead]]=K98)+(BudgetsTable[[#This Row],[prop_id]]&lt;&gt;A98)</f>
        <v>2</v>
      </c>
      <c r="E99" s="79">
        <v>42800.681250000001</v>
      </c>
      <c r="F99" s="80" t="s">
        <v>1123</v>
      </c>
      <c r="G99" s="80" t="s">
        <v>1124</v>
      </c>
      <c r="H99" s="80" t="s">
        <v>1125</v>
      </c>
      <c r="I99" s="78" t="s">
        <v>596</v>
      </c>
      <c r="J99" s="78" t="s">
        <v>13</v>
      </c>
      <c r="K99" s="80" t="s">
        <v>658</v>
      </c>
      <c r="L99" s="7" t="str">
        <f>IF(BudgetsTable[[#This Row],[pi_last_name]]=" ","",HYPERLINK("https://www.ejacket.nsf.gov/ej/showProposal.do?Continue=Y&amp;ID="&amp;BudgetsTable[[#This Row],[prop_id]],BudgetsTable[[#This Row],[prop_id]]))</f>
        <v/>
      </c>
      <c r="M99" s="15" t="str">
        <f>IF(BudgetsTable[[#This Row],[pi_last_name]]=" ","",HYPERLINK("https://www.ejacket.nsf.gov/ej/processReviewAnalysis.do?dispatch=add&amp;uniqId="&amp;BudgetsTable[[#This Row],[prop_id]]&amp;PO_id,"&gt;ra"))</f>
        <v/>
      </c>
      <c r="N99" s="80" t="s">
        <v>13</v>
      </c>
      <c r="O99" s="7" t="str">
        <f>IF(BudgetsTable[[#This Row],[pi_last_name]]=" ","",HYPERLINK("mailto:"&amp;BudgetsTable[[#This Row],[pi_email]]&amp;"&amp;subject=Your NSF Proposal:  "&amp;BudgetsTable[[#This Row],[prop_id]],BudgetsTable[[#This Row],[pi_email]]))</f>
        <v/>
      </c>
      <c r="P99" s="80" t="s">
        <v>13</v>
      </c>
      <c r="Q99" s="80">
        <v>3</v>
      </c>
      <c r="R99" s="80">
        <v>0</v>
      </c>
      <c r="S99" s="81">
        <v>114596</v>
      </c>
      <c r="T99" s="81">
        <v>0</v>
      </c>
      <c r="U99" s="81">
        <v>0</v>
      </c>
      <c r="V99" s="82">
        <v>636819</v>
      </c>
      <c r="W99" s="80">
        <v>0</v>
      </c>
      <c r="X99" s="80">
        <v>4</v>
      </c>
      <c r="Y99" s="11" t="str">
        <f ca="1">IF(ISBLANK(BudgetsTable[[#This Row],[budg_seq_yr]]),"FY"&amp;fiscalyear,"FY"&amp;fiscalyear-1+BudgetsTable[[#This Row],[budg_seq_yr]])</f>
        <v>FY21</v>
      </c>
      <c r="Z99" s="81">
        <v>636819</v>
      </c>
      <c r="AA99" s="80" t="s">
        <v>1124</v>
      </c>
      <c r="AB99" s="80" t="s">
        <v>1125</v>
      </c>
      <c r="AC99" s="108" t="s">
        <v>94</v>
      </c>
      <c r="AD99" s="80"/>
    </row>
    <row r="100" spans="1:30">
      <c r="A100" s="10" t="s">
        <v>1195</v>
      </c>
      <c r="B100" s="78" t="s">
        <v>450</v>
      </c>
      <c r="C100" s="78">
        <f>C99+(BudgetsTable[[#This Row],[lead]]&lt;&gt;K99)</f>
        <v>16</v>
      </c>
      <c r="D100" s="78">
        <f>D99*(BudgetsTable[[#This Row],[lead]]=K99)+(BudgetsTable[[#This Row],[prop_id]]&lt;&gt;A99)</f>
        <v>2</v>
      </c>
      <c r="E100" s="79">
        <v>42800.681250000001</v>
      </c>
      <c r="F100" s="80" t="s">
        <v>1123</v>
      </c>
      <c r="G100" s="80" t="s">
        <v>1124</v>
      </c>
      <c r="H100" s="80" t="s">
        <v>1125</v>
      </c>
      <c r="I100" s="78" t="s">
        <v>596</v>
      </c>
      <c r="J100" s="78" t="s">
        <v>13</v>
      </c>
      <c r="K100" s="80" t="s">
        <v>658</v>
      </c>
      <c r="L100" s="7" t="str">
        <f>IF(BudgetsTable[[#This Row],[pi_last_name]]=" ","",HYPERLINK("https://www.ejacket.nsf.gov/ej/showProposal.do?Continue=Y&amp;ID="&amp;BudgetsTable[[#This Row],[prop_id]],BudgetsTable[[#This Row],[prop_id]]))</f>
        <v/>
      </c>
      <c r="M100" s="15" t="str">
        <f>IF(BudgetsTable[[#This Row],[pi_last_name]]=" ","",HYPERLINK("https://www.ejacket.nsf.gov/ej/processReviewAnalysis.do?dispatch=add&amp;uniqId="&amp;BudgetsTable[[#This Row],[prop_id]]&amp;PO_id,"&gt;ra"))</f>
        <v/>
      </c>
      <c r="N100" s="80" t="s">
        <v>13</v>
      </c>
      <c r="O100" s="7" t="str">
        <f>IF(BudgetsTable[[#This Row],[pi_last_name]]=" ","",HYPERLINK("mailto:"&amp;BudgetsTable[[#This Row],[pi_email]]&amp;"&amp;subject=Your NSF Proposal:  "&amp;BudgetsTable[[#This Row],[prop_id]],BudgetsTable[[#This Row],[pi_email]]))</f>
        <v/>
      </c>
      <c r="P100" s="80" t="s">
        <v>13</v>
      </c>
      <c r="Q100" s="80">
        <v>3</v>
      </c>
      <c r="R100" s="80">
        <v>0</v>
      </c>
      <c r="S100" s="81">
        <v>118763</v>
      </c>
      <c r="T100" s="81">
        <v>0</v>
      </c>
      <c r="U100" s="81">
        <v>0</v>
      </c>
      <c r="V100" s="82">
        <v>647729</v>
      </c>
      <c r="W100" s="80">
        <v>0</v>
      </c>
      <c r="X100" s="80">
        <v>5</v>
      </c>
      <c r="Y100" s="11" t="str">
        <f ca="1">IF(ISBLANK(BudgetsTable[[#This Row],[budg_seq_yr]]),"FY"&amp;fiscalyear,"FY"&amp;fiscalyear-1+BudgetsTable[[#This Row],[budg_seq_yr]])</f>
        <v>FY22</v>
      </c>
      <c r="Z100" s="81">
        <v>647729</v>
      </c>
      <c r="AA100" s="80" t="s">
        <v>1124</v>
      </c>
      <c r="AB100" s="80" t="s">
        <v>1125</v>
      </c>
      <c r="AC100" s="108" t="s">
        <v>94</v>
      </c>
      <c r="AD100" s="80"/>
    </row>
    <row r="101" spans="1:30">
      <c r="A101" s="10" t="s">
        <v>666</v>
      </c>
      <c r="B101" s="78" t="s">
        <v>463</v>
      </c>
      <c r="C101" s="78">
        <f>C100+(BudgetsTable[[#This Row],[lead]]&lt;&gt;K100)</f>
        <v>17</v>
      </c>
      <c r="D101" s="78">
        <f>D100*(BudgetsTable[[#This Row],[lead]]=K100)+(BudgetsTable[[#This Row],[prop_id]]&lt;&gt;A100)</f>
        <v>1</v>
      </c>
      <c r="E101" s="79">
        <v>42800.684027777781</v>
      </c>
      <c r="F101" s="80" t="s">
        <v>1123</v>
      </c>
      <c r="G101" s="80" t="s">
        <v>1124</v>
      </c>
      <c r="H101" s="80" t="s">
        <v>1125</v>
      </c>
      <c r="I101" s="78" t="s">
        <v>596</v>
      </c>
      <c r="J101" s="78" t="s">
        <v>1204</v>
      </c>
      <c r="K101" s="80" t="s">
        <v>666</v>
      </c>
      <c r="L101" s="7" t="str">
        <f>IF(BudgetsTable[[#This Row],[pi_last_name]]=" ","",HYPERLINK("https://www.ejacket.nsf.gov/ej/showProposal.do?Continue=Y&amp;ID="&amp;BudgetsTable[[#This Row],[prop_id]],BudgetsTable[[#This Row],[prop_id]]))</f>
        <v>1739830</v>
      </c>
      <c r="M101" s="15" t="str">
        <f>IF(BudgetsTable[[#This Row],[pi_last_name]]=" ","",HYPERLINK("https://www.ejacket.nsf.gov/ej/processReviewAnalysis.do?dispatch=add&amp;uniqId="&amp;BudgetsTable[[#This Row],[prop_id]]&amp;PO_id,"&gt;ra"))</f>
        <v>&gt;ra</v>
      </c>
      <c r="N101" s="80" t="s">
        <v>667</v>
      </c>
      <c r="O101" s="7" t="str">
        <f>IF(BudgetsTable[[#This Row],[pi_last_name]]=" ","",HYPERLINK("mailto:"&amp;BudgetsTable[[#This Row],[pi_email]]&amp;"&amp;subject=Your NSF Proposal:  "&amp;BudgetsTable[[#This Row],[prop_id]],BudgetsTable[[#This Row],[pi_email]]))</f>
        <v>iguvenc@ncsu.edu</v>
      </c>
      <c r="P101" s="80" t="s">
        <v>563</v>
      </c>
      <c r="Q101" s="80"/>
      <c r="R101" s="80"/>
      <c r="S101" s="81"/>
      <c r="T101" s="81"/>
      <c r="U101" s="81"/>
      <c r="V101" s="82"/>
      <c r="W101" s="80">
        <v>0</v>
      </c>
      <c r="X101" s="80"/>
      <c r="Y101" s="11" t="str">
        <f ca="1">IF(ISBLANK(BudgetsTable[[#This Row],[budg_seq_yr]]),"FY"&amp;fiscalyear,"FY"&amp;fiscalyear-1+BudgetsTable[[#This Row],[budg_seq_yr]])</f>
        <v>FY18</v>
      </c>
      <c r="Z101" s="81">
        <v>1817030</v>
      </c>
      <c r="AA101" s="80" t="s">
        <v>1124</v>
      </c>
      <c r="AB101" s="80" t="s">
        <v>1125</v>
      </c>
      <c r="AC101" s="108" t="s">
        <v>94</v>
      </c>
      <c r="AD101" s="80"/>
    </row>
    <row r="102" spans="1:30">
      <c r="A102" s="10" t="s">
        <v>666</v>
      </c>
      <c r="B102" s="78" t="s">
        <v>463</v>
      </c>
      <c r="C102" s="78">
        <f>C101+(BudgetsTable[[#This Row],[lead]]&lt;&gt;K101)</f>
        <v>17</v>
      </c>
      <c r="D102" s="78">
        <f>D101*(BudgetsTable[[#This Row],[lead]]=K101)+(BudgetsTable[[#This Row],[prop_id]]&lt;&gt;A101)</f>
        <v>1</v>
      </c>
      <c r="E102" s="79">
        <v>42800.684027777781</v>
      </c>
      <c r="F102" s="80" t="s">
        <v>1123</v>
      </c>
      <c r="G102" s="80" t="s">
        <v>1124</v>
      </c>
      <c r="H102" s="80" t="s">
        <v>1125</v>
      </c>
      <c r="I102" s="78" t="s">
        <v>596</v>
      </c>
      <c r="J102" s="78" t="s">
        <v>13</v>
      </c>
      <c r="K102" s="80" t="s">
        <v>666</v>
      </c>
      <c r="L102" s="7" t="str">
        <f>IF(BudgetsTable[[#This Row],[pi_last_name]]=" ","",HYPERLINK("https://www.ejacket.nsf.gov/ej/showProposal.do?Continue=Y&amp;ID="&amp;BudgetsTable[[#This Row],[prop_id]],BudgetsTable[[#This Row],[prop_id]]))</f>
        <v/>
      </c>
      <c r="M102" s="15" t="str">
        <f>IF(BudgetsTable[[#This Row],[pi_last_name]]=" ","",HYPERLINK("https://www.ejacket.nsf.gov/ej/processReviewAnalysis.do?dispatch=add&amp;uniqId="&amp;BudgetsTable[[#This Row],[prop_id]]&amp;PO_id,"&gt;ra"))</f>
        <v/>
      </c>
      <c r="N102" s="80" t="s">
        <v>13</v>
      </c>
      <c r="O102" s="7" t="str">
        <f>IF(BudgetsTable[[#This Row],[pi_last_name]]=" ","",HYPERLINK("mailto:"&amp;BudgetsTable[[#This Row],[pi_email]]&amp;"&amp;subject=Your NSF Proposal:  "&amp;BudgetsTable[[#This Row],[prop_id]],BudgetsTable[[#This Row],[pi_email]]))</f>
        <v/>
      </c>
      <c r="P102" s="80" t="s">
        <v>13</v>
      </c>
      <c r="Q102" s="80">
        <v>3</v>
      </c>
      <c r="R102" s="80">
        <v>1.47</v>
      </c>
      <c r="S102" s="81">
        <v>0</v>
      </c>
      <c r="T102" s="81">
        <v>2000</v>
      </c>
      <c r="U102" s="81">
        <v>22960</v>
      </c>
      <c r="V102" s="82">
        <v>292626</v>
      </c>
      <c r="W102" s="80">
        <v>0</v>
      </c>
      <c r="X102" s="80">
        <v>1</v>
      </c>
      <c r="Y102" s="11" t="str">
        <f ca="1">IF(ISBLANK(BudgetsTable[[#This Row],[budg_seq_yr]]),"FY"&amp;fiscalyear,"FY"&amp;fiscalyear-1+BudgetsTable[[#This Row],[budg_seq_yr]])</f>
        <v>FY18</v>
      </c>
      <c r="Z102" s="81">
        <v>292626</v>
      </c>
      <c r="AA102" s="80" t="s">
        <v>1124</v>
      </c>
      <c r="AB102" s="80" t="s">
        <v>1125</v>
      </c>
      <c r="AC102" s="108" t="s">
        <v>94</v>
      </c>
      <c r="AD102" s="80"/>
    </row>
    <row r="103" spans="1:30">
      <c r="A103" s="10" t="s">
        <v>666</v>
      </c>
      <c r="B103" s="78" t="s">
        <v>463</v>
      </c>
      <c r="C103" s="78">
        <f>C102+(BudgetsTable[[#This Row],[lead]]&lt;&gt;K102)</f>
        <v>17</v>
      </c>
      <c r="D103" s="78">
        <f>D102*(BudgetsTable[[#This Row],[lead]]=K102)+(BudgetsTable[[#This Row],[prop_id]]&lt;&gt;A102)</f>
        <v>1</v>
      </c>
      <c r="E103" s="79">
        <v>42800.684027777781</v>
      </c>
      <c r="F103" s="80" t="s">
        <v>1123</v>
      </c>
      <c r="G103" s="80" t="s">
        <v>1124</v>
      </c>
      <c r="H103" s="80" t="s">
        <v>1125</v>
      </c>
      <c r="I103" s="78" t="s">
        <v>596</v>
      </c>
      <c r="J103" s="78" t="s">
        <v>13</v>
      </c>
      <c r="K103" s="80" t="s">
        <v>666</v>
      </c>
      <c r="L103" s="7" t="str">
        <f>IF(BudgetsTable[[#This Row],[pi_last_name]]=" ","",HYPERLINK("https://www.ejacket.nsf.gov/ej/showProposal.do?Continue=Y&amp;ID="&amp;BudgetsTable[[#This Row],[prop_id]],BudgetsTable[[#This Row],[prop_id]]))</f>
        <v/>
      </c>
      <c r="M103" s="15" t="str">
        <f>IF(BudgetsTable[[#This Row],[pi_last_name]]=" ","",HYPERLINK("https://www.ejacket.nsf.gov/ej/processReviewAnalysis.do?dispatch=add&amp;uniqId="&amp;BudgetsTable[[#This Row],[prop_id]]&amp;PO_id,"&gt;ra"))</f>
        <v/>
      </c>
      <c r="N103" s="80" t="s">
        <v>13</v>
      </c>
      <c r="O103" s="7" t="str">
        <f>IF(BudgetsTable[[#This Row],[pi_last_name]]=" ","",HYPERLINK("mailto:"&amp;BudgetsTable[[#This Row],[pi_email]]&amp;"&amp;subject=Your NSF Proposal:  "&amp;BudgetsTable[[#This Row],[prop_id]],BudgetsTable[[#This Row],[pi_email]]))</f>
        <v/>
      </c>
      <c r="P103" s="80" t="s">
        <v>13</v>
      </c>
      <c r="Q103" s="80">
        <v>3</v>
      </c>
      <c r="R103" s="80">
        <v>1.47</v>
      </c>
      <c r="S103" s="81">
        <v>50000</v>
      </c>
      <c r="T103" s="81">
        <v>2000</v>
      </c>
      <c r="U103" s="81">
        <v>23649</v>
      </c>
      <c r="V103" s="82">
        <v>396150</v>
      </c>
      <c r="W103" s="80">
        <v>0</v>
      </c>
      <c r="X103" s="80">
        <v>2</v>
      </c>
      <c r="Y103" s="11" t="str">
        <f ca="1">IF(ISBLANK(BudgetsTable[[#This Row],[budg_seq_yr]]),"FY"&amp;fiscalyear,"FY"&amp;fiscalyear-1+BudgetsTable[[#This Row],[budg_seq_yr]])</f>
        <v>FY19</v>
      </c>
      <c r="Z103" s="81">
        <v>396150</v>
      </c>
      <c r="AA103" s="80" t="s">
        <v>1124</v>
      </c>
      <c r="AB103" s="80" t="s">
        <v>1125</v>
      </c>
      <c r="AC103" s="108" t="s">
        <v>94</v>
      </c>
      <c r="AD103" s="80"/>
    </row>
    <row r="104" spans="1:30">
      <c r="A104" s="10" t="s">
        <v>666</v>
      </c>
      <c r="B104" s="78" t="s">
        <v>463</v>
      </c>
      <c r="C104" s="78">
        <f>C103+(BudgetsTable[[#This Row],[lead]]&lt;&gt;K103)</f>
        <v>17</v>
      </c>
      <c r="D104" s="78">
        <f>D103*(BudgetsTable[[#This Row],[lead]]=K103)+(BudgetsTable[[#This Row],[prop_id]]&lt;&gt;A103)</f>
        <v>1</v>
      </c>
      <c r="E104" s="79">
        <v>42800.684027777781</v>
      </c>
      <c r="F104" s="80" t="s">
        <v>1123</v>
      </c>
      <c r="G104" s="80" t="s">
        <v>1124</v>
      </c>
      <c r="H104" s="80" t="s">
        <v>1125</v>
      </c>
      <c r="I104" s="78" t="s">
        <v>596</v>
      </c>
      <c r="J104" s="78" t="s">
        <v>13</v>
      </c>
      <c r="K104" s="80" t="s">
        <v>666</v>
      </c>
      <c r="L104" s="7" t="str">
        <f>IF(BudgetsTable[[#This Row],[pi_last_name]]=" ","",HYPERLINK("https://www.ejacket.nsf.gov/ej/showProposal.do?Continue=Y&amp;ID="&amp;BudgetsTable[[#This Row],[prop_id]],BudgetsTable[[#This Row],[prop_id]]))</f>
        <v/>
      </c>
      <c r="M104" s="15" t="str">
        <f>IF(BudgetsTable[[#This Row],[pi_last_name]]=" ","",HYPERLINK("https://www.ejacket.nsf.gov/ej/processReviewAnalysis.do?dispatch=add&amp;uniqId="&amp;BudgetsTable[[#This Row],[prop_id]]&amp;PO_id,"&gt;ra"))</f>
        <v/>
      </c>
      <c r="N104" s="80" t="s">
        <v>13</v>
      </c>
      <c r="O104" s="7" t="str">
        <f>IF(BudgetsTable[[#This Row],[pi_last_name]]=" ","",HYPERLINK("mailto:"&amp;BudgetsTable[[#This Row],[pi_email]]&amp;"&amp;subject=Your NSF Proposal:  "&amp;BudgetsTable[[#This Row],[prop_id]],BudgetsTable[[#This Row],[pi_email]]))</f>
        <v/>
      </c>
      <c r="P104" s="80" t="s">
        <v>13</v>
      </c>
      <c r="Q104" s="80">
        <v>3</v>
      </c>
      <c r="R104" s="80">
        <v>1.47</v>
      </c>
      <c r="S104" s="81">
        <v>51500</v>
      </c>
      <c r="T104" s="81">
        <v>2000</v>
      </c>
      <c r="U104" s="81">
        <v>24359</v>
      </c>
      <c r="V104" s="82">
        <v>410179</v>
      </c>
      <c r="W104" s="80">
        <v>0</v>
      </c>
      <c r="X104" s="80">
        <v>3</v>
      </c>
      <c r="Y104" s="11" t="str">
        <f ca="1">IF(ISBLANK(BudgetsTable[[#This Row],[budg_seq_yr]]),"FY"&amp;fiscalyear,"FY"&amp;fiscalyear-1+BudgetsTable[[#This Row],[budg_seq_yr]])</f>
        <v>FY20</v>
      </c>
      <c r="Z104" s="81">
        <v>410179</v>
      </c>
      <c r="AA104" s="80" t="s">
        <v>1124</v>
      </c>
      <c r="AB104" s="80" t="s">
        <v>1125</v>
      </c>
      <c r="AC104" s="108" t="s">
        <v>94</v>
      </c>
      <c r="AD104" s="80"/>
    </row>
    <row r="105" spans="1:30">
      <c r="A105" s="10" t="s">
        <v>666</v>
      </c>
      <c r="B105" s="78" t="s">
        <v>463</v>
      </c>
      <c r="C105" s="78">
        <f>C104+(BudgetsTable[[#This Row],[lead]]&lt;&gt;K104)</f>
        <v>17</v>
      </c>
      <c r="D105" s="78">
        <f>D104*(BudgetsTable[[#This Row],[lead]]=K104)+(BudgetsTable[[#This Row],[prop_id]]&lt;&gt;A104)</f>
        <v>1</v>
      </c>
      <c r="E105" s="79">
        <v>42800.684027777781</v>
      </c>
      <c r="F105" s="80" t="s">
        <v>1123</v>
      </c>
      <c r="G105" s="80" t="s">
        <v>1124</v>
      </c>
      <c r="H105" s="80" t="s">
        <v>1125</v>
      </c>
      <c r="I105" s="78" t="s">
        <v>596</v>
      </c>
      <c r="J105" s="78" t="s">
        <v>13</v>
      </c>
      <c r="K105" s="80" t="s">
        <v>666</v>
      </c>
      <c r="L105" s="7" t="str">
        <f>IF(BudgetsTable[[#This Row],[pi_last_name]]=" ","",HYPERLINK("https://www.ejacket.nsf.gov/ej/showProposal.do?Continue=Y&amp;ID="&amp;BudgetsTable[[#This Row],[prop_id]],BudgetsTable[[#This Row],[prop_id]]))</f>
        <v/>
      </c>
      <c r="M105" s="15" t="str">
        <f>IF(BudgetsTable[[#This Row],[pi_last_name]]=" ","",HYPERLINK("https://www.ejacket.nsf.gov/ej/processReviewAnalysis.do?dispatch=add&amp;uniqId="&amp;BudgetsTable[[#This Row],[prop_id]]&amp;PO_id,"&gt;ra"))</f>
        <v/>
      </c>
      <c r="N105" s="80" t="s">
        <v>13</v>
      </c>
      <c r="O105" s="7" t="str">
        <f>IF(BudgetsTable[[#This Row],[pi_last_name]]=" ","",HYPERLINK("mailto:"&amp;BudgetsTable[[#This Row],[pi_email]]&amp;"&amp;subject=Your NSF Proposal:  "&amp;BudgetsTable[[#This Row],[prop_id]],BudgetsTable[[#This Row],[pi_email]]))</f>
        <v/>
      </c>
      <c r="P105" s="80" t="s">
        <v>13</v>
      </c>
      <c r="Q105" s="80">
        <v>3</v>
      </c>
      <c r="R105" s="80">
        <v>1.47</v>
      </c>
      <c r="S105" s="81">
        <v>53045</v>
      </c>
      <c r="T105" s="81">
        <v>2000</v>
      </c>
      <c r="U105" s="81">
        <v>25090</v>
      </c>
      <c r="V105" s="82">
        <v>400473</v>
      </c>
      <c r="W105" s="80">
        <v>0</v>
      </c>
      <c r="X105" s="80">
        <v>4</v>
      </c>
      <c r="Y105" s="11" t="str">
        <f ca="1">IF(ISBLANK(BudgetsTable[[#This Row],[budg_seq_yr]]),"FY"&amp;fiscalyear,"FY"&amp;fiscalyear-1+BudgetsTable[[#This Row],[budg_seq_yr]])</f>
        <v>FY21</v>
      </c>
      <c r="Z105" s="81">
        <v>400473</v>
      </c>
      <c r="AA105" s="80" t="s">
        <v>1124</v>
      </c>
      <c r="AB105" s="80" t="s">
        <v>1125</v>
      </c>
      <c r="AC105" s="108" t="s">
        <v>94</v>
      </c>
      <c r="AD105" s="80"/>
    </row>
    <row r="106" spans="1:30">
      <c r="A106" s="10" t="s">
        <v>666</v>
      </c>
      <c r="B106" s="78" t="s">
        <v>463</v>
      </c>
      <c r="C106" s="78">
        <f>C105+(BudgetsTable[[#This Row],[lead]]&lt;&gt;K105)</f>
        <v>17</v>
      </c>
      <c r="D106" s="78">
        <f>D105*(BudgetsTable[[#This Row],[lead]]=K105)+(BudgetsTable[[#This Row],[prop_id]]&lt;&gt;A105)</f>
        <v>1</v>
      </c>
      <c r="E106" s="79">
        <v>42800.684027777781</v>
      </c>
      <c r="F106" s="80" t="s">
        <v>1123</v>
      </c>
      <c r="G106" s="80" t="s">
        <v>1124</v>
      </c>
      <c r="H106" s="80" t="s">
        <v>1125</v>
      </c>
      <c r="I106" s="78" t="s">
        <v>596</v>
      </c>
      <c r="J106" s="78" t="s">
        <v>13</v>
      </c>
      <c r="K106" s="80" t="s">
        <v>666</v>
      </c>
      <c r="L106" s="7" t="str">
        <f>IF(BudgetsTable[[#This Row],[pi_last_name]]=" ","",HYPERLINK("https://www.ejacket.nsf.gov/ej/showProposal.do?Continue=Y&amp;ID="&amp;BudgetsTable[[#This Row],[prop_id]],BudgetsTable[[#This Row],[prop_id]]))</f>
        <v/>
      </c>
      <c r="M106" s="15" t="str">
        <f>IF(BudgetsTable[[#This Row],[pi_last_name]]=" ","",HYPERLINK("https://www.ejacket.nsf.gov/ej/processReviewAnalysis.do?dispatch=add&amp;uniqId="&amp;BudgetsTable[[#This Row],[prop_id]]&amp;PO_id,"&gt;ra"))</f>
        <v/>
      </c>
      <c r="N106" s="80" t="s">
        <v>13</v>
      </c>
      <c r="O106" s="7" t="str">
        <f>IF(BudgetsTable[[#This Row],[pi_last_name]]=" ","",HYPERLINK("mailto:"&amp;BudgetsTable[[#This Row],[pi_email]]&amp;"&amp;subject=Your NSF Proposal:  "&amp;BudgetsTable[[#This Row],[prop_id]],BudgetsTable[[#This Row],[pi_email]]))</f>
        <v/>
      </c>
      <c r="P106" s="80" t="s">
        <v>13</v>
      </c>
      <c r="Q106" s="80">
        <v>3</v>
      </c>
      <c r="R106" s="80">
        <v>1.47</v>
      </c>
      <c r="S106" s="81">
        <v>0</v>
      </c>
      <c r="T106" s="81">
        <v>2000</v>
      </c>
      <c r="U106" s="81">
        <v>25842</v>
      </c>
      <c r="V106" s="82">
        <v>317602</v>
      </c>
      <c r="W106" s="80">
        <v>0</v>
      </c>
      <c r="X106" s="80">
        <v>5</v>
      </c>
      <c r="Y106" s="11" t="str">
        <f ca="1">IF(ISBLANK(BudgetsTable[[#This Row],[budg_seq_yr]]),"FY"&amp;fiscalyear,"FY"&amp;fiscalyear-1+BudgetsTable[[#This Row],[budg_seq_yr]])</f>
        <v>FY22</v>
      </c>
      <c r="Z106" s="81">
        <v>317602</v>
      </c>
      <c r="AA106" s="80" t="s">
        <v>1124</v>
      </c>
      <c r="AB106" s="80" t="s">
        <v>1125</v>
      </c>
      <c r="AC106" s="108" t="s">
        <v>94</v>
      </c>
      <c r="AD106" s="80"/>
    </row>
    <row r="107" spans="1:30">
      <c r="A107" s="10" t="s">
        <v>1205</v>
      </c>
      <c r="B107" s="78" t="s">
        <v>450</v>
      </c>
      <c r="C107" s="78">
        <f>C106+(BudgetsTable[[#This Row],[lead]]&lt;&gt;K106)</f>
        <v>17</v>
      </c>
      <c r="D107" s="78">
        <f>D106*(BudgetsTable[[#This Row],[lead]]=K106)+(BudgetsTable[[#This Row],[prop_id]]&lt;&gt;A106)</f>
        <v>2</v>
      </c>
      <c r="E107" s="79">
        <v>42800.517361111109</v>
      </c>
      <c r="F107" s="80" t="s">
        <v>1123</v>
      </c>
      <c r="G107" s="80" t="s">
        <v>1124</v>
      </c>
      <c r="H107" s="80" t="s">
        <v>1125</v>
      </c>
      <c r="I107" s="78" t="s">
        <v>596</v>
      </c>
      <c r="J107" s="78" t="s">
        <v>1208</v>
      </c>
      <c r="K107" s="80" t="s">
        <v>666</v>
      </c>
      <c r="L107" s="7" t="str">
        <f>IF(BudgetsTable[[#This Row],[pi_last_name]]=" ","",HYPERLINK("https://www.ejacket.nsf.gov/ej/showProposal.do?Continue=Y&amp;ID="&amp;BudgetsTable[[#This Row],[prop_id]],BudgetsTable[[#This Row],[prop_id]]))</f>
        <v>1739359</v>
      </c>
      <c r="M107" s="15" t="str">
        <f>IF(BudgetsTable[[#This Row],[pi_last_name]]=" ","",HYPERLINK("https://www.ejacket.nsf.gov/ej/processReviewAnalysis.do?dispatch=add&amp;uniqId="&amp;BudgetsTable[[#This Row],[prop_id]]&amp;PO_id,"&gt;ra"))</f>
        <v>&gt;ra</v>
      </c>
      <c r="N107" s="80" t="s">
        <v>1206</v>
      </c>
      <c r="O107" s="7" t="str">
        <f>IF(BudgetsTable[[#This Row],[pi_last_name]]=" ","",HYPERLINK("mailto:"&amp;BudgetsTable[[#This Row],[pi_email]]&amp;"&amp;subject=Your NSF Proposal:  "&amp;BudgetsTable[[#This Row],[prop_id]],BudgetsTable[[#This Row],[pi_email]]))</f>
        <v>ibrahim-demir@uiowa.edu</v>
      </c>
      <c r="P107" s="80" t="s">
        <v>565</v>
      </c>
      <c r="Q107" s="80"/>
      <c r="R107" s="80"/>
      <c r="S107" s="81"/>
      <c r="T107" s="81"/>
      <c r="U107" s="81"/>
      <c r="V107" s="82"/>
      <c r="W107" s="80">
        <v>0</v>
      </c>
      <c r="X107" s="80"/>
      <c r="Y107" s="11" t="str">
        <f ca="1">IF(ISBLANK(BudgetsTable[[#This Row],[budg_seq_yr]]),"FY"&amp;fiscalyear,"FY"&amp;fiscalyear-1+BudgetsTable[[#This Row],[budg_seq_yr]])</f>
        <v>FY18</v>
      </c>
      <c r="Z107" s="81">
        <v>604262</v>
      </c>
      <c r="AA107" s="80" t="s">
        <v>1124</v>
      </c>
      <c r="AB107" s="80" t="s">
        <v>1125</v>
      </c>
      <c r="AC107" s="108" t="s">
        <v>94</v>
      </c>
      <c r="AD107" s="80"/>
    </row>
    <row r="108" spans="1:30">
      <c r="A108" s="10" t="s">
        <v>1205</v>
      </c>
      <c r="B108" s="78" t="s">
        <v>450</v>
      </c>
      <c r="C108" s="78">
        <f>C107+(BudgetsTable[[#This Row],[lead]]&lt;&gt;K107)</f>
        <v>17</v>
      </c>
      <c r="D108" s="78">
        <f>D107*(BudgetsTable[[#This Row],[lead]]=K107)+(BudgetsTable[[#This Row],[prop_id]]&lt;&gt;A107)</f>
        <v>2</v>
      </c>
      <c r="E108" s="79">
        <v>42800.517361111109</v>
      </c>
      <c r="F108" s="80" t="s">
        <v>1123</v>
      </c>
      <c r="G108" s="80" t="s">
        <v>1124</v>
      </c>
      <c r="H108" s="80" t="s">
        <v>1125</v>
      </c>
      <c r="I108" s="78" t="s">
        <v>596</v>
      </c>
      <c r="J108" s="78" t="s">
        <v>13</v>
      </c>
      <c r="K108" s="80" t="s">
        <v>666</v>
      </c>
      <c r="L108" s="7" t="str">
        <f>IF(BudgetsTable[[#This Row],[pi_last_name]]=" ","",HYPERLINK("https://www.ejacket.nsf.gov/ej/showProposal.do?Continue=Y&amp;ID="&amp;BudgetsTable[[#This Row],[prop_id]],BudgetsTable[[#This Row],[prop_id]]))</f>
        <v/>
      </c>
      <c r="M108" s="15" t="str">
        <f>IF(BudgetsTable[[#This Row],[pi_last_name]]=" ","",HYPERLINK("https://www.ejacket.nsf.gov/ej/processReviewAnalysis.do?dispatch=add&amp;uniqId="&amp;BudgetsTable[[#This Row],[prop_id]]&amp;PO_id,"&gt;ra"))</f>
        <v/>
      </c>
      <c r="N108" s="80" t="s">
        <v>13</v>
      </c>
      <c r="O108" s="7" t="str">
        <f>IF(BudgetsTable[[#This Row],[pi_last_name]]=" ","",HYPERLINK("mailto:"&amp;BudgetsTable[[#This Row],[pi_email]]&amp;"&amp;subject=Your NSF Proposal:  "&amp;BudgetsTable[[#This Row],[prop_id]],BudgetsTable[[#This Row],[pi_email]]))</f>
        <v/>
      </c>
      <c r="P108" s="80" t="s">
        <v>13</v>
      </c>
      <c r="Q108" s="80">
        <v>1</v>
      </c>
      <c r="R108" s="80">
        <v>1</v>
      </c>
      <c r="S108" s="81">
        <v>0</v>
      </c>
      <c r="T108" s="81">
        <v>0</v>
      </c>
      <c r="U108" s="81">
        <v>0</v>
      </c>
      <c r="V108" s="82">
        <v>95049</v>
      </c>
      <c r="W108" s="80">
        <v>0</v>
      </c>
      <c r="X108" s="80">
        <v>1</v>
      </c>
      <c r="Y108" s="11" t="str">
        <f ca="1">IF(ISBLANK(BudgetsTable[[#This Row],[budg_seq_yr]]),"FY"&amp;fiscalyear,"FY"&amp;fiscalyear-1+BudgetsTable[[#This Row],[budg_seq_yr]])</f>
        <v>FY18</v>
      </c>
      <c r="Z108" s="81">
        <v>95049</v>
      </c>
      <c r="AA108" s="80" t="s">
        <v>1124</v>
      </c>
      <c r="AB108" s="80" t="s">
        <v>1125</v>
      </c>
      <c r="AC108" s="108" t="s">
        <v>94</v>
      </c>
      <c r="AD108" s="80"/>
    </row>
    <row r="109" spans="1:30">
      <c r="A109" s="10" t="s">
        <v>1205</v>
      </c>
      <c r="B109" s="78" t="s">
        <v>450</v>
      </c>
      <c r="C109" s="78">
        <f>C108+(BudgetsTable[[#This Row],[lead]]&lt;&gt;K108)</f>
        <v>17</v>
      </c>
      <c r="D109" s="78">
        <f>D108*(BudgetsTable[[#This Row],[lead]]=K108)+(BudgetsTable[[#This Row],[prop_id]]&lt;&gt;A108)</f>
        <v>2</v>
      </c>
      <c r="E109" s="79">
        <v>42800.517361111109</v>
      </c>
      <c r="F109" s="80" t="s">
        <v>1123</v>
      </c>
      <c r="G109" s="80" t="s">
        <v>1124</v>
      </c>
      <c r="H109" s="80" t="s">
        <v>1125</v>
      </c>
      <c r="I109" s="78" t="s">
        <v>596</v>
      </c>
      <c r="J109" s="78" t="s">
        <v>13</v>
      </c>
      <c r="K109" s="80" t="s">
        <v>666</v>
      </c>
      <c r="L109" s="7" t="str">
        <f>IF(BudgetsTable[[#This Row],[pi_last_name]]=" ","",HYPERLINK("https://www.ejacket.nsf.gov/ej/showProposal.do?Continue=Y&amp;ID="&amp;BudgetsTable[[#This Row],[prop_id]],BudgetsTable[[#This Row],[prop_id]]))</f>
        <v/>
      </c>
      <c r="M109" s="15" t="str">
        <f>IF(BudgetsTable[[#This Row],[pi_last_name]]=" ","",HYPERLINK("https://www.ejacket.nsf.gov/ej/processReviewAnalysis.do?dispatch=add&amp;uniqId="&amp;BudgetsTable[[#This Row],[prop_id]]&amp;PO_id,"&gt;ra"))</f>
        <v/>
      </c>
      <c r="N109" s="80" t="s">
        <v>13</v>
      </c>
      <c r="O109" s="7" t="str">
        <f>IF(BudgetsTable[[#This Row],[pi_last_name]]=" ","",HYPERLINK("mailto:"&amp;BudgetsTable[[#This Row],[pi_email]]&amp;"&amp;subject=Your NSF Proposal:  "&amp;BudgetsTable[[#This Row],[prop_id]],BudgetsTable[[#This Row],[pi_email]]))</f>
        <v/>
      </c>
      <c r="P109" s="80" t="s">
        <v>13</v>
      </c>
      <c r="Q109" s="80">
        <v>1</v>
      </c>
      <c r="R109" s="80">
        <v>1</v>
      </c>
      <c r="S109" s="81">
        <v>51504</v>
      </c>
      <c r="T109" s="81">
        <v>0</v>
      </c>
      <c r="U109" s="81">
        <v>0</v>
      </c>
      <c r="V109" s="82">
        <v>207273</v>
      </c>
      <c r="W109" s="80">
        <v>0</v>
      </c>
      <c r="X109" s="80">
        <v>2</v>
      </c>
      <c r="Y109" s="11" t="str">
        <f ca="1">IF(ISBLANK(BudgetsTable[[#This Row],[budg_seq_yr]]),"FY"&amp;fiscalyear,"FY"&amp;fiscalyear-1+BudgetsTable[[#This Row],[budg_seq_yr]])</f>
        <v>FY19</v>
      </c>
      <c r="Z109" s="81">
        <v>207273</v>
      </c>
      <c r="AA109" s="80" t="s">
        <v>1124</v>
      </c>
      <c r="AB109" s="80" t="s">
        <v>1125</v>
      </c>
      <c r="AC109" s="108" t="s">
        <v>94</v>
      </c>
      <c r="AD109" s="80"/>
    </row>
    <row r="110" spans="1:30">
      <c r="A110" s="10" t="s">
        <v>1205</v>
      </c>
      <c r="B110" s="78" t="s">
        <v>450</v>
      </c>
      <c r="C110" s="78">
        <f>C109+(BudgetsTable[[#This Row],[lead]]&lt;&gt;K109)</f>
        <v>17</v>
      </c>
      <c r="D110" s="78">
        <f>D109*(BudgetsTable[[#This Row],[lead]]=K109)+(BudgetsTable[[#This Row],[prop_id]]&lt;&gt;A109)</f>
        <v>2</v>
      </c>
      <c r="E110" s="79">
        <v>42800.517361111109</v>
      </c>
      <c r="F110" s="80" t="s">
        <v>1123</v>
      </c>
      <c r="G110" s="80" t="s">
        <v>1124</v>
      </c>
      <c r="H110" s="80" t="s">
        <v>1125</v>
      </c>
      <c r="I110" s="78" t="s">
        <v>596</v>
      </c>
      <c r="J110" s="78" t="s">
        <v>13</v>
      </c>
      <c r="K110" s="80" t="s">
        <v>666</v>
      </c>
      <c r="L110" s="7" t="str">
        <f>IF(BudgetsTable[[#This Row],[pi_last_name]]=" ","",HYPERLINK("https://www.ejacket.nsf.gov/ej/showProposal.do?Continue=Y&amp;ID="&amp;BudgetsTable[[#This Row],[prop_id]],BudgetsTable[[#This Row],[prop_id]]))</f>
        <v/>
      </c>
      <c r="M110" s="15" t="str">
        <f>IF(BudgetsTable[[#This Row],[pi_last_name]]=" ","",HYPERLINK("https://www.ejacket.nsf.gov/ej/processReviewAnalysis.do?dispatch=add&amp;uniqId="&amp;BudgetsTable[[#This Row],[prop_id]]&amp;PO_id,"&gt;ra"))</f>
        <v/>
      </c>
      <c r="N110" s="80" t="s">
        <v>13</v>
      </c>
      <c r="O110" s="7" t="str">
        <f>IF(BudgetsTable[[#This Row],[pi_last_name]]=" ","",HYPERLINK("mailto:"&amp;BudgetsTable[[#This Row],[pi_email]]&amp;"&amp;subject=Your NSF Proposal:  "&amp;BudgetsTable[[#This Row],[prop_id]],BudgetsTable[[#This Row],[pi_email]]))</f>
        <v/>
      </c>
      <c r="P110" s="80" t="s">
        <v>13</v>
      </c>
      <c r="Q110" s="80">
        <v>1</v>
      </c>
      <c r="R110" s="80">
        <v>1</v>
      </c>
      <c r="S110" s="81">
        <v>0</v>
      </c>
      <c r="T110" s="81">
        <v>0</v>
      </c>
      <c r="U110" s="81">
        <v>0</v>
      </c>
      <c r="V110" s="82">
        <v>95812</v>
      </c>
      <c r="W110" s="80">
        <v>0</v>
      </c>
      <c r="X110" s="80">
        <v>3</v>
      </c>
      <c r="Y110" s="11" t="str">
        <f ca="1">IF(ISBLANK(BudgetsTable[[#This Row],[budg_seq_yr]]),"FY"&amp;fiscalyear,"FY"&amp;fiscalyear-1+BudgetsTable[[#This Row],[budg_seq_yr]])</f>
        <v>FY20</v>
      </c>
      <c r="Z110" s="81">
        <v>95812</v>
      </c>
      <c r="AA110" s="80" t="s">
        <v>1124</v>
      </c>
      <c r="AB110" s="80" t="s">
        <v>1125</v>
      </c>
      <c r="AC110" s="108" t="s">
        <v>94</v>
      </c>
      <c r="AD110" s="80"/>
    </row>
    <row r="111" spans="1:30">
      <c r="A111" s="10" t="s">
        <v>1205</v>
      </c>
      <c r="B111" s="78" t="s">
        <v>450</v>
      </c>
      <c r="C111" s="78">
        <f>C110+(BudgetsTable[[#This Row],[lead]]&lt;&gt;K110)</f>
        <v>17</v>
      </c>
      <c r="D111" s="78">
        <f>D110*(BudgetsTable[[#This Row],[lead]]=K110)+(BudgetsTable[[#This Row],[prop_id]]&lt;&gt;A110)</f>
        <v>2</v>
      </c>
      <c r="E111" s="79">
        <v>42800.517361111109</v>
      </c>
      <c r="F111" s="80" t="s">
        <v>1123</v>
      </c>
      <c r="G111" s="80" t="s">
        <v>1124</v>
      </c>
      <c r="H111" s="80" t="s">
        <v>1125</v>
      </c>
      <c r="I111" s="78" t="s">
        <v>596</v>
      </c>
      <c r="J111" s="78" t="s">
        <v>13</v>
      </c>
      <c r="K111" s="80" t="s">
        <v>666</v>
      </c>
      <c r="L111" s="7" t="str">
        <f>IF(BudgetsTable[[#This Row],[pi_last_name]]=" ","",HYPERLINK("https://www.ejacket.nsf.gov/ej/showProposal.do?Continue=Y&amp;ID="&amp;BudgetsTable[[#This Row],[prop_id]],BudgetsTable[[#This Row],[prop_id]]))</f>
        <v/>
      </c>
      <c r="M111" s="15" t="str">
        <f>IF(BudgetsTable[[#This Row],[pi_last_name]]=" ","",HYPERLINK("https://www.ejacket.nsf.gov/ej/processReviewAnalysis.do?dispatch=add&amp;uniqId="&amp;BudgetsTable[[#This Row],[prop_id]]&amp;PO_id,"&gt;ra"))</f>
        <v/>
      </c>
      <c r="N111" s="80" t="s">
        <v>13</v>
      </c>
      <c r="O111" s="7" t="str">
        <f>IF(BudgetsTable[[#This Row],[pi_last_name]]=" ","",HYPERLINK("mailto:"&amp;BudgetsTable[[#This Row],[pi_email]]&amp;"&amp;subject=Your NSF Proposal:  "&amp;BudgetsTable[[#This Row],[prop_id]],BudgetsTable[[#This Row],[pi_email]]))</f>
        <v/>
      </c>
      <c r="P111" s="80" t="s">
        <v>13</v>
      </c>
      <c r="Q111" s="80">
        <v>1</v>
      </c>
      <c r="R111" s="80">
        <v>1</v>
      </c>
      <c r="S111" s="81">
        <v>0</v>
      </c>
      <c r="T111" s="81">
        <v>0</v>
      </c>
      <c r="U111" s="81">
        <v>0</v>
      </c>
      <c r="V111" s="82">
        <v>101529</v>
      </c>
      <c r="W111" s="80">
        <v>0</v>
      </c>
      <c r="X111" s="80">
        <v>4</v>
      </c>
      <c r="Y111" s="11" t="str">
        <f ca="1">IF(ISBLANK(BudgetsTable[[#This Row],[budg_seq_yr]]),"FY"&amp;fiscalyear,"FY"&amp;fiscalyear-1+BudgetsTable[[#This Row],[budg_seq_yr]])</f>
        <v>FY21</v>
      </c>
      <c r="Z111" s="81">
        <v>101529</v>
      </c>
      <c r="AA111" s="80" t="s">
        <v>1124</v>
      </c>
      <c r="AB111" s="80" t="s">
        <v>1125</v>
      </c>
      <c r="AC111" s="108" t="s">
        <v>94</v>
      </c>
      <c r="AD111" s="80"/>
    </row>
    <row r="112" spans="1:30">
      <c r="A112" s="10" t="s">
        <v>1205</v>
      </c>
      <c r="B112" s="78" t="s">
        <v>450</v>
      </c>
      <c r="C112" s="78">
        <f>C111+(BudgetsTable[[#This Row],[lead]]&lt;&gt;K111)</f>
        <v>17</v>
      </c>
      <c r="D112" s="78">
        <f>D111*(BudgetsTable[[#This Row],[lead]]=K111)+(BudgetsTable[[#This Row],[prop_id]]&lt;&gt;A111)</f>
        <v>2</v>
      </c>
      <c r="E112" s="79">
        <v>42800.517361111109</v>
      </c>
      <c r="F112" s="80" t="s">
        <v>1123</v>
      </c>
      <c r="G112" s="80" t="s">
        <v>1124</v>
      </c>
      <c r="H112" s="80" t="s">
        <v>1125</v>
      </c>
      <c r="I112" s="78" t="s">
        <v>596</v>
      </c>
      <c r="J112" s="78" t="s">
        <v>13</v>
      </c>
      <c r="K112" s="80" t="s">
        <v>666</v>
      </c>
      <c r="L112" s="7" t="str">
        <f>IF(BudgetsTable[[#This Row],[pi_last_name]]=" ","",HYPERLINK("https://www.ejacket.nsf.gov/ej/showProposal.do?Continue=Y&amp;ID="&amp;BudgetsTable[[#This Row],[prop_id]],BudgetsTable[[#This Row],[prop_id]]))</f>
        <v/>
      </c>
      <c r="M112" s="15" t="str">
        <f>IF(BudgetsTable[[#This Row],[pi_last_name]]=" ","",HYPERLINK("https://www.ejacket.nsf.gov/ej/processReviewAnalysis.do?dispatch=add&amp;uniqId="&amp;BudgetsTable[[#This Row],[prop_id]]&amp;PO_id,"&gt;ra"))</f>
        <v/>
      </c>
      <c r="N112" s="80" t="s">
        <v>13</v>
      </c>
      <c r="O112" s="7" t="str">
        <f>IF(BudgetsTable[[#This Row],[pi_last_name]]=" ","",HYPERLINK("mailto:"&amp;BudgetsTable[[#This Row],[pi_email]]&amp;"&amp;subject=Your NSF Proposal:  "&amp;BudgetsTable[[#This Row],[prop_id]],BudgetsTable[[#This Row],[pi_email]]))</f>
        <v/>
      </c>
      <c r="P112" s="80" t="s">
        <v>13</v>
      </c>
      <c r="Q112" s="80">
        <v>1</v>
      </c>
      <c r="R112" s="80">
        <v>1</v>
      </c>
      <c r="S112" s="81">
        <v>0</v>
      </c>
      <c r="T112" s="81">
        <v>0</v>
      </c>
      <c r="U112" s="81">
        <v>0</v>
      </c>
      <c r="V112" s="82">
        <v>104599</v>
      </c>
      <c r="W112" s="80">
        <v>0</v>
      </c>
      <c r="X112" s="80">
        <v>5</v>
      </c>
      <c r="Y112" s="11" t="str">
        <f ca="1">IF(ISBLANK(BudgetsTable[[#This Row],[budg_seq_yr]]),"FY"&amp;fiscalyear,"FY"&amp;fiscalyear-1+BudgetsTable[[#This Row],[budg_seq_yr]])</f>
        <v>FY22</v>
      </c>
      <c r="Z112" s="81">
        <v>104599</v>
      </c>
      <c r="AA112" s="80" t="s">
        <v>1124</v>
      </c>
      <c r="AB112" s="80" t="s">
        <v>1125</v>
      </c>
      <c r="AC112" s="108" t="s">
        <v>94</v>
      </c>
      <c r="AD112" s="80"/>
    </row>
    <row r="113" spans="1:30">
      <c r="A113" s="10" t="s">
        <v>1209</v>
      </c>
      <c r="B113" s="78" t="s">
        <v>450</v>
      </c>
      <c r="C113" s="78">
        <f>C112+(BudgetsTable[[#This Row],[lead]]&lt;&gt;K112)</f>
        <v>17</v>
      </c>
      <c r="D113" s="78">
        <f>D112*(BudgetsTable[[#This Row],[lead]]=K112)+(BudgetsTable[[#This Row],[prop_id]]&lt;&gt;A112)</f>
        <v>3</v>
      </c>
      <c r="E113" s="79">
        <v>42800.601388888892</v>
      </c>
      <c r="F113" s="80" t="s">
        <v>1123</v>
      </c>
      <c r="G113" s="80" t="s">
        <v>1124</v>
      </c>
      <c r="H113" s="80" t="s">
        <v>1125</v>
      </c>
      <c r="I113" s="78" t="s">
        <v>596</v>
      </c>
      <c r="J113" s="78" t="s">
        <v>1213</v>
      </c>
      <c r="K113" s="80" t="s">
        <v>666</v>
      </c>
      <c r="L113" s="7" t="str">
        <f>IF(BudgetsTable[[#This Row],[pi_last_name]]=" ","",HYPERLINK("https://www.ejacket.nsf.gov/ej/showProposal.do?Continue=Y&amp;ID="&amp;BudgetsTable[[#This Row],[prop_id]],BudgetsTable[[#This Row],[prop_id]]))</f>
        <v>1739527</v>
      </c>
      <c r="M113" s="15" t="str">
        <f>IF(BudgetsTable[[#This Row],[pi_last_name]]=" ","",HYPERLINK("https://www.ejacket.nsf.gov/ej/processReviewAnalysis.do?dispatch=add&amp;uniqId="&amp;BudgetsTable[[#This Row],[prop_id]]&amp;PO_id,"&gt;ra"))</f>
        <v>&gt;ra</v>
      </c>
      <c r="N113" s="80" t="s">
        <v>1210</v>
      </c>
      <c r="O113" s="7" t="str">
        <f>IF(BudgetsTable[[#This Row],[pi_last_name]]=" ","",HYPERLINK("mailto:"&amp;BudgetsTable[[#This Row],[pi_email]]&amp;"&amp;subject=Your NSF Proposal:  "&amp;BudgetsTable[[#This Row],[prop_id]],BudgetsTable[[#This Row],[pi_email]]))</f>
        <v>ucali@uncc.edu</v>
      </c>
      <c r="P113" s="80" t="s">
        <v>1212</v>
      </c>
      <c r="Q113" s="80"/>
      <c r="R113" s="80"/>
      <c r="S113" s="81"/>
      <c r="T113" s="81"/>
      <c r="U113" s="81"/>
      <c r="V113" s="82"/>
      <c r="W113" s="80">
        <v>0</v>
      </c>
      <c r="X113" s="80"/>
      <c r="Y113" s="11" t="str">
        <f ca="1">IF(ISBLANK(BudgetsTable[[#This Row],[budg_seq_yr]]),"FY"&amp;fiscalyear,"FY"&amp;fiscalyear-1+BudgetsTable[[#This Row],[budg_seq_yr]])</f>
        <v>FY18</v>
      </c>
      <c r="Z113" s="81">
        <v>1298699</v>
      </c>
      <c r="AA113" s="80" t="s">
        <v>1124</v>
      </c>
      <c r="AB113" s="80" t="s">
        <v>1125</v>
      </c>
      <c r="AC113" s="108" t="s">
        <v>94</v>
      </c>
      <c r="AD113" s="80"/>
    </row>
    <row r="114" spans="1:30">
      <c r="A114" s="10" t="s">
        <v>1209</v>
      </c>
      <c r="B114" s="78" t="s">
        <v>450</v>
      </c>
      <c r="C114" s="78">
        <f>C113+(BudgetsTable[[#This Row],[lead]]&lt;&gt;K113)</f>
        <v>17</v>
      </c>
      <c r="D114" s="78">
        <f>D113*(BudgetsTable[[#This Row],[lead]]=K113)+(BudgetsTable[[#This Row],[prop_id]]&lt;&gt;A113)</f>
        <v>3</v>
      </c>
      <c r="E114" s="79">
        <v>42800.601388888892</v>
      </c>
      <c r="F114" s="80" t="s">
        <v>1123</v>
      </c>
      <c r="G114" s="80" t="s">
        <v>1124</v>
      </c>
      <c r="H114" s="80" t="s">
        <v>1125</v>
      </c>
      <c r="I114" s="78" t="s">
        <v>596</v>
      </c>
      <c r="J114" s="78" t="s">
        <v>13</v>
      </c>
      <c r="K114" s="80" t="s">
        <v>666</v>
      </c>
      <c r="L114" s="7" t="str">
        <f>IF(BudgetsTable[[#This Row],[pi_last_name]]=" ","",HYPERLINK("https://www.ejacket.nsf.gov/ej/showProposal.do?Continue=Y&amp;ID="&amp;BudgetsTable[[#This Row],[prop_id]],BudgetsTable[[#This Row],[prop_id]]))</f>
        <v/>
      </c>
      <c r="M114" s="15" t="str">
        <f>IF(BudgetsTable[[#This Row],[pi_last_name]]=" ","",HYPERLINK("https://www.ejacket.nsf.gov/ej/processReviewAnalysis.do?dispatch=add&amp;uniqId="&amp;BudgetsTable[[#This Row],[prop_id]]&amp;PO_id,"&gt;ra"))</f>
        <v/>
      </c>
      <c r="N114" s="80" t="s">
        <v>13</v>
      </c>
      <c r="O114" s="7" t="str">
        <f>IF(BudgetsTable[[#This Row],[pi_last_name]]=" ","",HYPERLINK("mailto:"&amp;BudgetsTable[[#This Row],[pi_email]]&amp;"&amp;subject=Your NSF Proposal:  "&amp;BudgetsTable[[#This Row],[prop_id]],BudgetsTable[[#This Row],[pi_email]]))</f>
        <v/>
      </c>
      <c r="P114" s="80" t="s">
        <v>13</v>
      </c>
      <c r="Q114" s="80">
        <v>3</v>
      </c>
      <c r="R114" s="80">
        <v>2.5</v>
      </c>
      <c r="S114" s="81">
        <v>0</v>
      </c>
      <c r="T114" s="81">
        <v>0</v>
      </c>
      <c r="U114" s="81">
        <v>0</v>
      </c>
      <c r="V114" s="82">
        <v>188503</v>
      </c>
      <c r="W114" s="80">
        <v>0</v>
      </c>
      <c r="X114" s="80">
        <v>1</v>
      </c>
      <c r="Y114" s="11" t="str">
        <f ca="1">IF(ISBLANK(BudgetsTable[[#This Row],[budg_seq_yr]]),"FY"&amp;fiscalyear,"FY"&amp;fiscalyear-1+BudgetsTable[[#This Row],[budg_seq_yr]])</f>
        <v>FY18</v>
      </c>
      <c r="Z114" s="81">
        <v>188503</v>
      </c>
      <c r="AA114" s="80" t="s">
        <v>1124</v>
      </c>
      <c r="AB114" s="80" t="s">
        <v>1125</v>
      </c>
      <c r="AC114" s="108" t="s">
        <v>94</v>
      </c>
      <c r="AD114" s="80"/>
    </row>
    <row r="115" spans="1:30">
      <c r="A115" s="10" t="s">
        <v>1209</v>
      </c>
      <c r="B115" s="78" t="s">
        <v>450</v>
      </c>
      <c r="C115" s="78">
        <f>C114+(BudgetsTable[[#This Row],[lead]]&lt;&gt;K114)</f>
        <v>17</v>
      </c>
      <c r="D115" s="78">
        <f>D114*(BudgetsTable[[#This Row],[lead]]=K114)+(BudgetsTable[[#This Row],[prop_id]]&lt;&gt;A114)</f>
        <v>3</v>
      </c>
      <c r="E115" s="79">
        <v>42800.601388888892</v>
      </c>
      <c r="F115" s="80" t="s">
        <v>1123</v>
      </c>
      <c r="G115" s="80" t="s">
        <v>1124</v>
      </c>
      <c r="H115" s="80" t="s">
        <v>1125</v>
      </c>
      <c r="I115" s="78" t="s">
        <v>596</v>
      </c>
      <c r="J115" s="78" t="s">
        <v>13</v>
      </c>
      <c r="K115" s="80" t="s">
        <v>666</v>
      </c>
      <c r="L115" s="7" t="str">
        <f>IF(BudgetsTable[[#This Row],[pi_last_name]]=" ","",HYPERLINK("https://www.ejacket.nsf.gov/ej/showProposal.do?Continue=Y&amp;ID="&amp;BudgetsTable[[#This Row],[prop_id]],BudgetsTable[[#This Row],[prop_id]]))</f>
        <v/>
      </c>
      <c r="M115" s="15" t="str">
        <f>IF(BudgetsTable[[#This Row],[pi_last_name]]=" ","",HYPERLINK("https://www.ejacket.nsf.gov/ej/processReviewAnalysis.do?dispatch=add&amp;uniqId="&amp;BudgetsTable[[#This Row],[prop_id]]&amp;PO_id,"&gt;ra"))</f>
        <v/>
      </c>
      <c r="N115" s="80" t="s">
        <v>13</v>
      </c>
      <c r="O115" s="7" t="str">
        <f>IF(BudgetsTable[[#This Row],[pi_last_name]]=" ","",HYPERLINK("mailto:"&amp;BudgetsTable[[#This Row],[pi_email]]&amp;"&amp;subject=Your NSF Proposal:  "&amp;BudgetsTable[[#This Row],[prop_id]],BudgetsTable[[#This Row],[pi_email]]))</f>
        <v/>
      </c>
      <c r="P115" s="80" t="s">
        <v>13</v>
      </c>
      <c r="Q115" s="80">
        <v>3</v>
      </c>
      <c r="R115" s="80">
        <v>2.5</v>
      </c>
      <c r="S115" s="81">
        <v>0</v>
      </c>
      <c r="T115" s="81">
        <v>0</v>
      </c>
      <c r="U115" s="81">
        <v>0</v>
      </c>
      <c r="V115" s="82">
        <v>286195</v>
      </c>
      <c r="W115" s="80">
        <v>0</v>
      </c>
      <c r="X115" s="80">
        <v>2</v>
      </c>
      <c r="Y115" s="11" t="str">
        <f ca="1">IF(ISBLANK(BudgetsTable[[#This Row],[budg_seq_yr]]),"FY"&amp;fiscalyear,"FY"&amp;fiscalyear-1+BudgetsTable[[#This Row],[budg_seq_yr]])</f>
        <v>FY19</v>
      </c>
      <c r="Z115" s="81">
        <v>286195</v>
      </c>
      <c r="AA115" s="80" t="s">
        <v>1124</v>
      </c>
      <c r="AB115" s="80" t="s">
        <v>1125</v>
      </c>
      <c r="AC115" s="108" t="s">
        <v>94</v>
      </c>
      <c r="AD115" s="80"/>
    </row>
    <row r="116" spans="1:30">
      <c r="A116" s="10" t="s">
        <v>1209</v>
      </c>
      <c r="B116" s="78" t="s">
        <v>450</v>
      </c>
      <c r="C116" s="78">
        <f>C115+(BudgetsTable[[#This Row],[lead]]&lt;&gt;K115)</f>
        <v>17</v>
      </c>
      <c r="D116" s="78">
        <f>D115*(BudgetsTable[[#This Row],[lead]]=K115)+(BudgetsTable[[#This Row],[prop_id]]&lt;&gt;A115)</f>
        <v>3</v>
      </c>
      <c r="E116" s="79">
        <v>42800.601388888892</v>
      </c>
      <c r="F116" s="80" t="s">
        <v>1123</v>
      </c>
      <c r="G116" s="80" t="s">
        <v>1124</v>
      </c>
      <c r="H116" s="80" t="s">
        <v>1125</v>
      </c>
      <c r="I116" s="78" t="s">
        <v>596</v>
      </c>
      <c r="J116" s="78" t="s">
        <v>13</v>
      </c>
      <c r="K116" s="80" t="s">
        <v>666</v>
      </c>
      <c r="L116" s="7" t="str">
        <f>IF(BudgetsTable[[#This Row],[pi_last_name]]=" ","",HYPERLINK("https://www.ejacket.nsf.gov/ej/showProposal.do?Continue=Y&amp;ID="&amp;BudgetsTable[[#This Row],[prop_id]],BudgetsTable[[#This Row],[prop_id]]))</f>
        <v/>
      </c>
      <c r="M116" s="15" t="str">
        <f>IF(BudgetsTable[[#This Row],[pi_last_name]]=" ","",HYPERLINK("https://www.ejacket.nsf.gov/ej/processReviewAnalysis.do?dispatch=add&amp;uniqId="&amp;BudgetsTable[[#This Row],[prop_id]]&amp;PO_id,"&gt;ra"))</f>
        <v/>
      </c>
      <c r="N116" s="80" t="s">
        <v>13</v>
      </c>
      <c r="O116" s="7" t="str">
        <f>IF(BudgetsTable[[#This Row],[pi_last_name]]=" ","",HYPERLINK("mailto:"&amp;BudgetsTable[[#This Row],[pi_email]]&amp;"&amp;subject=Your NSF Proposal:  "&amp;BudgetsTable[[#This Row],[prop_id]],BudgetsTable[[#This Row],[pi_email]]))</f>
        <v/>
      </c>
      <c r="P116" s="80" t="s">
        <v>13</v>
      </c>
      <c r="Q116" s="80">
        <v>3</v>
      </c>
      <c r="R116" s="80">
        <v>2.5</v>
      </c>
      <c r="S116" s="81">
        <v>0</v>
      </c>
      <c r="T116" s="81">
        <v>0</v>
      </c>
      <c r="U116" s="81">
        <v>0</v>
      </c>
      <c r="V116" s="82">
        <v>281295</v>
      </c>
      <c r="W116" s="80">
        <v>0</v>
      </c>
      <c r="X116" s="80">
        <v>3</v>
      </c>
      <c r="Y116" s="11" t="str">
        <f ca="1">IF(ISBLANK(BudgetsTable[[#This Row],[budg_seq_yr]]),"FY"&amp;fiscalyear,"FY"&amp;fiscalyear-1+BudgetsTable[[#This Row],[budg_seq_yr]])</f>
        <v>FY20</v>
      </c>
      <c r="Z116" s="81">
        <v>281295</v>
      </c>
      <c r="AA116" s="80" t="s">
        <v>1124</v>
      </c>
      <c r="AB116" s="80" t="s">
        <v>1125</v>
      </c>
      <c r="AC116" s="108" t="s">
        <v>94</v>
      </c>
      <c r="AD116" s="80"/>
    </row>
    <row r="117" spans="1:30">
      <c r="A117" s="10" t="s">
        <v>1209</v>
      </c>
      <c r="B117" s="78" t="s">
        <v>450</v>
      </c>
      <c r="C117" s="78">
        <f>C116+(BudgetsTable[[#This Row],[lead]]&lt;&gt;K116)</f>
        <v>17</v>
      </c>
      <c r="D117" s="78">
        <f>D116*(BudgetsTable[[#This Row],[lead]]=K116)+(BudgetsTable[[#This Row],[prop_id]]&lt;&gt;A116)</f>
        <v>3</v>
      </c>
      <c r="E117" s="79">
        <v>42800.601388888892</v>
      </c>
      <c r="F117" s="80" t="s">
        <v>1123</v>
      </c>
      <c r="G117" s="80" t="s">
        <v>1124</v>
      </c>
      <c r="H117" s="80" t="s">
        <v>1125</v>
      </c>
      <c r="I117" s="78" t="s">
        <v>596</v>
      </c>
      <c r="J117" s="78" t="s">
        <v>13</v>
      </c>
      <c r="K117" s="80" t="s">
        <v>666</v>
      </c>
      <c r="L117" s="7" t="str">
        <f>IF(BudgetsTable[[#This Row],[pi_last_name]]=" ","",HYPERLINK("https://www.ejacket.nsf.gov/ej/showProposal.do?Continue=Y&amp;ID="&amp;BudgetsTable[[#This Row],[prop_id]],BudgetsTable[[#This Row],[prop_id]]))</f>
        <v/>
      </c>
      <c r="M117" s="15" t="str">
        <f>IF(BudgetsTable[[#This Row],[pi_last_name]]=" ","",HYPERLINK("https://www.ejacket.nsf.gov/ej/processReviewAnalysis.do?dispatch=add&amp;uniqId="&amp;BudgetsTable[[#This Row],[prop_id]]&amp;PO_id,"&gt;ra"))</f>
        <v/>
      </c>
      <c r="N117" s="80" t="s">
        <v>13</v>
      </c>
      <c r="O117" s="7" t="str">
        <f>IF(BudgetsTable[[#This Row],[pi_last_name]]=" ","",HYPERLINK("mailto:"&amp;BudgetsTable[[#This Row],[pi_email]]&amp;"&amp;subject=Your NSF Proposal:  "&amp;BudgetsTable[[#This Row],[prop_id]],BudgetsTable[[#This Row],[pi_email]]))</f>
        <v/>
      </c>
      <c r="P117" s="80" t="s">
        <v>13</v>
      </c>
      <c r="Q117" s="80">
        <v>3</v>
      </c>
      <c r="R117" s="80">
        <v>2.5</v>
      </c>
      <c r="S117" s="81">
        <v>51515</v>
      </c>
      <c r="T117" s="81">
        <v>0</v>
      </c>
      <c r="U117" s="81">
        <v>0</v>
      </c>
      <c r="V117" s="82">
        <v>322789</v>
      </c>
      <c r="W117" s="80">
        <v>0</v>
      </c>
      <c r="X117" s="80">
        <v>4</v>
      </c>
      <c r="Y117" s="11" t="str">
        <f ca="1">IF(ISBLANK(BudgetsTable[[#This Row],[budg_seq_yr]]),"FY"&amp;fiscalyear,"FY"&amp;fiscalyear-1+BudgetsTable[[#This Row],[budg_seq_yr]])</f>
        <v>FY21</v>
      </c>
      <c r="Z117" s="81">
        <v>322789</v>
      </c>
      <c r="AA117" s="80" t="s">
        <v>1124</v>
      </c>
      <c r="AB117" s="80" t="s">
        <v>1125</v>
      </c>
      <c r="AC117" s="108" t="s">
        <v>94</v>
      </c>
      <c r="AD117" s="80"/>
    </row>
    <row r="118" spans="1:30">
      <c r="A118" s="10" t="s">
        <v>1209</v>
      </c>
      <c r="B118" s="78" t="s">
        <v>450</v>
      </c>
      <c r="C118" s="78">
        <f>C117+(BudgetsTable[[#This Row],[lead]]&lt;&gt;K117)</f>
        <v>17</v>
      </c>
      <c r="D118" s="78">
        <f>D117*(BudgetsTable[[#This Row],[lead]]=K117)+(BudgetsTable[[#This Row],[prop_id]]&lt;&gt;A117)</f>
        <v>3</v>
      </c>
      <c r="E118" s="79">
        <v>42800.601388888892</v>
      </c>
      <c r="F118" s="80" t="s">
        <v>1123</v>
      </c>
      <c r="G118" s="80" t="s">
        <v>1124</v>
      </c>
      <c r="H118" s="80" t="s">
        <v>1125</v>
      </c>
      <c r="I118" s="78" t="s">
        <v>596</v>
      </c>
      <c r="J118" s="78" t="s">
        <v>13</v>
      </c>
      <c r="K118" s="80" t="s">
        <v>666</v>
      </c>
      <c r="L118" s="7" t="str">
        <f>IF(BudgetsTable[[#This Row],[pi_last_name]]=" ","",HYPERLINK("https://www.ejacket.nsf.gov/ej/showProposal.do?Continue=Y&amp;ID="&amp;BudgetsTable[[#This Row],[prop_id]],BudgetsTable[[#This Row],[prop_id]]))</f>
        <v/>
      </c>
      <c r="M118" s="15" t="str">
        <f>IF(BudgetsTable[[#This Row],[pi_last_name]]=" ","",HYPERLINK("https://www.ejacket.nsf.gov/ej/processReviewAnalysis.do?dispatch=add&amp;uniqId="&amp;BudgetsTable[[#This Row],[prop_id]]&amp;PO_id,"&gt;ra"))</f>
        <v/>
      </c>
      <c r="N118" s="80" t="s">
        <v>13</v>
      </c>
      <c r="O118" s="7" t="str">
        <f>IF(BudgetsTable[[#This Row],[pi_last_name]]=" ","",HYPERLINK("mailto:"&amp;BudgetsTable[[#This Row],[pi_email]]&amp;"&amp;subject=Your NSF Proposal:  "&amp;BudgetsTable[[#This Row],[prop_id]],BudgetsTable[[#This Row],[pi_email]]))</f>
        <v/>
      </c>
      <c r="P118" s="80" t="s">
        <v>13</v>
      </c>
      <c r="Q118" s="80">
        <v>3</v>
      </c>
      <c r="R118" s="80">
        <v>2.5</v>
      </c>
      <c r="S118" s="81">
        <v>26015</v>
      </c>
      <c r="T118" s="81">
        <v>0</v>
      </c>
      <c r="U118" s="81">
        <v>0</v>
      </c>
      <c r="V118" s="82">
        <v>219917</v>
      </c>
      <c r="W118" s="80">
        <v>0</v>
      </c>
      <c r="X118" s="80">
        <v>5</v>
      </c>
      <c r="Y118" s="11" t="str">
        <f ca="1">IF(ISBLANK(BudgetsTable[[#This Row],[budg_seq_yr]]),"FY"&amp;fiscalyear,"FY"&amp;fiscalyear-1+BudgetsTable[[#This Row],[budg_seq_yr]])</f>
        <v>FY22</v>
      </c>
      <c r="Z118" s="81">
        <v>219917</v>
      </c>
      <c r="AA118" s="80" t="s">
        <v>1124</v>
      </c>
      <c r="AB118" s="80" t="s">
        <v>1125</v>
      </c>
      <c r="AC118" s="108" t="s">
        <v>94</v>
      </c>
      <c r="AD118" s="80"/>
    </row>
    <row r="119" spans="1:30">
      <c r="A119" s="10" t="s">
        <v>1214</v>
      </c>
      <c r="B119" s="78" t="s">
        <v>450</v>
      </c>
      <c r="C119" s="78">
        <f>C118+(BudgetsTable[[#This Row],[lead]]&lt;&gt;K118)</f>
        <v>17</v>
      </c>
      <c r="D119" s="78">
        <f>D118*(BudgetsTable[[#This Row],[lead]]=K118)+(BudgetsTable[[#This Row],[prop_id]]&lt;&gt;A118)</f>
        <v>4</v>
      </c>
      <c r="E119" s="79">
        <v>42800.695138888892</v>
      </c>
      <c r="F119" s="80" t="s">
        <v>1123</v>
      </c>
      <c r="G119" s="80" t="s">
        <v>1124</v>
      </c>
      <c r="H119" s="80" t="s">
        <v>1125</v>
      </c>
      <c r="I119" s="78" t="s">
        <v>596</v>
      </c>
      <c r="J119" s="78" t="s">
        <v>1217</v>
      </c>
      <c r="K119" s="80" t="s">
        <v>666</v>
      </c>
      <c r="L119" s="7" t="str">
        <f>IF(BudgetsTable[[#This Row],[pi_last_name]]=" ","",HYPERLINK("https://www.ejacket.nsf.gov/ej/showProposal.do?Continue=Y&amp;ID="&amp;BudgetsTable[[#This Row],[prop_id]],BudgetsTable[[#This Row],[prop_id]]))</f>
        <v>1739877</v>
      </c>
      <c r="M119" s="15" t="str">
        <f>IF(BudgetsTable[[#This Row],[pi_last_name]]=" ","",HYPERLINK("https://www.ejacket.nsf.gov/ej/processReviewAnalysis.do?dispatch=add&amp;uniqId="&amp;BudgetsTable[[#This Row],[prop_id]]&amp;PO_id,"&gt;ra"))</f>
        <v>&gt;ra</v>
      </c>
      <c r="N119" s="80" t="s">
        <v>1215</v>
      </c>
      <c r="O119" s="7" t="str">
        <f>IF(BudgetsTable[[#This Row],[pi_last_name]]=" ","",HYPERLINK("mailto:"&amp;BudgetsTable[[#This Row],[pi_email]]&amp;"&amp;subject=Your NSF Proposal:  "&amp;BudgetsTable[[#This Row],[prop_id]],BudgetsTable[[#This Row],[pi_email]]))</f>
        <v>walids@vt.edu</v>
      </c>
      <c r="P119" s="80" t="s">
        <v>361</v>
      </c>
      <c r="Q119" s="80"/>
      <c r="R119" s="80"/>
      <c r="S119" s="81"/>
      <c r="T119" s="81"/>
      <c r="U119" s="81"/>
      <c r="V119" s="82"/>
      <c r="W119" s="80">
        <v>0</v>
      </c>
      <c r="X119" s="80"/>
      <c r="Y119" s="11" t="str">
        <f ca="1">IF(ISBLANK(BudgetsTable[[#This Row],[budg_seq_yr]]),"FY"&amp;fiscalyear,"FY"&amp;fiscalyear-1+BudgetsTable[[#This Row],[budg_seq_yr]])</f>
        <v>FY18</v>
      </c>
      <c r="Z119" s="81">
        <v>1407104</v>
      </c>
      <c r="AA119" s="80" t="s">
        <v>1124</v>
      </c>
      <c r="AB119" s="80" t="s">
        <v>1125</v>
      </c>
      <c r="AC119" s="108" t="s">
        <v>94</v>
      </c>
      <c r="AD119" s="80"/>
    </row>
    <row r="120" spans="1:30">
      <c r="A120" s="10" t="s">
        <v>1214</v>
      </c>
      <c r="B120" s="78" t="s">
        <v>450</v>
      </c>
      <c r="C120" s="78">
        <f>C119+(BudgetsTable[[#This Row],[lead]]&lt;&gt;K119)</f>
        <v>17</v>
      </c>
      <c r="D120" s="78">
        <f>D119*(BudgetsTable[[#This Row],[lead]]=K119)+(BudgetsTable[[#This Row],[prop_id]]&lt;&gt;A119)</f>
        <v>4</v>
      </c>
      <c r="E120" s="79">
        <v>42800.695138888892</v>
      </c>
      <c r="F120" s="80" t="s">
        <v>1123</v>
      </c>
      <c r="G120" s="80" t="s">
        <v>1124</v>
      </c>
      <c r="H120" s="80" t="s">
        <v>1125</v>
      </c>
      <c r="I120" s="78" t="s">
        <v>596</v>
      </c>
      <c r="J120" s="78" t="s">
        <v>13</v>
      </c>
      <c r="K120" s="80" t="s">
        <v>666</v>
      </c>
      <c r="L120" s="7" t="str">
        <f>IF(BudgetsTable[[#This Row],[pi_last_name]]=" ","",HYPERLINK("https://www.ejacket.nsf.gov/ej/showProposal.do?Continue=Y&amp;ID="&amp;BudgetsTable[[#This Row],[prop_id]],BudgetsTable[[#This Row],[prop_id]]))</f>
        <v/>
      </c>
      <c r="M120" s="15" t="str">
        <f>IF(BudgetsTable[[#This Row],[pi_last_name]]=" ","",HYPERLINK("https://www.ejacket.nsf.gov/ej/processReviewAnalysis.do?dispatch=add&amp;uniqId="&amp;BudgetsTable[[#This Row],[prop_id]]&amp;PO_id,"&gt;ra"))</f>
        <v/>
      </c>
      <c r="N120" s="80" t="s">
        <v>13</v>
      </c>
      <c r="O120" s="7" t="str">
        <f>IF(BudgetsTable[[#This Row],[pi_last_name]]=" ","",HYPERLINK("mailto:"&amp;BudgetsTable[[#This Row],[pi_email]]&amp;"&amp;subject=Your NSF Proposal:  "&amp;BudgetsTable[[#This Row],[prop_id]],BudgetsTable[[#This Row],[pi_email]]))</f>
        <v/>
      </c>
      <c r="P120" s="80" t="s">
        <v>13</v>
      </c>
      <c r="Q120" s="80">
        <v>1</v>
      </c>
      <c r="R120" s="80">
        <v>0</v>
      </c>
      <c r="S120" s="81">
        <v>48080</v>
      </c>
      <c r="T120" s="81">
        <v>6000</v>
      </c>
      <c r="U120" s="81">
        <v>0</v>
      </c>
      <c r="V120" s="82">
        <v>283682</v>
      </c>
      <c r="W120" s="80">
        <v>0</v>
      </c>
      <c r="X120" s="80">
        <v>1</v>
      </c>
      <c r="Y120" s="11" t="str">
        <f ca="1">IF(ISBLANK(BudgetsTable[[#This Row],[budg_seq_yr]]),"FY"&amp;fiscalyear,"FY"&amp;fiscalyear-1+BudgetsTable[[#This Row],[budg_seq_yr]])</f>
        <v>FY18</v>
      </c>
      <c r="Z120" s="81">
        <v>283682</v>
      </c>
      <c r="AA120" s="80" t="s">
        <v>1124</v>
      </c>
      <c r="AB120" s="80" t="s">
        <v>1125</v>
      </c>
      <c r="AC120" s="108" t="s">
        <v>94</v>
      </c>
      <c r="AD120" s="80"/>
    </row>
    <row r="121" spans="1:30">
      <c r="A121" s="10" t="s">
        <v>1214</v>
      </c>
      <c r="B121" s="78" t="s">
        <v>450</v>
      </c>
      <c r="C121" s="78">
        <f>C120+(BudgetsTable[[#This Row],[lead]]&lt;&gt;K120)</f>
        <v>17</v>
      </c>
      <c r="D121" s="78">
        <f>D120*(BudgetsTable[[#This Row],[lead]]=K120)+(BudgetsTable[[#This Row],[prop_id]]&lt;&gt;A120)</f>
        <v>4</v>
      </c>
      <c r="E121" s="79">
        <v>42800.695138888892</v>
      </c>
      <c r="F121" s="80" t="s">
        <v>1123</v>
      </c>
      <c r="G121" s="80" t="s">
        <v>1124</v>
      </c>
      <c r="H121" s="80" t="s">
        <v>1125</v>
      </c>
      <c r="I121" s="78" t="s">
        <v>596</v>
      </c>
      <c r="J121" s="78" t="s">
        <v>13</v>
      </c>
      <c r="K121" s="80" t="s">
        <v>666</v>
      </c>
      <c r="L121" s="7" t="str">
        <f>IF(BudgetsTable[[#This Row],[pi_last_name]]=" ","",HYPERLINK("https://www.ejacket.nsf.gov/ej/showProposal.do?Continue=Y&amp;ID="&amp;BudgetsTable[[#This Row],[prop_id]],BudgetsTable[[#This Row],[prop_id]]))</f>
        <v/>
      </c>
      <c r="M121" s="15" t="str">
        <f>IF(BudgetsTable[[#This Row],[pi_last_name]]=" ","",HYPERLINK("https://www.ejacket.nsf.gov/ej/processReviewAnalysis.do?dispatch=add&amp;uniqId="&amp;BudgetsTable[[#This Row],[prop_id]]&amp;PO_id,"&gt;ra"))</f>
        <v/>
      </c>
      <c r="N121" s="80" t="s">
        <v>13</v>
      </c>
      <c r="O121" s="7" t="str">
        <f>IF(BudgetsTable[[#This Row],[pi_last_name]]=" ","",HYPERLINK("mailto:"&amp;BudgetsTable[[#This Row],[pi_email]]&amp;"&amp;subject=Your NSF Proposal:  "&amp;BudgetsTable[[#This Row],[prop_id]],BudgetsTable[[#This Row],[pi_email]]))</f>
        <v/>
      </c>
      <c r="P121" s="80" t="s">
        <v>13</v>
      </c>
      <c r="Q121" s="80">
        <v>2</v>
      </c>
      <c r="R121" s="80">
        <v>0</v>
      </c>
      <c r="S121" s="81">
        <v>50003</v>
      </c>
      <c r="T121" s="81">
        <v>4500</v>
      </c>
      <c r="U121" s="81">
        <v>0</v>
      </c>
      <c r="V121" s="82">
        <v>386013</v>
      </c>
      <c r="W121" s="80">
        <v>0</v>
      </c>
      <c r="X121" s="80">
        <v>2</v>
      </c>
      <c r="Y121" s="11" t="str">
        <f ca="1">IF(ISBLANK(BudgetsTable[[#This Row],[budg_seq_yr]]),"FY"&amp;fiscalyear,"FY"&amp;fiscalyear-1+BudgetsTable[[#This Row],[budg_seq_yr]])</f>
        <v>FY19</v>
      </c>
      <c r="Z121" s="81">
        <v>386013</v>
      </c>
      <c r="AA121" s="80" t="s">
        <v>1124</v>
      </c>
      <c r="AB121" s="80" t="s">
        <v>1125</v>
      </c>
      <c r="AC121" s="108" t="s">
        <v>94</v>
      </c>
      <c r="AD121" s="80"/>
    </row>
    <row r="122" spans="1:30">
      <c r="A122" s="10" t="s">
        <v>1214</v>
      </c>
      <c r="B122" s="78" t="s">
        <v>450</v>
      </c>
      <c r="C122" s="78">
        <f>C121+(BudgetsTable[[#This Row],[lead]]&lt;&gt;K121)</f>
        <v>17</v>
      </c>
      <c r="D122" s="78">
        <f>D121*(BudgetsTable[[#This Row],[lead]]=K121)+(BudgetsTable[[#This Row],[prop_id]]&lt;&gt;A121)</f>
        <v>4</v>
      </c>
      <c r="E122" s="79">
        <v>42800.695138888892</v>
      </c>
      <c r="F122" s="80" t="s">
        <v>1123</v>
      </c>
      <c r="G122" s="80" t="s">
        <v>1124</v>
      </c>
      <c r="H122" s="80" t="s">
        <v>1125</v>
      </c>
      <c r="I122" s="78" t="s">
        <v>596</v>
      </c>
      <c r="J122" s="78" t="s">
        <v>13</v>
      </c>
      <c r="K122" s="80" t="s">
        <v>666</v>
      </c>
      <c r="L122" s="7" t="str">
        <f>IF(BudgetsTable[[#This Row],[pi_last_name]]=" ","",HYPERLINK("https://www.ejacket.nsf.gov/ej/showProposal.do?Continue=Y&amp;ID="&amp;BudgetsTable[[#This Row],[prop_id]],BudgetsTable[[#This Row],[prop_id]]))</f>
        <v/>
      </c>
      <c r="M122" s="15" t="str">
        <f>IF(BudgetsTable[[#This Row],[pi_last_name]]=" ","",HYPERLINK("https://www.ejacket.nsf.gov/ej/processReviewAnalysis.do?dispatch=add&amp;uniqId="&amp;BudgetsTable[[#This Row],[prop_id]]&amp;PO_id,"&gt;ra"))</f>
        <v/>
      </c>
      <c r="N122" s="80" t="s">
        <v>13</v>
      </c>
      <c r="O122" s="7" t="str">
        <f>IF(BudgetsTable[[#This Row],[pi_last_name]]=" ","",HYPERLINK("mailto:"&amp;BudgetsTable[[#This Row],[pi_email]]&amp;"&amp;subject=Your NSF Proposal:  "&amp;BudgetsTable[[#This Row],[prop_id]],BudgetsTable[[#This Row],[pi_email]]))</f>
        <v/>
      </c>
      <c r="P122" s="80" t="s">
        <v>13</v>
      </c>
      <c r="Q122" s="80">
        <v>2</v>
      </c>
      <c r="R122" s="80">
        <v>1</v>
      </c>
      <c r="S122" s="81">
        <v>52003</v>
      </c>
      <c r="T122" s="81">
        <v>4000</v>
      </c>
      <c r="U122" s="81">
        <v>0</v>
      </c>
      <c r="V122" s="82">
        <v>325199</v>
      </c>
      <c r="W122" s="80">
        <v>0</v>
      </c>
      <c r="X122" s="80">
        <v>3</v>
      </c>
      <c r="Y122" s="11" t="str">
        <f ca="1">IF(ISBLANK(BudgetsTable[[#This Row],[budg_seq_yr]]),"FY"&amp;fiscalyear,"FY"&amp;fiscalyear-1+BudgetsTable[[#This Row],[budg_seq_yr]])</f>
        <v>FY20</v>
      </c>
      <c r="Z122" s="81">
        <v>325199</v>
      </c>
      <c r="AA122" s="80" t="s">
        <v>1124</v>
      </c>
      <c r="AB122" s="80" t="s">
        <v>1125</v>
      </c>
      <c r="AC122" s="108" t="s">
        <v>94</v>
      </c>
      <c r="AD122" s="80"/>
    </row>
    <row r="123" spans="1:30">
      <c r="A123" s="10" t="s">
        <v>1214</v>
      </c>
      <c r="B123" s="78" t="s">
        <v>450</v>
      </c>
      <c r="C123" s="78">
        <f>C122+(BudgetsTable[[#This Row],[lead]]&lt;&gt;K122)</f>
        <v>17</v>
      </c>
      <c r="D123" s="78">
        <f>D122*(BudgetsTable[[#This Row],[lead]]=K122)+(BudgetsTable[[#This Row],[prop_id]]&lt;&gt;A122)</f>
        <v>4</v>
      </c>
      <c r="E123" s="79">
        <v>42800.695138888892</v>
      </c>
      <c r="F123" s="80" t="s">
        <v>1123</v>
      </c>
      <c r="G123" s="80" t="s">
        <v>1124</v>
      </c>
      <c r="H123" s="80" t="s">
        <v>1125</v>
      </c>
      <c r="I123" s="78" t="s">
        <v>596</v>
      </c>
      <c r="J123" s="78" t="s">
        <v>13</v>
      </c>
      <c r="K123" s="80" t="s">
        <v>666</v>
      </c>
      <c r="L123" s="7" t="str">
        <f>IF(BudgetsTable[[#This Row],[pi_last_name]]=" ","",HYPERLINK("https://www.ejacket.nsf.gov/ej/showProposal.do?Continue=Y&amp;ID="&amp;BudgetsTable[[#This Row],[prop_id]],BudgetsTable[[#This Row],[prop_id]]))</f>
        <v/>
      </c>
      <c r="M123" s="15" t="str">
        <f>IF(BudgetsTable[[#This Row],[pi_last_name]]=" ","",HYPERLINK("https://www.ejacket.nsf.gov/ej/processReviewAnalysis.do?dispatch=add&amp;uniqId="&amp;BudgetsTable[[#This Row],[prop_id]]&amp;PO_id,"&gt;ra"))</f>
        <v/>
      </c>
      <c r="N123" s="80" t="s">
        <v>13</v>
      </c>
      <c r="O123" s="7" t="str">
        <f>IF(BudgetsTable[[#This Row],[pi_last_name]]=" ","",HYPERLINK("mailto:"&amp;BudgetsTable[[#This Row],[pi_email]]&amp;"&amp;subject=Your NSF Proposal:  "&amp;BudgetsTable[[#This Row],[prop_id]],BudgetsTable[[#This Row],[pi_email]]))</f>
        <v/>
      </c>
      <c r="P123" s="80" t="s">
        <v>13</v>
      </c>
      <c r="Q123" s="80">
        <v>2</v>
      </c>
      <c r="R123" s="80">
        <v>1</v>
      </c>
      <c r="S123" s="81">
        <v>0</v>
      </c>
      <c r="T123" s="81">
        <v>4000</v>
      </c>
      <c r="U123" s="81">
        <v>0</v>
      </c>
      <c r="V123" s="82">
        <v>189194</v>
      </c>
      <c r="W123" s="80">
        <v>0</v>
      </c>
      <c r="X123" s="80">
        <v>4</v>
      </c>
      <c r="Y123" s="11" t="str">
        <f ca="1">IF(ISBLANK(BudgetsTable[[#This Row],[budg_seq_yr]]),"FY"&amp;fiscalyear,"FY"&amp;fiscalyear-1+BudgetsTable[[#This Row],[budg_seq_yr]])</f>
        <v>FY21</v>
      </c>
      <c r="Z123" s="81">
        <v>189194</v>
      </c>
      <c r="AA123" s="80" t="s">
        <v>1124</v>
      </c>
      <c r="AB123" s="80" t="s">
        <v>1125</v>
      </c>
      <c r="AC123" s="108" t="s">
        <v>94</v>
      </c>
      <c r="AD123" s="80"/>
    </row>
    <row r="124" spans="1:30">
      <c r="A124" s="10" t="s">
        <v>1214</v>
      </c>
      <c r="B124" s="78" t="s">
        <v>450</v>
      </c>
      <c r="C124" s="78">
        <f>C123+(BudgetsTable[[#This Row],[lead]]&lt;&gt;K123)</f>
        <v>17</v>
      </c>
      <c r="D124" s="78">
        <f>D123*(BudgetsTable[[#This Row],[lead]]=K123)+(BudgetsTable[[#This Row],[prop_id]]&lt;&gt;A123)</f>
        <v>4</v>
      </c>
      <c r="E124" s="79">
        <v>42800.695138888892</v>
      </c>
      <c r="F124" s="80" t="s">
        <v>1123</v>
      </c>
      <c r="G124" s="80" t="s">
        <v>1124</v>
      </c>
      <c r="H124" s="80" t="s">
        <v>1125</v>
      </c>
      <c r="I124" s="78" t="s">
        <v>596</v>
      </c>
      <c r="J124" s="78" t="s">
        <v>13</v>
      </c>
      <c r="K124" s="80" t="s">
        <v>666</v>
      </c>
      <c r="L124" s="7" t="str">
        <f>IF(BudgetsTable[[#This Row],[pi_last_name]]=" ","",HYPERLINK("https://www.ejacket.nsf.gov/ej/showProposal.do?Continue=Y&amp;ID="&amp;BudgetsTable[[#This Row],[prop_id]],BudgetsTable[[#This Row],[prop_id]]))</f>
        <v/>
      </c>
      <c r="M124" s="15" t="str">
        <f>IF(BudgetsTable[[#This Row],[pi_last_name]]=" ","",HYPERLINK("https://www.ejacket.nsf.gov/ej/processReviewAnalysis.do?dispatch=add&amp;uniqId="&amp;BudgetsTable[[#This Row],[prop_id]]&amp;PO_id,"&gt;ra"))</f>
        <v/>
      </c>
      <c r="N124" s="80" t="s">
        <v>13</v>
      </c>
      <c r="O124" s="7" t="str">
        <f>IF(BudgetsTable[[#This Row],[pi_last_name]]=" ","",HYPERLINK("mailto:"&amp;BudgetsTable[[#This Row],[pi_email]]&amp;"&amp;subject=Your NSF Proposal:  "&amp;BudgetsTable[[#This Row],[prop_id]],BudgetsTable[[#This Row],[pi_email]]))</f>
        <v/>
      </c>
      <c r="P124" s="80" t="s">
        <v>13</v>
      </c>
      <c r="Q124" s="80">
        <v>2</v>
      </c>
      <c r="R124" s="80">
        <v>1</v>
      </c>
      <c r="S124" s="81">
        <v>0</v>
      </c>
      <c r="T124" s="81">
        <v>5000</v>
      </c>
      <c r="U124" s="81">
        <v>0</v>
      </c>
      <c r="V124" s="82">
        <v>223016</v>
      </c>
      <c r="W124" s="80">
        <v>0</v>
      </c>
      <c r="X124" s="80">
        <v>5</v>
      </c>
      <c r="Y124" s="11" t="str">
        <f ca="1">IF(ISBLANK(BudgetsTable[[#This Row],[budg_seq_yr]]),"FY"&amp;fiscalyear,"FY"&amp;fiscalyear-1+BudgetsTable[[#This Row],[budg_seq_yr]])</f>
        <v>FY22</v>
      </c>
      <c r="Z124" s="81">
        <v>223016</v>
      </c>
      <c r="AA124" s="80" t="s">
        <v>1124</v>
      </c>
      <c r="AB124" s="80" t="s">
        <v>1125</v>
      </c>
      <c r="AC124" s="108" t="s">
        <v>94</v>
      </c>
      <c r="AD124" s="80"/>
    </row>
    <row r="125" spans="1:30">
      <c r="A125" s="10" t="s">
        <v>673</v>
      </c>
      <c r="B125" s="78" t="s">
        <v>463</v>
      </c>
      <c r="C125" s="78">
        <f>C124+(BudgetsTable[[#This Row],[lead]]&lt;&gt;K124)</f>
        <v>18</v>
      </c>
      <c r="D125" s="78">
        <f>D124*(BudgetsTable[[#This Row],[lead]]=K124)+(BudgetsTable[[#This Row],[prop_id]]&lt;&gt;A124)</f>
        <v>1</v>
      </c>
      <c r="E125" s="79">
        <v>42800.697222222225</v>
      </c>
      <c r="F125" s="80" t="s">
        <v>1123</v>
      </c>
      <c r="G125" s="80" t="s">
        <v>1124</v>
      </c>
      <c r="H125" s="80" t="s">
        <v>1125</v>
      </c>
      <c r="I125" s="78" t="s">
        <v>596</v>
      </c>
      <c r="J125" s="78" t="s">
        <v>1220</v>
      </c>
      <c r="K125" s="80" t="s">
        <v>673</v>
      </c>
      <c r="L125" s="7" t="str">
        <f>IF(BudgetsTable[[#This Row],[pi_last_name]]=" ","",HYPERLINK("https://www.ejacket.nsf.gov/ej/showProposal.do?Continue=Y&amp;ID="&amp;BudgetsTable[[#This Row],[prop_id]],BudgetsTable[[#This Row],[prop_id]]))</f>
        <v>1739887</v>
      </c>
      <c r="M125" s="15" t="str">
        <f>IF(BudgetsTable[[#This Row],[pi_last_name]]=" ","",HYPERLINK("https://www.ejacket.nsf.gov/ej/processReviewAnalysis.do?dispatch=add&amp;uniqId="&amp;BudgetsTable[[#This Row],[prop_id]]&amp;PO_id,"&gt;ra"))</f>
        <v>&gt;ra</v>
      </c>
      <c r="N125" s="80" t="s">
        <v>674</v>
      </c>
      <c r="O125" s="7" t="str">
        <f>IF(BudgetsTable[[#This Row],[pi_last_name]]=" ","",HYPERLINK("mailto:"&amp;BudgetsTable[[#This Row],[pi_email]]&amp;"&amp;subject=Your NSF Proposal:  "&amp;BudgetsTable[[#This Row],[prop_id]],BudgetsTable[[#This Row],[pi_email]]))</f>
        <v>baras@umd.edu</v>
      </c>
      <c r="P125" s="80" t="s">
        <v>475</v>
      </c>
      <c r="Q125" s="80"/>
      <c r="R125" s="80"/>
      <c r="S125" s="81"/>
      <c r="T125" s="81"/>
      <c r="U125" s="81"/>
      <c r="V125" s="82"/>
      <c r="W125" s="80">
        <v>0</v>
      </c>
      <c r="X125" s="80"/>
      <c r="Y125" s="11" t="str">
        <f ca="1">IF(ISBLANK(BudgetsTable[[#This Row],[budg_seq_yr]]),"FY"&amp;fiscalyear,"FY"&amp;fiscalyear-1+BudgetsTable[[#This Row],[budg_seq_yr]])</f>
        <v>FY18</v>
      </c>
      <c r="Z125" s="81">
        <v>5999568</v>
      </c>
      <c r="AA125" s="80" t="s">
        <v>1124</v>
      </c>
      <c r="AB125" s="80" t="s">
        <v>1125</v>
      </c>
      <c r="AC125" s="108" t="s">
        <v>94</v>
      </c>
      <c r="AD125" s="80"/>
    </row>
    <row r="126" spans="1:30">
      <c r="A126" s="10" t="s">
        <v>673</v>
      </c>
      <c r="B126" s="78" t="s">
        <v>463</v>
      </c>
      <c r="C126" s="78">
        <f>C125+(BudgetsTable[[#This Row],[lead]]&lt;&gt;K125)</f>
        <v>18</v>
      </c>
      <c r="D126" s="78">
        <f>D125*(BudgetsTable[[#This Row],[lead]]=K125)+(BudgetsTable[[#This Row],[prop_id]]&lt;&gt;A125)</f>
        <v>1</v>
      </c>
      <c r="E126" s="79">
        <v>42800.697222222225</v>
      </c>
      <c r="F126" s="80" t="s">
        <v>1123</v>
      </c>
      <c r="G126" s="80" t="s">
        <v>1124</v>
      </c>
      <c r="H126" s="80" t="s">
        <v>1125</v>
      </c>
      <c r="I126" s="78" t="s">
        <v>596</v>
      </c>
      <c r="J126" s="78" t="s">
        <v>13</v>
      </c>
      <c r="K126" s="80" t="s">
        <v>673</v>
      </c>
      <c r="L126" s="7" t="str">
        <f>IF(BudgetsTable[[#This Row],[pi_last_name]]=" ","",HYPERLINK("https://www.ejacket.nsf.gov/ej/showProposal.do?Continue=Y&amp;ID="&amp;BudgetsTable[[#This Row],[prop_id]],BudgetsTable[[#This Row],[prop_id]]))</f>
        <v/>
      </c>
      <c r="M126" s="15" t="str">
        <f>IF(BudgetsTable[[#This Row],[pi_last_name]]=" ","",HYPERLINK("https://www.ejacket.nsf.gov/ej/processReviewAnalysis.do?dispatch=add&amp;uniqId="&amp;BudgetsTable[[#This Row],[prop_id]]&amp;PO_id,"&gt;ra"))</f>
        <v/>
      </c>
      <c r="N126" s="80" t="s">
        <v>13</v>
      </c>
      <c r="O126" s="7" t="str">
        <f>IF(BudgetsTable[[#This Row],[pi_last_name]]=" ","",HYPERLINK("mailto:"&amp;BudgetsTable[[#This Row],[pi_email]]&amp;"&amp;subject=Your NSF Proposal:  "&amp;BudgetsTable[[#This Row],[prop_id]],BudgetsTable[[#This Row],[pi_email]]))</f>
        <v/>
      </c>
      <c r="P126" s="80" t="s">
        <v>13</v>
      </c>
      <c r="Q126" s="80">
        <v>6</v>
      </c>
      <c r="R126" s="80">
        <v>0</v>
      </c>
      <c r="S126" s="81">
        <v>60000</v>
      </c>
      <c r="T126" s="81">
        <v>15000</v>
      </c>
      <c r="U126" s="81">
        <v>0</v>
      </c>
      <c r="V126" s="82">
        <v>1090585</v>
      </c>
      <c r="W126" s="80">
        <v>0</v>
      </c>
      <c r="X126" s="80">
        <v>1</v>
      </c>
      <c r="Y126" s="11" t="str">
        <f ca="1">IF(ISBLANK(BudgetsTable[[#This Row],[budg_seq_yr]]),"FY"&amp;fiscalyear,"FY"&amp;fiscalyear-1+BudgetsTable[[#This Row],[budg_seq_yr]])</f>
        <v>FY18</v>
      </c>
      <c r="Z126" s="81">
        <v>1090585</v>
      </c>
      <c r="AA126" s="80" t="s">
        <v>1124</v>
      </c>
      <c r="AB126" s="80" t="s">
        <v>1125</v>
      </c>
      <c r="AC126" s="108" t="s">
        <v>94</v>
      </c>
      <c r="AD126" s="80"/>
    </row>
    <row r="127" spans="1:30">
      <c r="A127" s="10" t="s">
        <v>673</v>
      </c>
      <c r="B127" s="78" t="s">
        <v>463</v>
      </c>
      <c r="C127" s="78">
        <f>C126+(BudgetsTable[[#This Row],[lead]]&lt;&gt;K126)</f>
        <v>18</v>
      </c>
      <c r="D127" s="78">
        <f>D126*(BudgetsTable[[#This Row],[lead]]=K126)+(BudgetsTable[[#This Row],[prop_id]]&lt;&gt;A126)</f>
        <v>1</v>
      </c>
      <c r="E127" s="79">
        <v>42800.697222222225</v>
      </c>
      <c r="F127" s="80" t="s">
        <v>1123</v>
      </c>
      <c r="G127" s="80" t="s">
        <v>1124</v>
      </c>
      <c r="H127" s="80" t="s">
        <v>1125</v>
      </c>
      <c r="I127" s="78" t="s">
        <v>596</v>
      </c>
      <c r="J127" s="78" t="s">
        <v>13</v>
      </c>
      <c r="K127" s="80" t="s">
        <v>673</v>
      </c>
      <c r="L127" s="7" t="str">
        <f>IF(BudgetsTable[[#This Row],[pi_last_name]]=" ","",HYPERLINK("https://www.ejacket.nsf.gov/ej/showProposal.do?Continue=Y&amp;ID="&amp;BudgetsTable[[#This Row],[prop_id]],BudgetsTable[[#This Row],[prop_id]]))</f>
        <v/>
      </c>
      <c r="M127" s="15" t="str">
        <f>IF(BudgetsTable[[#This Row],[pi_last_name]]=" ","",HYPERLINK("https://www.ejacket.nsf.gov/ej/processReviewAnalysis.do?dispatch=add&amp;uniqId="&amp;BudgetsTable[[#This Row],[prop_id]]&amp;PO_id,"&gt;ra"))</f>
        <v/>
      </c>
      <c r="N127" s="80" t="s">
        <v>13</v>
      </c>
      <c r="O127" s="7" t="str">
        <f>IF(BudgetsTable[[#This Row],[pi_last_name]]=" ","",HYPERLINK("mailto:"&amp;BudgetsTable[[#This Row],[pi_email]]&amp;"&amp;subject=Your NSF Proposal:  "&amp;BudgetsTable[[#This Row],[prop_id]],BudgetsTable[[#This Row],[pi_email]]))</f>
        <v/>
      </c>
      <c r="P127" s="80" t="s">
        <v>13</v>
      </c>
      <c r="Q127" s="80">
        <v>6</v>
      </c>
      <c r="R127" s="80">
        <v>0</v>
      </c>
      <c r="S127" s="81">
        <v>63000</v>
      </c>
      <c r="T127" s="81">
        <v>15000</v>
      </c>
      <c r="U127" s="81">
        <v>0</v>
      </c>
      <c r="V127" s="82">
        <v>1142584</v>
      </c>
      <c r="W127" s="80">
        <v>0</v>
      </c>
      <c r="X127" s="80">
        <v>2</v>
      </c>
      <c r="Y127" s="11" t="str">
        <f ca="1">IF(ISBLANK(BudgetsTable[[#This Row],[budg_seq_yr]]),"FY"&amp;fiscalyear,"FY"&amp;fiscalyear-1+BudgetsTable[[#This Row],[budg_seq_yr]])</f>
        <v>FY19</v>
      </c>
      <c r="Z127" s="81">
        <v>1142584</v>
      </c>
      <c r="AA127" s="80" t="s">
        <v>1124</v>
      </c>
      <c r="AB127" s="80" t="s">
        <v>1125</v>
      </c>
      <c r="AC127" s="108" t="s">
        <v>94</v>
      </c>
      <c r="AD127" s="80"/>
    </row>
    <row r="128" spans="1:30">
      <c r="A128" s="10" t="s">
        <v>673</v>
      </c>
      <c r="B128" s="78" t="s">
        <v>463</v>
      </c>
      <c r="C128" s="78">
        <f>C127+(BudgetsTable[[#This Row],[lead]]&lt;&gt;K127)</f>
        <v>18</v>
      </c>
      <c r="D128" s="78">
        <f>D127*(BudgetsTable[[#This Row],[lead]]=K127)+(BudgetsTable[[#This Row],[prop_id]]&lt;&gt;A127)</f>
        <v>1</v>
      </c>
      <c r="E128" s="79">
        <v>42800.697222222225</v>
      </c>
      <c r="F128" s="80" t="s">
        <v>1123</v>
      </c>
      <c r="G128" s="80" t="s">
        <v>1124</v>
      </c>
      <c r="H128" s="80" t="s">
        <v>1125</v>
      </c>
      <c r="I128" s="78" t="s">
        <v>596</v>
      </c>
      <c r="J128" s="78" t="s">
        <v>13</v>
      </c>
      <c r="K128" s="80" t="s">
        <v>673</v>
      </c>
      <c r="L128" s="7" t="str">
        <f>IF(BudgetsTable[[#This Row],[pi_last_name]]=" ","",HYPERLINK("https://www.ejacket.nsf.gov/ej/showProposal.do?Continue=Y&amp;ID="&amp;BudgetsTable[[#This Row],[prop_id]],BudgetsTable[[#This Row],[prop_id]]))</f>
        <v/>
      </c>
      <c r="M128" s="15" t="str">
        <f>IF(BudgetsTable[[#This Row],[pi_last_name]]=" ","",HYPERLINK("https://www.ejacket.nsf.gov/ej/processReviewAnalysis.do?dispatch=add&amp;uniqId="&amp;BudgetsTable[[#This Row],[prop_id]]&amp;PO_id,"&gt;ra"))</f>
        <v/>
      </c>
      <c r="N128" s="80" t="s">
        <v>13</v>
      </c>
      <c r="O128" s="7" t="str">
        <f>IF(BudgetsTable[[#This Row],[pi_last_name]]=" ","",HYPERLINK("mailto:"&amp;BudgetsTable[[#This Row],[pi_email]]&amp;"&amp;subject=Your NSF Proposal:  "&amp;BudgetsTable[[#This Row],[prop_id]],BudgetsTable[[#This Row],[pi_email]]))</f>
        <v/>
      </c>
      <c r="P128" s="80" t="s">
        <v>13</v>
      </c>
      <c r="Q128" s="80">
        <v>6</v>
      </c>
      <c r="R128" s="80">
        <v>0</v>
      </c>
      <c r="S128" s="81">
        <v>66150</v>
      </c>
      <c r="T128" s="81">
        <v>15000</v>
      </c>
      <c r="U128" s="81">
        <v>0</v>
      </c>
      <c r="V128" s="82">
        <v>1197182</v>
      </c>
      <c r="W128" s="80">
        <v>0</v>
      </c>
      <c r="X128" s="80">
        <v>3</v>
      </c>
      <c r="Y128" s="11" t="str">
        <f ca="1">IF(ISBLANK(BudgetsTable[[#This Row],[budg_seq_yr]]),"FY"&amp;fiscalyear,"FY"&amp;fiscalyear-1+BudgetsTable[[#This Row],[budg_seq_yr]])</f>
        <v>FY20</v>
      </c>
      <c r="Z128" s="81">
        <v>1197182</v>
      </c>
      <c r="AA128" s="80" t="s">
        <v>1124</v>
      </c>
      <c r="AB128" s="80" t="s">
        <v>1125</v>
      </c>
      <c r="AC128" s="108" t="s">
        <v>94</v>
      </c>
      <c r="AD128" s="80"/>
    </row>
    <row r="129" spans="1:30">
      <c r="A129" s="10" t="s">
        <v>673</v>
      </c>
      <c r="B129" s="78" t="s">
        <v>463</v>
      </c>
      <c r="C129" s="78">
        <f>C128+(BudgetsTable[[#This Row],[lead]]&lt;&gt;K128)</f>
        <v>18</v>
      </c>
      <c r="D129" s="78">
        <f>D128*(BudgetsTable[[#This Row],[lead]]=K128)+(BudgetsTable[[#This Row],[prop_id]]&lt;&gt;A128)</f>
        <v>1</v>
      </c>
      <c r="E129" s="79">
        <v>42800.697222222225</v>
      </c>
      <c r="F129" s="80" t="s">
        <v>1123</v>
      </c>
      <c r="G129" s="80" t="s">
        <v>1124</v>
      </c>
      <c r="H129" s="80" t="s">
        <v>1125</v>
      </c>
      <c r="I129" s="78" t="s">
        <v>596</v>
      </c>
      <c r="J129" s="78" t="s">
        <v>13</v>
      </c>
      <c r="K129" s="80" t="s">
        <v>673</v>
      </c>
      <c r="L129" s="7" t="str">
        <f>IF(BudgetsTable[[#This Row],[pi_last_name]]=" ","",HYPERLINK("https://www.ejacket.nsf.gov/ej/showProposal.do?Continue=Y&amp;ID="&amp;BudgetsTable[[#This Row],[prop_id]],BudgetsTable[[#This Row],[prop_id]]))</f>
        <v/>
      </c>
      <c r="M129" s="15" t="str">
        <f>IF(BudgetsTable[[#This Row],[pi_last_name]]=" ","",HYPERLINK("https://www.ejacket.nsf.gov/ej/processReviewAnalysis.do?dispatch=add&amp;uniqId="&amp;BudgetsTable[[#This Row],[prop_id]]&amp;PO_id,"&gt;ra"))</f>
        <v/>
      </c>
      <c r="N129" s="80" t="s">
        <v>13</v>
      </c>
      <c r="O129" s="7" t="str">
        <f>IF(BudgetsTable[[#This Row],[pi_last_name]]=" ","",HYPERLINK("mailto:"&amp;BudgetsTable[[#This Row],[pi_email]]&amp;"&amp;subject=Your NSF Proposal:  "&amp;BudgetsTable[[#This Row],[prop_id]],BudgetsTable[[#This Row],[pi_email]]))</f>
        <v/>
      </c>
      <c r="P129" s="80" t="s">
        <v>13</v>
      </c>
      <c r="Q129" s="80">
        <v>6</v>
      </c>
      <c r="R129" s="80">
        <v>0</v>
      </c>
      <c r="S129" s="81">
        <v>69458</v>
      </c>
      <c r="T129" s="81">
        <v>15000</v>
      </c>
      <c r="U129" s="81">
        <v>0</v>
      </c>
      <c r="V129" s="82">
        <v>1254511</v>
      </c>
      <c r="W129" s="80">
        <v>0</v>
      </c>
      <c r="X129" s="80">
        <v>4</v>
      </c>
      <c r="Y129" s="11" t="str">
        <f ca="1">IF(ISBLANK(BudgetsTable[[#This Row],[budg_seq_yr]]),"FY"&amp;fiscalyear,"FY"&amp;fiscalyear-1+BudgetsTable[[#This Row],[budg_seq_yr]])</f>
        <v>FY21</v>
      </c>
      <c r="Z129" s="81">
        <v>1254511</v>
      </c>
      <c r="AA129" s="80" t="s">
        <v>1124</v>
      </c>
      <c r="AB129" s="80" t="s">
        <v>1125</v>
      </c>
      <c r="AC129" s="108" t="s">
        <v>94</v>
      </c>
      <c r="AD129" s="80"/>
    </row>
    <row r="130" spans="1:30">
      <c r="A130" s="10" t="s">
        <v>673</v>
      </c>
      <c r="B130" s="78" t="s">
        <v>463</v>
      </c>
      <c r="C130" s="78">
        <f>C129+(BudgetsTable[[#This Row],[lead]]&lt;&gt;K129)</f>
        <v>18</v>
      </c>
      <c r="D130" s="78">
        <f>D129*(BudgetsTable[[#This Row],[lead]]=K129)+(BudgetsTable[[#This Row],[prop_id]]&lt;&gt;A129)</f>
        <v>1</v>
      </c>
      <c r="E130" s="79">
        <v>42800.697222222225</v>
      </c>
      <c r="F130" s="80" t="s">
        <v>1123</v>
      </c>
      <c r="G130" s="80" t="s">
        <v>1124</v>
      </c>
      <c r="H130" s="80" t="s">
        <v>1125</v>
      </c>
      <c r="I130" s="78" t="s">
        <v>596</v>
      </c>
      <c r="J130" s="78" t="s">
        <v>13</v>
      </c>
      <c r="K130" s="80" t="s">
        <v>673</v>
      </c>
      <c r="L130" s="7" t="str">
        <f>IF(BudgetsTable[[#This Row],[pi_last_name]]=" ","",HYPERLINK("https://www.ejacket.nsf.gov/ej/showProposal.do?Continue=Y&amp;ID="&amp;BudgetsTable[[#This Row],[prop_id]],BudgetsTable[[#This Row],[prop_id]]))</f>
        <v/>
      </c>
      <c r="M130" s="15" t="str">
        <f>IF(BudgetsTable[[#This Row],[pi_last_name]]=" ","",HYPERLINK("https://www.ejacket.nsf.gov/ej/processReviewAnalysis.do?dispatch=add&amp;uniqId="&amp;BudgetsTable[[#This Row],[prop_id]]&amp;PO_id,"&gt;ra"))</f>
        <v/>
      </c>
      <c r="N130" s="80" t="s">
        <v>13</v>
      </c>
      <c r="O130" s="7" t="str">
        <f>IF(BudgetsTable[[#This Row],[pi_last_name]]=" ","",HYPERLINK("mailto:"&amp;BudgetsTable[[#This Row],[pi_email]]&amp;"&amp;subject=Your NSF Proposal:  "&amp;BudgetsTable[[#This Row],[prop_id]],BudgetsTable[[#This Row],[pi_email]]))</f>
        <v/>
      </c>
      <c r="P130" s="80" t="s">
        <v>13</v>
      </c>
      <c r="Q130" s="80">
        <v>6</v>
      </c>
      <c r="R130" s="80">
        <v>0</v>
      </c>
      <c r="S130" s="81">
        <v>72930</v>
      </c>
      <c r="T130" s="81">
        <v>15000</v>
      </c>
      <c r="U130" s="81">
        <v>0</v>
      </c>
      <c r="V130" s="82">
        <v>1314706</v>
      </c>
      <c r="W130" s="80">
        <v>0</v>
      </c>
      <c r="X130" s="80">
        <v>5</v>
      </c>
      <c r="Y130" s="11" t="str">
        <f ca="1">IF(ISBLANK(BudgetsTable[[#This Row],[budg_seq_yr]]),"FY"&amp;fiscalyear,"FY"&amp;fiscalyear-1+BudgetsTable[[#This Row],[budg_seq_yr]])</f>
        <v>FY22</v>
      </c>
      <c r="Z130" s="81">
        <v>1314706</v>
      </c>
      <c r="AA130" s="80" t="s">
        <v>1124</v>
      </c>
      <c r="AB130" s="80" t="s">
        <v>1125</v>
      </c>
      <c r="AC130" s="108" t="s">
        <v>94</v>
      </c>
      <c r="AD130" s="80"/>
    </row>
    <row r="131" spans="1:30">
      <c r="A131" s="10" t="s">
        <v>1221</v>
      </c>
      <c r="B131" s="78" t="s">
        <v>450</v>
      </c>
      <c r="C131" s="78">
        <f>C130+(BudgetsTable[[#This Row],[lead]]&lt;&gt;K130)</f>
        <v>18</v>
      </c>
      <c r="D131" s="78">
        <f>D130*(BudgetsTable[[#This Row],[lead]]=K130)+(BudgetsTable[[#This Row],[prop_id]]&lt;&gt;A130)</f>
        <v>2</v>
      </c>
      <c r="E131" s="79">
        <v>42800.666666666664</v>
      </c>
      <c r="F131" s="80" t="s">
        <v>1123</v>
      </c>
      <c r="G131" s="80" t="s">
        <v>1124</v>
      </c>
      <c r="H131" s="80" t="s">
        <v>1125</v>
      </c>
      <c r="I131" s="78" t="s">
        <v>596</v>
      </c>
      <c r="J131" s="78" t="s">
        <v>1225</v>
      </c>
      <c r="K131" s="80" t="s">
        <v>673</v>
      </c>
      <c r="L131" s="7" t="str">
        <f>IF(BudgetsTable[[#This Row],[pi_last_name]]=" ","",HYPERLINK("https://www.ejacket.nsf.gov/ej/showProposal.do?Continue=Y&amp;ID="&amp;BudgetsTable[[#This Row],[prop_id]],BudgetsTable[[#This Row],[prop_id]]))</f>
        <v>1739754</v>
      </c>
      <c r="M131" s="15" t="str">
        <f>IF(BudgetsTable[[#This Row],[pi_last_name]]=" ","",HYPERLINK("https://www.ejacket.nsf.gov/ej/processReviewAnalysis.do?dispatch=add&amp;uniqId="&amp;BudgetsTable[[#This Row],[prop_id]]&amp;PO_id,"&gt;ra"))</f>
        <v>&gt;ra</v>
      </c>
      <c r="N131" s="80" t="s">
        <v>574</v>
      </c>
      <c r="O131" s="7" t="str">
        <f>IF(BudgetsTable[[#This Row],[pi_last_name]]=" ","",HYPERLINK("mailto:"&amp;BudgetsTable[[#This Row],[pi_email]]&amp;"&amp;subject=Your NSF Proposal:  "&amp;BudgetsTable[[#This Row],[prop_id]],BudgetsTable[[#This Row],[pi_email]]))</f>
        <v>tara@ece.ucsd.edu</v>
      </c>
      <c r="P131" s="80" t="s">
        <v>1223</v>
      </c>
      <c r="Q131" s="80"/>
      <c r="R131" s="80"/>
      <c r="S131" s="81"/>
      <c r="T131" s="81"/>
      <c r="U131" s="81"/>
      <c r="V131" s="82"/>
      <c r="W131" s="80">
        <v>0</v>
      </c>
      <c r="X131" s="80"/>
      <c r="Y131" s="11" t="str">
        <f ca="1">IF(ISBLANK(BudgetsTable[[#This Row],[budg_seq_yr]]),"FY"&amp;fiscalyear,"FY"&amp;fiscalyear-1+BudgetsTable[[#This Row],[budg_seq_yr]])</f>
        <v>FY18</v>
      </c>
      <c r="Z131" s="81">
        <v>1000000</v>
      </c>
      <c r="AA131" s="80" t="s">
        <v>1124</v>
      </c>
      <c r="AB131" s="80" t="s">
        <v>1125</v>
      </c>
      <c r="AC131" s="108" t="s">
        <v>94</v>
      </c>
      <c r="AD131" s="80"/>
    </row>
    <row r="132" spans="1:30">
      <c r="A132" s="10" t="s">
        <v>1221</v>
      </c>
      <c r="B132" s="78" t="s">
        <v>450</v>
      </c>
      <c r="C132" s="78">
        <f>C131+(BudgetsTable[[#This Row],[lead]]&lt;&gt;K131)</f>
        <v>18</v>
      </c>
      <c r="D132" s="78">
        <f>D131*(BudgetsTable[[#This Row],[lead]]=K131)+(BudgetsTable[[#This Row],[prop_id]]&lt;&gt;A131)</f>
        <v>2</v>
      </c>
      <c r="E132" s="79">
        <v>42800.666666666664</v>
      </c>
      <c r="F132" s="80" t="s">
        <v>1123</v>
      </c>
      <c r="G132" s="80" t="s">
        <v>1124</v>
      </c>
      <c r="H132" s="80" t="s">
        <v>1125</v>
      </c>
      <c r="I132" s="78" t="s">
        <v>596</v>
      </c>
      <c r="J132" s="78" t="s">
        <v>13</v>
      </c>
      <c r="K132" s="80" t="s">
        <v>673</v>
      </c>
      <c r="L132" s="7" t="str">
        <f>IF(BudgetsTable[[#This Row],[pi_last_name]]=" ","",HYPERLINK("https://www.ejacket.nsf.gov/ej/showProposal.do?Continue=Y&amp;ID="&amp;BudgetsTable[[#This Row],[prop_id]],BudgetsTable[[#This Row],[prop_id]]))</f>
        <v/>
      </c>
      <c r="M132" s="15" t="str">
        <f>IF(BudgetsTable[[#This Row],[pi_last_name]]=" ","",HYPERLINK("https://www.ejacket.nsf.gov/ej/processReviewAnalysis.do?dispatch=add&amp;uniqId="&amp;BudgetsTable[[#This Row],[prop_id]]&amp;PO_id,"&gt;ra"))</f>
        <v/>
      </c>
      <c r="N132" s="80" t="s">
        <v>13</v>
      </c>
      <c r="O132" s="7" t="str">
        <f>IF(BudgetsTable[[#This Row],[pi_last_name]]=" ","",HYPERLINK("mailto:"&amp;BudgetsTable[[#This Row],[pi_email]]&amp;"&amp;subject=Your NSF Proposal:  "&amp;BudgetsTable[[#This Row],[prop_id]],BudgetsTable[[#This Row],[pi_email]]))</f>
        <v/>
      </c>
      <c r="P132" s="80" t="s">
        <v>13</v>
      </c>
      <c r="Q132" s="80">
        <v>1</v>
      </c>
      <c r="R132" s="80">
        <v>1</v>
      </c>
      <c r="S132" s="81">
        <v>41333</v>
      </c>
      <c r="T132" s="81">
        <v>0</v>
      </c>
      <c r="U132" s="81">
        <v>0</v>
      </c>
      <c r="V132" s="82">
        <v>183591</v>
      </c>
      <c r="W132" s="80">
        <v>0</v>
      </c>
      <c r="X132" s="80">
        <v>1</v>
      </c>
      <c r="Y132" s="11" t="str">
        <f ca="1">IF(ISBLANK(BudgetsTable[[#This Row],[budg_seq_yr]]),"FY"&amp;fiscalyear,"FY"&amp;fiscalyear-1+BudgetsTable[[#This Row],[budg_seq_yr]])</f>
        <v>FY18</v>
      </c>
      <c r="Z132" s="81">
        <v>183591</v>
      </c>
      <c r="AA132" s="80" t="s">
        <v>1124</v>
      </c>
      <c r="AB132" s="80" t="s">
        <v>1125</v>
      </c>
      <c r="AC132" s="108" t="s">
        <v>94</v>
      </c>
      <c r="AD132" s="80"/>
    </row>
    <row r="133" spans="1:30">
      <c r="A133" s="10" t="s">
        <v>1221</v>
      </c>
      <c r="B133" s="78" t="s">
        <v>450</v>
      </c>
      <c r="C133" s="78">
        <f>C132+(BudgetsTable[[#This Row],[lead]]&lt;&gt;K132)</f>
        <v>18</v>
      </c>
      <c r="D133" s="78">
        <f>D132*(BudgetsTable[[#This Row],[lead]]=K132)+(BudgetsTable[[#This Row],[prop_id]]&lt;&gt;A132)</f>
        <v>2</v>
      </c>
      <c r="E133" s="79">
        <v>42800.666666666664</v>
      </c>
      <c r="F133" s="80" t="s">
        <v>1123</v>
      </c>
      <c r="G133" s="80" t="s">
        <v>1124</v>
      </c>
      <c r="H133" s="80" t="s">
        <v>1125</v>
      </c>
      <c r="I133" s="78" t="s">
        <v>596</v>
      </c>
      <c r="J133" s="78" t="s">
        <v>13</v>
      </c>
      <c r="K133" s="80" t="s">
        <v>673</v>
      </c>
      <c r="L133" s="7" t="str">
        <f>IF(BudgetsTable[[#This Row],[pi_last_name]]=" ","",HYPERLINK("https://www.ejacket.nsf.gov/ej/showProposal.do?Continue=Y&amp;ID="&amp;BudgetsTable[[#This Row],[prop_id]],BudgetsTable[[#This Row],[prop_id]]))</f>
        <v/>
      </c>
      <c r="M133" s="15" t="str">
        <f>IF(BudgetsTable[[#This Row],[pi_last_name]]=" ","",HYPERLINK("https://www.ejacket.nsf.gov/ej/processReviewAnalysis.do?dispatch=add&amp;uniqId="&amp;BudgetsTable[[#This Row],[prop_id]]&amp;PO_id,"&gt;ra"))</f>
        <v/>
      </c>
      <c r="N133" s="80" t="s">
        <v>13</v>
      </c>
      <c r="O133" s="7" t="str">
        <f>IF(BudgetsTable[[#This Row],[pi_last_name]]=" ","",HYPERLINK("mailto:"&amp;BudgetsTable[[#This Row],[pi_email]]&amp;"&amp;subject=Your NSF Proposal:  "&amp;BudgetsTable[[#This Row],[prop_id]],BudgetsTable[[#This Row],[pi_email]]))</f>
        <v/>
      </c>
      <c r="P133" s="80" t="s">
        <v>13</v>
      </c>
      <c r="Q133" s="80">
        <v>1</v>
      </c>
      <c r="R133" s="80">
        <v>1</v>
      </c>
      <c r="S133" s="81">
        <v>42573</v>
      </c>
      <c r="T133" s="81">
        <v>0</v>
      </c>
      <c r="U133" s="81">
        <v>0</v>
      </c>
      <c r="V133" s="82">
        <v>190908</v>
      </c>
      <c r="W133" s="80">
        <v>0</v>
      </c>
      <c r="X133" s="80">
        <v>2</v>
      </c>
      <c r="Y133" s="11" t="str">
        <f ca="1">IF(ISBLANK(BudgetsTable[[#This Row],[budg_seq_yr]]),"FY"&amp;fiscalyear,"FY"&amp;fiscalyear-1+BudgetsTable[[#This Row],[budg_seq_yr]])</f>
        <v>FY19</v>
      </c>
      <c r="Z133" s="81">
        <v>190908</v>
      </c>
      <c r="AA133" s="80" t="s">
        <v>1124</v>
      </c>
      <c r="AB133" s="80" t="s">
        <v>1125</v>
      </c>
      <c r="AC133" s="108" t="s">
        <v>94</v>
      </c>
      <c r="AD133" s="80"/>
    </row>
    <row r="134" spans="1:30">
      <c r="A134" s="10" t="s">
        <v>1221</v>
      </c>
      <c r="B134" s="78" t="s">
        <v>450</v>
      </c>
      <c r="C134" s="78">
        <f>C133+(BudgetsTable[[#This Row],[lead]]&lt;&gt;K133)</f>
        <v>18</v>
      </c>
      <c r="D134" s="78">
        <f>D133*(BudgetsTable[[#This Row],[lead]]=K133)+(BudgetsTable[[#This Row],[prop_id]]&lt;&gt;A133)</f>
        <v>2</v>
      </c>
      <c r="E134" s="79">
        <v>42800.666666666664</v>
      </c>
      <c r="F134" s="80" t="s">
        <v>1123</v>
      </c>
      <c r="G134" s="80" t="s">
        <v>1124</v>
      </c>
      <c r="H134" s="80" t="s">
        <v>1125</v>
      </c>
      <c r="I134" s="78" t="s">
        <v>596</v>
      </c>
      <c r="J134" s="78" t="s">
        <v>13</v>
      </c>
      <c r="K134" s="80" t="s">
        <v>673</v>
      </c>
      <c r="L134" s="7" t="str">
        <f>IF(BudgetsTable[[#This Row],[pi_last_name]]=" ","",HYPERLINK("https://www.ejacket.nsf.gov/ej/showProposal.do?Continue=Y&amp;ID="&amp;BudgetsTable[[#This Row],[prop_id]],BudgetsTable[[#This Row],[prop_id]]))</f>
        <v/>
      </c>
      <c r="M134" s="15" t="str">
        <f>IF(BudgetsTable[[#This Row],[pi_last_name]]=" ","",HYPERLINK("https://www.ejacket.nsf.gov/ej/processReviewAnalysis.do?dispatch=add&amp;uniqId="&amp;BudgetsTable[[#This Row],[prop_id]]&amp;PO_id,"&gt;ra"))</f>
        <v/>
      </c>
      <c r="N134" s="80" t="s">
        <v>13</v>
      </c>
      <c r="O134" s="7" t="str">
        <f>IF(BudgetsTable[[#This Row],[pi_last_name]]=" ","",HYPERLINK("mailto:"&amp;BudgetsTable[[#This Row],[pi_email]]&amp;"&amp;subject=Your NSF Proposal:  "&amp;BudgetsTable[[#This Row],[prop_id]],BudgetsTable[[#This Row],[pi_email]]))</f>
        <v/>
      </c>
      <c r="P134" s="80" t="s">
        <v>13</v>
      </c>
      <c r="Q134" s="80">
        <v>1</v>
      </c>
      <c r="R134" s="80">
        <v>1</v>
      </c>
      <c r="S134" s="81">
        <v>43851</v>
      </c>
      <c r="T134" s="81">
        <v>0</v>
      </c>
      <c r="U134" s="81">
        <v>0</v>
      </c>
      <c r="V134" s="82">
        <v>200123</v>
      </c>
      <c r="W134" s="80">
        <v>0</v>
      </c>
      <c r="X134" s="80">
        <v>3</v>
      </c>
      <c r="Y134" s="11" t="str">
        <f ca="1">IF(ISBLANK(BudgetsTable[[#This Row],[budg_seq_yr]]),"FY"&amp;fiscalyear,"FY"&amp;fiscalyear-1+BudgetsTable[[#This Row],[budg_seq_yr]])</f>
        <v>FY20</v>
      </c>
      <c r="Z134" s="81">
        <v>200123</v>
      </c>
      <c r="AA134" s="80" t="s">
        <v>1124</v>
      </c>
      <c r="AB134" s="80" t="s">
        <v>1125</v>
      </c>
      <c r="AC134" s="108" t="s">
        <v>94</v>
      </c>
      <c r="AD134" s="80"/>
    </row>
    <row r="135" spans="1:30">
      <c r="A135" s="10" t="s">
        <v>1221</v>
      </c>
      <c r="B135" s="78" t="s">
        <v>450</v>
      </c>
      <c r="C135" s="78">
        <f>C134+(BudgetsTable[[#This Row],[lead]]&lt;&gt;K134)</f>
        <v>18</v>
      </c>
      <c r="D135" s="78">
        <f>D134*(BudgetsTable[[#This Row],[lead]]=K134)+(BudgetsTable[[#This Row],[prop_id]]&lt;&gt;A134)</f>
        <v>2</v>
      </c>
      <c r="E135" s="79">
        <v>42800.666666666664</v>
      </c>
      <c r="F135" s="80" t="s">
        <v>1123</v>
      </c>
      <c r="G135" s="80" t="s">
        <v>1124</v>
      </c>
      <c r="H135" s="80" t="s">
        <v>1125</v>
      </c>
      <c r="I135" s="78" t="s">
        <v>596</v>
      </c>
      <c r="J135" s="78" t="s">
        <v>13</v>
      </c>
      <c r="K135" s="80" t="s">
        <v>673</v>
      </c>
      <c r="L135" s="7" t="str">
        <f>IF(BudgetsTable[[#This Row],[pi_last_name]]=" ","",HYPERLINK("https://www.ejacket.nsf.gov/ej/showProposal.do?Continue=Y&amp;ID="&amp;BudgetsTable[[#This Row],[prop_id]],BudgetsTable[[#This Row],[prop_id]]))</f>
        <v/>
      </c>
      <c r="M135" s="15" t="str">
        <f>IF(BudgetsTable[[#This Row],[pi_last_name]]=" ","",HYPERLINK("https://www.ejacket.nsf.gov/ej/processReviewAnalysis.do?dispatch=add&amp;uniqId="&amp;BudgetsTable[[#This Row],[prop_id]]&amp;PO_id,"&gt;ra"))</f>
        <v/>
      </c>
      <c r="N135" s="80" t="s">
        <v>13</v>
      </c>
      <c r="O135" s="7" t="str">
        <f>IF(BudgetsTable[[#This Row],[pi_last_name]]=" ","",HYPERLINK("mailto:"&amp;BudgetsTable[[#This Row],[pi_email]]&amp;"&amp;subject=Your NSF Proposal:  "&amp;BudgetsTable[[#This Row],[prop_id]],BudgetsTable[[#This Row],[pi_email]]))</f>
        <v/>
      </c>
      <c r="P135" s="80" t="s">
        <v>13</v>
      </c>
      <c r="Q135" s="80">
        <v>1</v>
      </c>
      <c r="R135" s="80">
        <v>1</v>
      </c>
      <c r="S135" s="81">
        <v>45166</v>
      </c>
      <c r="T135" s="81">
        <v>0</v>
      </c>
      <c r="U135" s="81">
        <v>0</v>
      </c>
      <c r="V135" s="82">
        <v>208338</v>
      </c>
      <c r="W135" s="80">
        <v>0</v>
      </c>
      <c r="X135" s="80">
        <v>4</v>
      </c>
      <c r="Y135" s="11" t="str">
        <f ca="1">IF(ISBLANK(BudgetsTable[[#This Row],[budg_seq_yr]]),"FY"&amp;fiscalyear,"FY"&amp;fiscalyear-1+BudgetsTable[[#This Row],[budg_seq_yr]])</f>
        <v>FY21</v>
      </c>
      <c r="Z135" s="81">
        <v>208338</v>
      </c>
      <c r="AA135" s="80" t="s">
        <v>1124</v>
      </c>
      <c r="AB135" s="80" t="s">
        <v>1125</v>
      </c>
      <c r="AC135" s="108" t="s">
        <v>94</v>
      </c>
      <c r="AD135" s="80"/>
    </row>
    <row r="136" spans="1:30">
      <c r="A136" s="10" t="s">
        <v>1221</v>
      </c>
      <c r="B136" s="78" t="s">
        <v>450</v>
      </c>
      <c r="C136" s="78">
        <f>C135+(BudgetsTable[[#This Row],[lead]]&lt;&gt;K135)</f>
        <v>18</v>
      </c>
      <c r="D136" s="78">
        <f>D135*(BudgetsTable[[#This Row],[lead]]=K135)+(BudgetsTable[[#This Row],[prop_id]]&lt;&gt;A135)</f>
        <v>2</v>
      </c>
      <c r="E136" s="79">
        <v>42800.666666666664</v>
      </c>
      <c r="F136" s="80" t="s">
        <v>1123</v>
      </c>
      <c r="G136" s="80" t="s">
        <v>1124</v>
      </c>
      <c r="H136" s="80" t="s">
        <v>1125</v>
      </c>
      <c r="I136" s="78" t="s">
        <v>596</v>
      </c>
      <c r="J136" s="78" t="s">
        <v>13</v>
      </c>
      <c r="K136" s="80" t="s">
        <v>673</v>
      </c>
      <c r="L136" s="7" t="str">
        <f>IF(BudgetsTable[[#This Row],[pi_last_name]]=" ","",HYPERLINK("https://www.ejacket.nsf.gov/ej/showProposal.do?Continue=Y&amp;ID="&amp;BudgetsTable[[#This Row],[prop_id]],BudgetsTable[[#This Row],[prop_id]]))</f>
        <v/>
      </c>
      <c r="M136" s="15" t="str">
        <f>IF(BudgetsTable[[#This Row],[pi_last_name]]=" ","",HYPERLINK("https://www.ejacket.nsf.gov/ej/processReviewAnalysis.do?dispatch=add&amp;uniqId="&amp;BudgetsTable[[#This Row],[prop_id]]&amp;PO_id,"&gt;ra"))</f>
        <v/>
      </c>
      <c r="N136" s="80" t="s">
        <v>13</v>
      </c>
      <c r="O136" s="7" t="str">
        <f>IF(BudgetsTable[[#This Row],[pi_last_name]]=" ","",HYPERLINK("mailto:"&amp;BudgetsTable[[#This Row],[pi_email]]&amp;"&amp;subject=Your NSF Proposal:  "&amp;BudgetsTable[[#This Row],[prop_id]],BudgetsTable[[#This Row],[pi_email]]))</f>
        <v/>
      </c>
      <c r="P136" s="80" t="s">
        <v>13</v>
      </c>
      <c r="Q136" s="80">
        <v>1</v>
      </c>
      <c r="R136" s="80">
        <v>1</v>
      </c>
      <c r="S136" s="81">
        <v>46524</v>
      </c>
      <c r="T136" s="81">
        <v>0</v>
      </c>
      <c r="U136" s="81">
        <v>0</v>
      </c>
      <c r="V136" s="82">
        <v>217040</v>
      </c>
      <c r="W136" s="80">
        <v>0</v>
      </c>
      <c r="X136" s="80">
        <v>5</v>
      </c>
      <c r="Y136" s="11" t="str">
        <f ca="1">IF(ISBLANK(BudgetsTable[[#This Row],[budg_seq_yr]]),"FY"&amp;fiscalyear,"FY"&amp;fiscalyear-1+BudgetsTable[[#This Row],[budg_seq_yr]])</f>
        <v>FY22</v>
      </c>
      <c r="Z136" s="81">
        <v>217040</v>
      </c>
      <c r="AA136" s="80" t="s">
        <v>1124</v>
      </c>
      <c r="AB136" s="80" t="s">
        <v>1125</v>
      </c>
      <c r="AC136" s="108" t="s">
        <v>94</v>
      </c>
      <c r="AD136" s="80"/>
    </row>
    <row r="137" spans="1:30">
      <c r="A137" s="10" t="s">
        <v>681</v>
      </c>
      <c r="B137" s="78" t="s">
        <v>463</v>
      </c>
      <c r="C137" s="78">
        <f>C136+(BudgetsTable[[#This Row],[lead]]&lt;&gt;K136)</f>
        <v>19</v>
      </c>
      <c r="D137" s="78">
        <f>D136*(BudgetsTable[[#This Row],[lead]]=K136)+(BudgetsTable[[#This Row],[prop_id]]&lt;&gt;A136)</f>
        <v>1</v>
      </c>
      <c r="E137" s="79">
        <v>42800.70416666667</v>
      </c>
      <c r="F137" s="80" t="s">
        <v>1123</v>
      </c>
      <c r="G137" s="80" t="s">
        <v>1124</v>
      </c>
      <c r="H137" s="80" t="s">
        <v>1125</v>
      </c>
      <c r="I137" s="78" t="s">
        <v>596</v>
      </c>
      <c r="J137" s="78" t="s">
        <v>1230</v>
      </c>
      <c r="K137" s="80" t="s">
        <v>681</v>
      </c>
      <c r="L137" s="7" t="str">
        <f>IF(BudgetsTable[[#This Row],[pi_last_name]]=" ","",HYPERLINK("https://www.ejacket.nsf.gov/ej/showProposal.do?Continue=Y&amp;ID="&amp;BudgetsTable[[#This Row],[prop_id]],BudgetsTable[[#This Row],[prop_id]]))</f>
        <v>1739922</v>
      </c>
      <c r="M137" s="15" t="str">
        <f>IF(BudgetsTable[[#This Row],[pi_last_name]]=" ","",HYPERLINK("https://www.ejacket.nsf.gov/ej/processReviewAnalysis.do?dispatch=add&amp;uniqId="&amp;BudgetsTable[[#This Row],[prop_id]]&amp;PO_id,"&gt;ra"))</f>
        <v>&gt;ra</v>
      </c>
      <c r="N137" s="80" t="s">
        <v>682</v>
      </c>
      <c r="O137" s="7" t="str">
        <f>IF(BudgetsTable[[#This Row],[pi_last_name]]=" ","",HYPERLINK("mailto:"&amp;BudgetsTable[[#This Row],[pi_email]]&amp;"&amp;subject=Your NSF Proposal:  "&amp;BudgetsTable[[#This Row],[prop_id]],BudgetsTable[[#This Row],[pi_email]]))</f>
        <v>sroy@eecs.wsu.edu</v>
      </c>
      <c r="P137" s="80" t="s">
        <v>1227</v>
      </c>
      <c r="Q137" s="80"/>
      <c r="R137" s="80"/>
      <c r="S137" s="81"/>
      <c r="T137" s="81"/>
      <c r="U137" s="81"/>
      <c r="V137" s="82"/>
      <c r="W137" s="80">
        <v>0</v>
      </c>
      <c r="X137" s="80"/>
      <c r="Y137" s="11" t="str">
        <f ca="1">IF(ISBLANK(BudgetsTable[[#This Row],[budg_seq_yr]]),"FY"&amp;fiscalyear,"FY"&amp;fiscalyear-1+BudgetsTable[[#This Row],[budg_seq_yr]])</f>
        <v>FY18</v>
      </c>
      <c r="Z137" s="81">
        <v>2414634</v>
      </c>
      <c r="AA137" s="80" t="s">
        <v>1124</v>
      </c>
      <c r="AB137" s="80" t="s">
        <v>1125</v>
      </c>
      <c r="AC137" s="108" t="s">
        <v>94</v>
      </c>
      <c r="AD137" s="80"/>
    </row>
    <row r="138" spans="1:30">
      <c r="A138" s="10" t="s">
        <v>681</v>
      </c>
      <c r="B138" s="78" t="s">
        <v>463</v>
      </c>
      <c r="C138" s="78">
        <f>C137+(BudgetsTable[[#This Row],[lead]]&lt;&gt;K137)</f>
        <v>19</v>
      </c>
      <c r="D138" s="78">
        <f>D137*(BudgetsTable[[#This Row],[lead]]=K137)+(BudgetsTable[[#This Row],[prop_id]]&lt;&gt;A137)</f>
        <v>1</v>
      </c>
      <c r="E138" s="79">
        <v>42800.70416666667</v>
      </c>
      <c r="F138" s="80" t="s">
        <v>1123</v>
      </c>
      <c r="G138" s="80" t="s">
        <v>1124</v>
      </c>
      <c r="H138" s="80" t="s">
        <v>1125</v>
      </c>
      <c r="I138" s="78" t="s">
        <v>596</v>
      </c>
      <c r="J138" s="78" t="s">
        <v>13</v>
      </c>
      <c r="K138" s="80" t="s">
        <v>681</v>
      </c>
      <c r="L138" s="7" t="str">
        <f>IF(BudgetsTable[[#This Row],[pi_last_name]]=" ","",HYPERLINK("https://www.ejacket.nsf.gov/ej/showProposal.do?Continue=Y&amp;ID="&amp;BudgetsTable[[#This Row],[prop_id]],BudgetsTable[[#This Row],[prop_id]]))</f>
        <v/>
      </c>
      <c r="M138" s="15" t="str">
        <f>IF(BudgetsTable[[#This Row],[pi_last_name]]=" ","",HYPERLINK("https://www.ejacket.nsf.gov/ej/processReviewAnalysis.do?dispatch=add&amp;uniqId="&amp;BudgetsTable[[#This Row],[prop_id]]&amp;PO_id,"&gt;ra"))</f>
        <v/>
      </c>
      <c r="N138" s="80" t="s">
        <v>13</v>
      </c>
      <c r="O138" s="7" t="str">
        <f>IF(BudgetsTable[[#This Row],[pi_last_name]]=" ","",HYPERLINK("mailto:"&amp;BudgetsTable[[#This Row],[pi_email]]&amp;"&amp;subject=Your NSF Proposal:  "&amp;BudgetsTable[[#This Row],[prop_id]],BudgetsTable[[#This Row],[pi_email]]))</f>
        <v/>
      </c>
      <c r="P138" s="80" t="s">
        <v>13</v>
      </c>
      <c r="Q138" s="80">
        <v>5</v>
      </c>
      <c r="R138" s="80">
        <v>5.4</v>
      </c>
      <c r="S138" s="81">
        <v>0</v>
      </c>
      <c r="T138" s="81">
        <v>0</v>
      </c>
      <c r="U138" s="81">
        <v>0</v>
      </c>
      <c r="V138" s="82">
        <v>421790</v>
      </c>
      <c r="W138" s="80">
        <v>0</v>
      </c>
      <c r="X138" s="80">
        <v>1</v>
      </c>
      <c r="Y138" s="11" t="str">
        <f ca="1">IF(ISBLANK(BudgetsTable[[#This Row],[budg_seq_yr]]),"FY"&amp;fiscalyear,"FY"&amp;fiscalyear-1+BudgetsTable[[#This Row],[budg_seq_yr]])</f>
        <v>FY18</v>
      </c>
      <c r="Z138" s="81">
        <v>421790</v>
      </c>
      <c r="AA138" s="80" t="s">
        <v>1124</v>
      </c>
      <c r="AB138" s="80" t="s">
        <v>1125</v>
      </c>
      <c r="AC138" s="108" t="s">
        <v>94</v>
      </c>
      <c r="AD138" s="80"/>
    </row>
    <row r="139" spans="1:30">
      <c r="A139" s="10" t="s">
        <v>681</v>
      </c>
      <c r="B139" s="78" t="s">
        <v>463</v>
      </c>
      <c r="C139" s="78">
        <f>C138+(BudgetsTable[[#This Row],[lead]]&lt;&gt;K138)</f>
        <v>19</v>
      </c>
      <c r="D139" s="78">
        <f>D138*(BudgetsTable[[#This Row],[lead]]=K138)+(BudgetsTable[[#This Row],[prop_id]]&lt;&gt;A138)</f>
        <v>1</v>
      </c>
      <c r="E139" s="79">
        <v>42800.70416666667</v>
      </c>
      <c r="F139" s="80" t="s">
        <v>1123</v>
      </c>
      <c r="G139" s="80" t="s">
        <v>1124</v>
      </c>
      <c r="H139" s="80" t="s">
        <v>1125</v>
      </c>
      <c r="I139" s="78" t="s">
        <v>596</v>
      </c>
      <c r="J139" s="78" t="s">
        <v>13</v>
      </c>
      <c r="K139" s="80" t="s">
        <v>681</v>
      </c>
      <c r="L139" s="7" t="str">
        <f>IF(BudgetsTable[[#This Row],[pi_last_name]]=" ","",HYPERLINK("https://www.ejacket.nsf.gov/ej/showProposal.do?Continue=Y&amp;ID="&amp;BudgetsTable[[#This Row],[prop_id]],BudgetsTable[[#This Row],[prop_id]]))</f>
        <v/>
      </c>
      <c r="M139" s="15" t="str">
        <f>IF(BudgetsTable[[#This Row],[pi_last_name]]=" ","",HYPERLINK("https://www.ejacket.nsf.gov/ej/processReviewAnalysis.do?dispatch=add&amp;uniqId="&amp;BudgetsTable[[#This Row],[prop_id]]&amp;PO_id,"&gt;ra"))</f>
        <v/>
      </c>
      <c r="N139" s="80" t="s">
        <v>13</v>
      </c>
      <c r="O139" s="7" t="str">
        <f>IF(BudgetsTable[[#This Row],[pi_last_name]]=" ","",HYPERLINK("mailto:"&amp;BudgetsTable[[#This Row],[pi_email]]&amp;"&amp;subject=Your NSF Proposal:  "&amp;BudgetsTable[[#This Row],[prop_id]],BudgetsTable[[#This Row],[pi_email]]))</f>
        <v/>
      </c>
      <c r="P139" s="80" t="s">
        <v>13</v>
      </c>
      <c r="Q139" s="80">
        <v>5</v>
      </c>
      <c r="R139" s="80">
        <v>5.4</v>
      </c>
      <c r="S139" s="81">
        <v>0</v>
      </c>
      <c r="T139" s="81">
        <v>0</v>
      </c>
      <c r="U139" s="81">
        <v>0</v>
      </c>
      <c r="V139" s="82">
        <v>510309</v>
      </c>
      <c r="W139" s="80">
        <v>0</v>
      </c>
      <c r="X139" s="80">
        <v>2</v>
      </c>
      <c r="Y139" s="11" t="str">
        <f ca="1">IF(ISBLANK(BudgetsTable[[#This Row],[budg_seq_yr]]),"FY"&amp;fiscalyear,"FY"&amp;fiscalyear-1+BudgetsTable[[#This Row],[budg_seq_yr]])</f>
        <v>FY19</v>
      </c>
      <c r="Z139" s="81">
        <v>510309</v>
      </c>
      <c r="AA139" s="80" t="s">
        <v>1124</v>
      </c>
      <c r="AB139" s="80" t="s">
        <v>1125</v>
      </c>
      <c r="AC139" s="108" t="s">
        <v>94</v>
      </c>
      <c r="AD139" s="80"/>
    </row>
    <row r="140" spans="1:30">
      <c r="A140" s="10" t="s">
        <v>681</v>
      </c>
      <c r="B140" s="78" t="s">
        <v>463</v>
      </c>
      <c r="C140" s="78">
        <f>C139+(BudgetsTable[[#This Row],[lead]]&lt;&gt;K139)</f>
        <v>19</v>
      </c>
      <c r="D140" s="78">
        <f>D139*(BudgetsTable[[#This Row],[lead]]=K139)+(BudgetsTable[[#This Row],[prop_id]]&lt;&gt;A139)</f>
        <v>1</v>
      </c>
      <c r="E140" s="79">
        <v>42800.70416666667</v>
      </c>
      <c r="F140" s="80" t="s">
        <v>1123</v>
      </c>
      <c r="G140" s="80" t="s">
        <v>1124</v>
      </c>
      <c r="H140" s="80" t="s">
        <v>1125</v>
      </c>
      <c r="I140" s="78" t="s">
        <v>596</v>
      </c>
      <c r="J140" s="78" t="s">
        <v>13</v>
      </c>
      <c r="K140" s="80" t="s">
        <v>681</v>
      </c>
      <c r="L140" s="7" t="str">
        <f>IF(BudgetsTable[[#This Row],[pi_last_name]]=" ","",HYPERLINK("https://www.ejacket.nsf.gov/ej/showProposal.do?Continue=Y&amp;ID="&amp;BudgetsTable[[#This Row],[prop_id]],BudgetsTable[[#This Row],[prop_id]]))</f>
        <v/>
      </c>
      <c r="M140" s="15" t="str">
        <f>IF(BudgetsTable[[#This Row],[pi_last_name]]=" ","",HYPERLINK("https://www.ejacket.nsf.gov/ej/processReviewAnalysis.do?dispatch=add&amp;uniqId="&amp;BudgetsTable[[#This Row],[prop_id]]&amp;PO_id,"&gt;ra"))</f>
        <v/>
      </c>
      <c r="N140" s="80" t="s">
        <v>13</v>
      </c>
      <c r="O140" s="7" t="str">
        <f>IF(BudgetsTable[[#This Row],[pi_last_name]]=" ","",HYPERLINK("mailto:"&amp;BudgetsTable[[#This Row],[pi_email]]&amp;"&amp;subject=Your NSF Proposal:  "&amp;BudgetsTable[[#This Row],[prop_id]],BudgetsTable[[#This Row],[pi_email]]))</f>
        <v/>
      </c>
      <c r="P140" s="80" t="s">
        <v>13</v>
      </c>
      <c r="Q140" s="80">
        <v>5</v>
      </c>
      <c r="R140" s="80">
        <v>5.4</v>
      </c>
      <c r="S140" s="81">
        <v>0</v>
      </c>
      <c r="T140" s="81">
        <v>0</v>
      </c>
      <c r="U140" s="81">
        <v>0</v>
      </c>
      <c r="V140" s="82">
        <v>560865</v>
      </c>
      <c r="W140" s="80">
        <v>0</v>
      </c>
      <c r="X140" s="80">
        <v>3</v>
      </c>
      <c r="Y140" s="11" t="str">
        <f ca="1">IF(ISBLANK(BudgetsTable[[#This Row],[budg_seq_yr]]),"FY"&amp;fiscalyear,"FY"&amp;fiscalyear-1+BudgetsTable[[#This Row],[budg_seq_yr]])</f>
        <v>FY20</v>
      </c>
      <c r="Z140" s="81">
        <v>560865</v>
      </c>
      <c r="AA140" s="80" t="s">
        <v>1124</v>
      </c>
      <c r="AB140" s="80" t="s">
        <v>1125</v>
      </c>
      <c r="AC140" s="108" t="s">
        <v>94</v>
      </c>
      <c r="AD140" s="80"/>
    </row>
    <row r="141" spans="1:30">
      <c r="A141" s="10" t="s">
        <v>681</v>
      </c>
      <c r="B141" s="78" t="s">
        <v>463</v>
      </c>
      <c r="C141" s="78">
        <f>C140+(BudgetsTable[[#This Row],[lead]]&lt;&gt;K140)</f>
        <v>19</v>
      </c>
      <c r="D141" s="78">
        <f>D140*(BudgetsTable[[#This Row],[lead]]=K140)+(BudgetsTable[[#This Row],[prop_id]]&lt;&gt;A140)</f>
        <v>1</v>
      </c>
      <c r="E141" s="79">
        <v>42800.70416666667</v>
      </c>
      <c r="F141" s="80" t="s">
        <v>1123</v>
      </c>
      <c r="G141" s="80" t="s">
        <v>1124</v>
      </c>
      <c r="H141" s="80" t="s">
        <v>1125</v>
      </c>
      <c r="I141" s="78" t="s">
        <v>596</v>
      </c>
      <c r="J141" s="78" t="s">
        <v>13</v>
      </c>
      <c r="K141" s="80" t="s">
        <v>681</v>
      </c>
      <c r="L141" s="7" t="str">
        <f>IF(BudgetsTable[[#This Row],[pi_last_name]]=" ","",HYPERLINK("https://www.ejacket.nsf.gov/ej/showProposal.do?Continue=Y&amp;ID="&amp;BudgetsTable[[#This Row],[prop_id]],BudgetsTable[[#This Row],[prop_id]]))</f>
        <v/>
      </c>
      <c r="M141" s="15" t="str">
        <f>IF(BudgetsTable[[#This Row],[pi_last_name]]=" ","",HYPERLINK("https://www.ejacket.nsf.gov/ej/processReviewAnalysis.do?dispatch=add&amp;uniqId="&amp;BudgetsTable[[#This Row],[prop_id]]&amp;PO_id,"&gt;ra"))</f>
        <v/>
      </c>
      <c r="N141" s="80" t="s">
        <v>13</v>
      </c>
      <c r="O141" s="7" t="str">
        <f>IF(BudgetsTable[[#This Row],[pi_last_name]]=" ","",HYPERLINK("mailto:"&amp;BudgetsTable[[#This Row],[pi_email]]&amp;"&amp;subject=Your NSF Proposal:  "&amp;BudgetsTable[[#This Row],[prop_id]],BudgetsTable[[#This Row],[pi_email]]))</f>
        <v/>
      </c>
      <c r="P141" s="80" t="s">
        <v>13</v>
      </c>
      <c r="Q141" s="80">
        <v>5</v>
      </c>
      <c r="R141" s="80">
        <v>5.4</v>
      </c>
      <c r="S141" s="81">
        <v>0</v>
      </c>
      <c r="T141" s="81">
        <v>0</v>
      </c>
      <c r="U141" s="81">
        <v>0</v>
      </c>
      <c r="V141" s="82">
        <v>482164</v>
      </c>
      <c r="W141" s="80">
        <v>0</v>
      </c>
      <c r="X141" s="80">
        <v>4</v>
      </c>
      <c r="Y141" s="11" t="str">
        <f ca="1">IF(ISBLANK(BudgetsTable[[#This Row],[budg_seq_yr]]),"FY"&amp;fiscalyear,"FY"&amp;fiscalyear-1+BudgetsTable[[#This Row],[budg_seq_yr]])</f>
        <v>FY21</v>
      </c>
      <c r="Z141" s="81">
        <v>482164</v>
      </c>
      <c r="AA141" s="80" t="s">
        <v>1124</v>
      </c>
      <c r="AB141" s="80" t="s">
        <v>1125</v>
      </c>
      <c r="AC141" s="108" t="s">
        <v>94</v>
      </c>
      <c r="AD141" s="80"/>
    </row>
    <row r="142" spans="1:30">
      <c r="A142" s="10" t="s">
        <v>681</v>
      </c>
      <c r="B142" s="78" t="s">
        <v>463</v>
      </c>
      <c r="C142" s="78">
        <f>C141+(BudgetsTable[[#This Row],[lead]]&lt;&gt;K141)</f>
        <v>19</v>
      </c>
      <c r="D142" s="78">
        <f>D141*(BudgetsTable[[#This Row],[lead]]=K141)+(BudgetsTable[[#This Row],[prop_id]]&lt;&gt;A141)</f>
        <v>1</v>
      </c>
      <c r="E142" s="79">
        <v>42800.70416666667</v>
      </c>
      <c r="F142" s="80" t="s">
        <v>1123</v>
      </c>
      <c r="G142" s="80" t="s">
        <v>1124</v>
      </c>
      <c r="H142" s="80" t="s">
        <v>1125</v>
      </c>
      <c r="I142" s="78" t="s">
        <v>596</v>
      </c>
      <c r="J142" s="78" t="s">
        <v>13</v>
      </c>
      <c r="K142" s="80" t="s">
        <v>681</v>
      </c>
      <c r="L142" s="7" t="str">
        <f>IF(BudgetsTable[[#This Row],[pi_last_name]]=" ","",HYPERLINK("https://www.ejacket.nsf.gov/ej/showProposal.do?Continue=Y&amp;ID="&amp;BudgetsTable[[#This Row],[prop_id]],BudgetsTable[[#This Row],[prop_id]]))</f>
        <v/>
      </c>
      <c r="M142" s="15" t="str">
        <f>IF(BudgetsTable[[#This Row],[pi_last_name]]=" ","",HYPERLINK("https://www.ejacket.nsf.gov/ej/processReviewAnalysis.do?dispatch=add&amp;uniqId="&amp;BudgetsTable[[#This Row],[prop_id]]&amp;PO_id,"&gt;ra"))</f>
        <v/>
      </c>
      <c r="N142" s="80" t="s">
        <v>13</v>
      </c>
      <c r="O142" s="7" t="str">
        <f>IF(BudgetsTable[[#This Row],[pi_last_name]]=" ","",HYPERLINK("mailto:"&amp;BudgetsTable[[#This Row],[pi_email]]&amp;"&amp;subject=Your NSF Proposal:  "&amp;BudgetsTable[[#This Row],[prop_id]],BudgetsTable[[#This Row],[pi_email]]))</f>
        <v/>
      </c>
      <c r="P142" s="80" t="s">
        <v>13</v>
      </c>
      <c r="Q142" s="80">
        <v>5</v>
      </c>
      <c r="R142" s="80">
        <v>5.4</v>
      </c>
      <c r="S142" s="81">
        <v>0</v>
      </c>
      <c r="T142" s="81">
        <v>0</v>
      </c>
      <c r="U142" s="81">
        <v>0</v>
      </c>
      <c r="V142" s="82">
        <v>439506</v>
      </c>
      <c r="W142" s="80">
        <v>0</v>
      </c>
      <c r="X142" s="80">
        <v>5</v>
      </c>
      <c r="Y142" s="11" t="str">
        <f ca="1">IF(ISBLANK(BudgetsTable[[#This Row],[budg_seq_yr]]),"FY"&amp;fiscalyear,"FY"&amp;fiscalyear-1+BudgetsTable[[#This Row],[budg_seq_yr]])</f>
        <v>FY22</v>
      </c>
      <c r="Z142" s="81">
        <v>439506</v>
      </c>
      <c r="AA142" s="80" t="s">
        <v>1124</v>
      </c>
      <c r="AB142" s="80" t="s">
        <v>1125</v>
      </c>
      <c r="AC142" s="108" t="s">
        <v>94</v>
      </c>
      <c r="AD142" s="80"/>
    </row>
    <row r="143" spans="1:30">
      <c r="A143" s="10" t="s">
        <v>1231</v>
      </c>
      <c r="B143" s="78" t="s">
        <v>450</v>
      </c>
      <c r="C143" s="78">
        <f>C142+(BudgetsTable[[#This Row],[lead]]&lt;&gt;K142)</f>
        <v>19</v>
      </c>
      <c r="D143" s="78">
        <f>D142*(BudgetsTable[[#This Row],[lead]]=K142)+(BudgetsTable[[#This Row],[prop_id]]&lt;&gt;A142)</f>
        <v>2</v>
      </c>
      <c r="E143" s="79">
        <v>42797.677777777775</v>
      </c>
      <c r="F143" s="80" t="s">
        <v>1123</v>
      </c>
      <c r="G143" s="80" t="s">
        <v>1124</v>
      </c>
      <c r="H143" s="80" t="s">
        <v>1125</v>
      </c>
      <c r="I143" s="78" t="s">
        <v>596</v>
      </c>
      <c r="J143" s="78" t="s">
        <v>1234</v>
      </c>
      <c r="K143" s="80" t="s">
        <v>681</v>
      </c>
      <c r="L143" s="7" t="str">
        <f>IF(BudgetsTable[[#This Row],[pi_last_name]]=" ","",HYPERLINK("https://www.ejacket.nsf.gov/ej/showProposal.do?Continue=Y&amp;ID="&amp;BudgetsTable[[#This Row],[prop_id]],BudgetsTable[[#This Row],[prop_id]]))</f>
        <v>1739202</v>
      </c>
      <c r="M143" s="15" t="str">
        <f>IF(BudgetsTable[[#This Row],[pi_last_name]]=" ","",HYPERLINK("https://www.ejacket.nsf.gov/ej/processReviewAnalysis.do?dispatch=add&amp;uniqId="&amp;BudgetsTable[[#This Row],[prop_id]]&amp;PO_id,"&gt;ra"))</f>
        <v>&gt;ra</v>
      </c>
      <c r="N143" s="80" t="s">
        <v>1232</v>
      </c>
      <c r="O143" s="7" t="str">
        <f>IF(BudgetsTable[[#This Row],[pi_last_name]]=" ","",HYPERLINK("mailto:"&amp;BudgetsTable[[#This Row],[pi_email]]&amp;"&amp;subject=Your NSF Proposal:  "&amp;BudgetsTable[[#This Row],[prop_id]],BudgetsTable[[#This Row],[pi_email]]))</f>
        <v>preciado@seas.upenn.edu</v>
      </c>
      <c r="P143" s="80" t="s">
        <v>1165</v>
      </c>
      <c r="Q143" s="80"/>
      <c r="R143" s="80"/>
      <c r="S143" s="81"/>
      <c r="T143" s="81"/>
      <c r="U143" s="81"/>
      <c r="V143" s="82"/>
      <c r="W143" s="80">
        <v>0</v>
      </c>
      <c r="X143" s="80"/>
      <c r="Y143" s="11" t="str">
        <f ca="1">IF(ISBLANK(BudgetsTable[[#This Row],[budg_seq_yr]]),"FY"&amp;fiscalyear,"FY"&amp;fiscalyear-1+BudgetsTable[[#This Row],[budg_seq_yr]])</f>
        <v>FY18</v>
      </c>
      <c r="Z143" s="81">
        <v>1500000</v>
      </c>
      <c r="AA143" s="80" t="s">
        <v>1124</v>
      </c>
      <c r="AB143" s="80" t="s">
        <v>1125</v>
      </c>
      <c r="AC143" s="108" t="s">
        <v>94</v>
      </c>
      <c r="AD143" s="80"/>
    </row>
    <row r="144" spans="1:30">
      <c r="A144" s="10" t="s">
        <v>1231</v>
      </c>
      <c r="B144" s="78" t="s">
        <v>450</v>
      </c>
      <c r="C144" s="78">
        <f>C143+(BudgetsTable[[#This Row],[lead]]&lt;&gt;K143)</f>
        <v>19</v>
      </c>
      <c r="D144" s="78">
        <f>D143*(BudgetsTable[[#This Row],[lead]]=K143)+(BudgetsTable[[#This Row],[prop_id]]&lt;&gt;A143)</f>
        <v>2</v>
      </c>
      <c r="E144" s="79">
        <v>42797.677777777775</v>
      </c>
      <c r="F144" s="80" t="s">
        <v>1123</v>
      </c>
      <c r="G144" s="80" t="s">
        <v>1124</v>
      </c>
      <c r="H144" s="80" t="s">
        <v>1125</v>
      </c>
      <c r="I144" s="78" t="s">
        <v>596</v>
      </c>
      <c r="J144" s="78" t="s">
        <v>13</v>
      </c>
      <c r="K144" s="80" t="s">
        <v>681</v>
      </c>
      <c r="L144" s="7" t="str">
        <f>IF(BudgetsTable[[#This Row],[pi_last_name]]=" ","",HYPERLINK("https://www.ejacket.nsf.gov/ej/showProposal.do?Continue=Y&amp;ID="&amp;BudgetsTable[[#This Row],[prop_id]],BudgetsTable[[#This Row],[prop_id]]))</f>
        <v/>
      </c>
      <c r="M144" s="15" t="str">
        <f>IF(BudgetsTable[[#This Row],[pi_last_name]]=" ","",HYPERLINK("https://www.ejacket.nsf.gov/ej/processReviewAnalysis.do?dispatch=add&amp;uniqId="&amp;BudgetsTable[[#This Row],[prop_id]]&amp;PO_id,"&gt;ra"))</f>
        <v/>
      </c>
      <c r="N144" s="80" t="s">
        <v>13</v>
      </c>
      <c r="O144" s="7" t="str">
        <f>IF(BudgetsTable[[#This Row],[pi_last_name]]=" ","",HYPERLINK("mailto:"&amp;BudgetsTable[[#This Row],[pi_email]]&amp;"&amp;subject=Your NSF Proposal:  "&amp;BudgetsTable[[#This Row],[prop_id]],BudgetsTable[[#This Row],[pi_email]]))</f>
        <v/>
      </c>
      <c r="P144" s="80" t="s">
        <v>13</v>
      </c>
      <c r="Q144" s="80">
        <v>3</v>
      </c>
      <c r="R144" s="80">
        <v>3</v>
      </c>
      <c r="S144" s="81">
        <v>0</v>
      </c>
      <c r="T144" s="81">
        <v>2000</v>
      </c>
      <c r="U144" s="81">
        <v>0</v>
      </c>
      <c r="V144" s="82">
        <v>284506</v>
      </c>
      <c r="W144" s="80">
        <v>0</v>
      </c>
      <c r="X144" s="80">
        <v>1</v>
      </c>
      <c r="Y144" s="11" t="str">
        <f ca="1">IF(ISBLANK(BudgetsTable[[#This Row],[budg_seq_yr]]),"FY"&amp;fiscalyear,"FY"&amp;fiscalyear-1+BudgetsTable[[#This Row],[budg_seq_yr]])</f>
        <v>FY18</v>
      </c>
      <c r="Z144" s="81">
        <v>284506</v>
      </c>
      <c r="AA144" s="80" t="s">
        <v>1124</v>
      </c>
      <c r="AB144" s="80" t="s">
        <v>1125</v>
      </c>
      <c r="AC144" s="108" t="s">
        <v>94</v>
      </c>
      <c r="AD144" s="80"/>
    </row>
    <row r="145" spans="1:30">
      <c r="A145" s="10" t="s">
        <v>1231</v>
      </c>
      <c r="B145" s="78" t="s">
        <v>450</v>
      </c>
      <c r="C145" s="78">
        <f>C144+(BudgetsTable[[#This Row],[lead]]&lt;&gt;K144)</f>
        <v>19</v>
      </c>
      <c r="D145" s="78">
        <f>D144*(BudgetsTable[[#This Row],[lead]]=K144)+(BudgetsTable[[#This Row],[prop_id]]&lt;&gt;A144)</f>
        <v>2</v>
      </c>
      <c r="E145" s="79">
        <v>42797.677777777775</v>
      </c>
      <c r="F145" s="80" t="s">
        <v>1123</v>
      </c>
      <c r="G145" s="80" t="s">
        <v>1124</v>
      </c>
      <c r="H145" s="80" t="s">
        <v>1125</v>
      </c>
      <c r="I145" s="78" t="s">
        <v>596</v>
      </c>
      <c r="J145" s="78" t="s">
        <v>13</v>
      </c>
      <c r="K145" s="80" t="s">
        <v>681</v>
      </c>
      <c r="L145" s="7" t="str">
        <f>IF(BudgetsTable[[#This Row],[pi_last_name]]=" ","",HYPERLINK("https://www.ejacket.nsf.gov/ej/showProposal.do?Continue=Y&amp;ID="&amp;BudgetsTable[[#This Row],[prop_id]],BudgetsTable[[#This Row],[prop_id]]))</f>
        <v/>
      </c>
      <c r="M145" s="15" t="str">
        <f>IF(BudgetsTable[[#This Row],[pi_last_name]]=" ","",HYPERLINK("https://www.ejacket.nsf.gov/ej/processReviewAnalysis.do?dispatch=add&amp;uniqId="&amp;BudgetsTable[[#This Row],[prop_id]]&amp;PO_id,"&gt;ra"))</f>
        <v/>
      </c>
      <c r="N145" s="80" t="s">
        <v>13</v>
      </c>
      <c r="O145" s="7" t="str">
        <f>IF(BudgetsTable[[#This Row],[pi_last_name]]=" ","",HYPERLINK("mailto:"&amp;BudgetsTable[[#This Row],[pi_email]]&amp;"&amp;subject=Your NSF Proposal:  "&amp;BudgetsTable[[#This Row],[prop_id]],BudgetsTable[[#This Row],[pi_email]]))</f>
        <v/>
      </c>
      <c r="P145" s="80" t="s">
        <v>13</v>
      </c>
      <c r="Q145" s="80">
        <v>3</v>
      </c>
      <c r="R145" s="80">
        <v>3</v>
      </c>
      <c r="S145" s="81">
        <v>0</v>
      </c>
      <c r="T145" s="81">
        <v>2000</v>
      </c>
      <c r="U145" s="81">
        <v>0</v>
      </c>
      <c r="V145" s="82">
        <v>291071</v>
      </c>
      <c r="W145" s="80">
        <v>0</v>
      </c>
      <c r="X145" s="80">
        <v>2</v>
      </c>
      <c r="Y145" s="11" t="str">
        <f ca="1">IF(ISBLANK(BudgetsTable[[#This Row],[budg_seq_yr]]),"FY"&amp;fiscalyear,"FY"&amp;fiscalyear-1+BudgetsTable[[#This Row],[budg_seq_yr]])</f>
        <v>FY19</v>
      </c>
      <c r="Z145" s="81">
        <v>291071</v>
      </c>
      <c r="AA145" s="80" t="s">
        <v>1124</v>
      </c>
      <c r="AB145" s="80" t="s">
        <v>1125</v>
      </c>
      <c r="AC145" s="108" t="s">
        <v>94</v>
      </c>
      <c r="AD145" s="80"/>
    </row>
    <row r="146" spans="1:30">
      <c r="A146" s="10" t="s">
        <v>1231</v>
      </c>
      <c r="B146" s="78" t="s">
        <v>450</v>
      </c>
      <c r="C146" s="78">
        <f>C145+(BudgetsTable[[#This Row],[lead]]&lt;&gt;K145)</f>
        <v>19</v>
      </c>
      <c r="D146" s="78">
        <f>D145*(BudgetsTable[[#This Row],[lead]]=K145)+(BudgetsTable[[#This Row],[prop_id]]&lt;&gt;A145)</f>
        <v>2</v>
      </c>
      <c r="E146" s="79">
        <v>42797.677777777775</v>
      </c>
      <c r="F146" s="80" t="s">
        <v>1123</v>
      </c>
      <c r="G146" s="80" t="s">
        <v>1124</v>
      </c>
      <c r="H146" s="80" t="s">
        <v>1125</v>
      </c>
      <c r="I146" s="78" t="s">
        <v>596</v>
      </c>
      <c r="J146" s="78" t="s">
        <v>13</v>
      </c>
      <c r="K146" s="80" t="s">
        <v>681</v>
      </c>
      <c r="L146" s="7" t="str">
        <f>IF(BudgetsTable[[#This Row],[pi_last_name]]=" ","",HYPERLINK("https://www.ejacket.nsf.gov/ej/showProposal.do?Continue=Y&amp;ID="&amp;BudgetsTable[[#This Row],[prop_id]],BudgetsTable[[#This Row],[prop_id]]))</f>
        <v/>
      </c>
      <c r="M146" s="15" t="str">
        <f>IF(BudgetsTable[[#This Row],[pi_last_name]]=" ","",HYPERLINK("https://www.ejacket.nsf.gov/ej/processReviewAnalysis.do?dispatch=add&amp;uniqId="&amp;BudgetsTable[[#This Row],[prop_id]]&amp;PO_id,"&gt;ra"))</f>
        <v/>
      </c>
      <c r="N146" s="80" t="s">
        <v>13</v>
      </c>
      <c r="O146" s="7" t="str">
        <f>IF(BudgetsTable[[#This Row],[pi_last_name]]=" ","",HYPERLINK("mailto:"&amp;BudgetsTable[[#This Row],[pi_email]]&amp;"&amp;subject=Your NSF Proposal:  "&amp;BudgetsTable[[#This Row],[prop_id]],BudgetsTable[[#This Row],[pi_email]]))</f>
        <v/>
      </c>
      <c r="P146" s="80" t="s">
        <v>13</v>
      </c>
      <c r="Q146" s="80">
        <v>3</v>
      </c>
      <c r="R146" s="80">
        <v>3</v>
      </c>
      <c r="S146" s="81">
        <v>0</v>
      </c>
      <c r="T146" s="81">
        <v>2000</v>
      </c>
      <c r="U146" s="81">
        <v>0</v>
      </c>
      <c r="V146" s="82">
        <v>299511</v>
      </c>
      <c r="W146" s="80">
        <v>0</v>
      </c>
      <c r="X146" s="80">
        <v>3</v>
      </c>
      <c r="Y146" s="11" t="str">
        <f ca="1">IF(ISBLANK(BudgetsTable[[#This Row],[budg_seq_yr]]),"FY"&amp;fiscalyear,"FY"&amp;fiscalyear-1+BudgetsTable[[#This Row],[budg_seq_yr]])</f>
        <v>FY20</v>
      </c>
      <c r="Z146" s="81">
        <v>299511</v>
      </c>
      <c r="AA146" s="80" t="s">
        <v>1124</v>
      </c>
      <c r="AB146" s="80" t="s">
        <v>1125</v>
      </c>
      <c r="AC146" s="108" t="s">
        <v>94</v>
      </c>
      <c r="AD146" s="80"/>
    </row>
    <row r="147" spans="1:30">
      <c r="A147" s="10" t="s">
        <v>1231</v>
      </c>
      <c r="B147" s="78" t="s">
        <v>450</v>
      </c>
      <c r="C147" s="78">
        <f>C146+(BudgetsTable[[#This Row],[lead]]&lt;&gt;K146)</f>
        <v>19</v>
      </c>
      <c r="D147" s="78">
        <f>D146*(BudgetsTable[[#This Row],[lead]]=K146)+(BudgetsTable[[#This Row],[prop_id]]&lt;&gt;A146)</f>
        <v>2</v>
      </c>
      <c r="E147" s="79">
        <v>42797.677777777775</v>
      </c>
      <c r="F147" s="80" t="s">
        <v>1123</v>
      </c>
      <c r="G147" s="80" t="s">
        <v>1124</v>
      </c>
      <c r="H147" s="80" t="s">
        <v>1125</v>
      </c>
      <c r="I147" s="78" t="s">
        <v>596</v>
      </c>
      <c r="J147" s="78" t="s">
        <v>13</v>
      </c>
      <c r="K147" s="80" t="s">
        <v>681</v>
      </c>
      <c r="L147" s="7" t="str">
        <f>IF(BudgetsTable[[#This Row],[pi_last_name]]=" ","",HYPERLINK("https://www.ejacket.nsf.gov/ej/showProposal.do?Continue=Y&amp;ID="&amp;BudgetsTable[[#This Row],[prop_id]],BudgetsTable[[#This Row],[prop_id]]))</f>
        <v/>
      </c>
      <c r="M147" s="15" t="str">
        <f>IF(BudgetsTable[[#This Row],[pi_last_name]]=" ","",HYPERLINK("https://www.ejacket.nsf.gov/ej/processReviewAnalysis.do?dispatch=add&amp;uniqId="&amp;BudgetsTable[[#This Row],[prop_id]]&amp;PO_id,"&gt;ra"))</f>
        <v/>
      </c>
      <c r="N147" s="80" t="s">
        <v>13</v>
      </c>
      <c r="O147" s="7" t="str">
        <f>IF(BudgetsTable[[#This Row],[pi_last_name]]=" ","",HYPERLINK("mailto:"&amp;BudgetsTable[[#This Row],[pi_email]]&amp;"&amp;subject=Your NSF Proposal:  "&amp;BudgetsTable[[#This Row],[prop_id]],BudgetsTable[[#This Row],[pi_email]]))</f>
        <v/>
      </c>
      <c r="P147" s="80" t="s">
        <v>13</v>
      </c>
      <c r="Q147" s="80">
        <v>3</v>
      </c>
      <c r="R147" s="80">
        <v>3</v>
      </c>
      <c r="S147" s="81">
        <v>0</v>
      </c>
      <c r="T147" s="81">
        <v>2000</v>
      </c>
      <c r="U147" s="81">
        <v>0</v>
      </c>
      <c r="V147" s="82">
        <v>308619</v>
      </c>
      <c r="W147" s="80">
        <v>0</v>
      </c>
      <c r="X147" s="80">
        <v>4</v>
      </c>
      <c r="Y147" s="11" t="str">
        <f ca="1">IF(ISBLANK(BudgetsTable[[#This Row],[budg_seq_yr]]),"FY"&amp;fiscalyear,"FY"&amp;fiscalyear-1+BudgetsTable[[#This Row],[budg_seq_yr]])</f>
        <v>FY21</v>
      </c>
      <c r="Z147" s="81">
        <v>308619</v>
      </c>
      <c r="AA147" s="80" t="s">
        <v>1124</v>
      </c>
      <c r="AB147" s="80" t="s">
        <v>1125</v>
      </c>
      <c r="AC147" s="108" t="s">
        <v>94</v>
      </c>
      <c r="AD147" s="80"/>
    </row>
    <row r="148" spans="1:30">
      <c r="A148" s="10" t="s">
        <v>1231</v>
      </c>
      <c r="B148" s="78" t="s">
        <v>450</v>
      </c>
      <c r="C148" s="78">
        <f>C147+(BudgetsTable[[#This Row],[lead]]&lt;&gt;K147)</f>
        <v>19</v>
      </c>
      <c r="D148" s="78">
        <f>D147*(BudgetsTable[[#This Row],[lead]]=K147)+(BudgetsTable[[#This Row],[prop_id]]&lt;&gt;A147)</f>
        <v>2</v>
      </c>
      <c r="E148" s="79">
        <v>42797.677777777775</v>
      </c>
      <c r="F148" s="80" t="s">
        <v>1123</v>
      </c>
      <c r="G148" s="80" t="s">
        <v>1124</v>
      </c>
      <c r="H148" s="80" t="s">
        <v>1125</v>
      </c>
      <c r="I148" s="78" t="s">
        <v>596</v>
      </c>
      <c r="J148" s="78" t="s">
        <v>13</v>
      </c>
      <c r="K148" s="80" t="s">
        <v>681</v>
      </c>
      <c r="L148" s="7" t="str">
        <f>IF(BudgetsTable[[#This Row],[pi_last_name]]=" ","",HYPERLINK("https://www.ejacket.nsf.gov/ej/showProposal.do?Continue=Y&amp;ID="&amp;BudgetsTable[[#This Row],[prop_id]],BudgetsTable[[#This Row],[prop_id]]))</f>
        <v/>
      </c>
      <c r="M148" s="15" t="str">
        <f>IF(BudgetsTable[[#This Row],[pi_last_name]]=" ","",HYPERLINK("https://www.ejacket.nsf.gov/ej/processReviewAnalysis.do?dispatch=add&amp;uniqId="&amp;BudgetsTable[[#This Row],[prop_id]]&amp;PO_id,"&gt;ra"))</f>
        <v/>
      </c>
      <c r="N148" s="80" t="s">
        <v>13</v>
      </c>
      <c r="O148" s="7" t="str">
        <f>IF(BudgetsTable[[#This Row],[pi_last_name]]=" ","",HYPERLINK("mailto:"&amp;BudgetsTable[[#This Row],[pi_email]]&amp;"&amp;subject=Your NSF Proposal:  "&amp;BudgetsTable[[#This Row],[prop_id]],BudgetsTable[[#This Row],[pi_email]]))</f>
        <v/>
      </c>
      <c r="P148" s="80" t="s">
        <v>13</v>
      </c>
      <c r="Q148" s="80">
        <v>3</v>
      </c>
      <c r="R148" s="80">
        <v>3</v>
      </c>
      <c r="S148" s="81">
        <v>0</v>
      </c>
      <c r="T148" s="81">
        <v>2000</v>
      </c>
      <c r="U148" s="81">
        <v>0</v>
      </c>
      <c r="V148" s="82">
        <v>316293</v>
      </c>
      <c r="W148" s="80">
        <v>0</v>
      </c>
      <c r="X148" s="80">
        <v>5</v>
      </c>
      <c r="Y148" s="11" t="str">
        <f ca="1">IF(ISBLANK(BudgetsTable[[#This Row],[budg_seq_yr]]),"FY"&amp;fiscalyear,"FY"&amp;fiscalyear-1+BudgetsTable[[#This Row],[budg_seq_yr]])</f>
        <v>FY22</v>
      </c>
      <c r="Z148" s="81">
        <v>316293</v>
      </c>
      <c r="AA148" s="80" t="s">
        <v>1124</v>
      </c>
      <c r="AB148" s="80" t="s">
        <v>1125</v>
      </c>
      <c r="AC148" s="108" t="s">
        <v>94</v>
      </c>
      <c r="AD148" s="80"/>
    </row>
    <row r="149" spans="1:30">
      <c r="A149" s="10" t="s">
        <v>1235</v>
      </c>
      <c r="B149" s="78" t="s">
        <v>450</v>
      </c>
      <c r="C149" s="78">
        <f>C148+(BudgetsTable[[#This Row],[lead]]&lt;&gt;K148)</f>
        <v>19</v>
      </c>
      <c r="D149" s="78">
        <f>D148*(BudgetsTable[[#This Row],[lead]]=K148)+(BudgetsTable[[#This Row],[prop_id]]&lt;&gt;A148)</f>
        <v>3</v>
      </c>
      <c r="E149" s="79">
        <v>42800.574305555558</v>
      </c>
      <c r="F149" s="80" t="s">
        <v>1123</v>
      </c>
      <c r="G149" s="80" t="s">
        <v>1124</v>
      </c>
      <c r="H149" s="80" t="s">
        <v>1125</v>
      </c>
      <c r="I149" s="78" t="s">
        <v>596</v>
      </c>
      <c r="J149" s="78" t="s">
        <v>1238</v>
      </c>
      <c r="K149" s="80" t="s">
        <v>681</v>
      </c>
      <c r="L149" s="7" t="str">
        <f>IF(BudgetsTable[[#This Row],[pi_last_name]]=" ","",HYPERLINK("https://www.ejacket.nsf.gov/ej/showProposal.do?Continue=Y&amp;ID="&amp;BudgetsTable[[#This Row],[prop_id]],BudgetsTable[[#This Row],[prop_id]]))</f>
        <v>1739463</v>
      </c>
      <c r="M149" s="15" t="str">
        <f>IF(BudgetsTable[[#This Row],[pi_last_name]]=" ","",HYPERLINK("https://www.ejacket.nsf.gov/ej/processReviewAnalysis.do?dispatch=add&amp;uniqId="&amp;BudgetsTable[[#This Row],[prop_id]]&amp;PO_id,"&gt;ra"))</f>
        <v>&gt;ra</v>
      </c>
      <c r="N149" s="80" t="s">
        <v>1236</v>
      </c>
      <c r="O149" s="7" t="str">
        <f>IF(BudgetsTable[[#This Row],[pi_last_name]]=" ","",HYPERLINK("mailto:"&amp;BudgetsTable[[#This Row],[pi_email]]&amp;"&amp;subject=Your NSF Proposal:  "&amp;BudgetsTable[[#This Row],[prop_id]],BudgetsTable[[#This Row],[pi_email]]))</f>
        <v>lesieutre@wisc.edu</v>
      </c>
      <c r="P149" s="80" t="s">
        <v>253</v>
      </c>
      <c r="Q149" s="80"/>
      <c r="R149" s="80"/>
      <c r="S149" s="81"/>
      <c r="T149" s="81"/>
      <c r="U149" s="81"/>
      <c r="V149" s="82"/>
      <c r="W149" s="80">
        <v>0</v>
      </c>
      <c r="X149" s="80"/>
      <c r="Y149" s="11" t="str">
        <f ca="1">IF(ISBLANK(BudgetsTable[[#This Row],[budg_seq_yr]]),"FY"&amp;fiscalyear,"FY"&amp;fiscalyear-1+BudgetsTable[[#This Row],[budg_seq_yr]])</f>
        <v>FY18</v>
      </c>
      <c r="Z149" s="81">
        <v>1267898</v>
      </c>
      <c r="AA149" s="80" t="s">
        <v>1124</v>
      </c>
      <c r="AB149" s="80" t="s">
        <v>1125</v>
      </c>
      <c r="AC149" s="108" t="s">
        <v>94</v>
      </c>
      <c r="AD149" s="80"/>
    </row>
    <row r="150" spans="1:30">
      <c r="A150" s="10" t="s">
        <v>1235</v>
      </c>
      <c r="B150" s="78" t="s">
        <v>450</v>
      </c>
      <c r="C150" s="78">
        <f>C149+(BudgetsTable[[#This Row],[lead]]&lt;&gt;K149)</f>
        <v>19</v>
      </c>
      <c r="D150" s="78">
        <f>D149*(BudgetsTable[[#This Row],[lead]]=K149)+(BudgetsTable[[#This Row],[prop_id]]&lt;&gt;A149)</f>
        <v>3</v>
      </c>
      <c r="E150" s="79">
        <v>42800.574305555558</v>
      </c>
      <c r="F150" s="80" t="s">
        <v>1123</v>
      </c>
      <c r="G150" s="80" t="s">
        <v>1124</v>
      </c>
      <c r="H150" s="80" t="s">
        <v>1125</v>
      </c>
      <c r="I150" s="78" t="s">
        <v>596</v>
      </c>
      <c r="J150" s="78" t="s">
        <v>13</v>
      </c>
      <c r="K150" s="80" t="s">
        <v>681</v>
      </c>
      <c r="L150" s="7" t="str">
        <f>IF(BudgetsTable[[#This Row],[pi_last_name]]=" ","",HYPERLINK("https://www.ejacket.nsf.gov/ej/showProposal.do?Continue=Y&amp;ID="&amp;BudgetsTable[[#This Row],[prop_id]],BudgetsTable[[#This Row],[prop_id]]))</f>
        <v/>
      </c>
      <c r="M150" s="15" t="str">
        <f>IF(BudgetsTable[[#This Row],[pi_last_name]]=" ","",HYPERLINK("https://www.ejacket.nsf.gov/ej/processReviewAnalysis.do?dispatch=add&amp;uniqId="&amp;BudgetsTable[[#This Row],[prop_id]]&amp;PO_id,"&gt;ra"))</f>
        <v/>
      </c>
      <c r="N150" s="80" t="s">
        <v>13</v>
      </c>
      <c r="O150" s="7" t="str">
        <f>IF(BudgetsTable[[#This Row],[pi_last_name]]=" ","",HYPERLINK("mailto:"&amp;BudgetsTable[[#This Row],[pi_email]]&amp;"&amp;subject=Your NSF Proposal:  "&amp;BudgetsTable[[#This Row],[prop_id]],BudgetsTable[[#This Row],[pi_email]]))</f>
        <v/>
      </c>
      <c r="P150" s="80" t="s">
        <v>13</v>
      </c>
      <c r="Q150" s="80">
        <v>2</v>
      </c>
      <c r="R150" s="80">
        <v>2</v>
      </c>
      <c r="S150" s="81">
        <v>0</v>
      </c>
      <c r="T150" s="81">
        <v>0</v>
      </c>
      <c r="U150" s="81">
        <v>0</v>
      </c>
      <c r="V150" s="82">
        <v>205443</v>
      </c>
      <c r="W150" s="80">
        <v>0</v>
      </c>
      <c r="X150" s="80">
        <v>1</v>
      </c>
      <c r="Y150" s="11" t="str">
        <f ca="1">IF(ISBLANK(BudgetsTable[[#This Row],[budg_seq_yr]]),"FY"&amp;fiscalyear,"FY"&amp;fiscalyear-1+BudgetsTable[[#This Row],[budg_seq_yr]])</f>
        <v>FY18</v>
      </c>
      <c r="Z150" s="81">
        <v>205443</v>
      </c>
      <c r="AA150" s="80" t="s">
        <v>1124</v>
      </c>
      <c r="AB150" s="80" t="s">
        <v>1125</v>
      </c>
      <c r="AC150" s="108" t="s">
        <v>94</v>
      </c>
      <c r="AD150" s="80"/>
    </row>
    <row r="151" spans="1:30">
      <c r="A151" s="10" t="s">
        <v>1235</v>
      </c>
      <c r="B151" s="78" t="s">
        <v>450</v>
      </c>
      <c r="C151" s="78">
        <f>C150+(BudgetsTable[[#This Row],[lead]]&lt;&gt;K150)</f>
        <v>19</v>
      </c>
      <c r="D151" s="78">
        <f>D150*(BudgetsTable[[#This Row],[lead]]=K150)+(BudgetsTable[[#This Row],[prop_id]]&lt;&gt;A150)</f>
        <v>3</v>
      </c>
      <c r="E151" s="79">
        <v>42800.574305555558</v>
      </c>
      <c r="F151" s="80" t="s">
        <v>1123</v>
      </c>
      <c r="G151" s="80" t="s">
        <v>1124</v>
      </c>
      <c r="H151" s="80" t="s">
        <v>1125</v>
      </c>
      <c r="I151" s="78" t="s">
        <v>596</v>
      </c>
      <c r="J151" s="78" t="s">
        <v>13</v>
      </c>
      <c r="K151" s="80" t="s">
        <v>681</v>
      </c>
      <c r="L151" s="7" t="str">
        <f>IF(BudgetsTable[[#This Row],[pi_last_name]]=" ","",HYPERLINK("https://www.ejacket.nsf.gov/ej/showProposal.do?Continue=Y&amp;ID="&amp;BudgetsTable[[#This Row],[prop_id]],BudgetsTable[[#This Row],[prop_id]]))</f>
        <v/>
      </c>
      <c r="M151" s="15" t="str">
        <f>IF(BudgetsTable[[#This Row],[pi_last_name]]=" ","",HYPERLINK("https://www.ejacket.nsf.gov/ej/processReviewAnalysis.do?dispatch=add&amp;uniqId="&amp;BudgetsTable[[#This Row],[prop_id]]&amp;PO_id,"&gt;ra"))</f>
        <v/>
      </c>
      <c r="N151" s="80" t="s">
        <v>13</v>
      </c>
      <c r="O151" s="7" t="str">
        <f>IF(BudgetsTable[[#This Row],[pi_last_name]]=" ","",HYPERLINK("mailto:"&amp;BudgetsTable[[#This Row],[pi_email]]&amp;"&amp;subject=Your NSF Proposal:  "&amp;BudgetsTable[[#This Row],[prop_id]],BudgetsTable[[#This Row],[pi_email]]))</f>
        <v/>
      </c>
      <c r="P151" s="80" t="s">
        <v>13</v>
      </c>
      <c r="Q151" s="80">
        <v>2</v>
      </c>
      <c r="R151" s="80">
        <v>2</v>
      </c>
      <c r="S151" s="81">
        <v>0</v>
      </c>
      <c r="T151" s="81">
        <v>0</v>
      </c>
      <c r="U151" s="81">
        <v>0</v>
      </c>
      <c r="V151" s="82">
        <v>204209</v>
      </c>
      <c r="W151" s="80">
        <v>0</v>
      </c>
      <c r="X151" s="80">
        <v>2</v>
      </c>
      <c r="Y151" s="11" t="str">
        <f ca="1">IF(ISBLANK(BudgetsTable[[#This Row],[budg_seq_yr]]),"FY"&amp;fiscalyear,"FY"&amp;fiscalyear-1+BudgetsTable[[#This Row],[budg_seq_yr]])</f>
        <v>FY19</v>
      </c>
      <c r="Z151" s="81">
        <v>204209</v>
      </c>
      <c r="AA151" s="80" t="s">
        <v>1124</v>
      </c>
      <c r="AB151" s="80" t="s">
        <v>1125</v>
      </c>
      <c r="AC151" s="108" t="s">
        <v>94</v>
      </c>
      <c r="AD151" s="80"/>
    </row>
    <row r="152" spans="1:30">
      <c r="A152" s="10" t="s">
        <v>1235</v>
      </c>
      <c r="B152" s="78" t="s">
        <v>450</v>
      </c>
      <c r="C152" s="78">
        <f>C151+(BudgetsTable[[#This Row],[lead]]&lt;&gt;K151)</f>
        <v>19</v>
      </c>
      <c r="D152" s="78">
        <f>D151*(BudgetsTable[[#This Row],[lead]]=K151)+(BudgetsTable[[#This Row],[prop_id]]&lt;&gt;A151)</f>
        <v>3</v>
      </c>
      <c r="E152" s="79">
        <v>42800.574305555558</v>
      </c>
      <c r="F152" s="80" t="s">
        <v>1123</v>
      </c>
      <c r="G152" s="80" t="s">
        <v>1124</v>
      </c>
      <c r="H152" s="80" t="s">
        <v>1125</v>
      </c>
      <c r="I152" s="78" t="s">
        <v>596</v>
      </c>
      <c r="J152" s="78" t="s">
        <v>13</v>
      </c>
      <c r="K152" s="80" t="s">
        <v>681</v>
      </c>
      <c r="L152" s="7" t="str">
        <f>IF(BudgetsTable[[#This Row],[pi_last_name]]=" ","",HYPERLINK("https://www.ejacket.nsf.gov/ej/showProposal.do?Continue=Y&amp;ID="&amp;BudgetsTable[[#This Row],[prop_id]],BudgetsTable[[#This Row],[prop_id]]))</f>
        <v/>
      </c>
      <c r="M152" s="15" t="str">
        <f>IF(BudgetsTable[[#This Row],[pi_last_name]]=" ","",HYPERLINK("https://www.ejacket.nsf.gov/ej/processReviewAnalysis.do?dispatch=add&amp;uniqId="&amp;BudgetsTable[[#This Row],[prop_id]]&amp;PO_id,"&gt;ra"))</f>
        <v/>
      </c>
      <c r="N152" s="80" t="s">
        <v>13</v>
      </c>
      <c r="O152" s="7" t="str">
        <f>IF(BudgetsTable[[#This Row],[pi_last_name]]=" ","",HYPERLINK("mailto:"&amp;BudgetsTable[[#This Row],[pi_email]]&amp;"&amp;subject=Your NSF Proposal:  "&amp;BudgetsTable[[#This Row],[prop_id]],BudgetsTable[[#This Row],[pi_email]]))</f>
        <v/>
      </c>
      <c r="P152" s="80" t="s">
        <v>13</v>
      </c>
      <c r="Q152" s="80">
        <v>2</v>
      </c>
      <c r="R152" s="80">
        <v>2</v>
      </c>
      <c r="S152" s="81">
        <v>0</v>
      </c>
      <c r="T152" s="81">
        <v>0</v>
      </c>
      <c r="U152" s="81">
        <v>0</v>
      </c>
      <c r="V152" s="82">
        <v>210200</v>
      </c>
      <c r="W152" s="80">
        <v>0</v>
      </c>
      <c r="X152" s="80">
        <v>3</v>
      </c>
      <c r="Y152" s="11" t="str">
        <f ca="1">IF(ISBLANK(BudgetsTable[[#This Row],[budg_seq_yr]]),"FY"&amp;fiscalyear,"FY"&amp;fiscalyear-1+BudgetsTable[[#This Row],[budg_seq_yr]])</f>
        <v>FY20</v>
      </c>
      <c r="Z152" s="81">
        <v>210200</v>
      </c>
      <c r="AA152" s="80" t="s">
        <v>1124</v>
      </c>
      <c r="AB152" s="80" t="s">
        <v>1125</v>
      </c>
      <c r="AC152" s="108" t="s">
        <v>94</v>
      </c>
      <c r="AD152" s="80"/>
    </row>
    <row r="153" spans="1:30">
      <c r="A153" s="10" t="s">
        <v>1235</v>
      </c>
      <c r="B153" s="78" t="s">
        <v>450</v>
      </c>
      <c r="C153" s="78">
        <f>C152+(BudgetsTable[[#This Row],[lead]]&lt;&gt;K152)</f>
        <v>19</v>
      </c>
      <c r="D153" s="78">
        <f>D152*(BudgetsTable[[#This Row],[lead]]=K152)+(BudgetsTable[[#This Row],[prop_id]]&lt;&gt;A152)</f>
        <v>3</v>
      </c>
      <c r="E153" s="79">
        <v>42800.574305555558</v>
      </c>
      <c r="F153" s="80" t="s">
        <v>1123</v>
      </c>
      <c r="G153" s="80" t="s">
        <v>1124</v>
      </c>
      <c r="H153" s="80" t="s">
        <v>1125</v>
      </c>
      <c r="I153" s="78" t="s">
        <v>596</v>
      </c>
      <c r="J153" s="78" t="s">
        <v>13</v>
      </c>
      <c r="K153" s="80" t="s">
        <v>681</v>
      </c>
      <c r="L153" s="7" t="str">
        <f>IF(BudgetsTable[[#This Row],[pi_last_name]]=" ","",HYPERLINK("https://www.ejacket.nsf.gov/ej/showProposal.do?Continue=Y&amp;ID="&amp;BudgetsTable[[#This Row],[prop_id]],BudgetsTable[[#This Row],[prop_id]]))</f>
        <v/>
      </c>
      <c r="M153" s="15" t="str">
        <f>IF(BudgetsTable[[#This Row],[pi_last_name]]=" ","",HYPERLINK("https://www.ejacket.nsf.gov/ej/processReviewAnalysis.do?dispatch=add&amp;uniqId="&amp;BudgetsTable[[#This Row],[prop_id]]&amp;PO_id,"&gt;ra"))</f>
        <v/>
      </c>
      <c r="N153" s="80" t="s">
        <v>13</v>
      </c>
      <c r="O153" s="7" t="str">
        <f>IF(BudgetsTable[[#This Row],[pi_last_name]]=" ","",HYPERLINK("mailto:"&amp;BudgetsTable[[#This Row],[pi_email]]&amp;"&amp;subject=Your NSF Proposal:  "&amp;BudgetsTable[[#This Row],[prop_id]],BudgetsTable[[#This Row],[pi_email]]))</f>
        <v/>
      </c>
      <c r="P153" s="80" t="s">
        <v>13</v>
      </c>
      <c r="Q153" s="80">
        <v>2</v>
      </c>
      <c r="R153" s="80">
        <v>2</v>
      </c>
      <c r="S153" s="81">
        <v>51905</v>
      </c>
      <c r="T153" s="81">
        <v>0</v>
      </c>
      <c r="U153" s="81">
        <v>0</v>
      </c>
      <c r="V153" s="82">
        <v>319318</v>
      </c>
      <c r="W153" s="80">
        <v>0</v>
      </c>
      <c r="X153" s="80">
        <v>4</v>
      </c>
      <c r="Y153" s="11" t="str">
        <f ca="1">IF(ISBLANK(BudgetsTable[[#This Row],[budg_seq_yr]]),"FY"&amp;fiscalyear,"FY"&amp;fiscalyear-1+BudgetsTable[[#This Row],[budg_seq_yr]])</f>
        <v>FY21</v>
      </c>
      <c r="Z153" s="81">
        <v>319318</v>
      </c>
      <c r="AA153" s="80" t="s">
        <v>1124</v>
      </c>
      <c r="AB153" s="80" t="s">
        <v>1125</v>
      </c>
      <c r="AC153" s="108" t="s">
        <v>94</v>
      </c>
      <c r="AD153" s="80"/>
    </row>
    <row r="154" spans="1:30">
      <c r="A154" s="10" t="s">
        <v>1235</v>
      </c>
      <c r="B154" s="78" t="s">
        <v>450</v>
      </c>
      <c r="C154" s="78">
        <f>C153+(BudgetsTable[[#This Row],[lead]]&lt;&gt;K153)</f>
        <v>19</v>
      </c>
      <c r="D154" s="78">
        <f>D153*(BudgetsTable[[#This Row],[lead]]=K153)+(BudgetsTable[[#This Row],[prop_id]]&lt;&gt;A153)</f>
        <v>3</v>
      </c>
      <c r="E154" s="79">
        <v>42800.574305555558</v>
      </c>
      <c r="F154" s="80" t="s">
        <v>1123</v>
      </c>
      <c r="G154" s="80" t="s">
        <v>1124</v>
      </c>
      <c r="H154" s="80" t="s">
        <v>1125</v>
      </c>
      <c r="I154" s="78" t="s">
        <v>596</v>
      </c>
      <c r="J154" s="78" t="s">
        <v>13</v>
      </c>
      <c r="K154" s="80" t="s">
        <v>681</v>
      </c>
      <c r="L154" s="7" t="str">
        <f>IF(BudgetsTable[[#This Row],[pi_last_name]]=" ","",HYPERLINK("https://www.ejacket.nsf.gov/ej/showProposal.do?Continue=Y&amp;ID="&amp;BudgetsTable[[#This Row],[prop_id]],BudgetsTable[[#This Row],[prop_id]]))</f>
        <v/>
      </c>
      <c r="M154" s="15" t="str">
        <f>IF(BudgetsTable[[#This Row],[pi_last_name]]=" ","",HYPERLINK("https://www.ejacket.nsf.gov/ej/processReviewAnalysis.do?dispatch=add&amp;uniqId="&amp;BudgetsTable[[#This Row],[prop_id]]&amp;PO_id,"&gt;ra"))</f>
        <v/>
      </c>
      <c r="N154" s="80" t="s">
        <v>13</v>
      </c>
      <c r="O154" s="7" t="str">
        <f>IF(BudgetsTable[[#This Row],[pi_last_name]]=" ","",HYPERLINK("mailto:"&amp;BudgetsTable[[#This Row],[pi_email]]&amp;"&amp;subject=Your NSF Proposal:  "&amp;BudgetsTable[[#This Row],[prop_id]],BudgetsTable[[#This Row],[pi_email]]))</f>
        <v/>
      </c>
      <c r="P154" s="80" t="s">
        <v>13</v>
      </c>
      <c r="Q154" s="80">
        <v>2</v>
      </c>
      <c r="R154" s="80">
        <v>2</v>
      </c>
      <c r="S154" s="81">
        <v>53462</v>
      </c>
      <c r="T154" s="81">
        <v>0</v>
      </c>
      <c r="U154" s="81">
        <v>0</v>
      </c>
      <c r="V154" s="82">
        <v>328728</v>
      </c>
      <c r="W154" s="80">
        <v>0</v>
      </c>
      <c r="X154" s="80">
        <v>5</v>
      </c>
      <c r="Y154" s="11" t="str">
        <f ca="1">IF(ISBLANK(BudgetsTable[[#This Row],[budg_seq_yr]]),"FY"&amp;fiscalyear,"FY"&amp;fiscalyear-1+BudgetsTable[[#This Row],[budg_seq_yr]])</f>
        <v>FY22</v>
      </c>
      <c r="Z154" s="81">
        <v>328728</v>
      </c>
      <c r="AA154" s="80" t="s">
        <v>1124</v>
      </c>
      <c r="AB154" s="80" t="s">
        <v>1125</v>
      </c>
      <c r="AC154" s="108" t="s">
        <v>94</v>
      </c>
      <c r="AD154" s="80"/>
    </row>
    <row r="155" spans="1:30">
      <c r="A155" s="10" t="s">
        <v>1239</v>
      </c>
      <c r="B155" s="78" t="s">
        <v>450</v>
      </c>
      <c r="C155" s="78">
        <f>C154+(BudgetsTable[[#This Row],[lead]]&lt;&gt;K154)</f>
        <v>19</v>
      </c>
      <c r="D155" s="78">
        <f>D154*(BudgetsTable[[#This Row],[lead]]=K154)+(BudgetsTable[[#This Row],[prop_id]]&lt;&gt;A154)</f>
        <v>4</v>
      </c>
      <c r="E155" s="79">
        <v>42800.745833333334</v>
      </c>
      <c r="F155" s="80" t="s">
        <v>1123</v>
      </c>
      <c r="G155" s="80" t="s">
        <v>1124</v>
      </c>
      <c r="H155" s="80" t="s">
        <v>1125</v>
      </c>
      <c r="I155" s="78" t="s">
        <v>596</v>
      </c>
      <c r="J155" s="78" t="s">
        <v>1242</v>
      </c>
      <c r="K155" s="80" t="s">
        <v>681</v>
      </c>
      <c r="L155" s="7" t="str">
        <f>IF(BudgetsTable[[#This Row],[pi_last_name]]=" ","",HYPERLINK("https://www.ejacket.nsf.gov/ej/showProposal.do?Continue=Y&amp;ID="&amp;BudgetsTable[[#This Row],[prop_id]],BudgetsTable[[#This Row],[prop_id]]))</f>
        <v>1740027</v>
      </c>
      <c r="M155" s="15" t="str">
        <f>IF(BudgetsTable[[#This Row],[pi_last_name]]=" ","",HYPERLINK("https://www.ejacket.nsf.gov/ej/processReviewAnalysis.do?dispatch=add&amp;uniqId="&amp;BudgetsTable[[#This Row],[prop_id]]&amp;PO_id,"&gt;ra"))</f>
        <v>&gt;ra</v>
      </c>
      <c r="N155" s="80" t="s">
        <v>1240</v>
      </c>
      <c r="O155" s="7" t="str">
        <f>IF(BudgetsTable[[#This Row],[pi_last_name]]=" ","",HYPERLINK("mailto:"&amp;BudgetsTable[[#This Row],[pi_email]]&amp;"&amp;subject=Your NSF Proposal:  "&amp;BudgetsTable[[#This Row],[prop_id]],BudgetsTable[[#This Row],[pi_email]]))</f>
        <v>fabio.pasqualetti@ucr.edu</v>
      </c>
      <c r="P155" s="80" t="s">
        <v>353</v>
      </c>
      <c r="Q155" s="80"/>
      <c r="R155" s="80"/>
      <c r="S155" s="81"/>
      <c r="T155" s="81"/>
      <c r="U155" s="81"/>
      <c r="V155" s="82"/>
      <c r="W155" s="80">
        <v>0</v>
      </c>
      <c r="X155" s="80"/>
      <c r="Y155" s="11" t="str">
        <f ca="1">IF(ISBLANK(BudgetsTable[[#This Row],[budg_seq_yr]]),"FY"&amp;fiscalyear,"FY"&amp;fiscalyear-1+BudgetsTable[[#This Row],[budg_seq_yr]])</f>
        <v>FY18</v>
      </c>
      <c r="Z155" s="81">
        <v>916599</v>
      </c>
      <c r="AA155" s="80" t="s">
        <v>1124</v>
      </c>
      <c r="AB155" s="80" t="s">
        <v>1125</v>
      </c>
      <c r="AC155" s="108" t="s">
        <v>94</v>
      </c>
      <c r="AD155" s="80"/>
    </row>
    <row r="156" spans="1:30">
      <c r="A156" s="10" t="s">
        <v>1239</v>
      </c>
      <c r="B156" s="78" t="s">
        <v>450</v>
      </c>
      <c r="C156" s="78">
        <f>C155+(BudgetsTable[[#This Row],[lead]]&lt;&gt;K155)</f>
        <v>19</v>
      </c>
      <c r="D156" s="78">
        <f>D155*(BudgetsTable[[#This Row],[lead]]=K155)+(BudgetsTable[[#This Row],[prop_id]]&lt;&gt;A155)</f>
        <v>4</v>
      </c>
      <c r="E156" s="79">
        <v>42800.745833333334</v>
      </c>
      <c r="F156" s="80" t="s">
        <v>1123</v>
      </c>
      <c r="G156" s="80" t="s">
        <v>1124</v>
      </c>
      <c r="H156" s="80" t="s">
        <v>1125</v>
      </c>
      <c r="I156" s="78" t="s">
        <v>596</v>
      </c>
      <c r="J156" s="78" t="s">
        <v>13</v>
      </c>
      <c r="K156" s="80" t="s">
        <v>681</v>
      </c>
      <c r="L156" s="7" t="str">
        <f>IF(BudgetsTable[[#This Row],[pi_last_name]]=" ","",HYPERLINK("https://www.ejacket.nsf.gov/ej/showProposal.do?Continue=Y&amp;ID="&amp;BudgetsTable[[#This Row],[prop_id]],BudgetsTable[[#This Row],[prop_id]]))</f>
        <v/>
      </c>
      <c r="M156" s="15" t="str">
        <f>IF(BudgetsTable[[#This Row],[pi_last_name]]=" ","",HYPERLINK("https://www.ejacket.nsf.gov/ej/processReviewAnalysis.do?dispatch=add&amp;uniqId="&amp;BudgetsTable[[#This Row],[prop_id]]&amp;PO_id,"&gt;ra"))</f>
        <v/>
      </c>
      <c r="N156" s="80" t="s">
        <v>13</v>
      </c>
      <c r="O156" s="7" t="str">
        <f>IF(BudgetsTable[[#This Row],[pi_last_name]]=" ","",HYPERLINK("mailto:"&amp;BudgetsTable[[#This Row],[pi_email]]&amp;"&amp;subject=Your NSF Proposal:  "&amp;BudgetsTable[[#This Row],[prop_id]],BudgetsTable[[#This Row],[pi_email]]))</f>
        <v/>
      </c>
      <c r="P156" s="80" t="s">
        <v>13</v>
      </c>
      <c r="Q156" s="80">
        <v>2</v>
      </c>
      <c r="R156" s="80">
        <v>2</v>
      </c>
      <c r="S156" s="81">
        <v>0</v>
      </c>
      <c r="T156" s="81">
        <v>0</v>
      </c>
      <c r="U156" s="81">
        <v>0</v>
      </c>
      <c r="V156" s="82">
        <v>176588</v>
      </c>
      <c r="W156" s="80">
        <v>0</v>
      </c>
      <c r="X156" s="80">
        <v>1</v>
      </c>
      <c r="Y156" s="11" t="str">
        <f ca="1">IF(ISBLANK(BudgetsTable[[#This Row],[budg_seq_yr]]),"FY"&amp;fiscalyear,"FY"&amp;fiscalyear-1+BudgetsTable[[#This Row],[budg_seq_yr]])</f>
        <v>FY18</v>
      </c>
      <c r="Z156" s="81">
        <v>176588</v>
      </c>
      <c r="AA156" s="80" t="s">
        <v>1124</v>
      </c>
      <c r="AB156" s="80" t="s">
        <v>1125</v>
      </c>
      <c r="AC156" s="108" t="s">
        <v>94</v>
      </c>
      <c r="AD156" s="80"/>
    </row>
    <row r="157" spans="1:30">
      <c r="A157" s="10" t="s">
        <v>1239</v>
      </c>
      <c r="B157" s="78" t="s">
        <v>450</v>
      </c>
      <c r="C157" s="78">
        <f>C156+(BudgetsTable[[#This Row],[lead]]&lt;&gt;K156)</f>
        <v>19</v>
      </c>
      <c r="D157" s="78">
        <f>D156*(BudgetsTable[[#This Row],[lead]]=K156)+(BudgetsTable[[#This Row],[prop_id]]&lt;&gt;A156)</f>
        <v>4</v>
      </c>
      <c r="E157" s="79">
        <v>42800.745833333334</v>
      </c>
      <c r="F157" s="80" t="s">
        <v>1123</v>
      </c>
      <c r="G157" s="80" t="s">
        <v>1124</v>
      </c>
      <c r="H157" s="80" t="s">
        <v>1125</v>
      </c>
      <c r="I157" s="78" t="s">
        <v>596</v>
      </c>
      <c r="J157" s="78" t="s">
        <v>13</v>
      </c>
      <c r="K157" s="80" t="s">
        <v>681</v>
      </c>
      <c r="L157" s="7" t="str">
        <f>IF(BudgetsTable[[#This Row],[pi_last_name]]=" ","",HYPERLINK("https://www.ejacket.nsf.gov/ej/showProposal.do?Continue=Y&amp;ID="&amp;BudgetsTable[[#This Row],[prop_id]],BudgetsTable[[#This Row],[prop_id]]))</f>
        <v/>
      </c>
      <c r="M157" s="15" t="str">
        <f>IF(BudgetsTable[[#This Row],[pi_last_name]]=" ","",HYPERLINK("https://www.ejacket.nsf.gov/ej/processReviewAnalysis.do?dispatch=add&amp;uniqId="&amp;BudgetsTable[[#This Row],[prop_id]]&amp;PO_id,"&gt;ra"))</f>
        <v/>
      </c>
      <c r="N157" s="80" t="s">
        <v>13</v>
      </c>
      <c r="O157" s="7" t="str">
        <f>IF(BudgetsTable[[#This Row],[pi_last_name]]=" ","",HYPERLINK("mailto:"&amp;BudgetsTable[[#This Row],[pi_email]]&amp;"&amp;subject=Your NSF Proposal:  "&amp;BudgetsTable[[#This Row],[prop_id]],BudgetsTable[[#This Row],[pi_email]]))</f>
        <v/>
      </c>
      <c r="P157" s="80" t="s">
        <v>13</v>
      </c>
      <c r="Q157" s="80">
        <v>2</v>
      </c>
      <c r="R157" s="80">
        <v>2</v>
      </c>
      <c r="S157" s="81">
        <v>0</v>
      </c>
      <c r="T157" s="81">
        <v>0</v>
      </c>
      <c r="U157" s="81">
        <v>0</v>
      </c>
      <c r="V157" s="82">
        <v>180747</v>
      </c>
      <c r="W157" s="80">
        <v>0</v>
      </c>
      <c r="X157" s="80">
        <v>2</v>
      </c>
      <c r="Y157" s="11" t="str">
        <f ca="1">IF(ISBLANK(BudgetsTable[[#This Row],[budg_seq_yr]]),"FY"&amp;fiscalyear,"FY"&amp;fiscalyear-1+BudgetsTable[[#This Row],[budg_seq_yr]])</f>
        <v>FY19</v>
      </c>
      <c r="Z157" s="81">
        <v>180747</v>
      </c>
      <c r="AA157" s="80" t="s">
        <v>1124</v>
      </c>
      <c r="AB157" s="80" t="s">
        <v>1125</v>
      </c>
      <c r="AC157" s="108" t="s">
        <v>94</v>
      </c>
      <c r="AD157" s="80"/>
    </row>
    <row r="158" spans="1:30">
      <c r="A158" s="10" t="s">
        <v>1239</v>
      </c>
      <c r="B158" s="78" t="s">
        <v>450</v>
      </c>
      <c r="C158" s="78">
        <f>C157+(BudgetsTable[[#This Row],[lead]]&lt;&gt;K157)</f>
        <v>19</v>
      </c>
      <c r="D158" s="78">
        <f>D157*(BudgetsTable[[#This Row],[lead]]=K157)+(BudgetsTable[[#This Row],[prop_id]]&lt;&gt;A157)</f>
        <v>4</v>
      </c>
      <c r="E158" s="79">
        <v>42800.745833333334</v>
      </c>
      <c r="F158" s="80" t="s">
        <v>1123</v>
      </c>
      <c r="G158" s="80" t="s">
        <v>1124</v>
      </c>
      <c r="H158" s="80" t="s">
        <v>1125</v>
      </c>
      <c r="I158" s="78" t="s">
        <v>596</v>
      </c>
      <c r="J158" s="78" t="s">
        <v>13</v>
      </c>
      <c r="K158" s="80" t="s">
        <v>681</v>
      </c>
      <c r="L158" s="7" t="str">
        <f>IF(BudgetsTable[[#This Row],[pi_last_name]]=" ","",HYPERLINK("https://www.ejacket.nsf.gov/ej/showProposal.do?Continue=Y&amp;ID="&amp;BudgetsTable[[#This Row],[prop_id]],BudgetsTable[[#This Row],[prop_id]]))</f>
        <v/>
      </c>
      <c r="M158" s="15" t="str">
        <f>IF(BudgetsTable[[#This Row],[pi_last_name]]=" ","",HYPERLINK("https://www.ejacket.nsf.gov/ej/processReviewAnalysis.do?dispatch=add&amp;uniqId="&amp;BudgetsTable[[#This Row],[prop_id]]&amp;PO_id,"&gt;ra"))</f>
        <v/>
      </c>
      <c r="N158" s="80" t="s">
        <v>13</v>
      </c>
      <c r="O158" s="7" t="str">
        <f>IF(BudgetsTable[[#This Row],[pi_last_name]]=" ","",HYPERLINK("mailto:"&amp;BudgetsTable[[#This Row],[pi_email]]&amp;"&amp;subject=Your NSF Proposal:  "&amp;BudgetsTable[[#This Row],[prop_id]],BudgetsTable[[#This Row],[pi_email]]))</f>
        <v/>
      </c>
      <c r="P158" s="80" t="s">
        <v>13</v>
      </c>
      <c r="Q158" s="80">
        <v>2</v>
      </c>
      <c r="R158" s="80">
        <v>2</v>
      </c>
      <c r="S158" s="81">
        <v>0</v>
      </c>
      <c r="T158" s="81">
        <v>0</v>
      </c>
      <c r="U158" s="81">
        <v>0</v>
      </c>
      <c r="V158" s="82">
        <v>192571</v>
      </c>
      <c r="W158" s="80">
        <v>0</v>
      </c>
      <c r="X158" s="80">
        <v>3</v>
      </c>
      <c r="Y158" s="11" t="str">
        <f ca="1">IF(ISBLANK(BudgetsTable[[#This Row],[budg_seq_yr]]),"FY"&amp;fiscalyear,"FY"&amp;fiscalyear-1+BudgetsTable[[#This Row],[budg_seq_yr]])</f>
        <v>FY20</v>
      </c>
      <c r="Z158" s="81">
        <v>192571</v>
      </c>
      <c r="AA158" s="80" t="s">
        <v>1124</v>
      </c>
      <c r="AB158" s="80" t="s">
        <v>1125</v>
      </c>
      <c r="AC158" s="108" t="s">
        <v>94</v>
      </c>
      <c r="AD158" s="80"/>
    </row>
    <row r="159" spans="1:30">
      <c r="A159" s="10" t="s">
        <v>1239</v>
      </c>
      <c r="B159" s="78" t="s">
        <v>450</v>
      </c>
      <c r="C159" s="78">
        <f>C158+(BudgetsTable[[#This Row],[lead]]&lt;&gt;K158)</f>
        <v>19</v>
      </c>
      <c r="D159" s="78">
        <f>D158*(BudgetsTable[[#This Row],[lead]]=K158)+(BudgetsTable[[#This Row],[prop_id]]&lt;&gt;A158)</f>
        <v>4</v>
      </c>
      <c r="E159" s="79">
        <v>42800.745833333334</v>
      </c>
      <c r="F159" s="80" t="s">
        <v>1123</v>
      </c>
      <c r="G159" s="80" t="s">
        <v>1124</v>
      </c>
      <c r="H159" s="80" t="s">
        <v>1125</v>
      </c>
      <c r="I159" s="78" t="s">
        <v>596</v>
      </c>
      <c r="J159" s="78" t="s">
        <v>13</v>
      </c>
      <c r="K159" s="80" t="s">
        <v>681</v>
      </c>
      <c r="L159" s="7" t="str">
        <f>IF(BudgetsTable[[#This Row],[pi_last_name]]=" ","",HYPERLINK("https://www.ejacket.nsf.gov/ej/showProposal.do?Continue=Y&amp;ID="&amp;BudgetsTable[[#This Row],[prop_id]],BudgetsTable[[#This Row],[prop_id]]))</f>
        <v/>
      </c>
      <c r="M159" s="15" t="str">
        <f>IF(BudgetsTable[[#This Row],[pi_last_name]]=" ","",HYPERLINK("https://www.ejacket.nsf.gov/ej/processReviewAnalysis.do?dispatch=add&amp;uniqId="&amp;BudgetsTable[[#This Row],[prop_id]]&amp;PO_id,"&gt;ra"))</f>
        <v/>
      </c>
      <c r="N159" s="80" t="s">
        <v>13</v>
      </c>
      <c r="O159" s="7" t="str">
        <f>IF(BudgetsTable[[#This Row],[pi_last_name]]=" ","",HYPERLINK("mailto:"&amp;BudgetsTable[[#This Row],[pi_email]]&amp;"&amp;subject=Your NSF Proposal:  "&amp;BudgetsTable[[#This Row],[prop_id]],BudgetsTable[[#This Row],[pi_email]]))</f>
        <v/>
      </c>
      <c r="P159" s="80" t="s">
        <v>13</v>
      </c>
      <c r="Q159" s="80">
        <v>2</v>
      </c>
      <c r="R159" s="80">
        <v>2</v>
      </c>
      <c r="S159" s="81">
        <v>0</v>
      </c>
      <c r="T159" s="81">
        <v>0</v>
      </c>
      <c r="U159" s="81">
        <v>0</v>
      </c>
      <c r="V159" s="82">
        <v>181195</v>
      </c>
      <c r="W159" s="80">
        <v>0</v>
      </c>
      <c r="X159" s="80">
        <v>4</v>
      </c>
      <c r="Y159" s="11" t="str">
        <f ca="1">IF(ISBLANK(BudgetsTable[[#This Row],[budg_seq_yr]]),"FY"&amp;fiscalyear,"FY"&amp;fiscalyear-1+BudgetsTable[[#This Row],[budg_seq_yr]])</f>
        <v>FY21</v>
      </c>
      <c r="Z159" s="81">
        <v>181195</v>
      </c>
      <c r="AA159" s="80" t="s">
        <v>1124</v>
      </c>
      <c r="AB159" s="80" t="s">
        <v>1125</v>
      </c>
      <c r="AC159" s="108" t="s">
        <v>94</v>
      </c>
      <c r="AD159" s="80"/>
    </row>
    <row r="160" spans="1:30">
      <c r="A160" s="10" t="s">
        <v>1239</v>
      </c>
      <c r="B160" s="78" t="s">
        <v>450</v>
      </c>
      <c r="C160" s="78">
        <f>C159+(BudgetsTable[[#This Row],[lead]]&lt;&gt;K159)</f>
        <v>19</v>
      </c>
      <c r="D160" s="78">
        <f>D159*(BudgetsTable[[#This Row],[lead]]=K159)+(BudgetsTable[[#This Row],[prop_id]]&lt;&gt;A159)</f>
        <v>4</v>
      </c>
      <c r="E160" s="79">
        <v>42800.745833333334</v>
      </c>
      <c r="F160" s="80" t="s">
        <v>1123</v>
      </c>
      <c r="G160" s="80" t="s">
        <v>1124</v>
      </c>
      <c r="H160" s="80" t="s">
        <v>1125</v>
      </c>
      <c r="I160" s="78" t="s">
        <v>596</v>
      </c>
      <c r="J160" s="78" t="s">
        <v>13</v>
      </c>
      <c r="K160" s="80" t="s">
        <v>681</v>
      </c>
      <c r="L160" s="7" t="str">
        <f>IF(BudgetsTable[[#This Row],[pi_last_name]]=" ","",HYPERLINK("https://www.ejacket.nsf.gov/ej/showProposal.do?Continue=Y&amp;ID="&amp;BudgetsTable[[#This Row],[prop_id]],BudgetsTable[[#This Row],[prop_id]]))</f>
        <v/>
      </c>
      <c r="M160" s="15" t="str">
        <f>IF(BudgetsTable[[#This Row],[pi_last_name]]=" ","",HYPERLINK("https://www.ejacket.nsf.gov/ej/processReviewAnalysis.do?dispatch=add&amp;uniqId="&amp;BudgetsTable[[#This Row],[prop_id]]&amp;PO_id,"&gt;ra"))</f>
        <v/>
      </c>
      <c r="N160" s="80" t="s">
        <v>13</v>
      </c>
      <c r="O160" s="7" t="str">
        <f>IF(BudgetsTable[[#This Row],[pi_last_name]]=" ","",HYPERLINK("mailto:"&amp;BudgetsTable[[#This Row],[pi_email]]&amp;"&amp;subject=Your NSF Proposal:  "&amp;BudgetsTable[[#This Row],[prop_id]],BudgetsTable[[#This Row],[pi_email]]))</f>
        <v/>
      </c>
      <c r="P160" s="80" t="s">
        <v>13</v>
      </c>
      <c r="Q160" s="80">
        <v>2</v>
      </c>
      <c r="R160" s="80">
        <v>2</v>
      </c>
      <c r="S160" s="81">
        <v>0</v>
      </c>
      <c r="T160" s="81">
        <v>0</v>
      </c>
      <c r="U160" s="81">
        <v>0</v>
      </c>
      <c r="V160" s="82">
        <v>185498</v>
      </c>
      <c r="W160" s="80">
        <v>0</v>
      </c>
      <c r="X160" s="80">
        <v>5</v>
      </c>
      <c r="Y160" s="11" t="str">
        <f ca="1">IF(ISBLANK(BudgetsTable[[#This Row],[budg_seq_yr]]),"FY"&amp;fiscalyear,"FY"&amp;fiscalyear-1+BudgetsTable[[#This Row],[budg_seq_yr]])</f>
        <v>FY22</v>
      </c>
      <c r="Z160" s="81">
        <v>185498</v>
      </c>
      <c r="AA160" s="80" t="s">
        <v>1124</v>
      </c>
      <c r="AB160" s="80" t="s">
        <v>1125</v>
      </c>
      <c r="AC160" s="108" t="s">
        <v>94</v>
      </c>
      <c r="AD160" s="80"/>
    </row>
    <row r="161" spans="1:30">
      <c r="A161" s="10" t="s">
        <v>689</v>
      </c>
      <c r="B161" s="78" t="s">
        <v>463</v>
      </c>
      <c r="C161" s="78">
        <f>C160+(BudgetsTable[[#This Row],[lead]]&lt;&gt;K160)</f>
        <v>20</v>
      </c>
      <c r="D161" s="78">
        <f>D160*(BudgetsTable[[#This Row],[lead]]=K160)+(BudgetsTable[[#This Row],[prop_id]]&lt;&gt;A160)</f>
        <v>1</v>
      </c>
      <c r="E161" s="79">
        <v>42800.704861111109</v>
      </c>
      <c r="F161" s="80" t="s">
        <v>1123</v>
      </c>
      <c r="G161" s="80" t="s">
        <v>1124</v>
      </c>
      <c r="H161" s="80" t="s">
        <v>1125</v>
      </c>
      <c r="I161" s="78" t="s">
        <v>596</v>
      </c>
      <c r="J161" s="78" t="s">
        <v>1246</v>
      </c>
      <c r="K161" s="80" t="s">
        <v>689</v>
      </c>
      <c r="L161" s="7" t="str">
        <f>IF(BudgetsTable[[#This Row],[pi_last_name]]=" ","",HYPERLINK("https://www.ejacket.nsf.gov/ej/showProposal.do?Continue=Y&amp;ID="&amp;BudgetsTable[[#This Row],[prop_id]],BudgetsTable[[#This Row],[prop_id]]))</f>
        <v>1739927</v>
      </c>
      <c r="M161" s="15" t="str">
        <f>IF(BudgetsTable[[#This Row],[pi_last_name]]=" ","",HYPERLINK("https://www.ejacket.nsf.gov/ej/processReviewAnalysis.do?dispatch=add&amp;uniqId="&amp;BudgetsTable[[#This Row],[prop_id]]&amp;PO_id,"&gt;ra"))</f>
        <v>&gt;ra</v>
      </c>
      <c r="N161" s="80" t="s">
        <v>690</v>
      </c>
      <c r="O161" s="7" t="str">
        <f>IF(BudgetsTable[[#This Row],[pi_last_name]]=" ","",HYPERLINK("mailto:"&amp;BudgetsTable[[#This Row],[pi_email]]&amp;"&amp;subject=Your NSF Proposal:  "&amp;BudgetsTable[[#This Row],[prop_id]],BudgetsTable[[#This Row],[pi_email]]))</f>
        <v>rgerdes@vt.edu</v>
      </c>
      <c r="P161" s="80" t="s">
        <v>361</v>
      </c>
      <c r="Q161" s="80"/>
      <c r="R161" s="80"/>
      <c r="S161" s="81"/>
      <c r="T161" s="81"/>
      <c r="U161" s="81"/>
      <c r="V161" s="82"/>
      <c r="W161" s="80">
        <v>0</v>
      </c>
      <c r="X161" s="80"/>
      <c r="Y161" s="11" t="str">
        <f ca="1">IF(ISBLANK(BudgetsTable[[#This Row],[budg_seq_yr]]),"FY"&amp;fiscalyear,"FY"&amp;fiscalyear-1+BudgetsTable[[#This Row],[budg_seq_yr]])</f>
        <v>FY18</v>
      </c>
      <c r="Z161" s="81">
        <v>2296997</v>
      </c>
      <c r="AA161" s="80" t="s">
        <v>1124</v>
      </c>
      <c r="AB161" s="80" t="s">
        <v>1125</v>
      </c>
      <c r="AC161" s="108" t="s">
        <v>94</v>
      </c>
      <c r="AD161" s="80"/>
    </row>
    <row r="162" spans="1:30">
      <c r="A162" s="10" t="s">
        <v>689</v>
      </c>
      <c r="B162" s="78" t="s">
        <v>463</v>
      </c>
      <c r="C162" s="78">
        <f>C161+(BudgetsTable[[#This Row],[lead]]&lt;&gt;K161)</f>
        <v>20</v>
      </c>
      <c r="D162" s="78">
        <f>D161*(BudgetsTable[[#This Row],[lead]]=K161)+(BudgetsTable[[#This Row],[prop_id]]&lt;&gt;A161)</f>
        <v>1</v>
      </c>
      <c r="E162" s="79">
        <v>42800.704861111109</v>
      </c>
      <c r="F162" s="80" t="s">
        <v>1123</v>
      </c>
      <c r="G162" s="80" t="s">
        <v>1124</v>
      </c>
      <c r="H162" s="80" t="s">
        <v>1125</v>
      </c>
      <c r="I162" s="78" t="s">
        <v>596</v>
      </c>
      <c r="J162" s="78" t="s">
        <v>13</v>
      </c>
      <c r="K162" s="80" t="s">
        <v>689</v>
      </c>
      <c r="L162" s="7" t="str">
        <f>IF(BudgetsTable[[#This Row],[pi_last_name]]=" ","",HYPERLINK("https://www.ejacket.nsf.gov/ej/showProposal.do?Continue=Y&amp;ID="&amp;BudgetsTable[[#This Row],[prop_id]],BudgetsTable[[#This Row],[prop_id]]))</f>
        <v/>
      </c>
      <c r="M162" s="15" t="str">
        <f>IF(BudgetsTable[[#This Row],[pi_last_name]]=" ","",HYPERLINK("https://www.ejacket.nsf.gov/ej/processReviewAnalysis.do?dispatch=add&amp;uniqId="&amp;BudgetsTable[[#This Row],[prop_id]]&amp;PO_id,"&gt;ra"))</f>
        <v/>
      </c>
      <c r="N162" s="80" t="s">
        <v>13</v>
      </c>
      <c r="O162" s="7" t="str">
        <f>IF(BudgetsTable[[#This Row],[pi_last_name]]=" ","",HYPERLINK("mailto:"&amp;BudgetsTable[[#This Row],[pi_email]]&amp;"&amp;subject=Your NSF Proposal:  "&amp;BudgetsTable[[#This Row],[prop_id]],BudgetsTable[[#This Row],[pi_email]]))</f>
        <v/>
      </c>
      <c r="P162" s="80" t="s">
        <v>13</v>
      </c>
      <c r="Q162" s="80">
        <v>4</v>
      </c>
      <c r="R162" s="80">
        <v>1</v>
      </c>
      <c r="S162" s="81">
        <v>0</v>
      </c>
      <c r="T162" s="81">
        <v>0</v>
      </c>
      <c r="U162" s="81">
        <v>5000</v>
      </c>
      <c r="V162" s="82">
        <v>348413</v>
      </c>
      <c r="W162" s="80">
        <v>0</v>
      </c>
      <c r="X162" s="80">
        <v>1</v>
      </c>
      <c r="Y162" s="11" t="str">
        <f ca="1">IF(ISBLANK(BudgetsTable[[#This Row],[budg_seq_yr]]),"FY"&amp;fiscalyear,"FY"&amp;fiscalyear-1+BudgetsTable[[#This Row],[budg_seq_yr]])</f>
        <v>FY18</v>
      </c>
      <c r="Z162" s="81">
        <v>348413</v>
      </c>
      <c r="AA162" s="80" t="s">
        <v>1124</v>
      </c>
      <c r="AB162" s="80" t="s">
        <v>1125</v>
      </c>
      <c r="AC162" s="108" t="s">
        <v>94</v>
      </c>
      <c r="AD162" s="80"/>
    </row>
    <row r="163" spans="1:30">
      <c r="A163" s="10" t="s">
        <v>689</v>
      </c>
      <c r="B163" s="78" t="s">
        <v>463</v>
      </c>
      <c r="C163" s="78">
        <f>C162+(BudgetsTable[[#This Row],[lead]]&lt;&gt;K162)</f>
        <v>20</v>
      </c>
      <c r="D163" s="78">
        <f>D162*(BudgetsTable[[#This Row],[lead]]=K162)+(BudgetsTable[[#This Row],[prop_id]]&lt;&gt;A162)</f>
        <v>1</v>
      </c>
      <c r="E163" s="79">
        <v>42800.704861111109</v>
      </c>
      <c r="F163" s="80" t="s">
        <v>1123</v>
      </c>
      <c r="G163" s="80" t="s">
        <v>1124</v>
      </c>
      <c r="H163" s="80" t="s">
        <v>1125</v>
      </c>
      <c r="I163" s="78" t="s">
        <v>596</v>
      </c>
      <c r="J163" s="78" t="s">
        <v>13</v>
      </c>
      <c r="K163" s="80" t="s">
        <v>689</v>
      </c>
      <c r="L163" s="7" t="str">
        <f>IF(BudgetsTable[[#This Row],[pi_last_name]]=" ","",HYPERLINK("https://www.ejacket.nsf.gov/ej/showProposal.do?Continue=Y&amp;ID="&amp;BudgetsTable[[#This Row],[prop_id]],BudgetsTable[[#This Row],[prop_id]]))</f>
        <v/>
      </c>
      <c r="M163" s="15" t="str">
        <f>IF(BudgetsTable[[#This Row],[pi_last_name]]=" ","",HYPERLINK("https://www.ejacket.nsf.gov/ej/processReviewAnalysis.do?dispatch=add&amp;uniqId="&amp;BudgetsTable[[#This Row],[prop_id]]&amp;PO_id,"&gt;ra"))</f>
        <v/>
      </c>
      <c r="N163" s="80" t="s">
        <v>13</v>
      </c>
      <c r="O163" s="7" t="str">
        <f>IF(BudgetsTable[[#This Row],[pi_last_name]]=" ","",HYPERLINK("mailto:"&amp;BudgetsTable[[#This Row],[pi_email]]&amp;"&amp;subject=Your NSF Proposal:  "&amp;BudgetsTable[[#This Row],[prop_id]],BudgetsTable[[#This Row],[pi_email]]))</f>
        <v/>
      </c>
      <c r="P163" s="80" t="s">
        <v>13</v>
      </c>
      <c r="Q163" s="80">
        <v>6</v>
      </c>
      <c r="R163" s="80">
        <v>1.5</v>
      </c>
      <c r="S163" s="81">
        <v>0</v>
      </c>
      <c r="T163" s="81">
        <v>11038</v>
      </c>
      <c r="U163" s="81">
        <v>5000</v>
      </c>
      <c r="V163" s="82">
        <v>495792</v>
      </c>
      <c r="W163" s="80">
        <v>0</v>
      </c>
      <c r="X163" s="80">
        <v>2</v>
      </c>
      <c r="Y163" s="11" t="str">
        <f ca="1">IF(ISBLANK(BudgetsTable[[#This Row],[budg_seq_yr]]),"FY"&amp;fiscalyear,"FY"&amp;fiscalyear-1+BudgetsTable[[#This Row],[budg_seq_yr]])</f>
        <v>FY19</v>
      </c>
      <c r="Z163" s="81">
        <v>495792</v>
      </c>
      <c r="AA163" s="80" t="s">
        <v>1124</v>
      </c>
      <c r="AB163" s="80" t="s">
        <v>1125</v>
      </c>
      <c r="AC163" s="108" t="s">
        <v>94</v>
      </c>
      <c r="AD163" s="80"/>
    </row>
    <row r="164" spans="1:30">
      <c r="A164" s="10" t="s">
        <v>689</v>
      </c>
      <c r="B164" s="78" t="s">
        <v>463</v>
      </c>
      <c r="C164" s="78">
        <f>C163+(BudgetsTable[[#This Row],[lead]]&lt;&gt;K163)</f>
        <v>20</v>
      </c>
      <c r="D164" s="78">
        <f>D163*(BudgetsTable[[#This Row],[lead]]=K163)+(BudgetsTable[[#This Row],[prop_id]]&lt;&gt;A163)</f>
        <v>1</v>
      </c>
      <c r="E164" s="79">
        <v>42800.704861111109</v>
      </c>
      <c r="F164" s="80" t="s">
        <v>1123</v>
      </c>
      <c r="G164" s="80" t="s">
        <v>1124</v>
      </c>
      <c r="H164" s="80" t="s">
        <v>1125</v>
      </c>
      <c r="I164" s="78" t="s">
        <v>596</v>
      </c>
      <c r="J164" s="78" t="s">
        <v>13</v>
      </c>
      <c r="K164" s="80" t="s">
        <v>689</v>
      </c>
      <c r="L164" s="7" t="str">
        <f>IF(BudgetsTable[[#This Row],[pi_last_name]]=" ","",HYPERLINK("https://www.ejacket.nsf.gov/ej/showProposal.do?Continue=Y&amp;ID="&amp;BudgetsTable[[#This Row],[prop_id]],BudgetsTable[[#This Row],[prop_id]]))</f>
        <v/>
      </c>
      <c r="M164" s="15" t="str">
        <f>IF(BudgetsTable[[#This Row],[pi_last_name]]=" ","",HYPERLINK("https://www.ejacket.nsf.gov/ej/processReviewAnalysis.do?dispatch=add&amp;uniqId="&amp;BudgetsTable[[#This Row],[prop_id]]&amp;PO_id,"&gt;ra"))</f>
        <v/>
      </c>
      <c r="N164" s="80" t="s">
        <v>13</v>
      </c>
      <c r="O164" s="7" t="str">
        <f>IF(BudgetsTable[[#This Row],[pi_last_name]]=" ","",HYPERLINK("mailto:"&amp;BudgetsTable[[#This Row],[pi_email]]&amp;"&amp;subject=Your NSF Proposal:  "&amp;BudgetsTable[[#This Row],[prop_id]],BudgetsTable[[#This Row],[pi_email]]))</f>
        <v/>
      </c>
      <c r="P164" s="80" t="s">
        <v>13</v>
      </c>
      <c r="Q164" s="80">
        <v>6</v>
      </c>
      <c r="R164" s="80">
        <v>1.5</v>
      </c>
      <c r="S164" s="81">
        <v>0</v>
      </c>
      <c r="T164" s="81">
        <v>16557</v>
      </c>
      <c r="U164" s="81">
        <v>5000</v>
      </c>
      <c r="V164" s="82">
        <v>522961</v>
      </c>
      <c r="W164" s="80">
        <v>0</v>
      </c>
      <c r="X164" s="80">
        <v>3</v>
      </c>
      <c r="Y164" s="11" t="str">
        <f ca="1">IF(ISBLANK(BudgetsTable[[#This Row],[budg_seq_yr]]),"FY"&amp;fiscalyear,"FY"&amp;fiscalyear-1+BudgetsTable[[#This Row],[budg_seq_yr]])</f>
        <v>FY20</v>
      </c>
      <c r="Z164" s="81">
        <v>522961</v>
      </c>
      <c r="AA164" s="80" t="s">
        <v>1124</v>
      </c>
      <c r="AB164" s="80" t="s">
        <v>1125</v>
      </c>
      <c r="AC164" s="108" t="s">
        <v>94</v>
      </c>
      <c r="AD164" s="80"/>
    </row>
    <row r="165" spans="1:30">
      <c r="A165" s="10" t="s">
        <v>689</v>
      </c>
      <c r="B165" s="78" t="s">
        <v>463</v>
      </c>
      <c r="C165" s="78">
        <f>C164+(BudgetsTable[[#This Row],[lead]]&lt;&gt;K164)</f>
        <v>20</v>
      </c>
      <c r="D165" s="78">
        <f>D164*(BudgetsTable[[#This Row],[lead]]=K164)+(BudgetsTable[[#This Row],[prop_id]]&lt;&gt;A164)</f>
        <v>1</v>
      </c>
      <c r="E165" s="79">
        <v>42800.704861111109</v>
      </c>
      <c r="F165" s="80" t="s">
        <v>1123</v>
      </c>
      <c r="G165" s="80" t="s">
        <v>1124</v>
      </c>
      <c r="H165" s="80" t="s">
        <v>1125</v>
      </c>
      <c r="I165" s="78" t="s">
        <v>596</v>
      </c>
      <c r="J165" s="78" t="s">
        <v>13</v>
      </c>
      <c r="K165" s="80" t="s">
        <v>689</v>
      </c>
      <c r="L165" s="7" t="str">
        <f>IF(BudgetsTable[[#This Row],[pi_last_name]]=" ","",HYPERLINK("https://www.ejacket.nsf.gov/ej/showProposal.do?Continue=Y&amp;ID="&amp;BudgetsTable[[#This Row],[prop_id]],BudgetsTable[[#This Row],[prop_id]]))</f>
        <v/>
      </c>
      <c r="M165" s="15" t="str">
        <f>IF(BudgetsTable[[#This Row],[pi_last_name]]=" ","",HYPERLINK("https://www.ejacket.nsf.gov/ej/processReviewAnalysis.do?dispatch=add&amp;uniqId="&amp;BudgetsTable[[#This Row],[prop_id]]&amp;PO_id,"&gt;ra"))</f>
        <v/>
      </c>
      <c r="N165" s="80" t="s">
        <v>13</v>
      </c>
      <c r="O165" s="7" t="str">
        <f>IF(BudgetsTable[[#This Row],[pi_last_name]]=" ","",HYPERLINK("mailto:"&amp;BudgetsTable[[#This Row],[pi_email]]&amp;"&amp;subject=Your NSF Proposal:  "&amp;BudgetsTable[[#This Row],[prop_id]],BudgetsTable[[#This Row],[pi_email]]))</f>
        <v/>
      </c>
      <c r="P165" s="80" t="s">
        <v>13</v>
      </c>
      <c r="Q165" s="80">
        <v>6</v>
      </c>
      <c r="R165" s="80">
        <v>1.5</v>
      </c>
      <c r="S165" s="81">
        <v>0</v>
      </c>
      <c r="T165" s="81">
        <v>11038</v>
      </c>
      <c r="U165" s="81">
        <v>5000</v>
      </c>
      <c r="V165" s="82">
        <v>533125</v>
      </c>
      <c r="W165" s="80">
        <v>0</v>
      </c>
      <c r="X165" s="80">
        <v>4</v>
      </c>
      <c r="Y165" s="11" t="str">
        <f ca="1">IF(ISBLANK(BudgetsTable[[#This Row],[budg_seq_yr]]),"FY"&amp;fiscalyear,"FY"&amp;fiscalyear-1+BudgetsTable[[#This Row],[budg_seq_yr]])</f>
        <v>FY21</v>
      </c>
      <c r="Z165" s="81">
        <v>533125</v>
      </c>
      <c r="AA165" s="80" t="s">
        <v>1124</v>
      </c>
      <c r="AB165" s="80" t="s">
        <v>1125</v>
      </c>
      <c r="AC165" s="108" t="s">
        <v>94</v>
      </c>
      <c r="AD165" s="80"/>
    </row>
    <row r="166" spans="1:30">
      <c r="A166" s="10" t="s">
        <v>689</v>
      </c>
      <c r="B166" s="78" t="s">
        <v>463</v>
      </c>
      <c r="C166" s="78">
        <f>C165+(BudgetsTable[[#This Row],[lead]]&lt;&gt;K165)</f>
        <v>20</v>
      </c>
      <c r="D166" s="78">
        <f>D165*(BudgetsTable[[#This Row],[lead]]=K165)+(BudgetsTable[[#This Row],[prop_id]]&lt;&gt;A165)</f>
        <v>1</v>
      </c>
      <c r="E166" s="79">
        <v>42800.704861111109</v>
      </c>
      <c r="F166" s="80" t="s">
        <v>1123</v>
      </c>
      <c r="G166" s="80" t="s">
        <v>1124</v>
      </c>
      <c r="H166" s="80" t="s">
        <v>1125</v>
      </c>
      <c r="I166" s="78" t="s">
        <v>596</v>
      </c>
      <c r="J166" s="78" t="s">
        <v>13</v>
      </c>
      <c r="K166" s="80" t="s">
        <v>689</v>
      </c>
      <c r="L166" s="7" t="str">
        <f>IF(BudgetsTable[[#This Row],[pi_last_name]]=" ","",HYPERLINK("https://www.ejacket.nsf.gov/ej/showProposal.do?Continue=Y&amp;ID="&amp;BudgetsTable[[#This Row],[prop_id]],BudgetsTable[[#This Row],[prop_id]]))</f>
        <v/>
      </c>
      <c r="M166" s="15" t="str">
        <f>IF(BudgetsTable[[#This Row],[pi_last_name]]=" ","",HYPERLINK("https://www.ejacket.nsf.gov/ej/processReviewAnalysis.do?dispatch=add&amp;uniqId="&amp;BudgetsTable[[#This Row],[prop_id]]&amp;PO_id,"&gt;ra"))</f>
        <v/>
      </c>
      <c r="N166" s="80" t="s">
        <v>13</v>
      </c>
      <c r="O166" s="7" t="str">
        <f>IF(BudgetsTable[[#This Row],[pi_last_name]]=" ","",HYPERLINK("mailto:"&amp;BudgetsTable[[#This Row],[pi_email]]&amp;"&amp;subject=Your NSF Proposal:  "&amp;BudgetsTable[[#This Row],[prop_id]],BudgetsTable[[#This Row],[pi_email]]))</f>
        <v/>
      </c>
      <c r="P166" s="80" t="s">
        <v>13</v>
      </c>
      <c r="Q166" s="80">
        <v>5</v>
      </c>
      <c r="R166" s="80">
        <v>1.25</v>
      </c>
      <c r="S166" s="81">
        <v>0</v>
      </c>
      <c r="T166" s="81">
        <v>16557</v>
      </c>
      <c r="U166" s="81">
        <v>5000</v>
      </c>
      <c r="V166" s="82">
        <v>396706</v>
      </c>
      <c r="W166" s="80">
        <v>0</v>
      </c>
      <c r="X166" s="80">
        <v>5</v>
      </c>
      <c r="Y166" s="11" t="str">
        <f ca="1">IF(ISBLANK(BudgetsTable[[#This Row],[budg_seq_yr]]),"FY"&amp;fiscalyear,"FY"&amp;fiscalyear-1+BudgetsTable[[#This Row],[budg_seq_yr]])</f>
        <v>FY22</v>
      </c>
      <c r="Z166" s="81">
        <v>396706</v>
      </c>
      <c r="AA166" s="80" t="s">
        <v>1124</v>
      </c>
      <c r="AB166" s="80" t="s">
        <v>1125</v>
      </c>
      <c r="AC166" s="108" t="s">
        <v>94</v>
      </c>
      <c r="AD166" s="80"/>
    </row>
    <row r="167" spans="1:30">
      <c r="A167" s="10" t="s">
        <v>1247</v>
      </c>
      <c r="B167" s="78" t="s">
        <v>450</v>
      </c>
      <c r="C167" s="78">
        <f>C166+(BudgetsTable[[#This Row],[lead]]&lt;&gt;K166)</f>
        <v>20</v>
      </c>
      <c r="D167" s="78">
        <f>D166*(BudgetsTable[[#This Row],[lead]]=K166)+(BudgetsTable[[#This Row],[prop_id]]&lt;&gt;A166)</f>
        <v>2</v>
      </c>
      <c r="E167" s="79">
        <v>42796.675694444442</v>
      </c>
      <c r="F167" s="80" t="s">
        <v>1123</v>
      </c>
      <c r="G167" s="80" t="s">
        <v>1124</v>
      </c>
      <c r="H167" s="80" t="s">
        <v>1125</v>
      </c>
      <c r="I167" s="78" t="s">
        <v>596</v>
      </c>
      <c r="J167" s="78" t="s">
        <v>1250</v>
      </c>
      <c r="K167" s="80" t="s">
        <v>689</v>
      </c>
      <c r="L167" s="7" t="str">
        <f>IF(BudgetsTable[[#This Row],[pi_last_name]]=" ","",HYPERLINK("https://www.ejacket.nsf.gov/ej/showProposal.do?Continue=Y&amp;ID="&amp;BudgetsTable[[#This Row],[prop_id]],BudgetsTable[[#This Row],[prop_id]]))</f>
        <v>1739079</v>
      </c>
      <c r="M167" s="15" t="str">
        <f>IF(BudgetsTable[[#This Row],[pi_last_name]]=" ","",HYPERLINK("https://www.ejacket.nsf.gov/ej/processReviewAnalysis.do?dispatch=add&amp;uniqId="&amp;BudgetsTable[[#This Row],[prop_id]]&amp;PO_id,"&gt;ra"))</f>
        <v>&gt;ra</v>
      </c>
      <c r="N167" s="80" t="s">
        <v>1248</v>
      </c>
      <c r="O167" s="7" t="str">
        <f>IF(BudgetsTable[[#This Row],[pi_last_name]]=" ","",HYPERLINK("mailto:"&amp;BudgetsTable[[#This Row],[pi_email]]&amp;"&amp;subject=Your NSF Proposal:  "&amp;BudgetsTable[[#This Row],[prop_id]],BudgetsTable[[#This Row],[pi_email]]))</f>
        <v>yoshi@cs.washington.edu</v>
      </c>
      <c r="P167" s="80" t="s">
        <v>250</v>
      </c>
      <c r="Q167" s="80"/>
      <c r="R167" s="80"/>
      <c r="S167" s="81"/>
      <c r="T167" s="81"/>
      <c r="U167" s="81"/>
      <c r="V167" s="82"/>
      <c r="W167" s="80">
        <v>0</v>
      </c>
      <c r="X167" s="80"/>
      <c r="Y167" s="11" t="str">
        <f ca="1">IF(ISBLANK(BudgetsTable[[#This Row],[budg_seq_yr]]),"FY"&amp;fiscalyear,"FY"&amp;fiscalyear-1+BudgetsTable[[#This Row],[budg_seq_yr]])</f>
        <v>FY18</v>
      </c>
      <c r="Z167" s="81">
        <v>1000000</v>
      </c>
      <c r="AA167" s="80" t="s">
        <v>1124</v>
      </c>
      <c r="AB167" s="80" t="s">
        <v>1125</v>
      </c>
      <c r="AC167" s="108" t="s">
        <v>94</v>
      </c>
      <c r="AD167" s="80"/>
    </row>
    <row r="168" spans="1:30">
      <c r="A168" s="10" t="s">
        <v>1247</v>
      </c>
      <c r="B168" s="78" t="s">
        <v>450</v>
      </c>
      <c r="C168" s="78">
        <f>C167+(BudgetsTable[[#This Row],[lead]]&lt;&gt;K167)</f>
        <v>20</v>
      </c>
      <c r="D168" s="78">
        <f>D167*(BudgetsTable[[#This Row],[lead]]=K167)+(BudgetsTable[[#This Row],[prop_id]]&lt;&gt;A167)</f>
        <v>2</v>
      </c>
      <c r="E168" s="79">
        <v>42796.675694444442</v>
      </c>
      <c r="F168" s="80" t="s">
        <v>1123</v>
      </c>
      <c r="G168" s="80" t="s">
        <v>1124</v>
      </c>
      <c r="H168" s="80" t="s">
        <v>1125</v>
      </c>
      <c r="I168" s="78" t="s">
        <v>596</v>
      </c>
      <c r="J168" s="78" t="s">
        <v>13</v>
      </c>
      <c r="K168" s="80" t="s">
        <v>689</v>
      </c>
      <c r="L168" s="7" t="str">
        <f>IF(BudgetsTable[[#This Row],[pi_last_name]]=" ","",HYPERLINK("https://www.ejacket.nsf.gov/ej/showProposal.do?Continue=Y&amp;ID="&amp;BudgetsTable[[#This Row],[prop_id]],BudgetsTable[[#This Row],[prop_id]]))</f>
        <v/>
      </c>
      <c r="M168" s="15" t="str">
        <f>IF(BudgetsTable[[#This Row],[pi_last_name]]=" ","",HYPERLINK("https://www.ejacket.nsf.gov/ej/processReviewAnalysis.do?dispatch=add&amp;uniqId="&amp;BudgetsTable[[#This Row],[prop_id]]&amp;PO_id,"&gt;ra"))</f>
        <v/>
      </c>
      <c r="N168" s="80" t="s">
        <v>13</v>
      </c>
      <c r="O168" s="7" t="str">
        <f>IF(BudgetsTable[[#This Row],[pi_last_name]]=" ","",HYPERLINK("mailto:"&amp;BudgetsTable[[#This Row],[pi_email]]&amp;"&amp;subject=Your NSF Proposal:  "&amp;BudgetsTable[[#This Row],[prop_id]],BudgetsTable[[#This Row],[pi_email]]))</f>
        <v/>
      </c>
      <c r="P168" s="80" t="s">
        <v>13</v>
      </c>
      <c r="Q168" s="80">
        <v>2</v>
      </c>
      <c r="R168" s="80">
        <v>0.5</v>
      </c>
      <c r="S168" s="81">
        <v>0</v>
      </c>
      <c r="T168" s="81">
        <v>0</v>
      </c>
      <c r="U168" s="81">
        <v>0</v>
      </c>
      <c r="V168" s="82">
        <v>229179</v>
      </c>
      <c r="W168" s="80">
        <v>0</v>
      </c>
      <c r="X168" s="80">
        <v>1</v>
      </c>
      <c r="Y168" s="11" t="str">
        <f ca="1">IF(ISBLANK(BudgetsTable[[#This Row],[budg_seq_yr]]),"FY"&amp;fiscalyear,"FY"&amp;fiscalyear-1+BudgetsTable[[#This Row],[budg_seq_yr]])</f>
        <v>FY18</v>
      </c>
      <c r="Z168" s="81">
        <v>229179</v>
      </c>
      <c r="AA168" s="80" t="s">
        <v>1124</v>
      </c>
      <c r="AB168" s="80" t="s">
        <v>1125</v>
      </c>
      <c r="AC168" s="108" t="s">
        <v>94</v>
      </c>
      <c r="AD168" s="80"/>
    </row>
    <row r="169" spans="1:30">
      <c r="A169" s="10" t="s">
        <v>1247</v>
      </c>
      <c r="B169" s="78" t="s">
        <v>450</v>
      </c>
      <c r="C169" s="78">
        <f>C168+(BudgetsTable[[#This Row],[lead]]&lt;&gt;K168)</f>
        <v>20</v>
      </c>
      <c r="D169" s="78">
        <f>D168*(BudgetsTable[[#This Row],[lead]]=K168)+(BudgetsTable[[#This Row],[prop_id]]&lt;&gt;A168)</f>
        <v>2</v>
      </c>
      <c r="E169" s="79">
        <v>42796.675694444442</v>
      </c>
      <c r="F169" s="80" t="s">
        <v>1123</v>
      </c>
      <c r="G169" s="80" t="s">
        <v>1124</v>
      </c>
      <c r="H169" s="80" t="s">
        <v>1125</v>
      </c>
      <c r="I169" s="78" t="s">
        <v>596</v>
      </c>
      <c r="J169" s="78" t="s">
        <v>13</v>
      </c>
      <c r="K169" s="80" t="s">
        <v>689</v>
      </c>
      <c r="L169" s="7" t="str">
        <f>IF(BudgetsTable[[#This Row],[pi_last_name]]=" ","",HYPERLINK("https://www.ejacket.nsf.gov/ej/showProposal.do?Continue=Y&amp;ID="&amp;BudgetsTable[[#This Row],[prop_id]],BudgetsTable[[#This Row],[prop_id]]))</f>
        <v/>
      </c>
      <c r="M169" s="15" t="str">
        <f>IF(BudgetsTable[[#This Row],[pi_last_name]]=" ","",HYPERLINK("https://www.ejacket.nsf.gov/ej/processReviewAnalysis.do?dispatch=add&amp;uniqId="&amp;BudgetsTable[[#This Row],[prop_id]]&amp;PO_id,"&gt;ra"))</f>
        <v/>
      </c>
      <c r="N169" s="80" t="s">
        <v>13</v>
      </c>
      <c r="O169" s="7" t="str">
        <f>IF(BudgetsTable[[#This Row],[pi_last_name]]=" ","",HYPERLINK("mailto:"&amp;BudgetsTable[[#This Row],[pi_email]]&amp;"&amp;subject=Your NSF Proposal:  "&amp;BudgetsTable[[#This Row],[prop_id]],BudgetsTable[[#This Row],[pi_email]]))</f>
        <v/>
      </c>
      <c r="P169" s="80" t="s">
        <v>13</v>
      </c>
      <c r="Q169" s="80">
        <v>2</v>
      </c>
      <c r="R169" s="80">
        <v>0.5</v>
      </c>
      <c r="S169" s="81">
        <v>0</v>
      </c>
      <c r="T169" s="81">
        <v>0</v>
      </c>
      <c r="U169" s="81">
        <v>0</v>
      </c>
      <c r="V169" s="82">
        <v>182962</v>
      </c>
      <c r="W169" s="80">
        <v>0</v>
      </c>
      <c r="X169" s="80">
        <v>2</v>
      </c>
      <c r="Y169" s="11" t="str">
        <f ca="1">IF(ISBLANK(BudgetsTable[[#This Row],[budg_seq_yr]]),"FY"&amp;fiscalyear,"FY"&amp;fiscalyear-1+BudgetsTable[[#This Row],[budg_seq_yr]])</f>
        <v>FY19</v>
      </c>
      <c r="Z169" s="81">
        <v>182962</v>
      </c>
      <c r="AA169" s="80" t="s">
        <v>1124</v>
      </c>
      <c r="AB169" s="80" t="s">
        <v>1125</v>
      </c>
      <c r="AC169" s="108" t="s">
        <v>94</v>
      </c>
      <c r="AD169" s="80"/>
    </row>
    <row r="170" spans="1:30">
      <c r="A170" s="10" t="s">
        <v>1247</v>
      </c>
      <c r="B170" s="78" t="s">
        <v>450</v>
      </c>
      <c r="C170" s="78">
        <f>C169+(BudgetsTable[[#This Row],[lead]]&lt;&gt;K169)</f>
        <v>20</v>
      </c>
      <c r="D170" s="78">
        <f>D169*(BudgetsTable[[#This Row],[lead]]=K169)+(BudgetsTable[[#This Row],[prop_id]]&lt;&gt;A169)</f>
        <v>2</v>
      </c>
      <c r="E170" s="79">
        <v>42796.675694444442</v>
      </c>
      <c r="F170" s="80" t="s">
        <v>1123</v>
      </c>
      <c r="G170" s="80" t="s">
        <v>1124</v>
      </c>
      <c r="H170" s="80" t="s">
        <v>1125</v>
      </c>
      <c r="I170" s="78" t="s">
        <v>596</v>
      </c>
      <c r="J170" s="78" t="s">
        <v>13</v>
      </c>
      <c r="K170" s="80" t="s">
        <v>689</v>
      </c>
      <c r="L170" s="7" t="str">
        <f>IF(BudgetsTable[[#This Row],[pi_last_name]]=" ","",HYPERLINK("https://www.ejacket.nsf.gov/ej/showProposal.do?Continue=Y&amp;ID="&amp;BudgetsTable[[#This Row],[prop_id]],BudgetsTable[[#This Row],[prop_id]]))</f>
        <v/>
      </c>
      <c r="M170" s="15" t="str">
        <f>IF(BudgetsTable[[#This Row],[pi_last_name]]=" ","",HYPERLINK("https://www.ejacket.nsf.gov/ej/processReviewAnalysis.do?dispatch=add&amp;uniqId="&amp;BudgetsTable[[#This Row],[prop_id]]&amp;PO_id,"&gt;ra"))</f>
        <v/>
      </c>
      <c r="N170" s="80" t="s">
        <v>13</v>
      </c>
      <c r="O170" s="7" t="str">
        <f>IF(BudgetsTable[[#This Row],[pi_last_name]]=" ","",HYPERLINK("mailto:"&amp;BudgetsTable[[#This Row],[pi_email]]&amp;"&amp;subject=Your NSF Proposal:  "&amp;BudgetsTable[[#This Row],[prop_id]],BudgetsTable[[#This Row],[pi_email]]))</f>
        <v/>
      </c>
      <c r="P170" s="80" t="s">
        <v>13</v>
      </c>
      <c r="Q170" s="80">
        <v>2</v>
      </c>
      <c r="R170" s="80">
        <v>0.5</v>
      </c>
      <c r="S170" s="81">
        <v>0</v>
      </c>
      <c r="T170" s="81">
        <v>0</v>
      </c>
      <c r="U170" s="81">
        <v>0</v>
      </c>
      <c r="V170" s="82">
        <v>189282</v>
      </c>
      <c r="W170" s="80">
        <v>0</v>
      </c>
      <c r="X170" s="80">
        <v>3</v>
      </c>
      <c r="Y170" s="11" t="str">
        <f ca="1">IF(ISBLANK(BudgetsTable[[#This Row],[budg_seq_yr]]),"FY"&amp;fiscalyear,"FY"&amp;fiscalyear-1+BudgetsTable[[#This Row],[budg_seq_yr]])</f>
        <v>FY20</v>
      </c>
      <c r="Z170" s="81">
        <v>189282</v>
      </c>
      <c r="AA170" s="80" t="s">
        <v>1124</v>
      </c>
      <c r="AB170" s="80" t="s">
        <v>1125</v>
      </c>
      <c r="AC170" s="108" t="s">
        <v>94</v>
      </c>
      <c r="AD170" s="80"/>
    </row>
    <row r="171" spans="1:30">
      <c r="A171" s="10" t="s">
        <v>1247</v>
      </c>
      <c r="B171" s="78" t="s">
        <v>450</v>
      </c>
      <c r="C171" s="78">
        <f>C170+(BudgetsTable[[#This Row],[lead]]&lt;&gt;K170)</f>
        <v>20</v>
      </c>
      <c r="D171" s="78">
        <f>D170*(BudgetsTable[[#This Row],[lead]]=K170)+(BudgetsTable[[#This Row],[prop_id]]&lt;&gt;A170)</f>
        <v>2</v>
      </c>
      <c r="E171" s="79">
        <v>42796.675694444442</v>
      </c>
      <c r="F171" s="80" t="s">
        <v>1123</v>
      </c>
      <c r="G171" s="80" t="s">
        <v>1124</v>
      </c>
      <c r="H171" s="80" t="s">
        <v>1125</v>
      </c>
      <c r="I171" s="78" t="s">
        <v>596</v>
      </c>
      <c r="J171" s="78" t="s">
        <v>13</v>
      </c>
      <c r="K171" s="80" t="s">
        <v>689</v>
      </c>
      <c r="L171" s="7" t="str">
        <f>IF(BudgetsTable[[#This Row],[pi_last_name]]=" ","",HYPERLINK("https://www.ejacket.nsf.gov/ej/showProposal.do?Continue=Y&amp;ID="&amp;BudgetsTable[[#This Row],[prop_id]],BudgetsTable[[#This Row],[prop_id]]))</f>
        <v/>
      </c>
      <c r="M171" s="15" t="str">
        <f>IF(BudgetsTable[[#This Row],[pi_last_name]]=" ","",HYPERLINK("https://www.ejacket.nsf.gov/ej/processReviewAnalysis.do?dispatch=add&amp;uniqId="&amp;BudgetsTable[[#This Row],[prop_id]]&amp;PO_id,"&gt;ra"))</f>
        <v/>
      </c>
      <c r="N171" s="80" t="s">
        <v>13</v>
      </c>
      <c r="O171" s="7" t="str">
        <f>IF(BudgetsTable[[#This Row],[pi_last_name]]=" ","",HYPERLINK("mailto:"&amp;BudgetsTable[[#This Row],[pi_email]]&amp;"&amp;subject=Your NSF Proposal:  "&amp;BudgetsTable[[#This Row],[prop_id]],BudgetsTable[[#This Row],[pi_email]]))</f>
        <v/>
      </c>
      <c r="P171" s="80" t="s">
        <v>13</v>
      </c>
      <c r="Q171" s="80">
        <v>2</v>
      </c>
      <c r="R171" s="80">
        <v>0.5</v>
      </c>
      <c r="S171" s="81">
        <v>0</v>
      </c>
      <c r="T171" s="81">
        <v>0</v>
      </c>
      <c r="U171" s="81">
        <v>0</v>
      </c>
      <c r="V171" s="82">
        <v>195862</v>
      </c>
      <c r="W171" s="80">
        <v>0</v>
      </c>
      <c r="X171" s="80">
        <v>4</v>
      </c>
      <c r="Y171" s="11" t="str">
        <f ca="1">IF(ISBLANK(BudgetsTable[[#This Row],[budg_seq_yr]]),"FY"&amp;fiscalyear,"FY"&amp;fiscalyear-1+BudgetsTable[[#This Row],[budg_seq_yr]])</f>
        <v>FY21</v>
      </c>
      <c r="Z171" s="81">
        <v>195862</v>
      </c>
      <c r="AA171" s="80" t="s">
        <v>1124</v>
      </c>
      <c r="AB171" s="80" t="s">
        <v>1125</v>
      </c>
      <c r="AC171" s="108" t="s">
        <v>94</v>
      </c>
      <c r="AD171" s="80"/>
    </row>
    <row r="172" spans="1:30">
      <c r="A172" s="10" t="s">
        <v>1247</v>
      </c>
      <c r="B172" s="78" t="s">
        <v>450</v>
      </c>
      <c r="C172" s="78">
        <f>C171+(BudgetsTable[[#This Row],[lead]]&lt;&gt;K171)</f>
        <v>20</v>
      </c>
      <c r="D172" s="78">
        <f>D171*(BudgetsTable[[#This Row],[lead]]=K171)+(BudgetsTable[[#This Row],[prop_id]]&lt;&gt;A171)</f>
        <v>2</v>
      </c>
      <c r="E172" s="79">
        <v>42796.675694444442</v>
      </c>
      <c r="F172" s="80" t="s">
        <v>1123</v>
      </c>
      <c r="G172" s="80" t="s">
        <v>1124</v>
      </c>
      <c r="H172" s="80" t="s">
        <v>1125</v>
      </c>
      <c r="I172" s="78" t="s">
        <v>596</v>
      </c>
      <c r="J172" s="78" t="s">
        <v>13</v>
      </c>
      <c r="K172" s="80" t="s">
        <v>689</v>
      </c>
      <c r="L172" s="7" t="str">
        <f>IF(BudgetsTable[[#This Row],[pi_last_name]]=" ","",HYPERLINK("https://www.ejacket.nsf.gov/ej/showProposal.do?Continue=Y&amp;ID="&amp;BudgetsTable[[#This Row],[prop_id]],BudgetsTable[[#This Row],[prop_id]]))</f>
        <v/>
      </c>
      <c r="M172" s="15" t="str">
        <f>IF(BudgetsTable[[#This Row],[pi_last_name]]=" ","",HYPERLINK("https://www.ejacket.nsf.gov/ej/processReviewAnalysis.do?dispatch=add&amp;uniqId="&amp;BudgetsTable[[#This Row],[prop_id]]&amp;PO_id,"&gt;ra"))</f>
        <v/>
      </c>
      <c r="N172" s="80" t="s">
        <v>13</v>
      </c>
      <c r="O172" s="7" t="str">
        <f>IF(BudgetsTable[[#This Row],[pi_last_name]]=" ","",HYPERLINK("mailto:"&amp;BudgetsTable[[#This Row],[pi_email]]&amp;"&amp;subject=Your NSF Proposal:  "&amp;BudgetsTable[[#This Row],[prop_id]],BudgetsTable[[#This Row],[pi_email]]))</f>
        <v/>
      </c>
      <c r="P172" s="80" t="s">
        <v>13</v>
      </c>
      <c r="Q172" s="80">
        <v>2</v>
      </c>
      <c r="R172" s="80">
        <v>0.5</v>
      </c>
      <c r="S172" s="81">
        <v>0</v>
      </c>
      <c r="T172" s="81">
        <v>0</v>
      </c>
      <c r="U172" s="81">
        <v>0</v>
      </c>
      <c r="V172" s="82">
        <v>202715</v>
      </c>
      <c r="W172" s="80">
        <v>0</v>
      </c>
      <c r="X172" s="80">
        <v>5</v>
      </c>
      <c r="Y172" s="11" t="str">
        <f ca="1">IF(ISBLANK(BudgetsTable[[#This Row],[budg_seq_yr]]),"FY"&amp;fiscalyear,"FY"&amp;fiscalyear-1+BudgetsTable[[#This Row],[budg_seq_yr]])</f>
        <v>FY22</v>
      </c>
      <c r="Z172" s="81">
        <v>202715</v>
      </c>
      <c r="AA172" s="80" t="s">
        <v>1124</v>
      </c>
      <c r="AB172" s="80" t="s">
        <v>1125</v>
      </c>
      <c r="AC172" s="108" t="s">
        <v>94</v>
      </c>
      <c r="AD172" s="80"/>
    </row>
    <row r="173" spans="1:30">
      <c r="A173" s="10" t="s">
        <v>1251</v>
      </c>
      <c r="B173" s="78" t="s">
        <v>450</v>
      </c>
      <c r="C173" s="78">
        <f>C172+(BudgetsTable[[#This Row],[lead]]&lt;&gt;K172)</f>
        <v>20</v>
      </c>
      <c r="D173" s="78">
        <f>D172*(BudgetsTable[[#This Row],[lead]]=K172)+(BudgetsTable[[#This Row],[prop_id]]&lt;&gt;A172)</f>
        <v>3</v>
      </c>
      <c r="E173" s="79">
        <v>42797.749305555553</v>
      </c>
      <c r="F173" s="80" t="s">
        <v>1123</v>
      </c>
      <c r="G173" s="80" t="s">
        <v>1124</v>
      </c>
      <c r="H173" s="80" t="s">
        <v>1125</v>
      </c>
      <c r="I173" s="78" t="s">
        <v>596</v>
      </c>
      <c r="J173" s="78" t="s">
        <v>1253</v>
      </c>
      <c r="K173" s="80" t="s">
        <v>689</v>
      </c>
      <c r="L173" s="7" t="str">
        <f>IF(BudgetsTable[[#This Row],[pi_last_name]]=" ","",HYPERLINK("https://www.ejacket.nsf.gov/ej/showProposal.do?Continue=Y&amp;ID="&amp;BudgetsTable[[#This Row],[prop_id]],BudgetsTable[[#This Row],[prop_id]]))</f>
        <v>1739237</v>
      </c>
      <c r="M173" s="15" t="str">
        <f>IF(BudgetsTable[[#This Row],[pi_last_name]]=" ","",HYPERLINK("https://www.ejacket.nsf.gov/ej/processReviewAnalysis.do?dispatch=add&amp;uniqId="&amp;BudgetsTable[[#This Row],[prop_id]]&amp;PO_id,"&gt;ra"))</f>
        <v>&gt;ra</v>
      </c>
      <c r="N173" s="80" t="s">
        <v>347</v>
      </c>
      <c r="O173" s="7" t="str">
        <f>IF(BudgetsTable[[#This Row],[pi_last_name]]=" ","",HYPERLINK("mailto:"&amp;BudgetsTable[[#This Row],[pi_email]]&amp;"&amp;subject=Your NSF Proposal:  "&amp;BudgetsTable[[#This Row],[prop_id]],BudgetsTable[[#This Row],[pi_email]]))</f>
        <v>wang626@usc.edu</v>
      </c>
      <c r="P173" s="80" t="s">
        <v>462</v>
      </c>
      <c r="Q173" s="80"/>
      <c r="R173" s="80"/>
      <c r="S173" s="81"/>
      <c r="T173" s="81"/>
      <c r="U173" s="81"/>
      <c r="V173" s="82"/>
      <c r="W173" s="80">
        <v>0</v>
      </c>
      <c r="X173" s="80"/>
      <c r="Y173" s="11" t="str">
        <f ca="1">IF(ISBLANK(BudgetsTable[[#This Row],[budg_seq_yr]]),"FY"&amp;fiscalyear,"FY"&amp;fiscalyear-1+BudgetsTable[[#This Row],[budg_seq_yr]])</f>
        <v>FY18</v>
      </c>
      <c r="Z173" s="81">
        <v>200189</v>
      </c>
      <c r="AA173" s="80" t="s">
        <v>1124</v>
      </c>
      <c r="AB173" s="80" t="s">
        <v>1125</v>
      </c>
      <c r="AC173" s="108" t="s">
        <v>94</v>
      </c>
      <c r="AD173" s="80"/>
    </row>
    <row r="174" spans="1:30">
      <c r="A174" s="10" t="s">
        <v>1251</v>
      </c>
      <c r="B174" s="78" t="s">
        <v>450</v>
      </c>
      <c r="C174" s="78">
        <f>C173+(BudgetsTable[[#This Row],[lead]]&lt;&gt;K173)</f>
        <v>20</v>
      </c>
      <c r="D174" s="78">
        <f>D173*(BudgetsTable[[#This Row],[lead]]=K173)+(BudgetsTable[[#This Row],[prop_id]]&lt;&gt;A173)</f>
        <v>3</v>
      </c>
      <c r="E174" s="79">
        <v>42797.749305555553</v>
      </c>
      <c r="F174" s="80" t="s">
        <v>1123</v>
      </c>
      <c r="G174" s="80" t="s">
        <v>1124</v>
      </c>
      <c r="H174" s="80" t="s">
        <v>1125</v>
      </c>
      <c r="I174" s="78" t="s">
        <v>596</v>
      </c>
      <c r="J174" s="78" t="s">
        <v>13</v>
      </c>
      <c r="K174" s="80" t="s">
        <v>689</v>
      </c>
      <c r="L174" s="7" t="str">
        <f>IF(BudgetsTable[[#This Row],[pi_last_name]]=" ","",HYPERLINK("https://www.ejacket.nsf.gov/ej/showProposal.do?Continue=Y&amp;ID="&amp;BudgetsTable[[#This Row],[prop_id]],BudgetsTable[[#This Row],[prop_id]]))</f>
        <v/>
      </c>
      <c r="M174" s="15" t="str">
        <f>IF(BudgetsTable[[#This Row],[pi_last_name]]=" ","",HYPERLINK("https://www.ejacket.nsf.gov/ej/processReviewAnalysis.do?dispatch=add&amp;uniqId="&amp;BudgetsTable[[#This Row],[prop_id]]&amp;PO_id,"&gt;ra"))</f>
        <v/>
      </c>
      <c r="N174" s="80" t="s">
        <v>13</v>
      </c>
      <c r="O174" s="7" t="str">
        <f>IF(BudgetsTable[[#This Row],[pi_last_name]]=" ","",HYPERLINK("mailto:"&amp;BudgetsTable[[#This Row],[pi_email]]&amp;"&amp;subject=Your NSF Proposal:  "&amp;BudgetsTable[[#This Row],[prop_id]],BudgetsTable[[#This Row],[pi_email]]))</f>
        <v/>
      </c>
      <c r="P174" s="80" t="s">
        <v>13</v>
      </c>
      <c r="Q174" s="80">
        <v>1</v>
      </c>
      <c r="R174" s="80">
        <v>0.5</v>
      </c>
      <c r="S174" s="81">
        <v>0</v>
      </c>
      <c r="T174" s="81">
        <v>0</v>
      </c>
      <c r="U174" s="81">
        <v>0</v>
      </c>
      <c r="V174" s="82">
        <v>84538</v>
      </c>
      <c r="W174" s="80">
        <v>0</v>
      </c>
      <c r="X174" s="80">
        <v>1</v>
      </c>
      <c r="Y174" s="11" t="str">
        <f ca="1">IF(ISBLANK(BudgetsTable[[#This Row],[budg_seq_yr]]),"FY"&amp;fiscalyear,"FY"&amp;fiscalyear-1+BudgetsTable[[#This Row],[budg_seq_yr]])</f>
        <v>FY18</v>
      </c>
      <c r="Z174" s="81">
        <v>84538</v>
      </c>
      <c r="AA174" s="80" t="s">
        <v>1124</v>
      </c>
      <c r="AB174" s="80" t="s">
        <v>1125</v>
      </c>
      <c r="AC174" s="108" t="s">
        <v>94</v>
      </c>
      <c r="AD174" s="80"/>
    </row>
    <row r="175" spans="1:30">
      <c r="A175" s="10" t="s">
        <v>1251</v>
      </c>
      <c r="B175" s="78" t="s">
        <v>450</v>
      </c>
      <c r="C175" s="78">
        <f>C174+(BudgetsTable[[#This Row],[lead]]&lt;&gt;K174)</f>
        <v>20</v>
      </c>
      <c r="D175" s="78">
        <f>D174*(BudgetsTable[[#This Row],[lead]]=K174)+(BudgetsTable[[#This Row],[prop_id]]&lt;&gt;A174)</f>
        <v>3</v>
      </c>
      <c r="E175" s="79">
        <v>42797.749305555553</v>
      </c>
      <c r="F175" s="80" t="s">
        <v>1123</v>
      </c>
      <c r="G175" s="80" t="s">
        <v>1124</v>
      </c>
      <c r="H175" s="80" t="s">
        <v>1125</v>
      </c>
      <c r="I175" s="78" t="s">
        <v>596</v>
      </c>
      <c r="J175" s="78" t="s">
        <v>13</v>
      </c>
      <c r="K175" s="80" t="s">
        <v>689</v>
      </c>
      <c r="L175" s="7" t="str">
        <f>IF(BudgetsTable[[#This Row],[pi_last_name]]=" ","",HYPERLINK("https://www.ejacket.nsf.gov/ej/showProposal.do?Continue=Y&amp;ID="&amp;BudgetsTable[[#This Row],[prop_id]],BudgetsTable[[#This Row],[prop_id]]))</f>
        <v/>
      </c>
      <c r="M175" s="15" t="str">
        <f>IF(BudgetsTable[[#This Row],[pi_last_name]]=" ","",HYPERLINK("https://www.ejacket.nsf.gov/ej/processReviewAnalysis.do?dispatch=add&amp;uniqId="&amp;BudgetsTable[[#This Row],[prop_id]]&amp;PO_id,"&gt;ra"))</f>
        <v/>
      </c>
      <c r="N175" s="80" t="s">
        <v>13</v>
      </c>
      <c r="O175" s="7" t="str">
        <f>IF(BudgetsTable[[#This Row],[pi_last_name]]=" ","",HYPERLINK("mailto:"&amp;BudgetsTable[[#This Row],[pi_email]]&amp;"&amp;subject=Your NSF Proposal:  "&amp;BudgetsTable[[#This Row],[prop_id]],BudgetsTable[[#This Row],[pi_email]]))</f>
        <v/>
      </c>
      <c r="P175" s="80" t="s">
        <v>13</v>
      </c>
      <c r="Q175" s="80">
        <v>1</v>
      </c>
      <c r="R175" s="80">
        <v>0.5</v>
      </c>
      <c r="S175" s="81">
        <v>0</v>
      </c>
      <c r="T175" s="81">
        <v>0</v>
      </c>
      <c r="U175" s="81">
        <v>0</v>
      </c>
      <c r="V175" s="82">
        <v>87655</v>
      </c>
      <c r="W175" s="80">
        <v>0</v>
      </c>
      <c r="X175" s="80">
        <v>2</v>
      </c>
      <c r="Y175" s="11" t="str">
        <f ca="1">IF(ISBLANK(BudgetsTable[[#This Row],[budg_seq_yr]]),"FY"&amp;fiscalyear,"FY"&amp;fiscalyear-1+BudgetsTable[[#This Row],[budg_seq_yr]])</f>
        <v>FY19</v>
      </c>
      <c r="Z175" s="81">
        <v>87655</v>
      </c>
      <c r="AA175" s="80" t="s">
        <v>1124</v>
      </c>
      <c r="AB175" s="80" t="s">
        <v>1125</v>
      </c>
      <c r="AC175" s="108" t="s">
        <v>94</v>
      </c>
      <c r="AD175" s="80"/>
    </row>
    <row r="176" spans="1:30">
      <c r="A176" s="10" t="s">
        <v>1251</v>
      </c>
      <c r="B176" s="78" t="s">
        <v>450</v>
      </c>
      <c r="C176" s="78">
        <f>C175+(BudgetsTable[[#This Row],[lead]]&lt;&gt;K175)</f>
        <v>20</v>
      </c>
      <c r="D176" s="78">
        <f>D175*(BudgetsTable[[#This Row],[lead]]=K175)+(BudgetsTable[[#This Row],[prop_id]]&lt;&gt;A175)</f>
        <v>3</v>
      </c>
      <c r="E176" s="79">
        <v>42797.749305555553</v>
      </c>
      <c r="F176" s="80" t="s">
        <v>1123</v>
      </c>
      <c r="G176" s="80" t="s">
        <v>1124</v>
      </c>
      <c r="H176" s="80" t="s">
        <v>1125</v>
      </c>
      <c r="I176" s="78" t="s">
        <v>596</v>
      </c>
      <c r="J176" s="78" t="s">
        <v>13</v>
      </c>
      <c r="K176" s="80" t="s">
        <v>689</v>
      </c>
      <c r="L176" s="7" t="str">
        <f>IF(BudgetsTable[[#This Row],[pi_last_name]]=" ","",HYPERLINK("https://www.ejacket.nsf.gov/ej/showProposal.do?Continue=Y&amp;ID="&amp;BudgetsTable[[#This Row],[prop_id]],BudgetsTable[[#This Row],[prop_id]]))</f>
        <v/>
      </c>
      <c r="M176" s="15" t="str">
        <f>IF(BudgetsTable[[#This Row],[pi_last_name]]=" ","",HYPERLINK("https://www.ejacket.nsf.gov/ej/processReviewAnalysis.do?dispatch=add&amp;uniqId="&amp;BudgetsTable[[#This Row],[prop_id]]&amp;PO_id,"&gt;ra"))</f>
        <v/>
      </c>
      <c r="N176" s="80" t="s">
        <v>13</v>
      </c>
      <c r="O176" s="7" t="str">
        <f>IF(BudgetsTable[[#This Row],[pi_last_name]]=" ","",HYPERLINK("mailto:"&amp;BudgetsTable[[#This Row],[pi_email]]&amp;"&amp;subject=Your NSF Proposal:  "&amp;BudgetsTable[[#This Row],[prop_id]],BudgetsTable[[#This Row],[pi_email]]))</f>
        <v/>
      </c>
      <c r="P176" s="80" t="s">
        <v>13</v>
      </c>
      <c r="Q176" s="80">
        <v>1</v>
      </c>
      <c r="R176" s="80">
        <v>0.25</v>
      </c>
      <c r="S176" s="81">
        <v>0</v>
      </c>
      <c r="T176" s="81">
        <v>0</v>
      </c>
      <c r="U176" s="81">
        <v>0</v>
      </c>
      <c r="V176" s="82">
        <v>13765</v>
      </c>
      <c r="W176" s="80">
        <v>0</v>
      </c>
      <c r="X176" s="80">
        <v>3</v>
      </c>
      <c r="Y176" s="11" t="str">
        <f ca="1">IF(ISBLANK(BudgetsTable[[#This Row],[budg_seq_yr]]),"FY"&amp;fiscalyear,"FY"&amp;fiscalyear-1+BudgetsTable[[#This Row],[budg_seq_yr]])</f>
        <v>FY20</v>
      </c>
      <c r="Z176" s="81">
        <v>13765</v>
      </c>
      <c r="AA176" s="80" t="s">
        <v>1124</v>
      </c>
      <c r="AB176" s="80" t="s">
        <v>1125</v>
      </c>
      <c r="AC176" s="108" t="s">
        <v>94</v>
      </c>
      <c r="AD176" s="80"/>
    </row>
    <row r="177" spans="1:30">
      <c r="A177" s="10" t="s">
        <v>1251</v>
      </c>
      <c r="B177" s="78" t="s">
        <v>450</v>
      </c>
      <c r="C177" s="78">
        <f>C176+(BudgetsTable[[#This Row],[lead]]&lt;&gt;K176)</f>
        <v>20</v>
      </c>
      <c r="D177" s="78">
        <f>D176*(BudgetsTable[[#This Row],[lead]]=K176)+(BudgetsTable[[#This Row],[prop_id]]&lt;&gt;A176)</f>
        <v>3</v>
      </c>
      <c r="E177" s="79">
        <v>42797.749305555553</v>
      </c>
      <c r="F177" s="80" t="s">
        <v>1123</v>
      </c>
      <c r="G177" s="80" t="s">
        <v>1124</v>
      </c>
      <c r="H177" s="80" t="s">
        <v>1125</v>
      </c>
      <c r="I177" s="78" t="s">
        <v>596</v>
      </c>
      <c r="J177" s="78" t="s">
        <v>13</v>
      </c>
      <c r="K177" s="80" t="s">
        <v>689</v>
      </c>
      <c r="L177" s="7" t="str">
        <f>IF(BudgetsTable[[#This Row],[pi_last_name]]=" ","",HYPERLINK("https://www.ejacket.nsf.gov/ej/showProposal.do?Continue=Y&amp;ID="&amp;BudgetsTable[[#This Row],[prop_id]],BudgetsTable[[#This Row],[prop_id]]))</f>
        <v/>
      </c>
      <c r="M177" s="15" t="str">
        <f>IF(BudgetsTable[[#This Row],[pi_last_name]]=" ","",HYPERLINK("https://www.ejacket.nsf.gov/ej/processReviewAnalysis.do?dispatch=add&amp;uniqId="&amp;BudgetsTable[[#This Row],[prop_id]]&amp;PO_id,"&gt;ra"))</f>
        <v/>
      </c>
      <c r="N177" s="80" t="s">
        <v>13</v>
      </c>
      <c r="O177" s="7" t="str">
        <f>IF(BudgetsTable[[#This Row],[pi_last_name]]=" ","",HYPERLINK("mailto:"&amp;BudgetsTable[[#This Row],[pi_email]]&amp;"&amp;subject=Your NSF Proposal:  "&amp;BudgetsTable[[#This Row],[prop_id]],BudgetsTable[[#This Row],[pi_email]]))</f>
        <v/>
      </c>
      <c r="P177" s="80" t="s">
        <v>13</v>
      </c>
      <c r="Q177" s="80">
        <v>1</v>
      </c>
      <c r="R177" s="80">
        <v>0.13</v>
      </c>
      <c r="S177" s="81">
        <v>0</v>
      </c>
      <c r="T177" s="81">
        <v>0</v>
      </c>
      <c r="U177" s="81">
        <v>0</v>
      </c>
      <c r="V177" s="82">
        <v>7256</v>
      </c>
      <c r="W177" s="80">
        <v>0</v>
      </c>
      <c r="X177" s="80">
        <v>4</v>
      </c>
      <c r="Y177" s="11" t="str">
        <f ca="1">IF(ISBLANK(BudgetsTable[[#This Row],[budg_seq_yr]]),"FY"&amp;fiscalyear,"FY"&amp;fiscalyear-1+BudgetsTable[[#This Row],[budg_seq_yr]])</f>
        <v>FY21</v>
      </c>
      <c r="Z177" s="81">
        <v>7256</v>
      </c>
      <c r="AA177" s="80" t="s">
        <v>1124</v>
      </c>
      <c r="AB177" s="80" t="s">
        <v>1125</v>
      </c>
      <c r="AC177" s="108" t="s">
        <v>94</v>
      </c>
      <c r="AD177" s="80"/>
    </row>
    <row r="178" spans="1:30">
      <c r="A178" s="10" t="s">
        <v>1251</v>
      </c>
      <c r="B178" s="78" t="s">
        <v>450</v>
      </c>
      <c r="C178" s="78">
        <f>C177+(BudgetsTable[[#This Row],[lead]]&lt;&gt;K177)</f>
        <v>20</v>
      </c>
      <c r="D178" s="78">
        <f>D177*(BudgetsTable[[#This Row],[lead]]=K177)+(BudgetsTable[[#This Row],[prop_id]]&lt;&gt;A177)</f>
        <v>3</v>
      </c>
      <c r="E178" s="79">
        <v>42797.749305555553</v>
      </c>
      <c r="F178" s="80" t="s">
        <v>1123</v>
      </c>
      <c r="G178" s="80" t="s">
        <v>1124</v>
      </c>
      <c r="H178" s="80" t="s">
        <v>1125</v>
      </c>
      <c r="I178" s="78" t="s">
        <v>596</v>
      </c>
      <c r="J178" s="78" t="s">
        <v>13</v>
      </c>
      <c r="K178" s="80" t="s">
        <v>689</v>
      </c>
      <c r="L178" s="7" t="str">
        <f>IF(BudgetsTable[[#This Row],[pi_last_name]]=" ","",HYPERLINK("https://www.ejacket.nsf.gov/ej/showProposal.do?Continue=Y&amp;ID="&amp;BudgetsTable[[#This Row],[prop_id]],BudgetsTable[[#This Row],[prop_id]]))</f>
        <v/>
      </c>
      <c r="M178" s="15" t="str">
        <f>IF(BudgetsTable[[#This Row],[pi_last_name]]=" ","",HYPERLINK("https://www.ejacket.nsf.gov/ej/processReviewAnalysis.do?dispatch=add&amp;uniqId="&amp;BudgetsTable[[#This Row],[prop_id]]&amp;PO_id,"&gt;ra"))</f>
        <v/>
      </c>
      <c r="N178" s="80" t="s">
        <v>13</v>
      </c>
      <c r="O178" s="7" t="str">
        <f>IF(BudgetsTable[[#This Row],[pi_last_name]]=" ","",HYPERLINK("mailto:"&amp;BudgetsTable[[#This Row],[pi_email]]&amp;"&amp;subject=Your NSF Proposal:  "&amp;BudgetsTable[[#This Row],[prop_id]],BudgetsTable[[#This Row],[pi_email]]))</f>
        <v/>
      </c>
      <c r="P178" s="80" t="s">
        <v>13</v>
      </c>
      <c r="Q178" s="80">
        <v>1</v>
      </c>
      <c r="R178" s="80">
        <v>0.13</v>
      </c>
      <c r="S178" s="81">
        <v>0</v>
      </c>
      <c r="T178" s="81">
        <v>0</v>
      </c>
      <c r="U178" s="81">
        <v>0</v>
      </c>
      <c r="V178" s="82">
        <v>6975</v>
      </c>
      <c r="W178" s="80">
        <v>0</v>
      </c>
      <c r="X178" s="80">
        <v>5</v>
      </c>
      <c r="Y178" s="11" t="str">
        <f ca="1">IF(ISBLANK(BudgetsTable[[#This Row],[budg_seq_yr]]),"FY"&amp;fiscalyear,"FY"&amp;fiscalyear-1+BudgetsTable[[#This Row],[budg_seq_yr]])</f>
        <v>FY22</v>
      </c>
      <c r="Z178" s="81">
        <v>6975</v>
      </c>
      <c r="AA178" s="80" t="s">
        <v>1124</v>
      </c>
      <c r="AB178" s="80" t="s">
        <v>1125</v>
      </c>
      <c r="AC178" s="108" t="s">
        <v>94</v>
      </c>
      <c r="AD178" s="80"/>
    </row>
    <row r="179" spans="1:30">
      <c r="A179" s="10" t="s">
        <v>1254</v>
      </c>
      <c r="B179" s="78" t="s">
        <v>450</v>
      </c>
      <c r="C179" s="78">
        <f>C178+(BudgetsTable[[#This Row],[lead]]&lt;&gt;K178)</f>
        <v>20</v>
      </c>
      <c r="D179" s="78">
        <f>D178*(BudgetsTable[[#This Row],[lead]]=K178)+(BudgetsTable[[#This Row],[prop_id]]&lt;&gt;A178)</f>
        <v>4</v>
      </c>
      <c r="E179" s="79">
        <v>42800.672222222223</v>
      </c>
      <c r="F179" s="80" t="s">
        <v>1123</v>
      </c>
      <c r="G179" s="80" t="s">
        <v>1124</v>
      </c>
      <c r="H179" s="80" t="s">
        <v>1125</v>
      </c>
      <c r="I179" s="78" t="s">
        <v>596</v>
      </c>
      <c r="J179" s="78" t="s">
        <v>1258</v>
      </c>
      <c r="K179" s="80" t="s">
        <v>689</v>
      </c>
      <c r="L179" s="7" t="str">
        <f>IF(BudgetsTable[[#This Row],[pi_last_name]]=" ","",HYPERLINK("https://www.ejacket.nsf.gov/ej/showProposal.do?Continue=Y&amp;ID="&amp;BudgetsTable[[#This Row],[prop_id]],BudgetsTable[[#This Row],[prop_id]]))</f>
        <v>1739786</v>
      </c>
      <c r="M179" s="15" t="str">
        <f>IF(BudgetsTable[[#This Row],[pi_last_name]]=" ","",HYPERLINK("https://www.ejacket.nsf.gov/ej/processReviewAnalysis.do?dispatch=add&amp;uniqId="&amp;BudgetsTable[[#This Row],[prop_id]]&amp;PO_id,"&gt;ra"))</f>
        <v>&gt;ra</v>
      </c>
      <c r="N179" s="80" t="s">
        <v>1255</v>
      </c>
      <c r="O179" s="7" t="str">
        <f>IF(BudgetsTable[[#This Row],[pi_last_name]]=" ","",HYPERLINK("mailto:"&amp;BudgetsTable[[#This Row],[pi_email]]&amp;"&amp;subject=Your NSF Proposal:  "&amp;BudgetsTable[[#This Row],[prop_id]],BudgetsTable[[#This Row],[pi_email]]))</f>
        <v>wbeckman@mtsu.edu</v>
      </c>
      <c r="P179" s="80" t="s">
        <v>1257</v>
      </c>
      <c r="Q179" s="80"/>
      <c r="R179" s="80"/>
      <c r="S179" s="81"/>
      <c r="T179" s="81"/>
      <c r="U179" s="81"/>
      <c r="V179" s="82"/>
      <c r="W179" s="80">
        <v>0</v>
      </c>
      <c r="X179" s="80"/>
      <c r="Y179" s="11" t="str">
        <f ca="1">IF(ISBLANK(BudgetsTable[[#This Row],[budg_seq_yr]]),"FY"&amp;fiscalyear,"FY"&amp;fiscalyear-1+BudgetsTable[[#This Row],[budg_seq_yr]])</f>
        <v>FY18</v>
      </c>
      <c r="Z179" s="81">
        <v>1477644</v>
      </c>
      <c r="AA179" s="80" t="s">
        <v>1124</v>
      </c>
      <c r="AB179" s="80" t="s">
        <v>1125</v>
      </c>
      <c r="AC179" s="108" t="s">
        <v>94</v>
      </c>
      <c r="AD179" s="80"/>
    </row>
    <row r="180" spans="1:30">
      <c r="A180" s="10" t="s">
        <v>1254</v>
      </c>
      <c r="B180" s="78" t="s">
        <v>450</v>
      </c>
      <c r="C180" s="78">
        <f>C179+(BudgetsTable[[#This Row],[lead]]&lt;&gt;K179)</f>
        <v>20</v>
      </c>
      <c r="D180" s="78">
        <f>D179*(BudgetsTable[[#This Row],[lead]]=K179)+(BudgetsTable[[#This Row],[prop_id]]&lt;&gt;A179)</f>
        <v>4</v>
      </c>
      <c r="E180" s="79">
        <v>42800.672222222223</v>
      </c>
      <c r="F180" s="80" t="s">
        <v>1123</v>
      </c>
      <c r="G180" s="80" t="s">
        <v>1124</v>
      </c>
      <c r="H180" s="80" t="s">
        <v>1125</v>
      </c>
      <c r="I180" s="78" t="s">
        <v>596</v>
      </c>
      <c r="J180" s="78" t="s">
        <v>13</v>
      </c>
      <c r="K180" s="80" t="s">
        <v>689</v>
      </c>
      <c r="L180" s="7" t="str">
        <f>IF(BudgetsTable[[#This Row],[pi_last_name]]=" ","",HYPERLINK("https://www.ejacket.nsf.gov/ej/showProposal.do?Continue=Y&amp;ID="&amp;BudgetsTable[[#This Row],[prop_id]],BudgetsTable[[#This Row],[prop_id]]))</f>
        <v/>
      </c>
      <c r="M180" s="15" t="str">
        <f>IF(BudgetsTable[[#This Row],[pi_last_name]]=" ","",HYPERLINK("https://www.ejacket.nsf.gov/ej/processReviewAnalysis.do?dispatch=add&amp;uniqId="&amp;BudgetsTable[[#This Row],[prop_id]]&amp;PO_id,"&gt;ra"))</f>
        <v/>
      </c>
      <c r="N180" s="80" t="s">
        <v>13</v>
      </c>
      <c r="O180" s="7" t="str">
        <f>IF(BudgetsTable[[#This Row],[pi_last_name]]=" ","",HYPERLINK("mailto:"&amp;BudgetsTable[[#This Row],[pi_email]]&amp;"&amp;subject=Your NSF Proposal:  "&amp;BudgetsTable[[#This Row],[prop_id]],BudgetsTable[[#This Row],[pi_email]]))</f>
        <v/>
      </c>
      <c r="P180" s="80" t="s">
        <v>13</v>
      </c>
      <c r="Q180" s="80">
        <v>4</v>
      </c>
      <c r="R180" s="80">
        <v>3.09</v>
      </c>
      <c r="S180" s="81">
        <v>0</v>
      </c>
      <c r="T180" s="81">
        <v>0</v>
      </c>
      <c r="U180" s="81">
        <v>0</v>
      </c>
      <c r="V180" s="82">
        <v>343423</v>
      </c>
      <c r="W180" s="80">
        <v>0</v>
      </c>
      <c r="X180" s="80">
        <v>1</v>
      </c>
      <c r="Y180" s="11" t="str">
        <f ca="1">IF(ISBLANK(BudgetsTable[[#This Row],[budg_seq_yr]]),"FY"&amp;fiscalyear,"FY"&amp;fiscalyear-1+BudgetsTable[[#This Row],[budg_seq_yr]])</f>
        <v>FY18</v>
      </c>
      <c r="Z180" s="81">
        <v>343423</v>
      </c>
      <c r="AA180" s="80" t="s">
        <v>1124</v>
      </c>
      <c r="AB180" s="80" t="s">
        <v>1125</v>
      </c>
      <c r="AC180" s="108" t="s">
        <v>94</v>
      </c>
      <c r="AD180" s="80"/>
    </row>
    <row r="181" spans="1:30">
      <c r="A181" s="10" t="s">
        <v>1254</v>
      </c>
      <c r="B181" s="78" t="s">
        <v>450</v>
      </c>
      <c r="C181" s="78">
        <f>C180+(BudgetsTable[[#This Row],[lead]]&lt;&gt;K180)</f>
        <v>20</v>
      </c>
      <c r="D181" s="78">
        <f>D180*(BudgetsTable[[#This Row],[lead]]=K180)+(BudgetsTable[[#This Row],[prop_id]]&lt;&gt;A180)</f>
        <v>4</v>
      </c>
      <c r="E181" s="79">
        <v>42800.672222222223</v>
      </c>
      <c r="F181" s="80" t="s">
        <v>1123</v>
      </c>
      <c r="G181" s="80" t="s">
        <v>1124</v>
      </c>
      <c r="H181" s="80" t="s">
        <v>1125</v>
      </c>
      <c r="I181" s="78" t="s">
        <v>596</v>
      </c>
      <c r="J181" s="78" t="s">
        <v>13</v>
      </c>
      <c r="K181" s="80" t="s">
        <v>689</v>
      </c>
      <c r="L181" s="7" t="str">
        <f>IF(BudgetsTable[[#This Row],[pi_last_name]]=" ","",HYPERLINK("https://www.ejacket.nsf.gov/ej/showProposal.do?Continue=Y&amp;ID="&amp;BudgetsTable[[#This Row],[prop_id]],BudgetsTable[[#This Row],[prop_id]]))</f>
        <v/>
      </c>
      <c r="M181" s="15" t="str">
        <f>IF(BudgetsTable[[#This Row],[pi_last_name]]=" ","",HYPERLINK("https://www.ejacket.nsf.gov/ej/processReviewAnalysis.do?dispatch=add&amp;uniqId="&amp;BudgetsTable[[#This Row],[prop_id]]&amp;PO_id,"&gt;ra"))</f>
        <v/>
      </c>
      <c r="N181" s="80" t="s">
        <v>13</v>
      </c>
      <c r="O181" s="7" t="str">
        <f>IF(BudgetsTable[[#This Row],[pi_last_name]]=" ","",HYPERLINK("mailto:"&amp;BudgetsTable[[#This Row],[pi_email]]&amp;"&amp;subject=Your NSF Proposal:  "&amp;BudgetsTable[[#This Row],[prop_id]],BudgetsTable[[#This Row],[pi_email]]))</f>
        <v/>
      </c>
      <c r="P181" s="80" t="s">
        <v>13</v>
      </c>
      <c r="Q181" s="80">
        <v>4</v>
      </c>
      <c r="R181" s="80">
        <v>3.09</v>
      </c>
      <c r="S181" s="81">
        <v>0</v>
      </c>
      <c r="T181" s="81">
        <v>0</v>
      </c>
      <c r="U181" s="81">
        <v>0</v>
      </c>
      <c r="V181" s="82">
        <v>311073</v>
      </c>
      <c r="W181" s="80">
        <v>0</v>
      </c>
      <c r="X181" s="80">
        <v>2</v>
      </c>
      <c r="Y181" s="11" t="str">
        <f ca="1">IF(ISBLANK(BudgetsTable[[#This Row],[budg_seq_yr]]),"FY"&amp;fiscalyear,"FY"&amp;fiscalyear-1+BudgetsTable[[#This Row],[budg_seq_yr]])</f>
        <v>FY19</v>
      </c>
      <c r="Z181" s="81">
        <v>311073</v>
      </c>
      <c r="AA181" s="80" t="s">
        <v>1124</v>
      </c>
      <c r="AB181" s="80" t="s">
        <v>1125</v>
      </c>
      <c r="AC181" s="108" t="s">
        <v>94</v>
      </c>
      <c r="AD181" s="80"/>
    </row>
    <row r="182" spans="1:30">
      <c r="A182" s="10" t="s">
        <v>1254</v>
      </c>
      <c r="B182" s="78" t="s">
        <v>450</v>
      </c>
      <c r="C182" s="78">
        <f>C181+(BudgetsTable[[#This Row],[lead]]&lt;&gt;K181)</f>
        <v>20</v>
      </c>
      <c r="D182" s="78">
        <f>D181*(BudgetsTable[[#This Row],[lead]]=K181)+(BudgetsTable[[#This Row],[prop_id]]&lt;&gt;A181)</f>
        <v>4</v>
      </c>
      <c r="E182" s="79">
        <v>42800.672222222223</v>
      </c>
      <c r="F182" s="80" t="s">
        <v>1123</v>
      </c>
      <c r="G182" s="80" t="s">
        <v>1124</v>
      </c>
      <c r="H182" s="80" t="s">
        <v>1125</v>
      </c>
      <c r="I182" s="78" t="s">
        <v>596</v>
      </c>
      <c r="J182" s="78" t="s">
        <v>13</v>
      </c>
      <c r="K182" s="80" t="s">
        <v>689</v>
      </c>
      <c r="L182" s="7" t="str">
        <f>IF(BudgetsTable[[#This Row],[pi_last_name]]=" ","",HYPERLINK("https://www.ejacket.nsf.gov/ej/showProposal.do?Continue=Y&amp;ID="&amp;BudgetsTable[[#This Row],[prop_id]],BudgetsTable[[#This Row],[prop_id]]))</f>
        <v/>
      </c>
      <c r="M182" s="15" t="str">
        <f>IF(BudgetsTable[[#This Row],[pi_last_name]]=" ","",HYPERLINK("https://www.ejacket.nsf.gov/ej/processReviewAnalysis.do?dispatch=add&amp;uniqId="&amp;BudgetsTable[[#This Row],[prop_id]]&amp;PO_id,"&gt;ra"))</f>
        <v/>
      </c>
      <c r="N182" s="80" t="s">
        <v>13</v>
      </c>
      <c r="O182" s="7" t="str">
        <f>IF(BudgetsTable[[#This Row],[pi_last_name]]=" ","",HYPERLINK("mailto:"&amp;BudgetsTable[[#This Row],[pi_email]]&amp;"&amp;subject=Your NSF Proposal:  "&amp;BudgetsTable[[#This Row],[prop_id]],BudgetsTable[[#This Row],[pi_email]]))</f>
        <v/>
      </c>
      <c r="P182" s="80" t="s">
        <v>13</v>
      </c>
      <c r="Q182" s="80">
        <v>4</v>
      </c>
      <c r="R182" s="80">
        <v>3.09</v>
      </c>
      <c r="S182" s="81">
        <v>0</v>
      </c>
      <c r="T182" s="81">
        <v>0</v>
      </c>
      <c r="U182" s="81">
        <v>0</v>
      </c>
      <c r="V182" s="82">
        <v>321814</v>
      </c>
      <c r="W182" s="80">
        <v>0</v>
      </c>
      <c r="X182" s="80">
        <v>3</v>
      </c>
      <c r="Y182" s="11" t="str">
        <f ca="1">IF(ISBLANK(BudgetsTable[[#This Row],[budg_seq_yr]]),"FY"&amp;fiscalyear,"FY"&amp;fiscalyear-1+BudgetsTable[[#This Row],[budg_seq_yr]])</f>
        <v>FY20</v>
      </c>
      <c r="Z182" s="81">
        <v>321814</v>
      </c>
      <c r="AA182" s="80" t="s">
        <v>1124</v>
      </c>
      <c r="AB182" s="80" t="s">
        <v>1125</v>
      </c>
      <c r="AC182" s="108" t="s">
        <v>94</v>
      </c>
      <c r="AD182" s="80"/>
    </row>
    <row r="183" spans="1:30">
      <c r="A183" s="10" t="s">
        <v>1254</v>
      </c>
      <c r="B183" s="78" t="s">
        <v>450</v>
      </c>
      <c r="C183" s="78">
        <f>C182+(BudgetsTable[[#This Row],[lead]]&lt;&gt;K182)</f>
        <v>20</v>
      </c>
      <c r="D183" s="78">
        <f>D182*(BudgetsTable[[#This Row],[lead]]=K182)+(BudgetsTable[[#This Row],[prop_id]]&lt;&gt;A182)</f>
        <v>4</v>
      </c>
      <c r="E183" s="79">
        <v>42800.672222222223</v>
      </c>
      <c r="F183" s="80" t="s">
        <v>1123</v>
      </c>
      <c r="G183" s="80" t="s">
        <v>1124</v>
      </c>
      <c r="H183" s="80" t="s">
        <v>1125</v>
      </c>
      <c r="I183" s="78" t="s">
        <v>596</v>
      </c>
      <c r="J183" s="78" t="s">
        <v>13</v>
      </c>
      <c r="K183" s="80" t="s">
        <v>689</v>
      </c>
      <c r="L183" s="7" t="str">
        <f>IF(BudgetsTable[[#This Row],[pi_last_name]]=" ","",HYPERLINK("https://www.ejacket.nsf.gov/ej/showProposal.do?Continue=Y&amp;ID="&amp;BudgetsTable[[#This Row],[prop_id]],BudgetsTable[[#This Row],[prop_id]]))</f>
        <v/>
      </c>
      <c r="M183" s="15" t="str">
        <f>IF(BudgetsTable[[#This Row],[pi_last_name]]=" ","",HYPERLINK("https://www.ejacket.nsf.gov/ej/processReviewAnalysis.do?dispatch=add&amp;uniqId="&amp;BudgetsTable[[#This Row],[prop_id]]&amp;PO_id,"&gt;ra"))</f>
        <v/>
      </c>
      <c r="N183" s="80" t="s">
        <v>13</v>
      </c>
      <c r="O183" s="7" t="str">
        <f>IF(BudgetsTable[[#This Row],[pi_last_name]]=" ","",HYPERLINK("mailto:"&amp;BudgetsTable[[#This Row],[pi_email]]&amp;"&amp;subject=Your NSF Proposal:  "&amp;BudgetsTable[[#This Row],[prop_id]],BudgetsTable[[#This Row],[pi_email]]))</f>
        <v/>
      </c>
      <c r="P183" s="80" t="s">
        <v>13</v>
      </c>
      <c r="Q183" s="80">
        <v>4</v>
      </c>
      <c r="R183" s="80">
        <v>3.09</v>
      </c>
      <c r="S183" s="81">
        <v>0</v>
      </c>
      <c r="T183" s="81">
        <v>0</v>
      </c>
      <c r="U183" s="81">
        <v>0</v>
      </c>
      <c r="V183" s="82">
        <v>332499</v>
      </c>
      <c r="W183" s="80">
        <v>0</v>
      </c>
      <c r="X183" s="80">
        <v>4</v>
      </c>
      <c r="Y183" s="11" t="str">
        <f ca="1">IF(ISBLANK(BudgetsTable[[#This Row],[budg_seq_yr]]),"FY"&amp;fiscalyear,"FY"&amp;fiscalyear-1+BudgetsTable[[#This Row],[budg_seq_yr]])</f>
        <v>FY21</v>
      </c>
      <c r="Z183" s="81">
        <v>332499</v>
      </c>
      <c r="AA183" s="80" t="s">
        <v>1124</v>
      </c>
      <c r="AB183" s="80" t="s">
        <v>1125</v>
      </c>
      <c r="AC183" s="108" t="s">
        <v>94</v>
      </c>
      <c r="AD183" s="80"/>
    </row>
    <row r="184" spans="1:30">
      <c r="A184" s="10" t="s">
        <v>1254</v>
      </c>
      <c r="B184" s="78" t="s">
        <v>450</v>
      </c>
      <c r="C184" s="78">
        <f>C183+(BudgetsTable[[#This Row],[lead]]&lt;&gt;K183)</f>
        <v>20</v>
      </c>
      <c r="D184" s="78">
        <f>D183*(BudgetsTable[[#This Row],[lead]]=K183)+(BudgetsTable[[#This Row],[prop_id]]&lt;&gt;A183)</f>
        <v>4</v>
      </c>
      <c r="E184" s="79">
        <v>42800.672222222223</v>
      </c>
      <c r="F184" s="80" t="s">
        <v>1123</v>
      </c>
      <c r="G184" s="80" t="s">
        <v>1124</v>
      </c>
      <c r="H184" s="80" t="s">
        <v>1125</v>
      </c>
      <c r="I184" s="78" t="s">
        <v>596</v>
      </c>
      <c r="J184" s="78" t="s">
        <v>13</v>
      </c>
      <c r="K184" s="80" t="s">
        <v>689</v>
      </c>
      <c r="L184" s="7" t="str">
        <f>IF(BudgetsTable[[#This Row],[pi_last_name]]=" ","",HYPERLINK("https://www.ejacket.nsf.gov/ej/showProposal.do?Continue=Y&amp;ID="&amp;BudgetsTable[[#This Row],[prop_id]],BudgetsTable[[#This Row],[prop_id]]))</f>
        <v/>
      </c>
      <c r="M184" s="15" t="str">
        <f>IF(BudgetsTable[[#This Row],[pi_last_name]]=" ","",HYPERLINK("https://www.ejacket.nsf.gov/ej/processReviewAnalysis.do?dispatch=add&amp;uniqId="&amp;BudgetsTable[[#This Row],[prop_id]]&amp;PO_id,"&gt;ra"))</f>
        <v/>
      </c>
      <c r="N184" s="80" t="s">
        <v>13</v>
      </c>
      <c r="O184" s="7" t="str">
        <f>IF(BudgetsTable[[#This Row],[pi_last_name]]=" ","",HYPERLINK("mailto:"&amp;BudgetsTable[[#This Row],[pi_email]]&amp;"&amp;subject=Your NSF Proposal:  "&amp;BudgetsTable[[#This Row],[prop_id]],BudgetsTable[[#This Row],[pi_email]]))</f>
        <v/>
      </c>
      <c r="P184" s="80" t="s">
        <v>13</v>
      </c>
      <c r="Q184" s="80">
        <v>4</v>
      </c>
      <c r="R184" s="80">
        <v>2.34</v>
      </c>
      <c r="S184" s="81">
        <v>0</v>
      </c>
      <c r="T184" s="81">
        <v>0</v>
      </c>
      <c r="U184" s="81">
        <v>0</v>
      </c>
      <c r="V184" s="82">
        <v>168835</v>
      </c>
      <c r="W184" s="80">
        <v>0</v>
      </c>
      <c r="X184" s="80">
        <v>5</v>
      </c>
      <c r="Y184" s="11" t="str">
        <f ca="1">IF(ISBLANK(BudgetsTable[[#This Row],[budg_seq_yr]]),"FY"&amp;fiscalyear,"FY"&amp;fiscalyear-1+BudgetsTable[[#This Row],[budg_seq_yr]])</f>
        <v>FY22</v>
      </c>
      <c r="Z184" s="81">
        <v>168835</v>
      </c>
      <c r="AA184" s="80" t="s">
        <v>1124</v>
      </c>
      <c r="AB184" s="80" t="s">
        <v>1125</v>
      </c>
      <c r="AC184" s="108" t="s">
        <v>94</v>
      </c>
      <c r="AD184" s="80"/>
    </row>
    <row r="185" spans="1:30">
      <c r="A185" s="10" t="s">
        <v>696</v>
      </c>
      <c r="B185" s="78" t="s">
        <v>463</v>
      </c>
      <c r="C185" s="78">
        <f>C184+(BudgetsTable[[#This Row],[lead]]&lt;&gt;K184)</f>
        <v>21</v>
      </c>
      <c r="D185" s="78">
        <f>D184*(BudgetsTable[[#This Row],[lead]]=K184)+(BudgetsTable[[#This Row],[prop_id]]&lt;&gt;A184)</f>
        <v>1</v>
      </c>
      <c r="E185" s="79">
        <v>42800.832638888889</v>
      </c>
      <c r="F185" s="80" t="s">
        <v>1123</v>
      </c>
      <c r="G185" s="80" t="s">
        <v>1124</v>
      </c>
      <c r="H185" s="80" t="s">
        <v>1125</v>
      </c>
      <c r="I185" s="78" t="s">
        <v>596</v>
      </c>
      <c r="J185" s="78" t="s">
        <v>1260</v>
      </c>
      <c r="K185" s="80" t="s">
        <v>696</v>
      </c>
      <c r="L185" s="7" t="str">
        <f>IF(BudgetsTable[[#This Row],[pi_last_name]]=" ","",HYPERLINK("https://www.ejacket.nsf.gov/ej/showProposal.do?Continue=Y&amp;ID="&amp;BudgetsTable[[#This Row],[prop_id]],BudgetsTable[[#This Row],[prop_id]]))</f>
        <v>1740088</v>
      </c>
      <c r="M185" s="15" t="str">
        <f>IF(BudgetsTable[[#This Row],[pi_last_name]]=" ","",HYPERLINK("https://www.ejacket.nsf.gov/ej/processReviewAnalysis.do?dispatch=add&amp;uniqId="&amp;BudgetsTable[[#This Row],[prop_id]]&amp;PO_id,"&gt;ra"))</f>
        <v>&gt;ra</v>
      </c>
      <c r="N185" s="80" t="s">
        <v>697</v>
      </c>
      <c r="O185" s="7" t="str">
        <f>IF(BudgetsTable[[#This Row],[pi_last_name]]=" ","",HYPERLINK("mailto:"&amp;BudgetsTable[[#This Row],[pi_email]]&amp;"&amp;subject=Your NSF Proposal:  "&amp;BudgetsTable[[#This Row],[prop_id]],BudgetsTable[[#This Row],[pi_email]]))</f>
        <v>nalini@ics.uci.edu</v>
      </c>
      <c r="P185" s="80" t="s">
        <v>570</v>
      </c>
      <c r="Q185" s="80"/>
      <c r="R185" s="80"/>
      <c r="S185" s="81"/>
      <c r="T185" s="81"/>
      <c r="U185" s="81"/>
      <c r="V185" s="82"/>
      <c r="W185" s="80">
        <v>0</v>
      </c>
      <c r="X185" s="80"/>
      <c r="Y185" s="11" t="str">
        <f ca="1">IF(ISBLANK(BudgetsTable[[#This Row],[budg_seq_yr]]),"FY"&amp;fiscalyear,"FY"&amp;fiscalyear-1+BudgetsTable[[#This Row],[budg_seq_yr]])</f>
        <v>FY18</v>
      </c>
      <c r="Z185" s="81">
        <v>5296730</v>
      </c>
      <c r="AA185" s="80" t="s">
        <v>1124</v>
      </c>
      <c r="AB185" s="80" t="s">
        <v>1125</v>
      </c>
      <c r="AC185" s="108" t="s">
        <v>94</v>
      </c>
      <c r="AD185" s="80"/>
    </row>
    <row r="186" spans="1:30">
      <c r="A186" s="10" t="s">
        <v>696</v>
      </c>
      <c r="B186" s="78" t="s">
        <v>463</v>
      </c>
      <c r="C186" s="78">
        <f>C185+(BudgetsTable[[#This Row],[lead]]&lt;&gt;K185)</f>
        <v>21</v>
      </c>
      <c r="D186" s="78">
        <f>D185*(BudgetsTable[[#This Row],[lead]]=K185)+(BudgetsTable[[#This Row],[prop_id]]&lt;&gt;A185)</f>
        <v>1</v>
      </c>
      <c r="E186" s="79">
        <v>42800.832638888889</v>
      </c>
      <c r="F186" s="80" t="s">
        <v>1123</v>
      </c>
      <c r="G186" s="80" t="s">
        <v>1124</v>
      </c>
      <c r="H186" s="80" t="s">
        <v>1125</v>
      </c>
      <c r="I186" s="78" t="s">
        <v>596</v>
      </c>
      <c r="J186" s="78" t="s">
        <v>13</v>
      </c>
      <c r="K186" s="80" t="s">
        <v>696</v>
      </c>
      <c r="L186" s="7" t="str">
        <f>IF(BudgetsTable[[#This Row],[pi_last_name]]=" ","",HYPERLINK("https://www.ejacket.nsf.gov/ej/showProposal.do?Continue=Y&amp;ID="&amp;BudgetsTable[[#This Row],[prop_id]],BudgetsTable[[#This Row],[prop_id]]))</f>
        <v/>
      </c>
      <c r="M186" s="15" t="str">
        <f>IF(BudgetsTable[[#This Row],[pi_last_name]]=" ","",HYPERLINK("https://www.ejacket.nsf.gov/ej/processReviewAnalysis.do?dispatch=add&amp;uniqId="&amp;BudgetsTable[[#This Row],[prop_id]]&amp;PO_id,"&gt;ra"))</f>
        <v/>
      </c>
      <c r="N186" s="80" t="s">
        <v>13</v>
      </c>
      <c r="O186" s="7" t="str">
        <f>IF(BudgetsTable[[#This Row],[pi_last_name]]=" ","",HYPERLINK("mailto:"&amp;BudgetsTable[[#This Row],[pi_email]]&amp;"&amp;subject=Your NSF Proposal:  "&amp;BudgetsTable[[#This Row],[prop_id]],BudgetsTable[[#This Row],[pi_email]]))</f>
        <v/>
      </c>
      <c r="P186" s="80" t="s">
        <v>13</v>
      </c>
      <c r="Q186" s="80">
        <v>8</v>
      </c>
      <c r="R186" s="80">
        <v>6.5</v>
      </c>
      <c r="S186" s="81">
        <v>72000</v>
      </c>
      <c r="T186" s="81">
        <v>2500</v>
      </c>
      <c r="U186" s="81">
        <v>0</v>
      </c>
      <c r="V186" s="82">
        <v>1264118</v>
      </c>
      <c r="W186" s="80">
        <v>0</v>
      </c>
      <c r="X186" s="80">
        <v>1</v>
      </c>
      <c r="Y186" s="11" t="str">
        <f ca="1">IF(ISBLANK(BudgetsTable[[#This Row],[budg_seq_yr]]),"FY"&amp;fiscalyear,"FY"&amp;fiscalyear-1+BudgetsTable[[#This Row],[budg_seq_yr]])</f>
        <v>FY18</v>
      </c>
      <c r="Z186" s="81">
        <v>1264118</v>
      </c>
      <c r="AA186" s="80" t="s">
        <v>1124</v>
      </c>
      <c r="AB186" s="80" t="s">
        <v>1125</v>
      </c>
      <c r="AC186" s="108" t="s">
        <v>94</v>
      </c>
      <c r="AD186" s="80"/>
    </row>
    <row r="187" spans="1:30">
      <c r="A187" s="10" t="s">
        <v>696</v>
      </c>
      <c r="B187" s="78" t="s">
        <v>463</v>
      </c>
      <c r="C187" s="78">
        <f>C186+(BudgetsTable[[#This Row],[lead]]&lt;&gt;K186)</f>
        <v>21</v>
      </c>
      <c r="D187" s="78">
        <f>D186*(BudgetsTable[[#This Row],[lead]]=K186)+(BudgetsTable[[#This Row],[prop_id]]&lt;&gt;A186)</f>
        <v>1</v>
      </c>
      <c r="E187" s="79">
        <v>42800.832638888889</v>
      </c>
      <c r="F187" s="80" t="s">
        <v>1123</v>
      </c>
      <c r="G187" s="80" t="s">
        <v>1124</v>
      </c>
      <c r="H187" s="80" t="s">
        <v>1125</v>
      </c>
      <c r="I187" s="78" t="s">
        <v>596</v>
      </c>
      <c r="J187" s="78" t="s">
        <v>13</v>
      </c>
      <c r="K187" s="80" t="s">
        <v>696</v>
      </c>
      <c r="L187" s="7" t="str">
        <f>IF(BudgetsTable[[#This Row],[pi_last_name]]=" ","",HYPERLINK("https://www.ejacket.nsf.gov/ej/showProposal.do?Continue=Y&amp;ID="&amp;BudgetsTable[[#This Row],[prop_id]],BudgetsTable[[#This Row],[prop_id]]))</f>
        <v/>
      </c>
      <c r="M187" s="15" t="str">
        <f>IF(BudgetsTable[[#This Row],[pi_last_name]]=" ","",HYPERLINK("https://www.ejacket.nsf.gov/ej/processReviewAnalysis.do?dispatch=add&amp;uniqId="&amp;BudgetsTable[[#This Row],[prop_id]]&amp;PO_id,"&gt;ra"))</f>
        <v/>
      </c>
      <c r="N187" s="80" t="s">
        <v>13</v>
      </c>
      <c r="O187" s="7" t="str">
        <f>IF(BudgetsTable[[#This Row],[pi_last_name]]=" ","",HYPERLINK("mailto:"&amp;BudgetsTable[[#This Row],[pi_email]]&amp;"&amp;subject=Your NSF Proposal:  "&amp;BudgetsTable[[#This Row],[prop_id]],BudgetsTable[[#This Row],[pi_email]]))</f>
        <v/>
      </c>
      <c r="P187" s="80" t="s">
        <v>13</v>
      </c>
      <c r="Q187" s="80">
        <v>8</v>
      </c>
      <c r="R187" s="80">
        <v>6.5</v>
      </c>
      <c r="S187" s="81">
        <v>73440</v>
      </c>
      <c r="T187" s="81">
        <v>2575</v>
      </c>
      <c r="U187" s="81">
        <v>0</v>
      </c>
      <c r="V187" s="82">
        <v>1305115</v>
      </c>
      <c r="W187" s="80">
        <v>0</v>
      </c>
      <c r="X187" s="80">
        <v>2</v>
      </c>
      <c r="Y187" s="11" t="str">
        <f ca="1">IF(ISBLANK(BudgetsTable[[#This Row],[budg_seq_yr]]),"FY"&amp;fiscalyear,"FY"&amp;fiscalyear-1+BudgetsTable[[#This Row],[budg_seq_yr]])</f>
        <v>FY19</v>
      </c>
      <c r="Z187" s="81">
        <v>1305115</v>
      </c>
      <c r="AA187" s="80" t="s">
        <v>1124</v>
      </c>
      <c r="AB187" s="80" t="s">
        <v>1125</v>
      </c>
      <c r="AC187" s="108" t="s">
        <v>94</v>
      </c>
      <c r="AD187" s="80"/>
    </row>
    <row r="188" spans="1:30">
      <c r="A188" s="10" t="s">
        <v>696</v>
      </c>
      <c r="B188" s="78" t="s">
        <v>463</v>
      </c>
      <c r="C188" s="78">
        <f>C187+(BudgetsTable[[#This Row],[lead]]&lt;&gt;K187)</f>
        <v>21</v>
      </c>
      <c r="D188" s="78">
        <f>D187*(BudgetsTable[[#This Row],[lead]]=K187)+(BudgetsTable[[#This Row],[prop_id]]&lt;&gt;A187)</f>
        <v>1</v>
      </c>
      <c r="E188" s="79">
        <v>42800.832638888889</v>
      </c>
      <c r="F188" s="80" t="s">
        <v>1123</v>
      </c>
      <c r="G188" s="80" t="s">
        <v>1124</v>
      </c>
      <c r="H188" s="80" t="s">
        <v>1125</v>
      </c>
      <c r="I188" s="78" t="s">
        <v>596</v>
      </c>
      <c r="J188" s="78" t="s">
        <v>13</v>
      </c>
      <c r="K188" s="80" t="s">
        <v>696</v>
      </c>
      <c r="L188" s="7" t="str">
        <f>IF(BudgetsTable[[#This Row],[pi_last_name]]=" ","",HYPERLINK("https://www.ejacket.nsf.gov/ej/showProposal.do?Continue=Y&amp;ID="&amp;BudgetsTable[[#This Row],[prop_id]],BudgetsTable[[#This Row],[prop_id]]))</f>
        <v/>
      </c>
      <c r="M188" s="15" t="str">
        <f>IF(BudgetsTable[[#This Row],[pi_last_name]]=" ","",HYPERLINK("https://www.ejacket.nsf.gov/ej/processReviewAnalysis.do?dispatch=add&amp;uniqId="&amp;BudgetsTable[[#This Row],[prop_id]]&amp;PO_id,"&gt;ra"))</f>
        <v/>
      </c>
      <c r="N188" s="80" t="s">
        <v>13</v>
      </c>
      <c r="O188" s="7" t="str">
        <f>IF(BudgetsTable[[#This Row],[pi_last_name]]=" ","",HYPERLINK("mailto:"&amp;BudgetsTable[[#This Row],[pi_email]]&amp;"&amp;subject=Your NSF Proposal:  "&amp;BudgetsTable[[#This Row],[prop_id]],BudgetsTable[[#This Row],[pi_email]]))</f>
        <v/>
      </c>
      <c r="P188" s="80" t="s">
        <v>13</v>
      </c>
      <c r="Q188" s="80">
        <v>8</v>
      </c>
      <c r="R188" s="80">
        <v>6.5</v>
      </c>
      <c r="S188" s="81">
        <v>74909</v>
      </c>
      <c r="T188" s="81">
        <v>2652</v>
      </c>
      <c r="U188" s="81">
        <v>0</v>
      </c>
      <c r="V188" s="82">
        <v>1337485</v>
      </c>
      <c r="W188" s="80">
        <v>0</v>
      </c>
      <c r="X188" s="80">
        <v>3</v>
      </c>
      <c r="Y188" s="11" t="str">
        <f ca="1">IF(ISBLANK(BudgetsTable[[#This Row],[budg_seq_yr]]),"FY"&amp;fiscalyear,"FY"&amp;fiscalyear-1+BudgetsTable[[#This Row],[budg_seq_yr]])</f>
        <v>FY20</v>
      </c>
      <c r="Z188" s="81">
        <v>1337485</v>
      </c>
      <c r="AA188" s="80" t="s">
        <v>1124</v>
      </c>
      <c r="AB188" s="80" t="s">
        <v>1125</v>
      </c>
      <c r="AC188" s="108" t="s">
        <v>94</v>
      </c>
      <c r="AD188" s="80"/>
    </row>
    <row r="189" spans="1:30">
      <c r="A189" s="10" t="s">
        <v>696</v>
      </c>
      <c r="B189" s="78" t="s">
        <v>463</v>
      </c>
      <c r="C189" s="78">
        <f>C188+(BudgetsTable[[#This Row],[lead]]&lt;&gt;K188)</f>
        <v>21</v>
      </c>
      <c r="D189" s="78">
        <f>D188*(BudgetsTable[[#This Row],[lead]]=K188)+(BudgetsTable[[#This Row],[prop_id]]&lt;&gt;A188)</f>
        <v>1</v>
      </c>
      <c r="E189" s="79">
        <v>42800.832638888889</v>
      </c>
      <c r="F189" s="80" t="s">
        <v>1123</v>
      </c>
      <c r="G189" s="80" t="s">
        <v>1124</v>
      </c>
      <c r="H189" s="80" t="s">
        <v>1125</v>
      </c>
      <c r="I189" s="78" t="s">
        <v>596</v>
      </c>
      <c r="J189" s="78" t="s">
        <v>13</v>
      </c>
      <c r="K189" s="80" t="s">
        <v>696</v>
      </c>
      <c r="L189" s="7" t="str">
        <f>IF(BudgetsTable[[#This Row],[pi_last_name]]=" ","",HYPERLINK("https://www.ejacket.nsf.gov/ej/showProposal.do?Continue=Y&amp;ID="&amp;BudgetsTable[[#This Row],[prop_id]],BudgetsTable[[#This Row],[prop_id]]))</f>
        <v/>
      </c>
      <c r="M189" s="15" t="str">
        <f>IF(BudgetsTable[[#This Row],[pi_last_name]]=" ","",HYPERLINK("https://www.ejacket.nsf.gov/ej/processReviewAnalysis.do?dispatch=add&amp;uniqId="&amp;BudgetsTable[[#This Row],[prop_id]]&amp;PO_id,"&gt;ra"))</f>
        <v/>
      </c>
      <c r="N189" s="80" t="s">
        <v>13</v>
      </c>
      <c r="O189" s="7" t="str">
        <f>IF(BudgetsTable[[#This Row],[pi_last_name]]=" ","",HYPERLINK("mailto:"&amp;BudgetsTable[[#This Row],[pi_email]]&amp;"&amp;subject=Your NSF Proposal:  "&amp;BudgetsTable[[#This Row],[prop_id]],BudgetsTable[[#This Row],[pi_email]]))</f>
        <v/>
      </c>
      <c r="P189" s="80" t="s">
        <v>13</v>
      </c>
      <c r="Q189" s="80">
        <v>8</v>
      </c>
      <c r="R189" s="80">
        <v>6.5</v>
      </c>
      <c r="S189" s="81">
        <v>80152</v>
      </c>
      <c r="T189" s="81">
        <v>2732</v>
      </c>
      <c r="U189" s="81">
        <v>0</v>
      </c>
      <c r="V189" s="82">
        <v>1390012</v>
      </c>
      <c r="W189" s="80">
        <v>0</v>
      </c>
      <c r="X189" s="80">
        <v>4</v>
      </c>
      <c r="Y189" s="11" t="str">
        <f ca="1">IF(ISBLANK(BudgetsTable[[#This Row],[budg_seq_yr]]),"FY"&amp;fiscalyear,"FY"&amp;fiscalyear-1+BudgetsTable[[#This Row],[budg_seq_yr]])</f>
        <v>FY21</v>
      </c>
      <c r="Z189" s="81">
        <v>1390012</v>
      </c>
      <c r="AA189" s="80" t="s">
        <v>1124</v>
      </c>
      <c r="AB189" s="80" t="s">
        <v>1125</v>
      </c>
      <c r="AC189" s="108" t="s">
        <v>94</v>
      </c>
      <c r="AD189" s="80"/>
    </row>
    <row r="190" spans="1:30">
      <c r="A190" s="10" t="s">
        <v>1261</v>
      </c>
      <c r="B190" s="78" t="s">
        <v>450</v>
      </c>
      <c r="C190" s="78">
        <f>C189+(BudgetsTable[[#This Row],[lead]]&lt;&gt;K189)</f>
        <v>21</v>
      </c>
      <c r="D190" s="78">
        <f>D189*(BudgetsTable[[#This Row],[lead]]=K189)+(BudgetsTable[[#This Row],[prop_id]]&lt;&gt;A189)</f>
        <v>2</v>
      </c>
      <c r="E190" s="79">
        <v>42800.522222222222</v>
      </c>
      <c r="F190" s="80" t="s">
        <v>1123</v>
      </c>
      <c r="G190" s="80" t="s">
        <v>1124</v>
      </c>
      <c r="H190" s="80" t="s">
        <v>1125</v>
      </c>
      <c r="I190" s="78" t="s">
        <v>596</v>
      </c>
      <c r="J190" s="78" t="s">
        <v>1265</v>
      </c>
      <c r="K190" s="80" t="s">
        <v>696</v>
      </c>
      <c r="L190" s="7" t="str">
        <f>IF(BudgetsTable[[#This Row],[pi_last_name]]=" ","",HYPERLINK("https://www.ejacket.nsf.gov/ej/showProposal.do?Continue=Y&amp;ID="&amp;BudgetsTable[[#This Row],[prop_id]],BudgetsTable[[#This Row],[prop_id]]))</f>
        <v>1739367</v>
      </c>
      <c r="M190" s="15" t="str">
        <f>IF(BudgetsTable[[#This Row],[pi_last_name]]=" ","",HYPERLINK("https://www.ejacket.nsf.gov/ej/processReviewAnalysis.do?dispatch=add&amp;uniqId="&amp;BudgetsTable[[#This Row],[prop_id]]&amp;PO_id,"&gt;ra"))</f>
        <v>&gt;ra</v>
      </c>
      <c r="N190" s="80" t="s">
        <v>1262</v>
      </c>
      <c r="O190" s="7" t="str">
        <f>IF(BudgetsTable[[#This Row],[pi_last_name]]=" ","",HYPERLINK("mailto:"&amp;BudgetsTable[[#This Row],[pi_email]]&amp;"&amp;subject=Your NSF Proposal:  "&amp;BudgetsTable[[#This Row],[prop_id]],BudgetsTable[[#This Row],[pi_email]]))</f>
        <v>slow@caltech.edu</v>
      </c>
      <c r="P190" s="80" t="s">
        <v>1264</v>
      </c>
      <c r="Q190" s="80"/>
      <c r="R190" s="80"/>
      <c r="S190" s="81"/>
      <c r="T190" s="81"/>
      <c r="U190" s="81"/>
      <c r="V190" s="82"/>
      <c r="W190" s="80">
        <v>0</v>
      </c>
      <c r="X190" s="80"/>
      <c r="Y190" s="11" t="str">
        <f ca="1">IF(ISBLANK(BudgetsTable[[#This Row],[budg_seq_yr]]),"FY"&amp;fiscalyear,"FY"&amp;fiscalyear-1+BudgetsTable[[#This Row],[budg_seq_yr]])</f>
        <v>FY18</v>
      </c>
      <c r="Z190" s="81">
        <v>900000</v>
      </c>
      <c r="AA190" s="80" t="s">
        <v>1124</v>
      </c>
      <c r="AB190" s="80" t="s">
        <v>1125</v>
      </c>
      <c r="AC190" s="108" t="s">
        <v>94</v>
      </c>
      <c r="AD190" s="80"/>
    </row>
    <row r="191" spans="1:30">
      <c r="A191" s="10" t="s">
        <v>1261</v>
      </c>
      <c r="B191" s="78" t="s">
        <v>450</v>
      </c>
      <c r="C191" s="78">
        <f>C190+(BudgetsTable[[#This Row],[lead]]&lt;&gt;K190)</f>
        <v>21</v>
      </c>
      <c r="D191" s="78">
        <f>D190*(BudgetsTable[[#This Row],[lead]]=K190)+(BudgetsTable[[#This Row],[prop_id]]&lt;&gt;A190)</f>
        <v>2</v>
      </c>
      <c r="E191" s="79">
        <v>42800.522222222222</v>
      </c>
      <c r="F191" s="80" t="s">
        <v>1123</v>
      </c>
      <c r="G191" s="80" t="s">
        <v>1124</v>
      </c>
      <c r="H191" s="80" t="s">
        <v>1125</v>
      </c>
      <c r="I191" s="78" t="s">
        <v>596</v>
      </c>
      <c r="J191" s="78" t="s">
        <v>13</v>
      </c>
      <c r="K191" s="80" t="s">
        <v>696</v>
      </c>
      <c r="L191" s="7" t="str">
        <f>IF(BudgetsTable[[#This Row],[pi_last_name]]=" ","",HYPERLINK("https://www.ejacket.nsf.gov/ej/showProposal.do?Continue=Y&amp;ID="&amp;BudgetsTable[[#This Row],[prop_id]],BudgetsTable[[#This Row],[prop_id]]))</f>
        <v/>
      </c>
      <c r="M191" s="15" t="str">
        <f>IF(BudgetsTable[[#This Row],[pi_last_name]]=" ","",HYPERLINK("https://www.ejacket.nsf.gov/ej/processReviewAnalysis.do?dispatch=add&amp;uniqId="&amp;BudgetsTable[[#This Row],[prop_id]]&amp;PO_id,"&gt;ra"))</f>
        <v/>
      </c>
      <c r="N191" s="80" t="s">
        <v>13</v>
      </c>
      <c r="O191" s="7" t="str">
        <f>IF(BudgetsTable[[#This Row],[pi_last_name]]=" ","",HYPERLINK("mailto:"&amp;BudgetsTable[[#This Row],[pi_email]]&amp;"&amp;subject=Your NSF Proposal:  "&amp;BudgetsTable[[#This Row],[prop_id]],BudgetsTable[[#This Row],[pi_email]]))</f>
        <v/>
      </c>
      <c r="P191" s="80" t="s">
        <v>13</v>
      </c>
      <c r="Q191" s="80">
        <v>2</v>
      </c>
      <c r="R191" s="80">
        <v>0</v>
      </c>
      <c r="S191" s="81">
        <v>0</v>
      </c>
      <c r="T191" s="81">
        <v>0</v>
      </c>
      <c r="U191" s="81">
        <v>0</v>
      </c>
      <c r="V191" s="82">
        <v>217076</v>
      </c>
      <c r="W191" s="80">
        <v>0</v>
      </c>
      <c r="X191" s="80">
        <v>1</v>
      </c>
      <c r="Y191" s="11" t="str">
        <f ca="1">IF(ISBLANK(BudgetsTable[[#This Row],[budg_seq_yr]]),"FY"&amp;fiscalyear,"FY"&amp;fiscalyear-1+BudgetsTable[[#This Row],[budg_seq_yr]])</f>
        <v>FY18</v>
      </c>
      <c r="Z191" s="81">
        <v>217076</v>
      </c>
      <c r="AA191" s="80" t="s">
        <v>1124</v>
      </c>
      <c r="AB191" s="80" t="s">
        <v>1125</v>
      </c>
      <c r="AC191" s="108" t="s">
        <v>94</v>
      </c>
      <c r="AD191" s="80"/>
    </row>
    <row r="192" spans="1:30">
      <c r="A192" s="10" t="s">
        <v>1261</v>
      </c>
      <c r="B192" s="78" t="s">
        <v>450</v>
      </c>
      <c r="C192" s="78">
        <f>C191+(BudgetsTable[[#This Row],[lead]]&lt;&gt;K191)</f>
        <v>21</v>
      </c>
      <c r="D192" s="78">
        <f>D191*(BudgetsTable[[#This Row],[lead]]=K191)+(BudgetsTable[[#This Row],[prop_id]]&lt;&gt;A191)</f>
        <v>2</v>
      </c>
      <c r="E192" s="79">
        <v>42800.522222222222</v>
      </c>
      <c r="F192" s="80" t="s">
        <v>1123</v>
      </c>
      <c r="G192" s="80" t="s">
        <v>1124</v>
      </c>
      <c r="H192" s="80" t="s">
        <v>1125</v>
      </c>
      <c r="I192" s="78" t="s">
        <v>596</v>
      </c>
      <c r="J192" s="78" t="s">
        <v>13</v>
      </c>
      <c r="K192" s="80" t="s">
        <v>696</v>
      </c>
      <c r="L192" s="7" t="str">
        <f>IF(BudgetsTable[[#This Row],[pi_last_name]]=" ","",HYPERLINK("https://www.ejacket.nsf.gov/ej/showProposal.do?Continue=Y&amp;ID="&amp;BudgetsTable[[#This Row],[prop_id]],BudgetsTable[[#This Row],[prop_id]]))</f>
        <v/>
      </c>
      <c r="M192" s="15" t="str">
        <f>IF(BudgetsTable[[#This Row],[pi_last_name]]=" ","",HYPERLINK("https://www.ejacket.nsf.gov/ej/processReviewAnalysis.do?dispatch=add&amp;uniqId="&amp;BudgetsTable[[#This Row],[prop_id]]&amp;PO_id,"&gt;ra"))</f>
        <v/>
      </c>
      <c r="N192" s="80" t="s">
        <v>13</v>
      </c>
      <c r="O192" s="7" t="str">
        <f>IF(BudgetsTable[[#This Row],[pi_last_name]]=" ","",HYPERLINK("mailto:"&amp;BudgetsTable[[#This Row],[pi_email]]&amp;"&amp;subject=Your NSF Proposal:  "&amp;BudgetsTable[[#This Row],[prop_id]],BudgetsTable[[#This Row],[pi_email]]))</f>
        <v/>
      </c>
      <c r="P192" s="80" t="s">
        <v>13</v>
      </c>
      <c r="Q192" s="80">
        <v>2</v>
      </c>
      <c r="R192" s="80">
        <v>0</v>
      </c>
      <c r="S192" s="81">
        <v>0</v>
      </c>
      <c r="T192" s="81">
        <v>0</v>
      </c>
      <c r="U192" s="81">
        <v>0</v>
      </c>
      <c r="V192" s="82">
        <v>220588</v>
      </c>
      <c r="W192" s="80">
        <v>0</v>
      </c>
      <c r="X192" s="80">
        <v>2</v>
      </c>
      <c r="Y192" s="11" t="str">
        <f ca="1">IF(ISBLANK(BudgetsTable[[#This Row],[budg_seq_yr]]),"FY"&amp;fiscalyear,"FY"&amp;fiscalyear-1+BudgetsTable[[#This Row],[budg_seq_yr]])</f>
        <v>FY19</v>
      </c>
      <c r="Z192" s="81">
        <v>220588</v>
      </c>
      <c r="AA192" s="80" t="s">
        <v>1124</v>
      </c>
      <c r="AB192" s="80" t="s">
        <v>1125</v>
      </c>
      <c r="AC192" s="108" t="s">
        <v>94</v>
      </c>
      <c r="AD192" s="80"/>
    </row>
    <row r="193" spans="1:30">
      <c r="A193" s="10" t="s">
        <v>1261</v>
      </c>
      <c r="B193" s="78" t="s">
        <v>450</v>
      </c>
      <c r="C193" s="78">
        <f>C192+(BudgetsTable[[#This Row],[lead]]&lt;&gt;K192)</f>
        <v>21</v>
      </c>
      <c r="D193" s="78">
        <f>D192*(BudgetsTable[[#This Row],[lead]]=K192)+(BudgetsTable[[#This Row],[prop_id]]&lt;&gt;A192)</f>
        <v>2</v>
      </c>
      <c r="E193" s="79">
        <v>42800.522222222222</v>
      </c>
      <c r="F193" s="80" t="s">
        <v>1123</v>
      </c>
      <c r="G193" s="80" t="s">
        <v>1124</v>
      </c>
      <c r="H193" s="80" t="s">
        <v>1125</v>
      </c>
      <c r="I193" s="78" t="s">
        <v>596</v>
      </c>
      <c r="J193" s="78" t="s">
        <v>13</v>
      </c>
      <c r="K193" s="80" t="s">
        <v>696</v>
      </c>
      <c r="L193" s="7" t="str">
        <f>IF(BudgetsTable[[#This Row],[pi_last_name]]=" ","",HYPERLINK("https://www.ejacket.nsf.gov/ej/showProposal.do?Continue=Y&amp;ID="&amp;BudgetsTable[[#This Row],[prop_id]],BudgetsTable[[#This Row],[prop_id]]))</f>
        <v/>
      </c>
      <c r="M193" s="15" t="str">
        <f>IF(BudgetsTable[[#This Row],[pi_last_name]]=" ","",HYPERLINK("https://www.ejacket.nsf.gov/ej/processReviewAnalysis.do?dispatch=add&amp;uniqId="&amp;BudgetsTable[[#This Row],[prop_id]]&amp;PO_id,"&gt;ra"))</f>
        <v/>
      </c>
      <c r="N193" s="80" t="s">
        <v>13</v>
      </c>
      <c r="O193" s="7" t="str">
        <f>IF(BudgetsTable[[#This Row],[pi_last_name]]=" ","",HYPERLINK("mailto:"&amp;BudgetsTable[[#This Row],[pi_email]]&amp;"&amp;subject=Your NSF Proposal:  "&amp;BudgetsTable[[#This Row],[prop_id]],BudgetsTable[[#This Row],[pi_email]]))</f>
        <v/>
      </c>
      <c r="P193" s="80" t="s">
        <v>13</v>
      </c>
      <c r="Q193" s="80">
        <v>2</v>
      </c>
      <c r="R193" s="80">
        <v>0</v>
      </c>
      <c r="S193" s="81">
        <v>0</v>
      </c>
      <c r="T193" s="81">
        <v>0</v>
      </c>
      <c r="U193" s="81">
        <v>0</v>
      </c>
      <c r="V193" s="82">
        <v>229230</v>
      </c>
      <c r="W193" s="80">
        <v>0</v>
      </c>
      <c r="X193" s="80">
        <v>3</v>
      </c>
      <c r="Y193" s="11" t="str">
        <f ca="1">IF(ISBLANK(BudgetsTable[[#This Row],[budg_seq_yr]]),"FY"&amp;fiscalyear,"FY"&amp;fiscalyear-1+BudgetsTable[[#This Row],[budg_seq_yr]])</f>
        <v>FY20</v>
      </c>
      <c r="Z193" s="81">
        <v>229230</v>
      </c>
      <c r="AA193" s="80" t="s">
        <v>1124</v>
      </c>
      <c r="AB193" s="80" t="s">
        <v>1125</v>
      </c>
      <c r="AC193" s="108" t="s">
        <v>94</v>
      </c>
      <c r="AD193" s="80"/>
    </row>
    <row r="194" spans="1:30">
      <c r="A194" s="10" t="s">
        <v>1261</v>
      </c>
      <c r="B194" s="78" t="s">
        <v>450</v>
      </c>
      <c r="C194" s="78">
        <f>C193+(BudgetsTable[[#This Row],[lead]]&lt;&gt;K193)</f>
        <v>21</v>
      </c>
      <c r="D194" s="78">
        <f>D193*(BudgetsTable[[#This Row],[lead]]=K193)+(BudgetsTable[[#This Row],[prop_id]]&lt;&gt;A193)</f>
        <v>2</v>
      </c>
      <c r="E194" s="79">
        <v>42800.522222222222</v>
      </c>
      <c r="F194" s="80" t="s">
        <v>1123</v>
      </c>
      <c r="G194" s="80" t="s">
        <v>1124</v>
      </c>
      <c r="H194" s="80" t="s">
        <v>1125</v>
      </c>
      <c r="I194" s="78" t="s">
        <v>596</v>
      </c>
      <c r="J194" s="78" t="s">
        <v>13</v>
      </c>
      <c r="K194" s="80" t="s">
        <v>696</v>
      </c>
      <c r="L194" s="7" t="str">
        <f>IF(BudgetsTable[[#This Row],[pi_last_name]]=" ","",HYPERLINK("https://www.ejacket.nsf.gov/ej/showProposal.do?Continue=Y&amp;ID="&amp;BudgetsTable[[#This Row],[prop_id]],BudgetsTable[[#This Row],[prop_id]]))</f>
        <v/>
      </c>
      <c r="M194" s="15" t="str">
        <f>IF(BudgetsTable[[#This Row],[pi_last_name]]=" ","",HYPERLINK("https://www.ejacket.nsf.gov/ej/processReviewAnalysis.do?dispatch=add&amp;uniqId="&amp;BudgetsTable[[#This Row],[prop_id]]&amp;PO_id,"&gt;ra"))</f>
        <v/>
      </c>
      <c r="N194" s="80" t="s">
        <v>13</v>
      </c>
      <c r="O194" s="7" t="str">
        <f>IF(BudgetsTable[[#This Row],[pi_last_name]]=" ","",HYPERLINK("mailto:"&amp;BudgetsTable[[#This Row],[pi_email]]&amp;"&amp;subject=Your NSF Proposal:  "&amp;BudgetsTable[[#This Row],[prop_id]],BudgetsTable[[#This Row],[pi_email]]))</f>
        <v/>
      </c>
      <c r="P194" s="80" t="s">
        <v>13</v>
      </c>
      <c r="Q194" s="80">
        <v>2</v>
      </c>
      <c r="R194" s="80">
        <v>0</v>
      </c>
      <c r="S194" s="81">
        <v>0</v>
      </c>
      <c r="T194" s="81">
        <v>0</v>
      </c>
      <c r="U194" s="81">
        <v>0</v>
      </c>
      <c r="V194" s="82">
        <v>233106</v>
      </c>
      <c r="W194" s="80">
        <v>0</v>
      </c>
      <c r="X194" s="80">
        <v>4</v>
      </c>
      <c r="Y194" s="11" t="str">
        <f ca="1">IF(ISBLANK(BudgetsTable[[#This Row],[budg_seq_yr]]),"FY"&amp;fiscalyear,"FY"&amp;fiscalyear-1+BudgetsTable[[#This Row],[budg_seq_yr]])</f>
        <v>FY21</v>
      </c>
      <c r="Z194" s="81">
        <v>233106</v>
      </c>
      <c r="AA194" s="80" t="s">
        <v>1124</v>
      </c>
      <c r="AB194" s="80" t="s">
        <v>1125</v>
      </c>
      <c r="AC194" s="108" t="s">
        <v>94</v>
      </c>
      <c r="AD194" s="80"/>
    </row>
    <row r="195" spans="1:30">
      <c r="A195" s="10" t="s">
        <v>1266</v>
      </c>
      <c r="B195" s="78" t="s">
        <v>450</v>
      </c>
      <c r="C195" s="78">
        <f>C194+(BudgetsTable[[#This Row],[lead]]&lt;&gt;K194)</f>
        <v>21</v>
      </c>
      <c r="D195" s="78">
        <f>D194*(BudgetsTable[[#This Row],[lead]]=K194)+(BudgetsTable[[#This Row],[prop_id]]&lt;&gt;A194)</f>
        <v>3</v>
      </c>
      <c r="E195" s="79">
        <v>42800.665277777778</v>
      </c>
      <c r="F195" s="80" t="s">
        <v>1123</v>
      </c>
      <c r="G195" s="80" t="s">
        <v>1124</v>
      </c>
      <c r="H195" s="80" t="s">
        <v>1125</v>
      </c>
      <c r="I195" s="78" t="s">
        <v>596</v>
      </c>
      <c r="J195" s="78" t="s">
        <v>1270</v>
      </c>
      <c r="K195" s="80" t="s">
        <v>696</v>
      </c>
      <c r="L195" s="7" t="str">
        <f>IF(BudgetsTable[[#This Row],[pi_last_name]]=" ","",HYPERLINK("https://www.ejacket.nsf.gov/ej/showProposal.do?Continue=Y&amp;ID="&amp;BudgetsTable[[#This Row],[prop_id]],BudgetsTable[[#This Row],[prop_id]]))</f>
        <v>1739749</v>
      </c>
      <c r="M195" s="15" t="str">
        <f>IF(BudgetsTable[[#This Row],[pi_last_name]]=" ","",HYPERLINK("https://www.ejacket.nsf.gov/ej/processReviewAnalysis.do?dispatch=add&amp;uniqId="&amp;BudgetsTable[[#This Row],[prop_id]]&amp;PO_id,"&gt;ra"))</f>
        <v>&gt;ra</v>
      </c>
      <c r="N195" s="80" t="s">
        <v>1267</v>
      </c>
      <c r="O195" s="7" t="str">
        <f>IF(BudgetsTable[[#This Row],[pi_last_name]]=" ","",HYPERLINK("mailto:"&amp;BudgetsTable[[#This Row],[pi_email]]&amp;"&amp;subject=Your NSF Proposal:  "&amp;BudgetsTable[[#This Row],[prop_id]],BudgetsTable[[#This Row],[pi_email]]))</f>
        <v>clt@cs.stanford.edu</v>
      </c>
      <c r="P195" s="80" t="s">
        <v>1269</v>
      </c>
      <c r="Q195" s="80"/>
      <c r="R195" s="80"/>
      <c r="S195" s="81"/>
      <c r="T195" s="81"/>
      <c r="U195" s="81"/>
      <c r="V195" s="82"/>
      <c r="W195" s="80">
        <v>0</v>
      </c>
      <c r="X195" s="80"/>
      <c r="Y195" s="11" t="str">
        <f ca="1">IF(ISBLANK(BudgetsTable[[#This Row],[budg_seq_yr]]),"FY"&amp;fiscalyear,"FY"&amp;fiscalyear-1+BudgetsTable[[#This Row],[budg_seq_yr]])</f>
        <v>FY18</v>
      </c>
      <c r="Z195" s="81">
        <v>798300</v>
      </c>
      <c r="AA195" s="80" t="s">
        <v>1124</v>
      </c>
      <c r="AB195" s="80" t="s">
        <v>1125</v>
      </c>
      <c r="AC195" s="108" t="s">
        <v>94</v>
      </c>
      <c r="AD195" s="80"/>
    </row>
    <row r="196" spans="1:30">
      <c r="A196" s="10" t="s">
        <v>1266</v>
      </c>
      <c r="B196" s="78" t="s">
        <v>450</v>
      </c>
      <c r="C196" s="78">
        <f>C195+(BudgetsTable[[#This Row],[lead]]&lt;&gt;K195)</f>
        <v>21</v>
      </c>
      <c r="D196" s="78">
        <f>D195*(BudgetsTable[[#This Row],[lead]]=K195)+(BudgetsTable[[#This Row],[prop_id]]&lt;&gt;A195)</f>
        <v>3</v>
      </c>
      <c r="E196" s="79">
        <v>42800.665277777778</v>
      </c>
      <c r="F196" s="80" t="s">
        <v>1123</v>
      </c>
      <c r="G196" s="80" t="s">
        <v>1124</v>
      </c>
      <c r="H196" s="80" t="s">
        <v>1125</v>
      </c>
      <c r="I196" s="78" t="s">
        <v>596</v>
      </c>
      <c r="J196" s="78" t="s">
        <v>13</v>
      </c>
      <c r="K196" s="80" t="s">
        <v>696</v>
      </c>
      <c r="L196" s="7" t="str">
        <f>IF(BudgetsTable[[#This Row],[pi_last_name]]=" ","",HYPERLINK("https://www.ejacket.nsf.gov/ej/showProposal.do?Continue=Y&amp;ID="&amp;BudgetsTable[[#This Row],[prop_id]],BudgetsTable[[#This Row],[prop_id]]))</f>
        <v/>
      </c>
      <c r="M196" s="15" t="str">
        <f>IF(BudgetsTable[[#This Row],[pi_last_name]]=" ","",HYPERLINK("https://www.ejacket.nsf.gov/ej/processReviewAnalysis.do?dispatch=add&amp;uniqId="&amp;BudgetsTable[[#This Row],[prop_id]]&amp;PO_id,"&gt;ra"))</f>
        <v/>
      </c>
      <c r="N196" s="80" t="s">
        <v>13</v>
      </c>
      <c r="O196" s="7" t="str">
        <f>IF(BudgetsTable[[#This Row],[pi_last_name]]=" ","",HYPERLINK("mailto:"&amp;BudgetsTable[[#This Row],[pi_email]]&amp;"&amp;subject=Your NSF Proposal:  "&amp;BudgetsTable[[#This Row],[prop_id]],BudgetsTable[[#This Row],[pi_email]]))</f>
        <v/>
      </c>
      <c r="P196" s="80" t="s">
        <v>13</v>
      </c>
      <c r="Q196" s="80">
        <v>2</v>
      </c>
      <c r="R196" s="80">
        <v>0</v>
      </c>
      <c r="S196" s="81">
        <v>0</v>
      </c>
      <c r="T196" s="81">
        <v>0</v>
      </c>
      <c r="U196" s="81">
        <v>0</v>
      </c>
      <c r="V196" s="82">
        <v>199273</v>
      </c>
      <c r="W196" s="80">
        <v>0</v>
      </c>
      <c r="X196" s="80">
        <v>1</v>
      </c>
      <c r="Y196" s="11" t="str">
        <f ca="1">IF(ISBLANK(BudgetsTable[[#This Row],[budg_seq_yr]]),"FY"&amp;fiscalyear,"FY"&amp;fiscalyear-1+BudgetsTable[[#This Row],[budg_seq_yr]])</f>
        <v>FY18</v>
      </c>
      <c r="Z196" s="81">
        <v>199273</v>
      </c>
      <c r="AA196" s="80" t="s">
        <v>1124</v>
      </c>
      <c r="AB196" s="80" t="s">
        <v>1125</v>
      </c>
      <c r="AC196" s="108" t="s">
        <v>94</v>
      </c>
      <c r="AD196" s="80"/>
    </row>
    <row r="197" spans="1:30">
      <c r="A197" s="10" t="s">
        <v>1266</v>
      </c>
      <c r="B197" s="78" t="s">
        <v>450</v>
      </c>
      <c r="C197" s="78">
        <f>C196+(BudgetsTable[[#This Row],[lead]]&lt;&gt;K196)</f>
        <v>21</v>
      </c>
      <c r="D197" s="78">
        <f>D196*(BudgetsTable[[#This Row],[lead]]=K196)+(BudgetsTable[[#This Row],[prop_id]]&lt;&gt;A196)</f>
        <v>3</v>
      </c>
      <c r="E197" s="79">
        <v>42800.665277777778</v>
      </c>
      <c r="F197" s="80" t="s">
        <v>1123</v>
      </c>
      <c r="G197" s="80" t="s">
        <v>1124</v>
      </c>
      <c r="H197" s="80" t="s">
        <v>1125</v>
      </c>
      <c r="I197" s="78" t="s">
        <v>596</v>
      </c>
      <c r="J197" s="78" t="s">
        <v>13</v>
      </c>
      <c r="K197" s="80" t="s">
        <v>696</v>
      </c>
      <c r="L197" s="7" t="str">
        <f>IF(BudgetsTable[[#This Row],[pi_last_name]]=" ","",HYPERLINK("https://www.ejacket.nsf.gov/ej/showProposal.do?Continue=Y&amp;ID="&amp;BudgetsTable[[#This Row],[prop_id]],BudgetsTable[[#This Row],[prop_id]]))</f>
        <v/>
      </c>
      <c r="M197" s="15" t="str">
        <f>IF(BudgetsTable[[#This Row],[pi_last_name]]=" ","",HYPERLINK("https://www.ejacket.nsf.gov/ej/processReviewAnalysis.do?dispatch=add&amp;uniqId="&amp;BudgetsTable[[#This Row],[prop_id]]&amp;PO_id,"&gt;ra"))</f>
        <v/>
      </c>
      <c r="N197" s="80" t="s">
        <v>13</v>
      </c>
      <c r="O197" s="7" t="str">
        <f>IF(BudgetsTable[[#This Row],[pi_last_name]]=" ","",HYPERLINK("mailto:"&amp;BudgetsTable[[#This Row],[pi_email]]&amp;"&amp;subject=Your NSF Proposal:  "&amp;BudgetsTable[[#This Row],[prop_id]],BudgetsTable[[#This Row],[pi_email]]))</f>
        <v/>
      </c>
      <c r="P197" s="80" t="s">
        <v>13</v>
      </c>
      <c r="Q197" s="80">
        <v>2</v>
      </c>
      <c r="R197" s="80">
        <v>0</v>
      </c>
      <c r="S197" s="81">
        <v>0</v>
      </c>
      <c r="T197" s="81">
        <v>0</v>
      </c>
      <c r="U197" s="81">
        <v>0</v>
      </c>
      <c r="V197" s="82">
        <v>199739</v>
      </c>
      <c r="W197" s="80">
        <v>0</v>
      </c>
      <c r="X197" s="80">
        <v>2</v>
      </c>
      <c r="Y197" s="11" t="str">
        <f ca="1">IF(ISBLANK(BudgetsTable[[#This Row],[budg_seq_yr]]),"FY"&amp;fiscalyear,"FY"&amp;fiscalyear-1+BudgetsTable[[#This Row],[budg_seq_yr]])</f>
        <v>FY19</v>
      </c>
      <c r="Z197" s="81">
        <v>199739</v>
      </c>
      <c r="AA197" s="80" t="s">
        <v>1124</v>
      </c>
      <c r="AB197" s="80" t="s">
        <v>1125</v>
      </c>
      <c r="AC197" s="108" t="s">
        <v>94</v>
      </c>
      <c r="AD197" s="80"/>
    </row>
    <row r="198" spans="1:30">
      <c r="A198" s="10" t="s">
        <v>1266</v>
      </c>
      <c r="B198" s="78" t="s">
        <v>450</v>
      </c>
      <c r="C198" s="78">
        <f>C197+(BudgetsTable[[#This Row],[lead]]&lt;&gt;K197)</f>
        <v>21</v>
      </c>
      <c r="D198" s="78">
        <f>D197*(BudgetsTable[[#This Row],[lead]]=K197)+(BudgetsTable[[#This Row],[prop_id]]&lt;&gt;A197)</f>
        <v>3</v>
      </c>
      <c r="E198" s="79">
        <v>42800.665277777778</v>
      </c>
      <c r="F198" s="80" t="s">
        <v>1123</v>
      </c>
      <c r="G198" s="80" t="s">
        <v>1124</v>
      </c>
      <c r="H198" s="80" t="s">
        <v>1125</v>
      </c>
      <c r="I198" s="78" t="s">
        <v>596</v>
      </c>
      <c r="J198" s="78" t="s">
        <v>13</v>
      </c>
      <c r="K198" s="80" t="s">
        <v>696</v>
      </c>
      <c r="L198" s="7" t="str">
        <f>IF(BudgetsTable[[#This Row],[pi_last_name]]=" ","",HYPERLINK("https://www.ejacket.nsf.gov/ej/showProposal.do?Continue=Y&amp;ID="&amp;BudgetsTable[[#This Row],[prop_id]],BudgetsTable[[#This Row],[prop_id]]))</f>
        <v/>
      </c>
      <c r="M198" s="15" t="str">
        <f>IF(BudgetsTable[[#This Row],[pi_last_name]]=" ","",HYPERLINK("https://www.ejacket.nsf.gov/ej/processReviewAnalysis.do?dispatch=add&amp;uniqId="&amp;BudgetsTable[[#This Row],[prop_id]]&amp;PO_id,"&gt;ra"))</f>
        <v/>
      </c>
      <c r="N198" s="80" t="s">
        <v>13</v>
      </c>
      <c r="O198" s="7" t="str">
        <f>IF(BudgetsTable[[#This Row],[pi_last_name]]=" ","",HYPERLINK("mailto:"&amp;BudgetsTable[[#This Row],[pi_email]]&amp;"&amp;subject=Your NSF Proposal:  "&amp;BudgetsTable[[#This Row],[prop_id]],BudgetsTable[[#This Row],[pi_email]]))</f>
        <v/>
      </c>
      <c r="P198" s="80" t="s">
        <v>13</v>
      </c>
      <c r="Q198" s="80">
        <v>2</v>
      </c>
      <c r="R198" s="80">
        <v>0</v>
      </c>
      <c r="S198" s="81">
        <v>0</v>
      </c>
      <c r="T198" s="81">
        <v>0</v>
      </c>
      <c r="U198" s="81">
        <v>0</v>
      </c>
      <c r="V198" s="82">
        <v>199900</v>
      </c>
      <c r="W198" s="80">
        <v>0</v>
      </c>
      <c r="X198" s="80">
        <v>3</v>
      </c>
      <c r="Y198" s="11" t="str">
        <f ca="1">IF(ISBLANK(BudgetsTable[[#This Row],[budg_seq_yr]]),"FY"&amp;fiscalyear,"FY"&amp;fiscalyear-1+BudgetsTable[[#This Row],[budg_seq_yr]])</f>
        <v>FY20</v>
      </c>
      <c r="Z198" s="81">
        <v>199900</v>
      </c>
      <c r="AA198" s="80" t="s">
        <v>1124</v>
      </c>
      <c r="AB198" s="80" t="s">
        <v>1125</v>
      </c>
      <c r="AC198" s="108" t="s">
        <v>94</v>
      </c>
      <c r="AD198" s="80"/>
    </row>
    <row r="199" spans="1:30">
      <c r="A199" s="10" t="s">
        <v>1266</v>
      </c>
      <c r="B199" s="78" t="s">
        <v>450</v>
      </c>
      <c r="C199" s="78">
        <f>C198+(BudgetsTable[[#This Row],[lead]]&lt;&gt;K198)</f>
        <v>21</v>
      </c>
      <c r="D199" s="78">
        <f>D198*(BudgetsTable[[#This Row],[lead]]=K198)+(BudgetsTable[[#This Row],[prop_id]]&lt;&gt;A198)</f>
        <v>3</v>
      </c>
      <c r="E199" s="79">
        <v>42800.665277777778</v>
      </c>
      <c r="F199" s="80" t="s">
        <v>1123</v>
      </c>
      <c r="G199" s="80" t="s">
        <v>1124</v>
      </c>
      <c r="H199" s="80" t="s">
        <v>1125</v>
      </c>
      <c r="I199" s="78" t="s">
        <v>596</v>
      </c>
      <c r="J199" s="78" t="s">
        <v>13</v>
      </c>
      <c r="K199" s="80" t="s">
        <v>696</v>
      </c>
      <c r="L199" s="7" t="str">
        <f>IF(BudgetsTable[[#This Row],[pi_last_name]]=" ","",HYPERLINK("https://www.ejacket.nsf.gov/ej/showProposal.do?Continue=Y&amp;ID="&amp;BudgetsTable[[#This Row],[prop_id]],BudgetsTable[[#This Row],[prop_id]]))</f>
        <v/>
      </c>
      <c r="M199" s="15" t="str">
        <f>IF(BudgetsTable[[#This Row],[pi_last_name]]=" ","",HYPERLINK("https://www.ejacket.nsf.gov/ej/processReviewAnalysis.do?dispatch=add&amp;uniqId="&amp;BudgetsTable[[#This Row],[prop_id]]&amp;PO_id,"&gt;ra"))</f>
        <v/>
      </c>
      <c r="N199" s="80" t="s">
        <v>13</v>
      </c>
      <c r="O199" s="7" t="str">
        <f>IF(BudgetsTable[[#This Row],[pi_last_name]]=" ","",HYPERLINK("mailto:"&amp;BudgetsTable[[#This Row],[pi_email]]&amp;"&amp;subject=Your NSF Proposal:  "&amp;BudgetsTable[[#This Row],[prop_id]],BudgetsTable[[#This Row],[pi_email]]))</f>
        <v/>
      </c>
      <c r="P199" s="80" t="s">
        <v>13</v>
      </c>
      <c r="Q199" s="80">
        <v>2</v>
      </c>
      <c r="R199" s="80">
        <v>0</v>
      </c>
      <c r="S199" s="81">
        <v>0</v>
      </c>
      <c r="T199" s="81">
        <v>0</v>
      </c>
      <c r="U199" s="81">
        <v>0</v>
      </c>
      <c r="V199" s="82">
        <v>199388</v>
      </c>
      <c r="W199" s="80">
        <v>0</v>
      </c>
      <c r="X199" s="80">
        <v>4</v>
      </c>
      <c r="Y199" s="11" t="str">
        <f ca="1">IF(ISBLANK(BudgetsTable[[#This Row],[budg_seq_yr]]),"FY"&amp;fiscalyear,"FY"&amp;fiscalyear-1+BudgetsTable[[#This Row],[budg_seq_yr]])</f>
        <v>FY21</v>
      </c>
      <c r="Z199" s="81">
        <v>199388</v>
      </c>
      <c r="AA199" s="80" t="s">
        <v>1124</v>
      </c>
      <c r="AB199" s="80" t="s">
        <v>1125</v>
      </c>
      <c r="AC199" s="108" t="s">
        <v>94</v>
      </c>
      <c r="AD199" s="80"/>
    </row>
    <row r="200" spans="1:30">
      <c r="A200" s="10" t="s">
        <v>703</v>
      </c>
      <c r="B200" s="78" t="s">
        <v>96</v>
      </c>
      <c r="C200" s="78">
        <f>C199+(BudgetsTable[[#This Row],[lead]]&lt;&gt;K199)</f>
        <v>22</v>
      </c>
      <c r="D200" s="78">
        <f>D199*(BudgetsTable[[#This Row],[lead]]=K199)+(BudgetsTable[[#This Row],[prop_id]]&lt;&gt;A199)</f>
        <v>1</v>
      </c>
      <c r="E200" s="79">
        <v>42926.695833333331</v>
      </c>
      <c r="F200" s="80" t="s">
        <v>248</v>
      </c>
      <c r="G200" s="80" t="s">
        <v>1124</v>
      </c>
      <c r="H200" s="80" t="s">
        <v>1125</v>
      </c>
      <c r="I200" s="78" t="s">
        <v>596</v>
      </c>
      <c r="J200" s="78" t="s">
        <v>1174</v>
      </c>
      <c r="K200" s="80" t="s">
        <v>703</v>
      </c>
      <c r="L200" s="7" t="str">
        <f>IF(BudgetsTable[[#This Row],[pi_last_name]]=" ","",HYPERLINK("https://www.ejacket.nsf.gov/ej/showProposal.do?Continue=Y&amp;ID="&amp;BudgetsTable[[#This Row],[prop_id]],BudgetsTable[[#This Row],[prop_id]]))</f>
        <v>1748762</v>
      </c>
      <c r="M200" s="15" t="str">
        <f>IF(BudgetsTable[[#This Row],[pi_last_name]]=" ","",HYPERLINK("https://www.ejacket.nsf.gov/ej/processReviewAnalysis.do?dispatch=add&amp;uniqId="&amp;BudgetsTable[[#This Row],[prop_id]]&amp;PO_id,"&gt;ra"))</f>
        <v>&gt;ra</v>
      </c>
      <c r="N200" s="80" t="s">
        <v>704</v>
      </c>
      <c r="O200" s="7" t="str">
        <f>IF(BudgetsTable[[#This Row],[pi_last_name]]=" ","",HYPERLINK("mailto:"&amp;BudgetsTable[[#This Row],[pi_email]]&amp;"&amp;subject=Your NSF Proposal:  "&amp;BudgetsTable[[#This Row],[prop_id]],BudgetsTable[[#This Row],[pi_email]]))</f>
        <v>jhahn12@umd.edu</v>
      </c>
      <c r="P200" s="80" t="s">
        <v>475</v>
      </c>
      <c r="Q200" s="80"/>
      <c r="R200" s="80"/>
      <c r="S200" s="81"/>
      <c r="T200" s="81"/>
      <c r="U200" s="81"/>
      <c r="V200" s="82"/>
      <c r="W200" s="80">
        <v>0</v>
      </c>
      <c r="X200" s="80"/>
      <c r="Y200" s="11" t="str">
        <f ca="1">IF(ISBLANK(BudgetsTable[[#This Row],[budg_seq_yr]]),"FY"&amp;fiscalyear,"FY"&amp;fiscalyear-1+BudgetsTable[[#This Row],[budg_seq_yr]])</f>
        <v>FY18</v>
      </c>
      <c r="Z200" s="81">
        <v>500409</v>
      </c>
      <c r="AA200" s="80" t="s">
        <v>1124</v>
      </c>
      <c r="AB200" s="80" t="s">
        <v>1125</v>
      </c>
      <c r="AC200" s="108" t="s">
        <v>94</v>
      </c>
      <c r="AD200" s="80" t="s">
        <v>256</v>
      </c>
    </row>
    <row r="201" spans="1:30">
      <c r="A201" s="10" t="s">
        <v>703</v>
      </c>
      <c r="B201" s="78" t="s">
        <v>96</v>
      </c>
      <c r="C201" s="78">
        <f>C200+(BudgetsTable[[#This Row],[lead]]&lt;&gt;K200)</f>
        <v>22</v>
      </c>
      <c r="D201" s="78">
        <f>D200*(BudgetsTable[[#This Row],[lead]]=K200)+(BudgetsTable[[#This Row],[prop_id]]&lt;&gt;A200)</f>
        <v>1</v>
      </c>
      <c r="E201" s="79">
        <v>42926.695833333331</v>
      </c>
      <c r="F201" s="80" t="s">
        <v>248</v>
      </c>
      <c r="G201" s="80" t="s">
        <v>1124</v>
      </c>
      <c r="H201" s="80" t="s">
        <v>1125</v>
      </c>
      <c r="I201" s="78" t="s">
        <v>596</v>
      </c>
      <c r="J201" s="78" t="s">
        <v>13</v>
      </c>
      <c r="K201" s="80" t="s">
        <v>703</v>
      </c>
      <c r="L201" s="7" t="str">
        <f>IF(BudgetsTable[[#This Row],[pi_last_name]]=" ","",HYPERLINK("https://www.ejacket.nsf.gov/ej/showProposal.do?Continue=Y&amp;ID="&amp;BudgetsTable[[#This Row],[prop_id]],BudgetsTable[[#This Row],[prop_id]]))</f>
        <v/>
      </c>
      <c r="M201" s="15" t="str">
        <f>IF(BudgetsTable[[#This Row],[pi_last_name]]=" ","",HYPERLINK("https://www.ejacket.nsf.gov/ej/processReviewAnalysis.do?dispatch=add&amp;uniqId="&amp;BudgetsTable[[#This Row],[prop_id]]&amp;PO_id,"&gt;ra"))</f>
        <v/>
      </c>
      <c r="N201" s="80" t="s">
        <v>13</v>
      </c>
      <c r="O201" s="7" t="str">
        <f>IF(BudgetsTable[[#This Row],[pi_last_name]]=" ","",HYPERLINK("mailto:"&amp;BudgetsTable[[#This Row],[pi_email]]&amp;"&amp;subject=Your NSF Proposal:  "&amp;BudgetsTable[[#This Row],[prop_id]],BudgetsTable[[#This Row],[pi_email]]))</f>
        <v/>
      </c>
      <c r="P201" s="80" t="s">
        <v>13</v>
      </c>
      <c r="Q201" s="80">
        <v>1</v>
      </c>
      <c r="R201" s="80">
        <v>0</v>
      </c>
      <c r="S201" s="81">
        <v>0</v>
      </c>
      <c r="T201" s="81">
        <v>0</v>
      </c>
      <c r="U201" s="81">
        <v>0</v>
      </c>
      <c r="V201" s="82">
        <v>99228</v>
      </c>
      <c r="W201" s="80">
        <v>0</v>
      </c>
      <c r="X201" s="80">
        <v>1</v>
      </c>
      <c r="Y201" s="11" t="str">
        <f ca="1">IF(ISBLANK(BudgetsTable[[#This Row],[budg_seq_yr]]),"FY"&amp;fiscalyear,"FY"&amp;fiscalyear-1+BudgetsTable[[#This Row],[budg_seq_yr]])</f>
        <v>FY18</v>
      </c>
      <c r="Z201" s="81">
        <v>99228</v>
      </c>
      <c r="AA201" s="80" t="s">
        <v>1124</v>
      </c>
      <c r="AB201" s="80" t="s">
        <v>1125</v>
      </c>
      <c r="AC201" s="108" t="s">
        <v>94</v>
      </c>
      <c r="AD201" s="80" t="s">
        <v>256</v>
      </c>
    </row>
    <row r="202" spans="1:30">
      <c r="A202" s="10" t="s">
        <v>703</v>
      </c>
      <c r="B202" s="78" t="s">
        <v>96</v>
      </c>
      <c r="C202" s="78">
        <f>C201+(BudgetsTable[[#This Row],[lead]]&lt;&gt;K201)</f>
        <v>22</v>
      </c>
      <c r="D202" s="78">
        <f>D201*(BudgetsTable[[#This Row],[lead]]=K201)+(BudgetsTable[[#This Row],[prop_id]]&lt;&gt;A201)</f>
        <v>1</v>
      </c>
      <c r="E202" s="79">
        <v>42926.695833333331</v>
      </c>
      <c r="F202" s="80" t="s">
        <v>248</v>
      </c>
      <c r="G202" s="80" t="s">
        <v>1124</v>
      </c>
      <c r="H202" s="80" t="s">
        <v>1125</v>
      </c>
      <c r="I202" s="78" t="s">
        <v>596</v>
      </c>
      <c r="J202" s="78" t="s">
        <v>13</v>
      </c>
      <c r="K202" s="80" t="s">
        <v>703</v>
      </c>
      <c r="L202" s="7" t="str">
        <f>IF(BudgetsTable[[#This Row],[pi_last_name]]=" ","",HYPERLINK("https://www.ejacket.nsf.gov/ej/showProposal.do?Continue=Y&amp;ID="&amp;BudgetsTable[[#This Row],[prop_id]],BudgetsTable[[#This Row],[prop_id]]))</f>
        <v/>
      </c>
      <c r="M202" s="15" t="str">
        <f>IF(BudgetsTable[[#This Row],[pi_last_name]]=" ","",HYPERLINK("https://www.ejacket.nsf.gov/ej/processReviewAnalysis.do?dispatch=add&amp;uniqId="&amp;BudgetsTable[[#This Row],[prop_id]]&amp;PO_id,"&gt;ra"))</f>
        <v/>
      </c>
      <c r="N202" s="80" t="s">
        <v>13</v>
      </c>
      <c r="O202" s="7" t="str">
        <f>IF(BudgetsTable[[#This Row],[pi_last_name]]=" ","",HYPERLINK("mailto:"&amp;BudgetsTable[[#This Row],[pi_email]]&amp;"&amp;subject=Your NSF Proposal:  "&amp;BudgetsTable[[#This Row],[prop_id]],BudgetsTable[[#This Row],[pi_email]]))</f>
        <v/>
      </c>
      <c r="P202" s="80" t="s">
        <v>13</v>
      </c>
      <c r="Q202" s="80">
        <v>1</v>
      </c>
      <c r="R202" s="80">
        <v>0</v>
      </c>
      <c r="S202" s="81">
        <v>0</v>
      </c>
      <c r="T202" s="81">
        <v>0</v>
      </c>
      <c r="U202" s="81">
        <v>0</v>
      </c>
      <c r="V202" s="82">
        <v>100431</v>
      </c>
      <c r="W202" s="80">
        <v>0</v>
      </c>
      <c r="X202" s="80">
        <v>2</v>
      </c>
      <c r="Y202" s="11" t="str">
        <f ca="1">IF(ISBLANK(BudgetsTable[[#This Row],[budg_seq_yr]]),"FY"&amp;fiscalyear,"FY"&amp;fiscalyear-1+BudgetsTable[[#This Row],[budg_seq_yr]])</f>
        <v>FY19</v>
      </c>
      <c r="Z202" s="81">
        <v>100431</v>
      </c>
      <c r="AA202" s="80" t="s">
        <v>1124</v>
      </c>
      <c r="AB202" s="80" t="s">
        <v>1125</v>
      </c>
      <c r="AC202" s="108" t="s">
        <v>94</v>
      </c>
      <c r="AD202" s="80" t="s">
        <v>256</v>
      </c>
    </row>
    <row r="203" spans="1:30">
      <c r="A203" s="10" t="s">
        <v>703</v>
      </c>
      <c r="B203" s="78" t="s">
        <v>96</v>
      </c>
      <c r="C203" s="78">
        <f>C202+(BudgetsTable[[#This Row],[lead]]&lt;&gt;K202)</f>
        <v>22</v>
      </c>
      <c r="D203" s="78">
        <f>D202*(BudgetsTable[[#This Row],[lead]]=K202)+(BudgetsTable[[#This Row],[prop_id]]&lt;&gt;A202)</f>
        <v>1</v>
      </c>
      <c r="E203" s="79">
        <v>42926.695833333331</v>
      </c>
      <c r="F203" s="80" t="s">
        <v>248</v>
      </c>
      <c r="G203" s="80" t="s">
        <v>1124</v>
      </c>
      <c r="H203" s="80" t="s">
        <v>1125</v>
      </c>
      <c r="I203" s="78" t="s">
        <v>596</v>
      </c>
      <c r="J203" s="78" t="s">
        <v>13</v>
      </c>
      <c r="K203" s="80" t="s">
        <v>703</v>
      </c>
      <c r="L203" s="7" t="str">
        <f>IF(BudgetsTable[[#This Row],[pi_last_name]]=" ","",HYPERLINK("https://www.ejacket.nsf.gov/ej/showProposal.do?Continue=Y&amp;ID="&amp;BudgetsTable[[#This Row],[prop_id]],BudgetsTable[[#This Row],[prop_id]]))</f>
        <v/>
      </c>
      <c r="M203" s="15" t="str">
        <f>IF(BudgetsTable[[#This Row],[pi_last_name]]=" ","",HYPERLINK("https://www.ejacket.nsf.gov/ej/processReviewAnalysis.do?dispatch=add&amp;uniqId="&amp;BudgetsTable[[#This Row],[prop_id]]&amp;PO_id,"&gt;ra"))</f>
        <v/>
      </c>
      <c r="N203" s="80" t="s">
        <v>13</v>
      </c>
      <c r="O203" s="7" t="str">
        <f>IF(BudgetsTable[[#This Row],[pi_last_name]]=" ","",HYPERLINK("mailto:"&amp;BudgetsTable[[#This Row],[pi_email]]&amp;"&amp;subject=Your NSF Proposal:  "&amp;BudgetsTable[[#This Row],[prop_id]],BudgetsTable[[#This Row],[pi_email]]))</f>
        <v/>
      </c>
      <c r="P203" s="80" t="s">
        <v>13</v>
      </c>
      <c r="Q203" s="80">
        <v>1</v>
      </c>
      <c r="R203" s="80">
        <v>0</v>
      </c>
      <c r="S203" s="81">
        <v>0</v>
      </c>
      <c r="T203" s="81">
        <v>0</v>
      </c>
      <c r="U203" s="81">
        <v>0</v>
      </c>
      <c r="V203" s="82">
        <v>96730</v>
      </c>
      <c r="W203" s="80">
        <v>0</v>
      </c>
      <c r="X203" s="80">
        <v>3</v>
      </c>
      <c r="Y203" s="11" t="str">
        <f ca="1">IF(ISBLANK(BudgetsTable[[#This Row],[budg_seq_yr]]),"FY"&amp;fiscalyear,"FY"&amp;fiscalyear-1+BudgetsTable[[#This Row],[budg_seq_yr]])</f>
        <v>FY20</v>
      </c>
      <c r="Z203" s="81">
        <v>96730</v>
      </c>
      <c r="AA203" s="80" t="s">
        <v>1124</v>
      </c>
      <c r="AB203" s="80" t="s">
        <v>1125</v>
      </c>
      <c r="AC203" s="108" t="s">
        <v>94</v>
      </c>
      <c r="AD203" s="80" t="s">
        <v>256</v>
      </c>
    </row>
    <row r="204" spans="1:30">
      <c r="A204" s="10" t="s">
        <v>703</v>
      </c>
      <c r="B204" s="78" t="s">
        <v>96</v>
      </c>
      <c r="C204" s="78">
        <f>C203+(BudgetsTable[[#This Row],[lead]]&lt;&gt;K203)</f>
        <v>22</v>
      </c>
      <c r="D204" s="78">
        <f>D203*(BudgetsTable[[#This Row],[lead]]=K203)+(BudgetsTable[[#This Row],[prop_id]]&lt;&gt;A203)</f>
        <v>1</v>
      </c>
      <c r="E204" s="79">
        <v>42926.695833333331</v>
      </c>
      <c r="F204" s="80" t="s">
        <v>248</v>
      </c>
      <c r="G204" s="80" t="s">
        <v>1124</v>
      </c>
      <c r="H204" s="80" t="s">
        <v>1125</v>
      </c>
      <c r="I204" s="78" t="s">
        <v>596</v>
      </c>
      <c r="J204" s="78" t="s">
        <v>13</v>
      </c>
      <c r="K204" s="80" t="s">
        <v>703</v>
      </c>
      <c r="L204" s="7" t="str">
        <f>IF(BudgetsTable[[#This Row],[pi_last_name]]=" ","",HYPERLINK("https://www.ejacket.nsf.gov/ej/showProposal.do?Continue=Y&amp;ID="&amp;BudgetsTable[[#This Row],[prop_id]],BudgetsTable[[#This Row],[prop_id]]))</f>
        <v/>
      </c>
      <c r="M204" s="15" t="str">
        <f>IF(BudgetsTable[[#This Row],[pi_last_name]]=" ","",HYPERLINK("https://www.ejacket.nsf.gov/ej/processReviewAnalysis.do?dispatch=add&amp;uniqId="&amp;BudgetsTable[[#This Row],[prop_id]]&amp;PO_id,"&gt;ra"))</f>
        <v/>
      </c>
      <c r="N204" s="80" t="s">
        <v>13</v>
      </c>
      <c r="O204" s="7" t="str">
        <f>IF(BudgetsTable[[#This Row],[pi_last_name]]=" ","",HYPERLINK("mailto:"&amp;BudgetsTable[[#This Row],[pi_email]]&amp;"&amp;subject=Your NSF Proposal:  "&amp;BudgetsTable[[#This Row],[prop_id]],BudgetsTable[[#This Row],[pi_email]]))</f>
        <v/>
      </c>
      <c r="P204" s="80" t="s">
        <v>13</v>
      </c>
      <c r="Q204" s="80">
        <v>1</v>
      </c>
      <c r="R204" s="80">
        <v>0</v>
      </c>
      <c r="S204" s="81">
        <v>0</v>
      </c>
      <c r="T204" s="81">
        <v>0</v>
      </c>
      <c r="U204" s="81">
        <v>0</v>
      </c>
      <c r="V204" s="82">
        <v>100204</v>
      </c>
      <c r="W204" s="80">
        <v>0</v>
      </c>
      <c r="X204" s="80">
        <v>4</v>
      </c>
      <c r="Y204" s="11" t="str">
        <f ca="1">IF(ISBLANK(BudgetsTable[[#This Row],[budg_seq_yr]]),"FY"&amp;fiscalyear,"FY"&amp;fiscalyear-1+BudgetsTable[[#This Row],[budg_seq_yr]])</f>
        <v>FY21</v>
      </c>
      <c r="Z204" s="81">
        <v>100204</v>
      </c>
      <c r="AA204" s="80" t="s">
        <v>1124</v>
      </c>
      <c r="AB204" s="80" t="s">
        <v>1125</v>
      </c>
      <c r="AC204" s="108" t="s">
        <v>94</v>
      </c>
      <c r="AD204" s="80" t="s">
        <v>256</v>
      </c>
    </row>
    <row r="205" spans="1:30">
      <c r="A205" s="10" t="s">
        <v>703</v>
      </c>
      <c r="B205" s="78" t="s">
        <v>96</v>
      </c>
      <c r="C205" s="78">
        <f>C204+(BudgetsTable[[#This Row],[lead]]&lt;&gt;K204)</f>
        <v>22</v>
      </c>
      <c r="D205" s="78">
        <f>D204*(BudgetsTable[[#This Row],[lead]]=K204)+(BudgetsTable[[#This Row],[prop_id]]&lt;&gt;A204)</f>
        <v>1</v>
      </c>
      <c r="E205" s="79">
        <v>42926.695833333331</v>
      </c>
      <c r="F205" s="80" t="s">
        <v>248</v>
      </c>
      <c r="G205" s="80" t="s">
        <v>1124</v>
      </c>
      <c r="H205" s="80" t="s">
        <v>1125</v>
      </c>
      <c r="I205" s="78" t="s">
        <v>596</v>
      </c>
      <c r="J205" s="78" t="s">
        <v>13</v>
      </c>
      <c r="K205" s="80" t="s">
        <v>703</v>
      </c>
      <c r="L205" s="7" t="str">
        <f>IF(BudgetsTable[[#This Row],[pi_last_name]]=" ","",HYPERLINK("https://www.ejacket.nsf.gov/ej/showProposal.do?Continue=Y&amp;ID="&amp;BudgetsTable[[#This Row],[prop_id]],BudgetsTable[[#This Row],[prop_id]]))</f>
        <v/>
      </c>
      <c r="M205" s="15" t="str">
        <f>IF(BudgetsTable[[#This Row],[pi_last_name]]=" ","",HYPERLINK("https://www.ejacket.nsf.gov/ej/processReviewAnalysis.do?dispatch=add&amp;uniqId="&amp;BudgetsTable[[#This Row],[prop_id]]&amp;PO_id,"&gt;ra"))</f>
        <v/>
      </c>
      <c r="N205" s="80" t="s">
        <v>13</v>
      </c>
      <c r="O205" s="7" t="str">
        <f>IF(BudgetsTable[[#This Row],[pi_last_name]]=" ","",HYPERLINK("mailto:"&amp;BudgetsTable[[#This Row],[pi_email]]&amp;"&amp;subject=Your NSF Proposal:  "&amp;BudgetsTable[[#This Row],[prop_id]],BudgetsTable[[#This Row],[pi_email]]))</f>
        <v/>
      </c>
      <c r="P205" s="80" t="s">
        <v>13</v>
      </c>
      <c r="Q205" s="80">
        <v>1</v>
      </c>
      <c r="R205" s="80">
        <v>0</v>
      </c>
      <c r="S205" s="81">
        <v>0</v>
      </c>
      <c r="T205" s="81">
        <v>0</v>
      </c>
      <c r="U205" s="81">
        <v>0</v>
      </c>
      <c r="V205" s="82">
        <v>103816</v>
      </c>
      <c r="W205" s="80">
        <v>0</v>
      </c>
      <c r="X205" s="80">
        <v>5</v>
      </c>
      <c r="Y205" s="11" t="str">
        <f ca="1">IF(ISBLANK(BudgetsTable[[#This Row],[budg_seq_yr]]),"FY"&amp;fiscalyear,"FY"&amp;fiscalyear-1+BudgetsTable[[#This Row],[budg_seq_yr]])</f>
        <v>FY22</v>
      </c>
      <c r="Z205" s="81">
        <v>103816</v>
      </c>
      <c r="AA205" s="80" t="s">
        <v>1124</v>
      </c>
      <c r="AB205" s="80" t="s">
        <v>1125</v>
      </c>
      <c r="AC205" s="108" t="s">
        <v>94</v>
      </c>
      <c r="AD205" s="80" t="s">
        <v>256</v>
      </c>
    </row>
    <row r="206" spans="1:30">
      <c r="A206" s="10" t="s">
        <v>728</v>
      </c>
      <c r="B206" s="78" t="s">
        <v>96</v>
      </c>
      <c r="C206" s="78">
        <f>C205+(BudgetsTable[[#This Row],[lead]]&lt;&gt;K205)</f>
        <v>23</v>
      </c>
      <c r="D206" s="78">
        <f>D205*(BudgetsTable[[#This Row],[lead]]=K205)+(BudgetsTable[[#This Row],[prop_id]]&lt;&gt;A205)</f>
        <v>1</v>
      </c>
      <c r="E206" s="79">
        <v>42930.439583333333</v>
      </c>
      <c r="F206" s="80" t="s">
        <v>248</v>
      </c>
      <c r="G206" s="80" t="s">
        <v>1124</v>
      </c>
      <c r="H206" s="80" t="s">
        <v>1125</v>
      </c>
      <c r="I206" s="78" t="s">
        <v>596</v>
      </c>
      <c r="J206" s="78" t="s">
        <v>1278</v>
      </c>
      <c r="K206" s="80" t="s">
        <v>728</v>
      </c>
      <c r="L206" s="7" t="str">
        <f>IF(BudgetsTable[[#This Row],[pi_last_name]]=" ","",HYPERLINK("https://www.ejacket.nsf.gov/ej/showProposal.do?Continue=Y&amp;ID="&amp;BudgetsTable[[#This Row],[prop_id]],BudgetsTable[[#This Row],[prop_id]]))</f>
        <v>1749118</v>
      </c>
      <c r="M206" s="15" t="str">
        <f>IF(BudgetsTable[[#This Row],[pi_last_name]]=" ","",HYPERLINK("https://www.ejacket.nsf.gov/ej/processReviewAnalysis.do?dispatch=add&amp;uniqId="&amp;BudgetsTable[[#This Row],[prop_id]]&amp;PO_id,"&gt;ra"))</f>
        <v>&gt;ra</v>
      </c>
      <c r="N206" s="80" t="s">
        <v>729</v>
      </c>
      <c r="O206" s="7" t="str">
        <f>IF(BudgetsTable[[#This Row],[pi_last_name]]=" ","",HYPERLINK("mailto:"&amp;BudgetsTable[[#This Row],[pi_email]]&amp;"&amp;subject=Your NSF Proposal:  "&amp;BudgetsTable[[#This Row],[prop_id]],BudgetsTable[[#This Row],[pi_email]]))</f>
        <v>debasis.dawn@ndsu.edu</v>
      </c>
      <c r="P206" s="80" t="s">
        <v>1276</v>
      </c>
      <c r="Q206" s="80"/>
      <c r="R206" s="80"/>
      <c r="S206" s="81"/>
      <c r="T206" s="81"/>
      <c r="U206" s="81"/>
      <c r="V206" s="82"/>
      <c r="W206" s="80">
        <v>0</v>
      </c>
      <c r="X206" s="80"/>
      <c r="Y206" s="11" t="str">
        <f ca="1">IF(ISBLANK(BudgetsTable[[#This Row],[budg_seq_yr]]),"FY"&amp;fiscalyear,"FY"&amp;fiscalyear-1+BudgetsTable[[#This Row],[budg_seq_yr]])</f>
        <v>FY18</v>
      </c>
      <c r="Z206" s="81">
        <v>504542</v>
      </c>
      <c r="AA206" s="80" t="s">
        <v>1124</v>
      </c>
      <c r="AB206" s="80" t="s">
        <v>1125</v>
      </c>
      <c r="AC206" s="108" t="s">
        <v>94</v>
      </c>
      <c r="AD206" s="80" t="s">
        <v>1274</v>
      </c>
    </row>
    <row r="207" spans="1:30">
      <c r="A207" s="10" t="s">
        <v>728</v>
      </c>
      <c r="B207" s="78" t="s">
        <v>96</v>
      </c>
      <c r="C207" s="78">
        <f>C206+(BudgetsTable[[#This Row],[lead]]&lt;&gt;K206)</f>
        <v>23</v>
      </c>
      <c r="D207" s="78">
        <f>D206*(BudgetsTable[[#This Row],[lead]]=K206)+(BudgetsTable[[#This Row],[prop_id]]&lt;&gt;A206)</f>
        <v>1</v>
      </c>
      <c r="E207" s="79">
        <v>42930.439583333333</v>
      </c>
      <c r="F207" s="80" t="s">
        <v>248</v>
      </c>
      <c r="G207" s="80" t="s">
        <v>1124</v>
      </c>
      <c r="H207" s="80" t="s">
        <v>1125</v>
      </c>
      <c r="I207" s="78" t="s">
        <v>596</v>
      </c>
      <c r="J207" s="78" t="s">
        <v>13</v>
      </c>
      <c r="K207" s="80" t="s">
        <v>728</v>
      </c>
      <c r="L207" s="7" t="str">
        <f>IF(BudgetsTable[[#This Row],[pi_last_name]]=" ","",HYPERLINK("https://www.ejacket.nsf.gov/ej/showProposal.do?Continue=Y&amp;ID="&amp;BudgetsTable[[#This Row],[prop_id]],BudgetsTable[[#This Row],[prop_id]]))</f>
        <v/>
      </c>
      <c r="M207" s="15" t="str">
        <f>IF(BudgetsTable[[#This Row],[pi_last_name]]=" ","",HYPERLINK("https://www.ejacket.nsf.gov/ej/processReviewAnalysis.do?dispatch=add&amp;uniqId="&amp;BudgetsTable[[#This Row],[prop_id]]&amp;PO_id,"&gt;ra"))</f>
        <v/>
      </c>
      <c r="N207" s="80" t="s">
        <v>13</v>
      </c>
      <c r="O207" s="7" t="str">
        <f>IF(BudgetsTable[[#This Row],[pi_last_name]]=" ","",HYPERLINK("mailto:"&amp;BudgetsTable[[#This Row],[pi_email]]&amp;"&amp;subject=Your NSF Proposal:  "&amp;BudgetsTable[[#This Row],[prop_id]],BudgetsTable[[#This Row],[pi_email]]))</f>
        <v/>
      </c>
      <c r="P207" s="80" t="s">
        <v>13</v>
      </c>
      <c r="Q207" s="80">
        <v>1</v>
      </c>
      <c r="R207" s="80">
        <v>1</v>
      </c>
      <c r="S207" s="81">
        <v>0</v>
      </c>
      <c r="T207" s="81">
        <v>0</v>
      </c>
      <c r="U207" s="81">
        <v>0</v>
      </c>
      <c r="V207" s="82">
        <v>90683</v>
      </c>
      <c r="W207" s="80">
        <v>0</v>
      </c>
      <c r="X207" s="80">
        <v>1</v>
      </c>
      <c r="Y207" s="11" t="str">
        <f ca="1">IF(ISBLANK(BudgetsTable[[#This Row],[budg_seq_yr]]),"FY"&amp;fiscalyear,"FY"&amp;fiscalyear-1+BudgetsTable[[#This Row],[budg_seq_yr]])</f>
        <v>FY18</v>
      </c>
      <c r="Z207" s="81">
        <v>90683</v>
      </c>
      <c r="AA207" s="80" t="s">
        <v>1124</v>
      </c>
      <c r="AB207" s="80" t="s">
        <v>1125</v>
      </c>
      <c r="AC207" s="108" t="s">
        <v>94</v>
      </c>
      <c r="AD207" s="80" t="s">
        <v>1274</v>
      </c>
    </row>
    <row r="208" spans="1:30">
      <c r="A208" s="10" t="s">
        <v>728</v>
      </c>
      <c r="B208" s="78" t="s">
        <v>96</v>
      </c>
      <c r="C208" s="78">
        <f>C207+(BudgetsTable[[#This Row],[lead]]&lt;&gt;K207)</f>
        <v>23</v>
      </c>
      <c r="D208" s="78">
        <f>D207*(BudgetsTable[[#This Row],[lead]]=K207)+(BudgetsTable[[#This Row],[prop_id]]&lt;&gt;A207)</f>
        <v>1</v>
      </c>
      <c r="E208" s="79">
        <v>42930.439583333333</v>
      </c>
      <c r="F208" s="80" t="s">
        <v>248</v>
      </c>
      <c r="G208" s="80" t="s">
        <v>1124</v>
      </c>
      <c r="H208" s="80" t="s">
        <v>1125</v>
      </c>
      <c r="I208" s="78" t="s">
        <v>596</v>
      </c>
      <c r="J208" s="78" t="s">
        <v>13</v>
      </c>
      <c r="K208" s="80" t="s">
        <v>728</v>
      </c>
      <c r="L208" s="7" t="str">
        <f>IF(BudgetsTable[[#This Row],[pi_last_name]]=" ","",HYPERLINK("https://www.ejacket.nsf.gov/ej/showProposal.do?Continue=Y&amp;ID="&amp;BudgetsTable[[#This Row],[prop_id]],BudgetsTable[[#This Row],[prop_id]]))</f>
        <v/>
      </c>
      <c r="M208" s="15" t="str">
        <f>IF(BudgetsTable[[#This Row],[pi_last_name]]=" ","",HYPERLINK("https://www.ejacket.nsf.gov/ej/processReviewAnalysis.do?dispatch=add&amp;uniqId="&amp;BudgetsTable[[#This Row],[prop_id]]&amp;PO_id,"&gt;ra"))</f>
        <v/>
      </c>
      <c r="N208" s="80" t="s">
        <v>13</v>
      </c>
      <c r="O208" s="7" t="str">
        <f>IF(BudgetsTable[[#This Row],[pi_last_name]]=" ","",HYPERLINK("mailto:"&amp;BudgetsTable[[#This Row],[pi_email]]&amp;"&amp;subject=Your NSF Proposal:  "&amp;BudgetsTable[[#This Row],[prop_id]],BudgetsTable[[#This Row],[pi_email]]))</f>
        <v/>
      </c>
      <c r="P208" s="80" t="s">
        <v>13</v>
      </c>
      <c r="Q208" s="80">
        <v>1</v>
      </c>
      <c r="R208" s="80">
        <v>1</v>
      </c>
      <c r="S208" s="81">
        <v>0</v>
      </c>
      <c r="T208" s="81">
        <v>0</v>
      </c>
      <c r="U208" s="81">
        <v>2500</v>
      </c>
      <c r="V208" s="82">
        <v>94230</v>
      </c>
      <c r="W208" s="80">
        <v>0</v>
      </c>
      <c r="X208" s="80">
        <v>2</v>
      </c>
      <c r="Y208" s="11" t="str">
        <f ca="1">IF(ISBLANK(BudgetsTable[[#This Row],[budg_seq_yr]]),"FY"&amp;fiscalyear,"FY"&amp;fiscalyear-1+BudgetsTable[[#This Row],[budg_seq_yr]])</f>
        <v>FY19</v>
      </c>
      <c r="Z208" s="81">
        <v>94230</v>
      </c>
      <c r="AA208" s="80" t="s">
        <v>1124</v>
      </c>
      <c r="AB208" s="80" t="s">
        <v>1125</v>
      </c>
      <c r="AC208" s="108" t="s">
        <v>94</v>
      </c>
      <c r="AD208" s="80" t="s">
        <v>1274</v>
      </c>
    </row>
    <row r="209" spans="1:30">
      <c r="A209" s="10" t="s">
        <v>728</v>
      </c>
      <c r="B209" s="78" t="s">
        <v>96</v>
      </c>
      <c r="C209" s="78">
        <f>C208+(BudgetsTable[[#This Row],[lead]]&lt;&gt;K208)</f>
        <v>23</v>
      </c>
      <c r="D209" s="78">
        <f>D208*(BudgetsTable[[#This Row],[lead]]=K208)+(BudgetsTable[[#This Row],[prop_id]]&lt;&gt;A208)</f>
        <v>1</v>
      </c>
      <c r="E209" s="79">
        <v>42930.439583333333</v>
      </c>
      <c r="F209" s="80" t="s">
        <v>248</v>
      </c>
      <c r="G209" s="80" t="s">
        <v>1124</v>
      </c>
      <c r="H209" s="80" t="s">
        <v>1125</v>
      </c>
      <c r="I209" s="78" t="s">
        <v>596</v>
      </c>
      <c r="J209" s="78" t="s">
        <v>13</v>
      </c>
      <c r="K209" s="80" t="s">
        <v>728</v>
      </c>
      <c r="L209" s="7" t="str">
        <f>IF(BudgetsTable[[#This Row],[pi_last_name]]=" ","",HYPERLINK("https://www.ejacket.nsf.gov/ej/showProposal.do?Continue=Y&amp;ID="&amp;BudgetsTable[[#This Row],[prop_id]],BudgetsTable[[#This Row],[prop_id]]))</f>
        <v/>
      </c>
      <c r="M209" s="15" t="str">
        <f>IF(BudgetsTable[[#This Row],[pi_last_name]]=" ","",HYPERLINK("https://www.ejacket.nsf.gov/ej/processReviewAnalysis.do?dispatch=add&amp;uniqId="&amp;BudgetsTable[[#This Row],[prop_id]]&amp;PO_id,"&gt;ra"))</f>
        <v/>
      </c>
      <c r="N209" s="80" t="s">
        <v>13</v>
      </c>
      <c r="O209" s="7" t="str">
        <f>IF(BudgetsTable[[#This Row],[pi_last_name]]=" ","",HYPERLINK("mailto:"&amp;BudgetsTable[[#This Row],[pi_email]]&amp;"&amp;subject=Your NSF Proposal:  "&amp;BudgetsTable[[#This Row],[prop_id]],BudgetsTable[[#This Row],[pi_email]]))</f>
        <v/>
      </c>
      <c r="P209" s="80" t="s">
        <v>13</v>
      </c>
      <c r="Q209" s="80">
        <v>1</v>
      </c>
      <c r="R209" s="80">
        <v>1</v>
      </c>
      <c r="S209" s="81">
        <v>0</v>
      </c>
      <c r="T209" s="81">
        <v>0</v>
      </c>
      <c r="U209" s="81">
        <v>2500</v>
      </c>
      <c r="V209" s="82">
        <v>94817</v>
      </c>
      <c r="W209" s="80">
        <v>0</v>
      </c>
      <c r="X209" s="80">
        <v>3</v>
      </c>
      <c r="Y209" s="11" t="str">
        <f ca="1">IF(ISBLANK(BudgetsTable[[#This Row],[budg_seq_yr]]),"FY"&amp;fiscalyear,"FY"&amp;fiscalyear-1+BudgetsTable[[#This Row],[budg_seq_yr]])</f>
        <v>FY20</v>
      </c>
      <c r="Z209" s="81">
        <v>94817</v>
      </c>
      <c r="AA209" s="80" t="s">
        <v>1124</v>
      </c>
      <c r="AB209" s="80" t="s">
        <v>1125</v>
      </c>
      <c r="AC209" s="108" t="s">
        <v>94</v>
      </c>
      <c r="AD209" s="80" t="s">
        <v>1274</v>
      </c>
    </row>
    <row r="210" spans="1:30">
      <c r="A210" s="10" t="s">
        <v>728</v>
      </c>
      <c r="B210" s="78" t="s">
        <v>96</v>
      </c>
      <c r="C210" s="78">
        <f>C209+(BudgetsTable[[#This Row],[lead]]&lt;&gt;K209)</f>
        <v>23</v>
      </c>
      <c r="D210" s="78">
        <f>D209*(BudgetsTable[[#This Row],[lead]]=K209)+(BudgetsTable[[#This Row],[prop_id]]&lt;&gt;A209)</f>
        <v>1</v>
      </c>
      <c r="E210" s="79">
        <v>42930.439583333333</v>
      </c>
      <c r="F210" s="80" t="s">
        <v>248</v>
      </c>
      <c r="G210" s="80" t="s">
        <v>1124</v>
      </c>
      <c r="H210" s="80" t="s">
        <v>1125</v>
      </c>
      <c r="I210" s="78" t="s">
        <v>596</v>
      </c>
      <c r="J210" s="78" t="s">
        <v>13</v>
      </c>
      <c r="K210" s="80" t="s">
        <v>728</v>
      </c>
      <c r="L210" s="7" t="str">
        <f>IF(BudgetsTable[[#This Row],[pi_last_name]]=" ","",HYPERLINK("https://www.ejacket.nsf.gov/ej/showProposal.do?Continue=Y&amp;ID="&amp;BudgetsTable[[#This Row],[prop_id]],BudgetsTable[[#This Row],[prop_id]]))</f>
        <v/>
      </c>
      <c r="M210" s="15" t="str">
        <f>IF(BudgetsTable[[#This Row],[pi_last_name]]=" ","",HYPERLINK("https://www.ejacket.nsf.gov/ej/processReviewAnalysis.do?dispatch=add&amp;uniqId="&amp;BudgetsTable[[#This Row],[prop_id]]&amp;PO_id,"&gt;ra"))</f>
        <v/>
      </c>
      <c r="N210" s="80" t="s">
        <v>13</v>
      </c>
      <c r="O210" s="7" t="str">
        <f>IF(BudgetsTable[[#This Row],[pi_last_name]]=" ","",HYPERLINK("mailto:"&amp;BudgetsTable[[#This Row],[pi_email]]&amp;"&amp;subject=Your NSF Proposal:  "&amp;BudgetsTable[[#This Row],[prop_id]],BudgetsTable[[#This Row],[pi_email]]))</f>
        <v/>
      </c>
      <c r="P210" s="80" t="s">
        <v>13</v>
      </c>
      <c r="Q210" s="80">
        <v>1</v>
      </c>
      <c r="R210" s="80">
        <v>1</v>
      </c>
      <c r="S210" s="81">
        <v>0</v>
      </c>
      <c r="T210" s="81">
        <v>0</v>
      </c>
      <c r="U210" s="81">
        <v>2500</v>
      </c>
      <c r="V210" s="82">
        <v>112095</v>
      </c>
      <c r="W210" s="80">
        <v>0</v>
      </c>
      <c r="X210" s="80">
        <v>4</v>
      </c>
      <c r="Y210" s="11" t="str">
        <f ca="1">IF(ISBLANK(BudgetsTable[[#This Row],[budg_seq_yr]]),"FY"&amp;fiscalyear,"FY"&amp;fiscalyear-1+BudgetsTable[[#This Row],[budg_seq_yr]])</f>
        <v>FY21</v>
      </c>
      <c r="Z210" s="81">
        <v>112095</v>
      </c>
      <c r="AA210" s="80" t="s">
        <v>1124</v>
      </c>
      <c r="AB210" s="80" t="s">
        <v>1125</v>
      </c>
      <c r="AC210" s="108" t="s">
        <v>94</v>
      </c>
      <c r="AD210" s="80" t="s">
        <v>1274</v>
      </c>
    </row>
    <row r="211" spans="1:30">
      <c r="A211" s="10" t="s">
        <v>728</v>
      </c>
      <c r="B211" s="78" t="s">
        <v>96</v>
      </c>
      <c r="C211" s="78">
        <f>C210+(BudgetsTable[[#This Row],[lead]]&lt;&gt;K210)</f>
        <v>23</v>
      </c>
      <c r="D211" s="78">
        <f>D210*(BudgetsTable[[#This Row],[lead]]=K210)+(BudgetsTable[[#This Row],[prop_id]]&lt;&gt;A210)</f>
        <v>1</v>
      </c>
      <c r="E211" s="79">
        <v>42930.439583333333</v>
      </c>
      <c r="F211" s="80" t="s">
        <v>248</v>
      </c>
      <c r="G211" s="80" t="s">
        <v>1124</v>
      </c>
      <c r="H211" s="80" t="s">
        <v>1125</v>
      </c>
      <c r="I211" s="78" t="s">
        <v>596</v>
      </c>
      <c r="J211" s="78" t="s">
        <v>13</v>
      </c>
      <c r="K211" s="80" t="s">
        <v>728</v>
      </c>
      <c r="L211" s="7" t="str">
        <f>IF(BudgetsTable[[#This Row],[pi_last_name]]=" ","",HYPERLINK("https://www.ejacket.nsf.gov/ej/showProposal.do?Continue=Y&amp;ID="&amp;BudgetsTable[[#This Row],[prop_id]],BudgetsTable[[#This Row],[prop_id]]))</f>
        <v/>
      </c>
      <c r="M211" s="15" t="str">
        <f>IF(BudgetsTable[[#This Row],[pi_last_name]]=" ","",HYPERLINK("https://www.ejacket.nsf.gov/ej/processReviewAnalysis.do?dispatch=add&amp;uniqId="&amp;BudgetsTable[[#This Row],[prop_id]]&amp;PO_id,"&gt;ra"))</f>
        <v/>
      </c>
      <c r="N211" s="80" t="s">
        <v>13</v>
      </c>
      <c r="O211" s="7" t="str">
        <f>IF(BudgetsTable[[#This Row],[pi_last_name]]=" ","",HYPERLINK("mailto:"&amp;BudgetsTable[[#This Row],[pi_email]]&amp;"&amp;subject=Your NSF Proposal:  "&amp;BudgetsTable[[#This Row],[prop_id]],BudgetsTable[[#This Row],[pi_email]]))</f>
        <v/>
      </c>
      <c r="P211" s="80" t="s">
        <v>13</v>
      </c>
      <c r="Q211" s="80">
        <v>1</v>
      </c>
      <c r="R211" s="80">
        <v>1</v>
      </c>
      <c r="S211" s="81">
        <v>0</v>
      </c>
      <c r="T211" s="81">
        <v>0</v>
      </c>
      <c r="U211" s="81">
        <v>2500</v>
      </c>
      <c r="V211" s="82">
        <v>112717</v>
      </c>
      <c r="W211" s="80">
        <v>0</v>
      </c>
      <c r="X211" s="80">
        <v>5</v>
      </c>
      <c r="Y211" s="11" t="str">
        <f ca="1">IF(ISBLANK(BudgetsTable[[#This Row],[budg_seq_yr]]),"FY"&amp;fiscalyear,"FY"&amp;fiscalyear-1+BudgetsTable[[#This Row],[budg_seq_yr]])</f>
        <v>FY22</v>
      </c>
      <c r="Z211" s="81">
        <v>112717</v>
      </c>
      <c r="AA211" s="80" t="s">
        <v>1124</v>
      </c>
      <c r="AB211" s="80" t="s">
        <v>1125</v>
      </c>
      <c r="AC211" s="108" t="s">
        <v>94</v>
      </c>
      <c r="AD211" s="80" t="s">
        <v>1274</v>
      </c>
    </row>
    <row r="212" spans="1:30">
      <c r="A212" s="10" t="s">
        <v>741</v>
      </c>
      <c r="B212" s="78" t="s">
        <v>96</v>
      </c>
      <c r="C212" s="78">
        <f>C211+(BudgetsTable[[#This Row],[lead]]&lt;&gt;K211)</f>
        <v>24</v>
      </c>
      <c r="D212" s="78">
        <f>D211*(BudgetsTable[[#This Row],[lead]]=K211)+(BudgetsTable[[#This Row],[prop_id]]&lt;&gt;A211)</f>
        <v>1</v>
      </c>
      <c r="E212" s="79">
        <v>42935.324999999997</v>
      </c>
      <c r="F212" s="80" t="s">
        <v>248</v>
      </c>
      <c r="G212" s="80" t="s">
        <v>1124</v>
      </c>
      <c r="H212" s="80" t="s">
        <v>1125</v>
      </c>
      <c r="I212" s="78" t="s">
        <v>596</v>
      </c>
      <c r="J212" s="78" t="s">
        <v>1282</v>
      </c>
      <c r="K212" s="80" t="s">
        <v>741</v>
      </c>
      <c r="L212" s="7" t="str">
        <f>IF(BudgetsTable[[#This Row],[pi_last_name]]=" ","",HYPERLINK("https://www.ejacket.nsf.gov/ej/showProposal.do?Continue=Y&amp;ID="&amp;BudgetsTable[[#This Row],[prop_id]],BudgetsTable[[#This Row],[prop_id]]))</f>
        <v>1750102</v>
      </c>
      <c r="M212" s="15" t="str">
        <f>IF(BudgetsTable[[#This Row],[pi_last_name]]=" ","",HYPERLINK("https://www.ejacket.nsf.gov/ej/processReviewAnalysis.do?dispatch=add&amp;uniqId="&amp;BudgetsTable[[#This Row],[prop_id]]&amp;PO_id,"&gt;ra"))</f>
        <v>&gt;ra</v>
      </c>
      <c r="N212" s="80" t="s">
        <v>742</v>
      </c>
      <c r="O212" s="7" t="str">
        <f>IF(BudgetsTable[[#This Row],[pi_last_name]]=" ","",HYPERLINK("mailto:"&amp;BudgetsTable[[#This Row],[pi_email]]&amp;"&amp;subject=Your NSF Proposal:  "&amp;BudgetsTable[[#This Row],[prop_id]],BudgetsTable[[#This Row],[pi_email]]))</f>
        <v>vfrias@umd.edu</v>
      </c>
      <c r="P212" s="80" t="s">
        <v>475</v>
      </c>
      <c r="Q212" s="80"/>
      <c r="R212" s="80"/>
      <c r="S212" s="81"/>
      <c r="T212" s="81"/>
      <c r="U212" s="81"/>
      <c r="V212" s="82"/>
      <c r="W212" s="80">
        <v>0</v>
      </c>
      <c r="X212" s="80"/>
      <c r="Y212" s="11" t="str">
        <f ca="1">IF(ISBLANK(BudgetsTable[[#This Row],[budg_seq_yr]]),"FY"&amp;fiscalyear,"FY"&amp;fiscalyear-1+BudgetsTable[[#This Row],[budg_seq_yr]])</f>
        <v>FY18</v>
      </c>
      <c r="Z212" s="81">
        <v>634696</v>
      </c>
      <c r="AA212" s="80" t="s">
        <v>1124</v>
      </c>
      <c r="AB212" s="80" t="s">
        <v>1125</v>
      </c>
      <c r="AC212" s="108" t="s">
        <v>94</v>
      </c>
      <c r="AD212" s="80" t="s">
        <v>256</v>
      </c>
    </row>
    <row r="213" spans="1:30">
      <c r="A213" s="10" t="s">
        <v>741</v>
      </c>
      <c r="B213" s="78" t="s">
        <v>96</v>
      </c>
      <c r="C213" s="78">
        <f>C212+(BudgetsTable[[#This Row],[lead]]&lt;&gt;K212)</f>
        <v>24</v>
      </c>
      <c r="D213" s="78">
        <f>D212*(BudgetsTable[[#This Row],[lead]]=K212)+(BudgetsTable[[#This Row],[prop_id]]&lt;&gt;A212)</f>
        <v>1</v>
      </c>
      <c r="E213" s="79">
        <v>42935.324999999997</v>
      </c>
      <c r="F213" s="80" t="s">
        <v>248</v>
      </c>
      <c r="G213" s="80" t="s">
        <v>1124</v>
      </c>
      <c r="H213" s="80" t="s">
        <v>1125</v>
      </c>
      <c r="I213" s="78" t="s">
        <v>596</v>
      </c>
      <c r="J213" s="78" t="s">
        <v>13</v>
      </c>
      <c r="K213" s="80" t="s">
        <v>741</v>
      </c>
      <c r="L213" s="7" t="str">
        <f>IF(BudgetsTable[[#This Row],[pi_last_name]]=" ","",HYPERLINK("https://www.ejacket.nsf.gov/ej/showProposal.do?Continue=Y&amp;ID="&amp;BudgetsTable[[#This Row],[prop_id]],BudgetsTable[[#This Row],[prop_id]]))</f>
        <v/>
      </c>
      <c r="M213" s="15" t="str">
        <f>IF(BudgetsTable[[#This Row],[pi_last_name]]=" ","",HYPERLINK("https://www.ejacket.nsf.gov/ej/processReviewAnalysis.do?dispatch=add&amp;uniqId="&amp;BudgetsTable[[#This Row],[prop_id]]&amp;PO_id,"&gt;ra"))</f>
        <v/>
      </c>
      <c r="N213" s="80" t="s">
        <v>13</v>
      </c>
      <c r="O213" s="7" t="str">
        <f>IF(BudgetsTable[[#This Row],[pi_last_name]]=" ","",HYPERLINK("mailto:"&amp;BudgetsTable[[#This Row],[pi_email]]&amp;"&amp;subject=Your NSF Proposal:  "&amp;BudgetsTable[[#This Row],[prop_id]],BudgetsTable[[#This Row],[pi_email]]))</f>
        <v/>
      </c>
      <c r="P213" s="80" t="s">
        <v>13</v>
      </c>
      <c r="Q213" s="80">
        <v>1</v>
      </c>
      <c r="R213" s="80">
        <v>1</v>
      </c>
      <c r="S213" s="81">
        <v>0</v>
      </c>
      <c r="T213" s="81">
        <v>5000</v>
      </c>
      <c r="U213" s="81">
        <v>0</v>
      </c>
      <c r="V213" s="82">
        <v>130353</v>
      </c>
      <c r="W213" s="80">
        <v>0</v>
      </c>
      <c r="X213" s="80">
        <v>1</v>
      </c>
      <c r="Y213" s="11" t="str">
        <f ca="1">IF(ISBLANK(BudgetsTable[[#This Row],[budg_seq_yr]]),"FY"&amp;fiscalyear,"FY"&amp;fiscalyear-1+BudgetsTable[[#This Row],[budg_seq_yr]])</f>
        <v>FY18</v>
      </c>
      <c r="Z213" s="81">
        <v>130353</v>
      </c>
      <c r="AA213" s="80" t="s">
        <v>1124</v>
      </c>
      <c r="AB213" s="80" t="s">
        <v>1125</v>
      </c>
      <c r="AC213" s="108" t="s">
        <v>94</v>
      </c>
      <c r="AD213" s="80" t="s">
        <v>256</v>
      </c>
    </row>
    <row r="214" spans="1:30">
      <c r="A214" s="10" t="s">
        <v>741</v>
      </c>
      <c r="B214" s="78" t="s">
        <v>96</v>
      </c>
      <c r="C214" s="78">
        <f>C213+(BudgetsTable[[#This Row],[lead]]&lt;&gt;K213)</f>
        <v>24</v>
      </c>
      <c r="D214" s="78">
        <f>D213*(BudgetsTable[[#This Row],[lead]]=K213)+(BudgetsTable[[#This Row],[prop_id]]&lt;&gt;A213)</f>
        <v>1</v>
      </c>
      <c r="E214" s="79">
        <v>42935.324999999997</v>
      </c>
      <c r="F214" s="80" t="s">
        <v>248</v>
      </c>
      <c r="G214" s="80" t="s">
        <v>1124</v>
      </c>
      <c r="H214" s="80" t="s">
        <v>1125</v>
      </c>
      <c r="I214" s="78" t="s">
        <v>596</v>
      </c>
      <c r="J214" s="78" t="s">
        <v>13</v>
      </c>
      <c r="K214" s="80" t="s">
        <v>741</v>
      </c>
      <c r="L214" s="7" t="str">
        <f>IF(BudgetsTable[[#This Row],[pi_last_name]]=" ","",HYPERLINK("https://www.ejacket.nsf.gov/ej/showProposal.do?Continue=Y&amp;ID="&amp;BudgetsTable[[#This Row],[prop_id]],BudgetsTable[[#This Row],[prop_id]]))</f>
        <v/>
      </c>
      <c r="M214" s="15" t="str">
        <f>IF(BudgetsTable[[#This Row],[pi_last_name]]=" ","",HYPERLINK("https://www.ejacket.nsf.gov/ej/processReviewAnalysis.do?dispatch=add&amp;uniqId="&amp;BudgetsTable[[#This Row],[prop_id]]&amp;PO_id,"&gt;ra"))</f>
        <v/>
      </c>
      <c r="N214" s="80" t="s">
        <v>13</v>
      </c>
      <c r="O214" s="7" t="str">
        <f>IF(BudgetsTable[[#This Row],[pi_last_name]]=" ","",HYPERLINK("mailto:"&amp;BudgetsTable[[#This Row],[pi_email]]&amp;"&amp;subject=Your NSF Proposal:  "&amp;BudgetsTable[[#This Row],[prop_id]],BudgetsTable[[#This Row],[pi_email]]))</f>
        <v/>
      </c>
      <c r="P214" s="80" t="s">
        <v>13</v>
      </c>
      <c r="Q214" s="80">
        <v>1</v>
      </c>
      <c r="R214" s="80">
        <v>1</v>
      </c>
      <c r="S214" s="81">
        <v>0</v>
      </c>
      <c r="T214" s="81">
        <v>5000</v>
      </c>
      <c r="U214" s="81">
        <v>500</v>
      </c>
      <c r="V214" s="82">
        <v>121036</v>
      </c>
      <c r="W214" s="80">
        <v>0</v>
      </c>
      <c r="X214" s="80">
        <v>2</v>
      </c>
      <c r="Y214" s="11" t="str">
        <f ca="1">IF(ISBLANK(BudgetsTable[[#This Row],[budg_seq_yr]]),"FY"&amp;fiscalyear,"FY"&amp;fiscalyear-1+BudgetsTable[[#This Row],[budg_seq_yr]])</f>
        <v>FY19</v>
      </c>
      <c r="Z214" s="81">
        <v>121036</v>
      </c>
      <c r="AA214" s="80" t="s">
        <v>1124</v>
      </c>
      <c r="AB214" s="80" t="s">
        <v>1125</v>
      </c>
      <c r="AC214" s="108" t="s">
        <v>94</v>
      </c>
      <c r="AD214" s="80" t="s">
        <v>256</v>
      </c>
    </row>
    <row r="215" spans="1:30">
      <c r="A215" s="10" t="s">
        <v>741</v>
      </c>
      <c r="B215" s="78" t="s">
        <v>96</v>
      </c>
      <c r="C215" s="78">
        <f>C214+(BudgetsTable[[#This Row],[lead]]&lt;&gt;K214)</f>
        <v>24</v>
      </c>
      <c r="D215" s="78">
        <f>D214*(BudgetsTable[[#This Row],[lead]]=K214)+(BudgetsTable[[#This Row],[prop_id]]&lt;&gt;A214)</f>
        <v>1</v>
      </c>
      <c r="E215" s="79">
        <v>42935.324999999997</v>
      </c>
      <c r="F215" s="80" t="s">
        <v>248</v>
      </c>
      <c r="G215" s="80" t="s">
        <v>1124</v>
      </c>
      <c r="H215" s="80" t="s">
        <v>1125</v>
      </c>
      <c r="I215" s="78" t="s">
        <v>596</v>
      </c>
      <c r="J215" s="78" t="s">
        <v>13</v>
      </c>
      <c r="K215" s="80" t="s">
        <v>741</v>
      </c>
      <c r="L215" s="7" t="str">
        <f>IF(BudgetsTable[[#This Row],[pi_last_name]]=" ","",HYPERLINK("https://www.ejacket.nsf.gov/ej/showProposal.do?Continue=Y&amp;ID="&amp;BudgetsTable[[#This Row],[prop_id]],BudgetsTable[[#This Row],[prop_id]]))</f>
        <v/>
      </c>
      <c r="M215" s="15" t="str">
        <f>IF(BudgetsTable[[#This Row],[pi_last_name]]=" ","",HYPERLINK("https://www.ejacket.nsf.gov/ej/processReviewAnalysis.do?dispatch=add&amp;uniqId="&amp;BudgetsTable[[#This Row],[prop_id]]&amp;PO_id,"&gt;ra"))</f>
        <v/>
      </c>
      <c r="N215" s="80" t="s">
        <v>13</v>
      </c>
      <c r="O215" s="7" t="str">
        <f>IF(BudgetsTable[[#This Row],[pi_last_name]]=" ","",HYPERLINK("mailto:"&amp;BudgetsTable[[#This Row],[pi_email]]&amp;"&amp;subject=Your NSF Proposal:  "&amp;BudgetsTable[[#This Row],[prop_id]],BudgetsTable[[#This Row],[pi_email]]))</f>
        <v/>
      </c>
      <c r="P215" s="80" t="s">
        <v>13</v>
      </c>
      <c r="Q215" s="80">
        <v>1</v>
      </c>
      <c r="R215" s="80">
        <v>1</v>
      </c>
      <c r="S215" s="81">
        <v>0</v>
      </c>
      <c r="T215" s="81">
        <v>5000</v>
      </c>
      <c r="U215" s="81">
        <v>0</v>
      </c>
      <c r="V215" s="82">
        <v>123327</v>
      </c>
      <c r="W215" s="80">
        <v>0</v>
      </c>
      <c r="X215" s="80">
        <v>3</v>
      </c>
      <c r="Y215" s="11" t="str">
        <f ca="1">IF(ISBLANK(BudgetsTable[[#This Row],[budg_seq_yr]]),"FY"&amp;fiscalyear,"FY"&amp;fiscalyear-1+BudgetsTable[[#This Row],[budg_seq_yr]])</f>
        <v>FY20</v>
      </c>
      <c r="Z215" s="81">
        <v>123327</v>
      </c>
      <c r="AA215" s="80" t="s">
        <v>1124</v>
      </c>
      <c r="AB215" s="80" t="s">
        <v>1125</v>
      </c>
      <c r="AC215" s="108" t="s">
        <v>94</v>
      </c>
      <c r="AD215" s="80" t="s">
        <v>256</v>
      </c>
    </row>
    <row r="216" spans="1:30">
      <c r="A216" s="10" t="s">
        <v>741</v>
      </c>
      <c r="B216" s="78" t="s">
        <v>96</v>
      </c>
      <c r="C216" s="78">
        <f>C215+(BudgetsTable[[#This Row],[lead]]&lt;&gt;K215)</f>
        <v>24</v>
      </c>
      <c r="D216" s="78">
        <f>D215*(BudgetsTable[[#This Row],[lead]]=K215)+(BudgetsTable[[#This Row],[prop_id]]&lt;&gt;A215)</f>
        <v>1</v>
      </c>
      <c r="E216" s="79">
        <v>42935.324999999997</v>
      </c>
      <c r="F216" s="80" t="s">
        <v>248</v>
      </c>
      <c r="G216" s="80" t="s">
        <v>1124</v>
      </c>
      <c r="H216" s="80" t="s">
        <v>1125</v>
      </c>
      <c r="I216" s="78" t="s">
        <v>596</v>
      </c>
      <c r="J216" s="78" t="s">
        <v>13</v>
      </c>
      <c r="K216" s="80" t="s">
        <v>741</v>
      </c>
      <c r="L216" s="7" t="str">
        <f>IF(BudgetsTable[[#This Row],[pi_last_name]]=" ","",HYPERLINK("https://www.ejacket.nsf.gov/ej/showProposal.do?Continue=Y&amp;ID="&amp;BudgetsTable[[#This Row],[prop_id]],BudgetsTable[[#This Row],[prop_id]]))</f>
        <v/>
      </c>
      <c r="M216" s="15" t="str">
        <f>IF(BudgetsTable[[#This Row],[pi_last_name]]=" ","",HYPERLINK("https://www.ejacket.nsf.gov/ej/processReviewAnalysis.do?dispatch=add&amp;uniqId="&amp;BudgetsTable[[#This Row],[prop_id]]&amp;PO_id,"&gt;ra"))</f>
        <v/>
      </c>
      <c r="N216" s="80" t="s">
        <v>13</v>
      </c>
      <c r="O216" s="7" t="str">
        <f>IF(BudgetsTable[[#This Row],[pi_last_name]]=" ","",HYPERLINK("mailto:"&amp;BudgetsTable[[#This Row],[pi_email]]&amp;"&amp;subject=Your NSF Proposal:  "&amp;BudgetsTable[[#This Row],[prop_id]],BudgetsTable[[#This Row],[pi_email]]))</f>
        <v/>
      </c>
      <c r="P216" s="80" t="s">
        <v>13</v>
      </c>
      <c r="Q216" s="80">
        <v>1</v>
      </c>
      <c r="R216" s="80">
        <v>1</v>
      </c>
      <c r="S216" s="81">
        <v>0</v>
      </c>
      <c r="T216" s="81">
        <v>5000</v>
      </c>
      <c r="U216" s="81">
        <v>500</v>
      </c>
      <c r="V216" s="82">
        <v>130271</v>
      </c>
      <c r="W216" s="80">
        <v>0</v>
      </c>
      <c r="X216" s="80">
        <v>4</v>
      </c>
      <c r="Y216" s="11" t="str">
        <f ca="1">IF(ISBLANK(BudgetsTable[[#This Row],[budg_seq_yr]]),"FY"&amp;fiscalyear,"FY"&amp;fiscalyear-1+BudgetsTable[[#This Row],[budg_seq_yr]])</f>
        <v>FY21</v>
      </c>
      <c r="Z216" s="81">
        <v>130271</v>
      </c>
      <c r="AA216" s="80" t="s">
        <v>1124</v>
      </c>
      <c r="AB216" s="80" t="s">
        <v>1125</v>
      </c>
      <c r="AC216" s="108" t="s">
        <v>94</v>
      </c>
      <c r="AD216" s="80" t="s">
        <v>256</v>
      </c>
    </row>
    <row r="217" spans="1:30">
      <c r="A217" s="10" t="s">
        <v>741</v>
      </c>
      <c r="B217" s="78" t="s">
        <v>96</v>
      </c>
      <c r="C217" s="78">
        <f>C216+(BudgetsTable[[#This Row],[lead]]&lt;&gt;K216)</f>
        <v>24</v>
      </c>
      <c r="D217" s="78">
        <f>D216*(BudgetsTable[[#This Row],[lead]]=K216)+(BudgetsTable[[#This Row],[prop_id]]&lt;&gt;A216)</f>
        <v>1</v>
      </c>
      <c r="E217" s="79">
        <v>42935.324999999997</v>
      </c>
      <c r="F217" s="80" t="s">
        <v>248</v>
      </c>
      <c r="G217" s="80" t="s">
        <v>1124</v>
      </c>
      <c r="H217" s="80" t="s">
        <v>1125</v>
      </c>
      <c r="I217" s="78" t="s">
        <v>596</v>
      </c>
      <c r="J217" s="78" t="s">
        <v>13</v>
      </c>
      <c r="K217" s="80" t="s">
        <v>741</v>
      </c>
      <c r="L217" s="7" t="str">
        <f>IF(BudgetsTable[[#This Row],[pi_last_name]]=" ","",HYPERLINK("https://www.ejacket.nsf.gov/ej/showProposal.do?Continue=Y&amp;ID="&amp;BudgetsTable[[#This Row],[prop_id]],BudgetsTable[[#This Row],[prop_id]]))</f>
        <v/>
      </c>
      <c r="M217" s="15" t="str">
        <f>IF(BudgetsTable[[#This Row],[pi_last_name]]=" ","",HYPERLINK("https://www.ejacket.nsf.gov/ej/processReviewAnalysis.do?dispatch=add&amp;uniqId="&amp;BudgetsTable[[#This Row],[prop_id]]&amp;PO_id,"&gt;ra"))</f>
        <v/>
      </c>
      <c r="N217" s="80" t="s">
        <v>13</v>
      </c>
      <c r="O217" s="7" t="str">
        <f>IF(BudgetsTable[[#This Row],[pi_last_name]]=" ","",HYPERLINK("mailto:"&amp;BudgetsTable[[#This Row],[pi_email]]&amp;"&amp;subject=Your NSF Proposal:  "&amp;BudgetsTable[[#This Row],[prop_id]],BudgetsTable[[#This Row],[pi_email]]))</f>
        <v/>
      </c>
      <c r="P217" s="80" t="s">
        <v>13</v>
      </c>
      <c r="Q217" s="80">
        <v>1</v>
      </c>
      <c r="R217" s="80">
        <v>1</v>
      </c>
      <c r="S217" s="81">
        <v>0</v>
      </c>
      <c r="T217" s="81">
        <v>5000</v>
      </c>
      <c r="U217" s="81">
        <v>0</v>
      </c>
      <c r="V217" s="82">
        <v>129709</v>
      </c>
      <c r="W217" s="80">
        <v>0</v>
      </c>
      <c r="X217" s="80">
        <v>5</v>
      </c>
      <c r="Y217" s="11" t="str">
        <f ca="1">IF(ISBLANK(BudgetsTable[[#This Row],[budg_seq_yr]]),"FY"&amp;fiscalyear,"FY"&amp;fiscalyear-1+BudgetsTable[[#This Row],[budg_seq_yr]])</f>
        <v>FY22</v>
      </c>
      <c r="Z217" s="81">
        <v>129709</v>
      </c>
      <c r="AA217" s="80" t="s">
        <v>1124</v>
      </c>
      <c r="AB217" s="80" t="s">
        <v>1125</v>
      </c>
      <c r="AC217" s="108" t="s">
        <v>94</v>
      </c>
      <c r="AD217" s="80" t="s">
        <v>256</v>
      </c>
    </row>
    <row r="218" spans="1:30">
      <c r="A218" s="10" t="s">
        <v>758</v>
      </c>
      <c r="B218" s="78" t="s">
        <v>96</v>
      </c>
      <c r="C218" s="78">
        <f>C217+(BudgetsTable[[#This Row],[lead]]&lt;&gt;K217)</f>
        <v>25</v>
      </c>
      <c r="D218" s="78">
        <f>D217*(BudgetsTable[[#This Row],[lead]]=K217)+(BudgetsTable[[#This Row],[prop_id]]&lt;&gt;A217)</f>
        <v>1</v>
      </c>
      <c r="E218" s="79">
        <v>42935.45</v>
      </c>
      <c r="F218" s="80" t="s">
        <v>248</v>
      </c>
      <c r="G218" s="80" t="s">
        <v>1124</v>
      </c>
      <c r="H218" s="80" t="s">
        <v>1125</v>
      </c>
      <c r="I218" s="78" t="s">
        <v>596</v>
      </c>
      <c r="J218" s="78" t="s">
        <v>1287</v>
      </c>
      <c r="K218" s="80" t="s">
        <v>758</v>
      </c>
      <c r="L218" s="7" t="str">
        <f>IF(BudgetsTable[[#This Row],[pi_last_name]]=" ","",HYPERLINK("https://www.ejacket.nsf.gov/ej/showProposal.do?Continue=Y&amp;ID="&amp;BudgetsTable[[#This Row],[prop_id]],BudgetsTable[[#This Row],[prop_id]]))</f>
        <v>1750246</v>
      </c>
      <c r="M218" s="15" t="str">
        <f>IF(BudgetsTable[[#This Row],[pi_last_name]]=" ","",HYPERLINK("https://www.ejacket.nsf.gov/ej/processReviewAnalysis.do?dispatch=add&amp;uniqId="&amp;BudgetsTable[[#This Row],[prop_id]]&amp;PO_id,"&gt;ra"))</f>
        <v>&gt;ra</v>
      </c>
      <c r="N218" s="80" t="s">
        <v>457</v>
      </c>
      <c r="O218" s="7" t="str">
        <f>IF(BudgetsTable[[#This Row],[pi_last_name]]=" ","",HYPERLINK("mailto:"&amp;BudgetsTable[[#This Row],[pi_email]]&amp;"&amp;subject=Your NSF Proposal:  "&amp;BudgetsTable[[#This Row],[prop_id]],BudgetsTable[[#This Row],[pi_email]]))</f>
        <v>zhangs@cs.fit.edu</v>
      </c>
      <c r="P218" s="80" t="s">
        <v>1284</v>
      </c>
      <c r="Q218" s="80"/>
      <c r="R218" s="80"/>
      <c r="S218" s="81"/>
      <c r="T218" s="81"/>
      <c r="U218" s="81"/>
      <c r="V218" s="82"/>
      <c r="W218" s="80">
        <v>0</v>
      </c>
      <c r="X218" s="80"/>
      <c r="Y218" s="11" t="str">
        <f ca="1">IF(ISBLANK(BudgetsTable[[#This Row],[budg_seq_yr]]),"FY"&amp;fiscalyear,"FY"&amp;fiscalyear-1+BudgetsTable[[#This Row],[budg_seq_yr]])</f>
        <v>FY18</v>
      </c>
      <c r="Z218" s="81">
        <v>792792</v>
      </c>
      <c r="AA218" s="80" t="s">
        <v>1124</v>
      </c>
      <c r="AB218" s="80" t="s">
        <v>1125</v>
      </c>
      <c r="AC218" s="108" t="s">
        <v>94</v>
      </c>
      <c r="AD218" s="80" t="s">
        <v>256</v>
      </c>
    </row>
    <row r="219" spans="1:30">
      <c r="A219" s="10" t="s">
        <v>758</v>
      </c>
      <c r="B219" s="78" t="s">
        <v>96</v>
      </c>
      <c r="C219" s="78">
        <f>C218+(BudgetsTable[[#This Row],[lead]]&lt;&gt;K218)</f>
        <v>25</v>
      </c>
      <c r="D219" s="78">
        <f>D218*(BudgetsTable[[#This Row],[lead]]=K218)+(BudgetsTable[[#This Row],[prop_id]]&lt;&gt;A218)</f>
        <v>1</v>
      </c>
      <c r="E219" s="79">
        <v>42935.45</v>
      </c>
      <c r="F219" s="80" t="s">
        <v>248</v>
      </c>
      <c r="G219" s="80" t="s">
        <v>1124</v>
      </c>
      <c r="H219" s="80" t="s">
        <v>1125</v>
      </c>
      <c r="I219" s="78" t="s">
        <v>596</v>
      </c>
      <c r="J219" s="78" t="s">
        <v>13</v>
      </c>
      <c r="K219" s="80" t="s">
        <v>758</v>
      </c>
      <c r="L219" s="7" t="str">
        <f>IF(BudgetsTable[[#This Row],[pi_last_name]]=" ","",HYPERLINK("https://www.ejacket.nsf.gov/ej/showProposal.do?Continue=Y&amp;ID="&amp;BudgetsTable[[#This Row],[prop_id]],BudgetsTable[[#This Row],[prop_id]]))</f>
        <v/>
      </c>
      <c r="M219" s="15" t="str">
        <f>IF(BudgetsTable[[#This Row],[pi_last_name]]=" ","",HYPERLINK("https://www.ejacket.nsf.gov/ej/processReviewAnalysis.do?dispatch=add&amp;uniqId="&amp;BudgetsTable[[#This Row],[prop_id]]&amp;PO_id,"&gt;ra"))</f>
        <v/>
      </c>
      <c r="N219" s="80" t="s">
        <v>13</v>
      </c>
      <c r="O219" s="7" t="str">
        <f>IF(BudgetsTable[[#This Row],[pi_last_name]]=" ","",HYPERLINK("mailto:"&amp;BudgetsTable[[#This Row],[pi_email]]&amp;"&amp;subject=Your NSF Proposal:  "&amp;BudgetsTable[[#This Row],[prop_id]],BudgetsTable[[#This Row],[pi_email]]))</f>
        <v/>
      </c>
      <c r="P219" s="80" t="s">
        <v>13</v>
      </c>
      <c r="Q219" s="80">
        <v>1</v>
      </c>
      <c r="R219" s="80">
        <v>2</v>
      </c>
      <c r="S219" s="81">
        <v>0</v>
      </c>
      <c r="T219" s="81">
        <v>0</v>
      </c>
      <c r="U219" s="81">
        <v>0</v>
      </c>
      <c r="V219" s="82">
        <v>150738</v>
      </c>
      <c r="W219" s="80">
        <v>0</v>
      </c>
      <c r="X219" s="80">
        <v>1</v>
      </c>
      <c r="Y219" s="11" t="str">
        <f ca="1">IF(ISBLANK(BudgetsTable[[#This Row],[budg_seq_yr]]),"FY"&amp;fiscalyear,"FY"&amp;fiscalyear-1+BudgetsTable[[#This Row],[budg_seq_yr]])</f>
        <v>FY18</v>
      </c>
      <c r="Z219" s="81">
        <v>150738</v>
      </c>
      <c r="AA219" s="80" t="s">
        <v>1124</v>
      </c>
      <c r="AB219" s="80" t="s">
        <v>1125</v>
      </c>
      <c r="AC219" s="108" t="s">
        <v>94</v>
      </c>
      <c r="AD219" s="80" t="s">
        <v>256</v>
      </c>
    </row>
    <row r="220" spans="1:30">
      <c r="A220" s="10" t="s">
        <v>758</v>
      </c>
      <c r="B220" s="78" t="s">
        <v>96</v>
      </c>
      <c r="C220" s="78">
        <f>C219+(BudgetsTable[[#This Row],[lead]]&lt;&gt;K219)</f>
        <v>25</v>
      </c>
      <c r="D220" s="78">
        <f>D219*(BudgetsTable[[#This Row],[lead]]=K219)+(BudgetsTable[[#This Row],[prop_id]]&lt;&gt;A219)</f>
        <v>1</v>
      </c>
      <c r="E220" s="79">
        <v>42935.45</v>
      </c>
      <c r="F220" s="80" t="s">
        <v>248</v>
      </c>
      <c r="G220" s="80" t="s">
        <v>1124</v>
      </c>
      <c r="H220" s="80" t="s">
        <v>1125</v>
      </c>
      <c r="I220" s="78" t="s">
        <v>596</v>
      </c>
      <c r="J220" s="78" t="s">
        <v>13</v>
      </c>
      <c r="K220" s="80" t="s">
        <v>758</v>
      </c>
      <c r="L220" s="7" t="str">
        <f>IF(BudgetsTable[[#This Row],[pi_last_name]]=" ","",HYPERLINK("https://www.ejacket.nsf.gov/ej/showProposal.do?Continue=Y&amp;ID="&amp;BudgetsTable[[#This Row],[prop_id]],BudgetsTable[[#This Row],[prop_id]]))</f>
        <v/>
      </c>
      <c r="M220" s="15" t="str">
        <f>IF(BudgetsTable[[#This Row],[pi_last_name]]=" ","",HYPERLINK("https://www.ejacket.nsf.gov/ej/processReviewAnalysis.do?dispatch=add&amp;uniqId="&amp;BudgetsTable[[#This Row],[prop_id]]&amp;PO_id,"&gt;ra"))</f>
        <v/>
      </c>
      <c r="N220" s="80" t="s">
        <v>13</v>
      </c>
      <c r="O220" s="7" t="str">
        <f>IF(BudgetsTable[[#This Row],[pi_last_name]]=" ","",HYPERLINK("mailto:"&amp;BudgetsTable[[#This Row],[pi_email]]&amp;"&amp;subject=Your NSF Proposal:  "&amp;BudgetsTable[[#This Row],[prop_id]],BudgetsTable[[#This Row],[pi_email]]))</f>
        <v/>
      </c>
      <c r="P220" s="80" t="s">
        <v>13</v>
      </c>
      <c r="Q220" s="80">
        <v>1</v>
      </c>
      <c r="R220" s="80">
        <v>2</v>
      </c>
      <c r="S220" s="81">
        <v>0</v>
      </c>
      <c r="T220" s="81">
        <v>0</v>
      </c>
      <c r="U220" s="81">
        <v>0</v>
      </c>
      <c r="V220" s="82">
        <v>172411</v>
      </c>
      <c r="W220" s="80">
        <v>0</v>
      </c>
      <c r="X220" s="80">
        <v>2</v>
      </c>
      <c r="Y220" s="11" t="str">
        <f ca="1">IF(ISBLANK(BudgetsTable[[#This Row],[budg_seq_yr]]),"FY"&amp;fiscalyear,"FY"&amp;fiscalyear-1+BudgetsTable[[#This Row],[budg_seq_yr]])</f>
        <v>FY19</v>
      </c>
      <c r="Z220" s="81">
        <v>172411</v>
      </c>
      <c r="AA220" s="80" t="s">
        <v>1124</v>
      </c>
      <c r="AB220" s="80" t="s">
        <v>1125</v>
      </c>
      <c r="AC220" s="108" t="s">
        <v>94</v>
      </c>
      <c r="AD220" s="80" t="s">
        <v>256</v>
      </c>
    </row>
    <row r="221" spans="1:30">
      <c r="A221" s="10" t="s">
        <v>758</v>
      </c>
      <c r="B221" s="78" t="s">
        <v>96</v>
      </c>
      <c r="C221" s="78">
        <f>C220+(BudgetsTable[[#This Row],[lead]]&lt;&gt;K220)</f>
        <v>25</v>
      </c>
      <c r="D221" s="78">
        <f>D220*(BudgetsTable[[#This Row],[lead]]=K220)+(BudgetsTable[[#This Row],[prop_id]]&lt;&gt;A220)</f>
        <v>1</v>
      </c>
      <c r="E221" s="79">
        <v>42935.45</v>
      </c>
      <c r="F221" s="80" t="s">
        <v>248</v>
      </c>
      <c r="G221" s="80" t="s">
        <v>1124</v>
      </c>
      <c r="H221" s="80" t="s">
        <v>1125</v>
      </c>
      <c r="I221" s="78" t="s">
        <v>596</v>
      </c>
      <c r="J221" s="78" t="s">
        <v>13</v>
      </c>
      <c r="K221" s="80" t="s">
        <v>758</v>
      </c>
      <c r="L221" s="7" t="str">
        <f>IF(BudgetsTable[[#This Row],[pi_last_name]]=" ","",HYPERLINK("https://www.ejacket.nsf.gov/ej/showProposal.do?Continue=Y&amp;ID="&amp;BudgetsTable[[#This Row],[prop_id]],BudgetsTable[[#This Row],[prop_id]]))</f>
        <v/>
      </c>
      <c r="M221" s="15" t="str">
        <f>IF(BudgetsTable[[#This Row],[pi_last_name]]=" ","",HYPERLINK("https://www.ejacket.nsf.gov/ej/processReviewAnalysis.do?dispatch=add&amp;uniqId="&amp;BudgetsTable[[#This Row],[prop_id]]&amp;PO_id,"&gt;ra"))</f>
        <v/>
      </c>
      <c r="N221" s="80" t="s">
        <v>13</v>
      </c>
      <c r="O221" s="7" t="str">
        <f>IF(BudgetsTable[[#This Row],[pi_last_name]]=" ","",HYPERLINK("mailto:"&amp;BudgetsTable[[#This Row],[pi_email]]&amp;"&amp;subject=Your NSF Proposal:  "&amp;BudgetsTable[[#This Row],[prop_id]],BudgetsTable[[#This Row],[pi_email]]))</f>
        <v/>
      </c>
      <c r="P221" s="80" t="s">
        <v>13</v>
      </c>
      <c r="Q221" s="80">
        <v>1</v>
      </c>
      <c r="R221" s="80">
        <v>2</v>
      </c>
      <c r="S221" s="81">
        <v>0</v>
      </c>
      <c r="T221" s="81">
        <v>0</v>
      </c>
      <c r="U221" s="81">
        <v>0</v>
      </c>
      <c r="V221" s="82">
        <v>154414</v>
      </c>
      <c r="W221" s="80">
        <v>0</v>
      </c>
      <c r="X221" s="80">
        <v>3</v>
      </c>
      <c r="Y221" s="11" t="str">
        <f ca="1">IF(ISBLANK(BudgetsTable[[#This Row],[budg_seq_yr]]),"FY"&amp;fiscalyear,"FY"&amp;fiscalyear-1+BudgetsTable[[#This Row],[budg_seq_yr]])</f>
        <v>FY20</v>
      </c>
      <c r="Z221" s="81">
        <v>154414</v>
      </c>
      <c r="AA221" s="80" t="s">
        <v>1124</v>
      </c>
      <c r="AB221" s="80" t="s">
        <v>1125</v>
      </c>
      <c r="AC221" s="108" t="s">
        <v>94</v>
      </c>
      <c r="AD221" s="80" t="s">
        <v>256</v>
      </c>
    </row>
    <row r="222" spans="1:30">
      <c r="A222" s="10" t="s">
        <v>758</v>
      </c>
      <c r="B222" s="78" t="s">
        <v>96</v>
      </c>
      <c r="C222" s="78">
        <f>C221+(BudgetsTable[[#This Row],[lead]]&lt;&gt;K221)</f>
        <v>25</v>
      </c>
      <c r="D222" s="78">
        <f>D221*(BudgetsTable[[#This Row],[lead]]=K221)+(BudgetsTable[[#This Row],[prop_id]]&lt;&gt;A221)</f>
        <v>1</v>
      </c>
      <c r="E222" s="79">
        <v>42935.45</v>
      </c>
      <c r="F222" s="80" t="s">
        <v>248</v>
      </c>
      <c r="G222" s="80" t="s">
        <v>1124</v>
      </c>
      <c r="H222" s="80" t="s">
        <v>1125</v>
      </c>
      <c r="I222" s="78" t="s">
        <v>596</v>
      </c>
      <c r="J222" s="78" t="s">
        <v>13</v>
      </c>
      <c r="K222" s="80" t="s">
        <v>758</v>
      </c>
      <c r="L222" s="7" t="str">
        <f>IF(BudgetsTable[[#This Row],[pi_last_name]]=" ","",HYPERLINK("https://www.ejacket.nsf.gov/ej/showProposal.do?Continue=Y&amp;ID="&amp;BudgetsTable[[#This Row],[prop_id]],BudgetsTable[[#This Row],[prop_id]]))</f>
        <v/>
      </c>
      <c r="M222" s="15" t="str">
        <f>IF(BudgetsTable[[#This Row],[pi_last_name]]=" ","",HYPERLINK("https://www.ejacket.nsf.gov/ej/processReviewAnalysis.do?dispatch=add&amp;uniqId="&amp;BudgetsTable[[#This Row],[prop_id]]&amp;PO_id,"&gt;ra"))</f>
        <v/>
      </c>
      <c r="N222" s="80" t="s">
        <v>13</v>
      </c>
      <c r="O222" s="7" t="str">
        <f>IF(BudgetsTable[[#This Row],[pi_last_name]]=" ","",HYPERLINK("mailto:"&amp;BudgetsTable[[#This Row],[pi_email]]&amp;"&amp;subject=Your NSF Proposal:  "&amp;BudgetsTable[[#This Row],[prop_id]],BudgetsTable[[#This Row],[pi_email]]))</f>
        <v/>
      </c>
      <c r="P222" s="80" t="s">
        <v>13</v>
      </c>
      <c r="Q222" s="80">
        <v>1</v>
      </c>
      <c r="R222" s="80">
        <v>2</v>
      </c>
      <c r="S222" s="81">
        <v>0</v>
      </c>
      <c r="T222" s="81">
        <v>0</v>
      </c>
      <c r="U222" s="81">
        <v>0</v>
      </c>
      <c r="V222" s="82">
        <v>156512</v>
      </c>
      <c r="W222" s="80">
        <v>0</v>
      </c>
      <c r="X222" s="80">
        <v>4</v>
      </c>
      <c r="Y222" s="11" t="str">
        <f ca="1">IF(ISBLANK(BudgetsTable[[#This Row],[budg_seq_yr]]),"FY"&amp;fiscalyear,"FY"&amp;fiscalyear-1+BudgetsTable[[#This Row],[budg_seq_yr]])</f>
        <v>FY21</v>
      </c>
      <c r="Z222" s="81">
        <v>156512</v>
      </c>
      <c r="AA222" s="80" t="s">
        <v>1124</v>
      </c>
      <c r="AB222" s="80" t="s">
        <v>1125</v>
      </c>
      <c r="AC222" s="108" t="s">
        <v>94</v>
      </c>
      <c r="AD222" s="80" t="s">
        <v>256</v>
      </c>
    </row>
    <row r="223" spans="1:30">
      <c r="A223" s="10" t="s">
        <v>758</v>
      </c>
      <c r="B223" s="78" t="s">
        <v>96</v>
      </c>
      <c r="C223" s="78">
        <f>C222+(BudgetsTable[[#This Row],[lead]]&lt;&gt;K222)</f>
        <v>25</v>
      </c>
      <c r="D223" s="78">
        <f>D222*(BudgetsTable[[#This Row],[lead]]=K222)+(BudgetsTable[[#This Row],[prop_id]]&lt;&gt;A222)</f>
        <v>1</v>
      </c>
      <c r="E223" s="79">
        <v>42935.45</v>
      </c>
      <c r="F223" s="80" t="s">
        <v>248</v>
      </c>
      <c r="G223" s="80" t="s">
        <v>1124</v>
      </c>
      <c r="H223" s="80" t="s">
        <v>1125</v>
      </c>
      <c r="I223" s="78" t="s">
        <v>596</v>
      </c>
      <c r="J223" s="78" t="s">
        <v>13</v>
      </c>
      <c r="K223" s="80" t="s">
        <v>758</v>
      </c>
      <c r="L223" s="7" t="str">
        <f>IF(BudgetsTable[[#This Row],[pi_last_name]]=" ","",HYPERLINK("https://www.ejacket.nsf.gov/ej/showProposal.do?Continue=Y&amp;ID="&amp;BudgetsTable[[#This Row],[prop_id]],BudgetsTable[[#This Row],[prop_id]]))</f>
        <v/>
      </c>
      <c r="M223" s="15" t="str">
        <f>IF(BudgetsTable[[#This Row],[pi_last_name]]=" ","",HYPERLINK("https://www.ejacket.nsf.gov/ej/processReviewAnalysis.do?dispatch=add&amp;uniqId="&amp;BudgetsTable[[#This Row],[prop_id]]&amp;PO_id,"&gt;ra"))</f>
        <v/>
      </c>
      <c r="N223" s="80" t="s">
        <v>13</v>
      </c>
      <c r="O223" s="7" t="str">
        <f>IF(BudgetsTable[[#This Row],[pi_last_name]]=" ","",HYPERLINK("mailto:"&amp;BudgetsTable[[#This Row],[pi_email]]&amp;"&amp;subject=Your NSF Proposal:  "&amp;BudgetsTable[[#This Row],[prop_id]],BudgetsTable[[#This Row],[pi_email]]))</f>
        <v/>
      </c>
      <c r="P223" s="80" t="s">
        <v>13</v>
      </c>
      <c r="Q223" s="80">
        <v>1</v>
      </c>
      <c r="R223" s="80">
        <v>2</v>
      </c>
      <c r="S223" s="81">
        <v>0</v>
      </c>
      <c r="T223" s="81">
        <v>0</v>
      </c>
      <c r="U223" s="81">
        <v>0</v>
      </c>
      <c r="V223" s="82">
        <v>158717</v>
      </c>
      <c r="W223" s="80">
        <v>0</v>
      </c>
      <c r="X223" s="80">
        <v>5</v>
      </c>
      <c r="Y223" s="11" t="str">
        <f ca="1">IF(ISBLANK(BudgetsTable[[#This Row],[budg_seq_yr]]),"FY"&amp;fiscalyear,"FY"&amp;fiscalyear-1+BudgetsTable[[#This Row],[budg_seq_yr]])</f>
        <v>FY22</v>
      </c>
      <c r="Z223" s="81">
        <v>158717</v>
      </c>
      <c r="AA223" s="80" t="s">
        <v>1124</v>
      </c>
      <c r="AB223" s="80" t="s">
        <v>1125</v>
      </c>
      <c r="AC223" s="108" t="s">
        <v>94</v>
      </c>
      <c r="AD223" s="80" t="s">
        <v>256</v>
      </c>
    </row>
    <row r="224" spans="1:30">
      <c r="A224" s="10" t="s">
        <v>765</v>
      </c>
      <c r="B224" s="78" t="s">
        <v>96</v>
      </c>
      <c r="C224" s="78">
        <f>C223+(BudgetsTable[[#This Row],[lead]]&lt;&gt;K223)</f>
        <v>26</v>
      </c>
      <c r="D224" s="78">
        <f>D223*(BudgetsTable[[#This Row],[lead]]=K223)+(BudgetsTable[[#This Row],[prop_id]]&lt;&gt;A223)</f>
        <v>1</v>
      </c>
      <c r="E224" s="79">
        <v>42935.465277777781</v>
      </c>
      <c r="F224" s="80" t="s">
        <v>248</v>
      </c>
      <c r="G224" s="80" t="s">
        <v>1124</v>
      </c>
      <c r="H224" s="80" t="s">
        <v>1125</v>
      </c>
      <c r="I224" s="78" t="s">
        <v>596</v>
      </c>
      <c r="J224" s="78" t="s">
        <v>1291</v>
      </c>
      <c r="K224" s="80" t="s">
        <v>765</v>
      </c>
      <c r="L224" s="7" t="str">
        <f>IF(BudgetsTable[[#This Row],[pi_last_name]]=" ","",HYPERLINK("https://www.ejacket.nsf.gov/ej/showProposal.do?Continue=Y&amp;ID="&amp;BudgetsTable[[#This Row],[prop_id]],BudgetsTable[[#This Row],[prop_id]]))</f>
        <v>1750279</v>
      </c>
      <c r="M224" s="15" t="str">
        <f>IF(BudgetsTable[[#This Row],[pi_last_name]]=" ","",HYPERLINK("https://www.ejacket.nsf.gov/ej/processReviewAnalysis.do?dispatch=add&amp;uniqId="&amp;BudgetsTable[[#This Row],[prop_id]]&amp;PO_id,"&gt;ra"))</f>
        <v>&gt;ra</v>
      </c>
      <c r="N224" s="80" t="s">
        <v>766</v>
      </c>
      <c r="O224" s="7" t="str">
        <f>IF(BudgetsTable[[#This Row],[pi_last_name]]=" ","",HYPERLINK("mailto:"&amp;BudgetsTable[[#This Row],[pi_email]]&amp;"&amp;subject=Your NSF Proposal:  "&amp;BudgetsTable[[#This Row],[prop_id]],BudgetsTable[[#This Row],[pi_email]]))</f>
        <v>jran5@vt.edu</v>
      </c>
      <c r="P224" s="80" t="s">
        <v>361</v>
      </c>
      <c r="Q224" s="80"/>
      <c r="R224" s="80"/>
      <c r="S224" s="81"/>
      <c r="T224" s="81"/>
      <c r="U224" s="81"/>
      <c r="V224" s="82"/>
      <c r="W224" s="80">
        <v>0</v>
      </c>
      <c r="X224" s="80"/>
      <c r="Y224" s="11" t="str">
        <f ca="1">IF(ISBLANK(BudgetsTable[[#This Row],[budg_seq_yr]]),"FY"&amp;fiscalyear,"FY"&amp;fiscalyear-1+BudgetsTable[[#This Row],[budg_seq_yr]])</f>
        <v>FY18</v>
      </c>
      <c r="Z224" s="81">
        <v>500000</v>
      </c>
      <c r="AA224" s="80" t="s">
        <v>1124</v>
      </c>
      <c r="AB224" s="80" t="s">
        <v>1125</v>
      </c>
      <c r="AC224" s="108" t="s">
        <v>94</v>
      </c>
      <c r="AD224" s="80" t="s">
        <v>256</v>
      </c>
    </row>
    <row r="225" spans="1:30">
      <c r="A225" s="10" t="s">
        <v>765</v>
      </c>
      <c r="B225" s="78" t="s">
        <v>96</v>
      </c>
      <c r="C225" s="78">
        <f>C224+(BudgetsTable[[#This Row],[lead]]&lt;&gt;K224)</f>
        <v>26</v>
      </c>
      <c r="D225" s="78">
        <f>D224*(BudgetsTable[[#This Row],[lead]]=K224)+(BudgetsTable[[#This Row],[prop_id]]&lt;&gt;A224)</f>
        <v>1</v>
      </c>
      <c r="E225" s="79">
        <v>42935.465277777781</v>
      </c>
      <c r="F225" s="80" t="s">
        <v>248</v>
      </c>
      <c r="G225" s="80" t="s">
        <v>1124</v>
      </c>
      <c r="H225" s="80" t="s">
        <v>1125</v>
      </c>
      <c r="I225" s="78" t="s">
        <v>596</v>
      </c>
      <c r="J225" s="78" t="s">
        <v>13</v>
      </c>
      <c r="K225" s="80" t="s">
        <v>765</v>
      </c>
      <c r="L225" s="7" t="str">
        <f>IF(BudgetsTable[[#This Row],[pi_last_name]]=" ","",HYPERLINK("https://www.ejacket.nsf.gov/ej/showProposal.do?Continue=Y&amp;ID="&amp;BudgetsTable[[#This Row],[prop_id]],BudgetsTable[[#This Row],[prop_id]]))</f>
        <v/>
      </c>
      <c r="M225" s="15" t="str">
        <f>IF(BudgetsTable[[#This Row],[pi_last_name]]=" ","",HYPERLINK("https://www.ejacket.nsf.gov/ej/processReviewAnalysis.do?dispatch=add&amp;uniqId="&amp;BudgetsTable[[#This Row],[prop_id]]&amp;PO_id,"&gt;ra"))</f>
        <v/>
      </c>
      <c r="N225" s="80" t="s">
        <v>13</v>
      </c>
      <c r="O225" s="7" t="str">
        <f>IF(BudgetsTable[[#This Row],[pi_last_name]]=" ","",HYPERLINK("mailto:"&amp;BudgetsTable[[#This Row],[pi_email]]&amp;"&amp;subject=Your NSF Proposal:  "&amp;BudgetsTable[[#This Row],[prop_id]],BudgetsTable[[#This Row],[pi_email]]))</f>
        <v/>
      </c>
      <c r="P225" s="80" t="s">
        <v>13</v>
      </c>
      <c r="Q225" s="80">
        <v>1</v>
      </c>
      <c r="R225" s="80">
        <v>0.45</v>
      </c>
      <c r="S225" s="81">
        <v>0</v>
      </c>
      <c r="T225" s="81">
        <v>0</v>
      </c>
      <c r="U225" s="81">
        <v>0</v>
      </c>
      <c r="V225" s="82">
        <v>98246</v>
      </c>
      <c r="W225" s="80">
        <v>0</v>
      </c>
      <c r="X225" s="80">
        <v>1</v>
      </c>
      <c r="Y225" s="11" t="str">
        <f ca="1">IF(ISBLANK(BudgetsTable[[#This Row],[budg_seq_yr]]),"FY"&amp;fiscalyear,"FY"&amp;fiscalyear-1+BudgetsTable[[#This Row],[budg_seq_yr]])</f>
        <v>FY18</v>
      </c>
      <c r="Z225" s="81">
        <v>98246</v>
      </c>
      <c r="AA225" s="80" t="s">
        <v>1124</v>
      </c>
      <c r="AB225" s="80" t="s">
        <v>1125</v>
      </c>
      <c r="AC225" s="108" t="s">
        <v>94</v>
      </c>
      <c r="AD225" s="80" t="s">
        <v>256</v>
      </c>
    </row>
    <row r="226" spans="1:30">
      <c r="A226" s="10" t="s">
        <v>765</v>
      </c>
      <c r="B226" s="78" t="s">
        <v>96</v>
      </c>
      <c r="C226" s="78">
        <f>C225+(BudgetsTable[[#This Row],[lead]]&lt;&gt;K225)</f>
        <v>26</v>
      </c>
      <c r="D226" s="78">
        <f>D225*(BudgetsTable[[#This Row],[lead]]=K225)+(BudgetsTable[[#This Row],[prop_id]]&lt;&gt;A225)</f>
        <v>1</v>
      </c>
      <c r="E226" s="79">
        <v>42935.465277777781</v>
      </c>
      <c r="F226" s="80" t="s">
        <v>248</v>
      </c>
      <c r="G226" s="80" t="s">
        <v>1124</v>
      </c>
      <c r="H226" s="80" t="s">
        <v>1125</v>
      </c>
      <c r="I226" s="78" t="s">
        <v>596</v>
      </c>
      <c r="J226" s="78" t="s">
        <v>13</v>
      </c>
      <c r="K226" s="80" t="s">
        <v>765</v>
      </c>
      <c r="L226" s="7" t="str">
        <f>IF(BudgetsTable[[#This Row],[pi_last_name]]=" ","",HYPERLINK("https://www.ejacket.nsf.gov/ej/showProposal.do?Continue=Y&amp;ID="&amp;BudgetsTable[[#This Row],[prop_id]],BudgetsTable[[#This Row],[prop_id]]))</f>
        <v/>
      </c>
      <c r="M226" s="15" t="str">
        <f>IF(BudgetsTable[[#This Row],[pi_last_name]]=" ","",HYPERLINK("https://www.ejacket.nsf.gov/ej/processReviewAnalysis.do?dispatch=add&amp;uniqId="&amp;BudgetsTable[[#This Row],[prop_id]]&amp;PO_id,"&gt;ra"))</f>
        <v/>
      </c>
      <c r="N226" s="80" t="s">
        <v>13</v>
      </c>
      <c r="O226" s="7" t="str">
        <f>IF(BudgetsTable[[#This Row],[pi_last_name]]=" ","",HYPERLINK("mailto:"&amp;BudgetsTable[[#This Row],[pi_email]]&amp;"&amp;subject=Your NSF Proposal:  "&amp;BudgetsTable[[#This Row],[prop_id]],BudgetsTable[[#This Row],[pi_email]]))</f>
        <v/>
      </c>
      <c r="P226" s="80" t="s">
        <v>13</v>
      </c>
      <c r="Q226" s="80">
        <v>1</v>
      </c>
      <c r="R226" s="80">
        <v>0.45</v>
      </c>
      <c r="S226" s="81">
        <v>0</v>
      </c>
      <c r="T226" s="81">
        <v>0</v>
      </c>
      <c r="U226" s="81">
        <v>0</v>
      </c>
      <c r="V226" s="82">
        <v>95429</v>
      </c>
      <c r="W226" s="80">
        <v>0</v>
      </c>
      <c r="X226" s="80">
        <v>2</v>
      </c>
      <c r="Y226" s="11" t="str">
        <f ca="1">IF(ISBLANK(BudgetsTable[[#This Row],[budg_seq_yr]]),"FY"&amp;fiscalyear,"FY"&amp;fiscalyear-1+BudgetsTable[[#This Row],[budg_seq_yr]])</f>
        <v>FY19</v>
      </c>
      <c r="Z226" s="81">
        <v>95429</v>
      </c>
      <c r="AA226" s="80" t="s">
        <v>1124</v>
      </c>
      <c r="AB226" s="80" t="s">
        <v>1125</v>
      </c>
      <c r="AC226" s="108" t="s">
        <v>94</v>
      </c>
      <c r="AD226" s="80" t="s">
        <v>256</v>
      </c>
    </row>
    <row r="227" spans="1:30">
      <c r="A227" s="10" t="s">
        <v>765</v>
      </c>
      <c r="B227" s="78" t="s">
        <v>96</v>
      </c>
      <c r="C227" s="78">
        <f>C226+(BudgetsTable[[#This Row],[lead]]&lt;&gt;K226)</f>
        <v>26</v>
      </c>
      <c r="D227" s="78">
        <f>D226*(BudgetsTable[[#This Row],[lead]]=K226)+(BudgetsTable[[#This Row],[prop_id]]&lt;&gt;A226)</f>
        <v>1</v>
      </c>
      <c r="E227" s="79">
        <v>42935.465277777781</v>
      </c>
      <c r="F227" s="80" t="s">
        <v>248</v>
      </c>
      <c r="G227" s="80" t="s">
        <v>1124</v>
      </c>
      <c r="H227" s="80" t="s">
        <v>1125</v>
      </c>
      <c r="I227" s="78" t="s">
        <v>596</v>
      </c>
      <c r="J227" s="78" t="s">
        <v>13</v>
      </c>
      <c r="K227" s="80" t="s">
        <v>765</v>
      </c>
      <c r="L227" s="7" t="str">
        <f>IF(BudgetsTable[[#This Row],[pi_last_name]]=" ","",HYPERLINK("https://www.ejacket.nsf.gov/ej/showProposal.do?Continue=Y&amp;ID="&amp;BudgetsTable[[#This Row],[prop_id]],BudgetsTable[[#This Row],[prop_id]]))</f>
        <v/>
      </c>
      <c r="M227" s="15" t="str">
        <f>IF(BudgetsTable[[#This Row],[pi_last_name]]=" ","",HYPERLINK("https://www.ejacket.nsf.gov/ej/processReviewAnalysis.do?dispatch=add&amp;uniqId="&amp;BudgetsTable[[#This Row],[prop_id]]&amp;PO_id,"&gt;ra"))</f>
        <v/>
      </c>
      <c r="N227" s="80" t="s">
        <v>13</v>
      </c>
      <c r="O227" s="7" t="str">
        <f>IF(BudgetsTable[[#This Row],[pi_last_name]]=" ","",HYPERLINK("mailto:"&amp;BudgetsTable[[#This Row],[pi_email]]&amp;"&amp;subject=Your NSF Proposal:  "&amp;BudgetsTable[[#This Row],[prop_id]],BudgetsTable[[#This Row],[pi_email]]))</f>
        <v/>
      </c>
      <c r="P227" s="80" t="s">
        <v>13</v>
      </c>
      <c r="Q227" s="80">
        <v>1</v>
      </c>
      <c r="R227" s="80">
        <v>0.45</v>
      </c>
      <c r="S227" s="81">
        <v>0</v>
      </c>
      <c r="T227" s="81">
        <v>0</v>
      </c>
      <c r="U227" s="81">
        <v>0</v>
      </c>
      <c r="V227" s="82">
        <v>98680</v>
      </c>
      <c r="W227" s="80">
        <v>0</v>
      </c>
      <c r="X227" s="80">
        <v>3</v>
      </c>
      <c r="Y227" s="11" t="str">
        <f ca="1">IF(ISBLANK(BudgetsTable[[#This Row],[budg_seq_yr]]),"FY"&amp;fiscalyear,"FY"&amp;fiscalyear-1+BudgetsTable[[#This Row],[budg_seq_yr]])</f>
        <v>FY20</v>
      </c>
      <c r="Z227" s="81">
        <v>98680</v>
      </c>
      <c r="AA227" s="80" t="s">
        <v>1124</v>
      </c>
      <c r="AB227" s="80" t="s">
        <v>1125</v>
      </c>
      <c r="AC227" s="108" t="s">
        <v>94</v>
      </c>
      <c r="AD227" s="80" t="s">
        <v>256</v>
      </c>
    </row>
    <row r="228" spans="1:30">
      <c r="A228" s="10" t="s">
        <v>765</v>
      </c>
      <c r="B228" s="78" t="s">
        <v>96</v>
      </c>
      <c r="C228" s="78">
        <f>C227+(BudgetsTable[[#This Row],[lead]]&lt;&gt;K227)</f>
        <v>26</v>
      </c>
      <c r="D228" s="78">
        <f>D227*(BudgetsTable[[#This Row],[lead]]=K227)+(BudgetsTable[[#This Row],[prop_id]]&lt;&gt;A227)</f>
        <v>1</v>
      </c>
      <c r="E228" s="79">
        <v>42935.465277777781</v>
      </c>
      <c r="F228" s="80" t="s">
        <v>248</v>
      </c>
      <c r="G228" s="80" t="s">
        <v>1124</v>
      </c>
      <c r="H228" s="80" t="s">
        <v>1125</v>
      </c>
      <c r="I228" s="78" t="s">
        <v>596</v>
      </c>
      <c r="J228" s="78" t="s">
        <v>13</v>
      </c>
      <c r="K228" s="80" t="s">
        <v>765</v>
      </c>
      <c r="L228" s="7" t="str">
        <f>IF(BudgetsTable[[#This Row],[pi_last_name]]=" ","",HYPERLINK("https://www.ejacket.nsf.gov/ej/showProposal.do?Continue=Y&amp;ID="&amp;BudgetsTable[[#This Row],[prop_id]],BudgetsTable[[#This Row],[prop_id]]))</f>
        <v/>
      </c>
      <c r="M228" s="15" t="str">
        <f>IF(BudgetsTable[[#This Row],[pi_last_name]]=" ","",HYPERLINK("https://www.ejacket.nsf.gov/ej/processReviewAnalysis.do?dispatch=add&amp;uniqId="&amp;BudgetsTable[[#This Row],[prop_id]]&amp;PO_id,"&gt;ra"))</f>
        <v/>
      </c>
      <c r="N228" s="80" t="s">
        <v>13</v>
      </c>
      <c r="O228" s="7" t="str">
        <f>IF(BudgetsTable[[#This Row],[pi_last_name]]=" ","",HYPERLINK("mailto:"&amp;BudgetsTable[[#This Row],[pi_email]]&amp;"&amp;subject=Your NSF Proposal:  "&amp;BudgetsTable[[#This Row],[prop_id]],BudgetsTable[[#This Row],[pi_email]]))</f>
        <v/>
      </c>
      <c r="P228" s="80" t="s">
        <v>13</v>
      </c>
      <c r="Q228" s="80">
        <v>1</v>
      </c>
      <c r="R228" s="80">
        <v>0.45</v>
      </c>
      <c r="S228" s="81">
        <v>0</v>
      </c>
      <c r="T228" s="81">
        <v>0</v>
      </c>
      <c r="U228" s="81">
        <v>0</v>
      </c>
      <c r="V228" s="82">
        <v>102062</v>
      </c>
      <c r="W228" s="80">
        <v>0</v>
      </c>
      <c r="X228" s="80">
        <v>4</v>
      </c>
      <c r="Y228" s="11" t="str">
        <f ca="1">IF(ISBLANK(BudgetsTable[[#This Row],[budg_seq_yr]]),"FY"&amp;fiscalyear,"FY"&amp;fiscalyear-1+BudgetsTable[[#This Row],[budg_seq_yr]])</f>
        <v>FY21</v>
      </c>
      <c r="Z228" s="81">
        <v>102062</v>
      </c>
      <c r="AA228" s="80" t="s">
        <v>1124</v>
      </c>
      <c r="AB228" s="80" t="s">
        <v>1125</v>
      </c>
      <c r="AC228" s="108" t="s">
        <v>94</v>
      </c>
      <c r="AD228" s="80" t="s">
        <v>256</v>
      </c>
    </row>
    <row r="229" spans="1:30">
      <c r="A229" s="10" t="s">
        <v>765</v>
      </c>
      <c r="B229" s="78" t="s">
        <v>96</v>
      </c>
      <c r="C229" s="78">
        <f>C228+(BudgetsTable[[#This Row],[lead]]&lt;&gt;K228)</f>
        <v>26</v>
      </c>
      <c r="D229" s="78">
        <f>D228*(BudgetsTable[[#This Row],[lead]]=K228)+(BudgetsTable[[#This Row],[prop_id]]&lt;&gt;A228)</f>
        <v>1</v>
      </c>
      <c r="E229" s="79">
        <v>42935.465277777781</v>
      </c>
      <c r="F229" s="80" t="s">
        <v>248</v>
      </c>
      <c r="G229" s="80" t="s">
        <v>1124</v>
      </c>
      <c r="H229" s="80" t="s">
        <v>1125</v>
      </c>
      <c r="I229" s="78" t="s">
        <v>596</v>
      </c>
      <c r="J229" s="78" t="s">
        <v>13</v>
      </c>
      <c r="K229" s="80" t="s">
        <v>765</v>
      </c>
      <c r="L229" s="7" t="str">
        <f>IF(BudgetsTable[[#This Row],[pi_last_name]]=" ","",HYPERLINK("https://www.ejacket.nsf.gov/ej/showProposal.do?Continue=Y&amp;ID="&amp;BudgetsTable[[#This Row],[prop_id]],BudgetsTable[[#This Row],[prop_id]]))</f>
        <v/>
      </c>
      <c r="M229" s="15" t="str">
        <f>IF(BudgetsTable[[#This Row],[pi_last_name]]=" ","",HYPERLINK("https://www.ejacket.nsf.gov/ej/processReviewAnalysis.do?dispatch=add&amp;uniqId="&amp;BudgetsTable[[#This Row],[prop_id]]&amp;PO_id,"&gt;ra"))</f>
        <v/>
      </c>
      <c r="N229" s="80" t="s">
        <v>13</v>
      </c>
      <c r="O229" s="7" t="str">
        <f>IF(BudgetsTable[[#This Row],[pi_last_name]]=" ","",HYPERLINK("mailto:"&amp;BudgetsTable[[#This Row],[pi_email]]&amp;"&amp;subject=Your NSF Proposal:  "&amp;BudgetsTable[[#This Row],[prop_id]],BudgetsTable[[#This Row],[pi_email]]))</f>
        <v/>
      </c>
      <c r="P229" s="80" t="s">
        <v>13</v>
      </c>
      <c r="Q229" s="80">
        <v>1</v>
      </c>
      <c r="R229" s="80">
        <v>0.45</v>
      </c>
      <c r="S229" s="81">
        <v>0</v>
      </c>
      <c r="T229" s="81">
        <v>0</v>
      </c>
      <c r="U229" s="81">
        <v>0</v>
      </c>
      <c r="V229" s="82">
        <v>105583</v>
      </c>
      <c r="W229" s="80">
        <v>0</v>
      </c>
      <c r="X229" s="80">
        <v>5</v>
      </c>
      <c r="Y229" s="11" t="str">
        <f ca="1">IF(ISBLANK(BudgetsTable[[#This Row],[budg_seq_yr]]),"FY"&amp;fiscalyear,"FY"&amp;fiscalyear-1+BudgetsTable[[#This Row],[budg_seq_yr]])</f>
        <v>FY22</v>
      </c>
      <c r="Z229" s="81">
        <v>105583</v>
      </c>
      <c r="AA229" s="80" t="s">
        <v>1124</v>
      </c>
      <c r="AB229" s="80" t="s">
        <v>1125</v>
      </c>
      <c r="AC229" s="108" t="s">
        <v>94</v>
      </c>
      <c r="AD229" s="80" t="s">
        <v>256</v>
      </c>
    </row>
    <row r="230" spans="1:30">
      <c r="A230" s="10" t="s">
        <v>793</v>
      </c>
      <c r="B230" s="78" t="s">
        <v>96</v>
      </c>
      <c r="C230" s="78">
        <f>C229+(BudgetsTable[[#This Row],[lead]]&lt;&gt;K229)</f>
        <v>27</v>
      </c>
      <c r="D230" s="78">
        <f>D229*(BudgetsTable[[#This Row],[lead]]=K229)+(BudgetsTable[[#This Row],[prop_id]]&lt;&gt;A229)</f>
        <v>1</v>
      </c>
      <c r="E230" s="79">
        <v>42935.527777777781</v>
      </c>
      <c r="F230" s="80" t="s">
        <v>248</v>
      </c>
      <c r="G230" s="80" t="s">
        <v>1124</v>
      </c>
      <c r="H230" s="80" t="s">
        <v>1125</v>
      </c>
      <c r="I230" s="78" t="s">
        <v>596</v>
      </c>
      <c r="J230" s="78" t="s">
        <v>1294</v>
      </c>
      <c r="K230" s="80" t="s">
        <v>793</v>
      </c>
      <c r="L230" s="7" t="str">
        <f>IF(BudgetsTable[[#This Row],[pi_last_name]]=" ","",HYPERLINK("https://www.ejacket.nsf.gov/ej/showProposal.do?Continue=Y&amp;ID="&amp;BudgetsTable[[#This Row],[prop_id]],BudgetsTable[[#This Row],[prop_id]]))</f>
        <v>1750414</v>
      </c>
      <c r="M230" s="15" t="str">
        <f>IF(BudgetsTable[[#This Row],[pi_last_name]]=" ","",HYPERLINK("https://www.ejacket.nsf.gov/ej/processReviewAnalysis.do?dispatch=add&amp;uniqId="&amp;BudgetsTable[[#This Row],[prop_id]]&amp;PO_id,"&gt;ra"))</f>
        <v>&gt;ra</v>
      </c>
      <c r="N230" s="80" t="s">
        <v>794</v>
      </c>
      <c r="O230" s="7" t="str">
        <f>IF(BudgetsTable[[#This Row],[pi_last_name]]=" ","",HYPERLINK("mailto:"&amp;BudgetsTable[[#This Row],[pi_email]]&amp;"&amp;subject=Your NSF Proposal:  "&amp;BudgetsTable[[#This Row],[prop_id]],BudgetsTable[[#This Row],[pi_email]]))</f>
        <v>hbzeng@vt.edu</v>
      </c>
      <c r="P230" s="80" t="s">
        <v>361</v>
      </c>
      <c r="Q230" s="80"/>
      <c r="R230" s="80"/>
      <c r="S230" s="81"/>
      <c r="T230" s="81"/>
      <c r="U230" s="81"/>
      <c r="V230" s="82"/>
      <c r="W230" s="80">
        <v>0</v>
      </c>
      <c r="X230" s="80"/>
      <c r="Y230" s="11" t="str">
        <f ca="1">IF(ISBLANK(BudgetsTable[[#This Row],[budg_seq_yr]]),"FY"&amp;fiscalyear,"FY"&amp;fiscalyear-1+BudgetsTable[[#This Row],[budg_seq_yr]])</f>
        <v>FY18</v>
      </c>
      <c r="Z230" s="81">
        <v>499449</v>
      </c>
      <c r="AA230" s="80" t="s">
        <v>1124</v>
      </c>
      <c r="AB230" s="80" t="s">
        <v>1125</v>
      </c>
      <c r="AC230" s="108" t="s">
        <v>94</v>
      </c>
      <c r="AD230" s="80" t="s">
        <v>256</v>
      </c>
    </row>
    <row r="231" spans="1:30">
      <c r="A231" s="10" t="s">
        <v>793</v>
      </c>
      <c r="B231" s="78" t="s">
        <v>96</v>
      </c>
      <c r="C231" s="78">
        <f>C230+(BudgetsTable[[#This Row],[lead]]&lt;&gt;K230)</f>
        <v>27</v>
      </c>
      <c r="D231" s="78">
        <f>D230*(BudgetsTable[[#This Row],[lead]]=K230)+(BudgetsTable[[#This Row],[prop_id]]&lt;&gt;A230)</f>
        <v>1</v>
      </c>
      <c r="E231" s="79">
        <v>42935.527777777781</v>
      </c>
      <c r="F231" s="80" t="s">
        <v>248</v>
      </c>
      <c r="G231" s="80" t="s">
        <v>1124</v>
      </c>
      <c r="H231" s="80" t="s">
        <v>1125</v>
      </c>
      <c r="I231" s="78" t="s">
        <v>596</v>
      </c>
      <c r="J231" s="78" t="s">
        <v>13</v>
      </c>
      <c r="K231" s="80" t="s">
        <v>793</v>
      </c>
      <c r="L231" s="7" t="str">
        <f>IF(BudgetsTable[[#This Row],[pi_last_name]]=" ","",HYPERLINK("https://www.ejacket.nsf.gov/ej/showProposal.do?Continue=Y&amp;ID="&amp;BudgetsTable[[#This Row],[prop_id]],BudgetsTable[[#This Row],[prop_id]]))</f>
        <v/>
      </c>
      <c r="M231" s="15" t="str">
        <f>IF(BudgetsTable[[#This Row],[pi_last_name]]=" ","",HYPERLINK("https://www.ejacket.nsf.gov/ej/processReviewAnalysis.do?dispatch=add&amp;uniqId="&amp;BudgetsTable[[#This Row],[prop_id]]&amp;PO_id,"&gt;ra"))</f>
        <v/>
      </c>
      <c r="N231" s="80" t="s">
        <v>13</v>
      </c>
      <c r="O231" s="7" t="str">
        <f>IF(BudgetsTable[[#This Row],[pi_last_name]]=" ","",HYPERLINK("mailto:"&amp;BudgetsTable[[#This Row],[pi_email]]&amp;"&amp;subject=Your NSF Proposal:  "&amp;BudgetsTable[[#This Row],[prop_id]],BudgetsTable[[#This Row],[pi_email]]))</f>
        <v/>
      </c>
      <c r="P231" s="80" t="s">
        <v>13</v>
      </c>
      <c r="Q231" s="80">
        <v>1</v>
      </c>
      <c r="R231" s="80">
        <v>1</v>
      </c>
      <c r="S231" s="81">
        <v>0</v>
      </c>
      <c r="T231" s="81">
        <v>0</v>
      </c>
      <c r="U231" s="81">
        <v>3000</v>
      </c>
      <c r="V231" s="82">
        <v>94398</v>
      </c>
      <c r="W231" s="80">
        <v>0</v>
      </c>
      <c r="X231" s="80">
        <v>1</v>
      </c>
      <c r="Y231" s="11" t="str">
        <f ca="1">IF(ISBLANK(BudgetsTable[[#This Row],[budg_seq_yr]]),"FY"&amp;fiscalyear,"FY"&amp;fiscalyear-1+BudgetsTable[[#This Row],[budg_seq_yr]])</f>
        <v>FY18</v>
      </c>
      <c r="Z231" s="81">
        <v>94398</v>
      </c>
      <c r="AA231" s="80" t="s">
        <v>1124</v>
      </c>
      <c r="AB231" s="80" t="s">
        <v>1125</v>
      </c>
      <c r="AC231" s="108" t="s">
        <v>94</v>
      </c>
      <c r="AD231" s="80" t="s">
        <v>256</v>
      </c>
    </row>
    <row r="232" spans="1:30">
      <c r="A232" s="10" t="s">
        <v>793</v>
      </c>
      <c r="B232" s="78" t="s">
        <v>96</v>
      </c>
      <c r="C232" s="78">
        <f>C231+(BudgetsTable[[#This Row],[lead]]&lt;&gt;K231)</f>
        <v>27</v>
      </c>
      <c r="D232" s="78">
        <f>D231*(BudgetsTable[[#This Row],[lead]]=K231)+(BudgetsTable[[#This Row],[prop_id]]&lt;&gt;A231)</f>
        <v>1</v>
      </c>
      <c r="E232" s="79">
        <v>42935.527777777781</v>
      </c>
      <c r="F232" s="80" t="s">
        <v>248</v>
      </c>
      <c r="G232" s="80" t="s">
        <v>1124</v>
      </c>
      <c r="H232" s="80" t="s">
        <v>1125</v>
      </c>
      <c r="I232" s="78" t="s">
        <v>596</v>
      </c>
      <c r="J232" s="78" t="s">
        <v>13</v>
      </c>
      <c r="K232" s="80" t="s">
        <v>793</v>
      </c>
      <c r="L232" s="7" t="str">
        <f>IF(BudgetsTable[[#This Row],[pi_last_name]]=" ","",HYPERLINK("https://www.ejacket.nsf.gov/ej/showProposal.do?Continue=Y&amp;ID="&amp;BudgetsTable[[#This Row],[prop_id]],BudgetsTable[[#This Row],[prop_id]]))</f>
        <v/>
      </c>
      <c r="M232" s="15" t="str">
        <f>IF(BudgetsTable[[#This Row],[pi_last_name]]=" ","",HYPERLINK("https://www.ejacket.nsf.gov/ej/processReviewAnalysis.do?dispatch=add&amp;uniqId="&amp;BudgetsTable[[#This Row],[prop_id]]&amp;PO_id,"&gt;ra"))</f>
        <v/>
      </c>
      <c r="N232" s="80" t="s">
        <v>13</v>
      </c>
      <c r="O232" s="7" t="str">
        <f>IF(BudgetsTable[[#This Row],[pi_last_name]]=" ","",HYPERLINK("mailto:"&amp;BudgetsTable[[#This Row],[pi_email]]&amp;"&amp;subject=Your NSF Proposal:  "&amp;BudgetsTable[[#This Row],[prop_id]],BudgetsTable[[#This Row],[pi_email]]))</f>
        <v/>
      </c>
      <c r="P232" s="80" t="s">
        <v>13</v>
      </c>
      <c r="Q232" s="80">
        <v>1</v>
      </c>
      <c r="R232" s="80">
        <v>1</v>
      </c>
      <c r="S232" s="81">
        <v>0</v>
      </c>
      <c r="T232" s="81">
        <v>0</v>
      </c>
      <c r="U232" s="81">
        <v>3000</v>
      </c>
      <c r="V232" s="82">
        <v>98034</v>
      </c>
      <c r="W232" s="80">
        <v>0</v>
      </c>
      <c r="X232" s="80">
        <v>2</v>
      </c>
      <c r="Y232" s="11" t="str">
        <f ca="1">IF(ISBLANK(BudgetsTable[[#This Row],[budg_seq_yr]]),"FY"&amp;fiscalyear,"FY"&amp;fiscalyear-1+BudgetsTable[[#This Row],[budg_seq_yr]])</f>
        <v>FY19</v>
      </c>
      <c r="Z232" s="81">
        <v>98034</v>
      </c>
      <c r="AA232" s="80" t="s">
        <v>1124</v>
      </c>
      <c r="AB232" s="80" t="s">
        <v>1125</v>
      </c>
      <c r="AC232" s="108" t="s">
        <v>94</v>
      </c>
      <c r="AD232" s="80" t="s">
        <v>256</v>
      </c>
    </row>
    <row r="233" spans="1:30">
      <c r="A233" s="10" t="s">
        <v>793</v>
      </c>
      <c r="B233" s="78" t="s">
        <v>96</v>
      </c>
      <c r="C233" s="78">
        <f>C232+(BudgetsTable[[#This Row],[lead]]&lt;&gt;K232)</f>
        <v>27</v>
      </c>
      <c r="D233" s="78">
        <f>D232*(BudgetsTable[[#This Row],[lead]]=K232)+(BudgetsTable[[#This Row],[prop_id]]&lt;&gt;A232)</f>
        <v>1</v>
      </c>
      <c r="E233" s="79">
        <v>42935.527777777781</v>
      </c>
      <c r="F233" s="80" t="s">
        <v>248</v>
      </c>
      <c r="G233" s="80" t="s">
        <v>1124</v>
      </c>
      <c r="H233" s="80" t="s">
        <v>1125</v>
      </c>
      <c r="I233" s="78" t="s">
        <v>596</v>
      </c>
      <c r="J233" s="78" t="s">
        <v>13</v>
      </c>
      <c r="K233" s="80" t="s">
        <v>793</v>
      </c>
      <c r="L233" s="7" t="str">
        <f>IF(BudgetsTable[[#This Row],[pi_last_name]]=" ","",HYPERLINK("https://www.ejacket.nsf.gov/ej/showProposal.do?Continue=Y&amp;ID="&amp;BudgetsTable[[#This Row],[prop_id]],BudgetsTable[[#This Row],[prop_id]]))</f>
        <v/>
      </c>
      <c r="M233" s="15" t="str">
        <f>IF(BudgetsTable[[#This Row],[pi_last_name]]=" ","",HYPERLINK("https://www.ejacket.nsf.gov/ej/processReviewAnalysis.do?dispatch=add&amp;uniqId="&amp;BudgetsTable[[#This Row],[prop_id]]&amp;PO_id,"&gt;ra"))</f>
        <v/>
      </c>
      <c r="N233" s="80" t="s">
        <v>13</v>
      </c>
      <c r="O233" s="7" t="str">
        <f>IF(BudgetsTable[[#This Row],[pi_last_name]]=" ","",HYPERLINK("mailto:"&amp;BudgetsTable[[#This Row],[pi_email]]&amp;"&amp;subject=Your NSF Proposal:  "&amp;BudgetsTable[[#This Row],[prop_id]],BudgetsTable[[#This Row],[pi_email]]))</f>
        <v/>
      </c>
      <c r="P233" s="80" t="s">
        <v>13</v>
      </c>
      <c r="Q233" s="80">
        <v>1</v>
      </c>
      <c r="R233" s="80">
        <v>1</v>
      </c>
      <c r="S233" s="81">
        <v>0</v>
      </c>
      <c r="T233" s="81">
        <v>0</v>
      </c>
      <c r="U233" s="81">
        <v>0</v>
      </c>
      <c r="V233" s="82">
        <v>98591</v>
      </c>
      <c r="W233" s="80">
        <v>0</v>
      </c>
      <c r="X233" s="80">
        <v>3</v>
      </c>
      <c r="Y233" s="11" t="str">
        <f ca="1">IF(ISBLANK(BudgetsTable[[#This Row],[budg_seq_yr]]),"FY"&amp;fiscalyear,"FY"&amp;fiscalyear-1+BudgetsTable[[#This Row],[budg_seq_yr]])</f>
        <v>FY20</v>
      </c>
      <c r="Z233" s="81">
        <v>98591</v>
      </c>
      <c r="AA233" s="80" t="s">
        <v>1124</v>
      </c>
      <c r="AB233" s="80" t="s">
        <v>1125</v>
      </c>
      <c r="AC233" s="108" t="s">
        <v>94</v>
      </c>
      <c r="AD233" s="80" t="s">
        <v>256</v>
      </c>
    </row>
    <row r="234" spans="1:30">
      <c r="A234" s="10" t="s">
        <v>793</v>
      </c>
      <c r="B234" s="78" t="s">
        <v>96</v>
      </c>
      <c r="C234" s="78">
        <f>C233+(BudgetsTable[[#This Row],[lead]]&lt;&gt;K233)</f>
        <v>27</v>
      </c>
      <c r="D234" s="78">
        <f>D233*(BudgetsTable[[#This Row],[lead]]=K233)+(BudgetsTable[[#This Row],[prop_id]]&lt;&gt;A233)</f>
        <v>1</v>
      </c>
      <c r="E234" s="79">
        <v>42935.527777777781</v>
      </c>
      <c r="F234" s="80" t="s">
        <v>248</v>
      </c>
      <c r="G234" s="80" t="s">
        <v>1124</v>
      </c>
      <c r="H234" s="80" t="s">
        <v>1125</v>
      </c>
      <c r="I234" s="78" t="s">
        <v>596</v>
      </c>
      <c r="J234" s="78" t="s">
        <v>13</v>
      </c>
      <c r="K234" s="80" t="s">
        <v>793</v>
      </c>
      <c r="L234" s="7" t="str">
        <f>IF(BudgetsTable[[#This Row],[pi_last_name]]=" ","",HYPERLINK("https://www.ejacket.nsf.gov/ej/showProposal.do?Continue=Y&amp;ID="&amp;BudgetsTable[[#This Row],[prop_id]],BudgetsTable[[#This Row],[prop_id]]))</f>
        <v/>
      </c>
      <c r="M234" s="15" t="str">
        <f>IF(BudgetsTable[[#This Row],[pi_last_name]]=" ","",HYPERLINK("https://www.ejacket.nsf.gov/ej/processReviewAnalysis.do?dispatch=add&amp;uniqId="&amp;BudgetsTable[[#This Row],[prop_id]]&amp;PO_id,"&gt;ra"))</f>
        <v/>
      </c>
      <c r="N234" s="80" t="s">
        <v>13</v>
      </c>
      <c r="O234" s="7" t="str">
        <f>IF(BudgetsTable[[#This Row],[pi_last_name]]=" ","",HYPERLINK("mailto:"&amp;BudgetsTable[[#This Row],[pi_email]]&amp;"&amp;subject=Your NSF Proposal:  "&amp;BudgetsTable[[#This Row],[prop_id]],BudgetsTable[[#This Row],[pi_email]]))</f>
        <v/>
      </c>
      <c r="P234" s="80" t="s">
        <v>13</v>
      </c>
      <c r="Q234" s="80">
        <v>1</v>
      </c>
      <c r="R234" s="80">
        <v>1</v>
      </c>
      <c r="S234" s="81">
        <v>0</v>
      </c>
      <c r="T234" s="81">
        <v>0</v>
      </c>
      <c r="U234" s="81">
        <v>0</v>
      </c>
      <c r="V234" s="82">
        <v>102290</v>
      </c>
      <c r="W234" s="80">
        <v>0</v>
      </c>
      <c r="X234" s="80">
        <v>4</v>
      </c>
      <c r="Y234" s="11" t="str">
        <f ca="1">IF(ISBLANK(BudgetsTable[[#This Row],[budg_seq_yr]]),"FY"&amp;fiscalyear,"FY"&amp;fiscalyear-1+BudgetsTable[[#This Row],[budg_seq_yr]])</f>
        <v>FY21</v>
      </c>
      <c r="Z234" s="81">
        <v>102290</v>
      </c>
      <c r="AA234" s="80" t="s">
        <v>1124</v>
      </c>
      <c r="AB234" s="80" t="s">
        <v>1125</v>
      </c>
      <c r="AC234" s="108" t="s">
        <v>94</v>
      </c>
      <c r="AD234" s="80" t="s">
        <v>256</v>
      </c>
    </row>
    <row r="235" spans="1:30">
      <c r="A235" s="10" t="s">
        <v>793</v>
      </c>
      <c r="B235" s="78" t="s">
        <v>96</v>
      </c>
      <c r="C235" s="78">
        <f>C234+(BudgetsTable[[#This Row],[lead]]&lt;&gt;K234)</f>
        <v>27</v>
      </c>
      <c r="D235" s="78">
        <f>D234*(BudgetsTable[[#This Row],[lead]]=K234)+(BudgetsTable[[#This Row],[prop_id]]&lt;&gt;A234)</f>
        <v>1</v>
      </c>
      <c r="E235" s="79">
        <v>42935.527777777781</v>
      </c>
      <c r="F235" s="80" t="s">
        <v>248</v>
      </c>
      <c r="G235" s="80" t="s">
        <v>1124</v>
      </c>
      <c r="H235" s="80" t="s">
        <v>1125</v>
      </c>
      <c r="I235" s="78" t="s">
        <v>596</v>
      </c>
      <c r="J235" s="78" t="s">
        <v>13</v>
      </c>
      <c r="K235" s="80" t="s">
        <v>793</v>
      </c>
      <c r="L235" s="7" t="str">
        <f>IF(BudgetsTable[[#This Row],[pi_last_name]]=" ","",HYPERLINK("https://www.ejacket.nsf.gov/ej/showProposal.do?Continue=Y&amp;ID="&amp;BudgetsTable[[#This Row],[prop_id]],BudgetsTable[[#This Row],[prop_id]]))</f>
        <v/>
      </c>
      <c r="M235" s="15" t="str">
        <f>IF(BudgetsTable[[#This Row],[pi_last_name]]=" ","",HYPERLINK("https://www.ejacket.nsf.gov/ej/processReviewAnalysis.do?dispatch=add&amp;uniqId="&amp;BudgetsTable[[#This Row],[prop_id]]&amp;PO_id,"&gt;ra"))</f>
        <v/>
      </c>
      <c r="N235" s="80" t="s">
        <v>13</v>
      </c>
      <c r="O235" s="7" t="str">
        <f>IF(BudgetsTable[[#This Row],[pi_last_name]]=" ","",HYPERLINK("mailto:"&amp;BudgetsTable[[#This Row],[pi_email]]&amp;"&amp;subject=Your NSF Proposal:  "&amp;BudgetsTable[[#This Row],[prop_id]],BudgetsTable[[#This Row],[pi_email]]))</f>
        <v/>
      </c>
      <c r="P235" s="80" t="s">
        <v>13</v>
      </c>
      <c r="Q235" s="80">
        <v>1</v>
      </c>
      <c r="R235" s="80">
        <v>1</v>
      </c>
      <c r="S235" s="81">
        <v>0</v>
      </c>
      <c r="T235" s="81">
        <v>0</v>
      </c>
      <c r="U235" s="81">
        <v>0</v>
      </c>
      <c r="V235" s="82">
        <v>106136</v>
      </c>
      <c r="W235" s="80">
        <v>0</v>
      </c>
      <c r="X235" s="80">
        <v>5</v>
      </c>
      <c r="Y235" s="11" t="str">
        <f ca="1">IF(ISBLANK(BudgetsTable[[#This Row],[budg_seq_yr]]),"FY"&amp;fiscalyear,"FY"&amp;fiscalyear-1+BudgetsTable[[#This Row],[budg_seq_yr]])</f>
        <v>FY22</v>
      </c>
      <c r="Z235" s="81">
        <v>106136</v>
      </c>
      <c r="AA235" s="80" t="s">
        <v>1124</v>
      </c>
      <c r="AB235" s="80" t="s">
        <v>1125</v>
      </c>
      <c r="AC235" s="108" t="s">
        <v>94</v>
      </c>
      <c r="AD235" s="80" t="s">
        <v>256</v>
      </c>
    </row>
    <row r="236" spans="1:30">
      <c r="A236" s="10" t="s">
        <v>800</v>
      </c>
      <c r="B236" s="78" t="s">
        <v>96</v>
      </c>
      <c r="C236" s="78">
        <f>C235+(BudgetsTable[[#This Row],[lead]]&lt;&gt;K235)</f>
        <v>28</v>
      </c>
      <c r="D236" s="78">
        <f>D235*(BudgetsTable[[#This Row],[lead]]=K235)+(BudgetsTable[[#This Row],[prop_id]]&lt;&gt;A235)</f>
        <v>1</v>
      </c>
      <c r="E236" s="79">
        <v>42935.531944444447</v>
      </c>
      <c r="F236" s="80" t="s">
        <v>248</v>
      </c>
      <c r="G236" s="80" t="s">
        <v>1124</v>
      </c>
      <c r="H236" s="80" t="s">
        <v>1125</v>
      </c>
      <c r="I236" s="78" t="s">
        <v>596</v>
      </c>
      <c r="J236" s="78" t="s">
        <v>1297</v>
      </c>
      <c r="K236" s="80" t="s">
        <v>800</v>
      </c>
      <c r="L236" s="7" t="str">
        <f>IF(BudgetsTable[[#This Row],[pi_last_name]]=" ","",HYPERLINK("https://www.ejacket.nsf.gov/ej/showProposal.do?Continue=Y&amp;ID="&amp;BudgetsTable[[#This Row],[prop_id]],BudgetsTable[[#This Row],[prop_id]]))</f>
        <v>1750426</v>
      </c>
      <c r="M236" s="15" t="str">
        <f>IF(BudgetsTable[[#This Row],[pi_last_name]]=" ","",HYPERLINK("https://www.ejacket.nsf.gov/ej/processReviewAnalysis.do?dispatch=add&amp;uniqId="&amp;BudgetsTable[[#This Row],[prop_id]]&amp;PO_id,"&gt;ra"))</f>
        <v>&gt;ra</v>
      </c>
      <c r="N236" s="80" t="s">
        <v>354</v>
      </c>
      <c r="O236" s="7" t="str">
        <f>IF(BudgetsTable[[#This Row],[pi_last_name]]=" ","",HYPERLINK("mailto:"&amp;BudgetsTable[[#This Row],[pi_email]]&amp;"&amp;subject=Your NSF Proposal:  "&amp;BudgetsTable[[#This Row],[prop_id]],BudgetsTable[[#This Row],[pi_email]]))</f>
        <v>yli15@wpi.edu</v>
      </c>
      <c r="P236" s="80" t="s">
        <v>1152</v>
      </c>
      <c r="Q236" s="80"/>
      <c r="R236" s="80"/>
      <c r="S236" s="81"/>
      <c r="T236" s="81"/>
      <c r="U236" s="81"/>
      <c r="V236" s="82"/>
      <c r="W236" s="80">
        <v>0</v>
      </c>
      <c r="X236" s="80"/>
      <c r="Y236" s="11" t="str">
        <f ca="1">IF(ISBLANK(BudgetsTable[[#This Row],[budg_seq_yr]]),"FY"&amp;fiscalyear,"FY"&amp;fiscalyear-1+BudgetsTable[[#This Row],[budg_seq_yr]])</f>
        <v>FY18</v>
      </c>
      <c r="Z236" s="81">
        <v>499714</v>
      </c>
      <c r="AA236" s="80" t="s">
        <v>1124</v>
      </c>
      <c r="AB236" s="80" t="s">
        <v>1125</v>
      </c>
      <c r="AC236" s="108" t="s">
        <v>94</v>
      </c>
      <c r="AD236" s="80" t="s">
        <v>256</v>
      </c>
    </row>
    <row r="237" spans="1:30">
      <c r="A237" s="10" t="s">
        <v>800</v>
      </c>
      <c r="B237" s="78" t="s">
        <v>96</v>
      </c>
      <c r="C237" s="78">
        <f>C236+(BudgetsTable[[#This Row],[lead]]&lt;&gt;K236)</f>
        <v>28</v>
      </c>
      <c r="D237" s="78">
        <f>D236*(BudgetsTable[[#This Row],[lead]]=K236)+(BudgetsTable[[#This Row],[prop_id]]&lt;&gt;A236)</f>
        <v>1</v>
      </c>
      <c r="E237" s="79">
        <v>42935.531944444447</v>
      </c>
      <c r="F237" s="80" t="s">
        <v>248</v>
      </c>
      <c r="G237" s="80" t="s">
        <v>1124</v>
      </c>
      <c r="H237" s="80" t="s">
        <v>1125</v>
      </c>
      <c r="I237" s="78" t="s">
        <v>596</v>
      </c>
      <c r="J237" s="78" t="s">
        <v>13</v>
      </c>
      <c r="K237" s="80" t="s">
        <v>800</v>
      </c>
      <c r="L237" s="7" t="str">
        <f>IF(BudgetsTable[[#This Row],[pi_last_name]]=" ","",HYPERLINK("https://www.ejacket.nsf.gov/ej/showProposal.do?Continue=Y&amp;ID="&amp;BudgetsTable[[#This Row],[prop_id]],BudgetsTable[[#This Row],[prop_id]]))</f>
        <v/>
      </c>
      <c r="M237" s="15" t="str">
        <f>IF(BudgetsTable[[#This Row],[pi_last_name]]=" ","",HYPERLINK("https://www.ejacket.nsf.gov/ej/processReviewAnalysis.do?dispatch=add&amp;uniqId="&amp;BudgetsTable[[#This Row],[prop_id]]&amp;PO_id,"&gt;ra"))</f>
        <v/>
      </c>
      <c r="N237" s="80" t="s">
        <v>13</v>
      </c>
      <c r="O237" s="7" t="str">
        <f>IF(BudgetsTable[[#This Row],[pi_last_name]]=" ","",HYPERLINK("mailto:"&amp;BudgetsTable[[#This Row],[pi_email]]&amp;"&amp;subject=Your NSF Proposal:  "&amp;BudgetsTable[[#This Row],[prop_id]],BudgetsTable[[#This Row],[pi_email]]))</f>
        <v/>
      </c>
      <c r="P237" s="80" t="s">
        <v>13</v>
      </c>
      <c r="Q237" s="80">
        <v>1</v>
      </c>
      <c r="R237" s="80">
        <v>1</v>
      </c>
      <c r="S237" s="81">
        <v>0</v>
      </c>
      <c r="T237" s="81">
        <v>1700</v>
      </c>
      <c r="U237" s="81">
        <v>0</v>
      </c>
      <c r="V237" s="82">
        <v>74924</v>
      </c>
      <c r="W237" s="80">
        <v>0</v>
      </c>
      <c r="X237" s="80">
        <v>1</v>
      </c>
      <c r="Y237" s="11" t="str">
        <f ca="1">IF(ISBLANK(BudgetsTable[[#This Row],[budg_seq_yr]]),"FY"&amp;fiscalyear,"FY"&amp;fiscalyear-1+BudgetsTable[[#This Row],[budg_seq_yr]])</f>
        <v>FY18</v>
      </c>
      <c r="Z237" s="81">
        <v>74924</v>
      </c>
      <c r="AA237" s="80" t="s">
        <v>1124</v>
      </c>
      <c r="AB237" s="80" t="s">
        <v>1125</v>
      </c>
      <c r="AC237" s="108" t="s">
        <v>94</v>
      </c>
      <c r="AD237" s="80" t="s">
        <v>256</v>
      </c>
    </row>
    <row r="238" spans="1:30">
      <c r="A238" s="10" t="s">
        <v>800</v>
      </c>
      <c r="B238" s="78" t="s">
        <v>96</v>
      </c>
      <c r="C238" s="78">
        <f>C237+(BudgetsTable[[#This Row],[lead]]&lt;&gt;K237)</f>
        <v>28</v>
      </c>
      <c r="D238" s="78">
        <f>D237*(BudgetsTable[[#This Row],[lead]]=K237)+(BudgetsTable[[#This Row],[prop_id]]&lt;&gt;A237)</f>
        <v>1</v>
      </c>
      <c r="E238" s="79">
        <v>42935.531944444447</v>
      </c>
      <c r="F238" s="80" t="s">
        <v>248</v>
      </c>
      <c r="G238" s="80" t="s">
        <v>1124</v>
      </c>
      <c r="H238" s="80" t="s">
        <v>1125</v>
      </c>
      <c r="I238" s="78" t="s">
        <v>596</v>
      </c>
      <c r="J238" s="78" t="s">
        <v>13</v>
      </c>
      <c r="K238" s="80" t="s">
        <v>800</v>
      </c>
      <c r="L238" s="7" t="str">
        <f>IF(BudgetsTable[[#This Row],[pi_last_name]]=" ","",HYPERLINK("https://www.ejacket.nsf.gov/ej/showProposal.do?Continue=Y&amp;ID="&amp;BudgetsTable[[#This Row],[prop_id]],BudgetsTable[[#This Row],[prop_id]]))</f>
        <v/>
      </c>
      <c r="M238" s="15" t="str">
        <f>IF(BudgetsTable[[#This Row],[pi_last_name]]=" ","",HYPERLINK("https://www.ejacket.nsf.gov/ej/processReviewAnalysis.do?dispatch=add&amp;uniqId="&amp;BudgetsTable[[#This Row],[prop_id]]&amp;PO_id,"&gt;ra"))</f>
        <v/>
      </c>
      <c r="N238" s="80" t="s">
        <v>13</v>
      </c>
      <c r="O238" s="7" t="str">
        <f>IF(BudgetsTable[[#This Row],[pi_last_name]]=" ","",HYPERLINK("mailto:"&amp;BudgetsTable[[#This Row],[pi_email]]&amp;"&amp;subject=Your NSF Proposal:  "&amp;BudgetsTable[[#This Row],[prop_id]],BudgetsTable[[#This Row],[pi_email]]))</f>
        <v/>
      </c>
      <c r="P238" s="80" t="s">
        <v>13</v>
      </c>
      <c r="Q238" s="80">
        <v>1</v>
      </c>
      <c r="R238" s="80">
        <v>1</v>
      </c>
      <c r="S238" s="81">
        <v>0</v>
      </c>
      <c r="T238" s="81">
        <v>1700</v>
      </c>
      <c r="U238" s="81">
        <v>0</v>
      </c>
      <c r="V238" s="82">
        <v>76941</v>
      </c>
      <c r="W238" s="80">
        <v>0</v>
      </c>
      <c r="X238" s="80">
        <v>2</v>
      </c>
      <c r="Y238" s="11" t="str">
        <f ca="1">IF(ISBLANK(BudgetsTable[[#This Row],[budg_seq_yr]]),"FY"&amp;fiscalyear,"FY"&amp;fiscalyear-1+BudgetsTable[[#This Row],[budg_seq_yr]])</f>
        <v>FY19</v>
      </c>
      <c r="Z238" s="81">
        <v>76941</v>
      </c>
      <c r="AA238" s="80" t="s">
        <v>1124</v>
      </c>
      <c r="AB238" s="80" t="s">
        <v>1125</v>
      </c>
      <c r="AC238" s="108" t="s">
        <v>94</v>
      </c>
      <c r="AD238" s="80" t="s">
        <v>256</v>
      </c>
    </row>
    <row r="239" spans="1:30">
      <c r="A239" s="10" t="s">
        <v>800</v>
      </c>
      <c r="B239" s="78" t="s">
        <v>96</v>
      </c>
      <c r="C239" s="78">
        <f>C238+(BudgetsTable[[#This Row],[lead]]&lt;&gt;K238)</f>
        <v>28</v>
      </c>
      <c r="D239" s="78">
        <f>D238*(BudgetsTable[[#This Row],[lead]]=K238)+(BudgetsTable[[#This Row],[prop_id]]&lt;&gt;A238)</f>
        <v>1</v>
      </c>
      <c r="E239" s="79">
        <v>42935.531944444447</v>
      </c>
      <c r="F239" s="80" t="s">
        <v>248</v>
      </c>
      <c r="G239" s="80" t="s">
        <v>1124</v>
      </c>
      <c r="H239" s="80" t="s">
        <v>1125</v>
      </c>
      <c r="I239" s="78" t="s">
        <v>596</v>
      </c>
      <c r="J239" s="78" t="s">
        <v>13</v>
      </c>
      <c r="K239" s="80" t="s">
        <v>800</v>
      </c>
      <c r="L239" s="7" t="str">
        <f>IF(BudgetsTable[[#This Row],[pi_last_name]]=" ","",HYPERLINK("https://www.ejacket.nsf.gov/ej/showProposal.do?Continue=Y&amp;ID="&amp;BudgetsTable[[#This Row],[prop_id]],BudgetsTable[[#This Row],[prop_id]]))</f>
        <v/>
      </c>
      <c r="M239" s="15" t="str">
        <f>IF(BudgetsTable[[#This Row],[pi_last_name]]=" ","",HYPERLINK("https://www.ejacket.nsf.gov/ej/processReviewAnalysis.do?dispatch=add&amp;uniqId="&amp;BudgetsTable[[#This Row],[prop_id]]&amp;PO_id,"&gt;ra"))</f>
        <v/>
      </c>
      <c r="N239" s="80" t="s">
        <v>13</v>
      </c>
      <c r="O239" s="7" t="str">
        <f>IF(BudgetsTable[[#This Row],[pi_last_name]]=" ","",HYPERLINK("mailto:"&amp;BudgetsTable[[#This Row],[pi_email]]&amp;"&amp;subject=Your NSF Proposal:  "&amp;BudgetsTable[[#This Row],[prop_id]],BudgetsTable[[#This Row],[pi_email]]))</f>
        <v/>
      </c>
      <c r="P239" s="80" t="s">
        <v>13</v>
      </c>
      <c r="Q239" s="80">
        <v>1</v>
      </c>
      <c r="R239" s="80">
        <v>1</v>
      </c>
      <c r="S239" s="81">
        <v>0</v>
      </c>
      <c r="T239" s="81">
        <v>1700</v>
      </c>
      <c r="U239" s="81">
        <v>0</v>
      </c>
      <c r="V239" s="82">
        <v>79026</v>
      </c>
      <c r="W239" s="80">
        <v>0</v>
      </c>
      <c r="X239" s="80">
        <v>3</v>
      </c>
      <c r="Y239" s="11" t="str">
        <f ca="1">IF(ISBLANK(BudgetsTable[[#This Row],[budg_seq_yr]]),"FY"&amp;fiscalyear,"FY"&amp;fiscalyear-1+BudgetsTable[[#This Row],[budg_seq_yr]])</f>
        <v>FY20</v>
      </c>
      <c r="Z239" s="81">
        <v>79026</v>
      </c>
      <c r="AA239" s="80" t="s">
        <v>1124</v>
      </c>
      <c r="AB239" s="80" t="s">
        <v>1125</v>
      </c>
      <c r="AC239" s="108" t="s">
        <v>94</v>
      </c>
      <c r="AD239" s="80" t="s">
        <v>256</v>
      </c>
    </row>
    <row r="240" spans="1:30">
      <c r="A240" s="10" t="s">
        <v>800</v>
      </c>
      <c r="B240" s="78" t="s">
        <v>96</v>
      </c>
      <c r="C240" s="78">
        <f>C239+(BudgetsTable[[#This Row],[lead]]&lt;&gt;K239)</f>
        <v>28</v>
      </c>
      <c r="D240" s="78">
        <f>D239*(BudgetsTable[[#This Row],[lead]]=K239)+(BudgetsTable[[#This Row],[prop_id]]&lt;&gt;A239)</f>
        <v>1</v>
      </c>
      <c r="E240" s="79">
        <v>42935.531944444447</v>
      </c>
      <c r="F240" s="80" t="s">
        <v>248</v>
      </c>
      <c r="G240" s="80" t="s">
        <v>1124</v>
      </c>
      <c r="H240" s="80" t="s">
        <v>1125</v>
      </c>
      <c r="I240" s="78" t="s">
        <v>596</v>
      </c>
      <c r="J240" s="78" t="s">
        <v>13</v>
      </c>
      <c r="K240" s="80" t="s">
        <v>800</v>
      </c>
      <c r="L240" s="7" t="str">
        <f>IF(BudgetsTable[[#This Row],[pi_last_name]]=" ","",HYPERLINK("https://www.ejacket.nsf.gov/ej/showProposal.do?Continue=Y&amp;ID="&amp;BudgetsTable[[#This Row],[prop_id]],BudgetsTable[[#This Row],[prop_id]]))</f>
        <v/>
      </c>
      <c r="M240" s="15" t="str">
        <f>IF(BudgetsTable[[#This Row],[pi_last_name]]=" ","",HYPERLINK("https://www.ejacket.nsf.gov/ej/processReviewAnalysis.do?dispatch=add&amp;uniqId="&amp;BudgetsTable[[#This Row],[prop_id]]&amp;PO_id,"&gt;ra"))</f>
        <v/>
      </c>
      <c r="N240" s="80" t="s">
        <v>13</v>
      </c>
      <c r="O240" s="7" t="str">
        <f>IF(BudgetsTable[[#This Row],[pi_last_name]]=" ","",HYPERLINK("mailto:"&amp;BudgetsTable[[#This Row],[pi_email]]&amp;"&amp;subject=Your NSF Proposal:  "&amp;BudgetsTable[[#This Row],[prop_id]],BudgetsTable[[#This Row],[pi_email]]))</f>
        <v/>
      </c>
      <c r="P240" s="80" t="s">
        <v>13</v>
      </c>
      <c r="Q240" s="80">
        <v>1</v>
      </c>
      <c r="R240" s="80">
        <v>1</v>
      </c>
      <c r="S240" s="81">
        <v>0</v>
      </c>
      <c r="T240" s="81">
        <v>1700</v>
      </c>
      <c r="U240" s="81">
        <v>0</v>
      </c>
      <c r="V240" s="82">
        <v>132551</v>
      </c>
      <c r="W240" s="80">
        <v>0</v>
      </c>
      <c r="X240" s="80">
        <v>4</v>
      </c>
      <c r="Y240" s="11" t="str">
        <f ca="1">IF(ISBLANK(BudgetsTable[[#This Row],[budg_seq_yr]]),"FY"&amp;fiscalyear,"FY"&amp;fiscalyear-1+BudgetsTable[[#This Row],[budg_seq_yr]])</f>
        <v>FY21</v>
      </c>
      <c r="Z240" s="81">
        <v>132551</v>
      </c>
      <c r="AA240" s="80" t="s">
        <v>1124</v>
      </c>
      <c r="AB240" s="80" t="s">
        <v>1125</v>
      </c>
      <c r="AC240" s="108" t="s">
        <v>94</v>
      </c>
      <c r="AD240" s="80" t="s">
        <v>256</v>
      </c>
    </row>
    <row r="241" spans="1:30">
      <c r="A241" s="10" t="s">
        <v>800</v>
      </c>
      <c r="B241" s="78" t="s">
        <v>96</v>
      </c>
      <c r="C241" s="78">
        <f>C240+(BudgetsTable[[#This Row],[lead]]&lt;&gt;K240)</f>
        <v>28</v>
      </c>
      <c r="D241" s="78">
        <f>D240*(BudgetsTable[[#This Row],[lead]]=K240)+(BudgetsTable[[#This Row],[prop_id]]&lt;&gt;A240)</f>
        <v>1</v>
      </c>
      <c r="E241" s="79">
        <v>42935.531944444447</v>
      </c>
      <c r="F241" s="80" t="s">
        <v>248</v>
      </c>
      <c r="G241" s="80" t="s">
        <v>1124</v>
      </c>
      <c r="H241" s="80" t="s">
        <v>1125</v>
      </c>
      <c r="I241" s="78" t="s">
        <v>596</v>
      </c>
      <c r="J241" s="78" t="s">
        <v>13</v>
      </c>
      <c r="K241" s="80" t="s">
        <v>800</v>
      </c>
      <c r="L241" s="7" t="str">
        <f>IF(BudgetsTable[[#This Row],[pi_last_name]]=" ","",HYPERLINK("https://www.ejacket.nsf.gov/ej/showProposal.do?Continue=Y&amp;ID="&amp;BudgetsTable[[#This Row],[prop_id]],BudgetsTable[[#This Row],[prop_id]]))</f>
        <v/>
      </c>
      <c r="M241" s="15" t="str">
        <f>IF(BudgetsTable[[#This Row],[pi_last_name]]=" ","",HYPERLINK("https://www.ejacket.nsf.gov/ej/processReviewAnalysis.do?dispatch=add&amp;uniqId="&amp;BudgetsTable[[#This Row],[prop_id]]&amp;PO_id,"&gt;ra"))</f>
        <v/>
      </c>
      <c r="N241" s="80" t="s">
        <v>13</v>
      </c>
      <c r="O241" s="7" t="str">
        <f>IF(BudgetsTable[[#This Row],[pi_last_name]]=" ","",HYPERLINK("mailto:"&amp;BudgetsTable[[#This Row],[pi_email]]&amp;"&amp;subject=Your NSF Proposal:  "&amp;BudgetsTable[[#This Row],[prop_id]],BudgetsTable[[#This Row],[pi_email]]))</f>
        <v/>
      </c>
      <c r="P241" s="80" t="s">
        <v>13</v>
      </c>
      <c r="Q241" s="80">
        <v>1</v>
      </c>
      <c r="R241" s="80">
        <v>1</v>
      </c>
      <c r="S241" s="81">
        <v>0</v>
      </c>
      <c r="T241" s="81">
        <v>1700</v>
      </c>
      <c r="U241" s="81">
        <v>0</v>
      </c>
      <c r="V241" s="82">
        <v>136272</v>
      </c>
      <c r="W241" s="80">
        <v>0</v>
      </c>
      <c r="X241" s="80">
        <v>5</v>
      </c>
      <c r="Y241" s="11" t="str">
        <f ca="1">IF(ISBLANK(BudgetsTable[[#This Row],[budg_seq_yr]]),"FY"&amp;fiscalyear,"FY"&amp;fiscalyear-1+BudgetsTable[[#This Row],[budg_seq_yr]])</f>
        <v>FY22</v>
      </c>
      <c r="Z241" s="81">
        <v>136272</v>
      </c>
      <c r="AA241" s="80" t="s">
        <v>1124</v>
      </c>
      <c r="AB241" s="80" t="s">
        <v>1125</v>
      </c>
      <c r="AC241" s="108" t="s">
        <v>94</v>
      </c>
      <c r="AD241" s="80" t="s">
        <v>256</v>
      </c>
    </row>
    <row r="242" spans="1:30">
      <c r="A242" s="10" t="s">
        <v>810</v>
      </c>
      <c r="B242" s="78" t="s">
        <v>96</v>
      </c>
      <c r="C242" s="78">
        <f>C241+(BudgetsTable[[#This Row],[lead]]&lt;&gt;K241)</f>
        <v>29</v>
      </c>
      <c r="D242" s="78">
        <f>D241*(BudgetsTable[[#This Row],[lead]]=K241)+(BudgetsTable[[#This Row],[prop_id]]&lt;&gt;A241)</f>
        <v>1</v>
      </c>
      <c r="E242" s="79">
        <v>42935.546527777777</v>
      </c>
      <c r="F242" s="80" t="s">
        <v>248</v>
      </c>
      <c r="G242" s="80" t="s">
        <v>1124</v>
      </c>
      <c r="H242" s="80" t="s">
        <v>1125</v>
      </c>
      <c r="I242" s="78" t="s">
        <v>596</v>
      </c>
      <c r="J242" s="78" t="s">
        <v>1301</v>
      </c>
      <c r="K242" s="80" t="s">
        <v>810</v>
      </c>
      <c r="L242" s="7" t="str">
        <f>IF(BudgetsTable[[#This Row],[pi_last_name]]=" ","",HYPERLINK("https://www.ejacket.nsf.gov/ej/showProposal.do?Continue=Y&amp;ID="&amp;BudgetsTable[[#This Row],[prop_id]],BudgetsTable[[#This Row],[prop_id]]))</f>
        <v>1750466</v>
      </c>
      <c r="M242" s="15" t="str">
        <f>IF(BudgetsTable[[#This Row],[pi_last_name]]=" ","",HYPERLINK("https://www.ejacket.nsf.gov/ej/processReviewAnalysis.do?dispatch=add&amp;uniqId="&amp;BudgetsTable[[#This Row],[prop_id]]&amp;PO_id,"&gt;ra"))</f>
        <v>&gt;ra</v>
      </c>
      <c r="N242" s="80" t="s">
        <v>811</v>
      </c>
      <c r="O242" s="7" t="str">
        <f>IF(BudgetsTable[[#This Row],[pi_last_name]]=" ","",HYPERLINK("mailto:"&amp;BudgetsTable[[#This Row],[pi_email]]&amp;"&amp;subject=Your NSF Proposal:  "&amp;BudgetsTable[[#This Row],[prop_id]],BudgetsTable[[#This Row],[pi_email]]))</f>
        <v>quanyan.zhu@nyu.edu</v>
      </c>
      <c r="P242" s="80" t="s">
        <v>474</v>
      </c>
      <c r="Q242" s="80"/>
      <c r="R242" s="80"/>
      <c r="S242" s="81"/>
      <c r="T242" s="81"/>
      <c r="U242" s="81"/>
      <c r="V242" s="82"/>
      <c r="W242" s="80">
        <v>0</v>
      </c>
      <c r="X242" s="80"/>
      <c r="Y242" s="11" t="str">
        <f ca="1">IF(ISBLANK(BudgetsTable[[#This Row],[budg_seq_yr]]),"FY"&amp;fiscalyear,"FY"&amp;fiscalyear-1+BudgetsTable[[#This Row],[budg_seq_yr]])</f>
        <v>FY18</v>
      </c>
      <c r="Z242" s="81">
        <v>499953</v>
      </c>
      <c r="AA242" s="80" t="s">
        <v>1124</v>
      </c>
      <c r="AB242" s="80" t="s">
        <v>1125</v>
      </c>
      <c r="AC242" s="108" t="s">
        <v>94</v>
      </c>
      <c r="AD242" s="80" t="s">
        <v>256</v>
      </c>
    </row>
    <row r="243" spans="1:30">
      <c r="A243" s="10" t="s">
        <v>810</v>
      </c>
      <c r="B243" s="78" t="s">
        <v>96</v>
      </c>
      <c r="C243" s="78">
        <f>C242+(BudgetsTable[[#This Row],[lead]]&lt;&gt;K242)</f>
        <v>29</v>
      </c>
      <c r="D243" s="78">
        <f>D242*(BudgetsTable[[#This Row],[lead]]=K242)+(BudgetsTable[[#This Row],[prop_id]]&lt;&gt;A242)</f>
        <v>1</v>
      </c>
      <c r="E243" s="79">
        <v>42935.546527777777</v>
      </c>
      <c r="F243" s="80" t="s">
        <v>248</v>
      </c>
      <c r="G243" s="80" t="s">
        <v>1124</v>
      </c>
      <c r="H243" s="80" t="s">
        <v>1125</v>
      </c>
      <c r="I243" s="78" t="s">
        <v>596</v>
      </c>
      <c r="J243" s="78" t="s">
        <v>13</v>
      </c>
      <c r="K243" s="80" t="s">
        <v>810</v>
      </c>
      <c r="L243" s="7" t="str">
        <f>IF(BudgetsTable[[#This Row],[pi_last_name]]=" ","",HYPERLINK("https://www.ejacket.nsf.gov/ej/showProposal.do?Continue=Y&amp;ID="&amp;BudgetsTable[[#This Row],[prop_id]],BudgetsTable[[#This Row],[prop_id]]))</f>
        <v/>
      </c>
      <c r="M243" s="15" t="str">
        <f>IF(BudgetsTable[[#This Row],[pi_last_name]]=" ","",HYPERLINK("https://www.ejacket.nsf.gov/ej/processReviewAnalysis.do?dispatch=add&amp;uniqId="&amp;BudgetsTable[[#This Row],[prop_id]]&amp;PO_id,"&gt;ra"))</f>
        <v/>
      </c>
      <c r="N243" s="80" t="s">
        <v>13</v>
      </c>
      <c r="O243" s="7" t="str">
        <f>IF(BudgetsTable[[#This Row],[pi_last_name]]=" ","",HYPERLINK("mailto:"&amp;BudgetsTable[[#This Row],[pi_email]]&amp;"&amp;subject=Your NSF Proposal:  "&amp;BudgetsTable[[#This Row],[prop_id]],BudgetsTable[[#This Row],[pi_email]]))</f>
        <v/>
      </c>
      <c r="P243" s="80" t="s">
        <v>13</v>
      </c>
      <c r="Q243" s="80">
        <v>1</v>
      </c>
      <c r="R243" s="80">
        <v>1</v>
      </c>
      <c r="S243" s="81">
        <v>0</v>
      </c>
      <c r="T243" s="81">
        <v>0</v>
      </c>
      <c r="U243" s="81">
        <v>0</v>
      </c>
      <c r="V243" s="82">
        <v>95276</v>
      </c>
      <c r="W243" s="80">
        <v>0</v>
      </c>
      <c r="X243" s="80">
        <v>1</v>
      </c>
      <c r="Y243" s="11" t="str">
        <f ca="1">IF(ISBLANK(BudgetsTable[[#This Row],[budg_seq_yr]]),"FY"&amp;fiscalyear,"FY"&amp;fiscalyear-1+BudgetsTable[[#This Row],[budg_seq_yr]])</f>
        <v>FY18</v>
      </c>
      <c r="Z243" s="81">
        <v>95276</v>
      </c>
      <c r="AA243" s="80" t="s">
        <v>1124</v>
      </c>
      <c r="AB243" s="80" t="s">
        <v>1125</v>
      </c>
      <c r="AC243" s="108" t="s">
        <v>94</v>
      </c>
      <c r="AD243" s="80" t="s">
        <v>256</v>
      </c>
    </row>
    <row r="244" spans="1:30">
      <c r="A244" s="10" t="s">
        <v>810</v>
      </c>
      <c r="B244" s="78" t="s">
        <v>96</v>
      </c>
      <c r="C244" s="78">
        <f>C243+(BudgetsTable[[#This Row],[lead]]&lt;&gt;K243)</f>
        <v>29</v>
      </c>
      <c r="D244" s="78">
        <f>D243*(BudgetsTable[[#This Row],[lead]]=K243)+(BudgetsTable[[#This Row],[prop_id]]&lt;&gt;A243)</f>
        <v>1</v>
      </c>
      <c r="E244" s="79">
        <v>42935.546527777777</v>
      </c>
      <c r="F244" s="80" t="s">
        <v>248</v>
      </c>
      <c r="G244" s="80" t="s">
        <v>1124</v>
      </c>
      <c r="H244" s="80" t="s">
        <v>1125</v>
      </c>
      <c r="I244" s="78" t="s">
        <v>596</v>
      </c>
      <c r="J244" s="78" t="s">
        <v>13</v>
      </c>
      <c r="K244" s="80" t="s">
        <v>810</v>
      </c>
      <c r="L244" s="7" t="str">
        <f>IF(BudgetsTable[[#This Row],[pi_last_name]]=" ","",HYPERLINK("https://www.ejacket.nsf.gov/ej/showProposal.do?Continue=Y&amp;ID="&amp;BudgetsTable[[#This Row],[prop_id]],BudgetsTable[[#This Row],[prop_id]]))</f>
        <v/>
      </c>
      <c r="M244" s="15" t="str">
        <f>IF(BudgetsTable[[#This Row],[pi_last_name]]=" ","",HYPERLINK("https://www.ejacket.nsf.gov/ej/processReviewAnalysis.do?dispatch=add&amp;uniqId="&amp;BudgetsTable[[#This Row],[prop_id]]&amp;PO_id,"&gt;ra"))</f>
        <v/>
      </c>
      <c r="N244" s="80" t="s">
        <v>13</v>
      </c>
      <c r="O244" s="7" t="str">
        <f>IF(BudgetsTable[[#This Row],[pi_last_name]]=" ","",HYPERLINK("mailto:"&amp;BudgetsTable[[#This Row],[pi_email]]&amp;"&amp;subject=Your NSF Proposal:  "&amp;BudgetsTable[[#This Row],[prop_id]],BudgetsTable[[#This Row],[pi_email]]))</f>
        <v/>
      </c>
      <c r="P244" s="80" t="s">
        <v>13</v>
      </c>
      <c r="Q244" s="80">
        <v>1</v>
      </c>
      <c r="R244" s="80">
        <v>1</v>
      </c>
      <c r="S244" s="81">
        <v>0</v>
      </c>
      <c r="T244" s="81">
        <v>0</v>
      </c>
      <c r="U244" s="81">
        <v>0</v>
      </c>
      <c r="V244" s="82">
        <v>97562</v>
      </c>
      <c r="W244" s="80">
        <v>0</v>
      </c>
      <c r="X244" s="80">
        <v>2</v>
      </c>
      <c r="Y244" s="11" t="str">
        <f ca="1">IF(ISBLANK(BudgetsTable[[#This Row],[budg_seq_yr]]),"FY"&amp;fiscalyear,"FY"&amp;fiscalyear-1+BudgetsTable[[#This Row],[budg_seq_yr]])</f>
        <v>FY19</v>
      </c>
      <c r="Z244" s="81">
        <v>97562</v>
      </c>
      <c r="AA244" s="80" t="s">
        <v>1124</v>
      </c>
      <c r="AB244" s="80" t="s">
        <v>1125</v>
      </c>
      <c r="AC244" s="108" t="s">
        <v>94</v>
      </c>
      <c r="AD244" s="80" t="s">
        <v>256</v>
      </c>
    </row>
    <row r="245" spans="1:30">
      <c r="A245" s="10" t="s">
        <v>810</v>
      </c>
      <c r="B245" s="78" t="s">
        <v>96</v>
      </c>
      <c r="C245" s="78">
        <f>C244+(BudgetsTable[[#This Row],[lead]]&lt;&gt;K244)</f>
        <v>29</v>
      </c>
      <c r="D245" s="78">
        <f>D244*(BudgetsTable[[#This Row],[lead]]=K244)+(BudgetsTable[[#This Row],[prop_id]]&lt;&gt;A244)</f>
        <v>1</v>
      </c>
      <c r="E245" s="79">
        <v>42935.546527777777</v>
      </c>
      <c r="F245" s="80" t="s">
        <v>248</v>
      </c>
      <c r="G245" s="80" t="s">
        <v>1124</v>
      </c>
      <c r="H245" s="80" t="s">
        <v>1125</v>
      </c>
      <c r="I245" s="78" t="s">
        <v>596</v>
      </c>
      <c r="J245" s="78" t="s">
        <v>13</v>
      </c>
      <c r="K245" s="80" t="s">
        <v>810</v>
      </c>
      <c r="L245" s="7" t="str">
        <f>IF(BudgetsTable[[#This Row],[pi_last_name]]=" ","",HYPERLINK("https://www.ejacket.nsf.gov/ej/showProposal.do?Continue=Y&amp;ID="&amp;BudgetsTable[[#This Row],[prop_id]],BudgetsTable[[#This Row],[prop_id]]))</f>
        <v/>
      </c>
      <c r="M245" s="15" t="str">
        <f>IF(BudgetsTable[[#This Row],[pi_last_name]]=" ","",HYPERLINK("https://www.ejacket.nsf.gov/ej/processReviewAnalysis.do?dispatch=add&amp;uniqId="&amp;BudgetsTable[[#This Row],[prop_id]]&amp;PO_id,"&gt;ra"))</f>
        <v/>
      </c>
      <c r="N245" s="80" t="s">
        <v>13</v>
      </c>
      <c r="O245" s="7" t="str">
        <f>IF(BudgetsTable[[#This Row],[pi_last_name]]=" ","",HYPERLINK("mailto:"&amp;BudgetsTable[[#This Row],[pi_email]]&amp;"&amp;subject=Your NSF Proposal:  "&amp;BudgetsTable[[#This Row],[prop_id]],BudgetsTable[[#This Row],[pi_email]]))</f>
        <v/>
      </c>
      <c r="P245" s="80" t="s">
        <v>13</v>
      </c>
      <c r="Q245" s="80">
        <v>1</v>
      </c>
      <c r="R245" s="80">
        <v>1</v>
      </c>
      <c r="S245" s="81">
        <v>0</v>
      </c>
      <c r="T245" s="81">
        <v>0</v>
      </c>
      <c r="U245" s="81">
        <v>0</v>
      </c>
      <c r="V245" s="82">
        <v>99905</v>
      </c>
      <c r="W245" s="80">
        <v>0</v>
      </c>
      <c r="X245" s="80">
        <v>3</v>
      </c>
      <c r="Y245" s="11" t="str">
        <f ca="1">IF(ISBLANK(BudgetsTable[[#This Row],[budg_seq_yr]]),"FY"&amp;fiscalyear,"FY"&amp;fiscalyear-1+BudgetsTable[[#This Row],[budg_seq_yr]])</f>
        <v>FY20</v>
      </c>
      <c r="Z245" s="81">
        <v>99905</v>
      </c>
      <c r="AA245" s="80" t="s">
        <v>1124</v>
      </c>
      <c r="AB245" s="80" t="s">
        <v>1125</v>
      </c>
      <c r="AC245" s="108" t="s">
        <v>94</v>
      </c>
      <c r="AD245" s="80" t="s">
        <v>256</v>
      </c>
    </row>
    <row r="246" spans="1:30">
      <c r="A246" s="10" t="s">
        <v>810</v>
      </c>
      <c r="B246" s="78" t="s">
        <v>96</v>
      </c>
      <c r="C246" s="78">
        <f>C245+(BudgetsTable[[#This Row],[lead]]&lt;&gt;K245)</f>
        <v>29</v>
      </c>
      <c r="D246" s="78">
        <f>D245*(BudgetsTable[[#This Row],[lead]]=K245)+(BudgetsTable[[#This Row],[prop_id]]&lt;&gt;A245)</f>
        <v>1</v>
      </c>
      <c r="E246" s="79">
        <v>42935.546527777777</v>
      </c>
      <c r="F246" s="80" t="s">
        <v>248</v>
      </c>
      <c r="G246" s="80" t="s">
        <v>1124</v>
      </c>
      <c r="H246" s="80" t="s">
        <v>1125</v>
      </c>
      <c r="I246" s="78" t="s">
        <v>596</v>
      </c>
      <c r="J246" s="78" t="s">
        <v>13</v>
      </c>
      <c r="K246" s="80" t="s">
        <v>810</v>
      </c>
      <c r="L246" s="7" t="str">
        <f>IF(BudgetsTable[[#This Row],[pi_last_name]]=" ","",HYPERLINK("https://www.ejacket.nsf.gov/ej/showProposal.do?Continue=Y&amp;ID="&amp;BudgetsTable[[#This Row],[prop_id]],BudgetsTable[[#This Row],[prop_id]]))</f>
        <v/>
      </c>
      <c r="M246" s="15" t="str">
        <f>IF(BudgetsTable[[#This Row],[pi_last_name]]=" ","",HYPERLINK("https://www.ejacket.nsf.gov/ej/processReviewAnalysis.do?dispatch=add&amp;uniqId="&amp;BudgetsTable[[#This Row],[prop_id]]&amp;PO_id,"&gt;ra"))</f>
        <v/>
      </c>
      <c r="N246" s="80" t="s">
        <v>13</v>
      </c>
      <c r="O246" s="7" t="str">
        <f>IF(BudgetsTable[[#This Row],[pi_last_name]]=" ","",HYPERLINK("mailto:"&amp;BudgetsTable[[#This Row],[pi_email]]&amp;"&amp;subject=Your NSF Proposal:  "&amp;BudgetsTable[[#This Row],[prop_id]],BudgetsTable[[#This Row],[pi_email]]))</f>
        <v/>
      </c>
      <c r="P246" s="80" t="s">
        <v>13</v>
      </c>
      <c r="Q246" s="80">
        <v>1</v>
      </c>
      <c r="R246" s="80">
        <v>1</v>
      </c>
      <c r="S246" s="81">
        <v>0</v>
      </c>
      <c r="T246" s="81">
        <v>0</v>
      </c>
      <c r="U246" s="81">
        <v>0</v>
      </c>
      <c r="V246" s="82">
        <v>102375</v>
      </c>
      <c r="W246" s="80">
        <v>0</v>
      </c>
      <c r="X246" s="80">
        <v>4</v>
      </c>
      <c r="Y246" s="11" t="str">
        <f ca="1">IF(ISBLANK(BudgetsTable[[#This Row],[budg_seq_yr]]),"FY"&amp;fiscalyear,"FY"&amp;fiscalyear-1+BudgetsTable[[#This Row],[budg_seq_yr]])</f>
        <v>FY21</v>
      </c>
      <c r="Z246" s="81">
        <v>102375</v>
      </c>
      <c r="AA246" s="80" t="s">
        <v>1124</v>
      </c>
      <c r="AB246" s="80" t="s">
        <v>1125</v>
      </c>
      <c r="AC246" s="108" t="s">
        <v>94</v>
      </c>
      <c r="AD246" s="80" t="s">
        <v>256</v>
      </c>
    </row>
    <row r="247" spans="1:30">
      <c r="A247" s="10" t="s">
        <v>810</v>
      </c>
      <c r="B247" s="78" t="s">
        <v>96</v>
      </c>
      <c r="C247" s="78">
        <f>C246+(BudgetsTable[[#This Row],[lead]]&lt;&gt;K246)</f>
        <v>29</v>
      </c>
      <c r="D247" s="78">
        <f>D246*(BudgetsTable[[#This Row],[lead]]=K246)+(BudgetsTable[[#This Row],[prop_id]]&lt;&gt;A246)</f>
        <v>1</v>
      </c>
      <c r="E247" s="79">
        <v>42935.546527777777</v>
      </c>
      <c r="F247" s="80" t="s">
        <v>248</v>
      </c>
      <c r="G247" s="80" t="s">
        <v>1124</v>
      </c>
      <c r="H247" s="80" t="s">
        <v>1125</v>
      </c>
      <c r="I247" s="78" t="s">
        <v>596</v>
      </c>
      <c r="J247" s="78" t="s">
        <v>13</v>
      </c>
      <c r="K247" s="80" t="s">
        <v>810</v>
      </c>
      <c r="L247" s="7" t="str">
        <f>IF(BudgetsTable[[#This Row],[pi_last_name]]=" ","",HYPERLINK("https://www.ejacket.nsf.gov/ej/showProposal.do?Continue=Y&amp;ID="&amp;BudgetsTable[[#This Row],[prop_id]],BudgetsTable[[#This Row],[prop_id]]))</f>
        <v/>
      </c>
      <c r="M247" s="15" t="str">
        <f>IF(BudgetsTable[[#This Row],[pi_last_name]]=" ","",HYPERLINK("https://www.ejacket.nsf.gov/ej/processReviewAnalysis.do?dispatch=add&amp;uniqId="&amp;BudgetsTable[[#This Row],[prop_id]]&amp;PO_id,"&gt;ra"))</f>
        <v/>
      </c>
      <c r="N247" s="80" t="s">
        <v>13</v>
      </c>
      <c r="O247" s="7" t="str">
        <f>IF(BudgetsTable[[#This Row],[pi_last_name]]=" ","",HYPERLINK("mailto:"&amp;BudgetsTable[[#This Row],[pi_email]]&amp;"&amp;subject=Your NSF Proposal:  "&amp;BudgetsTable[[#This Row],[prop_id]],BudgetsTable[[#This Row],[pi_email]]))</f>
        <v/>
      </c>
      <c r="P247" s="80" t="s">
        <v>13</v>
      </c>
      <c r="Q247" s="80">
        <v>1</v>
      </c>
      <c r="R247" s="80">
        <v>1</v>
      </c>
      <c r="S247" s="81">
        <v>0</v>
      </c>
      <c r="T247" s="81">
        <v>0</v>
      </c>
      <c r="U247" s="81">
        <v>0</v>
      </c>
      <c r="V247" s="82">
        <v>104835</v>
      </c>
      <c r="W247" s="80">
        <v>0</v>
      </c>
      <c r="X247" s="80">
        <v>5</v>
      </c>
      <c r="Y247" s="11" t="str">
        <f ca="1">IF(ISBLANK(BudgetsTable[[#This Row],[budg_seq_yr]]),"FY"&amp;fiscalyear,"FY"&amp;fiscalyear-1+BudgetsTable[[#This Row],[budg_seq_yr]])</f>
        <v>FY22</v>
      </c>
      <c r="Z247" s="81">
        <v>104835</v>
      </c>
      <c r="AA247" s="80" t="s">
        <v>1124</v>
      </c>
      <c r="AB247" s="80" t="s">
        <v>1125</v>
      </c>
      <c r="AC247" s="108" t="s">
        <v>94</v>
      </c>
      <c r="AD247" s="80" t="s">
        <v>256</v>
      </c>
    </row>
    <row r="248" spans="1:30">
      <c r="A248" s="10" t="s">
        <v>820</v>
      </c>
      <c r="B248" s="78" t="s">
        <v>96</v>
      </c>
      <c r="C248" s="78">
        <f>C247+(BudgetsTable[[#This Row],[lead]]&lt;&gt;K247)</f>
        <v>30</v>
      </c>
      <c r="D248" s="78">
        <f>D247*(BudgetsTable[[#This Row],[lead]]=K247)+(BudgetsTable[[#This Row],[prop_id]]&lt;&gt;A247)</f>
        <v>1</v>
      </c>
      <c r="E248" s="79">
        <v>42935.549305555556</v>
      </c>
      <c r="F248" s="80" t="s">
        <v>248</v>
      </c>
      <c r="G248" s="80" t="s">
        <v>1124</v>
      </c>
      <c r="H248" s="80" t="s">
        <v>1125</v>
      </c>
      <c r="I248" s="78" t="s">
        <v>596</v>
      </c>
      <c r="J248" s="78" t="s">
        <v>1305</v>
      </c>
      <c r="K248" s="80" t="s">
        <v>820</v>
      </c>
      <c r="L248" s="7" t="str">
        <f>IF(BudgetsTable[[#This Row],[pi_last_name]]=" ","",HYPERLINK("https://www.ejacket.nsf.gov/ej/showProposal.do?Continue=Y&amp;ID="&amp;BudgetsTable[[#This Row],[prop_id]],BudgetsTable[[#This Row],[prop_id]]))</f>
        <v>1750477</v>
      </c>
      <c r="M248" s="15" t="str">
        <f>IF(BudgetsTable[[#This Row],[pi_last_name]]=" ","",HYPERLINK("https://www.ejacket.nsf.gov/ej/processReviewAnalysis.do?dispatch=add&amp;uniqId="&amp;BudgetsTable[[#This Row],[prop_id]]&amp;PO_id,"&gt;ra"))</f>
        <v>&gt;ra</v>
      </c>
      <c r="N248" s="80" t="s">
        <v>489</v>
      </c>
      <c r="O248" s="7" t="str">
        <f>IF(BudgetsTable[[#This Row],[pi_last_name]]=" ","",HYPERLINK("mailto:"&amp;BudgetsTable[[#This Row],[pi_email]]&amp;"&amp;subject=Your NSF Proposal:  "&amp;BudgetsTable[[#This Row],[prop_id]],BudgetsTable[[#This Row],[pi_email]]))</f>
        <v>mumu@umd.edu</v>
      </c>
      <c r="P248" s="80" t="s">
        <v>475</v>
      </c>
      <c r="Q248" s="80"/>
      <c r="R248" s="80"/>
      <c r="S248" s="81"/>
      <c r="T248" s="81"/>
      <c r="U248" s="81"/>
      <c r="V248" s="82"/>
      <c r="W248" s="80">
        <v>0</v>
      </c>
      <c r="X248" s="80"/>
      <c r="Y248" s="11" t="str">
        <f ca="1">IF(ISBLANK(BudgetsTable[[#This Row],[budg_seq_yr]]),"FY"&amp;fiscalyear,"FY"&amp;fiscalyear-1+BudgetsTable[[#This Row],[budg_seq_yr]])</f>
        <v>FY18</v>
      </c>
      <c r="Z248" s="81">
        <v>500000</v>
      </c>
      <c r="AA248" s="80" t="s">
        <v>1124</v>
      </c>
      <c r="AB248" s="80" t="s">
        <v>1125</v>
      </c>
      <c r="AC248" s="108" t="s">
        <v>94</v>
      </c>
      <c r="AD248" s="80" t="s">
        <v>256</v>
      </c>
    </row>
    <row r="249" spans="1:30">
      <c r="A249" s="10" t="s">
        <v>820</v>
      </c>
      <c r="B249" s="78" t="s">
        <v>96</v>
      </c>
      <c r="C249" s="78">
        <f>C248+(BudgetsTable[[#This Row],[lead]]&lt;&gt;K248)</f>
        <v>30</v>
      </c>
      <c r="D249" s="78">
        <f>D248*(BudgetsTable[[#This Row],[lead]]=K248)+(BudgetsTable[[#This Row],[prop_id]]&lt;&gt;A248)</f>
        <v>1</v>
      </c>
      <c r="E249" s="79">
        <v>42935.549305555556</v>
      </c>
      <c r="F249" s="80" t="s">
        <v>248</v>
      </c>
      <c r="G249" s="80" t="s">
        <v>1124</v>
      </c>
      <c r="H249" s="80" t="s">
        <v>1125</v>
      </c>
      <c r="I249" s="78" t="s">
        <v>596</v>
      </c>
      <c r="J249" s="78" t="s">
        <v>13</v>
      </c>
      <c r="K249" s="80" t="s">
        <v>820</v>
      </c>
      <c r="L249" s="7" t="str">
        <f>IF(BudgetsTable[[#This Row],[pi_last_name]]=" ","",HYPERLINK("https://www.ejacket.nsf.gov/ej/showProposal.do?Continue=Y&amp;ID="&amp;BudgetsTable[[#This Row],[prop_id]],BudgetsTable[[#This Row],[prop_id]]))</f>
        <v/>
      </c>
      <c r="M249" s="15" t="str">
        <f>IF(BudgetsTable[[#This Row],[pi_last_name]]=" ","",HYPERLINK("https://www.ejacket.nsf.gov/ej/processReviewAnalysis.do?dispatch=add&amp;uniqId="&amp;BudgetsTable[[#This Row],[prop_id]]&amp;PO_id,"&gt;ra"))</f>
        <v/>
      </c>
      <c r="N249" s="80" t="s">
        <v>13</v>
      </c>
      <c r="O249" s="7" t="str">
        <f>IF(BudgetsTable[[#This Row],[pi_last_name]]=" ","",HYPERLINK("mailto:"&amp;BudgetsTable[[#This Row],[pi_email]]&amp;"&amp;subject=Your NSF Proposal:  "&amp;BudgetsTable[[#This Row],[prop_id]],BudgetsTable[[#This Row],[pi_email]]))</f>
        <v/>
      </c>
      <c r="P249" s="80" t="s">
        <v>13</v>
      </c>
      <c r="Q249" s="80">
        <v>1</v>
      </c>
      <c r="R249" s="80">
        <v>0</v>
      </c>
      <c r="S249" s="81">
        <v>0</v>
      </c>
      <c r="T249" s="81">
        <v>0</v>
      </c>
      <c r="U249" s="81">
        <v>0</v>
      </c>
      <c r="V249" s="82">
        <v>97904</v>
      </c>
      <c r="W249" s="80">
        <v>0</v>
      </c>
      <c r="X249" s="80">
        <v>1</v>
      </c>
      <c r="Y249" s="11" t="str">
        <f ca="1">IF(ISBLANK(BudgetsTable[[#This Row],[budg_seq_yr]]),"FY"&amp;fiscalyear,"FY"&amp;fiscalyear-1+BudgetsTable[[#This Row],[budg_seq_yr]])</f>
        <v>FY18</v>
      </c>
      <c r="Z249" s="81">
        <v>97904</v>
      </c>
      <c r="AA249" s="80" t="s">
        <v>1124</v>
      </c>
      <c r="AB249" s="80" t="s">
        <v>1125</v>
      </c>
      <c r="AC249" s="108" t="s">
        <v>94</v>
      </c>
      <c r="AD249" s="80" t="s">
        <v>256</v>
      </c>
    </row>
    <row r="250" spans="1:30">
      <c r="A250" s="10" t="s">
        <v>820</v>
      </c>
      <c r="B250" s="78" t="s">
        <v>96</v>
      </c>
      <c r="C250" s="78">
        <f>C249+(BudgetsTable[[#This Row],[lead]]&lt;&gt;K249)</f>
        <v>30</v>
      </c>
      <c r="D250" s="78">
        <f>D249*(BudgetsTable[[#This Row],[lead]]=K249)+(BudgetsTable[[#This Row],[prop_id]]&lt;&gt;A249)</f>
        <v>1</v>
      </c>
      <c r="E250" s="79">
        <v>42935.549305555556</v>
      </c>
      <c r="F250" s="80" t="s">
        <v>248</v>
      </c>
      <c r="G250" s="80" t="s">
        <v>1124</v>
      </c>
      <c r="H250" s="80" t="s">
        <v>1125</v>
      </c>
      <c r="I250" s="78" t="s">
        <v>596</v>
      </c>
      <c r="J250" s="78" t="s">
        <v>13</v>
      </c>
      <c r="K250" s="80" t="s">
        <v>820</v>
      </c>
      <c r="L250" s="7" t="str">
        <f>IF(BudgetsTable[[#This Row],[pi_last_name]]=" ","",HYPERLINK("https://www.ejacket.nsf.gov/ej/showProposal.do?Continue=Y&amp;ID="&amp;BudgetsTable[[#This Row],[prop_id]],BudgetsTable[[#This Row],[prop_id]]))</f>
        <v/>
      </c>
      <c r="M250" s="15" t="str">
        <f>IF(BudgetsTable[[#This Row],[pi_last_name]]=" ","",HYPERLINK("https://www.ejacket.nsf.gov/ej/processReviewAnalysis.do?dispatch=add&amp;uniqId="&amp;BudgetsTable[[#This Row],[prop_id]]&amp;PO_id,"&gt;ra"))</f>
        <v/>
      </c>
      <c r="N250" s="80" t="s">
        <v>13</v>
      </c>
      <c r="O250" s="7" t="str">
        <f>IF(BudgetsTable[[#This Row],[pi_last_name]]=" ","",HYPERLINK("mailto:"&amp;BudgetsTable[[#This Row],[pi_email]]&amp;"&amp;subject=Your NSF Proposal:  "&amp;BudgetsTable[[#This Row],[prop_id]],BudgetsTable[[#This Row],[pi_email]]))</f>
        <v/>
      </c>
      <c r="P250" s="80" t="s">
        <v>13</v>
      </c>
      <c r="Q250" s="80">
        <v>1</v>
      </c>
      <c r="R250" s="80">
        <v>0</v>
      </c>
      <c r="S250" s="81">
        <v>0</v>
      </c>
      <c r="T250" s="81">
        <v>0</v>
      </c>
      <c r="U250" s="81">
        <v>0</v>
      </c>
      <c r="V250" s="82">
        <v>98410</v>
      </c>
      <c r="W250" s="80">
        <v>0</v>
      </c>
      <c r="X250" s="80">
        <v>2</v>
      </c>
      <c r="Y250" s="11" t="str">
        <f ca="1">IF(ISBLANK(BudgetsTable[[#This Row],[budg_seq_yr]]),"FY"&amp;fiscalyear,"FY"&amp;fiscalyear-1+BudgetsTable[[#This Row],[budg_seq_yr]])</f>
        <v>FY19</v>
      </c>
      <c r="Z250" s="81">
        <v>98410</v>
      </c>
      <c r="AA250" s="80" t="s">
        <v>1124</v>
      </c>
      <c r="AB250" s="80" t="s">
        <v>1125</v>
      </c>
      <c r="AC250" s="108" t="s">
        <v>94</v>
      </c>
      <c r="AD250" s="80" t="s">
        <v>256</v>
      </c>
    </row>
    <row r="251" spans="1:30">
      <c r="A251" s="10" t="s">
        <v>820</v>
      </c>
      <c r="B251" s="78" t="s">
        <v>96</v>
      </c>
      <c r="C251" s="78">
        <f>C250+(BudgetsTable[[#This Row],[lead]]&lt;&gt;K250)</f>
        <v>30</v>
      </c>
      <c r="D251" s="78">
        <f>D250*(BudgetsTable[[#This Row],[lead]]=K250)+(BudgetsTable[[#This Row],[prop_id]]&lt;&gt;A250)</f>
        <v>1</v>
      </c>
      <c r="E251" s="79">
        <v>42935.549305555556</v>
      </c>
      <c r="F251" s="80" t="s">
        <v>248</v>
      </c>
      <c r="G251" s="80" t="s">
        <v>1124</v>
      </c>
      <c r="H251" s="80" t="s">
        <v>1125</v>
      </c>
      <c r="I251" s="78" t="s">
        <v>596</v>
      </c>
      <c r="J251" s="78" t="s">
        <v>13</v>
      </c>
      <c r="K251" s="80" t="s">
        <v>820</v>
      </c>
      <c r="L251" s="7" t="str">
        <f>IF(BudgetsTable[[#This Row],[pi_last_name]]=" ","",HYPERLINK("https://www.ejacket.nsf.gov/ej/showProposal.do?Continue=Y&amp;ID="&amp;BudgetsTable[[#This Row],[prop_id]],BudgetsTable[[#This Row],[prop_id]]))</f>
        <v/>
      </c>
      <c r="M251" s="15" t="str">
        <f>IF(BudgetsTable[[#This Row],[pi_last_name]]=" ","",HYPERLINK("https://www.ejacket.nsf.gov/ej/processReviewAnalysis.do?dispatch=add&amp;uniqId="&amp;BudgetsTable[[#This Row],[prop_id]]&amp;PO_id,"&gt;ra"))</f>
        <v/>
      </c>
      <c r="N251" s="80" t="s">
        <v>13</v>
      </c>
      <c r="O251" s="7" t="str">
        <f>IF(BudgetsTable[[#This Row],[pi_last_name]]=" ","",HYPERLINK("mailto:"&amp;BudgetsTable[[#This Row],[pi_email]]&amp;"&amp;subject=Your NSF Proposal:  "&amp;BudgetsTable[[#This Row],[prop_id]],BudgetsTable[[#This Row],[pi_email]]))</f>
        <v/>
      </c>
      <c r="P251" s="80" t="s">
        <v>13</v>
      </c>
      <c r="Q251" s="80">
        <v>1</v>
      </c>
      <c r="R251" s="80">
        <v>0</v>
      </c>
      <c r="S251" s="81">
        <v>0</v>
      </c>
      <c r="T251" s="81">
        <v>0</v>
      </c>
      <c r="U251" s="81">
        <v>0</v>
      </c>
      <c r="V251" s="82">
        <v>100825</v>
      </c>
      <c r="W251" s="80">
        <v>0</v>
      </c>
      <c r="X251" s="80">
        <v>3</v>
      </c>
      <c r="Y251" s="11" t="str">
        <f ca="1">IF(ISBLANK(BudgetsTable[[#This Row],[budg_seq_yr]]),"FY"&amp;fiscalyear,"FY"&amp;fiscalyear-1+BudgetsTable[[#This Row],[budg_seq_yr]])</f>
        <v>FY20</v>
      </c>
      <c r="Z251" s="81">
        <v>100825</v>
      </c>
      <c r="AA251" s="80" t="s">
        <v>1124</v>
      </c>
      <c r="AB251" s="80" t="s">
        <v>1125</v>
      </c>
      <c r="AC251" s="108" t="s">
        <v>94</v>
      </c>
      <c r="AD251" s="80" t="s">
        <v>256</v>
      </c>
    </row>
    <row r="252" spans="1:30">
      <c r="A252" s="10" t="s">
        <v>820</v>
      </c>
      <c r="B252" s="78" t="s">
        <v>96</v>
      </c>
      <c r="C252" s="78">
        <f>C251+(BudgetsTable[[#This Row],[lead]]&lt;&gt;K251)</f>
        <v>30</v>
      </c>
      <c r="D252" s="78">
        <f>D251*(BudgetsTable[[#This Row],[lead]]=K251)+(BudgetsTable[[#This Row],[prop_id]]&lt;&gt;A251)</f>
        <v>1</v>
      </c>
      <c r="E252" s="79">
        <v>42935.549305555556</v>
      </c>
      <c r="F252" s="80" t="s">
        <v>248</v>
      </c>
      <c r="G252" s="80" t="s">
        <v>1124</v>
      </c>
      <c r="H252" s="80" t="s">
        <v>1125</v>
      </c>
      <c r="I252" s="78" t="s">
        <v>596</v>
      </c>
      <c r="J252" s="78" t="s">
        <v>13</v>
      </c>
      <c r="K252" s="80" t="s">
        <v>820</v>
      </c>
      <c r="L252" s="7" t="str">
        <f>IF(BudgetsTable[[#This Row],[pi_last_name]]=" ","",HYPERLINK("https://www.ejacket.nsf.gov/ej/showProposal.do?Continue=Y&amp;ID="&amp;BudgetsTable[[#This Row],[prop_id]],BudgetsTable[[#This Row],[prop_id]]))</f>
        <v/>
      </c>
      <c r="M252" s="15" t="str">
        <f>IF(BudgetsTable[[#This Row],[pi_last_name]]=" ","",HYPERLINK("https://www.ejacket.nsf.gov/ej/processReviewAnalysis.do?dispatch=add&amp;uniqId="&amp;BudgetsTable[[#This Row],[prop_id]]&amp;PO_id,"&gt;ra"))</f>
        <v/>
      </c>
      <c r="N252" s="80" t="s">
        <v>13</v>
      </c>
      <c r="O252" s="7" t="str">
        <f>IF(BudgetsTable[[#This Row],[pi_last_name]]=" ","",HYPERLINK("mailto:"&amp;BudgetsTable[[#This Row],[pi_email]]&amp;"&amp;subject=Your NSF Proposal:  "&amp;BudgetsTable[[#This Row],[prop_id]],BudgetsTable[[#This Row],[pi_email]]))</f>
        <v/>
      </c>
      <c r="P252" s="80" t="s">
        <v>13</v>
      </c>
      <c r="Q252" s="80">
        <v>1</v>
      </c>
      <c r="R252" s="80">
        <v>0</v>
      </c>
      <c r="S252" s="81">
        <v>0</v>
      </c>
      <c r="T252" s="81">
        <v>0</v>
      </c>
      <c r="U252" s="81">
        <v>0</v>
      </c>
      <c r="V252" s="82">
        <v>100464</v>
      </c>
      <c r="W252" s="80">
        <v>0</v>
      </c>
      <c r="X252" s="80">
        <v>4</v>
      </c>
      <c r="Y252" s="11" t="str">
        <f ca="1">IF(ISBLANK(BudgetsTable[[#This Row],[budg_seq_yr]]),"FY"&amp;fiscalyear,"FY"&amp;fiscalyear-1+BudgetsTable[[#This Row],[budg_seq_yr]])</f>
        <v>FY21</v>
      </c>
      <c r="Z252" s="81">
        <v>100464</v>
      </c>
      <c r="AA252" s="80" t="s">
        <v>1124</v>
      </c>
      <c r="AB252" s="80" t="s">
        <v>1125</v>
      </c>
      <c r="AC252" s="108" t="s">
        <v>94</v>
      </c>
      <c r="AD252" s="80" t="s">
        <v>256</v>
      </c>
    </row>
    <row r="253" spans="1:30">
      <c r="A253" s="10" t="s">
        <v>820</v>
      </c>
      <c r="B253" s="78" t="s">
        <v>96</v>
      </c>
      <c r="C253" s="78">
        <f>C252+(BudgetsTable[[#This Row],[lead]]&lt;&gt;K252)</f>
        <v>30</v>
      </c>
      <c r="D253" s="78">
        <f>D252*(BudgetsTable[[#This Row],[lead]]=K252)+(BudgetsTable[[#This Row],[prop_id]]&lt;&gt;A252)</f>
        <v>1</v>
      </c>
      <c r="E253" s="79">
        <v>42935.549305555556</v>
      </c>
      <c r="F253" s="80" t="s">
        <v>248</v>
      </c>
      <c r="G253" s="80" t="s">
        <v>1124</v>
      </c>
      <c r="H253" s="80" t="s">
        <v>1125</v>
      </c>
      <c r="I253" s="78" t="s">
        <v>596</v>
      </c>
      <c r="J253" s="78" t="s">
        <v>13</v>
      </c>
      <c r="K253" s="80" t="s">
        <v>820</v>
      </c>
      <c r="L253" s="7" t="str">
        <f>IF(BudgetsTable[[#This Row],[pi_last_name]]=" ","",HYPERLINK("https://www.ejacket.nsf.gov/ej/showProposal.do?Continue=Y&amp;ID="&amp;BudgetsTable[[#This Row],[prop_id]],BudgetsTable[[#This Row],[prop_id]]))</f>
        <v/>
      </c>
      <c r="M253" s="15" t="str">
        <f>IF(BudgetsTable[[#This Row],[pi_last_name]]=" ","",HYPERLINK("https://www.ejacket.nsf.gov/ej/processReviewAnalysis.do?dispatch=add&amp;uniqId="&amp;BudgetsTable[[#This Row],[prop_id]]&amp;PO_id,"&gt;ra"))</f>
        <v/>
      </c>
      <c r="N253" s="80" t="s">
        <v>13</v>
      </c>
      <c r="O253" s="7" t="str">
        <f>IF(BudgetsTable[[#This Row],[pi_last_name]]=" ","",HYPERLINK("mailto:"&amp;BudgetsTable[[#This Row],[pi_email]]&amp;"&amp;subject=Your NSF Proposal:  "&amp;BudgetsTable[[#This Row],[prop_id]],BudgetsTable[[#This Row],[pi_email]]))</f>
        <v/>
      </c>
      <c r="P253" s="80" t="s">
        <v>13</v>
      </c>
      <c r="Q253" s="80">
        <v>1</v>
      </c>
      <c r="R253" s="80">
        <v>0</v>
      </c>
      <c r="S253" s="81">
        <v>0</v>
      </c>
      <c r="T253" s="81">
        <v>0</v>
      </c>
      <c r="U253" s="81">
        <v>0</v>
      </c>
      <c r="V253" s="82">
        <v>102397</v>
      </c>
      <c r="W253" s="80">
        <v>0</v>
      </c>
      <c r="X253" s="80">
        <v>5</v>
      </c>
      <c r="Y253" s="11" t="str">
        <f ca="1">IF(ISBLANK(BudgetsTable[[#This Row],[budg_seq_yr]]),"FY"&amp;fiscalyear,"FY"&amp;fiscalyear-1+BudgetsTable[[#This Row],[budg_seq_yr]])</f>
        <v>FY22</v>
      </c>
      <c r="Z253" s="81">
        <v>102397</v>
      </c>
      <c r="AA253" s="80" t="s">
        <v>1124</v>
      </c>
      <c r="AB253" s="80" t="s">
        <v>1125</v>
      </c>
      <c r="AC253" s="108" t="s">
        <v>94</v>
      </c>
      <c r="AD253" s="80" t="s">
        <v>256</v>
      </c>
    </row>
    <row r="254" spans="1:30">
      <c r="A254" s="10" t="s">
        <v>830</v>
      </c>
      <c r="B254" s="78" t="s">
        <v>96</v>
      </c>
      <c r="C254" s="78">
        <f>C253+(BudgetsTable[[#This Row],[lead]]&lt;&gt;K253)</f>
        <v>31</v>
      </c>
      <c r="D254" s="78">
        <f>D253*(BudgetsTable[[#This Row],[lead]]=K253)+(BudgetsTable[[#This Row],[prop_id]]&lt;&gt;A253)</f>
        <v>1</v>
      </c>
      <c r="E254" s="79">
        <v>42935.570138888892</v>
      </c>
      <c r="F254" s="80" t="s">
        <v>248</v>
      </c>
      <c r="G254" s="80" t="s">
        <v>1124</v>
      </c>
      <c r="H254" s="80" t="s">
        <v>1125</v>
      </c>
      <c r="I254" s="78" t="s">
        <v>596</v>
      </c>
      <c r="J254" s="78" t="s">
        <v>1310</v>
      </c>
      <c r="K254" s="80" t="s">
        <v>830</v>
      </c>
      <c r="L254" s="7" t="str">
        <f>IF(BudgetsTable[[#This Row],[pi_last_name]]=" ","",HYPERLINK("https://www.ejacket.nsf.gov/ej/showProposal.do?Continue=Y&amp;ID="&amp;BudgetsTable[[#This Row],[prop_id]],BudgetsTable[[#This Row],[prop_id]]))</f>
        <v>1750533</v>
      </c>
      <c r="M254" s="15" t="str">
        <f>IF(BudgetsTable[[#This Row],[pi_last_name]]=" ","",HYPERLINK("https://www.ejacket.nsf.gov/ej/processReviewAnalysis.do?dispatch=add&amp;uniqId="&amp;BudgetsTable[[#This Row],[prop_id]]&amp;PO_id,"&gt;ra"))</f>
        <v>&gt;ra</v>
      </c>
      <c r="N254" s="80" t="s">
        <v>347</v>
      </c>
      <c r="O254" s="7" t="str">
        <f>IF(BudgetsTable[[#This Row],[pi_last_name]]=" ","",HYPERLINK("mailto:"&amp;BudgetsTable[[#This Row],[pi_email]]&amp;"&amp;subject=Your NSF Proposal:  "&amp;BudgetsTable[[#This Row],[prop_id]],BudgetsTable[[#This Row],[pi_email]]))</f>
        <v>dwang5@nd.edu</v>
      </c>
      <c r="P254" s="80" t="s">
        <v>1307</v>
      </c>
      <c r="Q254" s="80"/>
      <c r="R254" s="80"/>
      <c r="S254" s="81"/>
      <c r="T254" s="81"/>
      <c r="U254" s="81"/>
      <c r="V254" s="82"/>
      <c r="W254" s="80">
        <v>0</v>
      </c>
      <c r="X254" s="80"/>
      <c r="Y254" s="11" t="str">
        <f ca="1">IF(ISBLANK(BudgetsTable[[#This Row],[budg_seq_yr]]),"FY"&amp;fiscalyear,"FY"&amp;fiscalyear-1+BudgetsTable[[#This Row],[budg_seq_yr]])</f>
        <v>FY18</v>
      </c>
      <c r="Z254" s="81">
        <v>533683</v>
      </c>
      <c r="AA254" s="80" t="s">
        <v>1124</v>
      </c>
      <c r="AB254" s="80" t="s">
        <v>1125</v>
      </c>
      <c r="AC254" s="108" t="s">
        <v>94</v>
      </c>
      <c r="AD254" s="80" t="s">
        <v>256</v>
      </c>
    </row>
    <row r="255" spans="1:30">
      <c r="A255" s="10" t="s">
        <v>830</v>
      </c>
      <c r="B255" s="78" t="s">
        <v>96</v>
      </c>
      <c r="C255" s="78">
        <f>C254+(BudgetsTable[[#This Row],[lead]]&lt;&gt;K254)</f>
        <v>31</v>
      </c>
      <c r="D255" s="78">
        <f>D254*(BudgetsTable[[#This Row],[lead]]=K254)+(BudgetsTable[[#This Row],[prop_id]]&lt;&gt;A254)</f>
        <v>1</v>
      </c>
      <c r="E255" s="79">
        <v>42935.570138888892</v>
      </c>
      <c r="F255" s="80" t="s">
        <v>248</v>
      </c>
      <c r="G255" s="80" t="s">
        <v>1124</v>
      </c>
      <c r="H255" s="80" t="s">
        <v>1125</v>
      </c>
      <c r="I255" s="78" t="s">
        <v>596</v>
      </c>
      <c r="J255" s="78" t="s">
        <v>13</v>
      </c>
      <c r="K255" s="80" t="s">
        <v>830</v>
      </c>
      <c r="L255" s="7" t="str">
        <f>IF(BudgetsTable[[#This Row],[pi_last_name]]=" ","",HYPERLINK("https://www.ejacket.nsf.gov/ej/showProposal.do?Continue=Y&amp;ID="&amp;BudgetsTable[[#This Row],[prop_id]],BudgetsTable[[#This Row],[prop_id]]))</f>
        <v/>
      </c>
      <c r="M255" s="15" t="str">
        <f>IF(BudgetsTable[[#This Row],[pi_last_name]]=" ","",HYPERLINK("https://www.ejacket.nsf.gov/ej/processReviewAnalysis.do?dispatch=add&amp;uniqId="&amp;BudgetsTable[[#This Row],[prop_id]]&amp;PO_id,"&gt;ra"))</f>
        <v/>
      </c>
      <c r="N255" s="80" t="s">
        <v>13</v>
      </c>
      <c r="O255" s="7" t="str">
        <f>IF(BudgetsTable[[#This Row],[pi_last_name]]=" ","",HYPERLINK("mailto:"&amp;BudgetsTable[[#This Row],[pi_email]]&amp;"&amp;subject=Your NSF Proposal:  "&amp;BudgetsTable[[#This Row],[prop_id]],BudgetsTable[[#This Row],[pi_email]]))</f>
        <v/>
      </c>
      <c r="P255" s="80" t="s">
        <v>13</v>
      </c>
      <c r="Q255" s="80">
        <v>1</v>
      </c>
      <c r="R255" s="80">
        <v>1</v>
      </c>
      <c r="S255" s="81">
        <v>0</v>
      </c>
      <c r="T255" s="81">
        <v>3000</v>
      </c>
      <c r="U255" s="81">
        <v>0</v>
      </c>
      <c r="V255" s="82">
        <v>91334</v>
      </c>
      <c r="W255" s="80">
        <v>0</v>
      </c>
      <c r="X255" s="80">
        <v>1</v>
      </c>
      <c r="Y255" s="11" t="str">
        <f ca="1">IF(ISBLANK(BudgetsTable[[#This Row],[budg_seq_yr]]),"FY"&amp;fiscalyear,"FY"&amp;fiscalyear-1+BudgetsTable[[#This Row],[budg_seq_yr]])</f>
        <v>FY18</v>
      </c>
      <c r="Z255" s="81">
        <v>91334</v>
      </c>
      <c r="AA255" s="80" t="s">
        <v>1124</v>
      </c>
      <c r="AB255" s="80" t="s">
        <v>1125</v>
      </c>
      <c r="AC255" s="108" t="s">
        <v>94</v>
      </c>
      <c r="AD255" s="80" t="s">
        <v>256</v>
      </c>
    </row>
    <row r="256" spans="1:30">
      <c r="A256" s="10" t="s">
        <v>830</v>
      </c>
      <c r="B256" s="78" t="s">
        <v>96</v>
      </c>
      <c r="C256" s="78">
        <f>C255+(BudgetsTable[[#This Row],[lead]]&lt;&gt;K255)</f>
        <v>31</v>
      </c>
      <c r="D256" s="78">
        <f>D255*(BudgetsTable[[#This Row],[lead]]=K255)+(BudgetsTable[[#This Row],[prop_id]]&lt;&gt;A255)</f>
        <v>1</v>
      </c>
      <c r="E256" s="79">
        <v>42935.570138888892</v>
      </c>
      <c r="F256" s="80" t="s">
        <v>248</v>
      </c>
      <c r="G256" s="80" t="s">
        <v>1124</v>
      </c>
      <c r="H256" s="80" t="s">
        <v>1125</v>
      </c>
      <c r="I256" s="78" t="s">
        <v>596</v>
      </c>
      <c r="J256" s="78" t="s">
        <v>13</v>
      </c>
      <c r="K256" s="80" t="s">
        <v>830</v>
      </c>
      <c r="L256" s="7" t="str">
        <f>IF(BudgetsTable[[#This Row],[pi_last_name]]=" ","",HYPERLINK("https://www.ejacket.nsf.gov/ej/showProposal.do?Continue=Y&amp;ID="&amp;BudgetsTable[[#This Row],[prop_id]],BudgetsTable[[#This Row],[prop_id]]))</f>
        <v/>
      </c>
      <c r="M256" s="15" t="str">
        <f>IF(BudgetsTable[[#This Row],[pi_last_name]]=" ","",HYPERLINK("https://www.ejacket.nsf.gov/ej/processReviewAnalysis.do?dispatch=add&amp;uniqId="&amp;BudgetsTable[[#This Row],[prop_id]]&amp;PO_id,"&gt;ra"))</f>
        <v/>
      </c>
      <c r="N256" s="80" t="s">
        <v>13</v>
      </c>
      <c r="O256" s="7" t="str">
        <f>IF(BudgetsTable[[#This Row],[pi_last_name]]=" ","",HYPERLINK("mailto:"&amp;BudgetsTable[[#This Row],[pi_email]]&amp;"&amp;subject=Your NSF Proposal:  "&amp;BudgetsTable[[#This Row],[prop_id]],BudgetsTable[[#This Row],[pi_email]]))</f>
        <v/>
      </c>
      <c r="P256" s="80" t="s">
        <v>13</v>
      </c>
      <c r="Q256" s="80">
        <v>1</v>
      </c>
      <c r="R256" s="80">
        <v>1</v>
      </c>
      <c r="S256" s="81">
        <v>0</v>
      </c>
      <c r="T256" s="81">
        <v>3000</v>
      </c>
      <c r="U256" s="81">
        <v>0</v>
      </c>
      <c r="V256" s="82">
        <v>100019</v>
      </c>
      <c r="W256" s="80">
        <v>0</v>
      </c>
      <c r="X256" s="80">
        <v>2</v>
      </c>
      <c r="Y256" s="11" t="str">
        <f ca="1">IF(ISBLANK(BudgetsTable[[#This Row],[budg_seq_yr]]),"FY"&amp;fiscalyear,"FY"&amp;fiscalyear-1+BudgetsTable[[#This Row],[budg_seq_yr]])</f>
        <v>FY19</v>
      </c>
      <c r="Z256" s="81">
        <v>100019</v>
      </c>
      <c r="AA256" s="80" t="s">
        <v>1124</v>
      </c>
      <c r="AB256" s="80" t="s">
        <v>1125</v>
      </c>
      <c r="AC256" s="108" t="s">
        <v>94</v>
      </c>
      <c r="AD256" s="80" t="s">
        <v>256</v>
      </c>
    </row>
    <row r="257" spans="1:30">
      <c r="A257" s="10" t="s">
        <v>830</v>
      </c>
      <c r="B257" s="78" t="s">
        <v>96</v>
      </c>
      <c r="C257" s="78">
        <f>C256+(BudgetsTable[[#This Row],[lead]]&lt;&gt;K256)</f>
        <v>31</v>
      </c>
      <c r="D257" s="78">
        <f>D256*(BudgetsTable[[#This Row],[lead]]=K256)+(BudgetsTable[[#This Row],[prop_id]]&lt;&gt;A256)</f>
        <v>1</v>
      </c>
      <c r="E257" s="79">
        <v>42935.570138888892</v>
      </c>
      <c r="F257" s="80" t="s">
        <v>248</v>
      </c>
      <c r="G257" s="80" t="s">
        <v>1124</v>
      </c>
      <c r="H257" s="80" t="s">
        <v>1125</v>
      </c>
      <c r="I257" s="78" t="s">
        <v>596</v>
      </c>
      <c r="J257" s="78" t="s">
        <v>13</v>
      </c>
      <c r="K257" s="80" t="s">
        <v>830</v>
      </c>
      <c r="L257" s="7" t="str">
        <f>IF(BudgetsTable[[#This Row],[pi_last_name]]=" ","",HYPERLINK("https://www.ejacket.nsf.gov/ej/showProposal.do?Continue=Y&amp;ID="&amp;BudgetsTable[[#This Row],[prop_id]],BudgetsTable[[#This Row],[prop_id]]))</f>
        <v/>
      </c>
      <c r="M257" s="15" t="str">
        <f>IF(BudgetsTable[[#This Row],[pi_last_name]]=" ","",HYPERLINK("https://www.ejacket.nsf.gov/ej/processReviewAnalysis.do?dispatch=add&amp;uniqId="&amp;BudgetsTable[[#This Row],[prop_id]]&amp;PO_id,"&gt;ra"))</f>
        <v/>
      </c>
      <c r="N257" s="80" t="s">
        <v>13</v>
      </c>
      <c r="O257" s="7" t="str">
        <f>IF(BudgetsTable[[#This Row],[pi_last_name]]=" ","",HYPERLINK("mailto:"&amp;BudgetsTable[[#This Row],[pi_email]]&amp;"&amp;subject=Your NSF Proposal:  "&amp;BudgetsTable[[#This Row],[prop_id]],BudgetsTable[[#This Row],[pi_email]]))</f>
        <v/>
      </c>
      <c r="P257" s="80" t="s">
        <v>13</v>
      </c>
      <c r="Q257" s="80">
        <v>1</v>
      </c>
      <c r="R257" s="80">
        <v>1</v>
      </c>
      <c r="S257" s="81">
        <v>0</v>
      </c>
      <c r="T257" s="81">
        <v>3000</v>
      </c>
      <c r="U257" s="81">
        <v>0</v>
      </c>
      <c r="V257" s="82">
        <v>108808</v>
      </c>
      <c r="W257" s="80">
        <v>0</v>
      </c>
      <c r="X257" s="80">
        <v>3</v>
      </c>
      <c r="Y257" s="11" t="str">
        <f ca="1">IF(ISBLANK(BudgetsTable[[#This Row],[budg_seq_yr]]),"FY"&amp;fiscalyear,"FY"&amp;fiscalyear-1+BudgetsTable[[#This Row],[budg_seq_yr]])</f>
        <v>FY20</v>
      </c>
      <c r="Z257" s="81">
        <v>108808</v>
      </c>
      <c r="AA257" s="80" t="s">
        <v>1124</v>
      </c>
      <c r="AB257" s="80" t="s">
        <v>1125</v>
      </c>
      <c r="AC257" s="108" t="s">
        <v>94</v>
      </c>
      <c r="AD257" s="80" t="s">
        <v>256</v>
      </c>
    </row>
    <row r="258" spans="1:30">
      <c r="A258" s="10" t="s">
        <v>830</v>
      </c>
      <c r="B258" s="78" t="s">
        <v>96</v>
      </c>
      <c r="C258" s="78">
        <f>C257+(BudgetsTable[[#This Row],[lead]]&lt;&gt;K257)</f>
        <v>31</v>
      </c>
      <c r="D258" s="78">
        <f>D257*(BudgetsTable[[#This Row],[lead]]=K257)+(BudgetsTable[[#This Row],[prop_id]]&lt;&gt;A257)</f>
        <v>1</v>
      </c>
      <c r="E258" s="79">
        <v>42935.570138888892</v>
      </c>
      <c r="F258" s="80" t="s">
        <v>248</v>
      </c>
      <c r="G258" s="80" t="s">
        <v>1124</v>
      </c>
      <c r="H258" s="80" t="s">
        <v>1125</v>
      </c>
      <c r="I258" s="78" t="s">
        <v>596</v>
      </c>
      <c r="J258" s="78" t="s">
        <v>13</v>
      </c>
      <c r="K258" s="80" t="s">
        <v>830</v>
      </c>
      <c r="L258" s="7" t="str">
        <f>IF(BudgetsTable[[#This Row],[pi_last_name]]=" ","",HYPERLINK("https://www.ejacket.nsf.gov/ej/showProposal.do?Continue=Y&amp;ID="&amp;BudgetsTable[[#This Row],[prop_id]],BudgetsTable[[#This Row],[prop_id]]))</f>
        <v/>
      </c>
      <c r="M258" s="15" t="str">
        <f>IF(BudgetsTable[[#This Row],[pi_last_name]]=" ","",HYPERLINK("https://www.ejacket.nsf.gov/ej/processReviewAnalysis.do?dispatch=add&amp;uniqId="&amp;BudgetsTable[[#This Row],[prop_id]]&amp;PO_id,"&gt;ra"))</f>
        <v/>
      </c>
      <c r="N258" s="80" t="s">
        <v>13</v>
      </c>
      <c r="O258" s="7" t="str">
        <f>IF(BudgetsTable[[#This Row],[pi_last_name]]=" ","",HYPERLINK("mailto:"&amp;BudgetsTable[[#This Row],[pi_email]]&amp;"&amp;subject=Your NSF Proposal:  "&amp;BudgetsTable[[#This Row],[prop_id]],BudgetsTable[[#This Row],[pi_email]]))</f>
        <v/>
      </c>
      <c r="P258" s="80" t="s">
        <v>13</v>
      </c>
      <c r="Q258" s="80">
        <v>1</v>
      </c>
      <c r="R258" s="80">
        <v>1</v>
      </c>
      <c r="S258" s="81">
        <v>0</v>
      </c>
      <c r="T258" s="81">
        <v>3000</v>
      </c>
      <c r="U258" s="81">
        <v>0</v>
      </c>
      <c r="V258" s="82">
        <v>111506</v>
      </c>
      <c r="W258" s="80">
        <v>0</v>
      </c>
      <c r="X258" s="80">
        <v>4</v>
      </c>
      <c r="Y258" s="11" t="str">
        <f ca="1">IF(ISBLANK(BudgetsTable[[#This Row],[budg_seq_yr]]),"FY"&amp;fiscalyear,"FY"&amp;fiscalyear-1+BudgetsTable[[#This Row],[budg_seq_yr]])</f>
        <v>FY21</v>
      </c>
      <c r="Z258" s="81">
        <v>111506</v>
      </c>
      <c r="AA258" s="80" t="s">
        <v>1124</v>
      </c>
      <c r="AB258" s="80" t="s">
        <v>1125</v>
      </c>
      <c r="AC258" s="108" t="s">
        <v>94</v>
      </c>
      <c r="AD258" s="80" t="s">
        <v>256</v>
      </c>
    </row>
    <row r="259" spans="1:30">
      <c r="A259" s="10" t="s">
        <v>830</v>
      </c>
      <c r="B259" s="78" t="s">
        <v>96</v>
      </c>
      <c r="C259" s="78">
        <f>C258+(BudgetsTable[[#This Row],[lead]]&lt;&gt;K258)</f>
        <v>31</v>
      </c>
      <c r="D259" s="78">
        <f>D258*(BudgetsTable[[#This Row],[lead]]=K258)+(BudgetsTable[[#This Row],[prop_id]]&lt;&gt;A258)</f>
        <v>1</v>
      </c>
      <c r="E259" s="79">
        <v>42935.570138888892</v>
      </c>
      <c r="F259" s="80" t="s">
        <v>248</v>
      </c>
      <c r="G259" s="80" t="s">
        <v>1124</v>
      </c>
      <c r="H259" s="80" t="s">
        <v>1125</v>
      </c>
      <c r="I259" s="78" t="s">
        <v>596</v>
      </c>
      <c r="J259" s="78" t="s">
        <v>13</v>
      </c>
      <c r="K259" s="80" t="s">
        <v>830</v>
      </c>
      <c r="L259" s="7" t="str">
        <f>IF(BudgetsTable[[#This Row],[pi_last_name]]=" ","",HYPERLINK("https://www.ejacket.nsf.gov/ej/showProposal.do?Continue=Y&amp;ID="&amp;BudgetsTable[[#This Row],[prop_id]],BudgetsTable[[#This Row],[prop_id]]))</f>
        <v/>
      </c>
      <c r="M259" s="15" t="str">
        <f>IF(BudgetsTable[[#This Row],[pi_last_name]]=" ","",HYPERLINK("https://www.ejacket.nsf.gov/ej/processReviewAnalysis.do?dispatch=add&amp;uniqId="&amp;BudgetsTable[[#This Row],[prop_id]]&amp;PO_id,"&gt;ra"))</f>
        <v/>
      </c>
      <c r="N259" s="80" t="s">
        <v>13</v>
      </c>
      <c r="O259" s="7" t="str">
        <f>IF(BudgetsTable[[#This Row],[pi_last_name]]=" ","",HYPERLINK("mailto:"&amp;BudgetsTable[[#This Row],[pi_email]]&amp;"&amp;subject=Your NSF Proposal:  "&amp;BudgetsTable[[#This Row],[prop_id]],BudgetsTable[[#This Row],[pi_email]]))</f>
        <v/>
      </c>
      <c r="P259" s="80" t="s">
        <v>13</v>
      </c>
      <c r="Q259" s="80">
        <v>1</v>
      </c>
      <c r="R259" s="80">
        <v>1</v>
      </c>
      <c r="S259" s="81">
        <v>0</v>
      </c>
      <c r="T259" s="81">
        <v>3000</v>
      </c>
      <c r="U259" s="81">
        <v>0</v>
      </c>
      <c r="V259" s="82">
        <v>122016</v>
      </c>
      <c r="W259" s="80">
        <v>0</v>
      </c>
      <c r="X259" s="80">
        <v>5</v>
      </c>
      <c r="Y259" s="11" t="str">
        <f ca="1">IF(ISBLANK(BudgetsTable[[#This Row],[budg_seq_yr]]),"FY"&amp;fiscalyear,"FY"&amp;fiscalyear-1+BudgetsTable[[#This Row],[budg_seq_yr]])</f>
        <v>FY22</v>
      </c>
      <c r="Z259" s="81">
        <v>122016</v>
      </c>
      <c r="AA259" s="80" t="s">
        <v>1124</v>
      </c>
      <c r="AB259" s="80" t="s">
        <v>1125</v>
      </c>
      <c r="AC259" s="108" t="s">
        <v>94</v>
      </c>
      <c r="AD259" s="80" t="s">
        <v>256</v>
      </c>
    </row>
    <row r="260" spans="1:30">
      <c r="A260" s="10" t="s">
        <v>837</v>
      </c>
      <c r="B260" s="78" t="s">
        <v>96</v>
      </c>
      <c r="C260" s="78">
        <f>C259+(BudgetsTable[[#This Row],[lead]]&lt;&gt;K259)</f>
        <v>32</v>
      </c>
      <c r="D260" s="78">
        <f>D259*(BudgetsTable[[#This Row],[lead]]=K259)+(BudgetsTable[[#This Row],[prop_id]]&lt;&gt;A259)</f>
        <v>1</v>
      </c>
      <c r="E260" s="79">
        <v>42935.572222222225</v>
      </c>
      <c r="F260" s="80" t="s">
        <v>248</v>
      </c>
      <c r="G260" s="80" t="s">
        <v>1124</v>
      </c>
      <c r="H260" s="80" t="s">
        <v>1125</v>
      </c>
      <c r="I260" s="78" t="s">
        <v>596</v>
      </c>
      <c r="J260" s="78" t="s">
        <v>1313</v>
      </c>
      <c r="K260" s="80" t="s">
        <v>837</v>
      </c>
      <c r="L260" s="7" t="str">
        <f>IF(BudgetsTable[[#This Row],[pi_last_name]]=" ","",HYPERLINK("https://www.ejacket.nsf.gov/ej/showProposal.do?Continue=Y&amp;ID="&amp;BudgetsTable[[#This Row],[prop_id]],BudgetsTable[[#This Row],[prop_id]]))</f>
        <v>1750541</v>
      </c>
      <c r="M260" s="15" t="str">
        <f>IF(BudgetsTable[[#This Row],[pi_last_name]]=" ","",HYPERLINK("https://www.ejacket.nsf.gov/ej/processReviewAnalysis.do?dispatch=add&amp;uniqId="&amp;BudgetsTable[[#This Row],[prop_id]]&amp;PO_id,"&gt;ra"))</f>
        <v>&gt;ra</v>
      </c>
      <c r="N260" s="80" t="s">
        <v>838</v>
      </c>
      <c r="O260" s="7" t="str">
        <f>IF(BudgetsTable[[#This Row],[pi_last_name]]=" ","",HYPERLINK("mailto:"&amp;BudgetsTable[[#This Row],[pi_email]]&amp;"&amp;subject=Your NSF Proposal:  "&amp;BudgetsTable[[#This Row],[prop_id]],BudgetsTable[[#This Row],[pi_email]]))</f>
        <v>zdkong@ucdavis.edu</v>
      </c>
      <c r="P260" s="80" t="s">
        <v>567</v>
      </c>
      <c r="Q260" s="80"/>
      <c r="R260" s="80"/>
      <c r="S260" s="81"/>
      <c r="T260" s="81"/>
      <c r="U260" s="81"/>
      <c r="V260" s="82"/>
      <c r="W260" s="80">
        <v>0</v>
      </c>
      <c r="X260" s="80"/>
      <c r="Y260" s="11" t="str">
        <f ca="1">IF(ISBLANK(BudgetsTable[[#This Row],[budg_seq_yr]]),"FY"&amp;fiscalyear,"FY"&amp;fiscalyear-1+BudgetsTable[[#This Row],[budg_seq_yr]])</f>
        <v>FY18</v>
      </c>
      <c r="Z260" s="81">
        <v>588632</v>
      </c>
      <c r="AA260" s="80" t="s">
        <v>1124</v>
      </c>
      <c r="AB260" s="80" t="s">
        <v>1125</v>
      </c>
      <c r="AC260" s="108" t="s">
        <v>94</v>
      </c>
      <c r="AD260" s="80" t="s">
        <v>256</v>
      </c>
    </row>
    <row r="261" spans="1:30">
      <c r="A261" s="10" t="s">
        <v>837</v>
      </c>
      <c r="B261" s="78" t="s">
        <v>96</v>
      </c>
      <c r="C261" s="78">
        <f>C260+(BudgetsTable[[#This Row],[lead]]&lt;&gt;K260)</f>
        <v>32</v>
      </c>
      <c r="D261" s="78">
        <f>D260*(BudgetsTable[[#This Row],[lead]]=K260)+(BudgetsTable[[#This Row],[prop_id]]&lt;&gt;A260)</f>
        <v>1</v>
      </c>
      <c r="E261" s="79">
        <v>42935.572222222225</v>
      </c>
      <c r="F261" s="80" t="s">
        <v>248</v>
      </c>
      <c r="G261" s="80" t="s">
        <v>1124</v>
      </c>
      <c r="H261" s="80" t="s">
        <v>1125</v>
      </c>
      <c r="I261" s="78" t="s">
        <v>596</v>
      </c>
      <c r="J261" s="78" t="s">
        <v>13</v>
      </c>
      <c r="K261" s="80" t="s">
        <v>837</v>
      </c>
      <c r="L261" s="7" t="str">
        <f>IF(BudgetsTable[[#This Row],[pi_last_name]]=" ","",HYPERLINK("https://www.ejacket.nsf.gov/ej/showProposal.do?Continue=Y&amp;ID="&amp;BudgetsTable[[#This Row],[prop_id]],BudgetsTable[[#This Row],[prop_id]]))</f>
        <v/>
      </c>
      <c r="M261" s="15" t="str">
        <f>IF(BudgetsTable[[#This Row],[pi_last_name]]=" ","",HYPERLINK("https://www.ejacket.nsf.gov/ej/processReviewAnalysis.do?dispatch=add&amp;uniqId="&amp;BudgetsTable[[#This Row],[prop_id]]&amp;PO_id,"&gt;ra"))</f>
        <v/>
      </c>
      <c r="N261" s="80" t="s">
        <v>13</v>
      </c>
      <c r="O261" s="7" t="str">
        <f>IF(BudgetsTable[[#This Row],[pi_last_name]]=" ","",HYPERLINK("mailto:"&amp;BudgetsTable[[#This Row],[pi_email]]&amp;"&amp;subject=Your NSF Proposal:  "&amp;BudgetsTable[[#This Row],[prop_id]],BudgetsTable[[#This Row],[pi_email]]))</f>
        <v/>
      </c>
      <c r="P261" s="80" t="s">
        <v>13</v>
      </c>
      <c r="Q261" s="80">
        <v>1</v>
      </c>
      <c r="R261" s="80">
        <v>0.5</v>
      </c>
      <c r="S261" s="81">
        <v>0</v>
      </c>
      <c r="T261" s="81">
        <v>0</v>
      </c>
      <c r="U261" s="81">
        <v>1200</v>
      </c>
      <c r="V261" s="82">
        <v>110741</v>
      </c>
      <c r="W261" s="80">
        <v>0</v>
      </c>
      <c r="X261" s="80">
        <v>1</v>
      </c>
      <c r="Y261" s="11" t="str">
        <f ca="1">IF(ISBLANK(BudgetsTable[[#This Row],[budg_seq_yr]]),"FY"&amp;fiscalyear,"FY"&amp;fiscalyear-1+BudgetsTable[[#This Row],[budg_seq_yr]])</f>
        <v>FY18</v>
      </c>
      <c r="Z261" s="81">
        <v>110741</v>
      </c>
      <c r="AA261" s="80" t="s">
        <v>1124</v>
      </c>
      <c r="AB261" s="80" t="s">
        <v>1125</v>
      </c>
      <c r="AC261" s="108" t="s">
        <v>94</v>
      </c>
      <c r="AD261" s="80" t="s">
        <v>256</v>
      </c>
    </row>
    <row r="262" spans="1:30">
      <c r="A262" s="10" t="s">
        <v>837</v>
      </c>
      <c r="B262" s="78" t="s">
        <v>96</v>
      </c>
      <c r="C262" s="78">
        <f>C261+(BudgetsTable[[#This Row],[lead]]&lt;&gt;K261)</f>
        <v>32</v>
      </c>
      <c r="D262" s="78">
        <f>D261*(BudgetsTable[[#This Row],[lead]]=K261)+(BudgetsTable[[#This Row],[prop_id]]&lt;&gt;A261)</f>
        <v>1</v>
      </c>
      <c r="E262" s="79">
        <v>42935.572222222225</v>
      </c>
      <c r="F262" s="80" t="s">
        <v>248</v>
      </c>
      <c r="G262" s="80" t="s">
        <v>1124</v>
      </c>
      <c r="H262" s="80" t="s">
        <v>1125</v>
      </c>
      <c r="I262" s="78" t="s">
        <v>596</v>
      </c>
      <c r="J262" s="78" t="s">
        <v>13</v>
      </c>
      <c r="K262" s="80" t="s">
        <v>837</v>
      </c>
      <c r="L262" s="7" t="str">
        <f>IF(BudgetsTable[[#This Row],[pi_last_name]]=" ","",HYPERLINK("https://www.ejacket.nsf.gov/ej/showProposal.do?Continue=Y&amp;ID="&amp;BudgetsTable[[#This Row],[prop_id]],BudgetsTable[[#This Row],[prop_id]]))</f>
        <v/>
      </c>
      <c r="M262" s="15" t="str">
        <f>IF(BudgetsTable[[#This Row],[pi_last_name]]=" ","",HYPERLINK("https://www.ejacket.nsf.gov/ej/processReviewAnalysis.do?dispatch=add&amp;uniqId="&amp;BudgetsTable[[#This Row],[prop_id]]&amp;PO_id,"&gt;ra"))</f>
        <v/>
      </c>
      <c r="N262" s="80" t="s">
        <v>13</v>
      </c>
      <c r="O262" s="7" t="str">
        <f>IF(BudgetsTable[[#This Row],[pi_last_name]]=" ","",HYPERLINK("mailto:"&amp;BudgetsTable[[#This Row],[pi_email]]&amp;"&amp;subject=Your NSF Proposal:  "&amp;BudgetsTable[[#This Row],[prop_id]],BudgetsTable[[#This Row],[pi_email]]))</f>
        <v/>
      </c>
      <c r="P262" s="80" t="s">
        <v>13</v>
      </c>
      <c r="Q262" s="80">
        <v>1</v>
      </c>
      <c r="R262" s="80">
        <v>0.5</v>
      </c>
      <c r="S262" s="81">
        <v>0</v>
      </c>
      <c r="T262" s="81">
        <v>0</v>
      </c>
      <c r="U262" s="81">
        <v>1200</v>
      </c>
      <c r="V262" s="82">
        <v>114963</v>
      </c>
      <c r="W262" s="80">
        <v>0</v>
      </c>
      <c r="X262" s="80">
        <v>2</v>
      </c>
      <c r="Y262" s="11" t="str">
        <f ca="1">IF(ISBLANK(BudgetsTable[[#This Row],[budg_seq_yr]]),"FY"&amp;fiscalyear,"FY"&amp;fiscalyear-1+BudgetsTable[[#This Row],[budg_seq_yr]])</f>
        <v>FY19</v>
      </c>
      <c r="Z262" s="81">
        <v>114963</v>
      </c>
      <c r="AA262" s="80" t="s">
        <v>1124</v>
      </c>
      <c r="AB262" s="80" t="s">
        <v>1125</v>
      </c>
      <c r="AC262" s="108" t="s">
        <v>94</v>
      </c>
      <c r="AD262" s="80" t="s">
        <v>256</v>
      </c>
    </row>
    <row r="263" spans="1:30">
      <c r="A263" s="10" t="s">
        <v>837</v>
      </c>
      <c r="B263" s="78" t="s">
        <v>96</v>
      </c>
      <c r="C263" s="78">
        <f>C262+(BudgetsTable[[#This Row],[lead]]&lt;&gt;K262)</f>
        <v>32</v>
      </c>
      <c r="D263" s="78">
        <f>D262*(BudgetsTable[[#This Row],[lead]]=K262)+(BudgetsTable[[#This Row],[prop_id]]&lt;&gt;A262)</f>
        <v>1</v>
      </c>
      <c r="E263" s="79">
        <v>42935.572222222225</v>
      </c>
      <c r="F263" s="80" t="s">
        <v>248</v>
      </c>
      <c r="G263" s="80" t="s">
        <v>1124</v>
      </c>
      <c r="H263" s="80" t="s">
        <v>1125</v>
      </c>
      <c r="I263" s="78" t="s">
        <v>596</v>
      </c>
      <c r="J263" s="78" t="s">
        <v>13</v>
      </c>
      <c r="K263" s="80" t="s">
        <v>837</v>
      </c>
      <c r="L263" s="7" t="str">
        <f>IF(BudgetsTable[[#This Row],[pi_last_name]]=" ","",HYPERLINK("https://www.ejacket.nsf.gov/ej/showProposal.do?Continue=Y&amp;ID="&amp;BudgetsTable[[#This Row],[prop_id]],BudgetsTable[[#This Row],[prop_id]]))</f>
        <v/>
      </c>
      <c r="M263" s="15" t="str">
        <f>IF(BudgetsTable[[#This Row],[pi_last_name]]=" ","",HYPERLINK("https://www.ejacket.nsf.gov/ej/processReviewAnalysis.do?dispatch=add&amp;uniqId="&amp;BudgetsTable[[#This Row],[prop_id]]&amp;PO_id,"&gt;ra"))</f>
        <v/>
      </c>
      <c r="N263" s="80" t="s">
        <v>13</v>
      </c>
      <c r="O263" s="7" t="str">
        <f>IF(BudgetsTable[[#This Row],[pi_last_name]]=" ","",HYPERLINK("mailto:"&amp;BudgetsTable[[#This Row],[pi_email]]&amp;"&amp;subject=Your NSF Proposal:  "&amp;BudgetsTable[[#This Row],[prop_id]],BudgetsTable[[#This Row],[pi_email]]))</f>
        <v/>
      </c>
      <c r="P263" s="80" t="s">
        <v>13</v>
      </c>
      <c r="Q263" s="80">
        <v>1</v>
      </c>
      <c r="R263" s="80">
        <v>0.5</v>
      </c>
      <c r="S263" s="81">
        <v>0</v>
      </c>
      <c r="T263" s="81">
        <v>0</v>
      </c>
      <c r="U263" s="81">
        <v>0</v>
      </c>
      <c r="V263" s="82">
        <v>118247</v>
      </c>
      <c r="W263" s="80">
        <v>0</v>
      </c>
      <c r="X263" s="80">
        <v>3</v>
      </c>
      <c r="Y263" s="11" t="str">
        <f ca="1">IF(ISBLANK(BudgetsTable[[#This Row],[budg_seq_yr]]),"FY"&amp;fiscalyear,"FY"&amp;fiscalyear-1+BudgetsTable[[#This Row],[budg_seq_yr]])</f>
        <v>FY20</v>
      </c>
      <c r="Z263" s="81">
        <v>118247</v>
      </c>
      <c r="AA263" s="80" t="s">
        <v>1124</v>
      </c>
      <c r="AB263" s="80" t="s">
        <v>1125</v>
      </c>
      <c r="AC263" s="108" t="s">
        <v>94</v>
      </c>
      <c r="AD263" s="80" t="s">
        <v>256</v>
      </c>
    </row>
    <row r="264" spans="1:30">
      <c r="A264" s="10" t="s">
        <v>837</v>
      </c>
      <c r="B264" s="78" t="s">
        <v>96</v>
      </c>
      <c r="C264" s="78">
        <f>C263+(BudgetsTable[[#This Row],[lead]]&lt;&gt;K263)</f>
        <v>32</v>
      </c>
      <c r="D264" s="78">
        <f>D263*(BudgetsTable[[#This Row],[lead]]=K263)+(BudgetsTable[[#This Row],[prop_id]]&lt;&gt;A263)</f>
        <v>1</v>
      </c>
      <c r="E264" s="79">
        <v>42935.572222222225</v>
      </c>
      <c r="F264" s="80" t="s">
        <v>248</v>
      </c>
      <c r="G264" s="80" t="s">
        <v>1124</v>
      </c>
      <c r="H264" s="80" t="s">
        <v>1125</v>
      </c>
      <c r="I264" s="78" t="s">
        <v>596</v>
      </c>
      <c r="J264" s="78" t="s">
        <v>13</v>
      </c>
      <c r="K264" s="80" t="s">
        <v>837</v>
      </c>
      <c r="L264" s="7" t="str">
        <f>IF(BudgetsTable[[#This Row],[pi_last_name]]=" ","",HYPERLINK("https://www.ejacket.nsf.gov/ej/showProposal.do?Continue=Y&amp;ID="&amp;BudgetsTable[[#This Row],[prop_id]],BudgetsTable[[#This Row],[prop_id]]))</f>
        <v/>
      </c>
      <c r="M264" s="15" t="str">
        <f>IF(BudgetsTable[[#This Row],[pi_last_name]]=" ","",HYPERLINK("https://www.ejacket.nsf.gov/ej/processReviewAnalysis.do?dispatch=add&amp;uniqId="&amp;BudgetsTable[[#This Row],[prop_id]]&amp;PO_id,"&gt;ra"))</f>
        <v/>
      </c>
      <c r="N264" s="80" t="s">
        <v>13</v>
      </c>
      <c r="O264" s="7" t="str">
        <f>IF(BudgetsTable[[#This Row],[pi_last_name]]=" ","",HYPERLINK("mailto:"&amp;BudgetsTable[[#This Row],[pi_email]]&amp;"&amp;subject=Your NSF Proposal:  "&amp;BudgetsTable[[#This Row],[prop_id]],BudgetsTable[[#This Row],[pi_email]]))</f>
        <v/>
      </c>
      <c r="P264" s="80" t="s">
        <v>13</v>
      </c>
      <c r="Q264" s="80">
        <v>1</v>
      </c>
      <c r="R264" s="80">
        <v>0.5</v>
      </c>
      <c r="S264" s="81">
        <v>0</v>
      </c>
      <c r="T264" s="81">
        <v>0</v>
      </c>
      <c r="U264" s="81">
        <v>0</v>
      </c>
      <c r="V264" s="82">
        <v>120114</v>
      </c>
      <c r="W264" s="80">
        <v>0</v>
      </c>
      <c r="X264" s="80">
        <v>4</v>
      </c>
      <c r="Y264" s="11" t="str">
        <f ca="1">IF(ISBLANK(BudgetsTable[[#This Row],[budg_seq_yr]]),"FY"&amp;fiscalyear,"FY"&amp;fiscalyear-1+BudgetsTable[[#This Row],[budg_seq_yr]])</f>
        <v>FY21</v>
      </c>
      <c r="Z264" s="81">
        <v>120114</v>
      </c>
      <c r="AA264" s="80" t="s">
        <v>1124</v>
      </c>
      <c r="AB264" s="80" t="s">
        <v>1125</v>
      </c>
      <c r="AC264" s="108" t="s">
        <v>94</v>
      </c>
      <c r="AD264" s="80" t="s">
        <v>256</v>
      </c>
    </row>
    <row r="265" spans="1:30">
      <c r="A265" s="10" t="s">
        <v>837</v>
      </c>
      <c r="B265" s="78" t="s">
        <v>96</v>
      </c>
      <c r="C265" s="78">
        <f>C264+(BudgetsTable[[#This Row],[lead]]&lt;&gt;K264)</f>
        <v>32</v>
      </c>
      <c r="D265" s="78">
        <f>D264*(BudgetsTable[[#This Row],[lead]]=K264)+(BudgetsTable[[#This Row],[prop_id]]&lt;&gt;A264)</f>
        <v>1</v>
      </c>
      <c r="E265" s="79">
        <v>42935.572222222225</v>
      </c>
      <c r="F265" s="80" t="s">
        <v>248</v>
      </c>
      <c r="G265" s="80" t="s">
        <v>1124</v>
      </c>
      <c r="H265" s="80" t="s">
        <v>1125</v>
      </c>
      <c r="I265" s="78" t="s">
        <v>596</v>
      </c>
      <c r="J265" s="78" t="s">
        <v>13</v>
      </c>
      <c r="K265" s="80" t="s">
        <v>837</v>
      </c>
      <c r="L265" s="7" t="str">
        <f>IF(BudgetsTable[[#This Row],[pi_last_name]]=" ","",HYPERLINK("https://www.ejacket.nsf.gov/ej/showProposal.do?Continue=Y&amp;ID="&amp;BudgetsTable[[#This Row],[prop_id]],BudgetsTable[[#This Row],[prop_id]]))</f>
        <v/>
      </c>
      <c r="M265" s="15" t="str">
        <f>IF(BudgetsTable[[#This Row],[pi_last_name]]=" ","",HYPERLINK("https://www.ejacket.nsf.gov/ej/processReviewAnalysis.do?dispatch=add&amp;uniqId="&amp;BudgetsTable[[#This Row],[prop_id]]&amp;PO_id,"&gt;ra"))</f>
        <v/>
      </c>
      <c r="N265" s="80" t="s">
        <v>13</v>
      </c>
      <c r="O265" s="7" t="str">
        <f>IF(BudgetsTable[[#This Row],[pi_last_name]]=" ","",HYPERLINK("mailto:"&amp;BudgetsTable[[#This Row],[pi_email]]&amp;"&amp;subject=Your NSF Proposal:  "&amp;BudgetsTable[[#This Row],[prop_id]],BudgetsTable[[#This Row],[pi_email]]))</f>
        <v/>
      </c>
      <c r="P265" s="80" t="s">
        <v>13</v>
      </c>
      <c r="Q265" s="80">
        <v>1</v>
      </c>
      <c r="R265" s="80">
        <v>0.5</v>
      </c>
      <c r="S265" s="81">
        <v>0</v>
      </c>
      <c r="T265" s="81">
        <v>0</v>
      </c>
      <c r="U265" s="81">
        <v>1200</v>
      </c>
      <c r="V265" s="82">
        <v>124567</v>
      </c>
      <c r="W265" s="80">
        <v>0</v>
      </c>
      <c r="X265" s="80">
        <v>5</v>
      </c>
      <c r="Y265" s="11" t="str">
        <f ca="1">IF(ISBLANK(BudgetsTable[[#This Row],[budg_seq_yr]]),"FY"&amp;fiscalyear,"FY"&amp;fiscalyear-1+BudgetsTable[[#This Row],[budg_seq_yr]])</f>
        <v>FY22</v>
      </c>
      <c r="Z265" s="81">
        <v>124567</v>
      </c>
      <c r="AA265" s="80" t="s">
        <v>1124</v>
      </c>
      <c r="AB265" s="80" t="s">
        <v>1125</v>
      </c>
      <c r="AC265" s="108" t="s">
        <v>94</v>
      </c>
      <c r="AD265" s="80" t="s">
        <v>256</v>
      </c>
    </row>
    <row r="266" spans="1:30">
      <c r="A266" s="10" t="s">
        <v>845</v>
      </c>
      <c r="B266" s="78" t="s">
        <v>96</v>
      </c>
      <c r="C266" s="78">
        <f>C265+(BudgetsTable[[#This Row],[lead]]&lt;&gt;K265)</f>
        <v>33</v>
      </c>
      <c r="D266" s="78">
        <f>D265*(BudgetsTable[[#This Row],[lead]]=K265)+(BudgetsTable[[#This Row],[prop_id]]&lt;&gt;A265)</f>
        <v>1</v>
      </c>
      <c r="E266" s="79">
        <v>42935.620833333334</v>
      </c>
      <c r="F266" s="80" t="s">
        <v>248</v>
      </c>
      <c r="G266" s="80" t="s">
        <v>1124</v>
      </c>
      <c r="H266" s="80" t="s">
        <v>1125</v>
      </c>
      <c r="I266" s="78" t="s">
        <v>596</v>
      </c>
      <c r="J266" s="78" t="s">
        <v>1318</v>
      </c>
      <c r="K266" s="80" t="s">
        <v>845</v>
      </c>
      <c r="L266" s="7" t="str">
        <f>IF(BudgetsTable[[#This Row],[pi_last_name]]=" ","",HYPERLINK("https://www.ejacket.nsf.gov/ej/showProposal.do?Continue=Y&amp;ID="&amp;BudgetsTable[[#This Row],[prop_id]],BudgetsTable[[#This Row],[prop_id]]))</f>
        <v>1750722</v>
      </c>
      <c r="M266" s="15" t="str">
        <f>IF(BudgetsTable[[#This Row],[pi_last_name]]=" ","",HYPERLINK("https://www.ejacket.nsf.gov/ej/processReviewAnalysis.do?dispatch=add&amp;uniqId="&amp;BudgetsTable[[#This Row],[prop_id]]&amp;PO_id,"&gt;ra"))</f>
        <v>&gt;ra</v>
      </c>
      <c r="N266" s="80" t="s">
        <v>473</v>
      </c>
      <c r="O266" s="7" t="str">
        <f>IF(BudgetsTable[[#This Row],[pi_last_name]]=" ","",HYPERLINK("mailto:"&amp;BudgetsTable[[#This Row],[pi_email]]&amp;"&amp;subject=Your NSF Proposal:  "&amp;BudgetsTable[[#This Row],[prop_id]],BudgetsTable[[#This Row],[pi_email]]))</f>
        <v>kaikai.liu@sjsu.edu</v>
      </c>
      <c r="P266" s="80" t="s">
        <v>1315</v>
      </c>
      <c r="Q266" s="80"/>
      <c r="R266" s="80"/>
      <c r="S266" s="81"/>
      <c r="T266" s="81"/>
      <c r="U266" s="81"/>
      <c r="V266" s="82"/>
      <c r="W266" s="80">
        <v>0</v>
      </c>
      <c r="X266" s="80"/>
      <c r="Y266" s="11" t="str">
        <f ca="1">IF(ISBLANK(BudgetsTable[[#This Row],[budg_seq_yr]]),"FY"&amp;fiscalyear,"FY"&amp;fiscalyear-1+BudgetsTable[[#This Row],[budg_seq_yr]])</f>
        <v>FY18</v>
      </c>
      <c r="Z266" s="81">
        <v>486820</v>
      </c>
      <c r="AA266" s="80" t="s">
        <v>1124</v>
      </c>
      <c r="AB266" s="80" t="s">
        <v>1125</v>
      </c>
      <c r="AC266" s="108" t="s">
        <v>94</v>
      </c>
      <c r="AD266" s="80" t="s">
        <v>256</v>
      </c>
    </row>
    <row r="267" spans="1:30">
      <c r="A267" s="10" t="s">
        <v>845</v>
      </c>
      <c r="B267" s="78" t="s">
        <v>96</v>
      </c>
      <c r="C267" s="78">
        <f>C266+(BudgetsTable[[#This Row],[lead]]&lt;&gt;K266)</f>
        <v>33</v>
      </c>
      <c r="D267" s="78">
        <f>D266*(BudgetsTable[[#This Row],[lead]]=K266)+(BudgetsTable[[#This Row],[prop_id]]&lt;&gt;A266)</f>
        <v>1</v>
      </c>
      <c r="E267" s="79">
        <v>42935.620833333334</v>
      </c>
      <c r="F267" s="80" t="s">
        <v>248</v>
      </c>
      <c r="G267" s="80" t="s">
        <v>1124</v>
      </c>
      <c r="H267" s="80" t="s">
        <v>1125</v>
      </c>
      <c r="I267" s="78" t="s">
        <v>596</v>
      </c>
      <c r="J267" s="78" t="s">
        <v>13</v>
      </c>
      <c r="K267" s="80" t="s">
        <v>845</v>
      </c>
      <c r="L267" s="7" t="str">
        <f>IF(BudgetsTable[[#This Row],[pi_last_name]]=" ","",HYPERLINK("https://www.ejacket.nsf.gov/ej/showProposal.do?Continue=Y&amp;ID="&amp;BudgetsTable[[#This Row],[prop_id]],BudgetsTable[[#This Row],[prop_id]]))</f>
        <v/>
      </c>
      <c r="M267" s="15" t="str">
        <f>IF(BudgetsTable[[#This Row],[pi_last_name]]=" ","",HYPERLINK("https://www.ejacket.nsf.gov/ej/processReviewAnalysis.do?dispatch=add&amp;uniqId="&amp;BudgetsTable[[#This Row],[prop_id]]&amp;PO_id,"&gt;ra"))</f>
        <v/>
      </c>
      <c r="N267" s="80" t="s">
        <v>13</v>
      </c>
      <c r="O267" s="7" t="str">
        <f>IF(BudgetsTable[[#This Row],[pi_last_name]]=" ","",HYPERLINK("mailto:"&amp;BudgetsTable[[#This Row],[pi_email]]&amp;"&amp;subject=Your NSF Proposal:  "&amp;BudgetsTable[[#This Row],[prop_id]],BudgetsTable[[#This Row],[pi_email]]))</f>
        <v/>
      </c>
      <c r="P267" s="80" t="s">
        <v>13</v>
      </c>
      <c r="Q267" s="80">
        <v>1</v>
      </c>
      <c r="R267" s="80">
        <v>1</v>
      </c>
      <c r="S267" s="81">
        <v>0</v>
      </c>
      <c r="T267" s="81">
        <v>0</v>
      </c>
      <c r="U267" s="81">
        <v>0</v>
      </c>
      <c r="V267" s="82">
        <v>93175</v>
      </c>
      <c r="W267" s="80">
        <v>0</v>
      </c>
      <c r="X267" s="80">
        <v>1</v>
      </c>
      <c r="Y267" s="11" t="str">
        <f ca="1">IF(ISBLANK(BudgetsTable[[#This Row],[budg_seq_yr]]),"FY"&amp;fiscalyear,"FY"&amp;fiscalyear-1+BudgetsTable[[#This Row],[budg_seq_yr]])</f>
        <v>FY18</v>
      </c>
      <c r="Z267" s="81">
        <v>93175</v>
      </c>
      <c r="AA267" s="80" t="s">
        <v>1124</v>
      </c>
      <c r="AB267" s="80" t="s">
        <v>1125</v>
      </c>
      <c r="AC267" s="108" t="s">
        <v>94</v>
      </c>
      <c r="AD267" s="80" t="s">
        <v>256</v>
      </c>
    </row>
    <row r="268" spans="1:30">
      <c r="A268" s="10" t="s">
        <v>845</v>
      </c>
      <c r="B268" s="78" t="s">
        <v>96</v>
      </c>
      <c r="C268" s="78">
        <f>C267+(BudgetsTable[[#This Row],[lead]]&lt;&gt;K267)</f>
        <v>33</v>
      </c>
      <c r="D268" s="78">
        <f>D267*(BudgetsTable[[#This Row],[lead]]=K267)+(BudgetsTable[[#This Row],[prop_id]]&lt;&gt;A267)</f>
        <v>1</v>
      </c>
      <c r="E268" s="79">
        <v>42935.620833333334</v>
      </c>
      <c r="F268" s="80" t="s">
        <v>248</v>
      </c>
      <c r="G268" s="80" t="s">
        <v>1124</v>
      </c>
      <c r="H268" s="80" t="s">
        <v>1125</v>
      </c>
      <c r="I268" s="78" t="s">
        <v>596</v>
      </c>
      <c r="J268" s="78" t="s">
        <v>13</v>
      </c>
      <c r="K268" s="80" t="s">
        <v>845</v>
      </c>
      <c r="L268" s="7" t="str">
        <f>IF(BudgetsTable[[#This Row],[pi_last_name]]=" ","",HYPERLINK("https://www.ejacket.nsf.gov/ej/showProposal.do?Continue=Y&amp;ID="&amp;BudgetsTable[[#This Row],[prop_id]],BudgetsTable[[#This Row],[prop_id]]))</f>
        <v/>
      </c>
      <c r="M268" s="15" t="str">
        <f>IF(BudgetsTable[[#This Row],[pi_last_name]]=" ","",HYPERLINK("https://www.ejacket.nsf.gov/ej/processReviewAnalysis.do?dispatch=add&amp;uniqId="&amp;BudgetsTable[[#This Row],[prop_id]]&amp;PO_id,"&gt;ra"))</f>
        <v/>
      </c>
      <c r="N268" s="80" t="s">
        <v>13</v>
      </c>
      <c r="O268" s="7" t="str">
        <f>IF(BudgetsTable[[#This Row],[pi_last_name]]=" ","",HYPERLINK("mailto:"&amp;BudgetsTable[[#This Row],[pi_email]]&amp;"&amp;subject=Your NSF Proposal:  "&amp;BudgetsTable[[#This Row],[prop_id]],BudgetsTable[[#This Row],[pi_email]]))</f>
        <v/>
      </c>
      <c r="P268" s="80" t="s">
        <v>13</v>
      </c>
      <c r="Q268" s="80">
        <v>1</v>
      </c>
      <c r="R268" s="80">
        <v>1</v>
      </c>
      <c r="S268" s="81">
        <v>0</v>
      </c>
      <c r="T268" s="81">
        <v>0</v>
      </c>
      <c r="U268" s="81">
        <v>0</v>
      </c>
      <c r="V268" s="82">
        <v>93169</v>
      </c>
      <c r="W268" s="80">
        <v>0</v>
      </c>
      <c r="X268" s="80">
        <v>2</v>
      </c>
      <c r="Y268" s="11" t="str">
        <f ca="1">IF(ISBLANK(BudgetsTable[[#This Row],[budg_seq_yr]]),"FY"&amp;fiscalyear,"FY"&amp;fiscalyear-1+BudgetsTable[[#This Row],[budg_seq_yr]])</f>
        <v>FY19</v>
      </c>
      <c r="Z268" s="81">
        <v>93169</v>
      </c>
      <c r="AA268" s="80" t="s">
        <v>1124</v>
      </c>
      <c r="AB268" s="80" t="s">
        <v>1125</v>
      </c>
      <c r="AC268" s="108" t="s">
        <v>94</v>
      </c>
      <c r="AD268" s="80" t="s">
        <v>256</v>
      </c>
    </row>
    <row r="269" spans="1:30">
      <c r="A269" s="10" t="s">
        <v>845</v>
      </c>
      <c r="B269" s="78" t="s">
        <v>96</v>
      </c>
      <c r="C269" s="78">
        <f>C268+(BudgetsTable[[#This Row],[lead]]&lt;&gt;K268)</f>
        <v>33</v>
      </c>
      <c r="D269" s="78">
        <f>D268*(BudgetsTable[[#This Row],[lead]]=K268)+(BudgetsTable[[#This Row],[prop_id]]&lt;&gt;A268)</f>
        <v>1</v>
      </c>
      <c r="E269" s="79">
        <v>42935.620833333334</v>
      </c>
      <c r="F269" s="80" t="s">
        <v>248</v>
      </c>
      <c r="G269" s="80" t="s">
        <v>1124</v>
      </c>
      <c r="H269" s="80" t="s">
        <v>1125</v>
      </c>
      <c r="I269" s="78" t="s">
        <v>596</v>
      </c>
      <c r="J269" s="78" t="s">
        <v>13</v>
      </c>
      <c r="K269" s="80" t="s">
        <v>845</v>
      </c>
      <c r="L269" s="7" t="str">
        <f>IF(BudgetsTable[[#This Row],[pi_last_name]]=" ","",HYPERLINK("https://www.ejacket.nsf.gov/ej/showProposal.do?Continue=Y&amp;ID="&amp;BudgetsTable[[#This Row],[prop_id]],BudgetsTable[[#This Row],[prop_id]]))</f>
        <v/>
      </c>
      <c r="M269" s="15" t="str">
        <f>IF(BudgetsTable[[#This Row],[pi_last_name]]=" ","",HYPERLINK("https://www.ejacket.nsf.gov/ej/processReviewAnalysis.do?dispatch=add&amp;uniqId="&amp;BudgetsTable[[#This Row],[prop_id]]&amp;PO_id,"&gt;ra"))</f>
        <v/>
      </c>
      <c r="N269" s="80" t="s">
        <v>13</v>
      </c>
      <c r="O269" s="7" t="str">
        <f>IF(BudgetsTable[[#This Row],[pi_last_name]]=" ","",HYPERLINK("mailto:"&amp;BudgetsTable[[#This Row],[pi_email]]&amp;"&amp;subject=Your NSF Proposal:  "&amp;BudgetsTable[[#This Row],[prop_id]],BudgetsTable[[#This Row],[pi_email]]))</f>
        <v/>
      </c>
      <c r="P269" s="80" t="s">
        <v>13</v>
      </c>
      <c r="Q269" s="80">
        <v>1</v>
      </c>
      <c r="R269" s="80">
        <v>1</v>
      </c>
      <c r="S269" s="81">
        <v>0</v>
      </c>
      <c r="T269" s="81">
        <v>0</v>
      </c>
      <c r="U269" s="81">
        <v>0</v>
      </c>
      <c r="V269" s="82">
        <v>96158</v>
      </c>
      <c r="W269" s="80">
        <v>0</v>
      </c>
      <c r="X269" s="80">
        <v>3</v>
      </c>
      <c r="Y269" s="11" t="str">
        <f ca="1">IF(ISBLANK(BudgetsTable[[#This Row],[budg_seq_yr]]),"FY"&amp;fiscalyear,"FY"&amp;fiscalyear-1+BudgetsTable[[#This Row],[budg_seq_yr]])</f>
        <v>FY20</v>
      </c>
      <c r="Z269" s="81">
        <v>96158</v>
      </c>
      <c r="AA269" s="80" t="s">
        <v>1124</v>
      </c>
      <c r="AB269" s="80" t="s">
        <v>1125</v>
      </c>
      <c r="AC269" s="108" t="s">
        <v>94</v>
      </c>
      <c r="AD269" s="80" t="s">
        <v>256</v>
      </c>
    </row>
    <row r="270" spans="1:30">
      <c r="A270" s="10" t="s">
        <v>845</v>
      </c>
      <c r="B270" s="78" t="s">
        <v>96</v>
      </c>
      <c r="C270" s="78">
        <f>C269+(BudgetsTable[[#This Row],[lead]]&lt;&gt;K269)</f>
        <v>33</v>
      </c>
      <c r="D270" s="78">
        <f>D269*(BudgetsTable[[#This Row],[lead]]=K269)+(BudgetsTable[[#This Row],[prop_id]]&lt;&gt;A269)</f>
        <v>1</v>
      </c>
      <c r="E270" s="79">
        <v>42935.620833333334</v>
      </c>
      <c r="F270" s="80" t="s">
        <v>248</v>
      </c>
      <c r="G270" s="80" t="s">
        <v>1124</v>
      </c>
      <c r="H270" s="80" t="s">
        <v>1125</v>
      </c>
      <c r="I270" s="78" t="s">
        <v>596</v>
      </c>
      <c r="J270" s="78" t="s">
        <v>13</v>
      </c>
      <c r="K270" s="80" t="s">
        <v>845</v>
      </c>
      <c r="L270" s="7" t="str">
        <f>IF(BudgetsTable[[#This Row],[pi_last_name]]=" ","",HYPERLINK("https://www.ejacket.nsf.gov/ej/showProposal.do?Continue=Y&amp;ID="&amp;BudgetsTable[[#This Row],[prop_id]],BudgetsTable[[#This Row],[prop_id]]))</f>
        <v/>
      </c>
      <c r="M270" s="15" t="str">
        <f>IF(BudgetsTable[[#This Row],[pi_last_name]]=" ","",HYPERLINK("https://www.ejacket.nsf.gov/ej/processReviewAnalysis.do?dispatch=add&amp;uniqId="&amp;BudgetsTable[[#This Row],[prop_id]]&amp;PO_id,"&gt;ra"))</f>
        <v/>
      </c>
      <c r="N270" s="80" t="s">
        <v>13</v>
      </c>
      <c r="O270" s="7" t="str">
        <f>IF(BudgetsTable[[#This Row],[pi_last_name]]=" ","",HYPERLINK("mailto:"&amp;BudgetsTable[[#This Row],[pi_email]]&amp;"&amp;subject=Your NSF Proposal:  "&amp;BudgetsTable[[#This Row],[prop_id]],BudgetsTable[[#This Row],[pi_email]]))</f>
        <v/>
      </c>
      <c r="P270" s="80" t="s">
        <v>13</v>
      </c>
      <c r="Q270" s="80">
        <v>1</v>
      </c>
      <c r="R270" s="80">
        <v>1</v>
      </c>
      <c r="S270" s="81">
        <v>0</v>
      </c>
      <c r="T270" s="81">
        <v>0</v>
      </c>
      <c r="U270" s="81">
        <v>0</v>
      </c>
      <c r="V270" s="82">
        <v>100527</v>
      </c>
      <c r="W270" s="80">
        <v>0</v>
      </c>
      <c r="X270" s="80">
        <v>4</v>
      </c>
      <c r="Y270" s="11" t="str">
        <f ca="1">IF(ISBLANK(BudgetsTable[[#This Row],[budg_seq_yr]]),"FY"&amp;fiscalyear,"FY"&amp;fiscalyear-1+BudgetsTable[[#This Row],[budg_seq_yr]])</f>
        <v>FY21</v>
      </c>
      <c r="Z270" s="81">
        <v>100527</v>
      </c>
      <c r="AA270" s="80" t="s">
        <v>1124</v>
      </c>
      <c r="AB270" s="80" t="s">
        <v>1125</v>
      </c>
      <c r="AC270" s="108" t="s">
        <v>94</v>
      </c>
      <c r="AD270" s="80" t="s">
        <v>256</v>
      </c>
    </row>
    <row r="271" spans="1:30">
      <c r="A271" s="10" t="s">
        <v>845</v>
      </c>
      <c r="B271" s="78" t="s">
        <v>96</v>
      </c>
      <c r="C271" s="78">
        <f>C270+(BudgetsTable[[#This Row],[lead]]&lt;&gt;K270)</f>
        <v>33</v>
      </c>
      <c r="D271" s="78">
        <f>D270*(BudgetsTable[[#This Row],[lead]]=K270)+(BudgetsTable[[#This Row],[prop_id]]&lt;&gt;A270)</f>
        <v>1</v>
      </c>
      <c r="E271" s="79">
        <v>42935.620833333334</v>
      </c>
      <c r="F271" s="80" t="s">
        <v>248</v>
      </c>
      <c r="G271" s="80" t="s">
        <v>1124</v>
      </c>
      <c r="H271" s="80" t="s">
        <v>1125</v>
      </c>
      <c r="I271" s="78" t="s">
        <v>596</v>
      </c>
      <c r="J271" s="78" t="s">
        <v>13</v>
      </c>
      <c r="K271" s="80" t="s">
        <v>845</v>
      </c>
      <c r="L271" s="7" t="str">
        <f>IF(BudgetsTable[[#This Row],[pi_last_name]]=" ","",HYPERLINK("https://www.ejacket.nsf.gov/ej/showProposal.do?Continue=Y&amp;ID="&amp;BudgetsTable[[#This Row],[prop_id]],BudgetsTable[[#This Row],[prop_id]]))</f>
        <v/>
      </c>
      <c r="M271" s="15" t="str">
        <f>IF(BudgetsTable[[#This Row],[pi_last_name]]=" ","",HYPERLINK("https://www.ejacket.nsf.gov/ej/processReviewAnalysis.do?dispatch=add&amp;uniqId="&amp;BudgetsTable[[#This Row],[prop_id]]&amp;PO_id,"&gt;ra"))</f>
        <v/>
      </c>
      <c r="N271" s="80" t="s">
        <v>13</v>
      </c>
      <c r="O271" s="7" t="str">
        <f>IF(BudgetsTable[[#This Row],[pi_last_name]]=" ","",HYPERLINK("mailto:"&amp;BudgetsTable[[#This Row],[pi_email]]&amp;"&amp;subject=Your NSF Proposal:  "&amp;BudgetsTable[[#This Row],[prop_id]],BudgetsTable[[#This Row],[pi_email]]))</f>
        <v/>
      </c>
      <c r="P271" s="80" t="s">
        <v>13</v>
      </c>
      <c r="Q271" s="80">
        <v>1</v>
      </c>
      <c r="R271" s="80">
        <v>1</v>
      </c>
      <c r="S271" s="81">
        <v>0</v>
      </c>
      <c r="T271" s="81">
        <v>0</v>
      </c>
      <c r="U271" s="81">
        <v>0</v>
      </c>
      <c r="V271" s="82">
        <v>103791</v>
      </c>
      <c r="W271" s="80">
        <v>0</v>
      </c>
      <c r="X271" s="80">
        <v>5</v>
      </c>
      <c r="Y271" s="11" t="str">
        <f ca="1">IF(ISBLANK(BudgetsTable[[#This Row],[budg_seq_yr]]),"FY"&amp;fiscalyear,"FY"&amp;fiscalyear-1+BudgetsTable[[#This Row],[budg_seq_yr]])</f>
        <v>FY22</v>
      </c>
      <c r="Z271" s="81">
        <v>103791</v>
      </c>
      <c r="AA271" s="80" t="s">
        <v>1124</v>
      </c>
      <c r="AB271" s="80" t="s">
        <v>1125</v>
      </c>
      <c r="AC271" s="108" t="s">
        <v>94</v>
      </c>
      <c r="AD271" s="80" t="s">
        <v>256</v>
      </c>
    </row>
    <row r="272" spans="1:30">
      <c r="A272" s="10" t="s">
        <v>852</v>
      </c>
      <c r="B272" s="78" t="s">
        <v>96</v>
      </c>
      <c r="C272" s="78">
        <f>C271+(BudgetsTable[[#This Row],[lead]]&lt;&gt;K271)</f>
        <v>34</v>
      </c>
      <c r="D272" s="78">
        <f>D271*(BudgetsTable[[#This Row],[lead]]=K271)+(BudgetsTable[[#This Row],[prop_id]]&lt;&gt;A271)</f>
        <v>1</v>
      </c>
      <c r="E272" s="79">
        <v>42935.634722222225</v>
      </c>
      <c r="F272" s="80" t="s">
        <v>248</v>
      </c>
      <c r="G272" s="80" t="s">
        <v>1124</v>
      </c>
      <c r="H272" s="80" t="s">
        <v>1125</v>
      </c>
      <c r="I272" s="78" t="s">
        <v>596</v>
      </c>
      <c r="J272" s="78" t="s">
        <v>1322</v>
      </c>
      <c r="K272" s="80" t="s">
        <v>852</v>
      </c>
      <c r="L272" s="7" t="str">
        <f>IF(BudgetsTable[[#This Row],[pi_last_name]]=" ","",HYPERLINK("https://www.ejacket.nsf.gov/ej/showProposal.do?Continue=Y&amp;ID="&amp;BudgetsTable[[#This Row],[prop_id]],BudgetsTable[[#This Row],[prop_id]]))</f>
        <v>1750789</v>
      </c>
      <c r="M272" s="15" t="str">
        <f>IF(BudgetsTable[[#This Row],[pi_last_name]]=" ","",HYPERLINK("https://www.ejacket.nsf.gov/ej/processReviewAnalysis.do?dispatch=add&amp;uniqId="&amp;BudgetsTable[[#This Row],[prop_id]]&amp;PO_id,"&gt;ra"))</f>
        <v>&gt;ra</v>
      </c>
      <c r="N272" s="80" t="s">
        <v>853</v>
      </c>
      <c r="O272" s="7" t="str">
        <f>IF(BudgetsTable[[#This Row],[pi_last_name]]=" ","",HYPERLINK("mailto:"&amp;BudgetsTable[[#This Row],[pi_email]]&amp;"&amp;subject=Your NSF Proposal:  "&amp;BudgetsTable[[#This Row],[prop_id]],BudgetsTable[[#This Row],[pi_email]]))</f>
        <v>kyriakos@vt.edu</v>
      </c>
      <c r="P272" s="80" t="s">
        <v>361</v>
      </c>
      <c r="Q272" s="80"/>
      <c r="R272" s="80"/>
      <c r="S272" s="81"/>
      <c r="T272" s="81"/>
      <c r="U272" s="81"/>
      <c r="V272" s="82"/>
      <c r="W272" s="80">
        <v>0</v>
      </c>
      <c r="X272" s="80"/>
      <c r="Y272" s="11" t="str">
        <f ca="1">IF(ISBLANK(BudgetsTable[[#This Row],[budg_seq_yr]]),"FY"&amp;fiscalyear,"FY"&amp;fiscalyear-1+BudgetsTable[[#This Row],[budg_seq_yr]])</f>
        <v>FY18</v>
      </c>
      <c r="Z272" s="81">
        <v>645910</v>
      </c>
      <c r="AA272" s="80" t="s">
        <v>1124</v>
      </c>
      <c r="AB272" s="80" t="s">
        <v>1125</v>
      </c>
      <c r="AC272" s="108" t="s">
        <v>94</v>
      </c>
      <c r="AD272" s="80" t="s">
        <v>256</v>
      </c>
    </row>
    <row r="273" spans="1:30">
      <c r="A273" s="10" t="s">
        <v>852</v>
      </c>
      <c r="B273" s="78" t="s">
        <v>96</v>
      </c>
      <c r="C273" s="78">
        <f>C272+(BudgetsTable[[#This Row],[lead]]&lt;&gt;K272)</f>
        <v>34</v>
      </c>
      <c r="D273" s="78">
        <f>D272*(BudgetsTable[[#This Row],[lead]]=K272)+(BudgetsTable[[#This Row],[prop_id]]&lt;&gt;A272)</f>
        <v>1</v>
      </c>
      <c r="E273" s="79">
        <v>42935.634722222225</v>
      </c>
      <c r="F273" s="80" t="s">
        <v>248</v>
      </c>
      <c r="G273" s="80" t="s">
        <v>1124</v>
      </c>
      <c r="H273" s="80" t="s">
        <v>1125</v>
      </c>
      <c r="I273" s="78" t="s">
        <v>596</v>
      </c>
      <c r="J273" s="78" t="s">
        <v>13</v>
      </c>
      <c r="K273" s="80" t="s">
        <v>852</v>
      </c>
      <c r="L273" s="7" t="str">
        <f>IF(BudgetsTable[[#This Row],[pi_last_name]]=" ","",HYPERLINK("https://www.ejacket.nsf.gov/ej/showProposal.do?Continue=Y&amp;ID="&amp;BudgetsTable[[#This Row],[prop_id]],BudgetsTable[[#This Row],[prop_id]]))</f>
        <v/>
      </c>
      <c r="M273" s="15" t="str">
        <f>IF(BudgetsTable[[#This Row],[pi_last_name]]=" ","",HYPERLINK("https://www.ejacket.nsf.gov/ej/processReviewAnalysis.do?dispatch=add&amp;uniqId="&amp;BudgetsTable[[#This Row],[prop_id]]&amp;PO_id,"&gt;ra"))</f>
        <v/>
      </c>
      <c r="N273" s="80" t="s">
        <v>13</v>
      </c>
      <c r="O273" s="7" t="str">
        <f>IF(BudgetsTable[[#This Row],[pi_last_name]]=" ","",HYPERLINK("mailto:"&amp;BudgetsTable[[#This Row],[pi_email]]&amp;"&amp;subject=Your NSF Proposal:  "&amp;BudgetsTable[[#This Row],[prop_id]],BudgetsTable[[#This Row],[pi_email]]))</f>
        <v/>
      </c>
      <c r="P273" s="80" t="s">
        <v>13</v>
      </c>
      <c r="Q273" s="80">
        <v>1</v>
      </c>
      <c r="R273" s="80">
        <v>1</v>
      </c>
      <c r="S273" s="81">
        <v>0</v>
      </c>
      <c r="T273" s="81">
        <v>5000</v>
      </c>
      <c r="U273" s="81">
        <v>0</v>
      </c>
      <c r="V273" s="82">
        <v>116266</v>
      </c>
      <c r="W273" s="80">
        <v>0</v>
      </c>
      <c r="X273" s="80">
        <v>1</v>
      </c>
      <c r="Y273" s="11" t="str">
        <f ca="1">IF(ISBLANK(BudgetsTable[[#This Row],[budg_seq_yr]]),"FY"&amp;fiscalyear,"FY"&amp;fiscalyear-1+BudgetsTable[[#This Row],[budg_seq_yr]])</f>
        <v>FY18</v>
      </c>
      <c r="Z273" s="81">
        <v>116266</v>
      </c>
      <c r="AA273" s="80" t="s">
        <v>1124</v>
      </c>
      <c r="AB273" s="80" t="s">
        <v>1125</v>
      </c>
      <c r="AC273" s="108" t="s">
        <v>94</v>
      </c>
      <c r="AD273" s="80" t="s">
        <v>256</v>
      </c>
    </row>
    <row r="274" spans="1:30">
      <c r="A274" s="10" t="s">
        <v>852</v>
      </c>
      <c r="B274" s="78" t="s">
        <v>96</v>
      </c>
      <c r="C274" s="78">
        <f>C273+(BudgetsTable[[#This Row],[lead]]&lt;&gt;K273)</f>
        <v>34</v>
      </c>
      <c r="D274" s="78">
        <f>D273*(BudgetsTable[[#This Row],[lead]]=K273)+(BudgetsTable[[#This Row],[prop_id]]&lt;&gt;A273)</f>
        <v>1</v>
      </c>
      <c r="E274" s="79">
        <v>42935.634722222225</v>
      </c>
      <c r="F274" s="80" t="s">
        <v>248</v>
      </c>
      <c r="G274" s="80" t="s">
        <v>1124</v>
      </c>
      <c r="H274" s="80" t="s">
        <v>1125</v>
      </c>
      <c r="I274" s="78" t="s">
        <v>596</v>
      </c>
      <c r="J274" s="78" t="s">
        <v>13</v>
      </c>
      <c r="K274" s="80" t="s">
        <v>852</v>
      </c>
      <c r="L274" s="7" t="str">
        <f>IF(BudgetsTable[[#This Row],[pi_last_name]]=" ","",HYPERLINK("https://www.ejacket.nsf.gov/ej/showProposal.do?Continue=Y&amp;ID="&amp;BudgetsTable[[#This Row],[prop_id]],BudgetsTable[[#This Row],[prop_id]]))</f>
        <v/>
      </c>
      <c r="M274" s="15" t="str">
        <f>IF(BudgetsTable[[#This Row],[pi_last_name]]=" ","",HYPERLINK("https://www.ejacket.nsf.gov/ej/processReviewAnalysis.do?dispatch=add&amp;uniqId="&amp;BudgetsTable[[#This Row],[prop_id]]&amp;PO_id,"&gt;ra"))</f>
        <v/>
      </c>
      <c r="N274" s="80" t="s">
        <v>13</v>
      </c>
      <c r="O274" s="7" t="str">
        <f>IF(BudgetsTable[[#This Row],[pi_last_name]]=" ","",HYPERLINK("mailto:"&amp;BudgetsTable[[#This Row],[pi_email]]&amp;"&amp;subject=Your NSF Proposal:  "&amp;BudgetsTable[[#This Row],[prop_id]],BudgetsTable[[#This Row],[pi_email]]))</f>
        <v/>
      </c>
      <c r="P274" s="80" t="s">
        <v>13</v>
      </c>
      <c r="Q274" s="80">
        <v>1</v>
      </c>
      <c r="R274" s="80">
        <v>1</v>
      </c>
      <c r="S274" s="81">
        <v>0</v>
      </c>
      <c r="T274" s="81">
        <v>5000</v>
      </c>
      <c r="U274" s="81">
        <v>0</v>
      </c>
      <c r="V274" s="82">
        <v>122908</v>
      </c>
      <c r="W274" s="80">
        <v>0</v>
      </c>
      <c r="X274" s="80">
        <v>2</v>
      </c>
      <c r="Y274" s="11" t="str">
        <f ca="1">IF(ISBLANK(BudgetsTable[[#This Row],[budg_seq_yr]]),"FY"&amp;fiscalyear,"FY"&amp;fiscalyear-1+BudgetsTable[[#This Row],[budg_seq_yr]])</f>
        <v>FY19</v>
      </c>
      <c r="Z274" s="81">
        <v>122908</v>
      </c>
      <c r="AA274" s="80" t="s">
        <v>1124</v>
      </c>
      <c r="AB274" s="80" t="s">
        <v>1125</v>
      </c>
      <c r="AC274" s="108" t="s">
        <v>94</v>
      </c>
      <c r="AD274" s="80" t="s">
        <v>256</v>
      </c>
    </row>
    <row r="275" spans="1:30">
      <c r="A275" s="10" t="s">
        <v>852</v>
      </c>
      <c r="B275" s="78" t="s">
        <v>96</v>
      </c>
      <c r="C275" s="78">
        <f>C274+(BudgetsTable[[#This Row],[lead]]&lt;&gt;K274)</f>
        <v>34</v>
      </c>
      <c r="D275" s="78">
        <f>D274*(BudgetsTable[[#This Row],[lead]]=K274)+(BudgetsTable[[#This Row],[prop_id]]&lt;&gt;A274)</f>
        <v>1</v>
      </c>
      <c r="E275" s="79">
        <v>42935.634722222225</v>
      </c>
      <c r="F275" s="80" t="s">
        <v>248</v>
      </c>
      <c r="G275" s="80" t="s">
        <v>1124</v>
      </c>
      <c r="H275" s="80" t="s">
        <v>1125</v>
      </c>
      <c r="I275" s="78" t="s">
        <v>596</v>
      </c>
      <c r="J275" s="78" t="s">
        <v>13</v>
      </c>
      <c r="K275" s="80" t="s">
        <v>852</v>
      </c>
      <c r="L275" s="7" t="str">
        <f>IF(BudgetsTable[[#This Row],[pi_last_name]]=" ","",HYPERLINK("https://www.ejacket.nsf.gov/ej/showProposal.do?Continue=Y&amp;ID="&amp;BudgetsTable[[#This Row],[prop_id]],BudgetsTable[[#This Row],[prop_id]]))</f>
        <v/>
      </c>
      <c r="M275" s="15" t="str">
        <f>IF(BudgetsTable[[#This Row],[pi_last_name]]=" ","",HYPERLINK("https://www.ejacket.nsf.gov/ej/processReviewAnalysis.do?dispatch=add&amp;uniqId="&amp;BudgetsTable[[#This Row],[prop_id]]&amp;PO_id,"&gt;ra"))</f>
        <v/>
      </c>
      <c r="N275" s="80" t="s">
        <v>13</v>
      </c>
      <c r="O275" s="7" t="str">
        <f>IF(BudgetsTable[[#This Row],[pi_last_name]]=" ","",HYPERLINK("mailto:"&amp;BudgetsTable[[#This Row],[pi_email]]&amp;"&amp;subject=Your NSF Proposal:  "&amp;BudgetsTable[[#This Row],[prop_id]],BudgetsTable[[#This Row],[pi_email]]))</f>
        <v/>
      </c>
      <c r="P275" s="80" t="s">
        <v>13</v>
      </c>
      <c r="Q275" s="80">
        <v>1</v>
      </c>
      <c r="R275" s="80">
        <v>1</v>
      </c>
      <c r="S275" s="81">
        <v>0</v>
      </c>
      <c r="T275" s="81">
        <v>10000</v>
      </c>
      <c r="U275" s="81">
        <v>0</v>
      </c>
      <c r="V275" s="82">
        <v>134517</v>
      </c>
      <c r="W275" s="80">
        <v>0</v>
      </c>
      <c r="X275" s="80">
        <v>3</v>
      </c>
      <c r="Y275" s="11" t="str">
        <f ca="1">IF(ISBLANK(BudgetsTable[[#This Row],[budg_seq_yr]]),"FY"&amp;fiscalyear,"FY"&amp;fiscalyear-1+BudgetsTable[[#This Row],[budg_seq_yr]])</f>
        <v>FY20</v>
      </c>
      <c r="Z275" s="81">
        <v>134517</v>
      </c>
      <c r="AA275" s="80" t="s">
        <v>1124</v>
      </c>
      <c r="AB275" s="80" t="s">
        <v>1125</v>
      </c>
      <c r="AC275" s="108" t="s">
        <v>94</v>
      </c>
      <c r="AD275" s="80" t="s">
        <v>256</v>
      </c>
    </row>
    <row r="276" spans="1:30">
      <c r="A276" s="10" t="s">
        <v>852</v>
      </c>
      <c r="B276" s="78" t="s">
        <v>96</v>
      </c>
      <c r="C276" s="78">
        <f>C275+(BudgetsTable[[#This Row],[lead]]&lt;&gt;K275)</f>
        <v>34</v>
      </c>
      <c r="D276" s="78">
        <f>D275*(BudgetsTable[[#This Row],[lead]]=K275)+(BudgetsTable[[#This Row],[prop_id]]&lt;&gt;A275)</f>
        <v>1</v>
      </c>
      <c r="E276" s="79">
        <v>42935.634722222225</v>
      </c>
      <c r="F276" s="80" t="s">
        <v>248</v>
      </c>
      <c r="G276" s="80" t="s">
        <v>1124</v>
      </c>
      <c r="H276" s="80" t="s">
        <v>1125</v>
      </c>
      <c r="I276" s="78" t="s">
        <v>596</v>
      </c>
      <c r="J276" s="78" t="s">
        <v>13</v>
      </c>
      <c r="K276" s="80" t="s">
        <v>852</v>
      </c>
      <c r="L276" s="7" t="str">
        <f>IF(BudgetsTable[[#This Row],[pi_last_name]]=" ","",HYPERLINK("https://www.ejacket.nsf.gov/ej/showProposal.do?Continue=Y&amp;ID="&amp;BudgetsTable[[#This Row],[prop_id]],BudgetsTable[[#This Row],[prop_id]]))</f>
        <v/>
      </c>
      <c r="M276" s="15" t="str">
        <f>IF(BudgetsTable[[#This Row],[pi_last_name]]=" ","",HYPERLINK("https://www.ejacket.nsf.gov/ej/processReviewAnalysis.do?dispatch=add&amp;uniqId="&amp;BudgetsTable[[#This Row],[prop_id]]&amp;PO_id,"&gt;ra"))</f>
        <v/>
      </c>
      <c r="N276" s="80" t="s">
        <v>13</v>
      </c>
      <c r="O276" s="7" t="str">
        <f>IF(BudgetsTable[[#This Row],[pi_last_name]]=" ","",HYPERLINK("mailto:"&amp;BudgetsTable[[#This Row],[pi_email]]&amp;"&amp;subject=Your NSF Proposal:  "&amp;BudgetsTable[[#This Row],[prop_id]],BudgetsTable[[#This Row],[pi_email]]))</f>
        <v/>
      </c>
      <c r="P276" s="80" t="s">
        <v>13</v>
      </c>
      <c r="Q276" s="80">
        <v>1</v>
      </c>
      <c r="R276" s="80">
        <v>1</v>
      </c>
      <c r="S276" s="81">
        <v>0</v>
      </c>
      <c r="T276" s="81">
        <v>10000</v>
      </c>
      <c r="U276" s="81">
        <v>0</v>
      </c>
      <c r="V276" s="82">
        <v>138214</v>
      </c>
      <c r="W276" s="80">
        <v>0</v>
      </c>
      <c r="X276" s="80">
        <v>4</v>
      </c>
      <c r="Y276" s="11" t="str">
        <f ca="1">IF(ISBLANK(BudgetsTable[[#This Row],[budg_seq_yr]]),"FY"&amp;fiscalyear,"FY"&amp;fiscalyear-1+BudgetsTable[[#This Row],[budg_seq_yr]])</f>
        <v>FY21</v>
      </c>
      <c r="Z276" s="81">
        <v>138214</v>
      </c>
      <c r="AA276" s="80" t="s">
        <v>1124</v>
      </c>
      <c r="AB276" s="80" t="s">
        <v>1125</v>
      </c>
      <c r="AC276" s="108" t="s">
        <v>94</v>
      </c>
      <c r="AD276" s="80" t="s">
        <v>256</v>
      </c>
    </row>
    <row r="277" spans="1:30">
      <c r="A277" s="10" t="s">
        <v>852</v>
      </c>
      <c r="B277" s="78" t="s">
        <v>96</v>
      </c>
      <c r="C277" s="78">
        <f>C276+(BudgetsTable[[#This Row],[lead]]&lt;&gt;K276)</f>
        <v>34</v>
      </c>
      <c r="D277" s="78">
        <f>D276*(BudgetsTable[[#This Row],[lead]]=K276)+(BudgetsTable[[#This Row],[prop_id]]&lt;&gt;A276)</f>
        <v>1</v>
      </c>
      <c r="E277" s="79">
        <v>42935.634722222225</v>
      </c>
      <c r="F277" s="80" t="s">
        <v>248</v>
      </c>
      <c r="G277" s="80" t="s">
        <v>1124</v>
      </c>
      <c r="H277" s="80" t="s">
        <v>1125</v>
      </c>
      <c r="I277" s="78" t="s">
        <v>596</v>
      </c>
      <c r="J277" s="78" t="s">
        <v>13</v>
      </c>
      <c r="K277" s="80" t="s">
        <v>852</v>
      </c>
      <c r="L277" s="7" t="str">
        <f>IF(BudgetsTable[[#This Row],[pi_last_name]]=" ","",HYPERLINK("https://www.ejacket.nsf.gov/ej/showProposal.do?Continue=Y&amp;ID="&amp;BudgetsTable[[#This Row],[prop_id]],BudgetsTable[[#This Row],[prop_id]]))</f>
        <v/>
      </c>
      <c r="M277" s="15" t="str">
        <f>IF(BudgetsTable[[#This Row],[pi_last_name]]=" ","",HYPERLINK("https://www.ejacket.nsf.gov/ej/processReviewAnalysis.do?dispatch=add&amp;uniqId="&amp;BudgetsTable[[#This Row],[prop_id]]&amp;PO_id,"&gt;ra"))</f>
        <v/>
      </c>
      <c r="N277" s="80" t="s">
        <v>13</v>
      </c>
      <c r="O277" s="7" t="str">
        <f>IF(BudgetsTable[[#This Row],[pi_last_name]]=" ","",HYPERLINK("mailto:"&amp;BudgetsTable[[#This Row],[pi_email]]&amp;"&amp;subject=Your NSF Proposal:  "&amp;BudgetsTable[[#This Row],[prop_id]],BudgetsTable[[#This Row],[pi_email]]))</f>
        <v/>
      </c>
      <c r="P277" s="80" t="s">
        <v>13</v>
      </c>
      <c r="Q277" s="80">
        <v>1</v>
      </c>
      <c r="R277" s="80">
        <v>1</v>
      </c>
      <c r="S277" s="81">
        <v>0</v>
      </c>
      <c r="T277" s="81">
        <v>5000</v>
      </c>
      <c r="U277" s="81">
        <v>0</v>
      </c>
      <c r="V277" s="82">
        <v>134005</v>
      </c>
      <c r="W277" s="80">
        <v>0</v>
      </c>
      <c r="X277" s="80">
        <v>5</v>
      </c>
      <c r="Y277" s="11" t="str">
        <f ca="1">IF(ISBLANK(BudgetsTable[[#This Row],[budg_seq_yr]]),"FY"&amp;fiscalyear,"FY"&amp;fiscalyear-1+BudgetsTable[[#This Row],[budg_seq_yr]])</f>
        <v>FY22</v>
      </c>
      <c r="Z277" s="81">
        <v>134005</v>
      </c>
      <c r="AA277" s="80" t="s">
        <v>1124</v>
      </c>
      <c r="AB277" s="80" t="s">
        <v>1125</v>
      </c>
      <c r="AC277" s="108" t="s">
        <v>94</v>
      </c>
      <c r="AD277" s="80" t="s">
        <v>256</v>
      </c>
    </row>
    <row r="278" spans="1:30">
      <c r="A278" s="10" t="s">
        <v>859</v>
      </c>
      <c r="B278" s="78" t="s">
        <v>96</v>
      </c>
      <c r="C278" s="78">
        <f>C277+(BudgetsTable[[#This Row],[lead]]&lt;&gt;K277)</f>
        <v>35</v>
      </c>
      <c r="D278" s="78">
        <f>D277*(BudgetsTable[[#This Row],[lead]]=K277)+(BudgetsTable[[#This Row],[prop_id]]&lt;&gt;A277)</f>
        <v>1</v>
      </c>
      <c r="E278" s="79">
        <v>42935.63958333333</v>
      </c>
      <c r="F278" s="80" t="s">
        <v>248</v>
      </c>
      <c r="G278" s="80" t="s">
        <v>1124</v>
      </c>
      <c r="H278" s="80" t="s">
        <v>1125</v>
      </c>
      <c r="I278" s="78" t="s">
        <v>596</v>
      </c>
      <c r="J278" s="78" t="s">
        <v>1325</v>
      </c>
      <c r="K278" s="80" t="s">
        <v>859</v>
      </c>
      <c r="L278" s="7" t="str">
        <f>IF(BudgetsTable[[#This Row],[pi_last_name]]=" ","",HYPERLINK("https://www.ejacket.nsf.gov/ej/showProposal.do?Continue=Y&amp;ID="&amp;BudgetsTable[[#This Row],[prop_id]],BudgetsTable[[#This Row],[prop_id]]))</f>
        <v>1750811</v>
      </c>
      <c r="M278" s="15" t="str">
        <f>IF(BudgetsTable[[#This Row],[pi_last_name]]=" ","",HYPERLINK("https://www.ejacket.nsf.gov/ej/processReviewAnalysis.do?dispatch=add&amp;uniqId="&amp;BudgetsTable[[#This Row],[prop_id]]&amp;PO_id,"&gt;ra"))</f>
        <v>&gt;ra</v>
      </c>
      <c r="N278" s="80" t="s">
        <v>860</v>
      </c>
      <c r="O278" s="7" t="str">
        <f>IF(BudgetsTable[[#This Row],[pi_last_name]]=" ","",HYPERLINK("mailto:"&amp;BudgetsTable[[#This Row],[pi_email]]&amp;"&amp;subject=Your NSF Proposal:  "&amp;BudgetsTable[[#This Row],[prop_id]],BudgetsTable[[#This Row],[pi_email]]))</f>
        <v>psd@engr.uconn.edu</v>
      </c>
      <c r="P278" s="80" t="s">
        <v>460</v>
      </c>
      <c r="Q278" s="80"/>
      <c r="R278" s="80"/>
      <c r="S278" s="81"/>
      <c r="T278" s="81"/>
      <c r="U278" s="81"/>
      <c r="V278" s="82"/>
      <c r="W278" s="80">
        <v>0</v>
      </c>
      <c r="X278" s="80"/>
      <c r="Y278" s="11" t="str">
        <f ca="1">IF(ISBLANK(BudgetsTable[[#This Row],[budg_seq_yr]]),"FY"&amp;fiscalyear,"FY"&amp;fiscalyear-1+BudgetsTable[[#This Row],[budg_seq_yr]])</f>
        <v>FY18</v>
      </c>
      <c r="Z278" s="81">
        <v>508393</v>
      </c>
      <c r="AA278" s="80" t="s">
        <v>1124</v>
      </c>
      <c r="AB278" s="80" t="s">
        <v>1125</v>
      </c>
      <c r="AC278" s="108" t="s">
        <v>94</v>
      </c>
      <c r="AD278" s="80" t="s">
        <v>256</v>
      </c>
    </row>
    <row r="279" spans="1:30">
      <c r="A279" s="10" t="s">
        <v>859</v>
      </c>
      <c r="B279" s="78" t="s">
        <v>96</v>
      </c>
      <c r="C279" s="78">
        <f>C278+(BudgetsTable[[#This Row],[lead]]&lt;&gt;K278)</f>
        <v>35</v>
      </c>
      <c r="D279" s="78">
        <f>D278*(BudgetsTable[[#This Row],[lead]]=K278)+(BudgetsTable[[#This Row],[prop_id]]&lt;&gt;A278)</f>
        <v>1</v>
      </c>
      <c r="E279" s="79">
        <v>42935.63958333333</v>
      </c>
      <c r="F279" s="80" t="s">
        <v>248</v>
      </c>
      <c r="G279" s="80" t="s">
        <v>1124</v>
      </c>
      <c r="H279" s="80" t="s">
        <v>1125</v>
      </c>
      <c r="I279" s="78" t="s">
        <v>596</v>
      </c>
      <c r="J279" s="78" t="s">
        <v>13</v>
      </c>
      <c r="K279" s="80" t="s">
        <v>859</v>
      </c>
      <c r="L279" s="7" t="str">
        <f>IF(BudgetsTable[[#This Row],[pi_last_name]]=" ","",HYPERLINK("https://www.ejacket.nsf.gov/ej/showProposal.do?Continue=Y&amp;ID="&amp;BudgetsTable[[#This Row],[prop_id]],BudgetsTable[[#This Row],[prop_id]]))</f>
        <v/>
      </c>
      <c r="M279" s="15" t="str">
        <f>IF(BudgetsTable[[#This Row],[pi_last_name]]=" ","",HYPERLINK("https://www.ejacket.nsf.gov/ej/processReviewAnalysis.do?dispatch=add&amp;uniqId="&amp;BudgetsTable[[#This Row],[prop_id]]&amp;PO_id,"&gt;ra"))</f>
        <v/>
      </c>
      <c r="N279" s="80" t="s">
        <v>13</v>
      </c>
      <c r="O279" s="7" t="str">
        <f>IF(BudgetsTable[[#This Row],[pi_last_name]]=" ","",HYPERLINK("mailto:"&amp;BudgetsTable[[#This Row],[pi_email]]&amp;"&amp;subject=Your NSF Proposal:  "&amp;BudgetsTable[[#This Row],[prop_id]],BudgetsTable[[#This Row],[pi_email]]))</f>
        <v/>
      </c>
      <c r="P279" s="80" t="s">
        <v>13</v>
      </c>
      <c r="Q279" s="80">
        <v>1</v>
      </c>
      <c r="R279" s="80">
        <v>1</v>
      </c>
      <c r="S279" s="81">
        <v>0</v>
      </c>
      <c r="T279" s="81">
        <v>3000</v>
      </c>
      <c r="U279" s="81">
        <v>0</v>
      </c>
      <c r="V279" s="82">
        <v>104729</v>
      </c>
      <c r="W279" s="80">
        <v>0</v>
      </c>
      <c r="X279" s="80">
        <v>1</v>
      </c>
      <c r="Y279" s="11" t="str">
        <f ca="1">IF(ISBLANK(BudgetsTable[[#This Row],[budg_seq_yr]]),"FY"&amp;fiscalyear,"FY"&amp;fiscalyear-1+BudgetsTable[[#This Row],[budg_seq_yr]])</f>
        <v>FY18</v>
      </c>
      <c r="Z279" s="81">
        <v>104729</v>
      </c>
      <c r="AA279" s="80" t="s">
        <v>1124</v>
      </c>
      <c r="AB279" s="80" t="s">
        <v>1125</v>
      </c>
      <c r="AC279" s="108" t="s">
        <v>94</v>
      </c>
      <c r="AD279" s="80" t="s">
        <v>256</v>
      </c>
    </row>
    <row r="280" spans="1:30">
      <c r="A280" s="10" t="s">
        <v>859</v>
      </c>
      <c r="B280" s="78" t="s">
        <v>96</v>
      </c>
      <c r="C280" s="78">
        <f>C279+(BudgetsTable[[#This Row],[lead]]&lt;&gt;K279)</f>
        <v>35</v>
      </c>
      <c r="D280" s="78">
        <f>D279*(BudgetsTable[[#This Row],[lead]]=K279)+(BudgetsTable[[#This Row],[prop_id]]&lt;&gt;A279)</f>
        <v>1</v>
      </c>
      <c r="E280" s="79">
        <v>42935.63958333333</v>
      </c>
      <c r="F280" s="80" t="s">
        <v>248</v>
      </c>
      <c r="G280" s="80" t="s">
        <v>1124</v>
      </c>
      <c r="H280" s="80" t="s">
        <v>1125</v>
      </c>
      <c r="I280" s="78" t="s">
        <v>596</v>
      </c>
      <c r="J280" s="78" t="s">
        <v>13</v>
      </c>
      <c r="K280" s="80" t="s">
        <v>859</v>
      </c>
      <c r="L280" s="7" t="str">
        <f>IF(BudgetsTable[[#This Row],[pi_last_name]]=" ","",HYPERLINK("https://www.ejacket.nsf.gov/ej/showProposal.do?Continue=Y&amp;ID="&amp;BudgetsTable[[#This Row],[prop_id]],BudgetsTable[[#This Row],[prop_id]]))</f>
        <v/>
      </c>
      <c r="M280" s="15" t="str">
        <f>IF(BudgetsTable[[#This Row],[pi_last_name]]=" ","",HYPERLINK("https://www.ejacket.nsf.gov/ej/processReviewAnalysis.do?dispatch=add&amp;uniqId="&amp;BudgetsTable[[#This Row],[prop_id]]&amp;PO_id,"&gt;ra"))</f>
        <v/>
      </c>
      <c r="N280" s="80" t="s">
        <v>13</v>
      </c>
      <c r="O280" s="7" t="str">
        <f>IF(BudgetsTable[[#This Row],[pi_last_name]]=" ","",HYPERLINK("mailto:"&amp;BudgetsTable[[#This Row],[pi_email]]&amp;"&amp;subject=Your NSF Proposal:  "&amp;BudgetsTable[[#This Row],[prop_id]],BudgetsTable[[#This Row],[pi_email]]))</f>
        <v/>
      </c>
      <c r="P280" s="80" t="s">
        <v>13</v>
      </c>
      <c r="Q280" s="80">
        <v>1</v>
      </c>
      <c r="R280" s="80">
        <v>1</v>
      </c>
      <c r="S280" s="81">
        <v>0</v>
      </c>
      <c r="T280" s="81">
        <v>3000</v>
      </c>
      <c r="U280" s="81">
        <v>0</v>
      </c>
      <c r="V280" s="82">
        <v>109342</v>
      </c>
      <c r="W280" s="80">
        <v>0</v>
      </c>
      <c r="X280" s="80">
        <v>2</v>
      </c>
      <c r="Y280" s="11" t="str">
        <f ca="1">IF(ISBLANK(BudgetsTable[[#This Row],[budg_seq_yr]]),"FY"&amp;fiscalyear,"FY"&amp;fiscalyear-1+BudgetsTable[[#This Row],[budg_seq_yr]])</f>
        <v>FY19</v>
      </c>
      <c r="Z280" s="81">
        <v>109342</v>
      </c>
      <c r="AA280" s="80" t="s">
        <v>1124</v>
      </c>
      <c r="AB280" s="80" t="s">
        <v>1125</v>
      </c>
      <c r="AC280" s="108" t="s">
        <v>94</v>
      </c>
      <c r="AD280" s="80" t="s">
        <v>256</v>
      </c>
    </row>
    <row r="281" spans="1:30">
      <c r="A281" s="10" t="s">
        <v>859</v>
      </c>
      <c r="B281" s="78" t="s">
        <v>96</v>
      </c>
      <c r="C281" s="78">
        <f>C280+(BudgetsTable[[#This Row],[lead]]&lt;&gt;K280)</f>
        <v>35</v>
      </c>
      <c r="D281" s="78">
        <f>D280*(BudgetsTable[[#This Row],[lead]]=K280)+(BudgetsTable[[#This Row],[prop_id]]&lt;&gt;A280)</f>
        <v>1</v>
      </c>
      <c r="E281" s="79">
        <v>42935.63958333333</v>
      </c>
      <c r="F281" s="80" t="s">
        <v>248</v>
      </c>
      <c r="G281" s="80" t="s">
        <v>1124</v>
      </c>
      <c r="H281" s="80" t="s">
        <v>1125</v>
      </c>
      <c r="I281" s="78" t="s">
        <v>596</v>
      </c>
      <c r="J281" s="78" t="s">
        <v>13</v>
      </c>
      <c r="K281" s="80" t="s">
        <v>859</v>
      </c>
      <c r="L281" s="7" t="str">
        <f>IF(BudgetsTable[[#This Row],[pi_last_name]]=" ","",HYPERLINK("https://www.ejacket.nsf.gov/ej/showProposal.do?Continue=Y&amp;ID="&amp;BudgetsTable[[#This Row],[prop_id]],BudgetsTable[[#This Row],[prop_id]]))</f>
        <v/>
      </c>
      <c r="M281" s="15" t="str">
        <f>IF(BudgetsTable[[#This Row],[pi_last_name]]=" ","",HYPERLINK("https://www.ejacket.nsf.gov/ej/processReviewAnalysis.do?dispatch=add&amp;uniqId="&amp;BudgetsTable[[#This Row],[prop_id]]&amp;PO_id,"&gt;ra"))</f>
        <v/>
      </c>
      <c r="N281" s="80" t="s">
        <v>13</v>
      </c>
      <c r="O281" s="7" t="str">
        <f>IF(BudgetsTable[[#This Row],[pi_last_name]]=" ","",HYPERLINK("mailto:"&amp;BudgetsTable[[#This Row],[pi_email]]&amp;"&amp;subject=Your NSF Proposal:  "&amp;BudgetsTable[[#This Row],[prop_id]],BudgetsTable[[#This Row],[pi_email]]))</f>
        <v/>
      </c>
      <c r="P281" s="80" t="s">
        <v>13</v>
      </c>
      <c r="Q281" s="80">
        <v>1</v>
      </c>
      <c r="R281" s="80">
        <v>1</v>
      </c>
      <c r="S281" s="81">
        <v>0</v>
      </c>
      <c r="T281" s="81">
        <v>3000</v>
      </c>
      <c r="U281" s="81">
        <v>0</v>
      </c>
      <c r="V281" s="82">
        <v>94937</v>
      </c>
      <c r="W281" s="80">
        <v>0</v>
      </c>
      <c r="X281" s="80">
        <v>3</v>
      </c>
      <c r="Y281" s="11" t="str">
        <f ca="1">IF(ISBLANK(BudgetsTable[[#This Row],[budg_seq_yr]]),"FY"&amp;fiscalyear,"FY"&amp;fiscalyear-1+BudgetsTable[[#This Row],[budg_seq_yr]])</f>
        <v>FY20</v>
      </c>
      <c r="Z281" s="81">
        <v>94937</v>
      </c>
      <c r="AA281" s="80" t="s">
        <v>1124</v>
      </c>
      <c r="AB281" s="80" t="s">
        <v>1125</v>
      </c>
      <c r="AC281" s="108" t="s">
        <v>94</v>
      </c>
      <c r="AD281" s="80" t="s">
        <v>256</v>
      </c>
    </row>
    <row r="282" spans="1:30">
      <c r="A282" s="10" t="s">
        <v>859</v>
      </c>
      <c r="B282" s="78" t="s">
        <v>96</v>
      </c>
      <c r="C282" s="78">
        <f>C281+(BudgetsTable[[#This Row],[lead]]&lt;&gt;K281)</f>
        <v>35</v>
      </c>
      <c r="D282" s="78">
        <f>D281*(BudgetsTable[[#This Row],[lead]]=K281)+(BudgetsTable[[#This Row],[prop_id]]&lt;&gt;A281)</f>
        <v>1</v>
      </c>
      <c r="E282" s="79">
        <v>42935.63958333333</v>
      </c>
      <c r="F282" s="80" t="s">
        <v>248</v>
      </c>
      <c r="G282" s="80" t="s">
        <v>1124</v>
      </c>
      <c r="H282" s="80" t="s">
        <v>1125</v>
      </c>
      <c r="I282" s="78" t="s">
        <v>596</v>
      </c>
      <c r="J282" s="78" t="s">
        <v>13</v>
      </c>
      <c r="K282" s="80" t="s">
        <v>859</v>
      </c>
      <c r="L282" s="7" t="str">
        <f>IF(BudgetsTable[[#This Row],[pi_last_name]]=" ","",HYPERLINK("https://www.ejacket.nsf.gov/ej/showProposal.do?Continue=Y&amp;ID="&amp;BudgetsTable[[#This Row],[prop_id]],BudgetsTable[[#This Row],[prop_id]]))</f>
        <v/>
      </c>
      <c r="M282" s="15" t="str">
        <f>IF(BudgetsTable[[#This Row],[pi_last_name]]=" ","",HYPERLINK("https://www.ejacket.nsf.gov/ej/processReviewAnalysis.do?dispatch=add&amp;uniqId="&amp;BudgetsTable[[#This Row],[prop_id]]&amp;PO_id,"&gt;ra"))</f>
        <v/>
      </c>
      <c r="N282" s="80" t="s">
        <v>13</v>
      </c>
      <c r="O282" s="7" t="str">
        <f>IF(BudgetsTable[[#This Row],[pi_last_name]]=" ","",HYPERLINK("mailto:"&amp;BudgetsTable[[#This Row],[pi_email]]&amp;"&amp;subject=Your NSF Proposal:  "&amp;BudgetsTable[[#This Row],[prop_id]],BudgetsTable[[#This Row],[pi_email]]))</f>
        <v/>
      </c>
      <c r="P282" s="80" t="s">
        <v>13</v>
      </c>
      <c r="Q282" s="80">
        <v>1</v>
      </c>
      <c r="R282" s="80">
        <v>1</v>
      </c>
      <c r="S282" s="81">
        <v>0</v>
      </c>
      <c r="T282" s="81">
        <v>3000</v>
      </c>
      <c r="U282" s="81">
        <v>0</v>
      </c>
      <c r="V282" s="82">
        <v>98130</v>
      </c>
      <c r="W282" s="80">
        <v>0</v>
      </c>
      <c r="X282" s="80">
        <v>4</v>
      </c>
      <c r="Y282" s="11" t="str">
        <f ca="1">IF(ISBLANK(BudgetsTable[[#This Row],[budg_seq_yr]]),"FY"&amp;fiscalyear,"FY"&amp;fiscalyear-1+BudgetsTable[[#This Row],[budg_seq_yr]])</f>
        <v>FY21</v>
      </c>
      <c r="Z282" s="81">
        <v>98130</v>
      </c>
      <c r="AA282" s="80" t="s">
        <v>1124</v>
      </c>
      <c r="AB282" s="80" t="s">
        <v>1125</v>
      </c>
      <c r="AC282" s="108" t="s">
        <v>94</v>
      </c>
      <c r="AD282" s="80" t="s">
        <v>256</v>
      </c>
    </row>
    <row r="283" spans="1:30">
      <c r="A283" s="10" t="s">
        <v>859</v>
      </c>
      <c r="B283" s="78" t="s">
        <v>96</v>
      </c>
      <c r="C283" s="78">
        <f>C282+(BudgetsTable[[#This Row],[lead]]&lt;&gt;K282)</f>
        <v>35</v>
      </c>
      <c r="D283" s="78">
        <f>D282*(BudgetsTable[[#This Row],[lead]]=K282)+(BudgetsTable[[#This Row],[prop_id]]&lt;&gt;A282)</f>
        <v>1</v>
      </c>
      <c r="E283" s="79">
        <v>42935.63958333333</v>
      </c>
      <c r="F283" s="80" t="s">
        <v>248</v>
      </c>
      <c r="G283" s="80" t="s">
        <v>1124</v>
      </c>
      <c r="H283" s="80" t="s">
        <v>1125</v>
      </c>
      <c r="I283" s="78" t="s">
        <v>596</v>
      </c>
      <c r="J283" s="78" t="s">
        <v>13</v>
      </c>
      <c r="K283" s="80" t="s">
        <v>859</v>
      </c>
      <c r="L283" s="7" t="str">
        <f>IF(BudgetsTable[[#This Row],[pi_last_name]]=" ","",HYPERLINK("https://www.ejacket.nsf.gov/ej/showProposal.do?Continue=Y&amp;ID="&amp;BudgetsTable[[#This Row],[prop_id]],BudgetsTable[[#This Row],[prop_id]]))</f>
        <v/>
      </c>
      <c r="M283" s="15" t="str">
        <f>IF(BudgetsTable[[#This Row],[pi_last_name]]=" ","",HYPERLINK("https://www.ejacket.nsf.gov/ej/processReviewAnalysis.do?dispatch=add&amp;uniqId="&amp;BudgetsTable[[#This Row],[prop_id]]&amp;PO_id,"&gt;ra"))</f>
        <v/>
      </c>
      <c r="N283" s="80" t="s">
        <v>13</v>
      </c>
      <c r="O283" s="7" t="str">
        <f>IF(BudgetsTable[[#This Row],[pi_last_name]]=" ","",HYPERLINK("mailto:"&amp;BudgetsTable[[#This Row],[pi_email]]&amp;"&amp;subject=Your NSF Proposal:  "&amp;BudgetsTable[[#This Row],[prop_id]],BudgetsTable[[#This Row],[pi_email]]))</f>
        <v/>
      </c>
      <c r="P283" s="80" t="s">
        <v>13</v>
      </c>
      <c r="Q283" s="80">
        <v>1</v>
      </c>
      <c r="R283" s="80">
        <v>1</v>
      </c>
      <c r="S283" s="81">
        <v>0</v>
      </c>
      <c r="T283" s="81">
        <v>3000</v>
      </c>
      <c r="U283" s="81">
        <v>0</v>
      </c>
      <c r="V283" s="82">
        <v>101255</v>
      </c>
      <c r="W283" s="80">
        <v>0</v>
      </c>
      <c r="X283" s="80">
        <v>5</v>
      </c>
      <c r="Y283" s="11" t="str">
        <f ca="1">IF(ISBLANK(BudgetsTable[[#This Row],[budg_seq_yr]]),"FY"&amp;fiscalyear,"FY"&amp;fiscalyear-1+BudgetsTable[[#This Row],[budg_seq_yr]])</f>
        <v>FY22</v>
      </c>
      <c r="Z283" s="81">
        <v>101255</v>
      </c>
      <c r="AA283" s="80" t="s">
        <v>1124</v>
      </c>
      <c r="AB283" s="80" t="s">
        <v>1125</v>
      </c>
      <c r="AC283" s="108" t="s">
        <v>94</v>
      </c>
      <c r="AD283" s="80" t="s">
        <v>256</v>
      </c>
    </row>
    <row r="284" spans="1:30">
      <c r="A284" s="10" t="s">
        <v>867</v>
      </c>
      <c r="B284" s="78" t="s">
        <v>96</v>
      </c>
      <c r="C284" s="78">
        <f>C283+(BudgetsTable[[#This Row],[lead]]&lt;&gt;K283)</f>
        <v>36</v>
      </c>
      <c r="D284" s="78">
        <f>D283*(BudgetsTable[[#This Row],[lead]]=K283)+(BudgetsTable[[#This Row],[prop_id]]&lt;&gt;A283)</f>
        <v>1</v>
      </c>
      <c r="E284" s="79">
        <v>42935.647916666669</v>
      </c>
      <c r="F284" s="80" t="s">
        <v>248</v>
      </c>
      <c r="G284" s="80" t="s">
        <v>1124</v>
      </c>
      <c r="H284" s="80" t="s">
        <v>1125</v>
      </c>
      <c r="I284" s="78" t="s">
        <v>596</v>
      </c>
      <c r="J284" s="78" t="s">
        <v>1329</v>
      </c>
      <c r="K284" s="80" t="s">
        <v>867</v>
      </c>
      <c r="L284" s="7" t="str">
        <f>IF(BudgetsTable[[#This Row],[pi_last_name]]=" ","",HYPERLINK("https://www.ejacket.nsf.gov/ej/showProposal.do?Continue=Y&amp;ID="&amp;BudgetsTable[[#This Row],[prop_id]],BudgetsTable[[#This Row],[prop_id]]))</f>
        <v>1750864</v>
      </c>
      <c r="M284" s="15" t="str">
        <f>IF(BudgetsTable[[#This Row],[pi_last_name]]=" ","",HYPERLINK("https://www.ejacket.nsf.gov/ej/processReviewAnalysis.do?dispatch=add&amp;uniqId="&amp;BudgetsTable[[#This Row],[prop_id]]&amp;PO_id,"&gt;ra"))</f>
        <v>&gt;ra</v>
      </c>
      <c r="N284" s="80" t="s">
        <v>561</v>
      </c>
      <c r="O284" s="7" t="str">
        <f>IF(BudgetsTable[[#This Row],[pi_last_name]]=" ","",HYPERLINK("mailto:"&amp;BudgetsTable[[#This Row],[pi_email]]&amp;"&amp;subject=Your NSF Proposal:  "&amp;BudgetsTable[[#This Row],[prop_id]],BudgetsTable[[#This Row],[pi_email]]))</f>
        <v>gracegao@illinois.edu</v>
      </c>
      <c r="P284" s="80" t="s">
        <v>351</v>
      </c>
      <c r="Q284" s="80"/>
      <c r="R284" s="80"/>
      <c r="S284" s="81"/>
      <c r="T284" s="81"/>
      <c r="U284" s="81"/>
      <c r="V284" s="82"/>
      <c r="W284" s="80">
        <v>0</v>
      </c>
      <c r="X284" s="80"/>
      <c r="Y284" s="11" t="str">
        <f ca="1">IF(ISBLANK(BudgetsTable[[#This Row],[budg_seq_yr]]),"FY"&amp;fiscalyear,"FY"&amp;fiscalyear-1+BudgetsTable[[#This Row],[budg_seq_yr]])</f>
        <v>FY18</v>
      </c>
      <c r="Z284" s="81">
        <v>517473</v>
      </c>
      <c r="AA284" s="80" t="s">
        <v>1124</v>
      </c>
      <c r="AB284" s="80" t="s">
        <v>1125</v>
      </c>
      <c r="AC284" s="108" t="s">
        <v>94</v>
      </c>
      <c r="AD284" s="80" t="s">
        <v>256</v>
      </c>
    </row>
    <row r="285" spans="1:30">
      <c r="A285" s="10" t="s">
        <v>867</v>
      </c>
      <c r="B285" s="78" t="s">
        <v>96</v>
      </c>
      <c r="C285" s="78">
        <f>C284+(BudgetsTable[[#This Row],[lead]]&lt;&gt;K284)</f>
        <v>36</v>
      </c>
      <c r="D285" s="78">
        <f>D284*(BudgetsTable[[#This Row],[lead]]=K284)+(BudgetsTable[[#This Row],[prop_id]]&lt;&gt;A284)</f>
        <v>1</v>
      </c>
      <c r="E285" s="79">
        <v>42935.647916666669</v>
      </c>
      <c r="F285" s="80" t="s">
        <v>248</v>
      </c>
      <c r="G285" s="80" t="s">
        <v>1124</v>
      </c>
      <c r="H285" s="80" t="s">
        <v>1125</v>
      </c>
      <c r="I285" s="78" t="s">
        <v>596</v>
      </c>
      <c r="J285" s="78" t="s">
        <v>13</v>
      </c>
      <c r="K285" s="80" t="s">
        <v>867</v>
      </c>
      <c r="L285" s="7" t="str">
        <f>IF(BudgetsTable[[#This Row],[pi_last_name]]=" ","",HYPERLINK("https://www.ejacket.nsf.gov/ej/showProposal.do?Continue=Y&amp;ID="&amp;BudgetsTable[[#This Row],[prop_id]],BudgetsTable[[#This Row],[prop_id]]))</f>
        <v/>
      </c>
      <c r="M285" s="15" t="str">
        <f>IF(BudgetsTable[[#This Row],[pi_last_name]]=" ","",HYPERLINK("https://www.ejacket.nsf.gov/ej/processReviewAnalysis.do?dispatch=add&amp;uniqId="&amp;BudgetsTable[[#This Row],[prop_id]]&amp;PO_id,"&gt;ra"))</f>
        <v/>
      </c>
      <c r="N285" s="80" t="s">
        <v>13</v>
      </c>
      <c r="O285" s="7" t="str">
        <f>IF(BudgetsTable[[#This Row],[pi_last_name]]=" ","",HYPERLINK("mailto:"&amp;BudgetsTable[[#This Row],[pi_email]]&amp;"&amp;subject=Your NSF Proposal:  "&amp;BudgetsTable[[#This Row],[prop_id]],BudgetsTable[[#This Row],[pi_email]]))</f>
        <v/>
      </c>
      <c r="P285" s="80" t="s">
        <v>13</v>
      </c>
      <c r="Q285" s="80">
        <v>1</v>
      </c>
      <c r="R285" s="80">
        <v>1</v>
      </c>
      <c r="S285" s="81">
        <v>0</v>
      </c>
      <c r="T285" s="81">
        <v>0</v>
      </c>
      <c r="U285" s="81">
        <v>0</v>
      </c>
      <c r="V285" s="82">
        <v>169740</v>
      </c>
      <c r="W285" s="80">
        <v>0</v>
      </c>
      <c r="X285" s="80">
        <v>1</v>
      </c>
      <c r="Y285" s="11" t="str">
        <f ca="1">IF(ISBLANK(BudgetsTable[[#This Row],[budg_seq_yr]]),"FY"&amp;fiscalyear,"FY"&amp;fiscalyear-1+BudgetsTable[[#This Row],[budg_seq_yr]])</f>
        <v>FY18</v>
      </c>
      <c r="Z285" s="81">
        <v>169740</v>
      </c>
      <c r="AA285" s="80" t="s">
        <v>1124</v>
      </c>
      <c r="AB285" s="80" t="s">
        <v>1125</v>
      </c>
      <c r="AC285" s="108" t="s">
        <v>94</v>
      </c>
      <c r="AD285" s="80" t="s">
        <v>256</v>
      </c>
    </row>
    <row r="286" spans="1:30">
      <c r="A286" s="10" t="s">
        <v>867</v>
      </c>
      <c r="B286" s="78" t="s">
        <v>96</v>
      </c>
      <c r="C286" s="78">
        <f>C285+(BudgetsTable[[#This Row],[lead]]&lt;&gt;K285)</f>
        <v>36</v>
      </c>
      <c r="D286" s="78">
        <f>D285*(BudgetsTable[[#This Row],[lead]]=K285)+(BudgetsTable[[#This Row],[prop_id]]&lt;&gt;A285)</f>
        <v>1</v>
      </c>
      <c r="E286" s="79">
        <v>42935.647916666669</v>
      </c>
      <c r="F286" s="80" t="s">
        <v>248</v>
      </c>
      <c r="G286" s="80" t="s">
        <v>1124</v>
      </c>
      <c r="H286" s="80" t="s">
        <v>1125</v>
      </c>
      <c r="I286" s="78" t="s">
        <v>596</v>
      </c>
      <c r="J286" s="78" t="s">
        <v>13</v>
      </c>
      <c r="K286" s="80" t="s">
        <v>867</v>
      </c>
      <c r="L286" s="7" t="str">
        <f>IF(BudgetsTable[[#This Row],[pi_last_name]]=" ","",HYPERLINK("https://www.ejacket.nsf.gov/ej/showProposal.do?Continue=Y&amp;ID="&amp;BudgetsTable[[#This Row],[prop_id]],BudgetsTable[[#This Row],[prop_id]]))</f>
        <v/>
      </c>
      <c r="M286" s="15" t="str">
        <f>IF(BudgetsTable[[#This Row],[pi_last_name]]=" ","",HYPERLINK("https://www.ejacket.nsf.gov/ej/processReviewAnalysis.do?dispatch=add&amp;uniqId="&amp;BudgetsTable[[#This Row],[prop_id]]&amp;PO_id,"&gt;ra"))</f>
        <v/>
      </c>
      <c r="N286" s="80" t="s">
        <v>13</v>
      </c>
      <c r="O286" s="7" t="str">
        <f>IF(BudgetsTable[[#This Row],[pi_last_name]]=" ","",HYPERLINK("mailto:"&amp;BudgetsTable[[#This Row],[pi_email]]&amp;"&amp;subject=Your NSF Proposal:  "&amp;BudgetsTable[[#This Row],[prop_id]],BudgetsTable[[#This Row],[pi_email]]))</f>
        <v/>
      </c>
      <c r="P286" s="80" t="s">
        <v>13</v>
      </c>
      <c r="Q286" s="80">
        <v>1</v>
      </c>
      <c r="R286" s="80">
        <v>1</v>
      </c>
      <c r="S286" s="81">
        <v>0</v>
      </c>
      <c r="T286" s="81">
        <v>0</v>
      </c>
      <c r="U286" s="81">
        <v>0</v>
      </c>
      <c r="V286" s="82">
        <v>134541</v>
      </c>
      <c r="W286" s="80">
        <v>0</v>
      </c>
      <c r="X286" s="80">
        <v>2</v>
      </c>
      <c r="Y286" s="11" t="str">
        <f ca="1">IF(ISBLANK(BudgetsTable[[#This Row],[budg_seq_yr]]),"FY"&amp;fiscalyear,"FY"&amp;fiscalyear-1+BudgetsTable[[#This Row],[budg_seq_yr]])</f>
        <v>FY19</v>
      </c>
      <c r="Z286" s="81">
        <v>134541</v>
      </c>
      <c r="AA286" s="80" t="s">
        <v>1124</v>
      </c>
      <c r="AB286" s="80" t="s">
        <v>1125</v>
      </c>
      <c r="AC286" s="108" t="s">
        <v>94</v>
      </c>
      <c r="AD286" s="80" t="s">
        <v>256</v>
      </c>
    </row>
    <row r="287" spans="1:30">
      <c r="A287" s="10" t="s">
        <v>867</v>
      </c>
      <c r="B287" s="78" t="s">
        <v>96</v>
      </c>
      <c r="C287" s="78">
        <f>C286+(BudgetsTable[[#This Row],[lead]]&lt;&gt;K286)</f>
        <v>36</v>
      </c>
      <c r="D287" s="78">
        <f>D286*(BudgetsTable[[#This Row],[lead]]=K286)+(BudgetsTable[[#This Row],[prop_id]]&lt;&gt;A286)</f>
        <v>1</v>
      </c>
      <c r="E287" s="79">
        <v>42935.647916666669</v>
      </c>
      <c r="F287" s="80" t="s">
        <v>248</v>
      </c>
      <c r="G287" s="80" t="s">
        <v>1124</v>
      </c>
      <c r="H287" s="80" t="s">
        <v>1125</v>
      </c>
      <c r="I287" s="78" t="s">
        <v>596</v>
      </c>
      <c r="J287" s="78" t="s">
        <v>13</v>
      </c>
      <c r="K287" s="80" t="s">
        <v>867</v>
      </c>
      <c r="L287" s="7" t="str">
        <f>IF(BudgetsTable[[#This Row],[pi_last_name]]=" ","",HYPERLINK("https://www.ejacket.nsf.gov/ej/showProposal.do?Continue=Y&amp;ID="&amp;BudgetsTable[[#This Row],[prop_id]],BudgetsTable[[#This Row],[prop_id]]))</f>
        <v/>
      </c>
      <c r="M287" s="15" t="str">
        <f>IF(BudgetsTable[[#This Row],[pi_last_name]]=" ","",HYPERLINK("https://www.ejacket.nsf.gov/ej/processReviewAnalysis.do?dispatch=add&amp;uniqId="&amp;BudgetsTable[[#This Row],[prop_id]]&amp;PO_id,"&gt;ra"))</f>
        <v/>
      </c>
      <c r="N287" s="80" t="s">
        <v>13</v>
      </c>
      <c r="O287" s="7" t="str">
        <f>IF(BudgetsTable[[#This Row],[pi_last_name]]=" ","",HYPERLINK("mailto:"&amp;BudgetsTable[[#This Row],[pi_email]]&amp;"&amp;subject=Your NSF Proposal:  "&amp;BudgetsTable[[#This Row],[prop_id]],BudgetsTable[[#This Row],[pi_email]]))</f>
        <v/>
      </c>
      <c r="P287" s="80" t="s">
        <v>13</v>
      </c>
      <c r="Q287" s="80">
        <v>1</v>
      </c>
      <c r="R287" s="80">
        <v>0.5</v>
      </c>
      <c r="S287" s="81">
        <v>0</v>
      </c>
      <c r="T287" s="81">
        <v>0</v>
      </c>
      <c r="U287" s="81">
        <v>0</v>
      </c>
      <c r="V287" s="82">
        <v>99086</v>
      </c>
      <c r="W287" s="80">
        <v>0</v>
      </c>
      <c r="X287" s="80">
        <v>3</v>
      </c>
      <c r="Y287" s="11" t="str">
        <f ca="1">IF(ISBLANK(BudgetsTable[[#This Row],[budg_seq_yr]]),"FY"&amp;fiscalyear,"FY"&amp;fiscalyear-1+BudgetsTable[[#This Row],[budg_seq_yr]])</f>
        <v>FY20</v>
      </c>
      <c r="Z287" s="81">
        <v>99086</v>
      </c>
      <c r="AA287" s="80" t="s">
        <v>1124</v>
      </c>
      <c r="AB287" s="80" t="s">
        <v>1125</v>
      </c>
      <c r="AC287" s="108" t="s">
        <v>94</v>
      </c>
      <c r="AD287" s="80" t="s">
        <v>256</v>
      </c>
    </row>
    <row r="288" spans="1:30">
      <c r="A288" s="10" t="s">
        <v>867</v>
      </c>
      <c r="B288" s="78" t="s">
        <v>96</v>
      </c>
      <c r="C288" s="78">
        <f>C287+(BudgetsTable[[#This Row],[lead]]&lt;&gt;K287)</f>
        <v>36</v>
      </c>
      <c r="D288" s="78">
        <f>D287*(BudgetsTable[[#This Row],[lead]]=K287)+(BudgetsTable[[#This Row],[prop_id]]&lt;&gt;A287)</f>
        <v>1</v>
      </c>
      <c r="E288" s="79">
        <v>42935.647916666669</v>
      </c>
      <c r="F288" s="80" t="s">
        <v>248</v>
      </c>
      <c r="G288" s="80" t="s">
        <v>1124</v>
      </c>
      <c r="H288" s="80" t="s">
        <v>1125</v>
      </c>
      <c r="I288" s="78" t="s">
        <v>596</v>
      </c>
      <c r="J288" s="78" t="s">
        <v>13</v>
      </c>
      <c r="K288" s="80" t="s">
        <v>867</v>
      </c>
      <c r="L288" s="7" t="str">
        <f>IF(BudgetsTable[[#This Row],[pi_last_name]]=" ","",HYPERLINK("https://www.ejacket.nsf.gov/ej/showProposal.do?Continue=Y&amp;ID="&amp;BudgetsTable[[#This Row],[prop_id]],BudgetsTable[[#This Row],[prop_id]]))</f>
        <v/>
      </c>
      <c r="M288" s="15" t="str">
        <f>IF(BudgetsTable[[#This Row],[pi_last_name]]=" ","",HYPERLINK("https://www.ejacket.nsf.gov/ej/processReviewAnalysis.do?dispatch=add&amp;uniqId="&amp;BudgetsTable[[#This Row],[prop_id]]&amp;PO_id,"&gt;ra"))</f>
        <v/>
      </c>
      <c r="N288" s="80" t="s">
        <v>13</v>
      </c>
      <c r="O288" s="7" t="str">
        <f>IF(BudgetsTable[[#This Row],[pi_last_name]]=" ","",HYPERLINK("mailto:"&amp;BudgetsTable[[#This Row],[pi_email]]&amp;"&amp;subject=Your NSF Proposal:  "&amp;BudgetsTable[[#This Row],[prop_id]],BudgetsTable[[#This Row],[pi_email]]))</f>
        <v/>
      </c>
      <c r="P288" s="80" t="s">
        <v>13</v>
      </c>
      <c r="Q288" s="80">
        <v>1</v>
      </c>
      <c r="R288" s="80">
        <v>0.37</v>
      </c>
      <c r="S288" s="81">
        <v>0</v>
      </c>
      <c r="T288" s="81">
        <v>0</v>
      </c>
      <c r="U288" s="81">
        <v>0</v>
      </c>
      <c r="V288" s="82">
        <v>58262</v>
      </c>
      <c r="W288" s="80">
        <v>0</v>
      </c>
      <c r="X288" s="80">
        <v>4</v>
      </c>
      <c r="Y288" s="11" t="str">
        <f ca="1">IF(ISBLANK(BudgetsTable[[#This Row],[budg_seq_yr]]),"FY"&amp;fiscalyear,"FY"&amp;fiscalyear-1+BudgetsTable[[#This Row],[budg_seq_yr]])</f>
        <v>FY21</v>
      </c>
      <c r="Z288" s="81">
        <v>58262</v>
      </c>
      <c r="AA288" s="80" t="s">
        <v>1124</v>
      </c>
      <c r="AB288" s="80" t="s">
        <v>1125</v>
      </c>
      <c r="AC288" s="108" t="s">
        <v>94</v>
      </c>
      <c r="AD288" s="80" t="s">
        <v>256</v>
      </c>
    </row>
    <row r="289" spans="1:30">
      <c r="A289" s="10" t="s">
        <v>867</v>
      </c>
      <c r="B289" s="78" t="s">
        <v>96</v>
      </c>
      <c r="C289" s="78">
        <f>C288+(BudgetsTable[[#This Row],[lead]]&lt;&gt;K288)</f>
        <v>36</v>
      </c>
      <c r="D289" s="78">
        <f>D288*(BudgetsTable[[#This Row],[lead]]=K288)+(BudgetsTable[[#This Row],[prop_id]]&lt;&gt;A288)</f>
        <v>1</v>
      </c>
      <c r="E289" s="79">
        <v>42935.647916666669</v>
      </c>
      <c r="F289" s="80" t="s">
        <v>248</v>
      </c>
      <c r="G289" s="80" t="s">
        <v>1124</v>
      </c>
      <c r="H289" s="80" t="s">
        <v>1125</v>
      </c>
      <c r="I289" s="78" t="s">
        <v>596</v>
      </c>
      <c r="J289" s="78" t="s">
        <v>13</v>
      </c>
      <c r="K289" s="80" t="s">
        <v>867</v>
      </c>
      <c r="L289" s="7" t="str">
        <f>IF(BudgetsTable[[#This Row],[pi_last_name]]=" ","",HYPERLINK("https://www.ejacket.nsf.gov/ej/showProposal.do?Continue=Y&amp;ID="&amp;BudgetsTable[[#This Row],[prop_id]],BudgetsTable[[#This Row],[prop_id]]))</f>
        <v/>
      </c>
      <c r="M289" s="15" t="str">
        <f>IF(BudgetsTable[[#This Row],[pi_last_name]]=" ","",HYPERLINK("https://www.ejacket.nsf.gov/ej/processReviewAnalysis.do?dispatch=add&amp;uniqId="&amp;BudgetsTable[[#This Row],[prop_id]]&amp;PO_id,"&gt;ra"))</f>
        <v/>
      </c>
      <c r="N289" s="80" t="s">
        <v>13</v>
      </c>
      <c r="O289" s="7" t="str">
        <f>IF(BudgetsTable[[#This Row],[pi_last_name]]=" ","",HYPERLINK("mailto:"&amp;BudgetsTable[[#This Row],[pi_email]]&amp;"&amp;subject=Your NSF Proposal:  "&amp;BudgetsTable[[#This Row],[prop_id]],BudgetsTable[[#This Row],[pi_email]]))</f>
        <v/>
      </c>
      <c r="P289" s="80" t="s">
        <v>13</v>
      </c>
      <c r="Q289" s="80">
        <v>1</v>
      </c>
      <c r="R289" s="80">
        <v>0.25</v>
      </c>
      <c r="S289" s="81">
        <v>0</v>
      </c>
      <c r="T289" s="81">
        <v>0</v>
      </c>
      <c r="U289" s="81">
        <v>0</v>
      </c>
      <c r="V289" s="82">
        <v>55844</v>
      </c>
      <c r="W289" s="80">
        <v>0</v>
      </c>
      <c r="X289" s="80">
        <v>5</v>
      </c>
      <c r="Y289" s="11" t="str">
        <f ca="1">IF(ISBLANK(BudgetsTable[[#This Row],[budg_seq_yr]]),"FY"&amp;fiscalyear,"FY"&amp;fiscalyear-1+BudgetsTable[[#This Row],[budg_seq_yr]])</f>
        <v>FY22</v>
      </c>
      <c r="Z289" s="81">
        <v>55844</v>
      </c>
      <c r="AA289" s="80" t="s">
        <v>1124</v>
      </c>
      <c r="AB289" s="80" t="s">
        <v>1125</v>
      </c>
      <c r="AC289" s="108" t="s">
        <v>94</v>
      </c>
      <c r="AD289" s="80" t="s">
        <v>256</v>
      </c>
    </row>
    <row r="290" spans="1:30">
      <c r="A290" s="10" t="s">
        <v>874</v>
      </c>
      <c r="B290" s="78" t="s">
        <v>96</v>
      </c>
      <c r="C290" s="78">
        <f>C289+(BudgetsTable[[#This Row],[lead]]&lt;&gt;K289)</f>
        <v>37</v>
      </c>
      <c r="D290" s="78">
        <f>D289*(BudgetsTable[[#This Row],[lead]]=K289)+(BudgetsTable[[#This Row],[prop_id]]&lt;&gt;A289)</f>
        <v>1</v>
      </c>
      <c r="E290" s="79">
        <v>42935.674305555556</v>
      </c>
      <c r="F290" s="80" t="s">
        <v>248</v>
      </c>
      <c r="G290" s="80" t="s">
        <v>1124</v>
      </c>
      <c r="H290" s="80" t="s">
        <v>1125</v>
      </c>
      <c r="I290" s="78" t="s">
        <v>705</v>
      </c>
      <c r="J290" s="78" t="s">
        <v>1333</v>
      </c>
      <c r="K290" s="80" t="s">
        <v>874</v>
      </c>
      <c r="L290" s="7" t="str">
        <f>IF(BudgetsTable[[#This Row],[pi_last_name]]=" ","",HYPERLINK("https://www.ejacket.nsf.gov/ej/showProposal.do?Continue=Y&amp;ID="&amp;BudgetsTable[[#This Row],[prop_id]],BudgetsTable[[#This Row],[prop_id]]))</f>
        <v>1751021</v>
      </c>
      <c r="M290" s="15" t="str">
        <f>IF(BudgetsTable[[#This Row],[pi_last_name]]=" ","",HYPERLINK("https://www.ejacket.nsf.gov/ej/processReviewAnalysis.do?dispatch=add&amp;uniqId="&amp;BudgetsTable[[#This Row],[prop_id]]&amp;PO_id,"&gt;ra"))</f>
        <v>&gt;ra</v>
      </c>
      <c r="N290" s="80" t="s">
        <v>875</v>
      </c>
      <c r="O290" s="7" t="str">
        <f>IF(BudgetsTable[[#This Row],[pi_last_name]]=" ","",HYPERLINK("mailto:"&amp;BudgetsTable[[#This Row],[pi_email]]&amp;"&amp;subject=Your NSF Proposal:  "&amp;BudgetsTable[[#This Row],[prop_id]],BudgetsTable[[#This Row],[pi_email]]))</f>
        <v>kdantu@buffalo.edu</v>
      </c>
      <c r="P290" s="80" t="s">
        <v>217</v>
      </c>
      <c r="Q290" s="80"/>
      <c r="R290" s="80"/>
      <c r="S290" s="81"/>
      <c r="T290" s="81"/>
      <c r="U290" s="81"/>
      <c r="V290" s="82"/>
      <c r="W290" s="80">
        <v>0</v>
      </c>
      <c r="X290" s="80"/>
      <c r="Y290" s="11" t="str">
        <f ca="1">IF(ISBLANK(BudgetsTable[[#This Row],[budg_seq_yr]]),"FY"&amp;fiscalyear,"FY"&amp;fiscalyear-1+BudgetsTable[[#This Row],[budg_seq_yr]])</f>
        <v>FY18</v>
      </c>
      <c r="Z290" s="81">
        <v>651679</v>
      </c>
      <c r="AA290" s="80" t="s">
        <v>1124</v>
      </c>
      <c r="AB290" s="80" t="s">
        <v>1125</v>
      </c>
      <c r="AC290" s="108" t="s">
        <v>94</v>
      </c>
      <c r="AD290" s="80" t="s">
        <v>577</v>
      </c>
    </row>
    <row r="291" spans="1:30">
      <c r="A291" s="10" t="s">
        <v>874</v>
      </c>
      <c r="B291" s="78" t="s">
        <v>96</v>
      </c>
      <c r="C291" s="78">
        <f>C290+(BudgetsTable[[#This Row],[lead]]&lt;&gt;K290)</f>
        <v>37</v>
      </c>
      <c r="D291" s="78">
        <f>D290*(BudgetsTable[[#This Row],[lead]]=K290)+(BudgetsTable[[#This Row],[prop_id]]&lt;&gt;A290)</f>
        <v>1</v>
      </c>
      <c r="E291" s="79">
        <v>42935.674305555556</v>
      </c>
      <c r="F291" s="80" t="s">
        <v>248</v>
      </c>
      <c r="G291" s="80" t="s">
        <v>1124</v>
      </c>
      <c r="H291" s="80" t="s">
        <v>1125</v>
      </c>
      <c r="I291" s="78" t="s">
        <v>705</v>
      </c>
      <c r="J291" s="78" t="s">
        <v>13</v>
      </c>
      <c r="K291" s="80" t="s">
        <v>874</v>
      </c>
      <c r="L291" s="7" t="str">
        <f>IF(BudgetsTable[[#This Row],[pi_last_name]]=" ","",HYPERLINK("https://www.ejacket.nsf.gov/ej/showProposal.do?Continue=Y&amp;ID="&amp;BudgetsTable[[#This Row],[prop_id]],BudgetsTable[[#This Row],[prop_id]]))</f>
        <v/>
      </c>
      <c r="M291" s="15" t="str">
        <f>IF(BudgetsTable[[#This Row],[pi_last_name]]=" ","",HYPERLINK("https://www.ejacket.nsf.gov/ej/processReviewAnalysis.do?dispatch=add&amp;uniqId="&amp;BudgetsTable[[#This Row],[prop_id]]&amp;PO_id,"&gt;ra"))</f>
        <v/>
      </c>
      <c r="N291" s="80" t="s">
        <v>13</v>
      </c>
      <c r="O291" s="7" t="str">
        <f>IF(BudgetsTable[[#This Row],[pi_last_name]]=" ","",HYPERLINK("mailto:"&amp;BudgetsTable[[#This Row],[pi_email]]&amp;"&amp;subject=Your NSF Proposal:  "&amp;BudgetsTable[[#This Row],[prop_id]],BudgetsTable[[#This Row],[pi_email]]))</f>
        <v/>
      </c>
      <c r="P291" s="80" t="s">
        <v>13</v>
      </c>
      <c r="Q291" s="80">
        <v>1</v>
      </c>
      <c r="R291" s="80">
        <v>0.5</v>
      </c>
      <c r="S291" s="81">
        <v>0</v>
      </c>
      <c r="T291" s="81">
        <v>10000</v>
      </c>
      <c r="U291" s="81">
        <v>0</v>
      </c>
      <c r="V291" s="82">
        <v>124220</v>
      </c>
      <c r="W291" s="80">
        <v>0</v>
      </c>
      <c r="X291" s="80">
        <v>1</v>
      </c>
      <c r="Y291" s="11" t="str">
        <f ca="1">IF(ISBLANK(BudgetsTable[[#This Row],[budg_seq_yr]]),"FY"&amp;fiscalyear,"FY"&amp;fiscalyear-1+BudgetsTable[[#This Row],[budg_seq_yr]])</f>
        <v>FY18</v>
      </c>
      <c r="Z291" s="81">
        <v>124220</v>
      </c>
      <c r="AA291" s="80" t="s">
        <v>1124</v>
      </c>
      <c r="AB291" s="80" t="s">
        <v>1125</v>
      </c>
      <c r="AC291" s="108" t="s">
        <v>94</v>
      </c>
      <c r="AD291" s="80" t="s">
        <v>577</v>
      </c>
    </row>
    <row r="292" spans="1:30">
      <c r="A292" s="10" t="s">
        <v>874</v>
      </c>
      <c r="B292" s="78" t="s">
        <v>96</v>
      </c>
      <c r="C292" s="78">
        <f>C291+(BudgetsTable[[#This Row],[lead]]&lt;&gt;K291)</f>
        <v>37</v>
      </c>
      <c r="D292" s="78">
        <f>D291*(BudgetsTable[[#This Row],[lead]]=K291)+(BudgetsTable[[#This Row],[prop_id]]&lt;&gt;A291)</f>
        <v>1</v>
      </c>
      <c r="E292" s="79">
        <v>42935.674305555556</v>
      </c>
      <c r="F292" s="80" t="s">
        <v>248</v>
      </c>
      <c r="G292" s="80" t="s">
        <v>1124</v>
      </c>
      <c r="H292" s="80" t="s">
        <v>1125</v>
      </c>
      <c r="I292" s="78" t="s">
        <v>705</v>
      </c>
      <c r="J292" s="78" t="s">
        <v>13</v>
      </c>
      <c r="K292" s="80" t="s">
        <v>874</v>
      </c>
      <c r="L292" s="7" t="str">
        <f>IF(BudgetsTable[[#This Row],[pi_last_name]]=" ","",HYPERLINK("https://www.ejacket.nsf.gov/ej/showProposal.do?Continue=Y&amp;ID="&amp;BudgetsTable[[#This Row],[prop_id]],BudgetsTable[[#This Row],[prop_id]]))</f>
        <v/>
      </c>
      <c r="M292" s="15" t="str">
        <f>IF(BudgetsTable[[#This Row],[pi_last_name]]=" ","",HYPERLINK("https://www.ejacket.nsf.gov/ej/processReviewAnalysis.do?dispatch=add&amp;uniqId="&amp;BudgetsTable[[#This Row],[prop_id]]&amp;PO_id,"&gt;ra"))</f>
        <v/>
      </c>
      <c r="N292" s="80" t="s">
        <v>13</v>
      </c>
      <c r="O292" s="7" t="str">
        <f>IF(BudgetsTable[[#This Row],[pi_last_name]]=" ","",HYPERLINK("mailto:"&amp;BudgetsTable[[#This Row],[pi_email]]&amp;"&amp;subject=Your NSF Proposal:  "&amp;BudgetsTable[[#This Row],[prop_id]],BudgetsTable[[#This Row],[pi_email]]))</f>
        <v/>
      </c>
      <c r="P292" s="80" t="s">
        <v>13</v>
      </c>
      <c r="Q292" s="80">
        <v>1</v>
      </c>
      <c r="R292" s="80">
        <v>0.5</v>
      </c>
      <c r="S292" s="81">
        <v>0</v>
      </c>
      <c r="T292" s="81">
        <v>10000</v>
      </c>
      <c r="U292" s="81">
        <v>0</v>
      </c>
      <c r="V292" s="82">
        <v>126818</v>
      </c>
      <c r="W292" s="80">
        <v>0</v>
      </c>
      <c r="X292" s="80">
        <v>2</v>
      </c>
      <c r="Y292" s="11" t="str">
        <f ca="1">IF(ISBLANK(BudgetsTable[[#This Row],[budg_seq_yr]]),"FY"&amp;fiscalyear,"FY"&amp;fiscalyear-1+BudgetsTable[[#This Row],[budg_seq_yr]])</f>
        <v>FY19</v>
      </c>
      <c r="Z292" s="81">
        <v>126818</v>
      </c>
      <c r="AA292" s="80" t="s">
        <v>1124</v>
      </c>
      <c r="AB292" s="80" t="s">
        <v>1125</v>
      </c>
      <c r="AC292" s="108" t="s">
        <v>94</v>
      </c>
      <c r="AD292" s="80" t="s">
        <v>577</v>
      </c>
    </row>
    <row r="293" spans="1:30">
      <c r="A293" s="10" t="s">
        <v>874</v>
      </c>
      <c r="B293" s="78" t="s">
        <v>96</v>
      </c>
      <c r="C293" s="78">
        <f>C292+(BudgetsTable[[#This Row],[lead]]&lt;&gt;K292)</f>
        <v>37</v>
      </c>
      <c r="D293" s="78">
        <f>D292*(BudgetsTable[[#This Row],[lead]]=K292)+(BudgetsTable[[#This Row],[prop_id]]&lt;&gt;A292)</f>
        <v>1</v>
      </c>
      <c r="E293" s="79">
        <v>42935.674305555556</v>
      </c>
      <c r="F293" s="80" t="s">
        <v>248</v>
      </c>
      <c r="G293" s="80" t="s">
        <v>1124</v>
      </c>
      <c r="H293" s="80" t="s">
        <v>1125</v>
      </c>
      <c r="I293" s="78" t="s">
        <v>705</v>
      </c>
      <c r="J293" s="78" t="s">
        <v>13</v>
      </c>
      <c r="K293" s="80" t="s">
        <v>874</v>
      </c>
      <c r="L293" s="7" t="str">
        <f>IF(BudgetsTable[[#This Row],[pi_last_name]]=" ","",HYPERLINK("https://www.ejacket.nsf.gov/ej/showProposal.do?Continue=Y&amp;ID="&amp;BudgetsTable[[#This Row],[prop_id]],BudgetsTable[[#This Row],[prop_id]]))</f>
        <v/>
      </c>
      <c r="M293" s="15" t="str">
        <f>IF(BudgetsTable[[#This Row],[pi_last_name]]=" ","",HYPERLINK("https://www.ejacket.nsf.gov/ej/processReviewAnalysis.do?dispatch=add&amp;uniqId="&amp;BudgetsTable[[#This Row],[prop_id]]&amp;PO_id,"&gt;ra"))</f>
        <v/>
      </c>
      <c r="N293" s="80" t="s">
        <v>13</v>
      </c>
      <c r="O293" s="7" t="str">
        <f>IF(BudgetsTable[[#This Row],[pi_last_name]]=" ","",HYPERLINK("mailto:"&amp;BudgetsTable[[#This Row],[pi_email]]&amp;"&amp;subject=Your NSF Proposal:  "&amp;BudgetsTable[[#This Row],[prop_id]],BudgetsTable[[#This Row],[pi_email]]))</f>
        <v/>
      </c>
      <c r="P293" s="80" t="s">
        <v>13</v>
      </c>
      <c r="Q293" s="80">
        <v>1</v>
      </c>
      <c r="R293" s="80">
        <v>0.5</v>
      </c>
      <c r="S293" s="81">
        <v>0</v>
      </c>
      <c r="T293" s="81">
        <v>10000</v>
      </c>
      <c r="U293" s="81">
        <v>0</v>
      </c>
      <c r="V293" s="82">
        <v>131028</v>
      </c>
      <c r="W293" s="80">
        <v>0</v>
      </c>
      <c r="X293" s="80">
        <v>3</v>
      </c>
      <c r="Y293" s="11" t="str">
        <f ca="1">IF(ISBLANK(BudgetsTable[[#This Row],[budg_seq_yr]]),"FY"&amp;fiscalyear,"FY"&amp;fiscalyear-1+BudgetsTable[[#This Row],[budg_seq_yr]])</f>
        <v>FY20</v>
      </c>
      <c r="Z293" s="81">
        <v>131028</v>
      </c>
      <c r="AA293" s="80" t="s">
        <v>1124</v>
      </c>
      <c r="AB293" s="80" t="s">
        <v>1125</v>
      </c>
      <c r="AC293" s="108" t="s">
        <v>94</v>
      </c>
      <c r="AD293" s="80" t="s">
        <v>577</v>
      </c>
    </row>
    <row r="294" spans="1:30">
      <c r="A294" s="10" t="s">
        <v>874</v>
      </c>
      <c r="B294" s="78" t="s">
        <v>96</v>
      </c>
      <c r="C294" s="78">
        <f>C293+(BudgetsTable[[#This Row],[lead]]&lt;&gt;K293)</f>
        <v>37</v>
      </c>
      <c r="D294" s="78">
        <f>D293*(BudgetsTable[[#This Row],[lead]]=K293)+(BudgetsTable[[#This Row],[prop_id]]&lt;&gt;A293)</f>
        <v>1</v>
      </c>
      <c r="E294" s="79">
        <v>42935.674305555556</v>
      </c>
      <c r="F294" s="80" t="s">
        <v>248</v>
      </c>
      <c r="G294" s="80" t="s">
        <v>1124</v>
      </c>
      <c r="H294" s="80" t="s">
        <v>1125</v>
      </c>
      <c r="I294" s="78" t="s">
        <v>705</v>
      </c>
      <c r="J294" s="78" t="s">
        <v>13</v>
      </c>
      <c r="K294" s="80" t="s">
        <v>874</v>
      </c>
      <c r="L294" s="7" t="str">
        <f>IF(BudgetsTable[[#This Row],[pi_last_name]]=" ","",HYPERLINK("https://www.ejacket.nsf.gov/ej/showProposal.do?Continue=Y&amp;ID="&amp;BudgetsTable[[#This Row],[prop_id]],BudgetsTable[[#This Row],[prop_id]]))</f>
        <v/>
      </c>
      <c r="M294" s="15" t="str">
        <f>IF(BudgetsTable[[#This Row],[pi_last_name]]=" ","",HYPERLINK("https://www.ejacket.nsf.gov/ej/processReviewAnalysis.do?dispatch=add&amp;uniqId="&amp;BudgetsTable[[#This Row],[prop_id]]&amp;PO_id,"&gt;ra"))</f>
        <v/>
      </c>
      <c r="N294" s="80" t="s">
        <v>13</v>
      </c>
      <c r="O294" s="7" t="str">
        <f>IF(BudgetsTable[[#This Row],[pi_last_name]]=" ","",HYPERLINK("mailto:"&amp;BudgetsTable[[#This Row],[pi_email]]&amp;"&amp;subject=Your NSF Proposal:  "&amp;BudgetsTable[[#This Row],[prop_id]],BudgetsTable[[#This Row],[pi_email]]))</f>
        <v/>
      </c>
      <c r="P294" s="80" t="s">
        <v>13</v>
      </c>
      <c r="Q294" s="80">
        <v>1</v>
      </c>
      <c r="R294" s="80">
        <v>0.5</v>
      </c>
      <c r="S294" s="81">
        <v>0</v>
      </c>
      <c r="T294" s="81">
        <v>10000</v>
      </c>
      <c r="U294" s="81">
        <v>0</v>
      </c>
      <c r="V294" s="82">
        <v>133795</v>
      </c>
      <c r="W294" s="80">
        <v>0</v>
      </c>
      <c r="X294" s="80">
        <v>4</v>
      </c>
      <c r="Y294" s="11" t="str">
        <f ca="1">IF(ISBLANK(BudgetsTable[[#This Row],[budg_seq_yr]]),"FY"&amp;fiscalyear,"FY"&amp;fiscalyear-1+BudgetsTable[[#This Row],[budg_seq_yr]])</f>
        <v>FY21</v>
      </c>
      <c r="Z294" s="81">
        <v>133795</v>
      </c>
      <c r="AA294" s="80" t="s">
        <v>1124</v>
      </c>
      <c r="AB294" s="80" t="s">
        <v>1125</v>
      </c>
      <c r="AC294" s="108" t="s">
        <v>94</v>
      </c>
      <c r="AD294" s="80" t="s">
        <v>577</v>
      </c>
    </row>
    <row r="295" spans="1:30">
      <c r="A295" s="10" t="s">
        <v>874</v>
      </c>
      <c r="B295" s="78" t="s">
        <v>96</v>
      </c>
      <c r="C295" s="78">
        <f>C294+(BudgetsTable[[#This Row],[lead]]&lt;&gt;K294)</f>
        <v>37</v>
      </c>
      <c r="D295" s="78">
        <f>D294*(BudgetsTable[[#This Row],[lead]]=K294)+(BudgetsTable[[#This Row],[prop_id]]&lt;&gt;A294)</f>
        <v>1</v>
      </c>
      <c r="E295" s="79">
        <v>42935.674305555556</v>
      </c>
      <c r="F295" s="80" t="s">
        <v>248</v>
      </c>
      <c r="G295" s="80" t="s">
        <v>1124</v>
      </c>
      <c r="H295" s="80" t="s">
        <v>1125</v>
      </c>
      <c r="I295" s="78" t="s">
        <v>705</v>
      </c>
      <c r="J295" s="78" t="s">
        <v>13</v>
      </c>
      <c r="K295" s="80" t="s">
        <v>874</v>
      </c>
      <c r="L295" s="7" t="str">
        <f>IF(BudgetsTable[[#This Row],[pi_last_name]]=" ","",HYPERLINK("https://www.ejacket.nsf.gov/ej/showProposal.do?Continue=Y&amp;ID="&amp;BudgetsTable[[#This Row],[prop_id]],BudgetsTable[[#This Row],[prop_id]]))</f>
        <v/>
      </c>
      <c r="M295" s="15" t="str">
        <f>IF(BudgetsTable[[#This Row],[pi_last_name]]=" ","",HYPERLINK("https://www.ejacket.nsf.gov/ej/processReviewAnalysis.do?dispatch=add&amp;uniqId="&amp;BudgetsTable[[#This Row],[prop_id]]&amp;PO_id,"&gt;ra"))</f>
        <v/>
      </c>
      <c r="N295" s="80" t="s">
        <v>13</v>
      </c>
      <c r="O295" s="7" t="str">
        <f>IF(BudgetsTable[[#This Row],[pi_last_name]]=" ","",HYPERLINK("mailto:"&amp;BudgetsTable[[#This Row],[pi_email]]&amp;"&amp;subject=Your NSF Proposal:  "&amp;BudgetsTable[[#This Row],[prop_id]],BudgetsTable[[#This Row],[pi_email]]))</f>
        <v/>
      </c>
      <c r="P295" s="80" t="s">
        <v>13</v>
      </c>
      <c r="Q295" s="80">
        <v>1</v>
      </c>
      <c r="R295" s="80">
        <v>0.5</v>
      </c>
      <c r="S295" s="81">
        <v>0</v>
      </c>
      <c r="T295" s="81">
        <v>10000</v>
      </c>
      <c r="U295" s="81">
        <v>0</v>
      </c>
      <c r="V295" s="82">
        <v>135818</v>
      </c>
      <c r="W295" s="80">
        <v>0</v>
      </c>
      <c r="X295" s="80">
        <v>5</v>
      </c>
      <c r="Y295" s="11" t="str">
        <f ca="1">IF(ISBLANK(BudgetsTable[[#This Row],[budg_seq_yr]]),"FY"&amp;fiscalyear,"FY"&amp;fiscalyear-1+BudgetsTable[[#This Row],[budg_seq_yr]])</f>
        <v>FY22</v>
      </c>
      <c r="Z295" s="81">
        <v>135818</v>
      </c>
      <c r="AA295" s="80" t="s">
        <v>1124</v>
      </c>
      <c r="AB295" s="80" t="s">
        <v>1125</v>
      </c>
      <c r="AC295" s="108" t="s">
        <v>94</v>
      </c>
      <c r="AD295" s="80" t="s">
        <v>577</v>
      </c>
    </row>
    <row r="296" spans="1:30">
      <c r="A296" s="10" t="s">
        <v>883</v>
      </c>
      <c r="B296" s="78" t="s">
        <v>96</v>
      </c>
      <c r="C296" s="78">
        <f>C295+(BudgetsTable[[#This Row],[lead]]&lt;&gt;K295)</f>
        <v>38</v>
      </c>
      <c r="D296" s="78">
        <f>D295*(BudgetsTable[[#This Row],[lead]]=K295)+(BudgetsTable[[#This Row],[prop_id]]&lt;&gt;A295)</f>
        <v>1</v>
      </c>
      <c r="E296" s="79">
        <v>42935.683333333334</v>
      </c>
      <c r="F296" s="80" t="s">
        <v>248</v>
      </c>
      <c r="G296" s="80" t="s">
        <v>1124</v>
      </c>
      <c r="H296" s="80" t="s">
        <v>1125</v>
      </c>
      <c r="I296" s="78" t="s">
        <v>596</v>
      </c>
      <c r="J296" s="78" t="s">
        <v>1338</v>
      </c>
      <c r="K296" s="80" t="s">
        <v>883</v>
      </c>
      <c r="L296" s="7" t="str">
        <f>IF(BudgetsTable[[#This Row],[pi_last_name]]=" ","",HYPERLINK("https://www.ejacket.nsf.gov/ej/showProposal.do?Continue=Y&amp;ID="&amp;BudgetsTable[[#This Row],[prop_id]],BudgetsTable[[#This Row],[prop_id]]))</f>
        <v>1751068</v>
      </c>
      <c r="M296" s="15" t="str">
        <f>IF(BudgetsTable[[#This Row],[pi_last_name]]=" ","",HYPERLINK("https://www.ejacket.nsf.gov/ej/processReviewAnalysis.do?dispatch=add&amp;uniqId="&amp;BudgetsTable[[#This Row],[prop_id]]&amp;PO_id,"&gt;ra"))</f>
        <v>&gt;ra</v>
      </c>
      <c r="N296" s="80" t="s">
        <v>884</v>
      </c>
      <c r="O296" s="7" t="str">
        <f>IF(BudgetsTable[[#This Row],[pi_last_name]]=" ","",HYPERLINK("mailto:"&amp;BudgetsTable[[#This Row],[pi_email]]&amp;"&amp;subject=Your NSF Proposal:  "&amp;BudgetsTable[[#This Row],[prop_id]],BudgetsTable[[#This Row],[pi_email]]))</f>
        <v>adrian.lauf@louisville.edu</v>
      </c>
      <c r="P296" s="80" t="s">
        <v>1335</v>
      </c>
      <c r="Q296" s="80"/>
      <c r="R296" s="80"/>
      <c r="S296" s="81"/>
      <c r="T296" s="81"/>
      <c r="U296" s="81"/>
      <c r="V296" s="82"/>
      <c r="W296" s="80">
        <v>0</v>
      </c>
      <c r="X296" s="80"/>
      <c r="Y296" s="11" t="str">
        <f ca="1">IF(ISBLANK(BudgetsTable[[#This Row],[budg_seq_yr]]),"FY"&amp;fiscalyear,"FY"&amp;fiscalyear-1+BudgetsTable[[#This Row],[budg_seq_yr]])</f>
        <v>FY18</v>
      </c>
      <c r="Z296" s="81">
        <v>519006</v>
      </c>
      <c r="AA296" s="80" t="s">
        <v>1124</v>
      </c>
      <c r="AB296" s="80" t="s">
        <v>1125</v>
      </c>
      <c r="AC296" s="108" t="s">
        <v>94</v>
      </c>
      <c r="AD296" s="80" t="s">
        <v>1274</v>
      </c>
    </row>
    <row r="297" spans="1:30">
      <c r="A297" s="10" t="s">
        <v>883</v>
      </c>
      <c r="B297" s="78" t="s">
        <v>96</v>
      </c>
      <c r="C297" s="78">
        <f>C296+(BudgetsTable[[#This Row],[lead]]&lt;&gt;K296)</f>
        <v>38</v>
      </c>
      <c r="D297" s="78">
        <f>D296*(BudgetsTable[[#This Row],[lead]]=K296)+(BudgetsTable[[#This Row],[prop_id]]&lt;&gt;A296)</f>
        <v>1</v>
      </c>
      <c r="E297" s="79">
        <v>42935.683333333334</v>
      </c>
      <c r="F297" s="80" t="s">
        <v>248</v>
      </c>
      <c r="G297" s="80" t="s">
        <v>1124</v>
      </c>
      <c r="H297" s="80" t="s">
        <v>1125</v>
      </c>
      <c r="I297" s="78" t="s">
        <v>596</v>
      </c>
      <c r="J297" s="78" t="s">
        <v>13</v>
      </c>
      <c r="K297" s="80" t="s">
        <v>883</v>
      </c>
      <c r="L297" s="7" t="str">
        <f>IF(BudgetsTable[[#This Row],[pi_last_name]]=" ","",HYPERLINK("https://www.ejacket.nsf.gov/ej/showProposal.do?Continue=Y&amp;ID="&amp;BudgetsTable[[#This Row],[prop_id]],BudgetsTable[[#This Row],[prop_id]]))</f>
        <v/>
      </c>
      <c r="M297" s="15" t="str">
        <f>IF(BudgetsTable[[#This Row],[pi_last_name]]=" ","",HYPERLINK("https://www.ejacket.nsf.gov/ej/processReviewAnalysis.do?dispatch=add&amp;uniqId="&amp;BudgetsTable[[#This Row],[prop_id]]&amp;PO_id,"&gt;ra"))</f>
        <v/>
      </c>
      <c r="N297" s="80" t="s">
        <v>13</v>
      </c>
      <c r="O297" s="7" t="str">
        <f>IF(BudgetsTable[[#This Row],[pi_last_name]]=" ","",HYPERLINK("mailto:"&amp;BudgetsTable[[#This Row],[pi_email]]&amp;"&amp;subject=Your NSF Proposal:  "&amp;BudgetsTable[[#This Row],[prop_id]],BudgetsTable[[#This Row],[pi_email]]))</f>
        <v/>
      </c>
      <c r="P297" s="80" t="s">
        <v>13</v>
      </c>
      <c r="Q297" s="80">
        <v>1</v>
      </c>
      <c r="R297" s="80">
        <v>1</v>
      </c>
      <c r="S297" s="81">
        <v>0</v>
      </c>
      <c r="T297" s="81">
        <v>0</v>
      </c>
      <c r="U297" s="81">
        <v>0</v>
      </c>
      <c r="V297" s="82">
        <v>142491</v>
      </c>
      <c r="W297" s="80">
        <v>0</v>
      </c>
      <c r="X297" s="80">
        <v>1</v>
      </c>
      <c r="Y297" s="11" t="str">
        <f ca="1">IF(ISBLANK(BudgetsTable[[#This Row],[budg_seq_yr]]),"FY"&amp;fiscalyear,"FY"&amp;fiscalyear-1+BudgetsTable[[#This Row],[budg_seq_yr]])</f>
        <v>FY18</v>
      </c>
      <c r="Z297" s="81">
        <v>142491</v>
      </c>
      <c r="AA297" s="80" t="s">
        <v>1124</v>
      </c>
      <c r="AB297" s="80" t="s">
        <v>1125</v>
      </c>
      <c r="AC297" s="108" t="s">
        <v>94</v>
      </c>
      <c r="AD297" s="80" t="s">
        <v>1274</v>
      </c>
    </row>
    <row r="298" spans="1:30">
      <c r="A298" s="10" t="s">
        <v>883</v>
      </c>
      <c r="B298" s="78" t="s">
        <v>96</v>
      </c>
      <c r="C298" s="78">
        <f>C297+(BudgetsTable[[#This Row],[lead]]&lt;&gt;K297)</f>
        <v>38</v>
      </c>
      <c r="D298" s="78">
        <f>D297*(BudgetsTable[[#This Row],[lead]]=K297)+(BudgetsTable[[#This Row],[prop_id]]&lt;&gt;A297)</f>
        <v>1</v>
      </c>
      <c r="E298" s="79">
        <v>42935.683333333334</v>
      </c>
      <c r="F298" s="80" t="s">
        <v>248</v>
      </c>
      <c r="G298" s="80" t="s">
        <v>1124</v>
      </c>
      <c r="H298" s="80" t="s">
        <v>1125</v>
      </c>
      <c r="I298" s="78" t="s">
        <v>596</v>
      </c>
      <c r="J298" s="78" t="s">
        <v>13</v>
      </c>
      <c r="K298" s="80" t="s">
        <v>883</v>
      </c>
      <c r="L298" s="7" t="str">
        <f>IF(BudgetsTable[[#This Row],[pi_last_name]]=" ","",HYPERLINK("https://www.ejacket.nsf.gov/ej/showProposal.do?Continue=Y&amp;ID="&amp;BudgetsTable[[#This Row],[prop_id]],BudgetsTable[[#This Row],[prop_id]]))</f>
        <v/>
      </c>
      <c r="M298" s="15" t="str">
        <f>IF(BudgetsTable[[#This Row],[pi_last_name]]=" ","",HYPERLINK("https://www.ejacket.nsf.gov/ej/processReviewAnalysis.do?dispatch=add&amp;uniqId="&amp;BudgetsTable[[#This Row],[prop_id]]&amp;PO_id,"&gt;ra"))</f>
        <v/>
      </c>
      <c r="N298" s="80" t="s">
        <v>13</v>
      </c>
      <c r="O298" s="7" t="str">
        <f>IF(BudgetsTable[[#This Row],[pi_last_name]]=" ","",HYPERLINK("mailto:"&amp;BudgetsTable[[#This Row],[pi_email]]&amp;"&amp;subject=Your NSF Proposal:  "&amp;BudgetsTable[[#This Row],[prop_id]],BudgetsTable[[#This Row],[pi_email]]))</f>
        <v/>
      </c>
      <c r="P298" s="80" t="s">
        <v>13</v>
      </c>
      <c r="Q298" s="80">
        <v>1</v>
      </c>
      <c r="R298" s="80">
        <v>1</v>
      </c>
      <c r="S298" s="81">
        <v>0</v>
      </c>
      <c r="T298" s="81">
        <v>0</v>
      </c>
      <c r="U298" s="81">
        <v>0</v>
      </c>
      <c r="V298" s="82">
        <v>144870</v>
      </c>
      <c r="W298" s="80">
        <v>0</v>
      </c>
      <c r="X298" s="80">
        <v>2</v>
      </c>
      <c r="Y298" s="11" t="str">
        <f ca="1">IF(ISBLANK(BudgetsTable[[#This Row],[budg_seq_yr]]),"FY"&amp;fiscalyear,"FY"&amp;fiscalyear-1+BudgetsTable[[#This Row],[budg_seq_yr]])</f>
        <v>FY19</v>
      </c>
      <c r="Z298" s="81">
        <v>144870</v>
      </c>
      <c r="AA298" s="80" t="s">
        <v>1124</v>
      </c>
      <c r="AB298" s="80" t="s">
        <v>1125</v>
      </c>
      <c r="AC298" s="108" t="s">
        <v>94</v>
      </c>
      <c r="AD298" s="80" t="s">
        <v>1274</v>
      </c>
    </row>
    <row r="299" spans="1:30">
      <c r="A299" s="10" t="s">
        <v>883</v>
      </c>
      <c r="B299" s="78" t="s">
        <v>96</v>
      </c>
      <c r="C299" s="78">
        <f>C298+(BudgetsTable[[#This Row],[lead]]&lt;&gt;K298)</f>
        <v>38</v>
      </c>
      <c r="D299" s="78">
        <f>D298*(BudgetsTable[[#This Row],[lead]]=K298)+(BudgetsTable[[#This Row],[prop_id]]&lt;&gt;A298)</f>
        <v>1</v>
      </c>
      <c r="E299" s="79">
        <v>42935.683333333334</v>
      </c>
      <c r="F299" s="80" t="s">
        <v>248</v>
      </c>
      <c r="G299" s="80" t="s">
        <v>1124</v>
      </c>
      <c r="H299" s="80" t="s">
        <v>1125</v>
      </c>
      <c r="I299" s="78" t="s">
        <v>596</v>
      </c>
      <c r="J299" s="78" t="s">
        <v>13</v>
      </c>
      <c r="K299" s="80" t="s">
        <v>883</v>
      </c>
      <c r="L299" s="7" t="str">
        <f>IF(BudgetsTable[[#This Row],[pi_last_name]]=" ","",HYPERLINK("https://www.ejacket.nsf.gov/ej/showProposal.do?Continue=Y&amp;ID="&amp;BudgetsTable[[#This Row],[prop_id]],BudgetsTable[[#This Row],[prop_id]]))</f>
        <v/>
      </c>
      <c r="M299" s="15" t="str">
        <f>IF(BudgetsTable[[#This Row],[pi_last_name]]=" ","",HYPERLINK("https://www.ejacket.nsf.gov/ej/processReviewAnalysis.do?dispatch=add&amp;uniqId="&amp;BudgetsTable[[#This Row],[prop_id]]&amp;PO_id,"&gt;ra"))</f>
        <v/>
      </c>
      <c r="N299" s="80" t="s">
        <v>13</v>
      </c>
      <c r="O299" s="7" t="str">
        <f>IF(BudgetsTable[[#This Row],[pi_last_name]]=" ","",HYPERLINK("mailto:"&amp;BudgetsTable[[#This Row],[pi_email]]&amp;"&amp;subject=Your NSF Proposal:  "&amp;BudgetsTable[[#This Row],[prop_id]],BudgetsTable[[#This Row],[pi_email]]))</f>
        <v/>
      </c>
      <c r="P299" s="80" t="s">
        <v>13</v>
      </c>
      <c r="Q299" s="80">
        <v>1</v>
      </c>
      <c r="R299" s="80">
        <v>1</v>
      </c>
      <c r="S299" s="81">
        <v>0</v>
      </c>
      <c r="T299" s="81">
        <v>0</v>
      </c>
      <c r="U299" s="81">
        <v>0</v>
      </c>
      <c r="V299" s="82">
        <v>74210</v>
      </c>
      <c r="W299" s="80">
        <v>0</v>
      </c>
      <c r="X299" s="80">
        <v>3</v>
      </c>
      <c r="Y299" s="11" t="str">
        <f ca="1">IF(ISBLANK(BudgetsTable[[#This Row],[budg_seq_yr]]),"FY"&amp;fiscalyear,"FY"&amp;fiscalyear-1+BudgetsTable[[#This Row],[budg_seq_yr]])</f>
        <v>FY20</v>
      </c>
      <c r="Z299" s="81">
        <v>74210</v>
      </c>
      <c r="AA299" s="80" t="s">
        <v>1124</v>
      </c>
      <c r="AB299" s="80" t="s">
        <v>1125</v>
      </c>
      <c r="AC299" s="108" t="s">
        <v>94</v>
      </c>
      <c r="AD299" s="80" t="s">
        <v>1274</v>
      </c>
    </row>
    <row r="300" spans="1:30">
      <c r="A300" s="10" t="s">
        <v>883</v>
      </c>
      <c r="B300" s="78" t="s">
        <v>96</v>
      </c>
      <c r="C300" s="78">
        <f>C299+(BudgetsTable[[#This Row],[lead]]&lt;&gt;K299)</f>
        <v>38</v>
      </c>
      <c r="D300" s="78">
        <f>D299*(BudgetsTable[[#This Row],[lead]]=K299)+(BudgetsTable[[#This Row],[prop_id]]&lt;&gt;A299)</f>
        <v>1</v>
      </c>
      <c r="E300" s="79">
        <v>42935.683333333334</v>
      </c>
      <c r="F300" s="80" t="s">
        <v>248</v>
      </c>
      <c r="G300" s="80" t="s">
        <v>1124</v>
      </c>
      <c r="H300" s="80" t="s">
        <v>1125</v>
      </c>
      <c r="I300" s="78" t="s">
        <v>596</v>
      </c>
      <c r="J300" s="78" t="s">
        <v>13</v>
      </c>
      <c r="K300" s="80" t="s">
        <v>883</v>
      </c>
      <c r="L300" s="7" t="str">
        <f>IF(BudgetsTable[[#This Row],[pi_last_name]]=" ","",HYPERLINK("https://www.ejacket.nsf.gov/ej/showProposal.do?Continue=Y&amp;ID="&amp;BudgetsTable[[#This Row],[prop_id]],BudgetsTable[[#This Row],[prop_id]]))</f>
        <v/>
      </c>
      <c r="M300" s="15" t="str">
        <f>IF(BudgetsTable[[#This Row],[pi_last_name]]=" ","",HYPERLINK("https://www.ejacket.nsf.gov/ej/processReviewAnalysis.do?dispatch=add&amp;uniqId="&amp;BudgetsTable[[#This Row],[prop_id]]&amp;PO_id,"&gt;ra"))</f>
        <v/>
      </c>
      <c r="N300" s="80" t="s">
        <v>13</v>
      </c>
      <c r="O300" s="7" t="str">
        <f>IF(BudgetsTable[[#This Row],[pi_last_name]]=" ","",HYPERLINK("mailto:"&amp;BudgetsTable[[#This Row],[pi_email]]&amp;"&amp;subject=Your NSF Proposal:  "&amp;BudgetsTable[[#This Row],[prop_id]],BudgetsTable[[#This Row],[pi_email]]))</f>
        <v/>
      </c>
      <c r="P300" s="80" t="s">
        <v>13</v>
      </c>
      <c r="Q300" s="80">
        <v>1</v>
      </c>
      <c r="R300" s="80">
        <v>1</v>
      </c>
      <c r="S300" s="81">
        <v>0</v>
      </c>
      <c r="T300" s="81">
        <v>0</v>
      </c>
      <c r="U300" s="81">
        <v>0</v>
      </c>
      <c r="V300" s="82">
        <v>76378</v>
      </c>
      <c r="W300" s="80">
        <v>0</v>
      </c>
      <c r="X300" s="80">
        <v>4</v>
      </c>
      <c r="Y300" s="11" t="str">
        <f ca="1">IF(ISBLANK(BudgetsTable[[#This Row],[budg_seq_yr]]),"FY"&amp;fiscalyear,"FY"&amp;fiscalyear-1+BudgetsTable[[#This Row],[budg_seq_yr]])</f>
        <v>FY21</v>
      </c>
      <c r="Z300" s="81">
        <v>76378</v>
      </c>
      <c r="AA300" s="80" t="s">
        <v>1124</v>
      </c>
      <c r="AB300" s="80" t="s">
        <v>1125</v>
      </c>
      <c r="AC300" s="108" t="s">
        <v>94</v>
      </c>
      <c r="AD300" s="80" t="s">
        <v>1274</v>
      </c>
    </row>
    <row r="301" spans="1:30">
      <c r="A301" s="10" t="s">
        <v>883</v>
      </c>
      <c r="B301" s="78" t="s">
        <v>96</v>
      </c>
      <c r="C301" s="78">
        <f>C300+(BudgetsTable[[#This Row],[lead]]&lt;&gt;K300)</f>
        <v>38</v>
      </c>
      <c r="D301" s="78">
        <f>D300*(BudgetsTable[[#This Row],[lead]]=K300)+(BudgetsTable[[#This Row],[prop_id]]&lt;&gt;A300)</f>
        <v>1</v>
      </c>
      <c r="E301" s="79">
        <v>42935.683333333334</v>
      </c>
      <c r="F301" s="80" t="s">
        <v>248</v>
      </c>
      <c r="G301" s="80" t="s">
        <v>1124</v>
      </c>
      <c r="H301" s="80" t="s">
        <v>1125</v>
      </c>
      <c r="I301" s="78" t="s">
        <v>596</v>
      </c>
      <c r="J301" s="78" t="s">
        <v>13</v>
      </c>
      <c r="K301" s="80" t="s">
        <v>883</v>
      </c>
      <c r="L301" s="7" t="str">
        <f>IF(BudgetsTable[[#This Row],[pi_last_name]]=" ","",HYPERLINK("https://www.ejacket.nsf.gov/ej/showProposal.do?Continue=Y&amp;ID="&amp;BudgetsTable[[#This Row],[prop_id]],BudgetsTable[[#This Row],[prop_id]]))</f>
        <v/>
      </c>
      <c r="M301" s="15" t="str">
        <f>IF(BudgetsTable[[#This Row],[pi_last_name]]=" ","",HYPERLINK("https://www.ejacket.nsf.gov/ej/processReviewAnalysis.do?dispatch=add&amp;uniqId="&amp;BudgetsTable[[#This Row],[prop_id]]&amp;PO_id,"&gt;ra"))</f>
        <v/>
      </c>
      <c r="N301" s="80" t="s">
        <v>13</v>
      </c>
      <c r="O301" s="7" t="str">
        <f>IF(BudgetsTable[[#This Row],[pi_last_name]]=" ","",HYPERLINK("mailto:"&amp;BudgetsTable[[#This Row],[pi_email]]&amp;"&amp;subject=Your NSF Proposal:  "&amp;BudgetsTable[[#This Row],[prop_id]],BudgetsTable[[#This Row],[pi_email]]))</f>
        <v/>
      </c>
      <c r="P301" s="80" t="s">
        <v>13</v>
      </c>
      <c r="Q301" s="80">
        <v>1</v>
      </c>
      <c r="R301" s="80">
        <v>1</v>
      </c>
      <c r="S301" s="81">
        <v>0</v>
      </c>
      <c r="T301" s="81">
        <v>0</v>
      </c>
      <c r="U301" s="81">
        <v>0</v>
      </c>
      <c r="V301" s="82">
        <v>81057</v>
      </c>
      <c r="W301" s="80">
        <v>0</v>
      </c>
      <c r="X301" s="80">
        <v>5</v>
      </c>
      <c r="Y301" s="11" t="str">
        <f ca="1">IF(ISBLANK(BudgetsTable[[#This Row],[budg_seq_yr]]),"FY"&amp;fiscalyear,"FY"&amp;fiscalyear-1+BudgetsTable[[#This Row],[budg_seq_yr]])</f>
        <v>FY22</v>
      </c>
      <c r="Z301" s="81">
        <v>81057</v>
      </c>
      <c r="AA301" s="80" t="s">
        <v>1124</v>
      </c>
      <c r="AB301" s="80" t="s">
        <v>1125</v>
      </c>
      <c r="AC301" s="108" t="s">
        <v>94</v>
      </c>
      <c r="AD301" s="80" t="s">
        <v>1274</v>
      </c>
    </row>
    <row r="302" spans="1:30">
      <c r="A302" s="10" t="s">
        <v>891</v>
      </c>
      <c r="B302" s="78" t="s">
        <v>96</v>
      </c>
      <c r="C302" s="78">
        <f>C301+(BudgetsTable[[#This Row],[lead]]&lt;&gt;K301)</f>
        <v>39</v>
      </c>
      <c r="D302" s="78">
        <f>D301*(BudgetsTable[[#This Row],[lead]]=K301)+(BudgetsTable[[#This Row],[prop_id]]&lt;&gt;A301)</f>
        <v>1</v>
      </c>
      <c r="E302" s="79">
        <v>42935.708333333336</v>
      </c>
      <c r="F302" s="80" t="s">
        <v>248</v>
      </c>
      <c r="G302" s="80" t="s">
        <v>1124</v>
      </c>
      <c r="H302" s="80" t="s">
        <v>1125</v>
      </c>
      <c r="I302" s="78" t="s">
        <v>596</v>
      </c>
      <c r="J302" s="78" t="s">
        <v>1342</v>
      </c>
      <c r="K302" s="80" t="s">
        <v>891</v>
      </c>
      <c r="L302" s="7" t="str">
        <f>IF(BudgetsTable[[#This Row],[pi_last_name]]=" ","",HYPERLINK("https://www.ejacket.nsf.gov/ej/showProposal.do?Continue=Y&amp;ID="&amp;BudgetsTable[[#This Row],[prop_id]],BudgetsTable[[#This Row],[prop_id]]))</f>
        <v>1751205</v>
      </c>
      <c r="M302" s="15" t="str">
        <f>IF(BudgetsTable[[#This Row],[pi_last_name]]=" ","",HYPERLINK("https://www.ejacket.nsf.gov/ej/processReviewAnalysis.do?dispatch=add&amp;uniqId="&amp;BudgetsTable[[#This Row],[prop_id]]&amp;PO_id,"&gt;ra"))</f>
        <v>&gt;ra</v>
      </c>
      <c r="N302" s="80" t="s">
        <v>892</v>
      </c>
      <c r="O302" s="7" t="str">
        <f>IF(BudgetsTable[[#This Row],[pi_last_name]]=" ","",HYPERLINK("mailto:"&amp;BudgetsTable[[#This Row],[pi_email]]&amp;"&amp;subject=Your NSF Proposal:  "&amp;BudgetsTable[[#This Row],[prop_id]],BudgetsTable[[#This Row],[pi_email]]))</f>
        <v>zak.kassas@ucr.edu</v>
      </c>
      <c r="P302" s="80" t="s">
        <v>353</v>
      </c>
      <c r="Q302" s="80"/>
      <c r="R302" s="80"/>
      <c r="S302" s="81"/>
      <c r="T302" s="81"/>
      <c r="U302" s="81"/>
      <c r="V302" s="82"/>
      <c r="W302" s="80">
        <v>0</v>
      </c>
      <c r="X302" s="80"/>
      <c r="Y302" s="11" t="str">
        <f ca="1">IF(ISBLANK(BudgetsTable[[#This Row],[budg_seq_yr]]),"FY"&amp;fiscalyear,"FY"&amp;fiscalyear-1+BudgetsTable[[#This Row],[budg_seq_yr]])</f>
        <v>FY18</v>
      </c>
      <c r="Z302" s="81">
        <v>500000</v>
      </c>
      <c r="AA302" s="80" t="s">
        <v>1124</v>
      </c>
      <c r="AB302" s="80" t="s">
        <v>1125</v>
      </c>
      <c r="AC302" s="108" t="s">
        <v>94</v>
      </c>
      <c r="AD302" s="80" t="s">
        <v>256</v>
      </c>
    </row>
    <row r="303" spans="1:30">
      <c r="A303" s="10" t="s">
        <v>891</v>
      </c>
      <c r="B303" s="78" t="s">
        <v>96</v>
      </c>
      <c r="C303" s="78">
        <f>C302+(BudgetsTable[[#This Row],[lead]]&lt;&gt;K302)</f>
        <v>39</v>
      </c>
      <c r="D303" s="78">
        <f>D302*(BudgetsTable[[#This Row],[lead]]=K302)+(BudgetsTable[[#This Row],[prop_id]]&lt;&gt;A302)</f>
        <v>1</v>
      </c>
      <c r="E303" s="79">
        <v>42935.708333333336</v>
      </c>
      <c r="F303" s="80" t="s">
        <v>248</v>
      </c>
      <c r="G303" s="80" t="s">
        <v>1124</v>
      </c>
      <c r="H303" s="80" t="s">
        <v>1125</v>
      </c>
      <c r="I303" s="78" t="s">
        <v>596</v>
      </c>
      <c r="J303" s="78" t="s">
        <v>13</v>
      </c>
      <c r="K303" s="80" t="s">
        <v>891</v>
      </c>
      <c r="L303" s="7" t="str">
        <f>IF(BudgetsTable[[#This Row],[pi_last_name]]=" ","",HYPERLINK("https://www.ejacket.nsf.gov/ej/showProposal.do?Continue=Y&amp;ID="&amp;BudgetsTable[[#This Row],[prop_id]],BudgetsTable[[#This Row],[prop_id]]))</f>
        <v/>
      </c>
      <c r="M303" s="15" t="str">
        <f>IF(BudgetsTable[[#This Row],[pi_last_name]]=" ","",HYPERLINK("https://www.ejacket.nsf.gov/ej/processReviewAnalysis.do?dispatch=add&amp;uniqId="&amp;BudgetsTable[[#This Row],[prop_id]]&amp;PO_id,"&gt;ra"))</f>
        <v/>
      </c>
      <c r="N303" s="80" t="s">
        <v>13</v>
      </c>
      <c r="O303" s="7" t="str">
        <f>IF(BudgetsTable[[#This Row],[pi_last_name]]=" ","",HYPERLINK("mailto:"&amp;BudgetsTable[[#This Row],[pi_email]]&amp;"&amp;subject=Your NSF Proposal:  "&amp;BudgetsTable[[#This Row],[prop_id]],BudgetsTable[[#This Row],[pi_email]]))</f>
        <v/>
      </c>
      <c r="P303" s="80" t="s">
        <v>13</v>
      </c>
      <c r="Q303" s="80">
        <v>1</v>
      </c>
      <c r="R303" s="80">
        <v>1</v>
      </c>
      <c r="S303" s="81">
        <v>0</v>
      </c>
      <c r="T303" s="81">
        <v>0</v>
      </c>
      <c r="U303" s="81">
        <v>0</v>
      </c>
      <c r="V303" s="82">
        <v>96183</v>
      </c>
      <c r="W303" s="80">
        <v>0</v>
      </c>
      <c r="X303" s="80">
        <v>1</v>
      </c>
      <c r="Y303" s="11" t="str">
        <f ca="1">IF(ISBLANK(BudgetsTable[[#This Row],[budg_seq_yr]]),"FY"&amp;fiscalyear,"FY"&amp;fiscalyear-1+BudgetsTable[[#This Row],[budg_seq_yr]])</f>
        <v>FY18</v>
      </c>
      <c r="Z303" s="81">
        <v>96183</v>
      </c>
      <c r="AA303" s="80" t="s">
        <v>1124</v>
      </c>
      <c r="AB303" s="80" t="s">
        <v>1125</v>
      </c>
      <c r="AC303" s="108" t="s">
        <v>94</v>
      </c>
      <c r="AD303" s="80" t="s">
        <v>256</v>
      </c>
    </row>
    <row r="304" spans="1:30">
      <c r="A304" s="10" t="s">
        <v>891</v>
      </c>
      <c r="B304" s="78" t="s">
        <v>96</v>
      </c>
      <c r="C304" s="78">
        <f>C303+(BudgetsTable[[#This Row],[lead]]&lt;&gt;K303)</f>
        <v>39</v>
      </c>
      <c r="D304" s="78">
        <f>D303*(BudgetsTable[[#This Row],[lead]]=K303)+(BudgetsTable[[#This Row],[prop_id]]&lt;&gt;A303)</f>
        <v>1</v>
      </c>
      <c r="E304" s="79">
        <v>42935.708333333336</v>
      </c>
      <c r="F304" s="80" t="s">
        <v>248</v>
      </c>
      <c r="G304" s="80" t="s">
        <v>1124</v>
      </c>
      <c r="H304" s="80" t="s">
        <v>1125</v>
      </c>
      <c r="I304" s="78" t="s">
        <v>596</v>
      </c>
      <c r="J304" s="78" t="s">
        <v>13</v>
      </c>
      <c r="K304" s="80" t="s">
        <v>891</v>
      </c>
      <c r="L304" s="7" t="str">
        <f>IF(BudgetsTable[[#This Row],[pi_last_name]]=" ","",HYPERLINK("https://www.ejacket.nsf.gov/ej/showProposal.do?Continue=Y&amp;ID="&amp;BudgetsTable[[#This Row],[prop_id]],BudgetsTable[[#This Row],[prop_id]]))</f>
        <v/>
      </c>
      <c r="M304" s="15" t="str">
        <f>IF(BudgetsTable[[#This Row],[pi_last_name]]=" ","",HYPERLINK("https://www.ejacket.nsf.gov/ej/processReviewAnalysis.do?dispatch=add&amp;uniqId="&amp;BudgetsTable[[#This Row],[prop_id]]&amp;PO_id,"&gt;ra"))</f>
        <v/>
      </c>
      <c r="N304" s="80" t="s">
        <v>13</v>
      </c>
      <c r="O304" s="7" t="str">
        <f>IF(BudgetsTable[[#This Row],[pi_last_name]]=" ","",HYPERLINK("mailto:"&amp;BudgetsTable[[#This Row],[pi_email]]&amp;"&amp;subject=Your NSF Proposal:  "&amp;BudgetsTable[[#This Row],[prop_id]],BudgetsTable[[#This Row],[pi_email]]))</f>
        <v/>
      </c>
      <c r="P304" s="80" t="s">
        <v>13</v>
      </c>
      <c r="Q304" s="80">
        <v>1</v>
      </c>
      <c r="R304" s="80">
        <v>1</v>
      </c>
      <c r="S304" s="81">
        <v>0</v>
      </c>
      <c r="T304" s="81">
        <v>4000</v>
      </c>
      <c r="U304" s="81">
        <v>0</v>
      </c>
      <c r="V304" s="82">
        <v>99456</v>
      </c>
      <c r="W304" s="80">
        <v>0</v>
      </c>
      <c r="X304" s="80">
        <v>2</v>
      </c>
      <c r="Y304" s="11" t="str">
        <f ca="1">IF(ISBLANK(BudgetsTable[[#This Row],[budg_seq_yr]]),"FY"&amp;fiscalyear,"FY"&amp;fiscalyear-1+BudgetsTable[[#This Row],[budg_seq_yr]])</f>
        <v>FY19</v>
      </c>
      <c r="Z304" s="81">
        <v>99456</v>
      </c>
      <c r="AA304" s="80" t="s">
        <v>1124</v>
      </c>
      <c r="AB304" s="80" t="s">
        <v>1125</v>
      </c>
      <c r="AC304" s="108" t="s">
        <v>94</v>
      </c>
      <c r="AD304" s="80" t="s">
        <v>256</v>
      </c>
    </row>
    <row r="305" spans="1:30">
      <c r="A305" s="10" t="s">
        <v>891</v>
      </c>
      <c r="B305" s="78" t="s">
        <v>96</v>
      </c>
      <c r="C305" s="78">
        <f>C304+(BudgetsTable[[#This Row],[lead]]&lt;&gt;K304)</f>
        <v>39</v>
      </c>
      <c r="D305" s="78">
        <f>D304*(BudgetsTable[[#This Row],[lead]]=K304)+(BudgetsTable[[#This Row],[prop_id]]&lt;&gt;A304)</f>
        <v>1</v>
      </c>
      <c r="E305" s="79">
        <v>42935.708333333336</v>
      </c>
      <c r="F305" s="80" t="s">
        <v>248</v>
      </c>
      <c r="G305" s="80" t="s">
        <v>1124</v>
      </c>
      <c r="H305" s="80" t="s">
        <v>1125</v>
      </c>
      <c r="I305" s="78" t="s">
        <v>596</v>
      </c>
      <c r="J305" s="78" t="s">
        <v>13</v>
      </c>
      <c r="K305" s="80" t="s">
        <v>891</v>
      </c>
      <c r="L305" s="7" t="str">
        <f>IF(BudgetsTable[[#This Row],[pi_last_name]]=" ","",HYPERLINK("https://www.ejacket.nsf.gov/ej/showProposal.do?Continue=Y&amp;ID="&amp;BudgetsTable[[#This Row],[prop_id]],BudgetsTable[[#This Row],[prop_id]]))</f>
        <v/>
      </c>
      <c r="M305" s="15" t="str">
        <f>IF(BudgetsTable[[#This Row],[pi_last_name]]=" ","",HYPERLINK("https://www.ejacket.nsf.gov/ej/processReviewAnalysis.do?dispatch=add&amp;uniqId="&amp;BudgetsTable[[#This Row],[prop_id]]&amp;PO_id,"&gt;ra"))</f>
        <v/>
      </c>
      <c r="N305" s="80" t="s">
        <v>13</v>
      </c>
      <c r="O305" s="7" t="str">
        <f>IF(BudgetsTable[[#This Row],[pi_last_name]]=" ","",HYPERLINK("mailto:"&amp;BudgetsTable[[#This Row],[pi_email]]&amp;"&amp;subject=Your NSF Proposal:  "&amp;BudgetsTable[[#This Row],[prop_id]],BudgetsTable[[#This Row],[pi_email]]))</f>
        <v/>
      </c>
      <c r="P305" s="80" t="s">
        <v>13</v>
      </c>
      <c r="Q305" s="80">
        <v>1</v>
      </c>
      <c r="R305" s="80">
        <v>1</v>
      </c>
      <c r="S305" s="81">
        <v>0</v>
      </c>
      <c r="T305" s="81">
        <v>0</v>
      </c>
      <c r="U305" s="81">
        <v>0</v>
      </c>
      <c r="V305" s="82">
        <v>98491</v>
      </c>
      <c r="W305" s="80">
        <v>0</v>
      </c>
      <c r="X305" s="80">
        <v>3</v>
      </c>
      <c r="Y305" s="11" t="str">
        <f ca="1">IF(ISBLANK(BudgetsTable[[#This Row],[budg_seq_yr]]),"FY"&amp;fiscalyear,"FY"&amp;fiscalyear-1+BudgetsTable[[#This Row],[budg_seq_yr]])</f>
        <v>FY20</v>
      </c>
      <c r="Z305" s="81">
        <v>98491</v>
      </c>
      <c r="AA305" s="80" t="s">
        <v>1124</v>
      </c>
      <c r="AB305" s="80" t="s">
        <v>1125</v>
      </c>
      <c r="AC305" s="108" t="s">
        <v>94</v>
      </c>
      <c r="AD305" s="80" t="s">
        <v>256</v>
      </c>
    </row>
    <row r="306" spans="1:30">
      <c r="A306" s="10" t="s">
        <v>891</v>
      </c>
      <c r="B306" s="78" t="s">
        <v>96</v>
      </c>
      <c r="C306" s="78">
        <f>C305+(BudgetsTable[[#This Row],[lead]]&lt;&gt;K305)</f>
        <v>39</v>
      </c>
      <c r="D306" s="78">
        <f>D305*(BudgetsTable[[#This Row],[lead]]=K305)+(BudgetsTable[[#This Row],[prop_id]]&lt;&gt;A305)</f>
        <v>1</v>
      </c>
      <c r="E306" s="79">
        <v>42935.708333333336</v>
      </c>
      <c r="F306" s="80" t="s">
        <v>248</v>
      </c>
      <c r="G306" s="80" t="s">
        <v>1124</v>
      </c>
      <c r="H306" s="80" t="s">
        <v>1125</v>
      </c>
      <c r="I306" s="78" t="s">
        <v>596</v>
      </c>
      <c r="J306" s="78" t="s">
        <v>13</v>
      </c>
      <c r="K306" s="80" t="s">
        <v>891</v>
      </c>
      <c r="L306" s="7" t="str">
        <f>IF(BudgetsTable[[#This Row],[pi_last_name]]=" ","",HYPERLINK("https://www.ejacket.nsf.gov/ej/showProposal.do?Continue=Y&amp;ID="&amp;BudgetsTable[[#This Row],[prop_id]],BudgetsTable[[#This Row],[prop_id]]))</f>
        <v/>
      </c>
      <c r="M306" s="15" t="str">
        <f>IF(BudgetsTable[[#This Row],[pi_last_name]]=" ","",HYPERLINK("https://www.ejacket.nsf.gov/ej/processReviewAnalysis.do?dispatch=add&amp;uniqId="&amp;BudgetsTable[[#This Row],[prop_id]]&amp;PO_id,"&gt;ra"))</f>
        <v/>
      </c>
      <c r="N306" s="80" t="s">
        <v>13</v>
      </c>
      <c r="O306" s="7" t="str">
        <f>IF(BudgetsTable[[#This Row],[pi_last_name]]=" ","",HYPERLINK("mailto:"&amp;BudgetsTable[[#This Row],[pi_email]]&amp;"&amp;subject=Your NSF Proposal:  "&amp;BudgetsTable[[#This Row],[prop_id]],BudgetsTable[[#This Row],[pi_email]]))</f>
        <v/>
      </c>
      <c r="P306" s="80" t="s">
        <v>13</v>
      </c>
      <c r="Q306" s="80">
        <v>1</v>
      </c>
      <c r="R306" s="80">
        <v>1</v>
      </c>
      <c r="S306" s="81">
        <v>0</v>
      </c>
      <c r="T306" s="81">
        <v>4000</v>
      </c>
      <c r="U306" s="81">
        <v>0</v>
      </c>
      <c r="V306" s="82">
        <v>103417</v>
      </c>
      <c r="W306" s="80">
        <v>0</v>
      </c>
      <c r="X306" s="80">
        <v>4</v>
      </c>
      <c r="Y306" s="11" t="str">
        <f ca="1">IF(ISBLANK(BudgetsTable[[#This Row],[budg_seq_yr]]),"FY"&amp;fiscalyear,"FY"&amp;fiscalyear-1+BudgetsTable[[#This Row],[budg_seq_yr]])</f>
        <v>FY21</v>
      </c>
      <c r="Z306" s="81">
        <v>103417</v>
      </c>
      <c r="AA306" s="80" t="s">
        <v>1124</v>
      </c>
      <c r="AB306" s="80" t="s">
        <v>1125</v>
      </c>
      <c r="AC306" s="108" t="s">
        <v>94</v>
      </c>
      <c r="AD306" s="80" t="s">
        <v>256</v>
      </c>
    </row>
    <row r="307" spans="1:30">
      <c r="A307" s="10" t="s">
        <v>891</v>
      </c>
      <c r="B307" s="78" t="s">
        <v>96</v>
      </c>
      <c r="C307" s="78">
        <f>C306+(BudgetsTable[[#This Row],[lead]]&lt;&gt;K306)</f>
        <v>39</v>
      </c>
      <c r="D307" s="78">
        <f>D306*(BudgetsTable[[#This Row],[lead]]=K306)+(BudgetsTable[[#This Row],[prop_id]]&lt;&gt;A306)</f>
        <v>1</v>
      </c>
      <c r="E307" s="79">
        <v>42935.708333333336</v>
      </c>
      <c r="F307" s="80" t="s">
        <v>248</v>
      </c>
      <c r="G307" s="80" t="s">
        <v>1124</v>
      </c>
      <c r="H307" s="80" t="s">
        <v>1125</v>
      </c>
      <c r="I307" s="78" t="s">
        <v>596</v>
      </c>
      <c r="J307" s="78" t="s">
        <v>13</v>
      </c>
      <c r="K307" s="80" t="s">
        <v>891</v>
      </c>
      <c r="L307" s="7" t="str">
        <f>IF(BudgetsTable[[#This Row],[pi_last_name]]=" ","",HYPERLINK("https://www.ejacket.nsf.gov/ej/showProposal.do?Continue=Y&amp;ID="&amp;BudgetsTable[[#This Row],[prop_id]],BudgetsTable[[#This Row],[prop_id]]))</f>
        <v/>
      </c>
      <c r="M307" s="15" t="str">
        <f>IF(BudgetsTable[[#This Row],[pi_last_name]]=" ","",HYPERLINK("https://www.ejacket.nsf.gov/ej/processReviewAnalysis.do?dispatch=add&amp;uniqId="&amp;BudgetsTable[[#This Row],[prop_id]]&amp;PO_id,"&gt;ra"))</f>
        <v/>
      </c>
      <c r="N307" s="80" t="s">
        <v>13</v>
      </c>
      <c r="O307" s="7" t="str">
        <f>IF(BudgetsTable[[#This Row],[pi_last_name]]=" ","",HYPERLINK("mailto:"&amp;BudgetsTable[[#This Row],[pi_email]]&amp;"&amp;subject=Your NSF Proposal:  "&amp;BudgetsTable[[#This Row],[prop_id]],BudgetsTable[[#This Row],[pi_email]]))</f>
        <v/>
      </c>
      <c r="P307" s="80" t="s">
        <v>13</v>
      </c>
      <c r="Q307" s="80">
        <v>1</v>
      </c>
      <c r="R307" s="80">
        <v>1</v>
      </c>
      <c r="S307" s="81">
        <v>0</v>
      </c>
      <c r="T307" s="81">
        <v>0</v>
      </c>
      <c r="U307" s="81">
        <v>0</v>
      </c>
      <c r="V307" s="82">
        <v>102453</v>
      </c>
      <c r="W307" s="80">
        <v>0</v>
      </c>
      <c r="X307" s="80">
        <v>5</v>
      </c>
      <c r="Y307" s="11" t="str">
        <f ca="1">IF(ISBLANK(BudgetsTable[[#This Row],[budg_seq_yr]]),"FY"&amp;fiscalyear,"FY"&amp;fiscalyear-1+BudgetsTable[[#This Row],[budg_seq_yr]])</f>
        <v>FY22</v>
      </c>
      <c r="Z307" s="81">
        <v>102453</v>
      </c>
      <c r="AA307" s="80" t="s">
        <v>1124</v>
      </c>
      <c r="AB307" s="80" t="s">
        <v>1125</v>
      </c>
      <c r="AC307" s="108" t="s">
        <v>94</v>
      </c>
      <c r="AD307" s="80" t="s">
        <v>256</v>
      </c>
    </row>
    <row r="308" spans="1:30">
      <c r="A308" s="10" t="s">
        <v>899</v>
      </c>
      <c r="B308" s="78" t="s">
        <v>96</v>
      </c>
      <c r="C308" s="78">
        <f>C307+(BudgetsTable[[#This Row],[lead]]&lt;&gt;K307)</f>
        <v>40</v>
      </c>
      <c r="D308" s="78">
        <f>D307*(BudgetsTable[[#This Row],[lead]]=K307)+(BudgetsTable[[#This Row],[prop_id]]&lt;&gt;A307)</f>
        <v>1</v>
      </c>
      <c r="E308" s="79">
        <v>42935.712500000001</v>
      </c>
      <c r="F308" s="80" t="s">
        <v>248</v>
      </c>
      <c r="G308" s="80" t="s">
        <v>1124</v>
      </c>
      <c r="H308" s="80" t="s">
        <v>1125</v>
      </c>
      <c r="I308" s="78" t="s">
        <v>596</v>
      </c>
      <c r="J308" s="78" t="s">
        <v>1347</v>
      </c>
      <c r="K308" s="80" t="s">
        <v>899</v>
      </c>
      <c r="L308" s="7" t="str">
        <f>IF(BudgetsTable[[#This Row],[pi_last_name]]=" ","",HYPERLINK("https://www.ejacket.nsf.gov/ej/showProposal.do?Continue=Y&amp;ID="&amp;BudgetsTable[[#This Row],[prop_id]],BudgetsTable[[#This Row],[prop_id]]))</f>
        <v>1751219</v>
      </c>
      <c r="M308" s="15" t="str">
        <f>IF(BudgetsTable[[#This Row],[pi_last_name]]=" ","",HYPERLINK("https://www.ejacket.nsf.gov/ej/processReviewAnalysis.do?dispatch=add&amp;uniqId="&amp;BudgetsTable[[#This Row],[prop_id]]&amp;PO_id,"&gt;ra"))</f>
        <v>&gt;ra</v>
      </c>
      <c r="N308" s="80" t="s">
        <v>900</v>
      </c>
      <c r="O308" s="7" t="str">
        <f>IF(BudgetsTable[[#This Row],[pi_last_name]]=" ","",HYPERLINK("mailto:"&amp;BudgetsTable[[#This Row],[pi_email]]&amp;"&amp;subject=Your NSF Proposal:  "&amp;BudgetsTable[[#This Row],[prop_id]],BudgetsTable[[#This Row],[pi_email]]))</f>
        <v>atkison@cs.ua.edu</v>
      </c>
      <c r="P308" s="80" t="s">
        <v>1344</v>
      </c>
      <c r="Q308" s="80"/>
      <c r="R308" s="80"/>
      <c r="S308" s="81"/>
      <c r="T308" s="81"/>
      <c r="U308" s="81"/>
      <c r="V308" s="82"/>
      <c r="W308" s="80">
        <v>0</v>
      </c>
      <c r="X308" s="80"/>
      <c r="Y308" s="11" t="str">
        <f ca="1">IF(ISBLANK(BudgetsTable[[#This Row],[budg_seq_yr]]),"FY"&amp;fiscalyear,"FY"&amp;fiscalyear-1+BudgetsTable[[#This Row],[budg_seq_yr]])</f>
        <v>FY18</v>
      </c>
      <c r="Z308" s="81">
        <v>662136</v>
      </c>
      <c r="AA308" s="80" t="s">
        <v>1124</v>
      </c>
      <c r="AB308" s="80" t="s">
        <v>1125</v>
      </c>
      <c r="AC308" s="108" t="s">
        <v>94</v>
      </c>
      <c r="AD308" s="80" t="s">
        <v>1274</v>
      </c>
    </row>
    <row r="309" spans="1:30">
      <c r="A309" s="10" t="s">
        <v>899</v>
      </c>
      <c r="B309" s="78" t="s">
        <v>96</v>
      </c>
      <c r="C309" s="78">
        <f>C308+(BudgetsTable[[#This Row],[lead]]&lt;&gt;K308)</f>
        <v>40</v>
      </c>
      <c r="D309" s="78">
        <f>D308*(BudgetsTable[[#This Row],[lead]]=K308)+(BudgetsTable[[#This Row],[prop_id]]&lt;&gt;A308)</f>
        <v>1</v>
      </c>
      <c r="E309" s="79">
        <v>42935.712500000001</v>
      </c>
      <c r="F309" s="80" t="s">
        <v>248</v>
      </c>
      <c r="G309" s="80" t="s">
        <v>1124</v>
      </c>
      <c r="H309" s="80" t="s">
        <v>1125</v>
      </c>
      <c r="I309" s="78" t="s">
        <v>596</v>
      </c>
      <c r="J309" s="78" t="s">
        <v>13</v>
      </c>
      <c r="K309" s="80" t="s">
        <v>899</v>
      </c>
      <c r="L309" s="7" t="str">
        <f>IF(BudgetsTable[[#This Row],[pi_last_name]]=" ","",HYPERLINK("https://www.ejacket.nsf.gov/ej/showProposal.do?Continue=Y&amp;ID="&amp;BudgetsTable[[#This Row],[prop_id]],BudgetsTable[[#This Row],[prop_id]]))</f>
        <v/>
      </c>
      <c r="M309" s="15" t="str">
        <f>IF(BudgetsTable[[#This Row],[pi_last_name]]=" ","",HYPERLINK("https://www.ejacket.nsf.gov/ej/processReviewAnalysis.do?dispatch=add&amp;uniqId="&amp;BudgetsTable[[#This Row],[prop_id]]&amp;PO_id,"&gt;ra"))</f>
        <v/>
      </c>
      <c r="N309" s="80" t="s">
        <v>13</v>
      </c>
      <c r="O309" s="7" t="str">
        <f>IF(BudgetsTable[[#This Row],[pi_last_name]]=" ","",HYPERLINK("mailto:"&amp;BudgetsTable[[#This Row],[pi_email]]&amp;"&amp;subject=Your NSF Proposal:  "&amp;BudgetsTable[[#This Row],[prop_id]],BudgetsTable[[#This Row],[pi_email]]))</f>
        <v/>
      </c>
      <c r="P309" s="80" t="s">
        <v>13</v>
      </c>
      <c r="Q309" s="80">
        <v>1</v>
      </c>
      <c r="R309" s="80">
        <v>2</v>
      </c>
      <c r="S309" s="81">
        <v>0</v>
      </c>
      <c r="T309" s="81">
        <v>0</v>
      </c>
      <c r="U309" s="81">
        <v>0</v>
      </c>
      <c r="V309" s="82">
        <v>126265</v>
      </c>
      <c r="W309" s="80">
        <v>0</v>
      </c>
      <c r="X309" s="80">
        <v>1</v>
      </c>
      <c r="Y309" s="11" t="str">
        <f ca="1">IF(ISBLANK(BudgetsTable[[#This Row],[budg_seq_yr]]),"FY"&amp;fiscalyear,"FY"&amp;fiscalyear-1+BudgetsTable[[#This Row],[budg_seq_yr]])</f>
        <v>FY18</v>
      </c>
      <c r="Z309" s="81">
        <v>126265</v>
      </c>
      <c r="AA309" s="80" t="s">
        <v>1124</v>
      </c>
      <c r="AB309" s="80" t="s">
        <v>1125</v>
      </c>
      <c r="AC309" s="108" t="s">
        <v>94</v>
      </c>
      <c r="AD309" s="80" t="s">
        <v>1274</v>
      </c>
    </row>
    <row r="310" spans="1:30">
      <c r="A310" s="10" t="s">
        <v>899</v>
      </c>
      <c r="B310" s="78" t="s">
        <v>96</v>
      </c>
      <c r="C310" s="78">
        <f>C309+(BudgetsTable[[#This Row],[lead]]&lt;&gt;K309)</f>
        <v>40</v>
      </c>
      <c r="D310" s="78">
        <f>D309*(BudgetsTable[[#This Row],[lead]]=K309)+(BudgetsTable[[#This Row],[prop_id]]&lt;&gt;A309)</f>
        <v>1</v>
      </c>
      <c r="E310" s="79">
        <v>42935.712500000001</v>
      </c>
      <c r="F310" s="80" t="s">
        <v>248</v>
      </c>
      <c r="G310" s="80" t="s">
        <v>1124</v>
      </c>
      <c r="H310" s="80" t="s">
        <v>1125</v>
      </c>
      <c r="I310" s="78" t="s">
        <v>596</v>
      </c>
      <c r="J310" s="78" t="s">
        <v>13</v>
      </c>
      <c r="K310" s="80" t="s">
        <v>899</v>
      </c>
      <c r="L310" s="7" t="str">
        <f>IF(BudgetsTable[[#This Row],[pi_last_name]]=" ","",HYPERLINK("https://www.ejacket.nsf.gov/ej/showProposal.do?Continue=Y&amp;ID="&amp;BudgetsTable[[#This Row],[prop_id]],BudgetsTable[[#This Row],[prop_id]]))</f>
        <v/>
      </c>
      <c r="M310" s="15" t="str">
        <f>IF(BudgetsTable[[#This Row],[pi_last_name]]=" ","",HYPERLINK("https://www.ejacket.nsf.gov/ej/processReviewAnalysis.do?dispatch=add&amp;uniqId="&amp;BudgetsTable[[#This Row],[prop_id]]&amp;PO_id,"&gt;ra"))</f>
        <v/>
      </c>
      <c r="N310" s="80" t="s">
        <v>13</v>
      </c>
      <c r="O310" s="7" t="str">
        <f>IF(BudgetsTable[[#This Row],[pi_last_name]]=" ","",HYPERLINK("mailto:"&amp;BudgetsTable[[#This Row],[pi_email]]&amp;"&amp;subject=Your NSF Proposal:  "&amp;BudgetsTable[[#This Row],[prop_id]],BudgetsTable[[#This Row],[pi_email]]))</f>
        <v/>
      </c>
      <c r="P310" s="80" t="s">
        <v>13</v>
      </c>
      <c r="Q310" s="80">
        <v>1</v>
      </c>
      <c r="R310" s="80">
        <v>2</v>
      </c>
      <c r="S310" s="81">
        <v>0</v>
      </c>
      <c r="T310" s="81">
        <v>0</v>
      </c>
      <c r="U310" s="81">
        <v>0</v>
      </c>
      <c r="V310" s="82">
        <v>129197</v>
      </c>
      <c r="W310" s="80">
        <v>0</v>
      </c>
      <c r="X310" s="80">
        <v>2</v>
      </c>
      <c r="Y310" s="11" t="str">
        <f ca="1">IF(ISBLANK(BudgetsTable[[#This Row],[budg_seq_yr]]),"FY"&amp;fiscalyear,"FY"&amp;fiscalyear-1+BudgetsTable[[#This Row],[budg_seq_yr]])</f>
        <v>FY19</v>
      </c>
      <c r="Z310" s="81">
        <v>129197</v>
      </c>
      <c r="AA310" s="80" t="s">
        <v>1124</v>
      </c>
      <c r="AB310" s="80" t="s">
        <v>1125</v>
      </c>
      <c r="AC310" s="108" t="s">
        <v>94</v>
      </c>
      <c r="AD310" s="80" t="s">
        <v>1274</v>
      </c>
    </row>
    <row r="311" spans="1:30">
      <c r="A311" s="10" t="s">
        <v>899</v>
      </c>
      <c r="B311" s="78" t="s">
        <v>96</v>
      </c>
      <c r="C311" s="78">
        <f>C310+(BudgetsTable[[#This Row],[lead]]&lt;&gt;K310)</f>
        <v>40</v>
      </c>
      <c r="D311" s="78">
        <f>D310*(BudgetsTable[[#This Row],[lead]]=K310)+(BudgetsTable[[#This Row],[prop_id]]&lt;&gt;A310)</f>
        <v>1</v>
      </c>
      <c r="E311" s="79">
        <v>42935.712500000001</v>
      </c>
      <c r="F311" s="80" t="s">
        <v>248</v>
      </c>
      <c r="G311" s="80" t="s">
        <v>1124</v>
      </c>
      <c r="H311" s="80" t="s">
        <v>1125</v>
      </c>
      <c r="I311" s="78" t="s">
        <v>596</v>
      </c>
      <c r="J311" s="78" t="s">
        <v>13</v>
      </c>
      <c r="K311" s="80" t="s">
        <v>899</v>
      </c>
      <c r="L311" s="7" t="str">
        <f>IF(BudgetsTable[[#This Row],[pi_last_name]]=" ","",HYPERLINK("https://www.ejacket.nsf.gov/ej/showProposal.do?Continue=Y&amp;ID="&amp;BudgetsTable[[#This Row],[prop_id]],BudgetsTable[[#This Row],[prop_id]]))</f>
        <v/>
      </c>
      <c r="M311" s="15" t="str">
        <f>IF(BudgetsTable[[#This Row],[pi_last_name]]=" ","",HYPERLINK("https://www.ejacket.nsf.gov/ej/processReviewAnalysis.do?dispatch=add&amp;uniqId="&amp;BudgetsTable[[#This Row],[prop_id]]&amp;PO_id,"&gt;ra"))</f>
        <v/>
      </c>
      <c r="N311" s="80" t="s">
        <v>13</v>
      </c>
      <c r="O311" s="7" t="str">
        <f>IF(BudgetsTable[[#This Row],[pi_last_name]]=" ","",HYPERLINK("mailto:"&amp;BudgetsTable[[#This Row],[pi_email]]&amp;"&amp;subject=Your NSF Proposal:  "&amp;BudgetsTable[[#This Row],[prop_id]],BudgetsTable[[#This Row],[pi_email]]))</f>
        <v/>
      </c>
      <c r="P311" s="80" t="s">
        <v>13</v>
      </c>
      <c r="Q311" s="80">
        <v>1</v>
      </c>
      <c r="R311" s="80">
        <v>2</v>
      </c>
      <c r="S311" s="81">
        <v>0</v>
      </c>
      <c r="T311" s="81">
        <v>0</v>
      </c>
      <c r="U311" s="81">
        <v>0</v>
      </c>
      <c r="V311" s="82">
        <v>132273</v>
      </c>
      <c r="W311" s="80">
        <v>0</v>
      </c>
      <c r="X311" s="80">
        <v>3</v>
      </c>
      <c r="Y311" s="11" t="str">
        <f ca="1">IF(ISBLANK(BudgetsTable[[#This Row],[budg_seq_yr]]),"FY"&amp;fiscalyear,"FY"&amp;fiscalyear-1+BudgetsTable[[#This Row],[budg_seq_yr]])</f>
        <v>FY20</v>
      </c>
      <c r="Z311" s="81">
        <v>132273</v>
      </c>
      <c r="AA311" s="80" t="s">
        <v>1124</v>
      </c>
      <c r="AB311" s="80" t="s">
        <v>1125</v>
      </c>
      <c r="AC311" s="108" t="s">
        <v>94</v>
      </c>
      <c r="AD311" s="80" t="s">
        <v>1274</v>
      </c>
    </row>
    <row r="312" spans="1:30">
      <c r="A312" s="10" t="s">
        <v>899</v>
      </c>
      <c r="B312" s="78" t="s">
        <v>96</v>
      </c>
      <c r="C312" s="78">
        <f>C311+(BudgetsTable[[#This Row],[lead]]&lt;&gt;K311)</f>
        <v>40</v>
      </c>
      <c r="D312" s="78">
        <f>D311*(BudgetsTable[[#This Row],[lead]]=K311)+(BudgetsTable[[#This Row],[prop_id]]&lt;&gt;A311)</f>
        <v>1</v>
      </c>
      <c r="E312" s="79">
        <v>42935.712500000001</v>
      </c>
      <c r="F312" s="80" t="s">
        <v>248</v>
      </c>
      <c r="G312" s="80" t="s">
        <v>1124</v>
      </c>
      <c r="H312" s="80" t="s">
        <v>1125</v>
      </c>
      <c r="I312" s="78" t="s">
        <v>596</v>
      </c>
      <c r="J312" s="78" t="s">
        <v>13</v>
      </c>
      <c r="K312" s="80" t="s">
        <v>899</v>
      </c>
      <c r="L312" s="7" t="str">
        <f>IF(BudgetsTable[[#This Row],[pi_last_name]]=" ","",HYPERLINK("https://www.ejacket.nsf.gov/ej/showProposal.do?Continue=Y&amp;ID="&amp;BudgetsTable[[#This Row],[prop_id]],BudgetsTable[[#This Row],[prop_id]]))</f>
        <v/>
      </c>
      <c r="M312" s="15" t="str">
        <f>IF(BudgetsTable[[#This Row],[pi_last_name]]=" ","",HYPERLINK("https://www.ejacket.nsf.gov/ej/processReviewAnalysis.do?dispatch=add&amp;uniqId="&amp;BudgetsTable[[#This Row],[prop_id]]&amp;PO_id,"&gt;ra"))</f>
        <v/>
      </c>
      <c r="N312" s="80" t="s">
        <v>13</v>
      </c>
      <c r="O312" s="7" t="str">
        <f>IF(BudgetsTable[[#This Row],[pi_last_name]]=" ","",HYPERLINK("mailto:"&amp;BudgetsTable[[#This Row],[pi_email]]&amp;"&amp;subject=Your NSF Proposal:  "&amp;BudgetsTable[[#This Row],[prop_id]],BudgetsTable[[#This Row],[pi_email]]))</f>
        <v/>
      </c>
      <c r="P312" s="80" t="s">
        <v>13</v>
      </c>
      <c r="Q312" s="80">
        <v>1</v>
      </c>
      <c r="R312" s="80">
        <v>2</v>
      </c>
      <c r="S312" s="81">
        <v>0</v>
      </c>
      <c r="T312" s="81">
        <v>0</v>
      </c>
      <c r="U312" s="81">
        <v>0</v>
      </c>
      <c r="V312" s="82">
        <v>135504</v>
      </c>
      <c r="W312" s="80">
        <v>0</v>
      </c>
      <c r="X312" s="80">
        <v>4</v>
      </c>
      <c r="Y312" s="11" t="str">
        <f ca="1">IF(ISBLANK(BudgetsTable[[#This Row],[budg_seq_yr]]),"FY"&amp;fiscalyear,"FY"&amp;fiscalyear-1+BudgetsTable[[#This Row],[budg_seq_yr]])</f>
        <v>FY21</v>
      </c>
      <c r="Z312" s="81">
        <v>135504</v>
      </c>
      <c r="AA312" s="80" t="s">
        <v>1124</v>
      </c>
      <c r="AB312" s="80" t="s">
        <v>1125</v>
      </c>
      <c r="AC312" s="108" t="s">
        <v>94</v>
      </c>
      <c r="AD312" s="80" t="s">
        <v>1274</v>
      </c>
    </row>
    <row r="313" spans="1:30">
      <c r="A313" s="10" t="s">
        <v>899</v>
      </c>
      <c r="B313" s="78" t="s">
        <v>96</v>
      </c>
      <c r="C313" s="78">
        <f>C312+(BudgetsTable[[#This Row],[lead]]&lt;&gt;K312)</f>
        <v>40</v>
      </c>
      <c r="D313" s="78">
        <f>D312*(BudgetsTable[[#This Row],[lead]]=K312)+(BudgetsTable[[#This Row],[prop_id]]&lt;&gt;A312)</f>
        <v>1</v>
      </c>
      <c r="E313" s="79">
        <v>42935.712500000001</v>
      </c>
      <c r="F313" s="80" t="s">
        <v>248</v>
      </c>
      <c r="G313" s="80" t="s">
        <v>1124</v>
      </c>
      <c r="H313" s="80" t="s">
        <v>1125</v>
      </c>
      <c r="I313" s="78" t="s">
        <v>596</v>
      </c>
      <c r="J313" s="78" t="s">
        <v>13</v>
      </c>
      <c r="K313" s="80" t="s">
        <v>899</v>
      </c>
      <c r="L313" s="7" t="str">
        <f>IF(BudgetsTable[[#This Row],[pi_last_name]]=" ","",HYPERLINK("https://www.ejacket.nsf.gov/ej/showProposal.do?Continue=Y&amp;ID="&amp;BudgetsTable[[#This Row],[prop_id]],BudgetsTable[[#This Row],[prop_id]]))</f>
        <v/>
      </c>
      <c r="M313" s="15" t="str">
        <f>IF(BudgetsTable[[#This Row],[pi_last_name]]=" ","",HYPERLINK("https://www.ejacket.nsf.gov/ej/processReviewAnalysis.do?dispatch=add&amp;uniqId="&amp;BudgetsTable[[#This Row],[prop_id]]&amp;PO_id,"&gt;ra"))</f>
        <v/>
      </c>
      <c r="N313" s="80" t="s">
        <v>13</v>
      </c>
      <c r="O313" s="7" t="str">
        <f>IF(BudgetsTable[[#This Row],[pi_last_name]]=" ","",HYPERLINK("mailto:"&amp;BudgetsTable[[#This Row],[pi_email]]&amp;"&amp;subject=Your NSF Proposal:  "&amp;BudgetsTable[[#This Row],[prop_id]],BudgetsTable[[#This Row],[pi_email]]))</f>
        <v/>
      </c>
      <c r="P313" s="80" t="s">
        <v>13</v>
      </c>
      <c r="Q313" s="80">
        <v>1</v>
      </c>
      <c r="R313" s="80">
        <v>2</v>
      </c>
      <c r="S313" s="81">
        <v>0</v>
      </c>
      <c r="T313" s="81">
        <v>0</v>
      </c>
      <c r="U313" s="81">
        <v>0</v>
      </c>
      <c r="V313" s="82">
        <v>138897</v>
      </c>
      <c r="W313" s="80">
        <v>0</v>
      </c>
      <c r="X313" s="80">
        <v>5</v>
      </c>
      <c r="Y313" s="11" t="str">
        <f ca="1">IF(ISBLANK(BudgetsTable[[#This Row],[budg_seq_yr]]),"FY"&amp;fiscalyear,"FY"&amp;fiscalyear-1+BudgetsTable[[#This Row],[budg_seq_yr]])</f>
        <v>FY22</v>
      </c>
      <c r="Z313" s="81">
        <v>138897</v>
      </c>
      <c r="AA313" s="80" t="s">
        <v>1124</v>
      </c>
      <c r="AB313" s="80" t="s">
        <v>1125</v>
      </c>
      <c r="AC313" s="108" t="s">
        <v>94</v>
      </c>
      <c r="AD313" s="80" t="s">
        <v>1274</v>
      </c>
    </row>
    <row r="314" spans="1:30">
      <c r="A314" s="10" t="s">
        <v>907</v>
      </c>
      <c r="B314" s="78" t="s">
        <v>96</v>
      </c>
      <c r="C314" s="78">
        <f>C313+(BudgetsTable[[#This Row],[lead]]&lt;&gt;K313)</f>
        <v>41</v>
      </c>
      <c r="D314" s="78">
        <f>D313*(BudgetsTable[[#This Row],[lead]]=K313)+(BudgetsTable[[#This Row],[prop_id]]&lt;&gt;A313)</f>
        <v>1</v>
      </c>
      <c r="E314" s="79">
        <v>42935.732638888891</v>
      </c>
      <c r="F314" s="80" t="s">
        <v>248</v>
      </c>
      <c r="G314" s="80" t="s">
        <v>1124</v>
      </c>
      <c r="H314" s="80" t="s">
        <v>1125</v>
      </c>
      <c r="I314" s="78" t="s">
        <v>596</v>
      </c>
      <c r="J314" s="78" t="s">
        <v>1350</v>
      </c>
      <c r="K314" s="80" t="s">
        <v>907</v>
      </c>
      <c r="L314" s="7" t="str">
        <f>IF(BudgetsTable[[#This Row],[pi_last_name]]=" ","",HYPERLINK("https://www.ejacket.nsf.gov/ej/showProposal.do?Continue=Y&amp;ID="&amp;BudgetsTable[[#This Row],[prop_id]],BudgetsTable[[#This Row],[prop_id]]))</f>
        <v>1751276</v>
      </c>
      <c r="M314" s="15" t="str">
        <f>IF(BudgetsTable[[#This Row],[pi_last_name]]=" ","",HYPERLINK("https://www.ejacket.nsf.gov/ej/processReviewAnalysis.do?dispatch=add&amp;uniqId="&amp;BudgetsTable[[#This Row],[prop_id]]&amp;PO_id,"&gt;ra"))</f>
        <v>&gt;ra</v>
      </c>
      <c r="N314" s="80" t="s">
        <v>908</v>
      </c>
      <c r="O314" s="7" t="str">
        <f>IF(BudgetsTable[[#This Row],[pi_last_name]]=" ","",HYPERLINK("mailto:"&amp;BudgetsTable[[#This Row],[pi_email]]&amp;"&amp;subject=Your NSF Proposal:  "&amp;BudgetsTable[[#This Row],[prop_id]],BudgetsTable[[#This Row],[pi_email]]))</f>
        <v>taylor.johnson@gmail.com</v>
      </c>
      <c r="P314" s="80" t="s">
        <v>1183</v>
      </c>
      <c r="Q314" s="80"/>
      <c r="R314" s="80"/>
      <c r="S314" s="81"/>
      <c r="T314" s="81"/>
      <c r="U314" s="81"/>
      <c r="V314" s="82"/>
      <c r="W314" s="80">
        <v>0</v>
      </c>
      <c r="X314" s="80"/>
      <c r="Y314" s="11" t="str">
        <f ca="1">IF(ISBLANK(BudgetsTable[[#This Row],[budg_seq_yr]]),"FY"&amp;fiscalyear,"FY"&amp;fiscalyear-1+BudgetsTable[[#This Row],[budg_seq_yr]])</f>
        <v>FY18</v>
      </c>
      <c r="Z314" s="81">
        <v>557308</v>
      </c>
      <c r="AA314" s="80" t="s">
        <v>1124</v>
      </c>
      <c r="AB314" s="80" t="s">
        <v>1125</v>
      </c>
      <c r="AC314" s="108" t="s">
        <v>94</v>
      </c>
      <c r="AD314" s="80" t="s">
        <v>256</v>
      </c>
    </row>
    <row r="315" spans="1:30">
      <c r="A315" s="10" t="s">
        <v>907</v>
      </c>
      <c r="B315" s="78" t="s">
        <v>96</v>
      </c>
      <c r="C315" s="78">
        <f>C314+(BudgetsTable[[#This Row],[lead]]&lt;&gt;K314)</f>
        <v>41</v>
      </c>
      <c r="D315" s="78">
        <f>D314*(BudgetsTable[[#This Row],[lead]]=K314)+(BudgetsTable[[#This Row],[prop_id]]&lt;&gt;A314)</f>
        <v>1</v>
      </c>
      <c r="E315" s="79">
        <v>42935.732638888891</v>
      </c>
      <c r="F315" s="80" t="s">
        <v>248</v>
      </c>
      <c r="G315" s="80" t="s">
        <v>1124</v>
      </c>
      <c r="H315" s="80" t="s">
        <v>1125</v>
      </c>
      <c r="I315" s="78" t="s">
        <v>596</v>
      </c>
      <c r="J315" s="78" t="s">
        <v>13</v>
      </c>
      <c r="K315" s="80" t="s">
        <v>907</v>
      </c>
      <c r="L315" s="7" t="str">
        <f>IF(BudgetsTable[[#This Row],[pi_last_name]]=" ","",HYPERLINK("https://www.ejacket.nsf.gov/ej/showProposal.do?Continue=Y&amp;ID="&amp;BudgetsTable[[#This Row],[prop_id]],BudgetsTable[[#This Row],[prop_id]]))</f>
        <v/>
      </c>
      <c r="M315" s="15" t="str">
        <f>IF(BudgetsTable[[#This Row],[pi_last_name]]=" ","",HYPERLINK("https://www.ejacket.nsf.gov/ej/processReviewAnalysis.do?dispatch=add&amp;uniqId="&amp;BudgetsTable[[#This Row],[prop_id]]&amp;PO_id,"&gt;ra"))</f>
        <v/>
      </c>
      <c r="N315" s="80" t="s">
        <v>13</v>
      </c>
      <c r="O315" s="7" t="str">
        <f>IF(BudgetsTable[[#This Row],[pi_last_name]]=" ","",HYPERLINK("mailto:"&amp;BudgetsTable[[#This Row],[pi_email]]&amp;"&amp;subject=Your NSF Proposal:  "&amp;BudgetsTable[[#This Row],[prop_id]],BudgetsTable[[#This Row],[pi_email]]))</f>
        <v/>
      </c>
      <c r="P315" s="80" t="s">
        <v>13</v>
      </c>
      <c r="Q315" s="80">
        <v>1</v>
      </c>
      <c r="R315" s="80">
        <v>0.5</v>
      </c>
      <c r="S315" s="81">
        <v>0</v>
      </c>
      <c r="T315" s="81">
        <v>8296</v>
      </c>
      <c r="U315" s="81">
        <v>0</v>
      </c>
      <c r="V315" s="82">
        <v>103839</v>
      </c>
      <c r="W315" s="80">
        <v>0</v>
      </c>
      <c r="X315" s="80">
        <v>1</v>
      </c>
      <c r="Y315" s="11" t="str">
        <f ca="1">IF(ISBLANK(BudgetsTable[[#This Row],[budg_seq_yr]]),"FY"&amp;fiscalyear,"FY"&amp;fiscalyear-1+BudgetsTable[[#This Row],[budg_seq_yr]])</f>
        <v>FY18</v>
      </c>
      <c r="Z315" s="81">
        <v>103839</v>
      </c>
      <c r="AA315" s="80" t="s">
        <v>1124</v>
      </c>
      <c r="AB315" s="80" t="s">
        <v>1125</v>
      </c>
      <c r="AC315" s="108" t="s">
        <v>94</v>
      </c>
      <c r="AD315" s="80" t="s">
        <v>256</v>
      </c>
    </row>
    <row r="316" spans="1:30">
      <c r="A316" s="10" t="s">
        <v>907</v>
      </c>
      <c r="B316" s="78" t="s">
        <v>96</v>
      </c>
      <c r="C316" s="78">
        <f>C315+(BudgetsTable[[#This Row],[lead]]&lt;&gt;K315)</f>
        <v>41</v>
      </c>
      <c r="D316" s="78">
        <f>D315*(BudgetsTable[[#This Row],[lead]]=K315)+(BudgetsTable[[#This Row],[prop_id]]&lt;&gt;A315)</f>
        <v>1</v>
      </c>
      <c r="E316" s="79">
        <v>42935.732638888891</v>
      </c>
      <c r="F316" s="80" t="s">
        <v>248</v>
      </c>
      <c r="G316" s="80" t="s">
        <v>1124</v>
      </c>
      <c r="H316" s="80" t="s">
        <v>1125</v>
      </c>
      <c r="I316" s="78" t="s">
        <v>596</v>
      </c>
      <c r="J316" s="78" t="s">
        <v>13</v>
      </c>
      <c r="K316" s="80" t="s">
        <v>907</v>
      </c>
      <c r="L316" s="7" t="str">
        <f>IF(BudgetsTable[[#This Row],[pi_last_name]]=" ","",HYPERLINK("https://www.ejacket.nsf.gov/ej/showProposal.do?Continue=Y&amp;ID="&amp;BudgetsTable[[#This Row],[prop_id]],BudgetsTable[[#This Row],[prop_id]]))</f>
        <v/>
      </c>
      <c r="M316" s="15" t="str">
        <f>IF(BudgetsTable[[#This Row],[pi_last_name]]=" ","",HYPERLINK("https://www.ejacket.nsf.gov/ej/processReviewAnalysis.do?dispatch=add&amp;uniqId="&amp;BudgetsTable[[#This Row],[prop_id]]&amp;PO_id,"&gt;ra"))</f>
        <v/>
      </c>
      <c r="N316" s="80" t="s">
        <v>13</v>
      </c>
      <c r="O316" s="7" t="str">
        <f>IF(BudgetsTable[[#This Row],[pi_last_name]]=" ","",HYPERLINK("mailto:"&amp;BudgetsTable[[#This Row],[pi_email]]&amp;"&amp;subject=Your NSF Proposal:  "&amp;BudgetsTable[[#This Row],[prop_id]],BudgetsTable[[#This Row],[pi_email]]))</f>
        <v/>
      </c>
      <c r="P316" s="80" t="s">
        <v>13</v>
      </c>
      <c r="Q316" s="80">
        <v>1</v>
      </c>
      <c r="R316" s="80">
        <v>0.5</v>
      </c>
      <c r="S316" s="81">
        <v>0</v>
      </c>
      <c r="T316" s="81">
        <v>8296</v>
      </c>
      <c r="U316" s="81">
        <v>0</v>
      </c>
      <c r="V316" s="82">
        <v>107465</v>
      </c>
      <c r="W316" s="80">
        <v>0</v>
      </c>
      <c r="X316" s="80">
        <v>2</v>
      </c>
      <c r="Y316" s="11" t="str">
        <f ca="1">IF(ISBLANK(BudgetsTable[[#This Row],[budg_seq_yr]]),"FY"&amp;fiscalyear,"FY"&amp;fiscalyear-1+BudgetsTable[[#This Row],[budg_seq_yr]])</f>
        <v>FY19</v>
      </c>
      <c r="Z316" s="81">
        <v>107465</v>
      </c>
      <c r="AA316" s="80" t="s">
        <v>1124</v>
      </c>
      <c r="AB316" s="80" t="s">
        <v>1125</v>
      </c>
      <c r="AC316" s="108" t="s">
        <v>94</v>
      </c>
      <c r="AD316" s="80" t="s">
        <v>256</v>
      </c>
    </row>
    <row r="317" spans="1:30">
      <c r="A317" s="10" t="s">
        <v>907</v>
      </c>
      <c r="B317" s="78" t="s">
        <v>96</v>
      </c>
      <c r="C317" s="78">
        <f>C316+(BudgetsTable[[#This Row],[lead]]&lt;&gt;K316)</f>
        <v>41</v>
      </c>
      <c r="D317" s="78">
        <f>D316*(BudgetsTable[[#This Row],[lead]]=K316)+(BudgetsTable[[#This Row],[prop_id]]&lt;&gt;A316)</f>
        <v>1</v>
      </c>
      <c r="E317" s="79">
        <v>42935.732638888891</v>
      </c>
      <c r="F317" s="80" t="s">
        <v>248</v>
      </c>
      <c r="G317" s="80" t="s">
        <v>1124</v>
      </c>
      <c r="H317" s="80" t="s">
        <v>1125</v>
      </c>
      <c r="I317" s="78" t="s">
        <v>596</v>
      </c>
      <c r="J317" s="78" t="s">
        <v>13</v>
      </c>
      <c r="K317" s="80" t="s">
        <v>907</v>
      </c>
      <c r="L317" s="7" t="str">
        <f>IF(BudgetsTable[[#This Row],[pi_last_name]]=" ","",HYPERLINK("https://www.ejacket.nsf.gov/ej/showProposal.do?Continue=Y&amp;ID="&amp;BudgetsTable[[#This Row],[prop_id]],BudgetsTable[[#This Row],[prop_id]]))</f>
        <v/>
      </c>
      <c r="M317" s="15" t="str">
        <f>IF(BudgetsTable[[#This Row],[pi_last_name]]=" ","",HYPERLINK("https://www.ejacket.nsf.gov/ej/processReviewAnalysis.do?dispatch=add&amp;uniqId="&amp;BudgetsTable[[#This Row],[prop_id]]&amp;PO_id,"&gt;ra"))</f>
        <v/>
      </c>
      <c r="N317" s="80" t="s">
        <v>13</v>
      </c>
      <c r="O317" s="7" t="str">
        <f>IF(BudgetsTable[[#This Row],[pi_last_name]]=" ","",HYPERLINK("mailto:"&amp;BudgetsTable[[#This Row],[pi_email]]&amp;"&amp;subject=Your NSF Proposal:  "&amp;BudgetsTable[[#This Row],[prop_id]],BudgetsTable[[#This Row],[pi_email]]))</f>
        <v/>
      </c>
      <c r="P317" s="80" t="s">
        <v>13</v>
      </c>
      <c r="Q317" s="80">
        <v>1</v>
      </c>
      <c r="R317" s="80">
        <v>0.5</v>
      </c>
      <c r="S317" s="81">
        <v>0</v>
      </c>
      <c r="T317" s="81">
        <v>8296</v>
      </c>
      <c r="U317" s="81">
        <v>0</v>
      </c>
      <c r="V317" s="82">
        <v>111271</v>
      </c>
      <c r="W317" s="80">
        <v>0</v>
      </c>
      <c r="X317" s="80">
        <v>3</v>
      </c>
      <c r="Y317" s="11" t="str">
        <f ca="1">IF(ISBLANK(BudgetsTable[[#This Row],[budg_seq_yr]]),"FY"&amp;fiscalyear,"FY"&amp;fiscalyear-1+BudgetsTable[[#This Row],[budg_seq_yr]])</f>
        <v>FY20</v>
      </c>
      <c r="Z317" s="81">
        <v>111271</v>
      </c>
      <c r="AA317" s="80" t="s">
        <v>1124</v>
      </c>
      <c r="AB317" s="80" t="s">
        <v>1125</v>
      </c>
      <c r="AC317" s="108" t="s">
        <v>94</v>
      </c>
      <c r="AD317" s="80" t="s">
        <v>256</v>
      </c>
    </row>
    <row r="318" spans="1:30">
      <c r="A318" s="10" t="s">
        <v>907</v>
      </c>
      <c r="B318" s="78" t="s">
        <v>96</v>
      </c>
      <c r="C318" s="78">
        <f>C317+(BudgetsTable[[#This Row],[lead]]&lt;&gt;K317)</f>
        <v>41</v>
      </c>
      <c r="D318" s="78">
        <f>D317*(BudgetsTable[[#This Row],[lead]]=K317)+(BudgetsTable[[#This Row],[prop_id]]&lt;&gt;A317)</f>
        <v>1</v>
      </c>
      <c r="E318" s="79">
        <v>42935.732638888891</v>
      </c>
      <c r="F318" s="80" t="s">
        <v>248</v>
      </c>
      <c r="G318" s="80" t="s">
        <v>1124</v>
      </c>
      <c r="H318" s="80" t="s">
        <v>1125</v>
      </c>
      <c r="I318" s="78" t="s">
        <v>596</v>
      </c>
      <c r="J318" s="78" t="s">
        <v>13</v>
      </c>
      <c r="K318" s="80" t="s">
        <v>907</v>
      </c>
      <c r="L318" s="7" t="str">
        <f>IF(BudgetsTable[[#This Row],[pi_last_name]]=" ","",HYPERLINK("https://www.ejacket.nsf.gov/ej/showProposal.do?Continue=Y&amp;ID="&amp;BudgetsTable[[#This Row],[prop_id]],BudgetsTable[[#This Row],[prop_id]]))</f>
        <v/>
      </c>
      <c r="M318" s="15" t="str">
        <f>IF(BudgetsTable[[#This Row],[pi_last_name]]=" ","",HYPERLINK("https://www.ejacket.nsf.gov/ej/processReviewAnalysis.do?dispatch=add&amp;uniqId="&amp;BudgetsTable[[#This Row],[prop_id]]&amp;PO_id,"&gt;ra"))</f>
        <v/>
      </c>
      <c r="N318" s="80" t="s">
        <v>13</v>
      </c>
      <c r="O318" s="7" t="str">
        <f>IF(BudgetsTable[[#This Row],[pi_last_name]]=" ","",HYPERLINK("mailto:"&amp;BudgetsTable[[#This Row],[pi_email]]&amp;"&amp;subject=Your NSF Proposal:  "&amp;BudgetsTable[[#This Row],[prop_id]],BudgetsTable[[#This Row],[pi_email]]))</f>
        <v/>
      </c>
      <c r="P318" s="80" t="s">
        <v>13</v>
      </c>
      <c r="Q318" s="80">
        <v>1</v>
      </c>
      <c r="R318" s="80">
        <v>0.5</v>
      </c>
      <c r="S318" s="81">
        <v>0</v>
      </c>
      <c r="T318" s="81">
        <v>8296</v>
      </c>
      <c r="U318" s="81">
        <v>0</v>
      </c>
      <c r="V318" s="82">
        <v>115268</v>
      </c>
      <c r="W318" s="80">
        <v>0</v>
      </c>
      <c r="X318" s="80">
        <v>4</v>
      </c>
      <c r="Y318" s="11" t="str">
        <f ca="1">IF(ISBLANK(BudgetsTable[[#This Row],[budg_seq_yr]]),"FY"&amp;fiscalyear,"FY"&amp;fiscalyear-1+BudgetsTable[[#This Row],[budg_seq_yr]])</f>
        <v>FY21</v>
      </c>
      <c r="Z318" s="81">
        <v>115268</v>
      </c>
      <c r="AA318" s="80" t="s">
        <v>1124</v>
      </c>
      <c r="AB318" s="80" t="s">
        <v>1125</v>
      </c>
      <c r="AC318" s="108" t="s">
        <v>94</v>
      </c>
      <c r="AD318" s="80" t="s">
        <v>256</v>
      </c>
    </row>
    <row r="319" spans="1:30">
      <c r="A319" s="10" t="s">
        <v>907</v>
      </c>
      <c r="B319" s="78" t="s">
        <v>96</v>
      </c>
      <c r="C319" s="78">
        <f>C318+(BudgetsTable[[#This Row],[lead]]&lt;&gt;K318)</f>
        <v>41</v>
      </c>
      <c r="D319" s="78">
        <f>D318*(BudgetsTable[[#This Row],[lead]]=K318)+(BudgetsTable[[#This Row],[prop_id]]&lt;&gt;A318)</f>
        <v>1</v>
      </c>
      <c r="E319" s="79">
        <v>42935.732638888891</v>
      </c>
      <c r="F319" s="80" t="s">
        <v>248</v>
      </c>
      <c r="G319" s="80" t="s">
        <v>1124</v>
      </c>
      <c r="H319" s="80" t="s">
        <v>1125</v>
      </c>
      <c r="I319" s="78" t="s">
        <v>596</v>
      </c>
      <c r="J319" s="78" t="s">
        <v>13</v>
      </c>
      <c r="K319" s="80" t="s">
        <v>907</v>
      </c>
      <c r="L319" s="7" t="str">
        <f>IF(BudgetsTable[[#This Row],[pi_last_name]]=" ","",HYPERLINK("https://www.ejacket.nsf.gov/ej/showProposal.do?Continue=Y&amp;ID="&amp;BudgetsTable[[#This Row],[prop_id]],BudgetsTable[[#This Row],[prop_id]]))</f>
        <v/>
      </c>
      <c r="M319" s="15" t="str">
        <f>IF(BudgetsTable[[#This Row],[pi_last_name]]=" ","",HYPERLINK("https://www.ejacket.nsf.gov/ej/processReviewAnalysis.do?dispatch=add&amp;uniqId="&amp;BudgetsTable[[#This Row],[prop_id]]&amp;PO_id,"&gt;ra"))</f>
        <v/>
      </c>
      <c r="N319" s="80" t="s">
        <v>13</v>
      </c>
      <c r="O319" s="7" t="str">
        <f>IF(BudgetsTable[[#This Row],[pi_last_name]]=" ","",HYPERLINK("mailto:"&amp;BudgetsTable[[#This Row],[pi_email]]&amp;"&amp;subject=Your NSF Proposal:  "&amp;BudgetsTable[[#This Row],[prop_id]],BudgetsTable[[#This Row],[pi_email]]))</f>
        <v/>
      </c>
      <c r="P319" s="80" t="s">
        <v>13</v>
      </c>
      <c r="Q319" s="80">
        <v>1</v>
      </c>
      <c r="R319" s="80">
        <v>0.5</v>
      </c>
      <c r="S319" s="81">
        <v>0</v>
      </c>
      <c r="T319" s="81">
        <v>8296</v>
      </c>
      <c r="U319" s="81">
        <v>0</v>
      </c>
      <c r="V319" s="82">
        <v>119465</v>
      </c>
      <c r="W319" s="80">
        <v>0</v>
      </c>
      <c r="X319" s="80">
        <v>5</v>
      </c>
      <c r="Y319" s="11" t="str">
        <f ca="1">IF(ISBLANK(BudgetsTable[[#This Row],[budg_seq_yr]]),"FY"&amp;fiscalyear,"FY"&amp;fiscalyear-1+BudgetsTable[[#This Row],[budg_seq_yr]])</f>
        <v>FY22</v>
      </c>
      <c r="Z319" s="81">
        <v>119465</v>
      </c>
      <c r="AA319" s="80" t="s">
        <v>1124</v>
      </c>
      <c r="AB319" s="80" t="s">
        <v>1125</v>
      </c>
      <c r="AC319" s="108" t="s">
        <v>94</v>
      </c>
      <c r="AD319" s="80" t="s">
        <v>256</v>
      </c>
    </row>
    <row r="320" spans="1:30">
      <c r="A320" s="10" t="s">
        <v>915</v>
      </c>
      <c r="B320" s="78" t="s">
        <v>96</v>
      </c>
      <c r="C320" s="78">
        <f>C319+(BudgetsTable[[#This Row],[lead]]&lt;&gt;K319)</f>
        <v>42</v>
      </c>
      <c r="D320" s="78">
        <f>D319*(BudgetsTable[[#This Row],[lead]]=K319)+(BudgetsTable[[#This Row],[prop_id]]&lt;&gt;A319)</f>
        <v>1</v>
      </c>
      <c r="E320" s="79">
        <v>42935.743750000001</v>
      </c>
      <c r="F320" s="80" t="s">
        <v>248</v>
      </c>
      <c r="G320" s="80" t="s">
        <v>1124</v>
      </c>
      <c r="H320" s="80" t="s">
        <v>1125</v>
      </c>
      <c r="I320" s="78" t="s">
        <v>596</v>
      </c>
      <c r="J320" s="78" t="s">
        <v>1355</v>
      </c>
      <c r="K320" s="80" t="s">
        <v>915</v>
      </c>
      <c r="L320" s="7" t="str">
        <f>IF(BudgetsTable[[#This Row],[pi_last_name]]=" ","",HYPERLINK("https://www.ejacket.nsf.gov/ej/showProposal.do?Continue=Y&amp;ID="&amp;BudgetsTable[[#This Row],[prop_id]],BudgetsTable[[#This Row],[prop_id]]))</f>
        <v>1751307</v>
      </c>
      <c r="M320" s="15" t="str">
        <f>IF(BudgetsTable[[#This Row],[pi_last_name]]=" ","",HYPERLINK("https://www.ejacket.nsf.gov/ej/processReviewAnalysis.do?dispatch=add&amp;uniqId="&amp;BudgetsTable[[#This Row],[prop_id]]&amp;PO_id,"&gt;ra"))</f>
        <v>&gt;ra</v>
      </c>
      <c r="N320" s="80" t="s">
        <v>916</v>
      </c>
      <c r="O320" s="7" t="str">
        <f>IF(BudgetsTable[[#This Row],[pi_last_name]]=" ","",HYPERLINK("mailto:"&amp;BudgetsTable[[#This Row],[pi_email]]&amp;"&amp;subject=Your NSF Proposal:  "&amp;BudgetsTable[[#This Row],[prop_id]],BudgetsTable[[#This Row],[pi_email]]))</f>
        <v>chaohaiyang@ku.edu</v>
      </c>
      <c r="P320" s="80" t="s">
        <v>1352</v>
      </c>
      <c r="Q320" s="80"/>
      <c r="R320" s="80"/>
      <c r="S320" s="81"/>
      <c r="T320" s="81"/>
      <c r="U320" s="81"/>
      <c r="V320" s="82"/>
      <c r="W320" s="80">
        <v>0</v>
      </c>
      <c r="X320" s="80"/>
      <c r="Y320" s="11" t="str">
        <f ca="1">IF(ISBLANK(BudgetsTable[[#This Row],[budg_seq_yr]]),"FY"&amp;fiscalyear,"FY"&amp;fiscalyear-1+BudgetsTable[[#This Row],[budg_seq_yr]])</f>
        <v>FY18</v>
      </c>
      <c r="Z320" s="81">
        <v>500000</v>
      </c>
      <c r="AA320" s="80" t="s">
        <v>1124</v>
      </c>
      <c r="AB320" s="80" t="s">
        <v>1125</v>
      </c>
      <c r="AC320" s="108" t="s">
        <v>94</v>
      </c>
      <c r="AD320" s="80" t="s">
        <v>1274</v>
      </c>
    </row>
    <row r="321" spans="1:30">
      <c r="A321" s="10" t="s">
        <v>915</v>
      </c>
      <c r="B321" s="78" t="s">
        <v>96</v>
      </c>
      <c r="C321" s="78">
        <f>C320+(BudgetsTable[[#This Row],[lead]]&lt;&gt;K320)</f>
        <v>42</v>
      </c>
      <c r="D321" s="78">
        <f>D320*(BudgetsTable[[#This Row],[lead]]=K320)+(BudgetsTable[[#This Row],[prop_id]]&lt;&gt;A320)</f>
        <v>1</v>
      </c>
      <c r="E321" s="79">
        <v>42935.743750000001</v>
      </c>
      <c r="F321" s="80" t="s">
        <v>248</v>
      </c>
      <c r="G321" s="80" t="s">
        <v>1124</v>
      </c>
      <c r="H321" s="80" t="s">
        <v>1125</v>
      </c>
      <c r="I321" s="78" t="s">
        <v>596</v>
      </c>
      <c r="J321" s="78" t="s">
        <v>13</v>
      </c>
      <c r="K321" s="80" t="s">
        <v>915</v>
      </c>
      <c r="L321" s="7" t="str">
        <f>IF(BudgetsTable[[#This Row],[pi_last_name]]=" ","",HYPERLINK("https://www.ejacket.nsf.gov/ej/showProposal.do?Continue=Y&amp;ID="&amp;BudgetsTable[[#This Row],[prop_id]],BudgetsTable[[#This Row],[prop_id]]))</f>
        <v/>
      </c>
      <c r="M321" s="15" t="str">
        <f>IF(BudgetsTable[[#This Row],[pi_last_name]]=" ","",HYPERLINK("https://www.ejacket.nsf.gov/ej/processReviewAnalysis.do?dispatch=add&amp;uniqId="&amp;BudgetsTable[[#This Row],[prop_id]]&amp;PO_id,"&gt;ra"))</f>
        <v/>
      </c>
      <c r="N321" s="80" t="s">
        <v>13</v>
      </c>
      <c r="O321" s="7" t="str">
        <f>IF(BudgetsTable[[#This Row],[pi_last_name]]=" ","",HYPERLINK("mailto:"&amp;BudgetsTable[[#This Row],[pi_email]]&amp;"&amp;subject=Your NSF Proposal:  "&amp;BudgetsTable[[#This Row],[prop_id]],BudgetsTable[[#This Row],[pi_email]]))</f>
        <v/>
      </c>
      <c r="P321" s="80" t="s">
        <v>13</v>
      </c>
      <c r="Q321" s="80">
        <v>1</v>
      </c>
      <c r="R321" s="80">
        <v>1</v>
      </c>
      <c r="S321" s="81">
        <v>0</v>
      </c>
      <c r="T321" s="81">
        <v>0</v>
      </c>
      <c r="U321" s="81">
        <v>0</v>
      </c>
      <c r="V321" s="82">
        <v>98175</v>
      </c>
      <c r="W321" s="80">
        <v>0</v>
      </c>
      <c r="X321" s="80">
        <v>1</v>
      </c>
      <c r="Y321" s="11" t="str">
        <f ca="1">IF(ISBLANK(BudgetsTable[[#This Row],[budg_seq_yr]]),"FY"&amp;fiscalyear,"FY"&amp;fiscalyear-1+BudgetsTable[[#This Row],[budg_seq_yr]])</f>
        <v>FY18</v>
      </c>
      <c r="Z321" s="81">
        <v>98175</v>
      </c>
      <c r="AA321" s="80" t="s">
        <v>1124</v>
      </c>
      <c r="AB321" s="80" t="s">
        <v>1125</v>
      </c>
      <c r="AC321" s="108" t="s">
        <v>94</v>
      </c>
      <c r="AD321" s="80" t="s">
        <v>1274</v>
      </c>
    </row>
    <row r="322" spans="1:30">
      <c r="A322" s="10" t="s">
        <v>915</v>
      </c>
      <c r="B322" s="78" t="s">
        <v>96</v>
      </c>
      <c r="C322" s="78">
        <f>C321+(BudgetsTable[[#This Row],[lead]]&lt;&gt;K321)</f>
        <v>42</v>
      </c>
      <c r="D322" s="78">
        <f>D321*(BudgetsTable[[#This Row],[lead]]=K321)+(BudgetsTable[[#This Row],[prop_id]]&lt;&gt;A321)</f>
        <v>1</v>
      </c>
      <c r="E322" s="79">
        <v>42935.743750000001</v>
      </c>
      <c r="F322" s="80" t="s">
        <v>248</v>
      </c>
      <c r="G322" s="80" t="s">
        <v>1124</v>
      </c>
      <c r="H322" s="80" t="s">
        <v>1125</v>
      </c>
      <c r="I322" s="78" t="s">
        <v>596</v>
      </c>
      <c r="J322" s="78" t="s">
        <v>13</v>
      </c>
      <c r="K322" s="80" t="s">
        <v>915</v>
      </c>
      <c r="L322" s="7" t="str">
        <f>IF(BudgetsTable[[#This Row],[pi_last_name]]=" ","",HYPERLINK("https://www.ejacket.nsf.gov/ej/showProposal.do?Continue=Y&amp;ID="&amp;BudgetsTable[[#This Row],[prop_id]],BudgetsTable[[#This Row],[prop_id]]))</f>
        <v/>
      </c>
      <c r="M322" s="15" t="str">
        <f>IF(BudgetsTable[[#This Row],[pi_last_name]]=" ","",HYPERLINK("https://www.ejacket.nsf.gov/ej/processReviewAnalysis.do?dispatch=add&amp;uniqId="&amp;BudgetsTable[[#This Row],[prop_id]]&amp;PO_id,"&gt;ra"))</f>
        <v/>
      </c>
      <c r="N322" s="80" t="s">
        <v>13</v>
      </c>
      <c r="O322" s="7" t="str">
        <f>IF(BudgetsTable[[#This Row],[pi_last_name]]=" ","",HYPERLINK("mailto:"&amp;BudgetsTable[[#This Row],[pi_email]]&amp;"&amp;subject=Your NSF Proposal:  "&amp;BudgetsTable[[#This Row],[prop_id]],BudgetsTable[[#This Row],[pi_email]]))</f>
        <v/>
      </c>
      <c r="P322" s="80" t="s">
        <v>13</v>
      </c>
      <c r="Q322" s="80">
        <v>1</v>
      </c>
      <c r="R322" s="80">
        <v>1</v>
      </c>
      <c r="S322" s="81">
        <v>0</v>
      </c>
      <c r="T322" s="81">
        <v>0</v>
      </c>
      <c r="U322" s="81">
        <v>0</v>
      </c>
      <c r="V322" s="82">
        <v>96556</v>
      </c>
      <c r="W322" s="80">
        <v>0</v>
      </c>
      <c r="X322" s="80">
        <v>2</v>
      </c>
      <c r="Y322" s="11" t="str">
        <f ca="1">IF(ISBLANK(BudgetsTable[[#This Row],[budg_seq_yr]]),"FY"&amp;fiscalyear,"FY"&amp;fiscalyear-1+BudgetsTable[[#This Row],[budg_seq_yr]])</f>
        <v>FY19</v>
      </c>
      <c r="Z322" s="81">
        <v>96556</v>
      </c>
      <c r="AA322" s="80" t="s">
        <v>1124</v>
      </c>
      <c r="AB322" s="80" t="s">
        <v>1125</v>
      </c>
      <c r="AC322" s="108" t="s">
        <v>94</v>
      </c>
      <c r="AD322" s="80" t="s">
        <v>1274</v>
      </c>
    </row>
    <row r="323" spans="1:30">
      <c r="A323" s="10" t="s">
        <v>915</v>
      </c>
      <c r="B323" s="78" t="s">
        <v>96</v>
      </c>
      <c r="C323" s="78">
        <f>C322+(BudgetsTable[[#This Row],[lead]]&lt;&gt;K322)</f>
        <v>42</v>
      </c>
      <c r="D323" s="78">
        <f>D322*(BudgetsTable[[#This Row],[lead]]=K322)+(BudgetsTable[[#This Row],[prop_id]]&lt;&gt;A322)</f>
        <v>1</v>
      </c>
      <c r="E323" s="79">
        <v>42935.743750000001</v>
      </c>
      <c r="F323" s="80" t="s">
        <v>248</v>
      </c>
      <c r="G323" s="80" t="s">
        <v>1124</v>
      </c>
      <c r="H323" s="80" t="s">
        <v>1125</v>
      </c>
      <c r="I323" s="78" t="s">
        <v>596</v>
      </c>
      <c r="J323" s="78" t="s">
        <v>13</v>
      </c>
      <c r="K323" s="80" t="s">
        <v>915</v>
      </c>
      <c r="L323" s="7" t="str">
        <f>IF(BudgetsTable[[#This Row],[pi_last_name]]=" ","",HYPERLINK("https://www.ejacket.nsf.gov/ej/showProposal.do?Continue=Y&amp;ID="&amp;BudgetsTable[[#This Row],[prop_id]],BudgetsTable[[#This Row],[prop_id]]))</f>
        <v/>
      </c>
      <c r="M323" s="15" t="str">
        <f>IF(BudgetsTable[[#This Row],[pi_last_name]]=" ","",HYPERLINK("https://www.ejacket.nsf.gov/ej/processReviewAnalysis.do?dispatch=add&amp;uniqId="&amp;BudgetsTable[[#This Row],[prop_id]]&amp;PO_id,"&gt;ra"))</f>
        <v/>
      </c>
      <c r="N323" s="80" t="s">
        <v>13</v>
      </c>
      <c r="O323" s="7" t="str">
        <f>IF(BudgetsTable[[#This Row],[pi_last_name]]=" ","",HYPERLINK("mailto:"&amp;BudgetsTable[[#This Row],[pi_email]]&amp;"&amp;subject=Your NSF Proposal:  "&amp;BudgetsTable[[#This Row],[prop_id]],BudgetsTable[[#This Row],[pi_email]]))</f>
        <v/>
      </c>
      <c r="P323" s="80" t="s">
        <v>13</v>
      </c>
      <c r="Q323" s="80">
        <v>1</v>
      </c>
      <c r="R323" s="80">
        <v>1</v>
      </c>
      <c r="S323" s="81">
        <v>0</v>
      </c>
      <c r="T323" s="81">
        <v>0</v>
      </c>
      <c r="U323" s="81">
        <v>0</v>
      </c>
      <c r="V323" s="82">
        <v>98483</v>
      </c>
      <c r="W323" s="80">
        <v>0</v>
      </c>
      <c r="X323" s="80">
        <v>3</v>
      </c>
      <c r="Y323" s="11" t="str">
        <f ca="1">IF(ISBLANK(BudgetsTable[[#This Row],[budg_seq_yr]]),"FY"&amp;fiscalyear,"FY"&amp;fiscalyear-1+BudgetsTable[[#This Row],[budg_seq_yr]])</f>
        <v>FY20</v>
      </c>
      <c r="Z323" s="81">
        <v>98483</v>
      </c>
      <c r="AA323" s="80" t="s">
        <v>1124</v>
      </c>
      <c r="AB323" s="80" t="s">
        <v>1125</v>
      </c>
      <c r="AC323" s="108" t="s">
        <v>94</v>
      </c>
      <c r="AD323" s="80" t="s">
        <v>1274</v>
      </c>
    </row>
    <row r="324" spans="1:30">
      <c r="A324" s="10" t="s">
        <v>915</v>
      </c>
      <c r="B324" s="78" t="s">
        <v>96</v>
      </c>
      <c r="C324" s="78">
        <f>C323+(BudgetsTable[[#This Row],[lead]]&lt;&gt;K323)</f>
        <v>42</v>
      </c>
      <c r="D324" s="78">
        <f>D323*(BudgetsTable[[#This Row],[lead]]=K323)+(BudgetsTable[[#This Row],[prop_id]]&lt;&gt;A323)</f>
        <v>1</v>
      </c>
      <c r="E324" s="79">
        <v>42935.743750000001</v>
      </c>
      <c r="F324" s="80" t="s">
        <v>248</v>
      </c>
      <c r="G324" s="80" t="s">
        <v>1124</v>
      </c>
      <c r="H324" s="80" t="s">
        <v>1125</v>
      </c>
      <c r="I324" s="78" t="s">
        <v>596</v>
      </c>
      <c r="J324" s="78" t="s">
        <v>13</v>
      </c>
      <c r="K324" s="80" t="s">
        <v>915</v>
      </c>
      <c r="L324" s="7" t="str">
        <f>IF(BudgetsTable[[#This Row],[pi_last_name]]=" ","",HYPERLINK("https://www.ejacket.nsf.gov/ej/showProposal.do?Continue=Y&amp;ID="&amp;BudgetsTable[[#This Row],[prop_id]],BudgetsTable[[#This Row],[prop_id]]))</f>
        <v/>
      </c>
      <c r="M324" s="15" t="str">
        <f>IF(BudgetsTable[[#This Row],[pi_last_name]]=" ","",HYPERLINK("https://www.ejacket.nsf.gov/ej/processReviewAnalysis.do?dispatch=add&amp;uniqId="&amp;BudgetsTable[[#This Row],[prop_id]]&amp;PO_id,"&gt;ra"))</f>
        <v/>
      </c>
      <c r="N324" s="80" t="s">
        <v>13</v>
      </c>
      <c r="O324" s="7" t="str">
        <f>IF(BudgetsTable[[#This Row],[pi_last_name]]=" ","",HYPERLINK("mailto:"&amp;BudgetsTable[[#This Row],[pi_email]]&amp;"&amp;subject=Your NSF Proposal:  "&amp;BudgetsTable[[#This Row],[prop_id]],BudgetsTable[[#This Row],[pi_email]]))</f>
        <v/>
      </c>
      <c r="P324" s="80" t="s">
        <v>13</v>
      </c>
      <c r="Q324" s="80">
        <v>1</v>
      </c>
      <c r="R324" s="80">
        <v>1</v>
      </c>
      <c r="S324" s="81">
        <v>0</v>
      </c>
      <c r="T324" s="81">
        <v>0</v>
      </c>
      <c r="U324" s="81">
        <v>0</v>
      </c>
      <c r="V324" s="82">
        <v>101277</v>
      </c>
      <c r="W324" s="80">
        <v>0</v>
      </c>
      <c r="X324" s="80">
        <v>4</v>
      </c>
      <c r="Y324" s="11" t="str">
        <f ca="1">IF(ISBLANK(BudgetsTable[[#This Row],[budg_seq_yr]]),"FY"&amp;fiscalyear,"FY"&amp;fiscalyear-1+BudgetsTable[[#This Row],[budg_seq_yr]])</f>
        <v>FY21</v>
      </c>
      <c r="Z324" s="81">
        <v>101277</v>
      </c>
      <c r="AA324" s="80" t="s">
        <v>1124</v>
      </c>
      <c r="AB324" s="80" t="s">
        <v>1125</v>
      </c>
      <c r="AC324" s="108" t="s">
        <v>94</v>
      </c>
      <c r="AD324" s="80" t="s">
        <v>1274</v>
      </c>
    </row>
    <row r="325" spans="1:30">
      <c r="A325" s="10" t="s">
        <v>915</v>
      </c>
      <c r="B325" s="78" t="s">
        <v>96</v>
      </c>
      <c r="C325" s="78">
        <f>C324+(BudgetsTable[[#This Row],[lead]]&lt;&gt;K324)</f>
        <v>42</v>
      </c>
      <c r="D325" s="78">
        <f>D324*(BudgetsTable[[#This Row],[lead]]=K324)+(BudgetsTable[[#This Row],[prop_id]]&lt;&gt;A324)</f>
        <v>1</v>
      </c>
      <c r="E325" s="79">
        <v>42935.743750000001</v>
      </c>
      <c r="F325" s="80" t="s">
        <v>248</v>
      </c>
      <c r="G325" s="80" t="s">
        <v>1124</v>
      </c>
      <c r="H325" s="80" t="s">
        <v>1125</v>
      </c>
      <c r="I325" s="78" t="s">
        <v>596</v>
      </c>
      <c r="J325" s="78" t="s">
        <v>13</v>
      </c>
      <c r="K325" s="80" t="s">
        <v>915</v>
      </c>
      <c r="L325" s="7" t="str">
        <f>IF(BudgetsTable[[#This Row],[pi_last_name]]=" ","",HYPERLINK("https://www.ejacket.nsf.gov/ej/showProposal.do?Continue=Y&amp;ID="&amp;BudgetsTable[[#This Row],[prop_id]],BudgetsTable[[#This Row],[prop_id]]))</f>
        <v/>
      </c>
      <c r="M325" s="15" t="str">
        <f>IF(BudgetsTable[[#This Row],[pi_last_name]]=" ","",HYPERLINK("https://www.ejacket.nsf.gov/ej/processReviewAnalysis.do?dispatch=add&amp;uniqId="&amp;BudgetsTable[[#This Row],[prop_id]]&amp;PO_id,"&gt;ra"))</f>
        <v/>
      </c>
      <c r="N325" s="80" t="s">
        <v>13</v>
      </c>
      <c r="O325" s="7" t="str">
        <f>IF(BudgetsTable[[#This Row],[pi_last_name]]=" ","",HYPERLINK("mailto:"&amp;BudgetsTable[[#This Row],[pi_email]]&amp;"&amp;subject=Your NSF Proposal:  "&amp;BudgetsTable[[#This Row],[prop_id]],BudgetsTable[[#This Row],[pi_email]]))</f>
        <v/>
      </c>
      <c r="P325" s="80" t="s">
        <v>13</v>
      </c>
      <c r="Q325" s="80">
        <v>1</v>
      </c>
      <c r="R325" s="80">
        <v>1</v>
      </c>
      <c r="S325" s="81">
        <v>0</v>
      </c>
      <c r="T325" s="81">
        <v>0</v>
      </c>
      <c r="U325" s="81">
        <v>0</v>
      </c>
      <c r="V325" s="82">
        <v>105509</v>
      </c>
      <c r="W325" s="80">
        <v>0</v>
      </c>
      <c r="X325" s="80">
        <v>5</v>
      </c>
      <c r="Y325" s="11" t="str">
        <f ca="1">IF(ISBLANK(BudgetsTable[[#This Row],[budg_seq_yr]]),"FY"&amp;fiscalyear,"FY"&amp;fiscalyear-1+BudgetsTable[[#This Row],[budg_seq_yr]])</f>
        <v>FY22</v>
      </c>
      <c r="Z325" s="81">
        <v>105509</v>
      </c>
      <c r="AA325" s="80" t="s">
        <v>1124</v>
      </c>
      <c r="AB325" s="80" t="s">
        <v>1125</v>
      </c>
      <c r="AC325" s="108" t="s">
        <v>94</v>
      </c>
      <c r="AD325" s="80" t="s">
        <v>1274</v>
      </c>
    </row>
    <row r="326" spans="1:30">
      <c r="A326" s="10" t="s">
        <v>923</v>
      </c>
      <c r="B326" s="78" t="s">
        <v>96</v>
      </c>
      <c r="C326" s="78">
        <f>C325+(BudgetsTable[[#This Row],[lead]]&lt;&gt;K325)</f>
        <v>43</v>
      </c>
      <c r="D326" s="78">
        <f>D325*(BudgetsTable[[#This Row],[lead]]=K325)+(BudgetsTable[[#This Row],[prop_id]]&lt;&gt;A325)</f>
        <v>1</v>
      </c>
      <c r="E326" s="79">
        <v>42935.765972222223</v>
      </c>
      <c r="F326" s="80" t="s">
        <v>248</v>
      </c>
      <c r="G326" s="80" t="s">
        <v>1124</v>
      </c>
      <c r="H326" s="80" t="s">
        <v>1125</v>
      </c>
      <c r="I326" s="78" t="s">
        <v>596</v>
      </c>
      <c r="J326" s="78" t="s">
        <v>1360</v>
      </c>
      <c r="K326" s="80" t="s">
        <v>923</v>
      </c>
      <c r="L326" s="7" t="str">
        <f>IF(BudgetsTable[[#This Row],[pi_last_name]]=" ","",HYPERLINK("https://www.ejacket.nsf.gov/ej/showProposal.do?Continue=Y&amp;ID="&amp;BudgetsTable[[#This Row],[prop_id]],BudgetsTable[[#This Row],[prop_id]]))</f>
        <v>1751346</v>
      </c>
      <c r="M326" s="15" t="str">
        <f>IF(BudgetsTable[[#This Row],[pi_last_name]]=" ","",HYPERLINK("https://www.ejacket.nsf.gov/ej/processReviewAnalysis.do?dispatch=add&amp;uniqId="&amp;BudgetsTable[[#This Row],[prop_id]]&amp;PO_id,"&gt;ra"))</f>
        <v>&gt;ra</v>
      </c>
      <c r="N326" s="80" t="s">
        <v>924</v>
      </c>
      <c r="O326" s="7" t="str">
        <f>IF(BudgetsTable[[#This Row],[pi_last_name]]=" ","",HYPERLINK("mailto:"&amp;BudgetsTable[[#This Row],[pi_email]]&amp;"&amp;subject=Your NSF Proposal:  "&amp;BudgetsTable[[#This Row],[prop_id]],BudgetsTable[[#This Row],[pi_email]]))</f>
        <v>julian.rrushi@wwu.edu</v>
      </c>
      <c r="P326" s="80" t="s">
        <v>1357</v>
      </c>
      <c r="Q326" s="80"/>
      <c r="R326" s="80"/>
      <c r="S326" s="81"/>
      <c r="T326" s="81"/>
      <c r="U326" s="81"/>
      <c r="V326" s="82"/>
      <c r="W326" s="80">
        <v>0</v>
      </c>
      <c r="X326" s="80"/>
      <c r="Y326" s="11" t="str">
        <f ca="1">IF(ISBLANK(BudgetsTable[[#This Row],[budg_seq_yr]]),"FY"&amp;fiscalyear,"FY"&amp;fiscalyear-1+BudgetsTable[[#This Row],[budg_seq_yr]])</f>
        <v>FY18</v>
      </c>
      <c r="Z326" s="81">
        <v>630787</v>
      </c>
      <c r="AA326" s="80" t="s">
        <v>1124</v>
      </c>
      <c r="AB326" s="80" t="s">
        <v>1125</v>
      </c>
      <c r="AC326" s="108" t="s">
        <v>94</v>
      </c>
      <c r="AD326" s="80" t="s">
        <v>256</v>
      </c>
    </row>
    <row r="327" spans="1:30">
      <c r="A327" s="10" t="s">
        <v>923</v>
      </c>
      <c r="B327" s="78" t="s">
        <v>96</v>
      </c>
      <c r="C327" s="78">
        <f>C326+(BudgetsTable[[#This Row],[lead]]&lt;&gt;K326)</f>
        <v>43</v>
      </c>
      <c r="D327" s="78">
        <f>D326*(BudgetsTable[[#This Row],[lead]]=K326)+(BudgetsTable[[#This Row],[prop_id]]&lt;&gt;A326)</f>
        <v>1</v>
      </c>
      <c r="E327" s="79">
        <v>42935.765972222223</v>
      </c>
      <c r="F327" s="80" t="s">
        <v>248</v>
      </c>
      <c r="G327" s="80" t="s">
        <v>1124</v>
      </c>
      <c r="H327" s="80" t="s">
        <v>1125</v>
      </c>
      <c r="I327" s="78" t="s">
        <v>596</v>
      </c>
      <c r="J327" s="78" t="s">
        <v>13</v>
      </c>
      <c r="K327" s="80" t="s">
        <v>923</v>
      </c>
      <c r="L327" s="7" t="str">
        <f>IF(BudgetsTable[[#This Row],[pi_last_name]]=" ","",HYPERLINK("https://www.ejacket.nsf.gov/ej/showProposal.do?Continue=Y&amp;ID="&amp;BudgetsTable[[#This Row],[prop_id]],BudgetsTable[[#This Row],[prop_id]]))</f>
        <v/>
      </c>
      <c r="M327" s="15" t="str">
        <f>IF(BudgetsTable[[#This Row],[pi_last_name]]=" ","",HYPERLINK("https://www.ejacket.nsf.gov/ej/processReviewAnalysis.do?dispatch=add&amp;uniqId="&amp;BudgetsTable[[#This Row],[prop_id]]&amp;PO_id,"&gt;ra"))</f>
        <v/>
      </c>
      <c r="N327" s="80" t="s">
        <v>13</v>
      </c>
      <c r="O327" s="7" t="str">
        <f>IF(BudgetsTable[[#This Row],[pi_last_name]]=" ","",HYPERLINK("mailto:"&amp;BudgetsTable[[#This Row],[pi_email]]&amp;"&amp;subject=Your NSF Proposal:  "&amp;BudgetsTable[[#This Row],[prop_id]],BudgetsTable[[#This Row],[pi_email]]))</f>
        <v/>
      </c>
      <c r="P327" s="80" t="s">
        <v>13</v>
      </c>
      <c r="Q327" s="80">
        <v>1</v>
      </c>
      <c r="R327" s="80">
        <v>2</v>
      </c>
      <c r="S327" s="81">
        <v>0</v>
      </c>
      <c r="T327" s="81">
        <v>0</v>
      </c>
      <c r="U327" s="81">
        <v>0</v>
      </c>
      <c r="V327" s="82">
        <v>120878</v>
      </c>
      <c r="W327" s="80">
        <v>0</v>
      </c>
      <c r="X327" s="80">
        <v>1</v>
      </c>
      <c r="Y327" s="11" t="str">
        <f ca="1">IF(ISBLANK(BudgetsTable[[#This Row],[budg_seq_yr]]),"FY"&amp;fiscalyear,"FY"&amp;fiscalyear-1+BudgetsTable[[#This Row],[budg_seq_yr]])</f>
        <v>FY18</v>
      </c>
      <c r="Z327" s="81">
        <v>120878</v>
      </c>
      <c r="AA327" s="80" t="s">
        <v>1124</v>
      </c>
      <c r="AB327" s="80" t="s">
        <v>1125</v>
      </c>
      <c r="AC327" s="108" t="s">
        <v>94</v>
      </c>
      <c r="AD327" s="80" t="s">
        <v>256</v>
      </c>
    </row>
    <row r="328" spans="1:30">
      <c r="A328" s="10" t="s">
        <v>923</v>
      </c>
      <c r="B328" s="78" t="s">
        <v>96</v>
      </c>
      <c r="C328" s="78">
        <f>C327+(BudgetsTable[[#This Row],[lead]]&lt;&gt;K327)</f>
        <v>43</v>
      </c>
      <c r="D328" s="78">
        <f>D327*(BudgetsTable[[#This Row],[lead]]=K327)+(BudgetsTable[[#This Row],[prop_id]]&lt;&gt;A327)</f>
        <v>1</v>
      </c>
      <c r="E328" s="79">
        <v>42935.765972222223</v>
      </c>
      <c r="F328" s="80" t="s">
        <v>248</v>
      </c>
      <c r="G328" s="80" t="s">
        <v>1124</v>
      </c>
      <c r="H328" s="80" t="s">
        <v>1125</v>
      </c>
      <c r="I328" s="78" t="s">
        <v>596</v>
      </c>
      <c r="J328" s="78" t="s">
        <v>13</v>
      </c>
      <c r="K328" s="80" t="s">
        <v>923</v>
      </c>
      <c r="L328" s="7" t="str">
        <f>IF(BudgetsTable[[#This Row],[pi_last_name]]=" ","",HYPERLINK("https://www.ejacket.nsf.gov/ej/showProposal.do?Continue=Y&amp;ID="&amp;BudgetsTable[[#This Row],[prop_id]],BudgetsTable[[#This Row],[prop_id]]))</f>
        <v/>
      </c>
      <c r="M328" s="15" t="str">
        <f>IF(BudgetsTable[[#This Row],[pi_last_name]]=" ","",HYPERLINK("https://www.ejacket.nsf.gov/ej/processReviewAnalysis.do?dispatch=add&amp;uniqId="&amp;BudgetsTable[[#This Row],[prop_id]]&amp;PO_id,"&gt;ra"))</f>
        <v/>
      </c>
      <c r="N328" s="80" t="s">
        <v>13</v>
      </c>
      <c r="O328" s="7" t="str">
        <f>IF(BudgetsTable[[#This Row],[pi_last_name]]=" ","",HYPERLINK("mailto:"&amp;BudgetsTable[[#This Row],[pi_email]]&amp;"&amp;subject=Your NSF Proposal:  "&amp;BudgetsTable[[#This Row],[prop_id]],BudgetsTable[[#This Row],[pi_email]]))</f>
        <v/>
      </c>
      <c r="P328" s="80" t="s">
        <v>13</v>
      </c>
      <c r="Q328" s="80">
        <v>1</v>
      </c>
      <c r="R328" s="80">
        <v>2</v>
      </c>
      <c r="S328" s="81">
        <v>0</v>
      </c>
      <c r="T328" s="81">
        <v>0</v>
      </c>
      <c r="U328" s="81">
        <v>0</v>
      </c>
      <c r="V328" s="82">
        <v>123428</v>
      </c>
      <c r="W328" s="80">
        <v>0</v>
      </c>
      <c r="X328" s="80">
        <v>2</v>
      </c>
      <c r="Y328" s="11" t="str">
        <f ca="1">IF(ISBLANK(BudgetsTable[[#This Row],[budg_seq_yr]]),"FY"&amp;fiscalyear,"FY"&amp;fiscalyear-1+BudgetsTable[[#This Row],[budg_seq_yr]])</f>
        <v>FY19</v>
      </c>
      <c r="Z328" s="81">
        <v>123428</v>
      </c>
      <c r="AA328" s="80" t="s">
        <v>1124</v>
      </c>
      <c r="AB328" s="80" t="s">
        <v>1125</v>
      </c>
      <c r="AC328" s="108" t="s">
        <v>94</v>
      </c>
      <c r="AD328" s="80" t="s">
        <v>256</v>
      </c>
    </row>
    <row r="329" spans="1:30">
      <c r="A329" s="10" t="s">
        <v>923</v>
      </c>
      <c r="B329" s="78" t="s">
        <v>96</v>
      </c>
      <c r="C329" s="78">
        <f>C328+(BudgetsTable[[#This Row],[lead]]&lt;&gt;K328)</f>
        <v>43</v>
      </c>
      <c r="D329" s="78">
        <f>D328*(BudgetsTable[[#This Row],[lead]]=K328)+(BudgetsTable[[#This Row],[prop_id]]&lt;&gt;A328)</f>
        <v>1</v>
      </c>
      <c r="E329" s="79">
        <v>42935.765972222223</v>
      </c>
      <c r="F329" s="80" t="s">
        <v>248</v>
      </c>
      <c r="G329" s="80" t="s">
        <v>1124</v>
      </c>
      <c r="H329" s="80" t="s">
        <v>1125</v>
      </c>
      <c r="I329" s="78" t="s">
        <v>596</v>
      </c>
      <c r="J329" s="78" t="s">
        <v>13</v>
      </c>
      <c r="K329" s="80" t="s">
        <v>923</v>
      </c>
      <c r="L329" s="7" t="str">
        <f>IF(BudgetsTable[[#This Row],[pi_last_name]]=" ","",HYPERLINK("https://www.ejacket.nsf.gov/ej/showProposal.do?Continue=Y&amp;ID="&amp;BudgetsTable[[#This Row],[prop_id]],BudgetsTable[[#This Row],[prop_id]]))</f>
        <v/>
      </c>
      <c r="M329" s="15" t="str">
        <f>IF(BudgetsTable[[#This Row],[pi_last_name]]=" ","",HYPERLINK("https://www.ejacket.nsf.gov/ej/processReviewAnalysis.do?dispatch=add&amp;uniqId="&amp;BudgetsTable[[#This Row],[prop_id]]&amp;PO_id,"&gt;ra"))</f>
        <v/>
      </c>
      <c r="N329" s="80" t="s">
        <v>13</v>
      </c>
      <c r="O329" s="7" t="str">
        <f>IF(BudgetsTable[[#This Row],[pi_last_name]]=" ","",HYPERLINK("mailto:"&amp;BudgetsTable[[#This Row],[pi_email]]&amp;"&amp;subject=Your NSF Proposal:  "&amp;BudgetsTable[[#This Row],[prop_id]],BudgetsTable[[#This Row],[pi_email]]))</f>
        <v/>
      </c>
      <c r="P329" s="80" t="s">
        <v>13</v>
      </c>
      <c r="Q329" s="80">
        <v>1</v>
      </c>
      <c r="R329" s="80">
        <v>2</v>
      </c>
      <c r="S329" s="81">
        <v>0</v>
      </c>
      <c r="T329" s="81">
        <v>0</v>
      </c>
      <c r="U329" s="81">
        <v>0</v>
      </c>
      <c r="V329" s="82">
        <v>126066</v>
      </c>
      <c r="W329" s="80">
        <v>0</v>
      </c>
      <c r="X329" s="80">
        <v>3</v>
      </c>
      <c r="Y329" s="11" t="str">
        <f ca="1">IF(ISBLANK(BudgetsTable[[#This Row],[budg_seq_yr]]),"FY"&amp;fiscalyear,"FY"&amp;fiscalyear-1+BudgetsTable[[#This Row],[budg_seq_yr]])</f>
        <v>FY20</v>
      </c>
      <c r="Z329" s="81">
        <v>126066</v>
      </c>
      <c r="AA329" s="80" t="s">
        <v>1124</v>
      </c>
      <c r="AB329" s="80" t="s">
        <v>1125</v>
      </c>
      <c r="AC329" s="108" t="s">
        <v>94</v>
      </c>
      <c r="AD329" s="80" t="s">
        <v>256</v>
      </c>
    </row>
    <row r="330" spans="1:30">
      <c r="A330" s="10" t="s">
        <v>923</v>
      </c>
      <c r="B330" s="78" t="s">
        <v>96</v>
      </c>
      <c r="C330" s="78">
        <f>C329+(BudgetsTable[[#This Row],[lead]]&lt;&gt;K329)</f>
        <v>43</v>
      </c>
      <c r="D330" s="78">
        <f>D329*(BudgetsTable[[#This Row],[lead]]=K329)+(BudgetsTable[[#This Row],[prop_id]]&lt;&gt;A329)</f>
        <v>1</v>
      </c>
      <c r="E330" s="79">
        <v>42935.765972222223</v>
      </c>
      <c r="F330" s="80" t="s">
        <v>248</v>
      </c>
      <c r="G330" s="80" t="s">
        <v>1124</v>
      </c>
      <c r="H330" s="80" t="s">
        <v>1125</v>
      </c>
      <c r="I330" s="78" t="s">
        <v>596</v>
      </c>
      <c r="J330" s="78" t="s">
        <v>13</v>
      </c>
      <c r="K330" s="80" t="s">
        <v>923</v>
      </c>
      <c r="L330" s="7" t="str">
        <f>IF(BudgetsTable[[#This Row],[pi_last_name]]=" ","",HYPERLINK("https://www.ejacket.nsf.gov/ej/showProposal.do?Continue=Y&amp;ID="&amp;BudgetsTable[[#This Row],[prop_id]],BudgetsTable[[#This Row],[prop_id]]))</f>
        <v/>
      </c>
      <c r="M330" s="15" t="str">
        <f>IF(BudgetsTable[[#This Row],[pi_last_name]]=" ","",HYPERLINK("https://www.ejacket.nsf.gov/ej/processReviewAnalysis.do?dispatch=add&amp;uniqId="&amp;BudgetsTable[[#This Row],[prop_id]]&amp;PO_id,"&gt;ra"))</f>
        <v/>
      </c>
      <c r="N330" s="80" t="s">
        <v>13</v>
      </c>
      <c r="O330" s="7" t="str">
        <f>IF(BudgetsTable[[#This Row],[pi_last_name]]=" ","",HYPERLINK("mailto:"&amp;BudgetsTable[[#This Row],[pi_email]]&amp;"&amp;subject=Your NSF Proposal:  "&amp;BudgetsTable[[#This Row],[prop_id]],BudgetsTable[[#This Row],[pi_email]]))</f>
        <v/>
      </c>
      <c r="P330" s="80" t="s">
        <v>13</v>
      </c>
      <c r="Q330" s="80">
        <v>1</v>
      </c>
      <c r="R330" s="80">
        <v>2</v>
      </c>
      <c r="S330" s="81">
        <v>0</v>
      </c>
      <c r="T330" s="81">
        <v>0</v>
      </c>
      <c r="U330" s="81">
        <v>0</v>
      </c>
      <c r="V330" s="82">
        <v>128795</v>
      </c>
      <c r="W330" s="80">
        <v>0</v>
      </c>
      <c r="X330" s="80">
        <v>4</v>
      </c>
      <c r="Y330" s="11" t="str">
        <f ca="1">IF(ISBLANK(BudgetsTable[[#This Row],[budg_seq_yr]]),"FY"&amp;fiscalyear,"FY"&amp;fiscalyear-1+BudgetsTable[[#This Row],[budg_seq_yr]])</f>
        <v>FY21</v>
      </c>
      <c r="Z330" s="81">
        <v>128795</v>
      </c>
      <c r="AA330" s="80" t="s">
        <v>1124</v>
      </c>
      <c r="AB330" s="80" t="s">
        <v>1125</v>
      </c>
      <c r="AC330" s="108" t="s">
        <v>94</v>
      </c>
      <c r="AD330" s="80" t="s">
        <v>256</v>
      </c>
    </row>
    <row r="331" spans="1:30">
      <c r="A331" s="10" t="s">
        <v>923</v>
      </c>
      <c r="B331" s="78" t="s">
        <v>96</v>
      </c>
      <c r="C331" s="78">
        <f>C330+(BudgetsTable[[#This Row],[lead]]&lt;&gt;K330)</f>
        <v>43</v>
      </c>
      <c r="D331" s="78">
        <f>D330*(BudgetsTable[[#This Row],[lead]]=K330)+(BudgetsTable[[#This Row],[prop_id]]&lt;&gt;A330)</f>
        <v>1</v>
      </c>
      <c r="E331" s="79">
        <v>42935.765972222223</v>
      </c>
      <c r="F331" s="80" t="s">
        <v>248</v>
      </c>
      <c r="G331" s="80" t="s">
        <v>1124</v>
      </c>
      <c r="H331" s="80" t="s">
        <v>1125</v>
      </c>
      <c r="I331" s="78" t="s">
        <v>596</v>
      </c>
      <c r="J331" s="78" t="s">
        <v>13</v>
      </c>
      <c r="K331" s="80" t="s">
        <v>923</v>
      </c>
      <c r="L331" s="7" t="str">
        <f>IF(BudgetsTable[[#This Row],[pi_last_name]]=" ","",HYPERLINK("https://www.ejacket.nsf.gov/ej/showProposal.do?Continue=Y&amp;ID="&amp;BudgetsTable[[#This Row],[prop_id]],BudgetsTable[[#This Row],[prop_id]]))</f>
        <v/>
      </c>
      <c r="M331" s="15" t="str">
        <f>IF(BudgetsTable[[#This Row],[pi_last_name]]=" ","",HYPERLINK("https://www.ejacket.nsf.gov/ej/processReviewAnalysis.do?dispatch=add&amp;uniqId="&amp;BudgetsTable[[#This Row],[prop_id]]&amp;PO_id,"&gt;ra"))</f>
        <v/>
      </c>
      <c r="N331" s="80" t="s">
        <v>13</v>
      </c>
      <c r="O331" s="7" t="str">
        <f>IF(BudgetsTable[[#This Row],[pi_last_name]]=" ","",HYPERLINK("mailto:"&amp;BudgetsTable[[#This Row],[pi_email]]&amp;"&amp;subject=Your NSF Proposal:  "&amp;BudgetsTable[[#This Row],[prop_id]],BudgetsTable[[#This Row],[pi_email]]))</f>
        <v/>
      </c>
      <c r="P331" s="80" t="s">
        <v>13</v>
      </c>
      <c r="Q331" s="80">
        <v>1</v>
      </c>
      <c r="R331" s="80">
        <v>2</v>
      </c>
      <c r="S331" s="81">
        <v>0</v>
      </c>
      <c r="T331" s="81">
        <v>0</v>
      </c>
      <c r="U331" s="81">
        <v>0</v>
      </c>
      <c r="V331" s="82">
        <v>131620</v>
      </c>
      <c r="W331" s="80">
        <v>0</v>
      </c>
      <c r="X331" s="80">
        <v>5</v>
      </c>
      <c r="Y331" s="11" t="str">
        <f ca="1">IF(ISBLANK(BudgetsTable[[#This Row],[budg_seq_yr]]),"FY"&amp;fiscalyear,"FY"&amp;fiscalyear-1+BudgetsTable[[#This Row],[budg_seq_yr]])</f>
        <v>FY22</v>
      </c>
      <c r="Z331" s="81">
        <v>131620</v>
      </c>
      <c r="AA331" s="80" t="s">
        <v>1124</v>
      </c>
      <c r="AB331" s="80" t="s">
        <v>1125</v>
      </c>
      <c r="AC331" s="108" t="s">
        <v>94</v>
      </c>
      <c r="AD331" s="80" t="s">
        <v>256</v>
      </c>
    </row>
    <row r="332" spans="1:30">
      <c r="A332" s="10" t="s">
        <v>931</v>
      </c>
      <c r="B332" s="78" t="s">
        <v>96</v>
      </c>
      <c r="C332" s="78">
        <f>C331+(BudgetsTable[[#This Row],[lead]]&lt;&gt;K331)</f>
        <v>44</v>
      </c>
      <c r="D332" s="78">
        <f>D331*(BudgetsTable[[#This Row],[lead]]=K331)+(BudgetsTable[[#This Row],[prop_id]]&lt;&gt;A331)</f>
        <v>1</v>
      </c>
      <c r="E332" s="79">
        <v>42935.916666666664</v>
      </c>
      <c r="F332" s="80" t="s">
        <v>248</v>
      </c>
      <c r="G332" s="80" t="s">
        <v>1124</v>
      </c>
      <c r="H332" s="80" t="s">
        <v>1125</v>
      </c>
      <c r="I332" s="78" t="s">
        <v>596</v>
      </c>
      <c r="J332" s="78" t="s">
        <v>1364</v>
      </c>
      <c r="K332" s="80" t="s">
        <v>931</v>
      </c>
      <c r="L332" s="7" t="str">
        <f>IF(BudgetsTable[[#This Row],[pi_last_name]]=" ","",HYPERLINK("https://www.ejacket.nsf.gov/ej/showProposal.do?Continue=Y&amp;ID="&amp;BudgetsTable[[#This Row],[prop_id]],BudgetsTable[[#This Row],[prop_id]]))</f>
        <v>1751420</v>
      </c>
      <c r="M332" s="15" t="str">
        <f>IF(BudgetsTable[[#This Row],[pi_last_name]]=" ","",HYPERLINK("https://www.ejacket.nsf.gov/ej/processReviewAnalysis.do?dispatch=add&amp;uniqId="&amp;BudgetsTable[[#This Row],[prop_id]]&amp;PO_id,"&gt;ra"))</f>
        <v>&gt;ra</v>
      </c>
      <c r="N332" s="80" t="s">
        <v>354</v>
      </c>
      <c r="O332" s="7" t="str">
        <f>IF(BudgetsTable[[#This Row],[pi_last_name]]=" ","",HYPERLINK("mailto:"&amp;BudgetsTable[[#This Row],[pi_email]]&amp;"&amp;subject=Your NSF Proposal:  "&amp;BudgetsTable[[#This Row],[prop_id]],BudgetsTable[[#This Row],[pi_email]]))</f>
        <v>depengli@hawaii.edu</v>
      </c>
      <c r="P332" s="80" t="s">
        <v>365</v>
      </c>
      <c r="Q332" s="80"/>
      <c r="R332" s="80"/>
      <c r="S332" s="81"/>
      <c r="T332" s="81"/>
      <c r="U332" s="81"/>
      <c r="V332" s="82"/>
      <c r="W332" s="80">
        <v>0</v>
      </c>
      <c r="X332" s="80"/>
      <c r="Y332" s="11" t="str">
        <f ca="1">IF(ISBLANK(BudgetsTable[[#This Row],[budg_seq_yr]]),"FY"&amp;fiscalyear,"FY"&amp;fiscalyear-1+BudgetsTable[[#This Row],[budg_seq_yr]])</f>
        <v>FY18</v>
      </c>
      <c r="Z332" s="81">
        <v>400188</v>
      </c>
      <c r="AA332" s="80" t="s">
        <v>1124</v>
      </c>
      <c r="AB332" s="80" t="s">
        <v>1125</v>
      </c>
      <c r="AC332" s="108" t="s">
        <v>94</v>
      </c>
      <c r="AD332" s="80" t="s">
        <v>1274</v>
      </c>
    </row>
    <row r="333" spans="1:30">
      <c r="A333" s="10" t="s">
        <v>931</v>
      </c>
      <c r="B333" s="78" t="s">
        <v>96</v>
      </c>
      <c r="C333" s="78">
        <f>C332+(BudgetsTable[[#This Row],[lead]]&lt;&gt;K332)</f>
        <v>44</v>
      </c>
      <c r="D333" s="78">
        <f>D332*(BudgetsTable[[#This Row],[lead]]=K332)+(BudgetsTable[[#This Row],[prop_id]]&lt;&gt;A332)</f>
        <v>1</v>
      </c>
      <c r="E333" s="79">
        <v>42935.916666666664</v>
      </c>
      <c r="F333" s="80" t="s">
        <v>248</v>
      </c>
      <c r="G333" s="80" t="s">
        <v>1124</v>
      </c>
      <c r="H333" s="80" t="s">
        <v>1125</v>
      </c>
      <c r="I333" s="78" t="s">
        <v>596</v>
      </c>
      <c r="J333" s="78" t="s">
        <v>13</v>
      </c>
      <c r="K333" s="80" t="s">
        <v>931</v>
      </c>
      <c r="L333" s="7" t="str">
        <f>IF(BudgetsTable[[#This Row],[pi_last_name]]=" ","",HYPERLINK("https://www.ejacket.nsf.gov/ej/showProposal.do?Continue=Y&amp;ID="&amp;BudgetsTable[[#This Row],[prop_id]],BudgetsTable[[#This Row],[prop_id]]))</f>
        <v/>
      </c>
      <c r="M333" s="15" t="str">
        <f>IF(BudgetsTable[[#This Row],[pi_last_name]]=" ","",HYPERLINK("https://www.ejacket.nsf.gov/ej/processReviewAnalysis.do?dispatch=add&amp;uniqId="&amp;BudgetsTable[[#This Row],[prop_id]]&amp;PO_id,"&gt;ra"))</f>
        <v/>
      </c>
      <c r="N333" s="80" t="s">
        <v>13</v>
      </c>
      <c r="O333" s="7" t="str">
        <f>IF(BudgetsTable[[#This Row],[pi_last_name]]=" ","",HYPERLINK("mailto:"&amp;BudgetsTable[[#This Row],[pi_email]]&amp;"&amp;subject=Your NSF Proposal:  "&amp;BudgetsTable[[#This Row],[prop_id]],BudgetsTable[[#This Row],[pi_email]]))</f>
        <v/>
      </c>
      <c r="P333" s="80" t="s">
        <v>13</v>
      </c>
      <c r="Q333" s="80">
        <v>1</v>
      </c>
      <c r="R333" s="80">
        <v>2</v>
      </c>
      <c r="S333" s="81">
        <v>0</v>
      </c>
      <c r="T333" s="81">
        <v>3500</v>
      </c>
      <c r="U333" s="81">
        <v>0</v>
      </c>
      <c r="V333" s="82">
        <v>102443</v>
      </c>
      <c r="W333" s="80">
        <v>0</v>
      </c>
      <c r="X333" s="80">
        <v>1</v>
      </c>
      <c r="Y333" s="11" t="str">
        <f ca="1">IF(ISBLANK(BudgetsTable[[#This Row],[budg_seq_yr]]),"FY"&amp;fiscalyear,"FY"&amp;fiscalyear-1+BudgetsTable[[#This Row],[budg_seq_yr]])</f>
        <v>FY18</v>
      </c>
      <c r="Z333" s="81">
        <v>102443</v>
      </c>
      <c r="AA333" s="80" t="s">
        <v>1124</v>
      </c>
      <c r="AB333" s="80" t="s">
        <v>1125</v>
      </c>
      <c r="AC333" s="108" t="s">
        <v>94</v>
      </c>
      <c r="AD333" s="80" t="s">
        <v>1274</v>
      </c>
    </row>
    <row r="334" spans="1:30">
      <c r="A334" s="10" t="s">
        <v>931</v>
      </c>
      <c r="B334" s="78" t="s">
        <v>96</v>
      </c>
      <c r="C334" s="78">
        <f>C333+(BudgetsTable[[#This Row],[lead]]&lt;&gt;K333)</f>
        <v>44</v>
      </c>
      <c r="D334" s="78">
        <f>D333*(BudgetsTable[[#This Row],[lead]]=K333)+(BudgetsTable[[#This Row],[prop_id]]&lt;&gt;A333)</f>
        <v>1</v>
      </c>
      <c r="E334" s="79">
        <v>42935.916666666664</v>
      </c>
      <c r="F334" s="80" t="s">
        <v>248</v>
      </c>
      <c r="G334" s="80" t="s">
        <v>1124</v>
      </c>
      <c r="H334" s="80" t="s">
        <v>1125</v>
      </c>
      <c r="I334" s="78" t="s">
        <v>596</v>
      </c>
      <c r="J334" s="78" t="s">
        <v>13</v>
      </c>
      <c r="K334" s="80" t="s">
        <v>931</v>
      </c>
      <c r="L334" s="7" t="str">
        <f>IF(BudgetsTable[[#This Row],[pi_last_name]]=" ","",HYPERLINK("https://www.ejacket.nsf.gov/ej/showProposal.do?Continue=Y&amp;ID="&amp;BudgetsTable[[#This Row],[prop_id]],BudgetsTable[[#This Row],[prop_id]]))</f>
        <v/>
      </c>
      <c r="M334" s="15" t="str">
        <f>IF(BudgetsTable[[#This Row],[pi_last_name]]=" ","",HYPERLINK("https://www.ejacket.nsf.gov/ej/processReviewAnalysis.do?dispatch=add&amp;uniqId="&amp;BudgetsTable[[#This Row],[prop_id]]&amp;PO_id,"&gt;ra"))</f>
        <v/>
      </c>
      <c r="N334" s="80" t="s">
        <v>13</v>
      </c>
      <c r="O334" s="7" t="str">
        <f>IF(BudgetsTable[[#This Row],[pi_last_name]]=" ","",HYPERLINK("mailto:"&amp;BudgetsTable[[#This Row],[pi_email]]&amp;"&amp;subject=Your NSF Proposal:  "&amp;BudgetsTable[[#This Row],[prop_id]],BudgetsTable[[#This Row],[pi_email]]))</f>
        <v/>
      </c>
      <c r="P334" s="80" t="s">
        <v>13</v>
      </c>
      <c r="Q334" s="80">
        <v>1</v>
      </c>
      <c r="R334" s="80">
        <v>2</v>
      </c>
      <c r="S334" s="81">
        <v>0</v>
      </c>
      <c r="T334" s="81">
        <v>3500</v>
      </c>
      <c r="U334" s="81">
        <v>0</v>
      </c>
      <c r="V334" s="82">
        <v>97100</v>
      </c>
      <c r="W334" s="80">
        <v>0</v>
      </c>
      <c r="X334" s="80">
        <v>2</v>
      </c>
      <c r="Y334" s="11" t="str">
        <f ca="1">IF(ISBLANK(BudgetsTable[[#This Row],[budg_seq_yr]]),"FY"&amp;fiscalyear,"FY"&amp;fiscalyear-1+BudgetsTable[[#This Row],[budg_seq_yr]])</f>
        <v>FY19</v>
      </c>
      <c r="Z334" s="81">
        <v>97100</v>
      </c>
      <c r="AA334" s="80" t="s">
        <v>1124</v>
      </c>
      <c r="AB334" s="80" t="s">
        <v>1125</v>
      </c>
      <c r="AC334" s="108" t="s">
        <v>94</v>
      </c>
      <c r="AD334" s="80" t="s">
        <v>1274</v>
      </c>
    </row>
    <row r="335" spans="1:30">
      <c r="A335" s="10" t="s">
        <v>931</v>
      </c>
      <c r="B335" s="78" t="s">
        <v>96</v>
      </c>
      <c r="C335" s="78">
        <f>C334+(BudgetsTable[[#This Row],[lead]]&lt;&gt;K334)</f>
        <v>44</v>
      </c>
      <c r="D335" s="78">
        <f>D334*(BudgetsTable[[#This Row],[lead]]=K334)+(BudgetsTable[[#This Row],[prop_id]]&lt;&gt;A334)</f>
        <v>1</v>
      </c>
      <c r="E335" s="79">
        <v>42935.916666666664</v>
      </c>
      <c r="F335" s="80" t="s">
        <v>248</v>
      </c>
      <c r="G335" s="80" t="s">
        <v>1124</v>
      </c>
      <c r="H335" s="80" t="s">
        <v>1125</v>
      </c>
      <c r="I335" s="78" t="s">
        <v>596</v>
      </c>
      <c r="J335" s="78" t="s">
        <v>13</v>
      </c>
      <c r="K335" s="80" t="s">
        <v>931</v>
      </c>
      <c r="L335" s="7" t="str">
        <f>IF(BudgetsTable[[#This Row],[pi_last_name]]=" ","",HYPERLINK("https://www.ejacket.nsf.gov/ej/showProposal.do?Continue=Y&amp;ID="&amp;BudgetsTable[[#This Row],[prop_id]],BudgetsTable[[#This Row],[prop_id]]))</f>
        <v/>
      </c>
      <c r="M335" s="15" t="str">
        <f>IF(BudgetsTable[[#This Row],[pi_last_name]]=" ","",HYPERLINK("https://www.ejacket.nsf.gov/ej/processReviewAnalysis.do?dispatch=add&amp;uniqId="&amp;BudgetsTable[[#This Row],[prop_id]]&amp;PO_id,"&gt;ra"))</f>
        <v/>
      </c>
      <c r="N335" s="80" t="s">
        <v>13</v>
      </c>
      <c r="O335" s="7" t="str">
        <f>IF(BudgetsTable[[#This Row],[pi_last_name]]=" ","",HYPERLINK("mailto:"&amp;BudgetsTable[[#This Row],[pi_email]]&amp;"&amp;subject=Your NSF Proposal:  "&amp;BudgetsTable[[#This Row],[prop_id]],BudgetsTable[[#This Row],[pi_email]]))</f>
        <v/>
      </c>
      <c r="P335" s="80" t="s">
        <v>13</v>
      </c>
      <c r="Q335" s="80">
        <v>1</v>
      </c>
      <c r="R335" s="80">
        <v>2</v>
      </c>
      <c r="S335" s="81">
        <v>0</v>
      </c>
      <c r="T335" s="81">
        <v>3500</v>
      </c>
      <c r="U335" s="81">
        <v>0</v>
      </c>
      <c r="V335" s="82">
        <v>97992</v>
      </c>
      <c r="W335" s="80">
        <v>0</v>
      </c>
      <c r="X335" s="80">
        <v>3</v>
      </c>
      <c r="Y335" s="11" t="str">
        <f ca="1">IF(ISBLANK(BudgetsTable[[#This Row],[budg_seq_yr]]),"FY"&amp;fiscalyear,"FY"&amp;fiscalyear-1+BudgetsTable[[#This Row],[budg_seq_yr]])</f>
        <v>FY20</v>
      </c>
      <c r="Z335" s="81">
        <v>97992</v>
      </c>
      <c r="AA335" s="80" t="s">
        <v>1124</v>
      </c>
      <c r="AB335" s="80" t="s">
        <v>1125</v>
      </c>
      <c r="AC335" s="108" t="s">
        <v>94</v>
      </c>
      <c r="AD335" s="80" t="s">
        <v>1274</v>
      </c>
    </row>
    <row r="336" spans="1:30">
      <c r="A336" s="10" t="s">
        <v>931</v>
      </c>
      <c r="B336" s="78" t="s">
        <v>96</v>
      </c>
      <c r="C336" s="78">
        <f>C335+(BudgetsTable[[#This Row],[lead]]&lt;&gt;K335)</f>
        <v>44</v>
      </c>
      <c r="D336" s="78">
        <f>D335*(BudgetsTable[[#This Row],[lead]]=K335)+(BudgetsTable[[#This Row],[prop_id]]&lt;&gt;A335)</f>
        <v>1</v>
      </c>
      <c r="E336" s="79">
        <v>42935.916666666664</v>
      </c>
      <c r="F336" s="80" t="s">
        <v>248</v>
      </c>
      <c r="G336" s="80" t="s">
        <v>1124</v>
      </c>
      <c r="H336" s="80" t="s">
        <v>1125</v>
      </c>
      <c r="I336" s="78" t="s">
        <v>596</v>
      </c>
      <c r="J336" s="78" t="s">
        <v>13</v>
      </c>
      <c r="K336" s="80" t="s">
        <v>931</v>
      </c>
      <c r="L336" s="7" t="str">
        <f>IF(BudgetsTable[[#This Row],[pi_last_name]]=" ","",HYPERLINK("https://www.ejacket.nsf.gov/ej/showProposal.do?Continue=Y&amp;ID="&amp;BudgetsTable[[#This Row],[prop_id]],BudgetsTable[[#This Row],[prop_id]]))</f>
        <v/>
      </c>
      <c r="M336" s="15" t="str">
        <f>IF(BudgetsTable[[#This Row],[pi_last_name]]=" ","",HYPERLINK("https://www.ejacket.nsf.gov/ej/processReviewAnalysis.do?dispatch=add&amp;uniqId="&amp;BudgetsTable[[#This Row],[prop_id]]&amp;PO_id,"&gt;ra"))</f>
        <v/>
      </c>
      <c r="N336" s="80" t="s">
        <v>13</v>
      </c>
      <c r="O336" s="7" t="str">
        <f>IF(BudgetsTable[[#This Row],[pi_last_name]]=" ","",HYPERLINK("mailto:"&amp;BudgetsTable[[#This Row],[pi_email]]&amp;"&amp;subject=Your NSF Proposal:  "&amp;BudgetsTable[[#This Row],[prop_id]],BudgetsTable[[#This Row],[pi_email]]))</f>
        <v/>
      </c>
      <c r="P336" s="80" t="s">
        <v>13</v>
      </c>
      <c r="Q336" s="80">
        <v>1</v>
      </c>
      <c r="R336" s="80">
        <v>2</v>
      </c>
      <c r="S336" s="81">
        <v>0</v>
      </c>
      <c r="T336" s="81">
        <v>3500</v>
      </c>
      <c r="U336" s="81">
        <v>0</v>
      </c>
      <c r="V336" s="82">
        <v>50864</v>
      </c>
      <c r="W336" s="80">
        <v>0</v>
      </c>
      <c r="X336" s="80">
        <v>4</v>
      </c>
      <c r="Y336" s="11" t="str">
        <f ca="1">IF(ISBLANK(BudgetsTable[[#This Row],[budg_seq_yr]]),"FY"&amp;fiscalyear,"FY"&amp;fiscalyear-1+BudgetsTable[[#This Row],[budg_seq_yr]])</f>
        <v>FY21</v>
      </c>
      <c r="Z336" s="81">
        <v>50864</v>
      </c>
      <c r="AA336" s="80" t="s">
        <v>1124</v>
      </c>
      <c r="AB336" s="80" t="s">
        <v>1125</v>
      </c>
      <c r="AC336" s="108" t="s">
        <v>94</v>
      </c>
      <c r="AD336" s="80" t="s">
        <v>1274</v>
      </c>
    </row>
    <row r="337" spans="1:30">
      <c r="A337" s="10" t="s">
        <v>931</v>
      </c>
      <c r="B337" s="78" t="s">
        <v>96</v>
      </c>
      <c r="C337" s="78">
        <f>C336+(BudgetsTable[[#This Row],[lead]]&lt;&gt;K336)</f>
        <v>44</v>
      </c>
      <c r="D337" s="78">
        <f>D336*(BudgetsTable[[#This Row],[lead]]=K336)+(BudgetsTable[[#This Row],[prop_id]]&lt;&gt;A336)</f>
        <v>1</v>
      </c>
      <c r="E337" s="79">
        <v>42935.916666666664</v>
      </c>
      <c r="F337" s="80" t="s">
        <v>248</v>
      </c>
      <c r="G337" s="80" t="s">
        <v>1124</v>
      </c>
      <c r="H337" s="80" t="s">
        <v>1125</v>
      </c>
      <c r="I337" s="78" t="s">
        <v>596</v>
      </c>
      <c r="J337" s="78" t="s">
        <v>13</v>
      </c>
      <c r="K337" s="80" t="s">
        <v>931</v>
      </c>
      <c r="L337" s="7" t="str">
        <f>IF(BudgetsTable[[#This Row],[pi_last_name]]=" ","",HYPERLINK("https://www.ejacket.nsf.gov/ej/showProposal.do?Continue=Y&amp;ID="&amp;BudgetsTable[[#This Row],[prop_id]],BudgetsTable[[#This Row],[prop_id]]))</f>
        <v/>
      </c>
      <c r="M337" s="15" t="str">
        <f>IF(BudgetsTable[[#This Row],[pi_last_name]]=" ","",HYPERLINK("https://www.ejacket.nsf.gov/ej/processReviewAnalysis.do?dispatch=add&amp;uniqId="&amp;BudgetsTable[[#This Row],[prop_id]]&amp;PO_id,"&gt;ra"))</f>
        <v/>
      </c>
      <c r="N337" s="80" t="s">
        <v>13</v>
      </c>
      <c r="O337" s="7" t="str">
        <f>IF(BudgetsTable[[#This Row],[pi_last_name]]=" ","",HYPERLINK("mailto:"&amp;BudgetsTable[[#This Row],[pi_email]]&amp;"&amp;subject=Your NSF Proposal:  "&amp;BudgetsTable[[#This Row],[prop_id]],BudgetsTable[[#This Row],[pi_email]]))</f>
        <v/>
      </c>
      <c r="P337" s="80" t="s">
        <v>13</v>
      </c>
      <c r="Q337" s="80">
        <v>1</v>
      </c>
      <c r="R337" s="80">
        <v>2</v>
      </c>
      <c r="S337" s="81">
        <v>0</v>
      </c>
      <c r="T337" s="81">
        <v>3500</v>
      </c>
      <c r="U337" s="81">
        <v>0</v>
      </c>
      <c r="V337" s="82">
        <v>51789</v>
      </c>
      <c r="W337" s="80">
        <v>0</v>
      </c>
      <c r="X337" s="80">
        <v>5</v>
      </c>
      <c r="Y337" s="11" t="str">
        <f ca="1">IF(ISBLANK(BudgetsTable[[#This Row],[budg_seq_yr]]),"FY"&amp;fiscalyear,"FY"&amp;fiscalyear-1+BudgetsTable[[#This Row],[budg_seq_yr]])</f>
        <v>FY22</v>
      </c>
      <c r="Z337" s="81">
        <v>51789</v>
      </c>
      <c r="AA337" s="80" t="s">
        <v>1124</v>
      </c>
      <c r="AB337" s="80" t="s">
        <v>1125</v>
      </c>
      <c r="AC337" s="108" t="s">
        <v>94</v>
      </c>
      <c r="AD337" s="80" t="s">
        <v>1274</v>
      </c>
    </row>
    <row r="338" spans="1:30">
      <c r="A338" s="10" t="s">
        <v>940</v>
      </c>
      <c r="B338" s="78" t="s">
        <v>96</v>
      </c>
      <c r="C338" s="78">
        <f>C337+(BudgetsTable[[#This Row],[lead]]&lt;&gt;K337)</f>
        <v>45</v>
      </c>
      <c r="D338" s="78">
        <f>D337*(BudgetsTable[[#This Row],[lead]]=K337)+(BudgetsTable[[#This Row],[prop_id]]&lt;&gt;A337)</f>
        <v>1</v>
      </c>
      <c r="E338" s="79">
        <v>42936.376388888886</v>
      </c>
      <c r="F338" s="80" t="s">
        <v>248</v>
      </c>
      <c r="G338" s="80" t="s">
        <v>1124</v>
      </c>
      <c r="H338" s="80" t="s">
        <v>1125</v>
      </c>
      <c r="I338" s="78" t="s">
        <v>596</v>
      </c>
      <c r="J338" s="78" t="s">
        <v>1370</v>
      </c>
      <c r="K338" s="80" t="s">
        <v>940</v>
      </c>
      <c r="L338" s="7" t="str">
        <f>IF(BudgetsTable[[#This Row],[pi_last_name]]=" ","",HYPERLINK("https://www.ejacket.nsf.gov/ej/showProposal.do?Continue=Y&amp;ID="&amp;BudgetsTable[[#This Row],[prop_id]],BudgetsTable[[#This Row],[prop_id]]))</f>
        <v>1751454</v>
      </c>
      <c r="M338" s="15" t="str">
        <f>IF(BudgetsTable[[#This Row],[pi_last_name]]=" ","",HYPERLINK("https://www.ejacket.nsf.gov/ej/processReviewAnalysis.do?dispatch=add&amp;uniqId="&amp;BudgetsTable[[#This Row],[prop_id]]&amp;PO_id,"&gt;ra"))</f>
        <v>&gt;ra</v>
      </c>
      <c r="N338" s="80" t="s">
        <v>369</v>
      </c>
      <c r="O338" s="7" t="str">
        <f>IF(BudgetsTable[[#This Row],[pi_last_name]]=" ","",HYPERLINK("mailto:"&amp;BudgetsTable[[#This Row],[pi_email]]&amp;"&amp;subject=Your NSF Proposal:  "&amp;BudgetsTable[[#This Row],[prop_id]],BudgetsTable[[#This Row],[pi_email]]))</f>
        <v>yes@mtu.edu</v>
      </c>
      <c r="P338" s="80" t="s">
        <v>1367</v>
      </c>
      <c r="Q338" s="80"/>
      <c r="R338" s="80"/>
      <c r="S338" s="81"/>
      <c r="T338" s="81"/>
      <c r="U338" s="81"/>
      <c r="V338" s="82"/>
      <c r="W338" s="80">
        <v>0</v>
      </c>
      <c r="X338" s="80"/>
      <c r="Y338" s="11" t="str">
        <f ca="1">IF(ISBLANK(BudgetsTable[[#This Row],[budg_seq_yr]]),"FY"&amp;fiscalyear,"FY"&amp;fiscalyear-1+BudgetsTable[[#This Row],[budg_seq_yr]])</f>
        <v>FY18</v>
      </c>
      <c r="Z338" s="81">
        <v>508934</v>
      </c>
      <c r="AA338" s="80" t="s">
        <v>1124</v>
      </c>
      <c r="AB338" s="80" t="s">
        <v>1125</v>
      </c>
      <c r="AC338" s="108" t="s">
        <v>94</v>
      </c>
      <c r="AD338" s="80" t="s">
        <v>256</v>
      </c>
    </row>
    <row r="339" spans="1:30">
      <c r="A339" s="10" t="s">
        <v>940</v>
      </c>
      <c r="B339" s="78" t="s">
        <v>96</v>
      </c>
      <c r="C339" s="78">
        <f>C338+(BudgetsTable[[#This Row],[lead]]&lt;&gt;K338)</f>
        <v>45</v>
      </c>
      <c r="D339" s="78">
        <f>D338*(BudgetsTable[[#This Row],[lead]]=K338)+(BudgetsTable[[#This Row],[prop_id]]&lt;&gt;A338)</f>
        <v>1</v>
      </c>
      <c r="E339" s="79">
        <v>42936.376388888886</v>
      </c>
      <c r="F339" s="80" t="s">
        <v>248</v>
      </c>
      <c r="G339" s="80" t="s">
        <v>1124</v>
      </c>
      <c r="H339" s="80" t="s">
        <v>1125</v>
      </c>
      <c r="I339" s="78" t="s">
        <v>596</v>
      </c>
      <c r="J339" s="78" t="s">
        <v>13</v>
      </c>
      <c r="K339" s="80" t="s">
        <v>940</v>
      </c>
      <c r="L339" s="7" t="str">
        <f>IF(BudgetsTable[[#This Row],[pi_last_name]]=" ","",HYPERLINK("https://www.ejacket.nsf.gov/ej/showProposal.do?Continue=Y&amp;ID="&amp;BudgetsTable[[#This Row],[prop_id]],BudgetsTable[[#This Row],[prop_id]]))</f>
        <v/>
      </c>
      <c r="M339" s="15" t="str">
        <f>IF(BudgetsTable[[#This Row],[pi_last_name]]=" ","",HYPERLINK("https://www.ejacket.nsf.gov/ej/processReviewAnalysis.do?dispatch=add&amp;uniqId="&amp;BudgetsTable[[#This Row],[prop_id]]&amp;PO_id,"&gt;ra"))</f>
        <v/>
      </c>
      <c r="N339" s="80" t="s">
        <v>13</v>
      </c>
      <c r="O339" s="7" t="str">
        <f>IF(BudgetsTable[[#This Row],[pi_last_name]]=" ","",HYPERLINK("mailto:"&amp;BudgetsTable[[#This Row],[pi_email]]&amp;"&amp;subject=Your NSF Proposal:  "&amp;BudgetsTable[[#This Row],[prop_id]],BudgetsTable[[#This Row],[pi_email]]))</f>
        <v/>
      </c>
      <c r="P339" s="80" t="s">
        <v>13</v>
      </c>
      <c r="Q339" s="80">
        <v>1</v>
      </c>
      <c r="R339" s="80">
        <v>1</v>
      </c>
      <c r="S339" s="81">
        <v>0</v>
      </c>
      <c r="T339" s="81">
        <v>0</v>
      </c>
      <c r="U339" s="81">
        <v>0</v>
      </c>
      <c r="V339" s="82">
        <v>81715</v>
      </c>
      <c r="W339" s="80">
        <v>0</v>
      </c>
      <c r="X339" s="80">
        <v>1</v>
      </c>
      <c r="Y339" s="11" t="str">
        <f ca="1">IF(ISBLANK(BudgetsTable[[#This Row],[budg_seq_yr]]),"FY"&amp;fiscalyear,"FY"&amp;fiscalyear-1+BudgetsTable[[#This Row],[budg_seq_yr]])</f>
        <v>FY18</v>
      </c>
      <c r="Z339" s="81">
        <v>81715</v>
      </c>
      <c r="AA339" s="80" t="s">
        <v>1124</v>
      </c>
      <c r="AB339" s="80" t="s">
        <v>1125</v>
      </c>
      <c r="AC339" s="108" t="s">
        <v>94</v>
      </c>
      <c r="AD339" s="80" t="s">
        <v>256</v>
      </c>
    </row>
    <row r="340" spans="1:30">
      <c r="A340" s="10" t="s">
        <v>940</v>
      </c>
      <c r="B340" s="78" t="s">
        <v>96</v>
      </c>
      <c r="C340" s="78">
        <f>C339+(BudgetsTable[[#This Row],[lead]]&lt;&gt;K339)</f>
        <v>45</v>
      </c>
      <c r="D340" s="78">
        <f>D339*(BudgetsTable[[#This Row],[lead]]=K339)+(BudgetsTable[[#This Row],[prop_id]]&lt;&gt;A339)</f>
        <v>1</v>
      </c>
      <c r="E340" s="79">
        <v>42936.376388888886</v>
      </c>
      <c r="F340" s="80" t="s">
        <v>248</v>
      </c>
      <c r="G340" s="80" t="s">
        <v>1124</v>
      </c>
      <c r="H340" s="80" t="s">
        <v>1125</v>
      </c>
      <c r="I340" s="78" t="s">
        <v>596</v>
      </c>
      <c r="J340" s="78" t="s">
        <v>13</v>
      </c>
      <c r="K340" s="80" t="s">
        <v>940</v>
      </c>
      <c r="L340" s="7" t="str">
        <f>IF(BudgetsTable[[#This Row],[pi_last_name]]=" ","",HYPERLINK("https://www.ejacket.nsf.gov/ej/showProposal.do?Continue=Y&amp;ID="&amp;BudgetsTable[[#This Row],[prop_id]],BudgetsTable[[#This Row],[prop_id]]))</f>
        <v/>
      </c>
      <c r="M340" s="15" t="str">
        <f>IF(BudgetsTable[[#This Row],[pi_last_name]]=" ","",HYPERLINK("https://www.ejacket.nsf.gov/ej/processReviewAnalysis.do?dispatch=add&amp;uniqId="&amp;BudgetsTable[[#This Row],[prop_id]]&amp;PO_id,"&gt;ra"))</f>
        <v/>
      </c>
      <c r="N340" s="80" t="s">
        <v>13</v>
      </c>
      <c r="O340" s="7" t="str">
        <f>IF(BudgetsTable[[#This Row],[pi_last_name]]=" ","",HYPERLINK("mailto:"&amp;BudgetsTable[[#This Row],[pi_email]]&amp;"&amp;subject=Your NSF Proposal:  "&amp;BudgetsTable[[#This Row],[prop_id]],BudgetsTable[[#This Row],[pi_email]]))</f>
        <v/>
      </c>
      <c r="P340" s="80" t="s">
        <v>13</v>
      </c>
      <c r="Q340" s="80">
        <v>1</v>
      </c>
      <c r="R340" s="80">
        <v>1</v>
      </c>
      <c r="S340" s="81">
        <v>0</v>
      </c>
      <c r="T340" s="81">
        <v>0</v>
      </c>
      <c r="U340" s="81">
        <v>0</v>
      </c>
      <c r="V340" s="82">
        <v>86021</v>
      </c>
      <c r="W340" s="80">
        <v>0</v>
      </c>
      <c r="X340" s="80">
        <v>2</v>
      </c>
      <c r="Y340" s="11" t="str">
        <f ca="1">IF(ISBLANK(BudgetsTable[[#This Row],[budg_seq_yr]]),"FY"&amp;fiscalyear,"FY"&amp;fiscalyear-1+BudgetsTable[[#This Row],[budg_seq_yr]])</f>
        <v>FY19</v>
      </c>
      <c r="Z340" s="81">
        <v>86021</v>
      </c>
      <c r="AA340" s="80" t="s">
        <v>1124</v>
      </c>
      <c r="AB340" s="80" t="s">
        <v>1125</v>
      </c>
      <c r="AC340" s="108" t="s">
        <v>94</v>
      </c>
      <c r="AD340" s="80" t="s">
        <v>256</v>
      </c>
    </row>
    <row r="341" spans="1:30">
      <c r="A341" s="10" t="s">
        <v>940</v>
      </c>
      <c r="B341" s="78" t="s">
        <v>96</v>
      </c>
      <c r="C341" s="78">
        <f>C340+(BudgetsTable[[#This Row],[lead]]&lt;&gt;K340)</f>
        <v>45</v>
      </c>
      <c r="D341" s="78">
        <f>D340*(BudgetsTable[[#This Row],[lead]]=K340)+(BudgetsTable[[#This Row],[prop_id]]&lt;&gt;A340)</f>
        <v>1</v>
      </c>
      <c r="E341" s="79">
        <v>42936.376388888886</v>
      </c>
      <c r="F341" s="80" t="s">
        <v>248</v>
      </c>
      <c r="G341" s="80" t="s">
        <v>1124</v>
      </c>
      <c r="H341" s="80" t="s">
        <v>1125</v>
      </c>
      <c r="I341" s="78" t="s">
        <v>596</v>
      </c>
      <c r="J341" s="78" t="s">
        <v>13</v>
      </c>
      <c r="K341" s="80" t="s">
        <v>940</v>
      </c>
      <c r="L341" s="7" t="str">
        <f>IF(BudgetsTable[[#This Row],[pi_last_name]]=" ","",HYPERLINK("https://www.ejacket.nsf.gov/ej/showProposal.do?Continue=Y&amp;ID="&amp;BudgetsTable[[#This Row],[prop_id]],BudgetsTable[[#This Row],[prop_id]]))</f>
        <v/>
      </c>
      <c r="M341" s="15" t="str">
        <f>IF(BudgetsTable[[#This Row],[pi_last_name]]=" ","",HYPERLINK("https://www.ejacket.nsf.gov/ej/processReviewAnalysis.do?dispatch=add&amp;uniqId="&amp;BudgetsTable[[#This Row],[prop_id]]&amp;PO_id,"&gt;ra"))</f>
        <v/>
      </c>
      <c r="N341" s="80" t="s">
        <v>13</v>
      </c>
      <c r="O341" s="7" t="str">
        <f>IF(BudgetsTable[[#This Row],[pi_last_name]]=" ","",HYPERLINK("mailto:"&amp;BudgetsTable[[#This Row],[pi_email]]&amp;"&amp;subject=Your NSF Proposal:  "&amp;BudgetsTable[[#This Row],[prop_id]],BudgetsTable[[#This Row],[pi_email]]))</f>
        <v/>
      </c>
      <c r="P341" s="80" t="s">
        <v>13</v>
      </c>
      <c r="Q341" s="80">
        <v>1</v>
      </c>
      <c r="R341" s="80">
        <v>1</v>
      </c>
      <c r="S341" s="81">
        <v>0</v>
      </c>
      <c r="T341" s="81">
        <v>0</v>
      </c>
      <c r="U341" s="81">
        <v>0</v>
      </c>
      <c r="V341" s="82">
        <v>108905</v>
      </c>
      <c r="W341" s="80">
        <v>0</v>
      </c>
      <c r="X341" s="80">
        <v>3</v>
      </c>
      <c r="Y341" s="11" t="str">
        <f ca="1">IF(ISBLANK(BudgetsTable[[#This Row],[budg_seq_yr]]),"FY"&amp;fiscalyear,"FY"&amp;fiscalyear-1+BudgetsTable[[#This Row],[budg_seq_yr]])</f>
        <v>FY20</v>
      </c>
      <c r="Z341" s="81">
        <v>108905</v>
      </c>
      <c r="AA341" s="80" t="s">
        <v>1124</v>
      </c>
      <c r="AB341" s="80" t="s">
        <v>1125</v>
      </c>
      <c r="AC341" s="108" t="s">
        <v>94</v>
      </c>
      <c r="AD341" s="80" t="s">
        <v>256</v>
      </c>
    </row>
    <row r="342" spans="1:30">
      <c r="A342" s="10" t="s">
        <v>940</v>
      </c>
      <c r="B342" s="78" t="s">
        <v>96</v>
      </c>
      <c r="C342" s="78">
        <f>C341+(BudgetsTable[[#This Row],[lead]]&lt;&gt;K341)</f>
        <v>45</v>
      </c>
      <c r="D342" s="78">
        <f>D341*(BudgetsTable[[#This Row],[lead]]=K341)+(BudgetsTable[[#This Row],[prop_id]]&lt;&gt;A341)</f>
        <v>1</v>
      </c>
      <c r="E342" s="79">
        <v>42936.376388888886</v>
      </c>
      <c r="F342" s="80" t="s">
        <v>248</v>
      </c>
      <c r="G342" s="80" t="s">
        <v>1124</v>
      </c>
      <c r="H342" s="80" t="s">
        <v>1125</v>
      </c>
      <c r="I342" s="78" t="s">
        <v>596</v>
      </c>
      <c r="J342" s="78" t="s">
        <v>13</v>
      </c>
      <c r="K342" s="80" t="s">
        <v>940</v>
      </c>
      <c r="L342" s="7" t="str">
        <f>IF(BudgetsTable[[#This Row],[pi_last_name]]=" ","",HYPERLINK("https://www.ejacket.nsf.gov/ej/showProposal.do?Continue=Y&amp;ID="&amp;BudgetsTable[[#This Row],[prop_id]],BudgetsTable[[#This Row],[prop_id]]))</f>
        <v/>
      </c>
      <c r="M342" s="15" t="str">
        <f>IF(BudgetsTable[[#This Row],[pi_last_name]]=" ","",HYPERLINK("https://www.ejacket.nsf.gov/ej/processReviewAnalysis.do?dispatch=add&amp;uniqId="&amp;BudgetsTable[[#This Row],[prop_id]]&amp;PO_id,"&gt;ra"))</f>
        <v/>
      </c>
      <c r="N342" s="80" t="s">
        <v>13</v>
      </c>
      <c r="O342" s="7" t="str">
        <f>IF(BudgetsTable[[#This Row],[pi_last_name]]=" ","",HYPERLINK("mailto:"&amp;BudgetsTable[[#This Row],[pi_email]]&amp;"&amp;subject=Your NSF Proposal:  "&amp;BudgetsTable[[#This Row],[prop_id]],BudgetsTable[[#This Row],[pi_email]]))</f>
        <v/>
      </c>
      <c r="P342" s="80" t="s">
        <v>13</v>
      </c>
      <c r="Q342" s="80">
        <v>1</v>
      </c>
      <c r="R342" s="80">
        <v>1</v>
      </c>
      <c r="S342" s="81">
        <v>0</v>
      </c>
      <c r="T342" s="81">
        <v>0</v>
      </c>
      <c r="U342" s="81">
        <v>0</v>
      </c>
      <c r="V342" s="82">
        <v>113654</v>
      </c>
      <c r="W342" s="80">
        <v>0</v>
      </c>
      <c r="X342" s="80">
        <v>4</v>
      </c>
      <c r="Y342" s="11" t="str">
        <f ca="1">IF(ISBLANK(BudgetsTable[[#This Row],[budg_seq_yr]]),"FY"&amp;fiscalyear,"FY"&amp;fiscalyear-1+BudgetsTable[[#This Row],[budg_seq_yr]])</f>
        <v>FY21</v>
      </c>
      <c r="Z342" s="81">
        <v>113654</v>
      </c>
      <c r="AA342" s="80" t="s">
        <v>1124</v>
      </c>
      <c r="AB342" s="80" t="s">
        <v>1125</v>
      </c>
      <c r="AC342" s="108" t="s">
        <v>94</v>
      </c>
      <c r="AD342" s="80" t="s">
        <v>256</v>
      </c>
    </row>
    <row r="343" spans="1:30">
      <c r="A343" s="10" t="s">
        <v>940</v>
      </c>
      <c r="B343" s="78" t="s">
        <v>96</v>
      </c>
      <c r="C343" s="78">
        <f>C342+(BudgetsTable[[#This Row],[lead]]&lt;&gt;K342)</f>
        <v>45</v>
      </c>
      <c r="D343" s="78">
        <f>D342*(BudgetsTable[[#This Row],[lead]]=K342)+(BudgetsTable[[#This Row],[prop_id]]&lt;&gt;A342)</f>
        <v>1</v>
      </c>
      <c r="E343" s="79">
        <v>42936.376388888886</v>
      </c>
      <c r="F343" s="80" t="s">
        <v>248</v>
      </c>
      <c r="G343" s="80" t="s">
        <v>1124</v>
      </c>
      <c r="H343" s="80" t="s">
        <v>1125</v>
      </c>
      <c r="I343" s="78" t="s">
        <v>596</v>
      </c>
      <c r="J343" s="78" t="s">
        <v>13</v>
      </c>
      <c r="K343" s="80" t="s">
        <v>940</v>
      </c>
      <c r="L343" s="7" t="str">
        <f>IF(BudgetsTable[[#This Row],[pi_last_name]]=" ","",HYPERLINK("https://www.ejacket.nsf.gov/ej/showProposal.do?Continue=Y&amp;ID="&amp;BudgetsTable[[#This Row],[prop_id]],BudgetsTable[[#This Row],[prop_id]]))</f>
        <v/>
      </c>
      <c r="M343" s="15" t="str">
        <f>IF(BudgetsTable[[#This Row],[pi_last_name]]=" ","",HYPERLINK("https://www.ejacket.nsf.gov/ej/processReviewAnalysis.do?dispatch=add&amp;uniqId="&amp;BudgetsTable[[#This Row],[prop_id]]&amp;PO_id,"&gt;ra"))</f>
        <v/>
      </c>
      <c r="N343" s="80" t="s">
        <v>13</v>
      </c>
      <c r="O343" s="7" t="str">
        <f>IF(BudgetsTable[[#This Row],[pi_last_name]]=" ","",HYPERLINK("mailto:"&amp;BudgetsTable[[#This Row],[pi_email]]&amp;"&amp;subject=Your NSF Proposal:  "&amp;BudgetsTable[[#This Row],[prop_id]],BudgetsTable[[#This Row],[pi_email]]))</f>
        <v/>
      </c>
      <c r="P343" s="80" t="s">
        <v>13</v>
      </c>
      <c r="Q343" s="80">
        <v>1</v>
      </c>
      <c r="R343" s="80">
        <v>1</v>
      </c>
      <c r="S343" s="81">
        <v>0</v>
      </c>
      <c r="T343" s="81">
        <v>0</v>
      </c>
      <c r="U343" s="81">
        <v>0</v>
      </c>
      <c r="V343" s="82">
        <v>118639</v>
      </c>
      <c r="W343" s="80">
        <v>0</v>
      </c>
      <c r="X343" s="80">
        <v>5</v>
      </c>
      <c r="Y343" s="11" t="str">
        <f ca="1">IF(ISBLANK(BudgetsTable[[#This Row],[budg_seq_yr]]),"FY"&amp;fiscalyear,"FY"&amp;fiscalyear-1+BudgetsTable[[#This Row],[budg_seq_yr]])</f>
        <v>FY22</v>
      </c>
      <c r="Z343" s="81">
        <v>118639</v>
      </c>
      <c r="AA343" s="80" t="s">
        <v>1124</v>
      </c>
      <c r="AB343" s="80" t="s">
        <v>1125</v>
      </c>
      <c r="AC343" s="108" t="s">
        <v>94</v>
      </c>
      <c r="AD343" s="80" t="s">
        <v>256</v>
      </c>
    </row>
    <row r="344" spans="1:30">
      <c r="A344" s="10" t="s">
        <v>966</v>
      </c>
      <c r="B344" s="78" t="s">
        <v>96</v>
      </c>
      <c r="C344" s="78">
        <f>C343+(BudgetsTable[[#This Row],[lead]]&lt;&gt;K343)</f>
        <v>46</v>
      </c>
      <c r="D344" s="78">
        <f>D343*(BudgetsTable[[#This Row],[lead]]=K343)+(BudgetsTable[[#This Row],[prop_id]]&lt;&gt;A343)</f>
        <v>1</v>
      </c>
      <c r="E344" s="79">
        <v>42936.688194444447</v>
      </c>
      <c r="F344" s="80" t="s">
        <v>248</v>
      </c>
      <c r="G344" s="80" t="s">
        <v>1124</v>
      </c>
      <c r="H344" s="80" t="s">
        <v>1125</v>
      </c>
      <c r="I344" s="78" t="s">
        <v>596</v>
      </c>
      <c r="J344" s="78" t="s">
        <v>1375</v>
      </c>
      <c r="K344" s="80" t="s">
        <v>966</v>
      </c>
      <c r="L344" s="7" t="str">
        <f>IF(BudgetsTable[[#This Row],[pi_last_name]]=" ","",HYPERLINK("https://www.ejacket.nsf.gov/ej/showProposal.do?Continue=Y&amp;ID="&amp;BudgetsTable[[#This Row],[prop_id]],BudgetsTable[[#This Row],[prop_id]]))</f>
        <v>1752310</v>
      </c>
      <c r="M344" s="15" t="str">
        <f>IF(BudgetsTable[[#This Row],[pi_last_name]]=" ","",HYPERLINK("https://www.ejacket.nsf.gov/ej/processReviewAnalysis.do?dispatch=add&amp;uniqId="&amp;BudgetsTable[[#This Row],[prop_id]]&amp;PO_id,"&gt;ra"))</f>
        <v>&gt;ra</v>
      </c>
      <c r="N344" s="80" t="s">
        <v>967</v>
      </c>
      <c r="O344" s="7" t="str">
        <f>IF(BudgetsTable[[#This Row],[pi_last_name]]=" ","",HYPERLINK("mailto:"&amp;BudgetsTable[[#This Row],[pi_email]]&amp;"&amp;subject=Your NSF Proposal:  "&amp;BudgetsTable[[#This Row],[prop_id]],BudgetsTable[[#This Row],[pi_email]]))</f>
        <v>akarimod@ncat.edu</v>
      </c>
      <c r="P344" s="80" t="s">
        <v>1372</v>
      </c>
      <c r="Q344" s="80"/>
      <c r="R344" s="80"/>
      <c r="S344" s="81"/>
      <c r="T344" s="81"/>
      <c r="U344" s="81"/>
      <c r="V344" s="82"/>
      <c r="W344" s="80">
        <v>0</v>
      </c>
      <c r="X344" s="80"/>
      <c r="Y344" s="11" t="str">
        <f ca="1">IF(ISBLANK(BudgetsTable[[#This Row],[budg_seq_yr]]),"FY"&amp;fiscalyear,"FY"&amp;fiscalyear-1+BudgetsTable[[#This Row],[budg_seq_yr]])</f>
        <v>FY18</v>
      </c>
      <c r="Z344" s="81">
        <v>500000</v>
      </c>
      <c r="AA344" s="80" t="s">
        <v>1124</v>
      </c>
      <c r="AB344" s="80" t="s">
        <v>1125</v>
      </c>
      <c r="AC344" s="108" t="s">
        <v>94</v>
      </c>
      <c r="AD344" s="80" t="s">
        <v>256</v>
      </c>
    </row>
    <row r="345" spans="1:30">
      <c r="A345" s="10" t="s">
        <v>966</v>
      </c>
      <c r="B345" s="78" t="s">
        <v>96</v>
      </c>
      <c r="C345" s="78">
        <f>C344+(BudgetsTable[[#This Row],[lead]]&lt;&gt;K344)</f>
        <v>46</v>
      </c>
      <c r="D345" s="78">
        <f>D344*(BudgetsTable[[#This Row],[lead]]=K344)+(BudgetsTable[[#This Row],[prop_id]]&lt;&gt;A344)</f>
        <v>1</v>
      </c>
      <c r="E345" s="79">
        <v>42936.688194444447</v>
      </c>
      <c r="F345" s="80" t="s">
        <v>248</v>
      </c>
      <c r="G345" s="80" t="s">
        <v>1124</v>
      </c>
      <c r="H345" s="80" t="s">
        <v>1125</v>
      </c>
      <c r="I345" s="78" t="s">
        <v>596</v>
      </c>
      <c r="J345" s="78" t="s">
        <v>13</v>
      </c>
      <c r="K345" s="80" t="s">
        <v>966</v>
      </c>
      <c r="L345" s="7" t="str">
        <f>IF(BudgetsTable[[#This Row],[pi_last_name]]=" ","",HYPERLINK("https://www.ejacket.nsf.gov/ej/showProposal.do?Continue=Y&amp;ID="&amp;BudgetsTable[[#This Row],[prop_id]],BudgetsTable[[#This Row],[prop_id]]))</f>
        <v/>
      </c>
      <c r="M345" s="15" t="str">
        <f>IF(BudgetsTable[[#This Row],[pi_last_name]]=" ","",HYPERLINK("https://www.ejacket.nsf.gov/ej/processReviewAnalysis.do?dispatch=add&amp;uniqId="&amp;BudgetsTable[[#This Row],[prop_id]]&amp;PO_id,"&gt;ra"))</f>
        <v/>
      </c>
      <c r="N345" s="80" t="s">
        <v>13</v>
      </c>
      <c r="O345" s="7" t="str">
        <f>IF(BudgetsTable[[#This Row],[pi_last_name]]=" ","",HYPERLINK("mailto:"&amp;BudgetsTable[[#This Row],[pi_email]]&amp;"&amp;subject=Your NSF Proposal:  "&amp;BudgetsTable[[#This Row],[prop_id]],BudgetsTable[[#This Row],[pi_email]]))</f>
        <v/>
      </c>
      <c r="P345" s="80" t="s">
        <v>13</v>
      </c>
      <c r="Q345" s="80">
        <v>1</v>
      </c>
      <c r="R345" s="80">
        <v>1</v>
      </c>
      <c r="S345" s="81">
        <v>0</v>
      </c>
      <c r="T345" s="81">
        <v>0</v>
      </c>
      <c r="U345" s="81">
        <v>0</v>
      </c>
      <c r="V345" s="82">
        <v>68918</v>
      </c>
      <c r="W345" s="80">
        <v>0</v>
      </c>
      <c r="X345" s="80">
        <v>1</v>
      </c>
      <c r="Y345" s="11" t="str">
        <f ca="1">IF(ISBLANK(BudgetsTable[[#This Row],[budg_seq_yr]]),"FY"&amp;fiscalyear,"FY"&amp;fiscalyear-1+BudgetsTable[[#This Row],[budg_seq_yr]])</f>
        <v>FY18</v>
      </c>
      <c r="Z345" s="81">
        <v>68918</v>
      </c>
      <c r="AA345" s="80" t="s">
        <v>1124</v>
      </c>
      <c r="AB345" s="80" t="s">
        <v>1125</v>
      </c>
      <c r="AC345" s="108" t="s">
        <v>94</v>
      </c>
      <c r="AD345" s="80" t="s">
        <v>256</v>
      </c>
    </row>
    <row r="346" spans="1:30">
      <c r="A346" s="10" t="s">
        <v>966</v>
      </c>
      <c r="B346" s="78" t="s">
        <v>96</v>
      </c>
      <c r="C346" s="78">
        <f>C345+(BudgetsTable[[#This Row],[lead]]&lt;&gt;K345)</f>
        <v>46</v>
      </c>
      <c r="D346" s="78">
        <f>D345*(BudgetsTable[[#This Row],[lead]]=K345)+(BudgetsTable[[#This Row],[prop_id]]&lt;&gt;A345)</f>
        <v>1</v>
      </c>
      <c r="E346" s="79">
        <v>42936.688194444447</v>
      </c>
      <c r="F346" s="80" t="s">
        <v>248</v>
      </c>
      <c r="G346" s="80" t="s">
        <v>1124</v>
      </c>
      <c r="H346" s="80" t="s">
        <v>1125</v>
      </c>
      <c r="I346" s="78" t="s">
        <v>596</v>
      </c>
      <c r="J346" s="78" t="s">
        <v>13</v>
      </c>
      <c r="K346" s="80" t="s">
        <v>966</v>
      </c>
      <c r="L346" s="7" t="str">
        <f>IF(BudgetsTable[[#This Row],[pi_last_name]]=" ","",HYPERLINK("https://www.ejacket.nsf.gov/ej/showProposal.do?Continue=Y&amp;ID="&amp;BudgetsTable[[#This Row],[prop_id]],BudgetsTable[[#This Row],[prop_id]]))</f>
        <v/>
      </c>
      <c r="M346" s="15" t="str">
        <f>IF(BudgetsTable[[#This Row],[pi_last_name]]=" ","",HYPERLINK("https://www.ejacket.nsf.gov/ej/processReviewAnalysis.do?dispatch=add&amp;uniqId="&amp;BudgetsTable[[#This Row],[prop_id]]&amp;PO_id,"&gt;ra"))</f>
        <v/>
      </c>
      <c r="N346" s="80" t="s">
        <v>13</v>
      </c>
      <c r="O346" s="7" t="str">
        <f>IF(BudgetsTable[[#This Row],[pi_last_name]]=" ","",HYPERLINK("mailto:"&amp;BudgetsTable[[#This Row],[pi_email]]&amp;"&amp;subject=Your NSF Proposal:  "&amp;BudgetsTable[[#This Row],[prop_id]],BudgetsTable[[#This Row],[pi_email]]))</f>
        <v/>
      </c>
      <c r="P346" s="80" t="s">
        <v>13</v>
      </c>
      <c r="Q346" s="80">
        <v>1</v>
      </c>
      <c r="R346" s="80">
        <v>1</v>
      </c>
      <c r="S346" s="81">
        <v>0</v>
      </c>
      <c r="T346" s="81">
        <v>0</v>
      </c>
      <c r="U346" s="81">
        <v>0</v>
      </c>
      <c r="V346" s="82">
        <v>110397</v>
      </c>
      <c r="W346" s="80">
        <v>0</v>
      </c>
      <c r="X346" s="80">
        <v>2</v>
      </c>
      <c r="Y346" s="11" t="str">
        <f ca="1">IF(ISBLANK(BudgetsTable[[#This Row],[budg_seq_yr]]),"FY"&amp;fiscalyear,"FY"&amp;fiscalyear-1+BudgetsTable[[#This Row],[budg_seq_yr]])</f>
        <v>FY19</v>
      </c>
      <c r="Z346" s="81">
        <v>110397</v>
      </c>
      <c r="AA346" s="80" t="s">
        <v>1124</v>
      </c>
      <c r="AB346" s="80" t="s">
        <v>1125</v>
      </c>
      <c r="AC346" s="108" t="s">
        <v>94</v>
      </c>
      <c r="AD346" s="80" t="s">
        <v>256</v>
      </c>
    </row>
    <row r="347" spans="1:30">
      <c r="A347" s="10" t="s">
        <v>966</v>
      </c>
      <c r="B347" s="78" t="s">
        <v>96</v>
      </c>
      <c r="C347" s="78">
        <f>C346+(BudgetsTable[[#This Row],[lead]]&lt;&gt;K346)</f>
        <v>46</v>
      </c>
      <c r="D347" s="78">
        <f>D346*(BudgetsTable[[#This Row],[lead]]=K346)+(BudgetsTable[[#This Row],[prop_id]]&lt;&gt;A346)</f>
        <v>1</v>
      </c>
      <c r="E347" s="79">
        <v>42936.688194444447</v>
      </c>
      <c r="F347" s="80" t="s">
        <v>248</v>
      </c>
      <c r="G347" s="80" t="s">
        <v>1124</v>
      </c>
      <c r="H347" s="80" t="s">
        <v>1125</v>
      </c>
      <c r="I347" s="78" t="s">
        <v>596</v>
      </c>
      <c r="J347" s="78" t="s">
        <v>13</v>
      </c>
      <c r="K347" s="80" t="s">
        <v>966</v>
      </c>
      <c r="L347" s="7" t="str">
        <f>IF(BudgetsTable[[#This Row],[pi_last_name]]=" ","",HYPERLINK("https://www.ejacket.nsf.gov/ej/showProposal.do?Continue=Y&amp;ID="&amp;BudgetsTable[[#This Row],[prop_id]],BudgetsTable[[#This Row],[prop_id]]))</f>
        <v/>
      </c>
      <c r="M347" s="15" t="str">
        <f>IF(BudgetsTable[[#This Row],[pi_last_name]]=" ","",HYPERLINK("https://www.ejacket.nsf.gov/ej/processReviewAnalysis.do?dispatch=add&amp;uniqId="&amp;BudgetsTable[[#This Row],[prop_id]]&amp;PO_id,"&gt;ra"))</f>
        <v/>
      </c>
      <c r="N347" s="80" t="s">
        <v>13</v>
      </c>
      <c r="O347" s="7" t="str">
        <f>IF(BudgetsTable[[#This Row],[pi_last_name]]=" ","",HYPERLINK("mailto:"&amp;BudgetsTable[[#This Row],[pi_email]]&amp;"&amp;subject=Your NSF Proposal:  "&amp;BudgetsTable[[#This Row],[prop_id]],BudgetsTable[[#This Row],[pi_email]]))</f>
        <v/>
      </c>
      <c r="P347" s="80" t="s">
        <v>13</v>
      </c>
      <c r="Q347" s="80">
        <v>1</v>
      </c>
      <c r="R347" s="80">
        <v>1</v>
      </c>
      <c r="S347" s="81">
        <v>0</v>
      </c>
      <c r="T347" s="81">
        <v>0</v>
      </c>
      <c r="U347" s="81">
        <v>0</v>
      </c>
      <c r="V347" s="82">
        <v>115313</v>
      </c>
      <c r="W347" s="80">
        <v>0</v>
      </c>
      <c r="X347" s="80">
        <v>3</v>
      </c>
      <c r="Y347" s="11" t="str">
        <f ca="1">IF(ISBLANK(BudgetsTable[[#This Row],[budg_seq_yr]]),"FY"&amp;fiscalyear,"FY"&amp;fiscalyear-1+BudgetsTable[[#This Row],[budg_seq_yr]])</f>
        <v>FY20</v>
      </c>
      <c r="Z347" s="81">
        <v>115313</v>
      </c>
      <c r="AA347" s="80" t="s">
        <v>1124</v>
      </c>
      <c r="AB347" s="80" t="s">
        <v>1125</v>
      </c>
      <c r="AC347" s="108" t="s">
        <v>94</v>
      </c>
      <c r="AD347" s="80" t="s">
        <v>256</v>
      </c>
    </row>
    <row r="348" spans="1:30">
      <c r="A348" s="10" t="s">
        <v>966</v>
      </c>
      <c r="B348" s="78" t="s">
        <v>96</v>
      </c>
      <c r="C348" s="78">
        <f>C347+(BudgetsTable[[#This Row],[lead]]&lt;&gt;K347)</f>
        <v>46</v>
      </c>
      <c r="D348" s="78">
        <f>D347*(BudgetsTable[[#This Row],[lead]]=K347)+(BudgetsTable[[#This Row],[prop_id]]&lt;&gt;A347)</f>
        <v>1</v>
      </c>
      <c r="E348" s="79">
        <v>42936.688194444447</v>
      </c>
      <c r="F348" s="80" t="s">
        <v>248</v>
      </c>
      <c r="G348" s="80" t="s">
        <v>1124</v>
      </c>
      <c r="H348" s="80" t="s">
        <v>1125</v>
      </c>
      <c r="I348" s="78" t="s">
        <v>596</v>
      </c>
      <c r="J348" s="78" t="s">
        <v>13</v>
      </c>
      <c r="K348" s="80" t="s">
        <v>966</v>
      </c>
      <c r="L348" s="7" t="str">
        <f>IF(BudgetsTable[[#This Row],[pi_last_name]]=" ","",HYPERLINK("https://www.ejacket.nsf.gov/ej/showProposal.do?Continue=Y&amp;ID="&amp;BudgetsTable[[#This Row],[prop_id]],BudgetsTable[[#This Row],[prop_id]]))</f>
        <v/>
      </c>
      <c r="M348" s="15" t="str">
        <f>IF(BudgetsTable[[#This Row],[pi_last_name]]=" ","",HYPERLINK("https://www.ejacket.nsf.gov/ej/processReviewAnalysis.do?dispatch=add&amp;uniqId="&amp;BudgetsTable[[#This Row],[prop_id]]&amp;PO_id,"&gt;ra"))</f>
        <v/>
      </c>
      <c r="N348" s="80" t="s">
        <v>13</v>
      </c>
      <c r="O348" s="7" t="str">
        <f>IF(BudgetsTable[[#This Row],[pi_last_name]]=" ","",HYPERLINK("mailto:"&amp;BudgetsTable[[#This Row],[pi_email]]&amp;"&amp;subject=Your NSF Proposal:  "&amp;BudgetsTable[[#This Row],[prop_id]],BudgetsTable[[#This Row],[pi_email]]))</f>
        <v/>
      </c>
      <c r="P348" s="80" t="s">
        <v>13</v>
      </c>
      <c r="Q348" s="80">
        <v>1</v>
      </c>
      <c r="R348" s="80">
        <v>1</v>
      </c>
      <c r="S348" s="81">
        <v>0</v>
      </c>
      <c r="T348" s="81">
        <v>0</v>
      </c>
      <c r="U348" s="81">
        <v>0</v>
      </c>
      <c r="V348" s="82">
        <v>122445</v>
      </c>
      <c r="W348" s="80">
        <v>0</v>
      </c>
      <c r="X348" s="80">
        <v>4</v>
      </c>
      <c r="Y348" s="11" t="str">
        <f ca="1">IF(ISBLANK(BudgetsTable[[#This Row],[budg_seq_yr]]),"FY"&amp;fiscalyear,"FY"&amp;fiscalyear-1+BudgetsTable[[#This Row],[budg_seq_yr]])</f>
        <v>FY21</v>
      </c>
      <c r="Z348" s="81">
        <v>122445</v>
      </c>
      <c r="AA348" s="80" t="s">
        <v>1124</v>
      </c>
      <c r="AB348" s="80" t="s">
        <v>1125</v>
      </c>
      <c r="AC348" s="108" t="s">
        <v>94</v>
      </c>
      <c r="AD348" s="80" t="s">
        <v>256</v>
      </c>
    </row>
    <row r="349" spans="1:30">
      <c r="A349" s="10" t="s">
        <v>966</v>
      </c>
      <c r="B349" s="78" t="s">
        <v>96</v>
      </c>
      <c r="C349" s="78">
        <f>C348+(BudgetsTable[[#This Row],[lead]]&lt;&gt;K348)</f>
        <v>46</v>
      </c>
      <c r="D349" s="78">
        <f>D348*(BudgetsTable[[#This Row],[lead]]=K348)+(BudgetsTable[[#This Row],[prop_id]]&lt;&gt;A348)</f>
        <v>1</v>
      </c>
      <c r="E349" s="79">
        <v>42936.688194444447</v>
      </c>
      <c r="F349" s="80" t="s">
        <v>248</v>
      </c>
      <c r="G349" s="80" t="s">
        <v>1124</v>
      </c>
      <c r="H349" s="80" t="s">
        <v>1125</v>
      </c>
      <c r="I349" s="78" t="s">
        <v>596</v>
      </c>
      <c r="J349" s="78" t="s">
        <v>13</v>
      </c>
      <c r="K349" s="80" t="s">
        <v>966</v>
      </c>
      <c r="L349" s="7" t="str">
        <f>IF(BudgetsTable[[#This Row],[pi_last_name]]=" ","",HYPERLINK("https://www.ejacket.nsf.gov/ej/showProposal.do?Continue=Y&amp;ID="&amp;BudgetsTable[[#This Row],[prop_id]],BudgetsTable[[#This Row],[prop_id]]))</f>
        <v/>
      </c>
      <c r="M349" s="15" t="str">
        <f>IF(BudgetsTable[[#This Row],[pi_last_name]]=" ","",HYPERLINK("https://www.ejacket.nsf.gov/ej/processReviewAnalysis.do?dispatch=add&amp;uniqId="&amp;BudgetsTable[[#This Row],[prop_id]]&amp;PO_id,"&gt;ra"))</f>
        <v/>
      </c>
      <c r="N349" s="80" t="s">
        <v>13</v>
      </c>
      <c r="O349" s="7" t="str">
        <f>IF(BudgetsTable[[#This Row],[pi_last_name]]=" ","",HYPERLINK("mailto:"&amp;BudgetsTable[[#This Row],[pi_email]]&amp;"&amp;subject=Your NSF Proposal:  "&amp;BudgetsTable[[#This Row],[prop_id]],BudgetsTable[[#This Row],[pi_email]]))</f>
        <v/>
      </c>
      <c r="P349" s="80" t="s">
        <v>13</v>
      </c>
      <c r="Q349" s="80">
        <v>1</v>
      </c>
      <c r="R349" s="80">
        <v>1</v>
      </c>
      <c r="S349" s="81">
        <v>0</v>
      </c>
      <c r="T349" s="81">
        <v>0</v>
      </c>
      <c r="U349" s="81">
        <v>0</v>
      </c>
      <c r="V349" s="82">
        <v>82927</v>
      </c>
      <c r="W349" s="80">
        <v>0</v>
      </c>
      <c r="X349" s="80">
        <v>5</v>
      </c>
      <c r="Y349" s="11" t="str">
        <f ca="1">IF(ISBLANK(BudgetsTable[[#This Row],[budg_seq_yr]]),"FY"&amp;fiscalyear,"FY"&amp;fiscalyear-1+BudgetsTable[[#This Row],[budg_seq_yr]])</f>
        <v>FY22</v>
      </c>
      <c r="Z349" s="81">
        <v>82927</v>
      </c>
      <c r="AA349" s="80" t="s">
        <v>1124</v>
      </c>
      <c r="AB349" s="80" t="s">
        <v>1125</v>
      </c>
      <c r="AC349" s="108" t="s">
        <v>94</v>
      </c>
      <c r="AD349" s="80" t="s">
        <v>256</v>
      </c>
    </row>
    <row r="350" spans="1:30">
      <c r="A350" s="10" t="s">
        <v>975</v>
      </c>
      <c r="B350" s="78" t="s">
        <v>96</v>
      </c>
      <c r="C350" s="78">
        <f>C349+(BudgetsTable[[#This Row],[lead]]&lt;&gt;K349)</f>
        <v>47</v>
      </c>
      <c r="D350" s="78">
        <f>D349*(BudgetsTable[[#This Row],[lead]]=K349)+(BudgetsTable[[#This Row],[prop_id]]&lt;&gt;A349)</f>
        <v>1</v>
      </c>
      <c r="E350" s="79">
        <v>42968.718055555553</v>
      </c>
      <c r="F350" s="80" t="s">
        <v>1376</v>
      </c>
      <c r="G350" s="80" t="s">
        <v>1124</v>
      </c>
      <c r="H350" s="80" t="s">
        <v>1377</v>
      </c>
      <c r="I350" s="78" t="s">
        <v>705</v>
      </c>
      <c r="J350" s="78" t="s">
        <v>1383</v>
      </c>
      <c r="K350" s="80" t="s">
        <v>975</v>
      </c>
      <c r="L350" s="7" t="str">
        <f>IF(BudgetsTable[[#This Row],[pi_last_name]]=" ","",HYPERLINK("https://www.ejacket.nsf.gov/ej/showProposal.do?Continue=Y&amp;ID="&amp;BudgetsTable[[#This Row],[prop_id]],BudgetsTable[[#This Row],[prop_id]]))</f>
        <v>1757384</v>
      </c>
      <c r="M350" s="15" t="str">
        <f>IF(BudgetsTable[[#This Row],[pi_last_name]]=" ","",HYPERLINK("https://www.ejacket.nsf.gov/ej/processReviewAnalysis.do?dispatch=add&amp;uniqId="&amp;BudgetsTable[[#This Row],[prop_id]]&amp;PO_id,"&gt;ra"))</f>
        <v>&gt;ra</v>
      </c>
      <c r="N350" s="80" t="s">
        <v>976</v>
      </c>
      <c r="O350" s="7" t="str">
        <f>IF(BudgetsTable[[#This Row],[pi_last_name]]=" ","",HYPERLINK("mailto:"&amp;BudgetsTable[[#This Row],[pi_email]]&amp;"&amp;subject=Your NSF Proposal:  "&amp;BudgetsTable[[#This Row],[prop_id]],BudgetsTable[[#This Row],[pi_email]]))</f>
        <v>song.fu@unt.edu</v>
      </c>
      <c r="P350" s="80" t="s">
        <v>1380</v>
      </c>
      <c r="Q350" s="80"/>
      <c r="R350" s="80"/>
      <c r="S350" s="81"/>
      <c r="T350" s="81"/>
      <c r="U350" s="81"/>
      <c r="V350" s="82"/>
      <c r="W350" s="80">
        <v>0</v>
      </c>
      <c r="X350" s="80"/>
      <c r="Y350" s="11" t="str">
        <f ca="1">IF(ISBLANK(BudgetsTable[[#This Row],[budg_seq_yr]]),"FY"&amp;fiscalyear,"FY"&amp;fiscalyear-1+BudgetsTable[[#This Row],[budg_seq_yr]])</f>
        <v>FY18</v>
      </c>
      <c r="Z350" s="81">
        <v>357120</v>
      </c>
      <c r="AA350" s="80" t="s">
        <v>1124</v>
      </c>
      <c r="AB350" s="80" t="s">
        <v>1377</v>
      </c>
      <c r="AC350" s="108" t="s">
        <v>94</v>
      </c>
      <c r="AD350" s="80" t="s">
        <v>592</v>
      </c>
    </row>
    <row r="351" spans="1:30">
      <c r="A351" s="10" t="s">
        <v>975</v>
      </c>
      <c r="B351" s="78" t="s">
        <v>96</v>
      </c>
      <c r="C351" s="78">
        <f>C350+(BudgetsTable[[#This Row],[lead]]&lt;&gt;K350)</f>
        <v>47</v>
      </c>
      <c r="D351" s="78">
        <f>D350*(BudgetsTable[[#This Row],[lead]]=K350)+(BudgetsTable[[#This Row],[prop_id]]&lt;&gt;A350)</f>
        <v>1</v>
      </c>
      <c r="E351" s="79">
        <v>42968.718055555553</v>
      </c>
      <c r="F351" s="80" t="s">
        <v>1376</v>
      </c>
      <c r="G351" s="80" t="s">
        <v>1124</v>
      </c>
      <c r="H351" s="80" t="s">
        <v>1377</v>
      </c>
      <c r="I351" s="78" t="s">
        <v>705</v>
      </c>
      <c r="J351" s="78" t="s">
        <v>13</v>
      </c>
      <c r="K351" s="80" t="s">
        <v>975</v>
      </c>
      <c r="L351" s="7" t="str">
        <f>IF(BudgetsTable[[#This Row],[pi_last_name]]=" ","",HYPERLINK("https://www.ejacket.nsf.gov/ej/showProposal.do?Continue=Y&amp;ID="&amp;BudgetsTable[[#This Row],[prop_id]],BudgetsTable[[#This Row],[prop_id]]))</f>
        <v/>
      </c>
      <c r="M351" s="15" t="str">
        <f>IF(BudgetsTable[[#This Row],[pi_last_name]]=" ","",HYPERLINK("https://www.ejacket.nsf.gov/ej/processReviewAnalysis.do?dispatch=add&amp;uniqId="&amp;BudgetsTable[[#This Row],[prop_id]]&amp;PO_id,"&gt;ra"))</f>
        <v/>
      </c>
      <c r="N351" s="80" t="s">
        <v>13</v>
      </c>
      <c r="O351" s="7" t="str">
        <f>IF(BudgetsTable[[#This Row],[pi_last_name]]=" ","",HYPERLINK("mailto:"&amp;BudgetsTable[[#This Row],[pi_email]]&amp;"&amp;subject=Your NSF Proposal:  "&amp;BudgetsTable[[#This Row],[prop_id]],BudgetsTable[[#This Row],[pi_email]]))</f>
        <v/>
      </c>
      <c r="P351" s="80" t="s">
        <v>13</v>
      </c>
      <c r="Q351" s="80">
        <v>2</v>
      </c>
      <c r="R351" s="80">
        <v>1</v>
      </c>
      <c r="S351" s="81">
        <v>0</v>
      </c>
      <c r="T351" s="81">
        <v>0</v>
      </c>
      <c r="U351" s="81">
        <v>84000</v>
      </c>
      <c r="V351" s="82">
        <v>117708</v>
      </c>
      <c r="W351" s="80">
        <v>0</v>
      </c>
      <c r="X351" s="80">
        <v>1</v>
      </c>
      <c r="Y351" s="11" t="str">
        <f ca="1">IF(ISBLANK(BudgetsTable[[#This Row],[budg_seq_yr]]),"FY"&amp;fiscalyear,"FY"&amp;fiscalyear-1+BudgetsTable[[#This Row],[budg_seq_yr]])</f>
        <v>FY18</v>
      </c>
      <c r="Z351" s="81">
        <v>117708</v>
      </c>
      <c r="AA351" s="80" t="s">
        <v>1124</v>
      </c>
      <c r="AB351" s="80" t="s">
        <v>1377</v>
      </c>
      <c r="AC351" s="108" t="s">
        <v>94</v>
      </c>
      <c r="AD351" s="80" t="s">
        <v>592</v>
      </c>
    </row>
    <row r="352" spans="1:30">
      <c r="A352" s="10" t="s">
        <v>975</v>
      </c>
      <c r="B352" s="78" t="s">
        <v>96</v>
      </c>
      <c r="C352" s="78">
        <f>C351+(BudgetsTable[[#This Row],[lead]]&lt;&gt;K351)</f>
        <v>47</v>
      </c>
      <c r="D352" s="78">
        <f>D351*(BudgetsTable[[#This Row],[lead]]=K351)+(BudgetsTable[[#This Row],[prop_id]]&lt;&gt;A351)</f>
        <v>1</v>
      </c>
      <c r="E352" s="79">
        <v>42968.718055555553</v>
      </c>
      <c r="F352" s="80" t="s">
        <v>1376</v>
      </c>
      <c r="G352" s="80" t="s">
        <v>1124</v>
      </c>
      <c r="H352" s="80" t="s">
        <v>1377</v>
      </c>
      <c r="I352" s="78" t="s">
        <v>705</v>
      </c>
      <c r="J352" s="78" t="s">
        <v>13</v>
      </c>
      <c r="K352" s="80" t="s">
        <v>975</v>
      </c>
      <c r="L352" s="7" t="str">
        <f>IF(BudgetsTable[[#This Row],[pi_last_name]]=" ","",HYPERLINK("https://www.ejacket.nsf.gov/ej/showProposal.do?Continue=Y&amp;ID="&amp;BudgetsTable[[#This Row],[prop_id]],BudgetsTable[[#This Row],[prop_id]]))</f>
        <v/>
      </c>
      <c r="M352" s="15" t="str">
        <f>IF(BudgetsTable[[#This Row],[pi_last_name]]=" ","",HYPERLINK("https://www.ejacket.nsf.gov/ej/processReviewAnalysis.do?dispatch=add&amp;uniqId="&amp;BudgetsTable[[#This Row],[prop_id]]&amp;PO_id,"&gt;ra"))</f>
        <v/>
      </c>
      <c r="N352" s="80" t="s">
        <v>13</v>
      </c>
      <c r="O352" s="7" t="str">
        <f>IF(BudgetsTable[[#This Row],[pi_last_name]]=" ","",HYPERLINK("mailto:"&amp;BudgetsTable[[#This Row],[pi_email]]&amp;"&amp;subject=Your NSF Proposal:  "&amp;BudgetsTable[[#This Row],[prop_id]],BudgetsTable[[#This Row],[pi_email]]))</f>
        <v/>
      </c>
      <c r="P352" s="80" t="s">
        <v>13</v>
      </c>
      <c r="Q352" s="80">
        <v>2</v>
      </c>
      <c r="R352" s="80">
        <v>1</v>
      </c>
      <c r="S352" s="81">
        <v>0</v>
      </c>
      <c r="T352" s="81">
        <v>0</v>
      </c>
      <c r="U352" s="81">
        <v>85000</v>
      </c>
      <c r="V352" s="82">
        <v>119536</v>
      </c>
      <c r="W352" s="80">
        <v>0</v>
      </c>
      <c r="X352" s="80">
        <v>2</v>
      </c>
      <c r="Y352" s="11" t="str">
        <f ca="1">IF(ISBLANK(BudgetsTable[[#This Row],[budg_seq_yr]]),"FY"&amp;fiscalyear,"FY"&amp;fiscalyear-1+BudgetsTable[[#This Row],[budg_seq_yr]])</f>
        <v>FY19</v>
      </c>
      <c r="Z352" s="81">
        <v>119536</v>
      </c>
      <c r="AA352" s="80" t="s">
        <v>1124</v>
      </c>
      <c r="AB352" s="80" t="s">
        <v>1377</v>
      </c>
      <c r="AC352" s="108" t="s">
        <v>94</v>
      </c>
      <c r="AD352" s="80" t="s">
        <v>592</v>
      </c>
    </row>
    <row r="353" spans="1:30">
      <c r="A353" s="10" t="s">
        <v>975</v>
      </c>
      <c r="B353" s="78" t="s">
        <v>96</v>
      </c>
      <c r="C353" s="78">
        <f>C352+(BudgetsTable[[#This Row],[lead]]&lt;&gt;K352)</f>
        <v>47</v>
      </c>
      <c r="D353" s="78">
        <f>D352*(BudgetsTable[[#This Row],[lead]]=K352)+(BudgetsTable[[#This Row],[prop_id]]&lt;&gt;A352)</f>
        <v>1</v>
      </c>
      <c r="E353" s="79">
        <v>42968.718055555553</v>
      </c>
      <c r="F353" s="80" t="s">
        <v>1376</v>
      </c>
      <c r="G353" s="80" t="s">
        <v>1124</v>
      </c>
      <c r="H353" s="80" t="s">
        <v>1377</v>
      </c>
      <c r="I353" s="78" t="s">
        <v>705</v>
      </c>
      <c r="J353" s="78" t="s">
        <v>13</v>
      </c>
      <c r="K353" s="80" t="s">
        <v>975</v>
      </c>
      <c r="L353" s="7" t="str">
        <f>IF(BudgetsTable[[#This Row],[pi_last_name]]=" ","",HYPERLINK("https://www.ejacket.nsf.gov/ej/showProposal.do?Continue=Y&amp;ID="&amp;BudgetsTable[[#This Row],[prop_id]],BudgetsTable[[#This Row],[prop_id]]))</f>
        <v/>
      </c>
      <c r="M353" s="15" t="str">
        <f>IF(BudgetsTable[[#This Row],[pi_last_name]]=" ","",HYPERLINK("https://www.ejacket.nsf.gov/ej/processReviewAnalysis.do?dispatch=add&amp;uniqId="&amp;BudgetsTable[[#This Row],[prop_id]]&amp;PO_id,"&gt;ra"))</f>
        <v/>
      </c>
      <c r="N353" s="80" t="s">
        <v>13</v>
      </c>
      <c r="O353" s="7" t="str">
        <f>IF(BudgetsTable[[#This Row],[pi_last_name]]=" ","",HYPERLINK("mailto:"&amp;BudgetsTable[[#This Row],[pi_email]]&amp;"&amp;subject=Your NSF Proposal:  "&amp;BudgetsTable[[#This Row],[prop_id]],BudgetsTable[[#This Row],[pi_email]]))</f>
        <v/>
      </c>
      <c r="P353" s="80" t="s">
        <v>13</v>
      </c>
      <c r="Q353" s="80">
        <v>2</v>
      </c>
      <c r="R353" s="80">
        <v>0.88</v>
      </c>
      <c r="S353" s="81">
        <v>0</v>
      </c>
      <c r="T353" s="81">
        <v>0</v>
      </c>
      <c r="U353" s="81">
        <v>86000</v>
      </c>
      <c r="V353" s="82">
        <v>119876</v>
      </c>
      <c r="W353" s="80">
        <v>0</v>
      </c>
      <c r="X353" s="80">
        <v>3</v>
      </c>
      <c r="Y353" s="11" t="str">
        <f ca="1">IF(ISBLANK(BudgetsTable[[#This Row],[budg_seq_yr]]),"FY"&amp;fiscalyear,"FY"&amp;fiscalyear-1+BudgetsTable[[#This Row],[budg_seq_yr]])</f>
        <v>FY20</v>
      </c>
      <c r="Z353" s="81">
        <v>119876</v>
      </c>
      <c r="AA353" s="80" t="s">
        <v>1124</v>
      </c>
      <c r="AB353" s="80" t="s">
        <v>1377</v>
      </c>
      <c r="AC353" s="108" t="s">
        <v>94</v>
      </c>
      <c r="AD353" s="80" t="s">
        <v>592</v>
      </c>
    </row>
    <row r="354" spans="1:30">
      <c r="A354" s="10" t="s">
        <v>996</v>
      </c>
      <c r="B354" s="78" t="s">
        <v>96</v>
      </c>
      <c r="C354" s="78">
        <f>C353+(BudgetsTable[[#This Row],[lead]]&lt;&gt;K353)</f>
        <v>48</v>
      </c>
      <c r="D354" s="78">
        <f>D353*(BudgetsTable[[#This Row],[lead]]=K353)+(BudgetsTable[[#This Row],[prop_id]]&lt;&gt;A353)</f>
        <v>1</v>
      </c>
      <c r="E354" s="79">
        <v>42969.449305555558</v>
      </c>
      <c r="F354" s="80" t="s">
        <v>1376</v>
      </c>
      <c r="G354" s="80" t="s">
        <v>1124</v>
      </c>
      <c r="H354" s="80" t="s">
        <v>1377</v>
      </c>
      <c r="I354" s="78" t="s">
        <v>705</v>
      </c>
      <c r="J354" s="78" t="s">
        <v>1387</v>
      </c>
      <c r="K354" s="80" t="s">
        <v>996</v>
      </c>
      <c r="L354" s="7" t="str">
        <f>IF(BudgetsTable[[#This Row],[pi_last_name]]=" ","",HYPERLINK("https://www.ejacket.nsf.gov/ej/showProposal.do?Continue=Y&amp;ID="&amp;BudgetsTable[[#This Row],[prop_id]],BudgetsTable[[#This Row],[prop_id]]))</f>
        <v>1757414</v>
      </c>
      <c r="M354" s="15" t="str">
        <f>IF(BudgetsTable[[#This Row],[pi_last_name]]=" ","",HYPERLINK("https://www.ejacket.nsf.gov/ej/processReviewAnalysis.do?dispatch=add&amp;uniqId="&amp;BudgetsTable[[#This Row],[prop_id]]&amp;PO_id,"&gt;ra"))</f>
        <v>&gt;ra</v>
      </c>
      <c r="N354" s="80" t="s">
        <v>997</v>
      </c>
      <c r="O354" s="7" t="str">
        <f>IF(BudgetsTable[[#This Row],[pi_last_name]]=" ","",HYPERLINK("mailto:"&amp;BudgetsTable[[#This Row],[pi_email]]&amp;"&amp;subject=Your NSF Proposal:  "&amp;BudgetsTable[[#This Row],[prop_id]],BudgetsTable[[#This Row],[pi_email]]))</f>
        <v>shen@umich.edu</v>
      </c>
      <c r="P354" s="80" t="s">
        <v>356</v>
      </c>
      <c r="Q354" s="80"/>
      <c r="R354" s="80"/>
      <c r="S354" s="81"/>
      <c r="T354" s="81"/>
      <c r="U354" s="81"/>
      <c r="V354" s="82"/>
      <c r="W354" s="80">
        <v>0</v>
      </c>
      <c r="X354" s="80"/>
      <c r="Y354" s="11" t="str">
        <f ca="1">IF(ISBLANK(BudgetsTable[[#This Row],[budg_seq_yr]]),"FY"&amp;fiscalyear,"FY"&amp;fiscalyear-1+BudgetsTable[[#This Row],[budg_seq_yr]])</f>
        <v>FY18</v>
      </c>
      <c r="Z354" s="81">
        <v>269021</v>
      </c>
      <c r="AA354" s="80" t="s">
        <v>1124</v>
      </c>
      <c r="AB354" s="80" t="s">
        <v>1377</v>
      </c>
      <c r="AC354" s="108" t="s">
        <v>94</v>
      </c>
      <c r="AD354" s="80" t="s">
        <v>1384</v>
      </c>
    </row>
    <row r="355" spans="1:30">
      <c r="A355" s="10" t="s">
        <v>996</v>
      </c>
      <c r="B355" s="78" t="s">
        <v>96</v>
      </c>
      <c r="C355" s="78">
        <f>C354+(BudgetsTable[[#This Row],[lead]]&lt;&gt;K354)</f>
        <v>48</v>
      </c>
      <c r="D355" s="78">
        <f>D354*(BudgetsTable[[#This Row],[lead]]=K354)+(BudgetsTable[[#This Row],[prop_id]]&lt;&gt;A354)</f>
        <v>1</v>
      </c>
      <c r="E355" s="79">
        <v>42969.449305555558</v>
      </c>
      <c r="F355" s="80" t="s">
        <v>1376</v>
      </c>
      <c r="G355" s="80" t="s">
        <v>1124</v>
      </c>
      <c r="H355" s="80" t="s">
        <v>1377</v>
      </c>
      <c r="I355" s="78" t="s">
        <v>705</v>
      </c>
      <c r="J355" s="78" t="s">
        <v>13</v>
      </c>
      <c r="K355" s="80" t="s">
        <v>996</v>
      </c>
      <c r="L355" s="7" t="str">
        <f>IF(BudgetsTable[[#This Row],[pi_last_name]]=" ","",HYPERLINK("https://www.ejacket.nsf.gov/ej/showProposal.do?Continue=Y&amp;ID="&amp;BudgetsTable[[#This Row],[prop_id]],BudgetsTable[[#This Row],[prop_id]]))</f>
        <v/>
      </c>
      <c r="M355" s="15" t="str">
        <f>IF(BudgetsTable[[#This Row],[pi_last_name]]=" ","",HYPERLINK("https://www.ejacket.nsf.gov/ej/processReviewAnalysis.do?dispatch=add&amp;uniqId="&amp;BudgetsTable[[#This Row],[prop_id]]&amp;PO_id,"&gt;ra"))</f>
        <v/>
      </c>
      <c r="N355" s="80" t="s">
        <v>13</v>
      </c>
      <c r="O355" s="7" t="str">
        <f>IF(BudgetsTable[[#This Row],[pi_last_name]]=" ","",HYPERLINK("mailto:"&amp;BudgetsTable[[#This Row],[pi_email]]&amp;"&amp;subject=Your NSF Proposal:  "&amp;BudgetsTable[[#This Row],[prop_id]],BudgetsTable[[#This Row],[pi_email]]))</f>
        <v/>
      </c>
      <c r="P355" s="80" t="s">
        <v>13</v>
      </c>
      <c r="Q355" s="80">
        <v>10</v>
      </c>
      <c r="R355" s="80">
        <v>0.86</v>
      </c>
      <c r="S355" s="81">
        <v>0</v>
      </c>
      <c r="T355" s="81">
        <v>0</v>
      </c>
      <c r="U355" s="81">
        <v>49000</v>
      </c>
      <c r="V355" s="82">
        <v>88485</v>
      </c>
      <c r="W355" s="80">
        <v>0</v>
      </c>
      <c r="X355" s="80">
        <v>1</v>
      </c>
      <c r="Y355" s="11" t="str">
        <f ca="1">IF(ISBLANK(BudgetsTable[[#This Row],[budg_seq_yr]]),"FY"&amp;fiscalyear,"FY"&amp;fiscalyear-1+BudgetsTable[[#This Row],[budg_seq_yr]])</f>
        <v>FY18</v>
      </c>
      <c r="Z355" s="81">
        <v>88485</v>
      </c>
      <c r="AA355" s="80" t="s">
        <v>1124</v>
      </c>
      <c r="AB355" s="80" t="s">
        <v>1377</v>
      </c>
      <c r="AC355" s="108" t="s">
        <v>94</v>
      </c>
      <c r="AD355" s="80" t="s">
        <v>1384</v>
      </c>
    </row>
    <row r="356" spans="1:30">
      <c r="A356" s="10" t="s">
        <v>996</v>
      </c>
      <c r="B356" s="78" t="s">
        <v>96</v>
      </c>
      <c r="C356" s="78">
        <f>C355+(BudgetsTable[[#This Row],[lead]]&lt;&gt;K355)</f>
        <v>48</v>
      </c>
      <c r="D356" s="78">
        <f>D355*(BudgetsTable[[#This Row],[lead]]=K355)+(BudgetsTable[[#This Row],[prop_id]]&lt;&gt;A355)</f>
        <v>1</v>
      </c>
      <c r="E356" s="79">
        <v>42969.449305555558</v>
      </c>
      <c r="F356" s="80" t="s">
        <v>1376</v>
      </c>
      <c r="G356" s="80" t="s">
        <v>1124</v>
      </c>
      <c r="H356" s="80" t="s">
        <v>1377</v>
      </c>
      <c r="I356" s="78" t="s">
        <v>705</v>
      </c>
      <c r="J356" s="78" t="s">
        <v>13</v>
      </c>
      <c r="K356" s="80" t="s">
        <v>996</v>
      </c>
      <c r="L356" s="7" t="str">
        <f>IF(BudgetsTable[[#This Row],[pi_last_name]]=" ","",HYPERLINK("https://www.ejacket.nsf.gov/ej/showProposal.do?Continue=Y&amp;ID="&amp;BudgetsTable[[#This Row],[prop_id]],BudgetsTable[[#This Row],[prop_id]]))</f>
        <v/>
      </c>
      <c r="M356" s="15" t="str">
        <f>IF(BudgetsTable[[#This Row],[pi_last_name]]=" ","",HYPERLINK("https://www.ejacket.nsf.gov/ej/processReviewAnalysis.do?dispatch=add&amp;uniqId="&amp;BudgetsTable[[#This Row],[prop_id]]&amp;PO_id,"&gt;ra"))</f>
        <v/>
      </c>
      <c r="N356" s="80" t="s">
        <v>13</v>
      </c>
      <c r="O356" s="7" t="str">
        <f>IF(BudgetsTable[[#This Row],[pi_last_name]]=" ","",HYPERLINK("mailto:"&amp;BudgetsTable[[#This Row],[pi_email]]&amp;"&amp;subject=Your NSF Proposal:  "&amp;BudgetsTable[[#This Row],[prop_id]],BudgetsTable[[#This Row],[pi_email]]))</f>
        <v/>
      </c>
      <c r="P356" s="80" t="s">
        <v>13</v>
      </c>
      <c r="Q356" s="80">
        <v>10</v>
      </c>
      <c r="R356" s="80">
        <v>0.86</v>
      </c>
      <c r="S356" s="81">
        <v>0</v>
      </c>
      <c r="T356" s="81">
        <v>0</v>
      </c>
      <c r="U356" s="81">
        <v>49000</v>
      </c>
      <c r="V356" s="82">
        <v>89627</v>
      </c>
      <c r="W356" s="80">
        <v>0</v>
      </c>
      <c r="X356" s="80">
        <v>2</v>
      </c>
      <c r="Y356" s="11" t="str">
        <f ca="1">IF(ISBLANK(BudgetsTable[[#This Row],[budg_seq_yr]]),"FY"&amp;fiscalyear,"FY"&amp;fiscalyear-1+BudgetsTable[[#This Row],[budg_seq_yr]])</f>
        <v>FY19</v>
      </c>
      <c r="Z356" s="81">
        <v>89627</v>
      </c>
      <c r="AA356" s="80" t="s">
        <v>1124</v>
      </c>
      <c r="AB356" s="80" t="s">
        <v>1377</v>
      </c>
      <c r="AC356" s="108" t="s">
        <v>94</v>
      </c>
      <c r="AD356" s="80" t="s">
        <v>1384</v>
      </c>
    </row>
    <row r="357" spans="1:30">
      <c r="A357" s="10" t="s">
        <v>996</v>
      </c>
      <c r="B357" s="78" t="s">
        <v>96</v>
      </c>
      <c r="C357" s="78">
        <f>C356+(BudgetsTable[[#This Row],[lead]]&lt;&gt;K356)</f>
        <v>48</v>
      </c>
      <c r="D357" s="78">
        <f>D356*(BudgetsTable[[#This Row],[lead]]=K356)+(BudgetsTable[[#This Row],[prop_id]]&lt;&gt;A356)</f>
        <v>1</v>
      </c>
      <c r="E357" s="79">
        <v>42969.449305555558</v>
      </c>
      <c r="F357" s="80" t="s">
        <v>1376</v>
      </c>
      <c r="G357" s="80" t="s">
        <v>1124</v>
      </c>
      <c r="H357" s="80" t="s">
        <v>1377</v>
      </c>
      <c r="I357" s="78" t="s">
        <v>705</v>
      </c>
      <c r="J357" s="78" t="s">
        <v>13</v>
      </c>
      <c r="K357" s="80" t="s">
        <v>996</v>
      </c>
      <c r="L357" s="7" t="str">
        <f>IF(BudgetsTable[[#This Row],[pi_last_name]]=" ","",HYPERLINK("https://www.ejacket.nsf.gov/ej/showProposal.do?Continue=Y&amp;ID="&amp;BudgetsTable[[#This Row],[prop_id]],BudgetsTable[[#This Row],[prop_id]]))</f>
        <v/>
      </c>
      <c r="M357" s="15" t="str">
        <f>IF(BudgetsTable[[#This Row],[pi_last_name]]=" ","",HYPERLINK("https://www.ejacket.nsf.gov/ej/processReviewAnalysis.do?dispatch=add&amp;uniqId="&amp;BudgetsTable[[#This Row],[prop_id]]&amp;PO_id,"&gt;ra"))</f>
        <v/>
      </c>
      <c r="N357" s="80" t="s">
        <v>13</v>
      </c>
      <c r="O357" s="7" t="str">
        <f>IF(BudgetsTable[[#This Row],[pi_last_name]]=" ","",HYPERLINK("mailto:"&amp;BudgetsTable[[#This Row],[pi_email]]&amp;"&amp;subject=Your NSF Proposal:  "&amp;BudgetsTable[[#This Row],[prop_id]],BudgetsTable[[#This Row],[pi_email]]))</f>
        <v/>
      </c>
      <c r="P357" s="80" t="s">
        <v>13</v>
      </c>
      <c r="Q357" s="80">
        <v>10</v>
      </c>
      <c r="R357" s="80">
        <v>0.86</v>
      </c>
      <c r="S357" s="81">
        <v>0</v>
      </c>
      <c r="T357" s="81">
        <v>0</v>
      </c>
      <c r="U357" s="81">
        <v>49000</v>
      </c>
      <c r="V357" s="82">
        <v>90909</v>
      </c>
      <c r="W357" s="80">
        <v>0</v>
      </c>
      <c r="X357" s="80">
        <v>3</v>
      </c>
      <c r="Y357" s="11" t="str">
        <f ca="1">IF(ISBLANK(BudgetsTable[[#This Row],[budg_seq_yr]]),"FY"&amp;fiscalyear,"FY"&amp;fiscalyear-1+BudgetsTable[[#This Row],[budg_seq_yr]])</f>
        <v>FY20</v>
      </c>
      <c r="Z357" s="81">
        <v>90909</v>
      </c>
      <c r="AA357" s="80" t="s">
        <v>1124</v>
      </c>
      <c r="AB357" s="80" t="s">
        <v>1377</v>
      </c>
      <c r="AC357" s="108" t="s">
        <v>94</v>
      </c>
      <c r="AD357" s="80" t="s">
        <v>1384</v>
      </c>
    </row>
    <row r="358" spans="1:30">
      <c r="A358" s="10" t="s">
        <v>1013</v>
      </c>
      <c r="B358" s="78" t="s">
        <v>96</v>
      </c>
      <c r="C358" s="78">
        <f>C357+(BudgetsTable[[#This Row],[lead]]&lt;&gt;K357)</f>
        <v>49</v>
      </c>
      <c r="D358" s="78">
        <f>D357*(BudgetsTable[[#This Row],[lead]]=K357)+(BudgetsTable[[#This Row],[prop_id]]&lt;&gt;A357)</f>
        <v>1</v>
      </c>
      <c r="E358" s="79">
        <v>42970.378472222219</v>
      </c>
      <c r="F358" s="80" t="s">
        <v>1376</v>
      </c>
      <c r="G358" s="80" t="s">
        <v>1124</v>
      </c>
      <c r="H358" s="80" t="s">
        <v>1377</v>
      </c>
      <c r="I358" s="78" t="s">
        <v>705</v>
      </c>
      <c r="J358" s="78" t="s">
        <v>1392</v>
      </c>
      <c r="K358" s="80" t="s">
        <v>1013</v>
      </c>
      <c r="L358" s="7" t="str">
        <f>IF(BudgetsTable[[#This Row],[pi_last_name]]=" ","",HYPERLINK("https://www.ejacket.nsf.gov/ej/showProposal.do?Continue=Y&amp;ID="&amp;BudgetsTable[[#This Row],[prop_id]],BudgetsTable[[#This Row],[prop_id]]))</f>
        <v>1757535</v>
      </c>
      <c r="M358" s="15" t="str">
        <f>IF(BudgetsTable[[#This Row],[pi_last_name]]=" ","",HYPERLINK("https://www.ejacket.nsf.gov/ej/processReviewAnalysis.do?dispatch=add&amp;uniqId="&amp;BudgetsTable[[#This Row],[prop_id]]&amp;PO_id,"&gt;ra"))</f>
        <v>&gt;ra</v>
      </c>
      <c r="N358" s="80" t="s">
        <v>457</v>
      </c>
      <c r="O358" s="7" t="str">
        <f>IF(BudgetsTable[[#This Row],[pi_last_name]]=" ","",HYPERLINK("mailto:"&amp;BudgetsTable[[#This Row],[pi_email]]&amp;"&amp;subject=Your NSF Proposal:  "&amp;BudgetsTable[[#This Row],[prop_id]],BudgetsTable[[#This Row],[pi_email]]))</f>
        <v>wzhang4@vcu.edu</v>
      </c>
      <c r="P358" s="80" t="s">
        <v>1389</v>
      </c>
      <c r="Q358" s="80"/>
      <c r="R358" s="80"/>
      <c r="S358" s="81"/>
      <c r="T358" s="81"/>
      <c r="U358" s="81"/>
      <c r="V358" s="82"/>
      <c r="W358" s="80">
        <v>0</v>
      </c>
      <c r="X358" s="80"/>
      <c r="Y358" s="11" t="str">
        <f ca="1">IF(ISBLANK(BudgetsTable[[#This Row],[budg_seq_yr]]),"FY"&amp;fiscalyear,"FY"&amp;fiscalyear-1+BudgetsTable[[#This Row],[budg_seq_yr]])</f>
        <v>FY18</v>
      </c>
      <c r="Z358" s="81">
        <v>447942</v>
      </c>
      <c r="AA358" s="80" t="s">
        <v>1124</v>
      </c>
      <c r="AB358" s="80" t="s">
        <v>1377</v>
      </c>
      <c r="AC358" s="108" t="s">
        <v>94</v>
      </c>
      <c r="AD358" s="80" t="s">
        <v>592</v>
      </c>
    </row>
    <row r="359" spans="1:30">
      <c r="A359" s="10" t="s">
        <v>1013</v>
      </c>
      <c r="B359" s="78" t="s">
        <v>96</v>
      </c>
      <c r="C359" s="78">
        <f>C358+(BudgetsTable[[#This Row],[lead]]&lt;&gt;K358)</f>
        <v>49</v>
      </c>
      <c r="D359" s="78">
        <f>D358*(BudgetsTable[[#This Row],[lead]]=K358)+(BudgetsTable[[#This Row],[prop_id]]&lt;&gt;A358)</f>
        <v>1</v>
      </c>
      <c r="E359" s="79">
        <v>42970.378472222219</v>
      </c>
      <c r="F359" s="80" t="s">
        <v>1376</v>
      </c>
      <c r="G359" s="80" t="s">
        <v>1124</v>
      </c>
      <c r="H359" s="80" t="s">
        <v>1377</v>
      </c>
      <c r="I359" s="78" t="s">
        <v>705</v>
      </c>
      <c r="J359" s="78" t="s">
        <v>13</v>
      </c>
      <c r="K359" s="80" t="s">
        <v>1013</v>
      </c>
      <c r="L359" s="7" t="str">
        <f>IF(BudgetsTable[[#This Row],[pi_last_name]]=" ","",HYPERLINK("https://www.ejacket.nsf.gov/ej/showProposal.do?Continue=Y&amp;ID="&amp;BudgetsTable[[#This Row],[prop_id]],BudgetsTable[[#This Row],[prop_id]]))</f>
        <v/>
      </c>
      <c r="M359" s="15" t="str">
        <f>IF(BudgetsTable[[#This Row],[pi_last_name]]=" ","",HYPERLINK("https://www.ejacket.nsf.gov/ej/processReviewAnalysis.do?dispatch=add&amp;uniqId="&amp;BudgetsTable[[#This Row],[prop_id]]&amp;PO_id,"&gt;ra"))</f>
        <v/>
      </c>
      <c r="N359" s="80" t="s">
        <v>13</v>
      </c>
      <c r="O359" s="7" t="str">
        <f>IF(BudgetsTable[[#This Row],[pi_last_name]]=" ","",HYPERLINK("mailto:"&amp;BudgetsTable[[#This Row],[pi_email]]&amp;"&amp;subject=Your NSF Proposal:  "&amp;BudgetsTable[[#This Row],[prop_id]],BudgetsTable[[#This Row],[pi_email]]))</f>
        <v/>
      </c>
      <c r="P359" s="80" t="s">
        <v>13</v>
      </c>
      <c r="Q359" s="80">
        <v>2</v>
      </c>
      <c r="R359" s="80">
        <v>0.75</v>
      </c>
      <c r="S359" s="81">
        <v>0</v>
      </c>
      <c r="T359" s="81">
        <v>0</v>
      </c>
      <c r="U359" s="81">
        <v>108363</v>
      </c>
      <c r="V359" s="82">
        <v>148410</v>
      </c>
      <c r="W359" s="80">
        <v>0</v>
      </c>
      <c r="X359" s="80">
        <v>1</v>
      </c>
      <c r="Y359" s="11" t="str">
        <f ca="1">IF(ISBLANK(BudgetsTable[[#This Row],[budg_seq_yr]]),"FY"&amp;fiscalyear,"FY"&amp;fiscalyear-1+BudgetsTable[[#This Row],[budg_seq_yr]])</f>
        <v>FY18</v>
      </c>
      <c r="Z359" s="81">
        <v>148410</v>
      </c>
      <c r="AA359" s="80" t="s">
        <v>1124</v>
      </c>
      <c r="AB359" s="80" t="s">
        <v>1377</v>
      </c>
      <c r="AC359" s="108" t="s">
        <v>94</v>
      </c>
      <c r="AD359" s="80" t="s">
        <v>592</v>
      </c>
    </row>
    <row r="360" spans="1:30">
      <c r="A360" s="10" t="s">
        <v>1013</v>
      </c>
      <c r="B360" s="78" t="s">
        <v>96</v>
      </c>
      <c r="C360" s="78">
        <f>C359+(BudgetsTable[[#This Row],[lead]]&lt;&gt;K359)</f>
        <v>49</v>
      </c>
      <c r="D360" s="78">
        <f>D359*(BudgetsTable[[#This Row],[lead]]=K359)+(BudgetsTable[[#This Row],[prop_id]]&lt;&gt;A359)</f>
        <v>1</v>
      </c>
      <c r="E360" s="79">
        <v>42970.378472222219</v>
      </c>
      <c r="F360" s="80" t="s">
        <v>1376</v>
      </c>
      <c r="G360" s="80" t="s">
        <v>1124</v>
      </c>
      <c r="H360" s="80" t="s">
        <v>1377</v>
      </c>
      <c r="I360" s="78" t="s">
        <v>705</v>
      </c>
      <c r="J360" s="78" t="s">
        <v>13</v>
      </c>
      <c r="K360" s="80" t="s">
        <v>1013</v>
      </c>
      <c r="L360" s="7" t="str">
        <f>IF(BudgetsTable[[#This Row],[pi_last_name]]=" ","",HYPERLINK("https://www.ejacket.nsf.gov/ej/showProposal.do?Continue=Y&amp;ID="&amp;BudgetsTable[[#This Row],[prop_id]],BudgetsTable[[#This Row],[prop_id]]))</f>
        <v/>
      </c>
      <c r="M360" s="15" t="str">
        <f>IF(BudgetsTable[[#This Row],[pi_last_name]]=" ","",HYPERLINK("https://www.ejacket.nsf.gov/ej/processReviewAnalysis.do?dispatch=add&amp;uniqId="&amp;BudgetsTable[[#This Row],[prop_id]]&amp;PO_id,"&gt;ra"))</f>
        <v/>
      </c>
      <c r="N360" s="80" t="s">
        <v>13</v>
      </c>
      <c r="O360" s="7" t="str">
        <f>IF(BudgetsTable[[#This Row],[pi_last_name]]=" ","",HYPERLINK("mailto:"&amp;BudgetsTable[[#This Row],[pi_email]]&amp;"&amp;subject=Your NSF Proposal:  "&amp;BudgetsTable[[#This Row],[prop_id]],BudgetsTable[[#This Row],[pi_email]]))</f>
        <v/>
      </c>
      <c r="P360" s="80" t="s">
        <v>13</v>
      </c>
      <c r="Q360" s="80">
        <v>2</v>
      </c>
      <c r="R360" s="80">
        <v>0.75</v>
      </c>
      <c r="S360" s="81">
        <v>0</v>
      </c>
      <c r="T360" s="81">
        <v>0</v>
      </c>
      <c r="U360" s="81">
        <v>108363</v>
      </c>
      <c r="V360" s="82">
        <v>149309</v>
      </c>
      <c r="W360" s="80">
        <v>0</v>
      </c>
      <c r="X360" s="80">
        <v>2</v>
      </c>
      <c r="Y360" s="11" t="str">
        <f ca="1">IF(ISBLANK(BudgetsTable[[#This Row],[budg_seq_yr]]),"FY"&amp;fiscalyear,"FY"&amp;fiscalyear-1+BudgetsTable[[#This Row],[budg_seq_yr]])</f>
        <v>FY19</v>
      </c>
      <c r="Z360" s="81">
        <v>149309</v>
      </c>
      <c r="AA360" s="80" t="s">
        <v>1124</v>
      </c>
      <c r="AB360" s="80" t="s">
        <v>1377</v>
      </c>
      <c r="AC360" s="108" t="s">
        <v>94</v>
      </c>
      <c r="AD360" s="80" t="s">
        <v>592</v>
      </c>
    </row>
    <row r="361" spans="1:30">
      <c r="A361" s="10" t="s">
        <v>1013</v>
      </c>
      <c r="B361" s="78" t="s">
        <v>96</v>
      </c>
      <c r="C361" s="78">
        <f>C360+(BudgetsTable[[#This Row],[lead]]&lt;&gt;K360)</f>
        <v>49</v>
      </c>
      <c r="D361" s="78">
        <f>D360*(BudgetsTable[[#This Row],[lead]]=K360)+(BudgetsTable[[#This Row],[prop_id]]&lt;&gt;A360)</f>
        <v>1</v>
      </c>
      <c r="E361" s="79">
        <v>42970.378472222219</v>
      </c>
      <c r="F361" s="80" t="s">
        <v>1376</v>
      </c>
      <c r="G361" s="80" t="s">
        <v>1124</v>
      </c>
      <c r="H361" s="80" t="s">
        <v>1377</v>
      </c>
      <c r="I361" s="78" t="s">
        <v>705</v>
      </c>
      <c r="J361" s="78" t="s">
        <v>13</v>
      </c>
      <c r="K361" s="80" t="s">
        <v>1013</v>
      </c>
      <c r="L361" s="7" t="str">
        <f>IF(BudgetsTable[[#This Row],[pi_last_name]]=" ","",HYPERLINK("https://www.ejacket.nsf.gov/ej/showProposal.do?Continue=Y&amp;ID="&amp;BudgetsTable[[#This Row],[prop_id]],BudgetsTable[[#This Row],[prop_id]]))</f>
        <v/>
      </c>
      <c r="M361" s="15" t="str">
        <f>IF(BudgetsTable[[#This Row],[pi_last_name]]=" ","",HYPERLINK("https://www.ejacket.nsf.gov/ej/processReviewAnalysis.do?dispatch=add&amp;uniqId="&amp;BudgetsTable[[#This Row],[prop_id]]&amp;PO_id,"&gt;ra"))</f>
        <v/>
      </c>
      <c r="N361" s="80" t="s">
        <v>13</v>
      </c>
      <c r="O361" s="7" t="str">
        <f>IF(BudgetsTable[[#This Row],[pi_last_name]]=" ","",HYPERLINK("mailto:"&amp;BudgetsTable[[#This Row],[pi_email]]&amp;"&amp;subject=Your NSF Proposal:  "&amp;BudgetsTable[[#This Row],[prop_id]],BudgetsTable[[#This Row],[pi_email]]))</f>
        <v/>
      </c>
      <c r="P361" s="80" t="s">
        <v>13</v>
      </c>
      <c r="Q361" s="80">
        <v>2</v>
      </c>
      <c r="R361" s="80">
        <v>0.75</v>
      </c>
      <c r="S361" s="81">
        <v>0</v>
      </c>
      <c r="T361" s="81">
        <v>0</v>
      </c>
      <c r="U361" s="81">
        <v>108363</v>
      </c>
      <c r="V361" s="82">
        <v>150223</v>
      </c>
      <c r="W361" s="80">
        <v>0</v>
      </c>
      <c r="X361" s="80">
        <v>3</v>
      </c>
      <c r="Y361" s="11" t="str">
        <f ca="1">IF(ISBLANK(BudgetsTable[[#This Row],[budg_seq_yr]]),"FY"&amp;fiscalyear,"FY"&amp;fiscalyear-1+BudgetsTable[[#This Row],[budg_seq_yr]])</f>
        <v>FY20</v>
      </c>
      <c r="Z361" s="81">
        <v>150223</v>
      </c>
      <c r="AA361" s="80" t="s">
        <v>1124</v>
      </c>
      <c r="AB361" s="80" t="s">
        <v>1377</v>
      </c>
      <c r="AC361" s="108" t="s">
        <v>94</v>
      </c>
      <c r="AD361" s="80" t="s">
        <v>592</v>
      </c>
    </row>
    <row r="362" spans="1:30">
      <c r="A362" s="10" t="s">
        <v>1028</v>
      </c>
      <c r="B362" s="78" t="s">
        <v>96</v>
      </c>
      <c r="C362" s="78">
        <f>C361+(BudgetsTable[[#This Row],[lead]]&lt;&gt;K361)</f>
        <v>50</v>
      </c>
      <c r="D362" s="78">
        <f>D361*(BudgetsTable[[#This Row],[lead]]=K361)+(BudgetsTable[[#This Row],[prop_id]]&lt;&gt;A361)</f>
        <v>1</v>
      </c>
      <c r="E362" s="79">
        <v>42970.536111111112</v>
      </c>
      <c r="F362" s="80" t="s">
        <v>1376</v>
      </c>
      <c r="G362" s="80" t="s">
        <v>1124</v>
      </c>
      <c r="H362" s="80" t="s">
        <v>1377</v>
      </c>
      <c r="I362" s="78" t="s">
        <v>705</v>
      </c>
      <c r="J362" s="78" t="s">
        <v>1397</v>
      </c>
      <c r="K362" s="80" t="s">
        <v>1028</v>
      </c>
      <c r="L362" s="7" t="str">
        <f>IF(BudgetsTable[[#This Row],[pi_last_name]]=" ","",HYPERLINK("https://www.ejacket.nsf.gov/ej/showProposal.do?Continue=Y&amp;ID="&amp;BudgetsTable[[#This Row],[prop_id]],BudgetsTable[[#This Row],[prop_id]]))</f>
        <v>1757632</v>
      </c>
      <c r="M362" s="15" t="str">
        <f>IF(BudgetsTable[[#This Row],[pi_last_name]]=" ","",HYPERLINK("https://www.ejacket.nsf.gov/ej/processReviewAnalysis.do?dispatch=add&amp;uniqId="&amp;BudgetsTable[[#This Row],[prop_id]]&amp;PO_id,"&gt;ra"))</f>
        <v>&gt;ra</v>
      </c>
      <c r="N362" s="80" t="s">
        <v>1029</v>
      </c>
      <c r="O362" s="7" t="str">
        <f>IF(BudgetsTable[[#This Row],[pi_last_name]]=" ","",HYPERLINK("mailto:"&amp;BudgetsTable[[#This Row],[pi_email]]&amp;"&amp;subject=Your NSF Proposal:  "&amp;BudgetsTable[[#This Row],[prop_id]],BudgetsTable[[#This Row],[pi_email]]))</f>
        <v>holder@eecs.wsu.edu</v>
      </c>
      <c r="P362" s="80" t="s">
        <v>1227</v>
      </c>
      <c r="Q362" s="80"/>
      <c r="R362" s="80"/>
      <c r="S362" s="81"/>
      <c r="T362" s="81"/>
      <c r="U362" s="81"/>
      <c r="V362" s="82"/>
      <c r="W362" s="80">
        <v>0</v>
      </c>
      <c r="X362" s="80"/>
      <c r="Y362" s="11" t="str">
        <f ca="1">IF(ISBLANK(BudgetsTable[[#This Row],[budg_seq_yr]]),"FY"&amp;fiscalyear,"FY"&amp;fiscalyear-1+BudgetsTable[[#This Row],[budg_seq_yr]])</f>
        <v>FY18</v>
      </c>
      <c r="Z362" s="81">
        <v>410400</v>
      </c>
      <c r="AA362" s="80" t="s">
        <v>1124</v>
      </c>
      <c r="AB362" s="80" t="s">
        <v>1377</v>
      </c>
      <c r="AC362" s="108" t="s">
        <v>94</v>
      </c>
      <c r="AD362" s="80" t="s">
        <v>592</v>
      </c>
    </row>
    <row r="363" spans="1:30">
      <c r="A363" s="10" t="s">
        <v>1028</v>
      </c>
      <c r="B363" s="78" t="s">
        <v>96</v>
      </c>
      <c r="C363" s="78">
        <f>C362+(BudgetsTable[[#This Row],[lead]]&lt;&gt;K362)</f>
        <v>50</v>
      </c>
      <c r="D363" s="78">
        <f>D362*(BudgetsTable[[#This Row],[lead]]=K362)+(BudgetsTable[[#This Row],[prop_id]]&lt;&gt;A362)</f>
        <v>1</v>
      </c>
      <c r="E363" s="79">
        <v>42970.536111111112</v>
      </c>
      <c r="F363" s="80" t="s">
        <v>1376</v>
      </c>
      <c r="G363" s="80" t="s">
        <v>1124</v>
      </c>
      <c r="H363" s="80" t="s">
        <v>1377</v>
      </c>
      <c r="I363" s="78" t="s">
        <v>705</v>
      </c>
      <c r="J363" s="78" t="s">
        <v>13</v>
      </c>
      <c r="K363" s="80" t="s">
        <v>1028</v>
      </c>
      <c r="L363" s="7" t="str">
        <f>IF(BudgetsTable[[#This Row],[pi_last_name]]=" ","",HYPERLINK("https://www.ejacket.nsf.gov/ej/showProposal.do?Continue=Y&amp;ID="&amp;BudgetsTable[[#This Row],[prop_id]],BudgetsTable[[#This Row],[prop_id]]))</f>
        <v/>
      </c>
      <c r="M363" s="15" t="str">
        <f>IF(BudgetsTable[[#This Row],[pi_last_name]]=" ","",HYPERLINK("https://www.ejacket.nsf.gov/ej/processReviewAnalysis.do?dispatch=add&amp;uniqId="&amp;BudgetsTable[[#This Row],[prop_id]]&amp;PO_id,"&gt;ra"))</f>
        <v/>
      </c>
      <c r="N363" s="80" t="s">
        <v>13</v>
      </c>
      <c r="O363" s="7" t="str">
        <f>IF(BudgetsTable[[#This Row],[pi_last_name]]=" ","",HYPERLINK("mailto:"&amp;BudgetsTable[[#This Row],[pi_email]]&amp;"&amp;subject=Your NSF Proposal:  "&amp;BudgetsTable[[#This Row],[prop_id]],BudgetsTable[[#This Row],[pi_email]]))</f>
        <v/>
      </c>
      <c r="P363" s="80" t="s">
        <v>13</v>
      </c>
      <c r="Q363" s="80">
        <v>1</v>
      </c>
      <c r="R363" s="80">
        <v>0</v>
      </c>
      <c r="S363" s="81">
        <v>0</v>
      </c>
      <c r="T363" s="81">
        <v>0</v>
      </c>
      <c r="U363" s="81">
        <v>94560</v>
      </c>
      <c r="V363" s="82">
        <v>136800</v>
      </c>
      <c r="W363" s="80">
        <v>0</v>
      </c>
      <c r="X363" s="80">
        <v>1</v>
      </c>
      <c r="Y363" s="11" t="str">
        <f ca="1">IF(ISBLANK(BudgetsTable[[#This Row],[budg_seq_yr]]),"FY"&amp;fiscalyear,"FY"&amp;fiscalyear-1+BudgetsTable[[#This Row],[budg_seq_yr]])</f>
        <v>FY18</v>
      </c>
      <c r="Z363" s="81">
        <v>136800</v>
      </c>
      <c r="AA363" s="80" t="s">
        <v>1124</v>
      </c>
      <c r="AB363" s="80" t="s">
        <v>1377</v>
      </c>
      <c r="AC363" s="108" t="s">
        <v>94</v>
      </c>
      <c r="AD363" s="80" t="s">
        <v>592</v>
      </c>
    </row>
    <row r="364" spans="1:30">
      <c r="A364" s="10" t="s">
        <v>1028</v>
      </c>
      <c r="B364" s="78" t="s">
        <v>96</v>
      </c>
      <c r="C364" s="78">
        <f>C363+(BudgetsTable[[#This Row],[lead]]&lt;&gt;K363)</f>
        <v>50</v>
      </c>
      <c r="D364" s="78">
        <f>D363*(BudgetsTable[[#This Row],[lead]]=K363)+(BudgetsTable[[#This Row],[prop_id]]&lt;&gt;A363)</f>
        <v>1</v>
      </c>
      <c r="E364" s="79">
        <v>42970.536111111112</v>
      </c>
      <c r="F364" s="80" t="s">
        <v>1376</v>
      </c>
      <c r="G364" s="80" t="s">
        <v>1124</v>
      </c>
      <c r="H364" s="80" t="s">
        <v>1377</v>
      </c>
      <c r="I364" s="78" t="s">
        <v>705</v>
      </c>
      <c r="J364" s="78" t="s">
        <v>13</v>
      </c>
      <c r="K364" s="80" t="s">
        <v>1028</v>
      </c>
      <c r="L364" s="7" t="str">
        <f>IF(BudgetsTable[[#This Row],[pi_last_name]]=" ","",HYPERLINK("https://www.ejacket.nsf.gov/ej/showProposal.do?Continue=Y&amp;ID="&amp;BudgetsTable[[#This Row],[prop_id]],BudgetsTable[[#This Row],[prop_id]]))</f>
        <v/>
      </c>
      <c r="M364" s="15" t="str">
        <f>IF(BudgetsTable[[#This Row],[pi_last_name]]=" ","",HYPERLINK("https://www.ejacket.nsf.gov/ej/processReviewAnalysis.do?dispatch=add&amp;uniqId="&amp;BudgetsTable[[#This Row],[prop_id]]&amp;PO_id,"&gt;ra"))</f>
        <v/>
      </c>
      <c r="N364" s="80" t="s">
        <v>13</v>
      </c>
      <c r="O364" s="7" t="str">
        <f>IF(BudgetsTable[[#This Row],[pi_last_name]]=" ","",HYPERLINK("mailto:"&amp;BudgetsTable[[#This Row],[pi_email]]&amp;"&amp;subject=Your NSF Proposal:  "&amp;BudgetsTable[[#This Row],[prop_id]],BudgetsTable[[#This Row],[pi_email]]))</f>
        <v/>
      </c>
      <c r="P364" s="80" t="s">
        <v>13</v>
      </c>
      <c r="Q364" s="80">
        <v>1</v>
      </c>
      <c r="R364" s="80">
        <v>0</v>
      </c>
      <c r="S364" s="81">
        <v>0</v>
      </c>
      <c r="T364" s="81">
        <v>0</v>
      </c>
      <c r="U364" s="81">
        <v>94560</v>
      </c>
      <c r="V364" s="82">
        <v>136800</v>
      </c>
      <c r="W364" s="80">
        <v>0</v>
      </c>
      <c r="X364" s="80">
        <v>2</v>
      </c>
      <c r="Y364" s="11" t="str">
        <f ca="1">IF(ISBLANK(BudgetsTable[[#This Row],[budg_seq_yr]]),"FY"&amp;fiscalyear,"FY"&amp;fiscalyear-1+BudgetsTable[[#This Row],[budg_seq_yr]])</f>
        <v>FY19</v>
      </c>
      <c r="Z364" s="81">
        <v>136800</v>
      </c>
      <c r="AA364" s="80" t="s">
        <v>1124</v>
      </c>
      <c r="AB364" s="80" t="s">
        <v>1377</v>
      </c>
      <c r="AC364" s="108" t="s">
        <v>94</v>
      </c>
      <c r="AD364" s="80" t="s">
        <v>592</v>
      </c>
    </row>
    <row r="365" spans="1:30">
      <c r="A365" s="10" t="s">
        <v>1028</v>
      </c>
      <c r="B365" s="78" t="s">
        <v>96</v>
      </c>
      <c r="C365" s="78">
        <f>C364+(BudgetsTable[[#This Row],[lead]]&lt;&gt;K364)</f>
        <v>50</v>
      </c>
      <c r="D365" s="78">
        <f>D364*(BudgetsTable[[#This Row],[lead]]=K364)+(BudgetsTable[[#This Row],[prop_id]]&lt;&gt;A364)</f>
        <v>1</v>
      </c>
      <c r="E365" s="79">
        <v>42970.536111111112</v>
      </c>
      <c r="F365" s="80" t="s">
        <v>1376</v>
      </c>
      <c r="G365" s="80" t="s">
        <v>1124</v>
      </c>
      <c r="H365" s="80" t="s">
        <v>1377</v>
      </c>
      <c r="I365" s="78" t="s">
        <v>705</v>
      </c>
      <c r="J365" s="78" t="s">
        <v>13</v>
      </c>
      <c r="K365" s="80" t="s">
        <v>1028</v>
      </c>
      <c r="L365" s="7" t="str">
        <f>IF(BudgetsTable[[#This Row],[pi_last_name]]=" ","",HYPERLINK("https://www.ejacket.nsf.gov/ej/showProposal.do?Continue=Y&amp;ID="&amp;BudgetsTable[[#This Row],[prop_id]],BudgetsTable[[#This Row],[prop_id]]))</f>
        <v/>
      </c>
      <c r="M365" s="15" t="str">
        <f>IF(BudgetsTable[[#This Row],[pi_last_name]]=" ","",HYPERLINK("https://www.ejacket.nsf.gov/ej/processReviewAnalysis.do?dispatch=add&amp;uniqId="&amp;BudgetsTable[[#This Row],[prop_id]]&amp;PO_id,"&gt;ra"))</f>
        <v/>
      </c>
      <c r="N365" s="80" t="s">
        <v>13</v>
      </c>
      <c r="O365" s="7" t="str">
        <f>IF(BudgetsTable[[#This Row],[pi_last_name]]=" ","",HYPERLINK("mailto:"&amp;BudgetsTable[[#This Row],[pi_email]]&amp;"&amp;subject=Your NSF Proposal:  "&amp;BudgetsTable[[#This Row],[prop_id]],BudgetsTable[[#This Row],[pi_email]]))</f>
        <v/>
      </c>
      <c r="P365" s="80" t="s">
        <v>13</v>
      </c>
      <c r="Q365" s="80">
        <v>1</v>
      </c>
      <c r="R365" s="80">
        <v>0</v>
      </c>
      <c r="S365" s="81">
        <v>0</v>
      </c>
      <c r="T365" s="81">
        <v>0</v>
      </c>
      <c r="U365" s="81">
        <v>94560</v>
      </c>
      <c r="V365" s="82">
        <v>136800</v>
      </c>
      <c r="W365" s="80">
        <v>0</v>
      </c>
      <c r="X365" s="80">
        <v>3</v>
      </c>
      <c r="Y365" s="11" t="str">
        <f ca="1">IF(ISBLANK(BudgetsTable[[#This Row],[budg_seq_yr]]),"FY"&amp;fiscalyear,"FY"&amp;fiscalyear-1+BudgetsTable[[#This Row],[budg_seq_yr]])</f>
        <v>FY20</v>
      </c>
      <c r="Z365" s="81">
        <v>136800</v>
      </c>
      <c r="AA365" s="80" t="s">
        <v>1124</v>
      </c>
      <c r="AB365" s="80" t="s">
        <v>1377</v>
      </c>
      <c r="AC365" s="108" t="s">
        <v>94</v>
      </c>
      <c r="AD365" s="80" t="s">
        <v>592</v>
      </c>
    </row>
    <row r="366" spans="1:30">
      <c r="A366" s="10" t="s">
        <v>1036</v>
      </c>
      <c r="B366" s="78" t="s">
        <v>96</v>
      </c>
      <c r="C366" s="78">
        <f>C365+(BudgetsTable[[#This Row],[lead]]&lt;&gt;K365)</f>
        <v>51</v>
      </c>
      <c r="D366" s="78">
        <f>D365*(BudgetsTable[[#This Row],[lead]]=K365)+(BudgetsTable[[#This Row],[prop_id]]&lt;&gt;A365)</f>
        <v>1</v>
      </c>
      <c r="E366" s="79">
        <v>42970.65</v>
      </c>
      <c r="F366" s="80" t="s">
        <v>1376</v>
      </c>
      <c r="G366" s="80" t="s">
        <v>1124</v>
      </c>
      <c r="H366" s="80" t="s">
        <v>1377</v>
      </c>
      <c r="I366" s="78" t="s">
        <v>705</v>
      </c>
      <c r="J366" s="78" t="s">
        <v>1402</v>
      </c>
      <c r="K366" s="80" t="s">
        <v>1036</v>
      </c>
      <c r="L366" s="7" t="str">
        <f>IF(BudgetsTable[[#This Row],[pi_last_name]]=" ","",HYPERLINK("https://www.ejacket.nsf.gov/ej/showProposal.do?Continue=Y&amp;ID="&amp;BudgetsTable[[#This Row],[prop_id]],BudgetsTable[[#This Row],[prop_id]]))</f>
        <v>1757781</v>
      </c>
      <c r="M366" s="15" t="str">
        <f>IF(BudgetsTable[[#This Row],[pi_last_name]]=" ","",HYPERLINK("https://www.ejacket.nsf.gov/ej/processReviewAnalysis.do?dispatch=add&amp;uniqId="&amp;BudgetsTable[[#This Row],[prop_id]]&amp;PO_id,"&gt;ra"))</f>
        <v>&gt;ra</v>
      </c>
      <c r="N366" s="80" t="s">
        <v>579</v>
      </c>
      <c r="O366" s="7" t="str">
        <f>IF(BudgetsTable[[#This Row],[pi_last_name]]=" ","",HYPERLINK("mailto:"&amp;BudgetsTable[[#This Row],[pi_email]]&amp;"&amp;subject=Your NSF Proposal:  "&amp;BudgetsTable[[#This Row],[prop_id]],BudgetsTable[[#This Row],[pi_email]]))</f>
        <v>yuanj@erau.edu</v>
      </c>
      <c r="P366" s="80" t="s">
        <v>1399</v>
      </c>
      <c r="Q366" s="80"/>
      <c r="R366" s="80"/>
      <c r="S366" s="81"/>
      <c r="T366" s="81"/>
      <c r="U366" s="81"/>
      <c r="V366" s="82"/>
      <c r="W366" s="80">
        <v>1</v>
      </c>
      <c r="X366" s="80"/>
      <c r="Y366" s="11" t="str">
        <f ca="1">IF(ISBLANK(BudgetsTable[[#This Row],[budg_seq_yr]]),"FY"&amp;fiscalyear,"FY"&amp;fiscalyear-1+BudgetsTable[[#This Row],[budg_seq_yr]])</f>
        <v>FY18</v>
      </c>
      <c r="Z366" s="81">
        <v>287959</v>
      </c>
      <c r="AA366" s="80" t="s">
        <v>1124</v>
      </c>
      <c r="AB366" s="80" t="s">
        <v>1377</v>
      </c>
      <c r="AC366" s="108" t="s">
        <v>94</v>
      </c>
      <c r="AD366" s="80" t="s">
        <v>592</v>
      </c>
    </row>
    <row r="367" spans="1:30">
      <c r="A367" s="10" t="s">
        <v>1036</v>
      </c>
      <c r="B367" s="78" t="s">
        <v>96</v>
      </c>
      <c r="C367" s="78">
        <f>C366+(BudgetsTable[[#This Row],[lead]]&lt;&gt;K366)</f>
        <v>51</v>
      </c>
      <c r="D367" s="78">
        <f>D366*(BudgetsTable[[#This Row],[lead]]=K366)+(BudgetsTable[[#This Row],[prop_id]]&lt;&gt;A366)</f>
        <v>1</v>
      </c>
      <c r="E367" s="79">
        <v>42970.65</v>
      </c>
      <c r="F367" s="80" t="s">
        <v>1376</v>
      </c>
      <c r="G367" s="80" t="s">
        <v>1124</v>
      </c>
      <c r="H367" s="80" t="s">
        <v>1377</v>
      </c>
      <c r="I367" s="78" t="s">
        <v>705</v>
      </c>
      <c r="J367" s="78" t="s">
        <v>13</v>
      </c>
      <c r="K367" s="80" t="s">
        <v>1036</v>
      </c>
      <c r="L367" s="7" t="str">
        <f>IF(BudgetsTable[[#This Row],[pi_last_name]]=" ","",HYPERLINK("https://www.ejacket.nsf.gov/ej/showProposal.do?Continue=Y&amp;ID="&amp;BudgetsTable[[#This Row],[prop_id]],BudgetsTable[[#This Row],[prop_id]]))</f>
        <v/>
      </c>
      <c r="M367" s="15" t="str">
        <f>IF(BudgetsTable[[#This Row],[pi_last_name]]=" ","",HYPERLINK("https://www.ejacket.nsf.gov/ej/processReviewAnalysis.do?dispatch=add&amp;uniqId="&amp;BudgetsTable[[#This Row],[prop_id]]&amp;PO_id,"&gt;ra"))</f>
        <v/>
      </c>
      <c r="N367" s="80" t="s">
        <v>13</v>
      </c>
      <c r="O367" s="7" t="str">
        <f>IF(BudgetsTable[[#This Row],[pi_last_name]]=" ","",HYPERLINK("mailto:"&amp;BudgetsTable[[#This Row],[pi_email]]&amp;"&amp;subject=Your NSF Proposal:  "&amp;BudgetsTable[[#This Row],[prop_id]],BudgetsTable[[#This Row],[pi_email]]))</f>
        <v/>
      </c>
      <c r="P367" s="80" t="s">
        <v>13</v>
      </c>
      <c r="Q367" s="80">
        <v>7</v>
      </c>
      <c r="R367" s="80">
        <v>1.29</v>
      </c>
      <c r="S367" s="81">
        <v>0</v>
      </c>
      <c r="T367" s="81">
        <v>0</v>
      </c>
      <c r="U367" s="81">
        <v>67840</v>
      </c>
      <c r="V367" s="82">
        <v>100291</v>
      </c>
      <c r="W367" s="80">
        <v>1</v>
      </c>
      <c r="X367" s="80">
        <v>1</v>
      </c>
      <c r="Y367" s="11" t="str">
        <f ca="1">IF(ISBLANK(BudgetsTable[[#This Row],[budg_seq_yr]]),"FY"&amp;fiscalyear,"FY"&amp;fiscalyear-1+BudgetsTable[[#This Row],[budg_seq_yr]])</f>
        <v>FY18</v>
      </c>
      <c r="Z367" s="81">
        <v>100291</v>
      </c>
      <c r="AA367" s="80" t="s">
        <v>1124</v>
      </c>
      <c r="AB367" s="80" t="s">
        <v>1377</v>
      </c>
      <c r="AC367" s="108" t="s">
        <v>94</v>
      </c>
      <c r="AD367" s="80" t="s">
        <v>592</v>
      </c>
    </row>
    <row r="368" spans="1:30">
      <c r="A368" s="10" t="s">
        <v>1036</v>
      </c>
      <c r="B368" s="78" t="s">
        <v>96</v>
      </c>
      <c r="C368" s="78">
        <f>C367+(BudgetsTable[[#This Row],[lead]]&lt;&gt;K367)</f>
        <v>51</v>
      </c>
      <c r="D368" s="78">
        <f>D367*(BudgetsTable[[#This Row],[lead]]=K367)+(BudgetsTable[[#This Row],[prop_id]]&lt;&gt;A367)</f>
        <v>1</v>
      </c>
      <c r="E368" s="79">
        <v>42970.65</v>
      </c>
      <c r="F368" s="80" t="s">
        <v>1376</v>
      </c>
      <c r="G368" s="80" t="s">
        <v>1124</v>
      </c>
      <c r="H368" s="80" t="s">
        <v>1377</v>
      </c>
      <c r="I368" s="78" t="s">
        <v>705</v>
      </c>
      <c r="J368" s="78" t="s">
        <v>13</v>
      </c>
      <c r="K368" s="80" t="s">
        <v>1036</v>
      </c>
      <c r="L368" s="7" t="str">
        <f>IF(BudgetsTable[[#This Row],[pi_last_name]]=" ","",HYPERLINK("https://www.ejacket.nsf.gov/ej/showProposal.do?Continue=Y&amp;ID="&amp;BudgetsTable[[#This Row],[prop_id]],BudgetsTable[[#This Row],[prop_id]]))</f>
        <v/>
      </c>
      <c r="M368" s="15" t="str">
        <f>IF(BudgetsTable[[#This Row],[pi_last_name]]=" ","",HYPERLINK("https://www.ejacket.nsf.gov/ej/processReviewAnalysis.do?dispatch=add&amp;uniqId="&amp;BudgetsTable[[#This Row],[prop_id]]&amp;PO_id,"&gt;ra"))</f>
        <v/>
      </c>
      <c r="N368" s="80" t="s">
        <v>13</v>
      </c>
      <c r="O368" s="7" t="str">
        <f>IF(BudgetsTable[[#This Row],[pi_last_name]]=" ","",HYPERLINK("mailto:"&amp;BudgetsTable[[#This Row],[pi_email]]&amp;"&amp;subject=Your NSF Proposal:  "&amp;BudgetsTable[[#This Row],[prop_id]],BudgetsTable[[#This Row],[pi_email]]))</f>
        <v/>
      </c>
      <c r="P368" s="80" t="s">
        <v>13</v>
      </c>
      <c r="Q368" s="80">
        <v>7</v>
      </c>
      <c r="R368" s="80">
        <v>1.29</v>
      </c>
      <c r="S368" s="81">
        <v>0</v>
      </c>
      <c r="T368" s="81">
        <v>0</v>
      </c>
      <c r="U368" s="81">
        <v>67840</v>
      </c>
      <c r="V368" s="82">
        <v>93834</v>
      </c>
      <c r="W368" s="80">
        <v>1</v>
      </c>
      <c r="X368" s="80">
        <v>2</v>
      </c>
      <c r="Y368" s="11" t="str">
        <f ca="1">IF(ISBLANK(BudgetsTable[[#This Row],[budg_seq_yr]]),"FY"&amp;fiscalyear,"FY"&amp;fiscalyear-1+BudgetsTable[[#This Row],[budg_seq_yr]])</f>
        <v>FY19</v>
      </c>
      <c r="Z368" s="81">
        <v>93834</v>
      </c>
      <c r="AA368" s="80" t="s">
        <v>1124</v>
      </c>
      <c r="AB368" s="80" t="s">
        <v>1377</v>
      </c>
      <c r="AC368" s="108" t="s">
        <v>94</v>
      </c>
      <c r="AD368" s="80" t="s">
        <v>592</v>
      </c>
    </row>
    <row r="369" spans="1:30">
      <c r="A369" s="10" t="s">
        <v>1036</v>
      </c>
      <c r="B369" s="78" t="s">
        <v>96</v>
      </c>
      <c r="C369" s="78">
        <f>C368+(BudgetsTable[[#This Row],[lead]]&lt;&gt;K368)</f>
        <v>51</v>
      </c>
      <c r="D369" s="78">
        <f>D368*(BudgetsTable[[#This Row],[lead]]=K368)+(BudgetsTable[[#This Row],[prop_id]]&lt;&gt;A368)</f>
        <v>1</v>
      </c>
      <c r="E369" s="79">
        <v>42970.65</v>
      </c>
      <c r="F369" s="80" t="s">
        <v>1376</v>
      </c>
      <c r="G369" s="80" t="s">
        <v>1124</v>
      </c>
      <c r="H369" s="80" t="s">
        <v>1377</v>
      </c>
      <c r="I369" s="78" t="s">
        <v>705</v>
      </c>
      <c r="J369" s="78" t="s">
        <v>13</v>
      </c>
      <c r="K369" s="80" t="s">
        <v>1036</v>
      </c>
      <c r="L369" s="7" t="str">
        <f>IF(BudgetsTable[[#This Row],[pi_last_name]]=" ","",HYPERLINK("https://www.ejacket.nsf.gov/ej/showProposal.do?Continue=Y&amp;ID="&amp;BudgetsTable[[#This Row],[prop_id]],BudgetsTable[[#This Row],[prop_id]]))</f>
        <v/>
      </c>
      <c r="M369" s="15" t="str">
        <f>IF(BudgetsTable[[#This Row],[pi_last_name]]=" ","",HYPERLINK("https://www.ejacket.nsf.gov/ej/processReviewAnalysis.do?dispatch=add&amp;uniqId="&amp;BudgetsTable[[#This Row],[prop_id]]&amp;PO_id,"&gt;ra"))</f>
        <v/>
      </c>
      <c r="N369" s="80" t="s">
        <v>13</v>
      </c>
      <c r="O369" s="7" t="str">
        <f>IF(BudgetsTable[[#This Row],[pi_last_name]]=" ","",HYPERLINK("mailto:"&amp;BudgetsTable[[#This Row],[pi_email]]&amp;"&amp;subject=Your NSF Proposal:  "&amp;BudgetsTable[[#This Row],[prop_id]],BudgetsTable[[#This Row],[pi_email]]))</f>
        <v/>
      </c>
      <c r="P369" s="80" t="s">
        <v>13</v>
      </c>
      <c r="Q369" s="80">
        <v>7</v>
      </c>
      <c r="R369" s="80">
        <v>1.29</v>
      </c>
      <c r="S369" s="81">
        <v>0</v>
      </c>
      <c r="T369" s="81">
        <v>0</v>
      </c>
      <c r="U369" s="81">
        <v>67840</v>
      </c>
      <c r="V369" s="82">
        <v>93834</v>
      </c>
      <c r="W369" s="80">
        <v>1</v>
      </c>
      <c r="X369" s="80">
        <v>3</v>
      </c>
      <c r="Y369" s="11" t="str">
        <f ca="1">IF(ISBLANK(BudgetsTable[[#This Row],[budg_seq_yr]]),"FY"&amp;fiscalyear,"FY"&amp;fiscalyear-1+BudgetsTable[[#This Row],[budg_seq_yr]])</f>
        <v>FY20</v>
      </c>
      <c r="Z369" s="81">
        <v>93834</v>
      </c>
      <c r="AA369" s="80" t="s">
        <v>1124</v>
      </c>
      <c r="AB369" s="80" t="s">
        <v>1377</v>
      </c>
      <c r="AC369" s="108" t="s">
        <v>94</v>
      </c>
      <c r="AD369" s="80" t="s">
        <v>592</v>
      </c>
    </row>
    <row r="370" spans="1:30">
      <c r="A370" s="10" t="s">
        <v>1043</v>
      </c>
      <c r="B370" s="78" t="s">
        <v>96</v>
      </c>
      <c r="C370" s="78">
        <f>C369+(BudgetsTable[[#This Row],[lead]]&lt;&gt;K369)</f>
        <v>52</v>
      </c>
      <c r="D370" s="78">
        <f>D369*(BudgetsTable[[#This Row],[lead]]=K369)+(BudgetsTable[[#This Row],[prop_id]]&lt;&gt;A369)</f>
        <v>1</v>
      </c>
      <c r="E370" s="79">
        <v>42970.652083333334</v>
      </c>
      <c r="F370" s="80" t="s">
        <v>1376</v>
      </c>
      <c r="G370" s="80" t="s">
        <v>1124</v>
      </c>
      <c r="H370" s="80" t="s">
        <v>1377</v>
      </c>
      <c r="I370" s="78" t="s">
        <v>705</v>
      </c>
      <c r="J370" s="78" t="s">
        <v>472</v>
      </c>
      <c r="K370" s="80" t="s">
        <v>1043</v>
      </c>
      <c r="L370" s="7" t="str">
        <f>IF(BudgetsTable[[#This Row],[pi_last_name]]=" ","",HYPERLINK("https://www.ejacket.nsf.gov/ej/showProposal.do?Continue=Y&amp;ID="&amp;BudgetsTable[[#This Row],[prop_id]],BudgetsTable[[#This Row],[prop_id]]))</f>
        <v>1757787</v>
      </c>
      <c r="M370" s="15" t="str">
        <f>IF(BudgetsTable[[#This Row],[pi_last_name]]=" ","",HYPERLINK("https://www.ejacket.nsf.gov/ej/processReviewAnalysis.do?dispatch=add&amp;uniqId="&amp;BudgetsTable[[#This Row],[prop_id]]&amp;PO_id,"&gt;ra"))</f>
        <v>&gt;ra</v>
      </c>
      <c r="N370" s="80" t="s">
        <v>469</v>
      </c>
      <c r="O370" s="7" t="str">
        <f>IF(BudgetsTable[[#This Row],[pi_last_name]]=" ","",HYPERLINK("mailto:"&amp;BudgetsTable[[#This Row],[pi_email]]&amp;"&amp;subject=Your NSF Proposal:  "&amp;BudgetsTable[[#This Row],[prop_id]],BudgetsTable[[#This Row],[pi_email]]))</f>
        <v>brian@cse.lehigh.edu</v>
      </c>
      <c r="P370" s="80" t="s">
        <v>471</v>
      </c>
      <c r="Q370" s="80"/>
      <c r="R370" s="80"/>
      <c r="S370" s="81"/>
      <c r="T370" s="81"/>
      <c r="U370" s="81"/>
      <c r="V370" s="82"/>
      <c r="W370" s="80">
        <v>0</v>
      </c>
      <c r="X370" s="80"/>
      <c r="Y370" s="11" t="str">
        <f ca="1">IF(ISBLANK(BudgetsTable[[#This Row],[budg_seq_yr]]),"FY"&amp;fiscalyear,"FY"&amp;fiscalyear-1+BudgetsTable[[#This Row],[budg_seq_yr]])</f>
        <v>FY18</v>
      </c>
      <c r="Z370" s="81">
        <v>359969</v>
      </c>
      <c r="AA370" s="80" t="s">
        <v>1124</v>
      </c>
      <c r="AB370" s="80" t="s">
        <v>1377</v>
      </c>
      <c r="AC370" s="108" t="s">
        <v>94</v>
      </c>
      <c r="AD370" s="80" t="s">
        <v>592</v>
      </c>
    </row>
    <row r="371" spans="1:30">
      <c r="A371" s="10" t="s">
        <v>1043</v>
      </c>
      <c r="B371" s="78" t="s">
        <v>96</v>
      </c>
      <c r="C371" s="78">
        <f>C370+(BudgetsTable[[#This Row],[lead]]&lt;&gt;K370)</f>
        <v>52</v>
      </c>
      <c r="D371" s="78">
        <f>D370*(BudgetsTable[[#This Row],[lead]]=K370)+(BudgetsTable[[#This Row],[prop_id]]&lt;&gt;A370)</f>
        <v>1</v>
      </c>
      <c r="E371" s="79">
        <v>42970.652083333334</v>
      </c>
      <c r="F371" s="80" t="s">
        <v>1376</v>
      </c>
      <c r="G371" s="80" t="s">
        <v>1124</v>
      </c>
      <c r="H371" s="80" t="s">
        <v>1377</v>
      </c>
      <c r="I371" s="78" t="s">
        <v>705</v>
      </c>
      <c r="J371" s="78" t="s">
        <v>13</v>
      </c>
      <c r="K371" s="80" t="s">
        <v>1043</v>
      </c>
      <c r="L371" s="7" t="str">
        <f>IF(BudgetsTable[[#This Row],[pi_last_name]]=" ","",HYPERLINK("https://www.ejacket.nsf.gov/ej/showProposal.do?Continue=Y&amp;ID="&amp;BudgetsTable[[#This Row],[prop_id]],BudgetsTable[[#This Row],[prop_id]]))</f>
        <v/>
      </c>
      <c r="M371" s="15" t="str">
        <f>IF(BudgetsTable[[#This Row],[pi_last_name]]=" ","",HYPERLINK("https://www.ejacket.nsf.gov/ej/processReviewAnalysis.do?dispatch=add&amp;uniqId="&amp;BudgetsTable[[#This Row],[prop_id]]&amp;PO_id,"&gt;ra"))</f>
        <v/>
      </c>
      <c r="N371" s="80" t="s">
        <v>13</v>
      </c>
      <c r="O371" s="7" t="str">
        <f>IF(BudgetsTable[[#This Row],[pi_last_name]]=" ","",HYPERLINK("mailto:"&amp;BudgetsTable[[#This Row],[pi_email]]&amp;"&amp;subject=Your NSF Proposal:  "&amp;BudgetsTable[[#This Row],[prop_id]],BudgetsTable[[#This Row],[pi_email]]))</f>
        <v/>
      </c>
      <c r="P371" s="80" t="s">
        <v>13</v>
      </c>
      <c r="Q371" s="80">
        <v>2</v>
      </c>
      <c r="R371" s="80">
        <v>0</v>
      </c>
      <c r="S371" s="81">
        <v>0</v>
      </c>
      <c r="T371" s="81">
        <v>0</v>
      </c>
      <c r="U371" s="81">
        <v>87101</v>
      </c>
      <c r="V371" s="82">
        <v>119153</v>
      </c>
      <c r="W371" s="80">
        <v>0</v>
      </c>
      <c r="X371" s="80">
        <v>1</v>
      </c>
      <c r="Y371" s="11" t="str">
        <f ca="1">IF(ISBLANK(BudgetsTable[[#This Row],[budg_seq_yr]]),"FY"&amp;fiscalyear,"FY"&amp;fiscalyear-1+BudgetsTable[[#This Row],[budg_seq_yr]])</f>
        <v>FY18</v>
      </c>
      <c r="Z371" s="81">
        <v>119153</v>
      </c>
      <c r="AA371" s="80" t="s">
        <v>1124</v>
      </c>
      <c r="AB371" s="80" t="s">
        <v>1377</v>
      </c>
      <c r="AC371" s="108" t="s">
        <v>94</v>
      </c>
      <c r="AD371" s="80" t="s">
        <v>592</v>
      </c>
    </row>
    <row r="372" spans="1:30">
      <c r="A372" s="10" t="s">
        <v>1043</v>
      </c>
      <c r="B372" s="78" t="s">
        <v>96</v>
      </c>
      <c r="C372" s="78">
        <f>C371+(BudgetsTable[[#This Row],[lead]]&lt;&gt;K371)</f>
        <v>52</v>
      </c>
      <c r="D372" s="78">
        <f>D371*(BudgetsTable[[#This Row],[lead]]=K371)+(BudgetsTable[[#This Row],[prop_id]]&lt;&gt;A371)</f>
        <v>1</v>
      </c>
      <c r="E372" s="79">
        <v>42970.652083333334</v>
      </c>
      <c r="F372" s="80" t="s">
        <v>1376</v>
      </c>
      <c r="G372" s="80" t="s">
        <v>1124</v>
      </c>
      <c r="H372" s="80" t="s">
        <v>1377</v>
      </c>
      <c r="I372" s="78" t="s">
        <v>705</v>
      </c>
      <c r="J372" s="78" t="s">
        <v>13</v>
      </c>
      <c r="K372" s="80" t="s">
        <v>1043</v>
      </c>
      <c r="L372" s="7" t="str">
        <f>IF(BudgetsTable[[#This Row],[pi_last_name]]=" ","",HYPERLINK("https://www.ejacket.nsf.gov/ej/showProposal.do?Continue=Y&amp;ID="&amp;BudgetsTable[[#This Row],[prop_id]],BudgetsTable[[#This Row],[prop_id]]))</f>
        <v/>
      </c>
      <c r="M372" s="15" t="str">
        <f>IF(BudgetsTable[[#This Row],[pi_last_name]]=" ","",HYPERLINK("https://www.ejacket.nsf.gov/ej/processReviewAnalysis.do?dispatch=add&amp;uniqId="&amp;BudgetsTable[[#This Row],[prop_id]]&amp;PO_id,"&gt;ra"))</f>
        <v/>
      </c>
      <c r="N372" s="80" t="s">
        <v>13</v>
      </c>
      <c r="O372" s="7" t="str">
        <f>IF(BudgetsTable[[#This Row],[pi_last_name]]=" ","",HYPERLINK("mailto:"&amp;BudgetsTable[[#This Row],[pi_email]]&amp;"&amp;subject=Your NSF Proposal:  "&amp;BudgetsTable[[#This Row],[prop_id]],BudgetsTable[[#This Row],[pi_email]]))</f>
        <v/>
      </c>
      <c r="P372" s="80" t="s">
        <v>13</v>
      </c>
      <c r="Q372" s="80">
        <v>2</v>
      </c>
      <c r="R372" s="80">
        <v>0</v>
      </c>
      <c r="S372" s="81">
        <v>0</v>
      </c>
      <c r="T372" s="81">
        <v>0</v>
      </c>
      <c r="U372" s="81">
        <v>87300</v>
      </c>
      <c r="V372" s="82">
        <v>119983</v>
      </c>
      <c r="W372" s="80">
        <v>0</v>
      </c>
      <c r="X372" s="80">
        <v>2</v>
      </c>
      <c r="Y372" s="11" t="str">
        <f ca="1">IF(ISBLANK(BudgetsTable[[#This Row],[budg_seq_yr]]),"FY"&amp;fiscalyear,"FY"&amp;fiscalyear-1+BudgetsTable[[#This Row],[budg_seq_yr]])</f>
        <v>FY19</v>
      </c>
      <c r="Z372" s="81">
        <v>119983</v>
      </c>
      <c r="AA372" s="80" t="s">
        <v>1124</v>
      </c>
      <c r="AB372" s="80" t="s">
        <v>1377</v>
      </c>
      <c r="AC372" s="108" t="s">
        <v>94</v>
      </c>
      <c r="AD372" s="80" t="s">
        <v>592</v>
      </c>
    </row>
    <row r="373" spans="1:30">
      <c r="A373" s="10" t="s">
        <v>1043</v>
      </c>
      <c r="B373" s="78" t="s">
        <v>96</v>
      </c>
      <c r="C373" s="78">
        <f>C372+(BudgetsTable[[#This Row],[lead]]&lt;&gt;K372)</f>
        <v>52</v>
      </c>
      <c r="D373" s="78">
        <f>D372*(BudgetsTable[[#This Row],[lead]]=K372)+(BudgetsTable[[#This Row],[prop_id]]&lt;&gt;A372)</f>
        <v>1</v>
      </c>
      <c r="E373" s="79">
        <v>42970.652083333334</v>
      </c>
      <c r="F373" s="80" t="s">
        <v>1376</v>
      </c>
      <c r="G373" s="80" t="s">
        <v>1124</v>
      </c>
      <c r="H373" s="80" t="s">
        <v>1377</v>
      </c>
      <c r="I373" s="78" t="s">
        <v>705</v>
      </c>
      <c r="J373" s="78" t="s">
        <v>13</v>
      </c>
      <c r="K373" s="80" t="s">
        <v>1043</v>
      </c>
      <c r="L373" s="7" t="str">
        <f>IF(BudgetsTable[[#This Row],[pi_last_name]]=" ","",HYPERLINK("https://www.ejacket.nsf.gov/ej/showProposal.do?Continue=Y&amp;ID="&amp;BudgetsTable[[#This Row],[prop_id]],BudgetsTable[[#This Row],[prop_id]]))</f>
        <v/>
      </c>
      <c r="M373" s="15" t="str">
        <f>IF(BudgetsTable[[#This Row],[pi_last_name]]=" ","",HYPERLINK("https://www.ejacket.nsf.gov/ej/processReviewAnalysis.do?dispatch=add&amp;uniqId="&amp;BudgetsTable[[#This Row],[prop_id]]&amp;PO_id,"&gt;ra"))</f>
        <v/>
      </c>
      <c r="N373" s="80" t="s">
        <v>13</v>
      </c>
      <c r="O373" s="7" t="str">
        <f>IF(BudgetsTable[[#This Row],[pi_last_name]]=" ","",HYPERLINK("mailto:"&amp;BudgetsTable[[#This Row],[pi_email]]&amp;"&amp;subject=Your NSF Proposal:  "&amp;BudgetsTable[[#This Row],[prop_id]],BudgetsTable[[#This Row],[pi_email]]))</f>
        <v/>
      </c>
      <c r="P373" s="80" t="s">
        <v>13</v>
      </c>
      <c r="Q373" s="80">
        <v>2</v>
      </c>
      <c r="R373" s="80">
        <v>0</v>
      </c>
      <c r="S373" s="81">
        <v>0</v>
      </c>
      <c r="T373" s="81">
        <v>0</v>
      </c>
      <c r="U373" s="81">
        <v>87520</v>
      </c>
      <c r="V373" s="82">
        <v>120833</v>
      </c>
      <c r="W373" s="80">
        <v>0</v>
      </c>
      <c r="X373" s="80">
        <v>3</v>
      </c>
      <c r="Y373" s="11" t="str">
        <f ca="1">IF(ISBLANK(BudgetsTable[[#This Row],[budg_seq_yr]]),"FY"&amp;fiscalyear,"FY"&amp;fiscalyear-1+BudgetsTable[[#This Row],[budg_seq_yr]])</f>
        <v>FY20</v>
      </c>
      <c r="Z373" s="81">
        <v>120833</v>
      </c>
      <c r="AA373" s="80" t="s">
        <v>1124</v>
      </c>
      <c r="AB373" s="80" t="s">
        <v>1377</v>
      </c>
      <c r="AC373" s="108" t="s">
        <v>94</v>
      </c>
      <c r="AD373" s="80" t="s">
        <v>592</v>
      </c>
    </row>
    <row r="374" spans="1:30">
      <c r="A374" s="10" t="s">
        <v>1051</v>
      </c>
      <c r="B374" s="78" t="s">
        <v>96</v>
      </c>
      <c r="C374" s="78">
        <f>C373+(BudgetsTable[[#This Row],[lead]]&lt;&gt;K373)</f>
        <v>53</v>
      </c>
      <c r="D374" s="78">
        <f>D373*(BudgetsTable[[#This Row],[lead]]=K373)+(BudgetsTable[[#This Row],[prop_id]]&lt;&gt;A373)</f>
        <v>1</v>
      </c>
      <c r="E374" s="79">
        <v>42970.680555555555</v>
      </c>
      <c r="F374" s="80" t="s">
        <v>1376</v>
      </c>
      <c r="G374" s="80" t="s">
        <v>1124</v>
      </c>
      <c r="H374" s="80" t="s">
        <v>1377</v>
      </c>
      <c r="I374" s="78" t="s">
        <v>705</v>
      </c>
      <c r="J374" s="78" t="s">
        <v>1409</v>
      </c>
      <c r="K374" s="80" t="s">
        <v>1051</v>
      </c>
      <c r="L374" s="7" t="str">
        <f>IF(BudgetsTable[[#This Row],[pi_last_name]]=" ","",HYPERLINK("https://www.ejacket.nsf.gov/ej/showProposal.do?Continue=Y&amp;ID="&amp;BudgetsTable[[#This Row],[prop_id]],BudgetsTable[[#This Row],[prop_id]]))</f>
        <v>1757853</v>
      </c>
      <c r="M374" s="15" t="str">
        <f>IF(BudgetsTable[[#This Row],[pi_last_name]]=" ","",HYPERLINK("https://www.ejacket.nsf.gov/ej/processReviewAnalysis.do?dispatch=add&amp;uniqId="&amp;BudgetsTable[[#This Row],[prop_id]]&amp;PO_id,"&gt;ra"))</f>
        <v>&gt;ra</v>
      </c>
      <c r="N374" s="80" t="s">
        <v>1052</v>
      </c>
      <c r="O374" s="7" t="str">
        <f>IF(BudgetsTable[[#This Row],[pi_last_name]]=" ","",HYPERLINK("mailto:"&amp;BudgetsTable[[#This Row],[pi_email]]&amp;"&amp;subject=Your NSF Proposal:  "&amp;BudgetsTable[[#This Row],[prop_id]],BudgetsTable[[#This Row],[pi_email]]))</f>
        <v>jung@uta.edu</v>
      </c>
      <c r="P374" s="80" t="s">
        <v>1406</v>
      </c>
      <c r="Q374" s="80"/>
      <c r="R374" s="80"/>
      <c r="S374" s="81"/>
      <c r="T374" s="81"/>
      <c r="U374" s="81"/>
      <c r="V374" s="82"/>
      <c r="W374" s="80">
        <v>0</v>
      </c>
      <c r="X374" s="80"/>
      <c r="Y374" s="11" t="str">
        <f ca="1">IF(ISBLANK(BudgetsTable[[#This Row],[budg_seq_yr]]),"FY"&amp;fiscalyear,"FY"&amp;fiscalyear-1+BudgetsTable[[#This Row],[budg_seq_yr]])</f>
        <v>FY18</v>
      </c>
      <c r="Z374" s="81">
        <v>339491</v>
      </c>
      <c r="AA374" s="80" t="s">
        <v>1124</v>
      </c>
      <c r="AB374" s="80" t="s">
        <v>1377</v>
      </c>
      <c r="AC374" s="108" t="s">
        <v>94</v>
      </c>
      <c r="AD374" s="80" t="s">
        <v>592</v>
      </c>
    </row>
    <row r="375" spans="1:30">
      <c r="A375" s="10" t="s">
        <v>1051</v>
      </c>
      <c r="B375" s="78" t="s">
        <v>96</v>
      </c>
      <c r="C375" s="78">
        <f>C374+(BudgetsTable[[#This Row],[lead]]&lt;&gt;K374)</f>
        <v>53</v>
      </c>
      <c r="D375" s="78">
        <f>D374*(BudgetsTable[[#This Row],[lead]]=K374)+(BudgetsTable[[#This Row],[prop_id]]&lt;&gt;A374)</f>
        <v>1</v>
      </c>
      <c r="E375" s="79">
        <v>42970.680555555555</v>
      </c>
      <c r="F375" s="80" t="s">
        <v>1376</v>
      </c>
      <c r="G375" s="80" t="s">
        <v>1124</v>
      </c>
      <c r="H375" s="80" t="s">
        <v>1377</v>
      </c>
      <c r="I375" s="78" t="s">
        <v>705</v>
      </c>
      <c r="J375" s="78" t="s">
        <v>13</v>
      </c>
      <c r="K375" s="80" t="s">
        <v>1051</v>
      </c>
      <c r="L375" s="7" t="str">
        <f>IF(BudgetsTable[[#This Row],[pi_last_name]]=" ","",HYPERLINK("https://www.ejacket.nsf.gov/ej/showProposal.do?Continue=Y&amp;ID="&amp;BudgetsTable[[#This Row],[prop_id]],BudgetsTable[[#This Row],[prop_id]]))</f>
        <v/>
      </c>
      <c r="M375" s="15" t="str">
        <f>IF(BudgetsTable[[#This Row],[pi_last_name]]=" ","",HYPERLINK("https://www.ejacket.nsf.gov/ej/processReviewAnalysis.do?dispatch=add&amp;uniqId="&amp;BudgetsTable[[#This Row],[prop_id]]&amp;PO_id,"&gt;ra"))</f>
        <v/>
      </c>
      <c r="N375" s="80" t="s">
        <v>13</v>
      </c>
      <c r="O375" s="7" t="str">
        <f>IF(BudgetsTable[[#This Row],[pi_last_name]]=" ","",HYPERLINK("mailto:"&amp;BudgetsTable[[#This Row],[pi_email]]&amp;"&amp;subject=Your NSF Proposal:  "&amp;BudgetsTable[[#This Row],[prop_id]],BudgetsTable[[#This Row],[pi_email]]))</f>
        <v/>
      </c>
      <c r="P375" s="80" t="s">
        <v>13</v>
      </c>
      <c r="Q375" s="80">
        <v>2</v>
      </c>
      <c r="R375" s="80">
        <v>1</v>
      </c>
      <c r="S375" s="81">
        <v>0</v>
      </c>
      <c r="T375" s="81">
        <v>0</v>
      </c>
      <c r="U375" s="81">
        <v>90000</v>
      </c>
      <c r="V375" s="82">
        <v>112450</v>
      </c>
      <c r="W375" s="80">
        <v>0</v>
      </c>
      <c r="X375" s="80">
        <v>1</v>
      </c>
      <c r="Y375" s="11" t="str">
        <f ca="1">IF(ISBLANK(BudgetsTable[[#This Row],[budg_seq_yr]]),"FY"&amp;fiscalyear,"FY"&amp;fiscalyear-1+BudgetsTable[[#This Row],[budg_seq_yr]])</f>
        <v>FY18</v>
      </c>
      <c r="Z375" s="81">
        <v>112450</v>
      </c>
      <c r="AA375" s="80" t="s">
        <v>1124</v>
      </c>
      <c r="AB375" s="80" t="s">
        <v>1377</v>
      </c>
      <c r="AC375" s="108" t="s">
        <v>94</v>
      </c>
      <c r="AD375" s="80" t="s">
        <v>592</v>
      </c>
    </row>
    <row r="376" spans="1:30">
      <c r="A376" s="10" t="s">
        <v>1051</v>
      </c>
      <c r="B376" s="78" t="s">
        <v>96</v>
      </c>
      <c r="C376" s="78">
        <f>C375+(BudgetsTable[[#This Row],[lead]]&lt;&gt;K375)</f>
        <v>53</v>
      </c>
      <c r="D376" s="78">
        <f>D375*(BudgetsTable[[#This Row],[lead]]=K375)+(BudgetsTable[[#This Row],[prop_id]]&lt;&gt;A375)</f>
        <v>1</v>
      </c>
      <c r="E376" s="79">
        <v>42970.680555555555</v>
      </c>
      <c r="F376" s="80" t="s">
        <v>1376</v>
      </c>
      <c r="G376" s="80" t="s">
        <v>1124</v>
      </c>
      <c r="H376" s="80" t="s">
        <v>1377</v>
      </c>
      <c r="I376" s="78" t="s">
        <v>705</v>
      </c>
      <c r="J376" s="78" t="s">
        <v>13</v>
      </c>
      <c r="K376" s="80" t="s">
        <v>1051</v>
      </c>
      <c r="L376" s="7" t="str">
        <f>IF(BudgetsTable[[#This Row],[pi_last_name]]=" ","",HYPERLINK("https://www.ejacket.nsf.gov/ej/showProposal.do?Continue=Y&amp;ID="&amp;BudgetsTable[[#This Row],[prop_id]],BudgetsTable[[#This Row],[prop_id]]))</f>
        <v/>
      </c>
      <c r="M376" s="15" t="str">
        <f>IF(BudgetsTable[[#This Row],[pi_last_name]]=" ","",HYPERLINK("https://www.ejacket.nsf.gov/ej/processReviewAnalysis.do?dispatch=add&amp;uniqId="&amp;BudgetsTable[[#This Row],[prop_id]]&amp;PO_id,"&gt;ra"))</f>
        <v/>
      </c>
      <c r="N376" s="80" t="s">
        <v>13</v>
      </c>
      <c r="O376" s="7" t="str">
        <f>IF(BudgetsTable[[#This Row],[pi_last_name]]=" ","",HYPERLINK("mailto:"&amp;BudgetsTable[[#This Row],[pi_email]]&amp;"&amp;subject=Your NSF Proposal:  "&amp;BudgetsTable[[#This Row],[prop_id]],BudgetsTable[[#This Row],[pi_email]]))</f>
        <v/>
      </c>
      <c r="P376" s="80" t="s">
        <v>13</v>
      </c>
      <c r="Q376" s="80">
        <v>2</v>
      </c>
      <c r="R376" s="80">
        <v>1</v>
      </c>
      <c r="S376" s="81">
        <v>0</v>
      </c>
      <c r="T376" s="81">
        <v>0</v>
      </c>
      <c r="U376" s="81">
        <v>90000</v>
      </c>
      <c r="V376" s="82">
        <v>113146</v>
      </c>
      <c r="W376" s="80">
        <v>0</v>
      </c>
      <c r="X376" s="80">
        <v>2</v>
      </c>
      <c r="Y376" s="11" t="str">
        <f ca="1">IF(ISBLANK(BudgetsTable[[#This Row],[budg_seq_yr]]),"FY"&amp;fiscalyear,"FY"&amp;fiscalyear-1+BudgetsTable[[#This Row],[budg_seq_yr]])</f>
        <v>FY19</v>
      </c>
      <c r="Z376" s="81">
        <v>113146</v>
      </c>
      <c r="AA376" s="80" t="s">
        <v>1124</v>
      </c>
      <c r="AB376" s="80" t="s">
        <v>1377</v>
      </c>
      <c r="AC376" s="108" t="s">
        <v>94</v>
      </c>
      <c r="AD376" s="80" t="s">
        <v>592</v>
      </c>
    </row>
    <row r="377" spans="1:30">
      <c r="A377" s="10" t="s">
        <v>1051</v>
      </c>
      <c r="B377" s="78" t="s">
        <v>96</v>
      </c>
      <c r="C377" s="78">
        <f>C376+(BudgetsTable[[#This Row],[lead]]&lt;&gt;K376)</f>
        <v>53</v>
      </c>
      <c r="D377" s="78">
        <f>D376*(BudgetsTable[[#This Row],[lead]]=K376)+(BudgetsTable[[#This Row],[prop_id]]&lt;&gt;A376)</f>
        <v>1</v>
      </c>
      <c r="E377" s="79">
        <v>42970.680555555555</v>
      </c>
      <c r="F377" s="80" t="s">
        <v>1376</v>
      </c>
      <c r="G377" s="80" t="s">
        <v>1124</v>
      </c>
      <c r="H377" s="80" t="s">
        <v>1377</v>
      </c>
      <c r="I377" s="78" t="s">
        <v>705</v>
      </c>
      <c r="J377" s="78" t="s">
        <v>13</v>
      </c>
      <c r="K377" s="80" t="s">
        <v>1051</v>
      </c>
      <c r="L377" s="7" t="str">
        <f>IF(BudgetsTable[[#This Row],[pi_last_name]]=" ","",HYPERLINK("https://www.ejacket.nsf.gov/ej/showProposal.do?Continue=Y&amp;ID="&amp;BudgetsTable[[#This Row],[prop_id]],BudgetsTable[[#This Row],[prop_id]]))</f>
        <v/>
      </c>
      <c r="M377" s="15" t="str">
        <f>IF(BudgetsTable[[#This Row],[pi_last_name]]=" ","",HYPERLINK("https://www.ejacket.nsf.gov/ej/processReviewAnalysis.do?dispatch=add&amp;uniqId="&amp;BudgetsTable[[#This Row],[prop_id]]&amp;PO_id,"&gt;ra"))</f>
        <v/>
      </c>
      <c r="N377" s="80" t="s">
        <v>13</v>
      </c>
      <c r="O377" s="7" t="str">
        <f>IF(BudgetsTable[[#This Row],[pi_last_name]]=" ","",HYPERLINK("mailto:"&amp;BudgetsTable[[#This Row],[pi_email]]&amp;"&amp;subject=Your NSF Proposal:  "&amp;BudgetsTable[[#This Row],[prop_id]],BudgetsTable[[#This Row],[pi_email]]))</f>
        <v/>
      </c>
      <c r="P377" s="80" t="s">
        <v>13</v>
      </c>
      <c r="Q377" s="80">
        <v>2</v>
      </c>
      <c r="R377" s="80">
        <v>1</v>
      </c>
      <c r="S377" s="81">
        <v>0</v>
      </c>
      <c r="T377" s="81">
        <v>0</v>
      </c>
      <c r="U377" s="81">
        <v>90000</v>
      </c>
      <c r="V377" s="82">
        <v>113895</v>
      </c>
      <c r="W377" s="80">
        <v>0</v>
      </c>
      <c r="X377" s="80">
        <v>3</v>
      </c>
      <c r="Y377" s="11" t="str">
        <f ca="1">IF(ISBLANK(BudgetsTable[[#This Row],[budg_seq_yr]]),"FY"&amp;fiscalyear,"FY"&amp;fiscalyear-1+BudgetsTable[[#This Row],[budg_seq_yr]])</f>
        <v>FY20</v>
      </c>
      <c r="Z377" s="81">
        <v>113895</v>
      </c>
      <c r="AA377" s="80" t="s">
        <v>1124</v>
      </c>
      <c r="AB377" s="80" t="s">
        <v>1377</v>
      </c>
      <c r="AC377" s="108" t="s">
        <v>94</v>
      </c>
      <c r="AD377" s="80" t="s">
        <v>592</v>
      </c>
    </row>
    <row r="378" spans="1:30">
      <c r="A378" s="10" t="s">
        <v>1060</v>
      </c>
      <c r="B378" s="78" t="s">
        <v>96</v>
      </c>
      <c r="C378" s="78">
        <f>C377+(BudgetsTable[[#This Row],[lead]]&lt;&gt;K377)</f>
        <v>54</v>
      </c>
      <c r="D378" s="78">
        <f>D377*(BudgetsTable[[#This Row],[lead]]=K377)+(BudgetsTable[[#This Row],[prop_id]]&lt;&gt;A377)</f>
        <v>1</v>
      </c>
      <c r="E378" s="79">
        <v>42970.688194444447</v>
      </c>
      <c r="F378" s="80" t="s">
        <v>1376</v>
      </c>
      <c r="G378" s="80" t="s">
        <v>1124</v>
      </c>
      <c r="H378" s="80" t="s">
        <v>1377</v>
      </c>
      <c r="I378" s="78" t="s">
        <v>705</v>
      </c>
      <c r="J378" s="78" t="s">
        <v>1414</v>
      </c>
      <c r="K378" s="80" t="s">
        <v>1060</v>
      </c>
      <c r="L378" s="7" t="str">
        <f>IF(BudgetsTable[[#This Row],[pi_last_name]]=" ","",HYPERLINK("https://www.ejacket.nsf.gov/ej/showProposal.do?Continue=Y&amp;ID="&amp;BudgetsTable[[#This Row],[prop_id]],BudgetsTable[[#This Row],[prop_id]]))</f>
        <v>1757870</v>
      </c>
      <c r="M378" s="15" t="str">
        <f>IF(BudgetsTable[[#This Row],[pi_last_name]]=" ","",HYPERLINK("https://www.ejacket.nsf.gov/ej/processReviewAnalysis.do?dispatch=add&amp;uniqId="&amp;BudgetsTable[[#This Row],[prop_id]]&amp;PO_id,"&gt;ra"))</f>
        <v>&gt;ra</v>
      </c>
      <c r="N378" s="80" t="s">
        <v>575</v>
      </c>
      <c r="O378" s="7" t="str">
        <f>IF(BudgetsTable[[#This Row],[pi_last_name]]=" ","",HYPERLINK("mailto:"&amp;BudgetsTable[[#This Row],[pi_email]]&amp;"&amp;subject=Your NSF Proposal:  "&amp;BudgetsTable[[#This Row],[prop_id]],BudgetsTable[[#This Row],[pi_email]]))</f>
        <v>jiafeng.xie@wright.edu</v>
      </c>
      <c r="P378" s="80" t="s">
        <v>1411</v>
      </c>
      <c r="Q378" s="80"/>
      <c r="R378" s="80"/>
      <c r="S378" s="81"/>
      <c r="T378" s="81"/>
      <c r="U378" s="81"/>
      <c r="V378" s="82"/>
      <c r="W378" s="80">
        <v>0</v>
      </c>
      <c r="X378" s="80"/>
      <c r="Y378" s="11" t="str">
        <f ca="1">IF(ISBLANK(BudgetsTable[[#This Row],[budg_seq_yr]]),"FY"&amp;fiscalyear,"FY"&amp;fiscalyear-1+BudgetsTable[[#This Row],[budg_seq_yr]])</f>
        <v>FY18</v>
      </c>
      <c r="Z378" s="81">
        <v>353763</v>
      </c>
      <c r="AA378" s="80" t="s">
        <v>1124</v>
      </c>
      <c r="AB378" s="80" t="s">
        <v>1377</v>
      </c>
      <c r="AC378" s="108" t="s">
        <v>94</v>
      </c>
      <c r="AD378" s="80" t="s">
        <v>592</v>
      </c>
    </row>
    <row r="379" spans="1:30">
      <c r="A379" s="10" t="s">
        <v>1060</v>
      </c>
      <c r="B379" s="78" t="s">
        <v>96</v>
      </c>
      <c r="C379" s="78">
        <f>C378+(BudgetsTable[[#This Row],[lead]]&lt;&gt;K378)</f>
        <v>54</v>
      </c>
      <c r="D379" s="78">
        <f>D378*(BudgetsTable[[#This Row],[lead]]=K378)+(BudgetsTable[[#This Row],[prop_id]]&lt;&gt;A378)</f>
        <v>1</v>
      </c>
      <c r="E379" s="79">
        <v>42970.688194444447</v>
      </c>
      <c r="F379" s="80" t="s">
        <v>1376</v>
      </c>
      <c r="G379" s="80" t="s">
        <v>1124</v>
      </c>
      <c r="H379" s="80" t="s">
        <v>1377</v>
      </c>
      <c r="I379" s="78" t="s">
        <v>705</v>
      </c>
      <c r="J379" s="78" t="s">
        <v>13</v>
      </c>
      <c r="K379" s="80" t="s">
        <v>1060</v>
      </c>
      <c r="L379" s="7" t="str">
        <f>IF(BudgetsTable[[#This Row],[pi_last_name]]=" ","",HYPERLINK("https://www.ejacket.nsf.gov/ej/showProposal.do?Continue=Y&amp;ID="&amp;BudgetsTable[[#This Row],[prop_id]],BudgetsTable[[#This Row],[prop_id]]))</f>
        <v/>
      </c>
      <c r="M379" s="15" t="str">
        <f>IF(BudgetsTable[[#This Row],[pi_last_name]]=" ","",HYPERLINK("https://www.ejacket.nsf.gov/ej/processReviewAnalysis.do?dispatch=add&amp;uniqId="&amp;BudgetsTable[[#This Row],[prop_id]]&amp;PO_id,"&gt;ra"))</f>
        <v/>
      </c>
      <c r="N379" s="80" t="s">
        <v>13</v>
      </c>
      <c r="O379" s="7" t="str">
        <f>IF(BudgetsTable[[#This Row],[pi_last_name]]=" ","",HYPERLINK("mailto:"&amp;BudgetsTable[[#This Row],[pi_email]]&amp;"&amp;subject=Your NSF Proposal:  "&amp;BudgetsTable[[#This Row],[prop_id]],BudgetsTable[[#This Row],[pi_email]]))</f>
        <v/>
      </c>
      <c r="P379" s="80" t="s">
        <v>13</v>
      </c>
      <c r="Q379" s="80">
        <v>5</v>
      </c>
      <c r="R379" s="80">
        <v>1.24</v>
      </c>
      <c r="S379" s="81">
        <v>0</v>
      </c>
      <c r="T379" s="81">
        <v>0</v>
      </c>
      <c r="U379" s="81">
        <v>79000</v>
      </c>
      <c r="V379" s="82">
        <v>117241</v>
      </c>
      <c r="W379" s="80">
        <v>0</v>
      </c>
      <c r="X379" s="80">
        <v>1</v>
      </c>
      <c r="Y379" s="11" t="str">
        <f ca="1">IF(ISBLANK(BudgetsTable[[#This Row],[budg_seq_yr]]),"FY"&amp;fiscalyear,"FY"&amp;fiscalyear-1+BudgetsTable[[#This Row],[budg_seq_yr]])</f>
        <v>FY18</v>
      </c>
      <c r="Z379" s="81">
        <v>117241</v>
      </c>
      <c r="AA379" s="80" t="s">
        <v>1124</v>
      </c>
      <c r="AB379" s="80" t="s">
        <v>1377</v>
      </c>
      <c r="AC379" s="108" t="s">
        <v>94</v>
      </c>
      <c r="AD379" s="80" t="s">
        <v>592</v>
      </c>
    </row>
    <row r="380" spans="1:30">
      <c r="A380" s="10" t="s">
        <v>1060</v>
      </c>
      <c r="B380" s="78" t="s">
        <v>96</v>
      </c>
      <c r="C380" s="78">
        <f>C379+(BudgetsTable[[#This Row],[lead]]&lt;&gt;K379)</f>
        <v>54</v>
      </c>
      <c r="D380" s="78">
        <f>D379*(BudgetsTable[[#This Row],[lead]]=K379)+(BudgetsTable[[#This Row],[prop_id]]&lt;&gt;A379)</f>
        <v>1</v>
      </c>
      <c r="E380" s="79">
        <v>42970.688194444447</v>
      </c>
      <c r="F380" s="80" t="s">
        <v>1376</v>
      </c>
      <c r="G380" s="80" t="s">
        <v>1124</v>
      </c>
      <c r="H380" s="80" t="s">
        <v>1377</v>
      </c>
      <c r="I380" s="78" t="s">
        <v>705</v>
      </c>
      <c r="J380" s="78" t="s">
        <v>13</v>
      </c>
      <c r="K380" s="80" t="s">
        <v>1060</v>
      </c>
      <c r="L380" s="7" t="str">
        <f>IF(BudgetsTable[[#This Row],[pi_last_name]]=" ","",HYPERLINK("https://www.ejacket.nsf.gov/ej/showProposal.do?Continue=Y&amp;ID="&amp;BudgetsTable[[#This Row],[prop_id]],BudgetsTable[[#This Row],[prop_id]]))</f>
        <v/>
      </c>
      <c r="M380" s="15" t="str">
        <f>IF(BudgetsTable[[#This Row],[pi_last_name]]=" ","",HYPERLINK("https://www.ejacket.nsf.gov/ej/processReviewAnalysis.do?dispatch=add&amp;uniqId="&amp;BudgetsTable[[#This Row],[prop_id]]&amp;PO_id,"&gt;ra"))</f>
        <v/>
      </c>
      <c r="N380" s="80" t="s">
        <v>13</v>
      </c>
      <c r="O380" s="7" t="str">
        <f>IF(BudgetsTable[[#This Row],[pi_last_name]]=" ","",HYPERLINK("mailto:"&amp;BudgetsTable[[#This Row],[pi_email]]&amp;"&amp;subject=Your NSF Proposal:  "&amp;BudgetsTable[[#This Row],[prop_id]],BudgetsTable[[#This Row],[pi_email]]))</f>
        <v/>
      </c>
      <c r="P380" s="80" t="s">
        <v>13</v>
      </c>
      <c r="Q380" s="80">
        <v>5</v>
      </c>
      <c r="R380" s="80">
        <v>1.23</v>
      </c>
      <c r="S380" s="81">
        <v>0</v>
      </c>
      <c r="T380" s="81">
        <v>0</v>
      </c>
      <c r="U380" s="81">
        <v>79000</v>
      </c>
      <c r="V380" s="82">
        <v>117913</v>
      </c>
      <c r="W380" s="80">
        <v>0</v>
      </c>
      <c r="X380" s="80">
        <v>2</v>
      </c>
      <c r="Y380" s="11" t="str">
        <f ca="1">IF(ISBLANK(BudgetsTable[[#This Row],[budg_seq_yr]]),"FY"&amp;fiscalyear,"FY"&amp;fiscalyear-1+BudgetsTable[[#This Row],[budg_seq_yr]])</f>
        <v>FY19</v>
      </c>
      <c r="Z380" s="81">
        <v>117913</v>
      </c>
      <c r="AA380" s="80" t="s">
        <v>1124</v>
      </c>
      <c r="AB380" s="80" t="s">
        <v>1377</v>
      </c>
      <c r="AC380" s="108" t="s">
        <v>94</v>
      </c>
      <c r="AD380" s="80" t="s">
        <v>592</v>
      </c>
    </row>
    <row r="381" spans="1:30">
      <c r="A381" s="10" t="s">
        <v>1060</v>
      </c>
      <c r="B381" s="78" t="s">
        <v>96</v>
      </c>
      <c r="C381" s="78">
        <f>C380+(BudgetsTable[[#This Row],[lead]]&lt;&gt;K380)</f>
        <v>54</v>
      </c>
      <c r="D381" s="78">
        <f>D380*(BudgetsTable[[#This Row],[lead]]=K380)+(BudgetsTable[[#This Row],[prop_id]]&lt;&gt;A380)</f>
        <v>1</v>
      </c>
      <c r="E381" s="79">
        <v>42970.688194444447</v>
      </c>
      <c r="F381" s="80" t="s">
        <v>1376</v>
      </c>
      <c r="G381" s="80" t="s">
        <v>1124</v>
      </c>
      <c r="H381" s="80" t="s">
        <v>1377</v>
      </c>
      <c r="I381" s="78" t="s">
        <v>705</v>
      </c>
      <c r="J381" s="78" t="s">
        <v>13</v>
      </c>
      <c r="K381" s="80" t="s">
        <v>1060</v>
      </c>
      <c r="L381" s="7" t="str">
        <f>IF(BudgetsTable[[#This Row],[pi_last_name]]=" ","",HYPERLINK("https://www.ejacket.nsf.gov/ej/showProposal.do?Continue=Y&amp;ID="&amp;BudgetsTable[[#This Row],[prop_id]],BudgetsTable[[#This Row],[prop_id]]))</f>
        <v/>
      </c>
      <c r="M381" s="15" t="str">
        <f>IF(BudgetsTable[[#This Row],[pi_last_name]]=" ","",HYPERLINK("https://www.ejacket.nsf.gov/ej/processReviewAnalysis.do?dispatch=add&amp;uniqId="&amp;BudgetsTable[[#This Row],[prop_id]]&amp;PO_id,"&gt;ra"))</f>
        <v/>
      </c>
      <c r="N381" s="80" t="s">
        <v>13</v>
      </c>
      <c r="O381" s="7" t="str">
        <f>IF(BudgetsTable[[#This Row],[pi_last_name]]=" ","",HYPERLINK("mailto:"&amp;BudgetsTable[[#This Row],[pi_email]]&amp;"&amp;subject=Your NSF Proposal:  "&amp;BudgetsTable[[#This Row],[prop_id]],BudgetsTable[[#This Row],[pi_email]]))</f>
        <v/>
      </c>
      <c r="P381" s="80" t="s">
        <v>13</v>
      </c>
      <c r="Q381" s="80">
        <v>5</v>
      </c>
      <c r="R381" s="80">
        <v>1.23</v>
      </c>
      <c r="S381" s="81">
        <v>0</v>
      </c>
      <c r="T381" s="81">
        <v>0</v>
      </c>
      <c r="U381" s="81">
        <v>79000</v>
      </c>
      <c r="V381" s="82">
        <v>118609</v>
      </c>
      <c r="W381" s="80">
        <v>0</v>
      </c>
      <c r="X381" s="80">
        <v>3</v>
      </c>
      <c r="Y381" s="11" t="str">
        <f ca="1">IF(ISBLANK(BudgetsTable[[#This Row],[budg_seq_yr]]),"FY"&amp;fiscalyear,"FY"&amp;fiscalyear-1+BudgetsTable[[#This Row],[budg_seq_yr]])</f>
        <v>FY20</v>
      </c>
      <c r="Z381" s="81">
        <v>118609</v>
      </c>
      <c r="AA381" s="80" t="s">
        <v>1124</v>
      </c>
      <c r="AB381" s="80" t="s">
        <v>1377</v>
      </c>
      <c r="AC381" s="108" t="s">
        <v>94</v>
      </c>
      <c r="AD381" s="80" t="s">
        <v>592</v>
      </c>
    </row>
    <row r="382" spans="1:30">
      <c r="A382" s="10" t="s">
        <v>1069</v>
      </c>
      <c r="B382" s="78" t="s">
        <v>96</v>
      </c>
      <c r="C382" s="78">
        <f>C381+(BudgetsTable[[#This Row],[lead]]&lt;&gt;K381)</f>
        <v>55</v>
      </c>
      <c r="D382" s="78">
        <f>D381*(BudgetsTable[[#This Row],[lead]]=K381)+(BudgetsTable[[#This Row],[prop_id]]&lt;&gt;A381)</f>
        <v>1</v>
      </c>
      <c r="E382" s="79">
        <v>42970.690972222219</v>
      </c>
      <c r="F382" s="80" t="s">
        <v>1376</v>
      </c>
      <c r="G382" s="80" t="s">
        <v>1124</v>
      </c>
      <c r="H382" s="80" t="s">
        <v>1377</v>
      </c>
      <c r="I382" s="78" t="s">
        <v>705</v>
      </c>
      <c r="J382" s="78" t="s">
        <v>1418</v>
      </c>
      <c r="K382" s="80" t="s">
        <v>1069</v>
      </c>
      <c r="L382" s="7" t="str">
        <f>IF(BudgetsTable[[#This Row],[pi_last_name]]=" ","",HYPERLINK("https://www.ejacket.nsf.gov/ej/showProposal.do?Continue=Y&amp;ID="&amp;BudgetsTable[[#This Row],[prop_id]],BudgetsTable[[#This Row],[prop_id]]))</f>
        <v>1757884</v>
      </c>
      <c r="M382" s="15" t="str">
        <f>IF(BudgetsTable[[#This Row],[pi_last_name]]=" ","",HYPERLINK("https://www.ejacket.nsf.gov/ej/processReviewAnalysis.do?dispatch=add&amp;uniqId="&amp;BudgetsTable[[#This Row],[prop_id]]&amp;PO_id,"&gt;ra"))</f>
        <v>&gt;ra</v>
      </c>
      <c r="N382" s="80" t="s">
        <v>562</v>
      </c>
      <c r="O382" s="7" t="str">
        <f>IF(BudgetsTable[[#This Row],[pi_last_name]]=" ","",HYPERLINK("mailto:"&amp;BudgetsTable[[#This Row],[pi_email]]&amp;"&amp;subject=Your NSF Proposal:  "&amp;BudgetsTable[[#This Row],[prop_id]],BudgetsTable[[#This Row],[pi_email]]))</f>
        <v>davils@uncc.edu</v>
      </c>
      <c r="P382" s="80" t="s">
        <v>1212</v>
      </c>
      <c r="Q382" s="80"/>
      <c r="R382" s="80"/>
      <c r="S382" s="81"/>
      <c r="T382" s="81"/>
      <c r="U382" s="81"/>
      <c r="V382" s="82"/>
      <c r="W382" s="80">
        <v>0</v>
      </c>
      <c r="X382" s="80"/>
      <c r="Y382" s="11" t="str">
        <f ca="1">IF(ISBLANK(BudgetsTable[[#This Row],[budg_seq_yr]]),"FY"&amp;fiscalyear,"FY"&amp;fiscalyear-1+BudgetsTable[[#This Row],[budg_seq_yr]])</f>
        <v>FY18</v>
      </c>
      <c r="Z382" s="81">
        <v>360182</v>
      </c>
      <c r="AA382" s="80" t="s">
        <v>1124</v>
      </c>
      <c r="AB382" s="80" t="s">
        <v>1377</v>
      </c>
      <c r="AC382" s="108" t="s">
        <v>94</v>
      </c>
      <c r="AD382" s="80" t="s">
        <v>592</v>
      </c>
    </row>
    <row r="383" spans="1:30">
      <c r="A383" s="10" t="s">
        <v>1069</v>
      </c>
      <c r="B383" s="78" t="s">
        <v>96</v>
      </c>
      <c r="C383" s="78">
        <f>C382+(BudgetsTable[[#This Row],[lead]]&lt;&gt;K382)</f>
        <v>55</v>
      </c>
      <c r="D383" s="78">
        <f>D382*(BudgetsTable[[#This Row],[lead]]=K382)+(BudgetsTable[[#This Row],[prop_id]]&lt;&gt;A382)</f>
        <v>1</v>
      </c>
      <c r="E383" s="79">
        <v>42970.690972222219</v>
      </c>
      <c r="F383" s="80" t="s">
        <v>1376</v>
      </c>
      <c r="G383" s="80" t="s">
        <v>1124</v>
      </c>
      <c r="H383" s="80" t="s">
        <v>1377</v>
      </c>
      <c r="I383" s="78" t="s">
        <v>705</v>
      </c>
      <c r="J383" s="78" t="s">
        <v>13</v>
      </c>
      <c r="K383" s="80" t="s">
        <v>1069</v>
      </c>
      <c r="L383" s="7" t="str">
        <f>IF(BudgetsTable[[#This Row],[pi_last_name]]=" ","",HYPERLINK("https://www.ejacket.nsf.gov/ej/showProposal.do?Continue=Y&amp;ID="&amp;BudgetsTable[[#This Row],[prop_id]],BudgetsTable[[#This Row],[prop_id]]))</f>
        <v/>
      </c>
      <c r="M383" s="15" t="str">
        <f>IF(BudgetsTable[[#This Row],[pi_last_name]]=" ","",HYPERLINK("https://www.ejacket.nsf.gov/ej/processReviewAnalysis.do?dispatch=add&amp;uniqId="&amp;BudgetsTable[[#This Row],[prop_id]]&amp;PO_id,"&gt;ra"))</f>
        <v/>
      </c>
      <c r="N383" s="80" t="s">
        <v>13</v>
      </c>
      <c r="O383" s="7" t="str">
        <f>IF(BudgetsTable[[#This Row],[pi_last_name]]=" ","",HYPERLINK("mailto:"&amp;BudgetsTable[[#This Row],[pi_email]]&amp;"&amp;subject=Your NSF Proposal:  "&amp;BudgetsTable[[#This Row],[prop_id]],BudgetsTable[[#This Row],[pi_email]]))</f>
        <v/>
      </c>
      <c r="P383" s="80" t="s">
        <v>13</v>
      </c>
      <c r="Q383" s="80">
        <v>3</v>
      </c>
      <c r="R383" s="80">
        <v>0.2</v>
      </c>
      <c r="S383" s="81">
        <v>0</v>
      </c>
      <c r="T383" s="81">
        <v>0</v>
      </c>
      <c r="U383" s="81">
        <v>85450</v>
      </c>
      <c r="V383" s="82">
        <v>119428</v>
      </c>
      <c r="W383" s="80">
        <v>0</v>
      </c>
      <c r="X383" s="80">
        <v>1</v>
      </c>
      <c r="Y383" s="11" t="str">
        <f ca="1">IF(ISBLANK(BudgetsTable[[#This Row],[budg_seq_yr]]),"FY"&amp;fiscalyear,"FY"&amp;fiscalyear-1+BudgetsTable[[#This Row],[budg_seq_yr]])</f>
        <v>FY18</v>
      </c>
      <c r="Z383" s="81">
        <v>119428</v>
      </c>
      <c r="AA383" s="80" t="s">
        <v>1124</v>
      </c>
      <c r="AB383" s="80" t="s">
        <v>1377</v>
      </c>
      <c r="AC383" s="108" t="s">
        <v>94</v>
      </c>
      <c r="AD383" s="80" t="s">
        <v>592</v>
      </c>
    </row>
    <row r="384" spans="1:30">
      <c r="A384" s="10" t="s">
        <v>1069</v>
      </c>
      <c r="B384" s="78" t="s">
        <v>96</v>
      </c>
      <c r="C384" s="78">
        <f>C383+(BudgetsTable[[#This Row],[lead]]&lt;&gt;K383)</f>
        <v>55</v>
      </c>
      <c r="D384" s="78">
        <f>D383*(BudgetsTable[[#This Row],[lead]]=K383)+(BudgetsTable[[#This Row],[prop_id]]&lt;&gt;A383)</f>
        <v>1</v>
      </c>
      <c r="E384" s="79">
        <v>42970.690972222219</v>
      </c>
      <c r="F384" s="80" t="s">
        <v>1376</v>
      </c>
      <c r="G384" s="80" t="s">
        <v>1124</v>
      </c>
      <c r="H384" s="80" t="s">
        <v>1377</v>
      </c>
      <c r="I384" s="78" t="s">
        <v>705</v>
      </c>
      <c r="J384" s="78" t="s">
        <v>13</v>
      </c>
      <c r="K384" s="80" t="s">
        <v>1069</v>
      </c>
      <c r="L384" s="7" t="str">
        <f>IF(BudgetsTable[[#This Row],[pi_last_name]]=" ","",HYPERLINK("https://www.ejacket.nsf.gov/ej/showProposal.do?Continue=Y&amp;ID="&amp;BudgetsTable[[#This Row],[prop_id]],BudgetsTable[[#This Row],[prop_id]]))</f>
        <v/>
      </c>
      <c r="M384" s="15" t="str">
        <f>IF(BudgetsTable[[#This Row],[pi_last_name]]=" ","",HYPERLINK("https://www.ejacket.nsf.gov/ej/processReviewAnalysis.do?dispatch=add&amp;uniqId="&amp;BudgetsTable[[#This Row],[prop_id]]&amp;PO_id,"&gt;ra"))</f>
        <v/>
      </c>
      <c r="N384" s="80" t="s">
        <v>13</v>
      </c>
      <c r="O384" s="7" t="str">
        <f>IF(BudgetsTable[[#This Row],[pi_last_name]]=" ","",HYPERLINK("mailto:"&amp;BudgetsTable[[#This Row],[pi_email]]&amp;"&amp;subject=Your NSF Proposal:  "&amp;BudgetsTable[[#This Row],[prop_id]],BudgetsTable[[#This Row],[pi_email]]))</f>
        <v/>
      </c>
      <c r="P384" s="80" t="s">
        <v>13</v>
      </c>
      <c r="Q384" s="80">
        <v>3</v>
      </c>
      <c r="R384" s="80">
        <v>0.2</v>
      </c>
      <c r="S384" s="81">
        <v>0</v>
      </c>
      <c r="T384" s="81">
        <v>0</v>
      </c>
      <c r="U384" s="81">
        <v>85450</v>
      </c>
      <c r="V384" s="82">
        <v>120095</v>
      </c>
      <c r="W384" s="80">
        <v>0</v>
      </c>
      <c r="X384" s="80">
        <v>2</v>
      </c>
      <c r="Y384" s="11" t="str">
        <f ca="1">IF(ISBLANK(BudgetsTable[[#This Row],[budg_seq_yr]]),"FY"&amp;fiscalyear,"FY"&amp;fiscalyear-1+BudgetsTable[[#This Row],[budg_seq_yr]])</f>
        <v>FY19</v>
      </c>
      <c r="Z384" s="81">
        <v>120095</v>
      </c>
      <c r="AA384" s="80" t="s">
        <v>1124</v>
      </c>
      <c r="AB384" s="80" t="s">
        <v>1377</v>
      </c>
      <c r="AC384" s="108" t="s">
        <v>94</v>
      </c>
      <c r="AD384" s="80" t="s">
        <v>592</v>
      </c>
    </row>
    <row r="385" spans="1:30">
      <c r="A385" s="10" t="s">
        <v>1069</v>
      </c>
      <c r="B385" s="78" t="s">
        <v>96</v>
      </c>
      <c r="C385" s="78">
        <f>C384+(BudgetsTable[[#This Row],[lead]]&lt;&gt;K384)</f>
        <v>55</v>
      </c>
      <c r="D385" s="78">
        <f>D384*(BudgetsTable[[#This Row],[lead]]=K384)+(BudgetsTable[[#This Row],[prop_id]]&lt;&gt;A384)</f>
        <v>1</v>
      </c>
      <c r="E385" s="79">
        <v>42970.690972222219</v>
      </c>
      <c r="F385" s="80" t="s">
        <v>1376</v>
      </c>
      <c r="G385" s="80" t="s">
        <v>1124</v>
      </c>
      <c r="H385" s="80" t="s">
        <v>1377</v>
      </c>
      <c r="I385" s="78" t="s">
        <v>705</v>
      </c>
      <c r="J385" s="78" t="s">
        <v>13</v>
      </c>
      <c r="K385" s="80" t="s">
        <v>1069</v>
      </c>
      <c r="L385" s="7" t="str">
        <f>IF(BudgetsTable[[#This Row],[pi_last_name]]=" ","",HYPERLINK("https://www.ejacket.nsf.gov/ej/showProposal.do?Continue=Y&amp;ID="&amp;BudgetsTable[[#This Row],[prop_id]],BudgetsTable[[#This Row],[prop_id]]))</f>
        <v/>
      </c>
      <c r="M385" s="15" t="str">
        <f>IF(BudgetsTable[[#This Row],[pi_last_name]]=" ","",HYPERLINK("https://www.ejacket.nsf.gov/ej/processReviewAnalysis.do?dispatch=add&amp;uniqId="&amp;BudgetsTable[[#This Row],[prop_id]]&amp;PO_id,"&gt;ra"))</f>
        <v/>
      </c>
      <c r="N385" s="80" t="s">
        <v>13</v>
      </c>
      <c r="O385" s="7" t="str">
        <f>IF(BudgetsTable[[#This Row],[pi_last_name]]=" ","",HYPERLINK("mailto:"&amp;BudgetsTable[[#This Row],[pi_email]]&amp;"&amp;subject=Your NSF Proposal:  "&amp;BudgetsTable[[#This Row],[prop_id]],BudgetsTable[[#This Row],[pi_email]]))</f>
        <v/>
      </c>
      <c r="P385" s="80" t="s">
        <v>13</v>
      </c>
      <c r="Q385" s="80">
        <v>3</v>
      </c>
      <c r="R385" s="80">
        <v>0.2</v>
      </c>
      <c r="S385" s="81">
        <v>0</v>
      </c>
      <c r="T385" s="81">
        <v>0</v>
      </c>
      <c r="U385" s="81">
        <v>85450</v>
      </c>
      <c r="V385" s="82">
        <v>120659</v>
      </c>
      <c r="W385" s="80">
        <v>0</v>
      </c>
      <c r="X385" s="80">
        <v>3</v>
      </c>
      <c r="Y385" s="11" t="str">
        <f ca="1">IF(ISBLANK(BudgetsTable[[#This Row],[budg_seq_yr]]),"FY"&amp;fiscalyear,"FY"&amp;fiscalyear-1+BudgetsTable[[#This Row],[budg_seq_yr]])</f>
        <v>FY20</v>
      </c>
      <c r="Z385" s="81">
        <v>120659</v>
      </c>
      <c r="AA385" s="80" t="s">
        <v>1124</v>
      </c>
      <c r="AB385" s="80" t="s">
        <v>1377</v>
      </c>
      <c r="AC385" s="108" t="s">
        <v>94</v>
      </c>
      <c r="AD385" s="80" t="s">
        <v>592</v>
      </c>
    </row>
    <row r="386" spans="1:30">
      <c r="A386" s="10" t="s">
        <v>1076</v>
      </c>
      <c r="B386" s="78" t="s">
        <v>96</v>
      </c>
      <c r="C386" s="78">
        <f>C385+(BudgetsTable[[#This Row],[lead]]&lt;&gt;K385)</f>
        <v>56</v>
      </c>
      <c r="D386" s="78">
        <f>D385*(BudgetsTable[[#This Row],[lead]]=K385)+(BudgetsTable[[#This Row],[prop_id]]&lt;&gt;A385)</f>
        <v>1</v>
      </c>
      <c r="E386" s="79">
        <v>42970.693055555559</v>
      </c>
      <c r="F386" s="80" t="s">
        <v>1376</v>
      </c>
      <c r="G386" s="80" t="s">
        <v>1124</v>
      </c>
      <c r="H386" s="80" t="s">
        <v>1377</v>
      </c>
      <c r="I386" s="78" t="s">
        <v>705</v>
      </c>
      <c r="J386" s="78" t="s">
        <v>1423</v>
      </c>
      <c r="K386" s="80" t="s">
        <v>1076</v>
      </c>
      <c r="L386" s="7" t="str">
        <f>IF(BudgetsTable[[#This Row],[pi_last_name]]=" ","",HYPERLINK("https://www.ejacket.nsf.gov/ej/showProposal.do?Continue=Y&amp;ID="&amp;BudgetsTable[[#This Row],[prop_id]],BudgetsTable[[#This Row],[prop_id]]))</f>
        <v>1757893</v>
      </c>
      <c r="M386" s="15" t="str">
        <f>IF(BudgetsTable[[#This Row],[pi_last_name]]=" ","",HYPERLINK("https://www.ejacket.nsf.gov/ej/processReviewAnalysis.do?dispatch=add&amp;uniqId="&amp;BudgetsTable[[#This Row],[prop_id]]&amp;PO_id,"&gt;ra"))</f>
        <v>&gt;ra</v>
      </c>
      <c r="N386" s="80" t="s">
        <v>1077</v>
      </c>
      <c r="O386" s="7" t="str">
        <f>IF(BudgetsTable[[#This Row],[pi_last_name]]=" ","",HYPERLINK("mailto:"&amp;BudgetsTable[[#This Row],[pi_email]]&amp;"&amp;subject=Your NSF Proposal:  "&amp;BudgetsTable[[#This Row],[prop_id]],BudgetsTable[[#This Row],[pi_email]]))</f>
        <v>vmetsis@txstate.edu</v>
      </c>
      <c r="P386" s="80" t="s">
        <v>1420</v>
      </c>
      <c r="Q386" s="80"/>
      <c r="R386" s="80"/>
      <c r="S386" s="81"/>
      <c r="T386" s="81"/>
      <c r="U386" s="81"/>
      <c r="V386" s="82"/>
      <c r="W386" s="80">
        <v>0</v>
      </c>
      <c r="X386" s="80"/>
      <c r="Y386" s="11" t="str">
        <f ca="1">IF(ISBLANK(BudgetsTable[[#This Row],[budg_seq_yr]]),"FY"&amp;fiscalyear,"FY"&amp;fiscalyear-1+BudgetsTable[[#This Row],[budg_seq_yr]])</f>
        <v>FY18</v>
      </c>
      <c r="Z386" s="81">
        <v>359812</v>
      </c>
      <c r="AA386" s="80" t="s">
        <v>1124</v>
      </c>
      <c r="AB386" s="80" t="s">
        <v>1377</v>
      </c>
      <c r="AC386" s="108" t="s">
        <v>94</v>
      </c>
      <c r="AD386" s="80" t="s">
        <v>592</v>
      </c>
    </row>
    <row r="387" spans="1:30">
      <c r="A387" s="10" t="s">
        <v>1076</v>
      </c>
      <c r="B387" s="78" t="s">
        <v>96</v>
      </c>
      <c r="C387" s="78">
        <f>C386+(BudgetsTable[[#This Row],[lead]]&lt;&gt;K386)</f>
        <v>56</v>
      </c>
      <c r="D387" s="78">
        <f>D386*(BudgetsTable[[#This Row],[lead]]=K386)+(BudgetsTable[[#This Row],[prop_id]]&lt;&gt;A386)</f>
        <v>1</v>
      </c>
      <c r="E387" s="79">
        <v>42970.693055555559</v>
      </c>
      <c r="F387" s="80" t="s">
        <v>1376</v>
      </c>
      <c r="G387" s="80" t="s">
        <v>1124</v>
      </c>
      <c r="H387" s="80" t="s">
        <v>1377</v>
      </c>
      <c r="I387" s="78" t="s">
        <v>705</v>
      </c>
      <c r="J387" s="78" t="s">
        <v>13</v>
      </c>
      <c r="K387" s="80" t="s">
        <v>1076</v>
      </c>
      <c r="L387" s="7" t="str">
        <f>IF(BudgetsTable[[#This Row],[pi_last_name]]=" ","",HYPERLINK("https://www.ejacket.nsf.gov/ej/showProposal.do?Continue=Y&amp;ID="&amp;BudgetsTable[[#This Row],[prop_id]],BudgetsTable[[#This Row],[prop_id]]))</f>
        <v/>
      </c>
      <c r="M387" s="15" t="str">
        <f>IF(BudgetsTable[[#This Row],[pi_last_name]]=" ","",HYPERLINK("https://www.ejacket.nsf.gov/ej/processReviewAnalysis.do?dispatch=add&amp;uniqId="&amp;BudgetsTable[[#This Row],[prop_id]]&amp;PO_id,"&gt;ra"))</f>
        <v/>
      </c>
      <c r="N387" s="80" t="s">
        <v>13</v>
      </c>
      <c r="O387" s="7" t="str">
        <f>IF(BudgetsTable[[#This Row],[pi_last_name]]=" ","",HYPERLINK("mailto:"&amp;BudgetsTable[[#This Row],[pi_email]]&amp;"&amp;subject=Your NSF Proposal:  "&amp;BudgetsTable[[#This Row],[prop_id]],BudgetsTable[[#This Row],[pi_email]]))</f>
        <v/>
      </c>
      <c r="P387" s="80" t="s">
        <v>13</v>
      </c>
      <c r="Q387" s="80">
        <v>2</v>
      </c>
      <c r="R387" s="80">
        <v>1.2</v>
      </c>
      <c r="S387" s="81">
        <v>0</v>
      </c>
      <c r="T387" s="81">
        <v>0</v>
      </c>
      <c r="U387" s="81">
        <v>80000</v>
      </c>
      <c r="V387" s="82">
        <v>118997</v>
      </c>
      <c r="W387" s="80">
        <v>0</v>
      </c>
      <c r="X387" s="80">
        <v>1</v>
      </c>
      <c r="Y387" s="11" t="str">
        <f ca="1">IF(ISBLANK(BudgetsTable[[#This Row],[budg_seq_yr]]),"FY"&amp;fiscalyear,"FY"&amp;fiscalyear-1+BudgetsTable[[#This Row],[budg_seq_yr]])</f>
        <v>FY18</v>
      </c>
      <c r="Z387" s="81">
        <v>118997</v>
      </c>
      <c r="AA387" s="80" t="s">
        <v>1124</v>
      </c>
      <c r="AB387" s="80" t="s">
        <v>1377</v>
      </c>
      <c r="AC387" s="108" t="s">
        <v>94</v>
      </c>
      <c r="AD387" s="80" t="s">
        <v>592</v>
      </c>
    </row>
    <row r="388" spans="1:30">
      <c r="A388" s="10" t="s">
        <v>1076</v>
      </c>
      <c r="B388" s="78" t="s">
        <v>96</v>
      </c>
      <c r="C388" s="78">
        <f>C387+(BudgetsTable[[#This Row],[lead]]&lt;&gt;K387)</f>
        <v>56</v>
      </c>
      <c r="D388" s="78">
        <f>D387*(BudgetsTable[[#This Row],[lead]]=K387)+(BudgetsTable[[#This Row],[prop_id]]&lt;&gt;A387)</f>
        <v>1</v>
      </c>
      <c r="E388" s="79">
        <v>42970.693055555559</v>
      </c>
      <c r="F388" s="80" t="s">
        <v>1376</v>
      </c>
      <c r="G388" s="80" t="s">
        <v>1124</v>
      </c>
      <c r="H388" s="80" t="s">
        <v>1377</v>
      </c>
      <c r="I388" s="78" t="s">
        <v>705</v>
      </c>
      <c r="J388" s="78" t="s">
        <v>13</v>
      </c>
      <c r="K388" s="80" t="s">
        <v>1076</v>
      </c>
      <c r="L388" s="7" t="str">
        <f>IF(BudgetsTable[[#This Row],[pi_last_name]]=" ","",HYPERLINK("https://www.ejacket.nsf.gov/ej/showProposal.do?Continue=Y&amp;ID="&amp;BudgetsTable[[#This Row],[prop_id]],BudgetsTable[[#This Row],[prop_id]]))</f>
        <v/>
      </c>
      <c r="M388" s="15" t="str">
        <f>IF(BudgetsTable[[#This Row],[pi_last_name]]=" ","",HYPERLINK("https://www.ejacket.nsf.gov/ej/processReviewAnalysis.do?dispatch=add&amp;uniqId="&amp;BudgetsTable[[#This Row],[prop_id]]&amp;PO_id,"&gt;ra"))</f>
        <v/>
      </c>
      <c r="N388" s="80" t="s">
        <v>13</v>
      </c>
      <c r="O388" s="7" t="str">
        <f>IF(BudgetsTable[[#This Row],[pi_last_name]]=" ","",HYPERLINK("mailto:"&amp;BudgetsTable[[#This Row],[pi_email]]&amp;"&amp;subject=Your NSF Proposal:  "&amp;BudgetsTable[[#This Row],[prop_id]],BudgetsTable[[#This Row],[pi_email]]))</f>
        <v/>
      </c>
      <c r="P388" s="80" t="s">
        <v>13</v>
      </c>
      <c r="Q388" s="80">
        <v>2</v>
      </c>
      <c r="R388" s="80">
        <v>1.2</v>
      </c>
      <c r="S388" s="81">
        <v>0</v>
      </c>
      <c r="T388" s="81">
        <v>0</v>
      </c>
      <c r="U388" s="81">
        <v>80000</v>
      </c>
      <c r="V388" s="82">
        <v>119927</v>
      </c>
      <c r="W388" s="80">
        <v>0</v>
      </c>
      <c r="X388" s="80">
        <v>2</v>
      </c>
      <c r="Y388" s="11" t="str">
        <f ca="1">IF(ISBLANK(BudgetsTable[[#This Row],[budg_seq_yr]]),"FY"&amp;fiscalyear,"FY"&amp;fiscalyear-1+BudgetsTable[[#This Row],[budg_seq_yr]])</f>
        <v>FY19</v>
      </c>
      <c r="Z388" s="81">
        <v>119927</v>
      </c>
      <c r="AA388" s="80" t="s">
        <v>1124</v>
      </c>
      <c r="AB388" s="80" t="s">
        <v>1377</v>
      </c>
      <c r="AC388" s="108" t="s">
        <v>94</v>
      </c>
      <c r="AD388" s="80" t="s">
        <v>592</v>
      </c>
    </row>
    <row r="389" spans="1:30">
      <c r="A389" s="10" t="s">
        <v>1076</v>
      </c>
      <c r="B389" s="78" t="s">
        <v>96</v>
      </c>
      <c r="C389" s="78">
        <f>C388+(BudgetsTable[[#This Row],[lead]]&lt;&gt;K388)</f>
        <v>56</v>
      </c>
      <c r="D389" s="78">
        <f>D388*(BudgetsTable[[#This Row],[lead]]=K388)+(BudgetsTable[[#This Row],[prop_id]]&lt;&gt;A388)</f>
        <v>1</v>
      </c>
      <c r="E389" s="79">
        <v>42970.693055555559</v>
      </c>
      <c r="F389" s="80" t="s">
        <v>1376</v>
      </c>
      <c r="G389" s="80" t="s">
        <v>1124</v>
      </c>
      <c r="H389" s="80" t="s">
        <v>1377</v>
      </c>
      <c r="I389" s="78" t="s">
        <v>705</v>
      </c>
      <c r="J389" s="78" t="s">
        <v>13</v>
      </c>
      <c r="K389" s="80" t="s">
        <v>1076</v>
      </c>
      <c r="L389" s="7" t="str">
        <f>IF(BudgetsTable[[#This Row],[pi_last_name]]=" ","",HYPERLINK("https://www.ejacket.nsf.gov/ej/showProposal.do?Continue=Y&amp;ID="&amp;BudgetsTable[[#This Row],[prop_id]],BudgetsTable[[#This Row],[prop_id]]))</f>
        <v/>
      </c>
      <c r="M389" s="15" t="str">
        <f>IF(BudgetsTable[[#This Row],[pi_last_name]]=" ","",HYPERLINK("https://www.ejacket.nsf.gov/ej/processReviewAnalysis.do?dispatch=add&amp;uniqId="&amp;BudgetsTable[[#This Row],[prop_id]]&amp;PO_id,"&gt;ra"))</f>
        <v/>
      </c>
      <c r="N389" s="80" t="s">
        <v>13</v>
      </c>
      <c r="O389" s="7" t="str">
        <f>IF(BudgetsTable[[#This Row],[pi_last_name]]=" ","",HYPERLINK("mailto:"&amp;BudgetsTable[[#This Row],[pi_email]]&amp;"&amp;subject=Your NSF Proposal:  "&amp;BudgetsTable[[#This Row],[prop_id]],BudgetsTable[[#This Row],[pi_email]]))</f>
        <v/>
      </c>
      <c r="P389" s="80" t="s">
        <v>13</v>
      </c>
      <c r="Q389" s="80">
        <v>2</v>
      </c>
      <c r="R389" s="80">
        <v>1.2</v>
      </c>
      <c r="S389" s="81">
        <v>0</v>
      </c>
      <c r="T389" s="81">
        <v>0</v>
      </c>
      <c r="U389" s="81">
        <v>80000</v>
      </c>
      <c r="V389" s="82">
        <v>120888</v>
      </c>
      <c r="W389" s="80">
        <v>0</v>
      </c>
      <c r="X389" s="80">
        <v>3</v>
      </c>
      <c r="Y389" s="11" t="str">
        <f ca="1">IF(ISBLANK(BudgetsTable[[#This Row],[budg_seq_yr]]),"FY"&amp;fiscalyear,"FY"&amp;fiscalyear-1+BudgetsTable[[#This Row],[budg_seq_yr]])</f>
        <v>FY20</v>
      </c>
      <c r="Z389" s="81">
        <v>120888</v>
      </c>
      <c r="AA389" s="80" t="s">
        <v>1124</v>
      </c>
      <c r="AB389" s="80" t="s">
        <v>1377</v>
      </c>
      <c r="AC389" s="108" t="s">
        <v>94</v>
      </c>
      <c r="AD389" s="80" t="s">
        <v>592</v>
      </c>
    </row>
    <row r="390" spans="1:30">
      <c r="A390" s="10" t="s">
        <v>1083</v>
      </c>
      <c r="B390" s="78" t="s">
        <v>96</v>
      </c>
      <c r="C390" s="78">
        <f>C389+(BudgetsTable[[#This Row],[lead]]&lt;&gt;K389)</f>
        <v>57</v>
      </c>
      <c r="D390" s="78">
        <f>D389*(BudgetsTable[[#This Row],[lead]]=K389)+(BudgetsTable[[#This Row],[prop_id]]&lt;&gt;A389)</f>
        <v>1</v>
      </c>
      <c r="E390" s="79">
        <v>42970.698611111111</v>
      </c>
      <c r="F390" s="80" t="s">
        <v>1376</v>
      </c>
      <c r="G390" s="80" t="s">
        <v>1124</v>
      </c>
      <c r="H390" s="80" t="s">
        <v>1377</v>
      </c>
      <c r="I390" s="78" t="s">
        <v>705</v>
      </c>
      <c r="J390" s="78" t="s">
        <v>1427</v>
      </c>
      <c r="K390" s="80" t="s">
        <v>1083</v>
      </c>
      <c r="L390" s="7" t="str">
        <f>IF(BudgetsTable[[#This Row],[pi_last_name]]=" ","",HYPERLINK("https://www.ejacket.nsf.gov/ej/showProposal.do?Continue=Y&amp;ID="&amp;BudgetsTable[[#This Row],[prop_id]],BudgetsTable[[#This Row],[prop_id]]))</f>
        <v>1757908</v>
      </c>
      <c r="M390" s="15" t="str">
        <f>IF(BudgetsTable[[#This Row],[pi_last_name]]=" ","",HYPERLINK("https://www.ejacket.nsf.gov/ej/processReviewAnalysis.do?dispatch=add&amp;uniqId="&amp;BudgetsTable[[#This Row],[prop_id]]&amp;PO_id,"&gt;ra"))</f>
        <v>&gt;ra</v>
      </c>
      <c r="N390" s="80" t="s">
        <v>1084</v>
      </c>
      <c r="O390" s="7" t="str">
        <f>IF(BudgetsTable[[#This Row],[pi_last_name]]=" ","",HYPERLINK("mailto:"&amp;BudgetsTable[[#This Row],[pi_email]]&amp;"&amp;subject=Your NSF Proposal:  "&amp;BudgetsTable[[#This Row],[prop_id]],BudgetsTable[[#This Row],[pi_email]]))</f>
        <v>elbaum@cse.unl.edu</v>
      </c>
      <c r="P390" s="80" t="s">
        <v>569</v>
      </c>
      <c r="Q390" s="80"/>
      <c r="R390" s="80"/>
      <c r="S390" s="81"/>
      <c r="T390" s="81"/>
      <c r="U390" s="81"/>
      <c r="V390" s="82"/>
      <c r="W390" s="80">
        <v>0</v>
      </c>
      <c r="X390" s="80"/>
      <c r="Y390" s="11" t="str">
        <f ca="1">IF(ISBLANK(BudgetsTable[[#This Row],[budg_seq_yr]]),"FY"&amp;fiscalyear,"FY"&amp;fiscalyear-1+BudgetsTable[[#This Row],[budg_seq_yr]])</f>
        <v>FY18</v>
      </c>
      <c r="Z390" s="81">
        <v>344650</v>
      </c>
      <c r="AA390" s="80" t="s">
        <v>1124</v>
      </c>
      <c r="AB390" s="80" t="s">
        <v>1377</v>
      </c>
      <c r="AC390" s="108" t="s">
        <v>94</v>
      </c>
      <c r="AD390" s="80" t="s">
        <v>1424</v>
      </c>
    </row>
    <row r="391" spans="1:30">
      <c r="A391" s="10" t="s">
        <v>1083</v>
      </c>
      <c r="B391" s="78" t="s">
        <v>96</v>
      </c>
      <c r="C391" s="78">
        <f>C390+(BudgetsTable[[#This Row],[lead]]&lt;&gt;K390)</f>
        <v>57</v>
      </c>
      <c r="D391" s="78">
        <f>D390*(BudgetsTable[[#This Row],[lead]]=K390)+(BudgetsTable[[#This Row],[prop_id]]&lt;&gt;A390)</f>
        <v>1</v>
      </c>
      <c r="E391" s="79">
        <v>42970.698611111111</v>
      </c>
      <c r="F391" s="80" t="s">
        <v>1376</v>
      </c>
      <c r="G391" s="80" t="s">
        <v>1124</v>
      </c>
      <c r="H391" s="80" t="s">
        <v>1377</v>
      </c>
      <c r="I391" s="78" t="s">
        <v>705</v>
      </c>
      <c r="J391" s="78" t="s">
        <v>13</v>
      </c>
      <c r="K391" s="80" t="s">
        <v>1083</v>
      </c>
      <c r="L391" s="7" t="str">
        <f>IF(BudgetsTable[[#This Row],[pi_last_name]]=" ","",HYPERLINK("https://www.ejacket.nsf.gov/ej/showProposal.do?Continue=Y&amp;ID="&amp;BudgetsTable[[#This Row],[prop_id]],BudgetsTable[[#This Row],[prop_id]]))</f>
        <v/>
      </c>
      <c r="M391" s="15" t="str">
        <f>IF(BudgetsTable[[#This Row],[pi_last_name]]=" ","",HYPERLINK("https://www.ejacket.nsf.gov/ej/processReviewAnalysis.do?dispatch=add&amp;uniqId="&amp;BudgetsTable[[#This Row],[prop_id]]&amp;PO_id,"&gt;ra"))</f>
        <v/>
      </c>
      <c r="N391" s="80" t="s">
        <v>13</v>
      </c>
      <c r="O391" s="7" t="str">
        <f>IF(BudgetsTable[[#This Row],[pi_last_name]]=" ","",HYPERLINK("mailto:"&amp;BudgetsTable[[#This Row],[pi_email]]&amp;"&amp;subject=Your NSF Proposal:  "&amp;BudgetsTable[[#This Row],[prop_id]],BudgetsTable[[#This Row],[pi_email]]))</f>
        <v/>
      </c>
      <c r="P391" s="80" t="s">
        <v>13</v>
      </c>
      <c r="Q391" s="80">
        <v>0</v>
      </c>
      <c r="R391" s="80">
        <v>0</v>
      </c>
      <c r="S391" s="81">
        <v>0</v>
      </c>
      <c r="T391" s="81">
        <v>0</v>
      </c>
      <c r="U391" s="81">
        <v>97280</v>
      </c>
      <c r="V391" s="82">
        <v>112991</v>
      </c>
      <c r="W391" s="80">
        <v>0</v>
      </c>
      <c r="X391" s="80">
        <v>1</v>
      </c>
      <c r="Y391" s="11" t="str">
        <f ca="1">IF(ISBLANK(BudgetsTable[[#This Row],[budg_seq_yr]]),"FY"&amp;fiscalyear,"FY"&amp;fiscalyear-1+BudgetsTable[[#This Row],[budg_seq_yr]])</f>
        <v>FY18</v>
      </c>
      <c r="Z391" s="81">
        <v>112991</v>
      </c>
      <c r="AA391" s="80" t="s">
        <v>1124</v>
      </c>
      <c r="AB391" s="80" t="s">
        <v>1377</v>
      </c>
      <c r="AC391" s="108" t="s">
        <v>94</v>
      </c>
      <c r="AD391" s="80" t="s">
        <v>1424</v>
      </c>
    </row>
    <row r="392" spans="1:30">
      <c r="A392" s="10" t="s">
        <v>1083</v>
      </c>
      <c r="B392" s="78" t="s">
        <v>96</v>
      </c>
      <c r="C392" s="78">
        <f>C391+(BudgetsTable[[#This Row],[lead]]&lt;&gt;K391)</f>
        <v>57</v>
      </c>
      <c r="D392" s="78">
        <f>D391*(BudgetsTable[[#This Row],[lead]]=K391)+(BudgetsTable[[#This Row],[prop_id]]&lt;&gt;A391)</f>
        <v>1</v>
      </c>
      <c r="E392" s="79">
        <v>42970.698611111111</v>
      </c>
      <c r="F392" s="80" t="s">
        <v>1376</v>
      </c>
      <c r="G392" s="80" t="s">
        <v>1124</v>
      </c>
      <c r="H392" s="80" t="s">
        <v>1377</v>
      </c>
      <c r="I392" s="78" t="s">
        <v>705</v>
      </c>
      <c r="J392" s="78" t="s">
        <v>13</v>
      </c>
      <c r="K392" s="80" t="s">
        <v>1083</v>
      </c>
      <c r="L392" s="7" t="str">
        <f>IF(BudgetsTable[[#This Row],[pi_last_name]]=" ","",HYPERLINK("https://www.ejacket.nsf.gov/ej/showProposal.do?Continue=Y&amp;ID="&amp;BudgetsTable[[#This Row],[prop_id]],BudgetsTable[[#This Row],[prop_id]]))</f>
        <v/>
      </c>
      <c r="M392" s="15" t="str">
        <f>IF(BudgetsTable[[#This Row],[pi_last_name]]=" ","",HYPERLINK("https://www.ejacket.nsf.gov/ej/processReviewAnalysis.do?dispatch=add&amp;uniqId="&amp;BudgetsTable[[#This Row],[prop_id]]&amp;PO_id,"&gt;ra"))</f>
        <v/>
      </c>
      <c r="N392" s="80" t="s">
        <v>13</v>
      </c>
      <c r="O392" s="7" t="str">
        <f>IF(BudgetsTable[[#This Row],[pi_last_name]]=" ","",HYPERLINK("mailto:"&amp;BudgetsTable[[#This Row],[pi_email]]&amp;"&amp;subject=Your NSF Proposal:  "&amp;BudgetsTable[[#This Row],[prop_id]],BudgetsTable[[#This Row],[pi_email]]))</f>
        <v/>
      </c>
      <c r="P392" s="80" t="s">
        <v>13</v>
      </c>
      <c r="Q392" s="80">
        <v>0</v>
      </c>
      <c r="R392" s="80">
        <v>0</v>
      </c>
      <c r="S392" s="81">
        <v>0</v>
      </c>
      <c r="T392" s="81">
        <v>0</v>
      </c>
      <c r="U392" s="81">
        <v>98698</v>
      </c>
      <c r="V392" s="82">
        <v>114865</v>
      </c>
      <c r="W392" s="80">
        <v>0</v>
      </c>
      <c r="X392" s="80">
        <v>2</v>
      </c>
      <c r="Y392" s="11" t="str">
        <f ca="1">IF(ISBLANK(BudgetsTable[[#This Row],[budg_seq_yr]]),"FY"&amp;fiscalyear,"FY"&amp;fiscalyear-1+BudgetsTable[[#This Row],[budg_seq_yr]])</f>
        <v>FY19</v>
      </c>
      <c r="Z392" s="81">
        <v>114865</v>
      </c>
      <c r="AA392" s="80" t="s">
        <v>1124</v>
      </c>
      <c r="AB392" s="80" t="s">
        <v>1377</v>
      </c>
      <c r="AC392" s="108" t="s">
        <v>94</v>
      </c>
      <c r="AD392" s="80" t="s">
        <v>1424</v>
      </c>
    </row>
    <row r="393" spans="1:30">
      <c r="A393" s="10" t="s">
        <v>1083</v>
      </c>
      <c r="B393" s="78" t="s">
        <v>96</v>
      </c>
      <c r="C393" s="78">
        <f>C392+(BudgetsTable[[#This Row],[lead]]&lt;&gt;K392)</f>
        <v>57</v>
      </c>
      <c r="D393" s="78">
        <f>D392*(BudgetsTable[[#This Row],[lead]]=K392)+(BudgetsTable[[#This Row],[prop_id]]&lt;&gt;A392)</f>
        <v>1</v>
      </c>
      <c r="E393" s="79">
        <v>42970.698611111111</v>
      </c>
      <c r="F393" s="80" t="s">
        <v>1376</v>
      </c>
      <c r="G393" s="80" t="s">
        <v>1124</v>
      </c>
      <c r="H393" s="80" t="s">
        <v>1377</v>
      </c>
      <c r="I393" s="78" t="s">
        <v>705</v>
      </c>
      <c r="J393" s="78" t="s">
        <v>13</v>
      </c>
      <c r="K393" s="80" t="s">
        <v>1083</v>
      </c>
      <c r="L393" s="7" t="str">
        <f>IF(BudgetsTable[[#This Row],[pi_last_name]]=" ","",HYPERLINK("https://www.ejacket.nsf.gov/ej/showProposal.do?Continue=Y&amp;ID="&amp;BudgetsTable[[#This Row],[prop_id]],BudgetsTable[[#This Row],[prop_id]]))</f>
        <v/>
      </c>
      <c r="M393" s="15" t="str">
        <f>IF(BudgetsTable[[#This Row],[pi_last_name]]=" ","",HYPERLINK("https://www.ejacket.nsf.gov/ej/processReviewAnalysis.do?dispatch=add&amp;uniqId="&amp;BudgetsTable[[#This Row],[prop_id]]&amp;PO_id,"&gt;ra"))</f>
        <v/>
      </c>
      <c r="N393" s="80" t="s">
        <v>13</v>
      </c>
      <c r="O393" s="7" t="str">
        <f>IF(BudgetsTable[[#This Row],[pi_last_name]]=" ","",HYPERLINK("mailto:"&amp;BudgetsTable[[#This Row],[pi_email]]&amp;"&amp;subject=Your NSF Proposal:  "&amp;BudgetsTable[[#This Row],[prop_id]],BudgetsTable[[#This Row],[pi_email]]))</f>
        <v/>
      </c>
      <c r="P393" s="80" t="s">
        <v>13</v>
      </c>
      <c r="Q393" s="80">
        <v>0</v>
      </c>
      <c r="R393" s="80">
        <v>0</v>
      </c>
      <c r="S393" s="81">
        <v>0</v>
      </c>
      <c r="T393" s="81">
        <v>0</v>
      </c>
      <c r="U393" s="81">
        <v>100159</v>
      </c>
      <c r="V393" s="82">
        <v>116794</v>
      </c>
      <c r="W393" s="80">
        <v>0</v>
      </c>
      <c r="X393" s="80">
        <v>3</v>
      </c>
      <c r="Y393" s="11" t="str">
        <f ca="1">IF(ISBLANK(BudgetsTable[[#This Row],[budg_seq_yr]]),"FY"&amp;fiscalyear,"FY"&amp;fiscalyear-1+BudgetsTable[[#This Row],[budg_seq_yr]])</f>
        <v>FY20</v>
      </c>
      <c r="Z393" s="81">
        <v>116794</v>
      </c>
      <c r="AA393" s="80" t="s">
        <v>1124</v>
      </c>
      <c r="AB393" s="80" t="s">
        <v>1377</v>
      </c>
      <c r="AC393" s="108" t="s">
        <v>94</v>
      </c>
      <c r="AD393" s="80" t="s">
        <v>1424</v>
      </c>
    </row>
    <row r="394" spans="1:30">
      <c r="A394" s="10" t="s">
        <v>1091</v>
      </c>
      <c r="B394" s="78" t="s">
        <v>96</v>
      </c>
      <c r="C394" s="78">
        <f>C393+(BudgetsTable[[#This Row],[lead]]&lt;&gt;K393)</f>
        <v>58</v>
      </c>
      <c r="D394" s="78">
        <f>D393*(BudgetsTable[[#This Row],[lead]]=K393)+(BudgetsTable[[#This Row],[prop_id]]&lt;&gt;A393)</f>
        <v>1</v>
      </c>
      <c r="E394" s="79">
        <v>42970.70208333333</v>
      </c>
      <c r="F394" s="80" t="s">
        <v>1376</v>
      </c>
      <c r="G394" s="80" t="s">
        <v>1124</v>
      </c>
      <c r="H394" s="80" t="s">
        <v>1377</v>
      </c>
      <c r="I394" s="78" t="s">
        <v>705</v>
      </c>
      <c r="J394" s="78" t="s">
        <v>1432</v>
      </c>
      <c r="K394" s="80" t="s">
        <v>1091</v>
      </c>
      <c r="L394" s="7" t="str">
        <f>IF(BudgetsTable[[#This Row],[pi_last_name]]=" ","",HYPERLINK("https://www.ejacket.nsf.gov/ej/showProposal.do?Continue=Y&amp;ID="&amp;BudgetsTable[[#This Row],[prop_id]],BudgetsTable[[#This Row],[prop_id]]))</f>
        <v>1757919</v>
      </c>
      <c r="M394" s="15" t="str">
        <f>IF(BudgetsTable[[#This Row],[pi_last_name]]=" ","",HYPERLINK("https://www.ejacket.nsf.gov/ej/processReviewAnalysis.do?dispatch=add&amp;uniqId="&amp;BudgetsTable[[#This Row],[prop_id]]&amp;PO_id,"&gt;ra"))</f>
        <v>&gt;ra</v>
      </c>
      <c r="N394" s="80" t="s">
        <v>1092</v>
      </c>
      <c r="O394" s="7" t="str">
        <f>IF(BudgetsTable[[#This Row],[pi_last_name]]=" ","",HYPERLINK("mailto:"&amp;BudgetsTable[[#This Row],[pi_email]]&amp;"&amp;subject=Your NSF Proposal:  "&amp;BudgetsTable[[#This Row],[prop_id]],BudgetsTable[[#This Row],[pi_email]]))</f>
        <v>tbo4z@virginia.edu</v>
      </c>
      <c r="P394" s="80" t="s">
        <v>476</v>
      </c>
      <c r="Q394" s="80"/>
      <c r="R394" s="80"/>
      <c r="S394" s="81"/>
      <c r="T394" s="81"/>
      <c r="U394" s="81"/>
      <c r="V394" s="82"/>
      <c r="W394" s="80">
        <v>0</v>
      </c>
      <c r="X394" s="80"/>
      <c r="Y394" s="11" t="str">
        <f ca="1">IF(ISBLANK(BudgetsTable[[#This Row],[budg_seq_yr]]),"FY"&amp;fiscalyear,"FY"&amp;fiscalyear-1+BudgetsTable[[#This Row],[budg_seq_yr]])</f>
        <v>FY18</v>
      </c>
      <c r="Z394" s="81">
        <v>299333</v>
      </c>
      <c r="AA394" s="80" t="s">
        <v>1124</v>
      </c>
      <c r="AB394" s="80" t="s">
        <v>1377</v>
      </c>
      <c r="AC394" s="108" t="s">
        <v>94</v>
      </c>
      <c r="AD394" s="80" t="s">
        <v>592</v>
      </c>
    </row>
    <row r="395" spans="1:30">
      <c r="A395" s="10" t="s">
        <v>1091</v>
      </c>
      <c r="B395" s="78" t="s">
        <v>96</v>
      </c>
      <c r="C395" s="78">
        <f>C394+(BudgetsTable[[#This Row],[lead]]&lt;&gt;K394)</f>
        <v>58</v>
      </c>
      <c r="D395" s="78">
        <f>D394*(BudgetsTable[[#This Row],[lead]]=K394)+(BudgetsTable[[#This Row],[prop_id]]&lt;&gt;A394)</f>
        <v>1</v>
      </c>
      <c r="E395" s="79">
        <v>42970.70208333333</v>
      </c>
      <c r="F395" s="80" t="s">
        <v>1376</v>
      </c>
      <c r="G395" s="80" t="s">
        <v>1124</v>
      </c>
      <c r="H395" s="80" t="s">
        <v>1377</v>
      </c>
      <c r="I395" s="78" t="s">
        <v>705</v>
      </c>
      <c r="J395" s="78" t="s">
        <v>13</v>
      </c>
      <c r="K395" s="80" t="s">
        <v>1091</v>
      </c>
      <c r="L395" s="7" t="str">
        <f>IF(BudgetsTable[[#This Row],[pi_last_name]]=" ","",HYPERLINK("https://www.ejacket.nsf.gov/ej/showProposal.do?Continue=Y&amp;ID="&amp;BudgetsTable[[#This Row],[prop_id]],BudgetsTable[[#This Row],[prop_id]]))</f>
        <v/>
      </c>
      <c r="M395" s="15" t="str">
        <f>IF(BudgetsTable[[#This Row],[pi_last_name]]=" ","",HYPERLINK("https://www.ejacket.nsf.gov/ej/processReviewAnalysis.do?dispatch=add&amp;uniqId="&amp;BudgetsTable[[#This Row],[prop_id]]&amp;PO_id,"&gt;ra"))</f>
        <v/>
      </c>
      <c r="N395" s="80" t="s">
        <v>13</v>
      </c>
      <c r="O395" s="7" t="str">
        <f>IF(BudgetsTable[[#This Row],[pi_last_name]]=" ","",HYPERLINK("mailto:"&amp;BudgetsTable[[#This Row],[pi_email]]&amp;"&amp;subject=Your NSF Proposal:  "&amp;BudgetsTable[[#This Row],[prop_id]],BudgetsTable[[#This Row],[pi_email]]))</f>
        <v/>
      </c>
      <c r="P395" s="80" t="s">
        <v>13</v>
      </c>
      <c r="Q395" s="80">
        <v>1</v>
      </c>
      <c r="R395" s="80">
        <v>0.8</v>
      </c>
      <c r="S395" s="81">
        <v>0</v>
      </c>
      <c r="T395" s="81">
        <v>0</v>
      </c>
      <c r="U395" s="81">
        <v>77200</v>
      </c>
      <c r="V395" s="82">
        <v>99259</v>
      </c>
      <c r="W395" s="80">
        <v>0</v>
      </c>
      <c r="X395" s="80">
        <v>1</v>
      </c>
      <c r="Y395" s="11" t="str">
        <f ca="1">IF(ISBLANK(BudgetsTable[[#This Row],[budg_seq_yr]]),"FY"&amp;fiscalyear,"FY"&amp;fiscalyear-1+BudgetsTable[[#This Row],[budg_seq_yr]])</f>
        <v>FY18</v>
      </c>
      <c r="Z395" s="81">
        <v>99259</v>
      </c>
      <c r="AA395" s="80" t="s">
        <v>1124</v>
      </c>
      <c r="AB395" s="80" t="s">
        <v>1377</v>
      </c>
      <c r="AC395" s="108" t="s">
        <v>94</v>
      </c>
      <c r="AD395" s="80" t="s">
        <v>592</v>
      </c>
    </row>
    <row r="396" spans="1:30">
      <c r="A396" s="10" t="s">
        <v>1091</v>
      </c>
      <c r="B396" s="78" t="s">
        <v>96</v>
      </c>
      <c r="C396" s="78">
        <f>C395+(BudgetsTable[[#This Row],[lead]]&lt;&gt;K395)</f>
        <v>58</v>
      </c>
      <c r="D396" s="78">
        <f>D395*(BudgetsTable[[#This Row],[lead]]=K395)+(BudgetsTable[[#This Row],[prop_id]]&lt;&gt;A395)</f>
        <v>1</v>
      </c>
      <c r="E396" s="79">
        <v>42970.70208333333</v>
      </c>
      <c r="F396" s="80" t="s">
        <v>1376</v>
      </c>
      <c r="G396" s="80" t="s">
        <v>1124</v>
      </c>
      <c r="H396" s="80" t="s">
        <v>1377</v>
      </c>
      <c r="I396" s="78" t="s">
        <v>705</v>
      </c>
      <c r="J396" s="78" t="s">
        <v>13</v>
      </c>
      <c r="K396" s="80" t="s">
        <v>1091</v>
      </c>
      <c r="L396" s="7" t="str">
        <f>IF(BudgetsTable[[#This Row],[pi_last_name]]=" ","",HYPERLINK("https://www.ejacket.nsf.gov/ej/showProposal.do?Continue=Y&amp;ID="&amp;BudgetsTable[[#This Row],[prop_id]],BudgetsTable[[#This Row],[prop_id]]))</f>
        <v/>
      </c>
      <c r="M396" s="15" t="str">
        <f>IF(BudgetsTable[[#This Row],[pi_last_name]]=" ","",HYPERLINK("https://www.ejacket.nsf.gov/ej/processReviewAnalysis.do?dispatch=add&amp;uniqId="&amp;BudgetsTable[[#This Row],[prop_id]]&amp;PO_id,"&gt;ra"))</f>
        <v/>
      </c>
      <c r="N396" s="80" t="s">
        <v>13</v>
      </c>
      <c r="O396" s="7" t="str">
        <f>IF(BudgetsTable[[#This Row],[pi_last_name]]=" ","",HYPERLINK("mailto:"&amp;BudgetsTable[[#This Row],[pi_email]]&amp;"&amp;subject=Your NSF Proposal:  "&amp;BudgetsTable[[#This Row],[prop_id]],BudgetsTable[[#This Row],[pi_email]]))</f>
        <v/>
      </c>
      <c r="P396" s="80" t="s">
        <v>13</v>
      </c>
      <c r="Q396" s="80">
        <v>1</v>
      </c>
      <c r="R396" s="80">
        <v>0.8</v>
      </c>
      <c r="S396" s="81">
        <v>0</v>
      </c>
      <c r="T396" s="81">
        <v>0</v>
      </c>
      <c r="U396" s="81">
        <v>77200</v>
      </c>
      <c r="V396" s="82">
        <v>99773</v>
      </c>
      <c r="W396" s="80">
        <v>0</v>
      </c>
      <c r="X396" s="80">
        <v>2</v>
      </c>
      <c r="Y396" s="11" t="str">
        <f ca="1">IF(ISBLANK(BudgetsTable[[#This Row],[budg_seq_yr]]),"FY"&amp;fiscalyear,"FY"&amp;fiscalyear-1+BudgetsTable[[#This Row],[budg_seq_yr]])</f>
        <v>FY19</v>
      </c>
      <c r="Z396" s="81">
        <v>99773</v>
      </c>
      <c r="AA396" s="80" t="s">
        <v>1124</v>
      </c>
      <c r="AB396" s="80" t="s">
        <v>1377</v>
      </c>
      <c r="AC396" s="108" t="s">
        <v>94</v>
      </c>
      <c r="AD396" s="80" t="s">
        <v>592</v>
      </c>
    </row>
    <row r="397" spans="1:30">
      <c r="A397" s="10" t="s">
        <v>1091</v>
      </c>
      <c r="B397" s="78" t="s">
        <v>96</v>
      </c>
      <c r="C397" s="78">
        <f>C396+(BudgetsTable[[#This Row],[lead]]&lt;&gt;K396)</f>
        <v>58</v>
      </c>
      <c r="D397" s="78">
        <f>D396*(BudgetsTable[[#This Row],[lead]]=K396)+(BudgetsTable[[#This Row],[prop_id]]&lt;&gt;A396)</f>
        <v>1</v>
      </c>
      <c r="E397" s="79">
        <v>42970.70208333333</v>
      </c>
      <c r="F397" s="80" t="s">
        <v>1376</v>
      </c>
      <c r="G397" s="80" t="s">
        <v>1124</v>
      </c>
      <c r="H397" s="80" t="s">
        <v>1377</v>
      </c>
      <c r="I397" s="78" t="s">
        <v>705</v>
      </c>
      <c r="J397" s="78" t="s">
        <v>13</v>
      </c>
      <c r="K397" s="80" t="s">
        <v>1091</v>
      </c>
      <c r="L397" s="7" t="str">
        <f>IF(BudgetsTable[[#This Row],[pi_last_name]]=" ","",HYPERLINK("https://www.ejacket.nsf.gov/ej/showProposal.do?Continue=Y&amp;ID="&amp;BudgetsTable[[#This Row],[prop_id]],BudgetsTable[[#This Row],[prop_id]]))</f>
        <v/>
      </c>
      <c r="M397" s="15" t="str">
        <f>IF(BudgetsTable[[#This Row],[pi_last_name]]=" ","",HYPERLINK("https://www.ejacket.nsf.gov/ej/processReviewAnalysis.do?dispatch=add&amp;uniqId="&amp;BudgetsTable[[#This Row],[prop_id]]&amp;PO_id,"&gt;ra"))</f>
        <v/>
      </c>
      <c r="N397" s="80" t="s">
        <v>13</v>
      </c>
      <c r="O397" s="7" t="str">
        <f>IF(BudgetsTable[[#This Row],[pi_last_name]]=" ","",HYPERLINK("mailto:"&amp;BudgetsTable[[#This Row],[pi_email]]&amp;"&amp;subject=Your NSF Proposal:  "&amp;BudgetsTable[[#This Row],[prop_id]],BudgetsTable[[#This Row],[pi_email]]))</f>
        <v/>
      </c>
      <c r="P397" s="80" t="s">
        <v>13</v>
      </c>
      <c r="Q397" s="80">
        <v>1</v>
      </c>
      <c r="R397" s="80">
        <v>0.8</v>
      </c>
      <c r="S397" s="81">
        <v>0</v>
      </c>
      <c r="T397" s="81">
        <v>0</v>
      </c>
      <c r="U397" s="81">
        <v>77200</v>
      </c>
      <c r="V397" s="82">
        <v>100301</v>
      </c>
      <c r="W397" s="80">
        <v>0</v>
      </c>
      <c r="X397" s="80">
        <v>3</v>
      </c>
      <c r="Y397" s="11" t="str">
        <f ca="1">IF(ISBLANK(BudgetsTable[[#This Row],[budg_seq_yr]]),"FY"&amp;fiscalyear,"FY"&amp;fiscalyear-1+BudgetsTable[[#This Row],[budg_seq_yr]])</f>
        <v>FY20</v>
      </c>
      <c r="Z397" s="81">
        <v>100301</v>
      </c>
      <c r="AA397" s="80" t="s">
        <v>1124</v>
      </c>
      <c r="AB397" s="80" t="s">
        <v>1377</v>
      </c>
      <c r="AC397" s="108" t="s">
        <v>94</v>
      </c>
      <c r="AD397" s="80" t="s">
        <v>592</v>
      </c>
    </row>
    <row r="398" spans="1:30">
      <c r="A398" s="10" t="s">
        <v>1099</v>
      </c>
      <c r="B398" s="78" t="s">
        <v>96</v>
      </c>
      <c r="C398" s="78">
        <f>C397+(BudgetsTable[[#This Row],[lead]]&lt;&gt;K397)</f>
        <v>59</v>
      </c>
      <c r="D398" s="78">
        <f>D397*(BudgetsTable[[#This Row],[lead]]=K397)+(BudgetsTable[[#This Row],[prop_id]]&lt;&gt;A397)</f>
        <v>1</v>
      </c>
      <c r="E398" s="79">
        <v>42970.70208333333</v>
      </c>
      <c r="F398" s="80" t="s">
        <v>1376</v>
      </c>
      <c r="G398" s="80" t="s">
        <v>1124</v>
      </c>
      <c r="H398" s="80" t="s">
        <v>1377</v>
      </c>
      <c r="I398" s="78" t="s">
        <v>705</v>
      </c>
      <c r="J398" s="78" t="s">
        <v>1437</v>
      </c>
      <c r="K398" s="80" t="s">
        <v>1099</v>
      </c>
      <c r="L398" s="7" t="str">
        <f>IF(BudgetsTable[[#This Row],[pi_last_name]]=" ","",HYPERLINK("https://www.ejacket.nsf.gov/ej/showProposal.do?Continue=Y&amp;ID="&amp;BudgetsTable[[#This Row],[prop_id]],BudgetsTable[[#This Row],[prop_id]]))</f>
        <v>1757921</v>
      </c>
      <c r="M398" s="15" t="str">
        <f>IF(BudgetsTable[[#This Row],[pi_last_name]]=" ","",HYPERLINK("https://www.ejacket.nsf.gov/ej/processReviewAnalysis.do?dispatch=add&amp;uniqId="&amp;BudgetsTable[[#This Row],[prop_id]]&amp;PO_id,"&gt;ra"))</f>
        <v>&gt;ra</v>
      </c>
      <c r="N398" s="80" t="s">
        <v>1100</v>
      </c>
      <c r="O398" s="7" t="str">
        <f>IF(BudgetsTable[[#This Row],[pi_last_name]]=" ","",HYPERLINK("mailto:"&amp;BudgetsTable[[#This Row],[pi_email]]&amp;"&amp;subject=Your NSF Proposal:  "&amp;BudgetsTable[[#This Row],[prop_id]],BudgetsTable[[#This Row],[pi_email]]))</f>
        <v>aashok@gsu.edu</v>
      </c>
      <c r="P398" s="80" t="s">
        <v>1434</v>
      </c>
      <c r="Q398" s="80"/>
      <c r="R398" s="80"/>
      <c r="S398" s="81"/>
      <c r="T398" s="81"/>
      <c r="U398" s="81"/>
      <c r="V398" s="82"/>
      <c r="W398" s="80">
        <v>0</v>
      </c>
      <c r="X398" s="80"/>
      <c r="Y398" s="11" t="str">
        <f ca="1">IF(ISBLANK(BudgetsTable[[#This Row],[budg_seq_yr]]),"FY"&amp;fiscalyear,"FY"&amp;fiscalyear-1+BudgetsTable[[#This Row],[budg_seq_yr]])</f>
        <v>FY18</v>
      </c>
      <c r="Z398" s="81">
        <v>358313</v>
      </c>
      <c r="AA398" s="80" t="s">
        <v>1124</v>
      </c>
      <c r="AB398" s="80" t="s">
        <v>1377</v>
      </c>
      <c r="AC398" s="108" t="s">
        <v>94</v>
      </c>
      <c r="AD398" s="80" t="s">
        <v>592</v>
      </c>
    </row>
    <row r="399" spans="1:30">
      <c r="A399" s="10" t="s">
        <v>1099</v>
      </c>
      <c r="B399" s="78" t="s">
        <v>96</v>
      </c>
      <c r="C399" s="78">
        <f>C398+(BudgetsTable[[#This Row],[lead]]&lt;&gt;K398)</f>
        <v>59</v>
      </c>
      <c r="D399" s="78">
        <f>D398*(BudgetsTable[[#This Row],[lead]]=K398)+(BudgetsTable[[#This Row],[prop_id]]&lt;&gt;A398)</f>
        <v>1</v>
      </c>
      <c r="E399" s="79">
        <v>42970.70208333333</v>
      </c>
      <c r="F399" s="80" t="s">
        <v>1376</v>
      </c>
      <c r="G399" s="80" t="s">
        <v>1124</v>
      </c>
      <c r="H399" s="80" t="s">
        <v>1377</v>
      </c>
      <c r="I399" s="78" t="s">
        <v>705</v>
      </c>
      <c r="J399" s="78" t="s">
        <v>13</v>
      </c>
      <c r="K399" s="80" t="s">
        <v>1099</v>
      </c>
      <c r="L399" s="7" t="str">
        <f>IF(BudgetsTable[[#This Row],[pi_last_name]]=" ","",HYPERLINK("https://www.ejacket.nsf.gov/ej/showProposal.do?Continue=Y&amp;ID="&amp;BudgetsTable[[#This Row],[prop_id]],BudgetsTable[[#This Row],[prop_id]]))</f>
        <v/>
      </c>
      <c r="M399" s="15" t="str">
        <f>IF(BudgetsTable[[#This Row],[pi_last_name]]=" ","",HYPERLINK("https://www.ejacket.nsf.gov/ej/processReviewAnalysis.do?dispatch=add&amp;uniqId="&amp;BudgetsTable[[#This Row],[prop_id]]&amp;PO_id,"&gt;ra"))</f>
        <v/>
      </c>
      <c r="N399" s="80" t="s">
        <v>13</v>
      </c>
      <c r="O399" s="7" t="str">
        <f>IF(BudgetsTable[[#This Row],[pi_last_name]]=" ","",HYPERLINK("mailto:"&amp;BudgetsTable[[#This Row],[pi_email]]&amp;"&amp;subject=Your NSF Proposal:  "&amp;BudgetsTable[[#This Row],[prop_id]],BudgetsTable[[#This Row],[pi_email]]))</f>
        <v/>
      </c>
      <c r="P399" s="80" t="s">
        <v>13</v>
      </c>
      <c r="Q399" s="80">
        <v>5</v>
      </c>
      <c r="R399" s="80">
        <v>0.71</v>
      </c>
      <c r="S399" s="81">
        <v>0</v>
      </c>
      <c r="T399" s="81">
        <v>0</v>
      </c>
      <c r="U399" s="81">
        <v>83550</v>
      </c>
      <c r="V399" s="82">
        <v>119993</v>
      </c>
      <c r="W399" s="80">
        <v>0</v>
      </c>
      <c r="X399" s="80">
        <v>1</v>
      </c>
      <c r="Y399" s="11" t="str">
        <f ca="1">IF(ISBLANK(BudgetsTable[[#This Row],[budg_seq_yr]]),"FY"&amp;fiscalyear,"FY"&amp;fiscalyear-1+BudgetsTable[[#This Row],[budg_seq_yr]])</f>
        <v>FY18</v>
      </c>
      <c r="Z399" s="81">
        <v>119993</v>
      </c>
      <c r="AA399" s="80" t="s">
        <v>1124</v>
      </c>
      <c r="AB399" s="80" t="s">
        <v>1377</v>
      </c>
      <c r="AC399" s="108" t="s">
        <v>94</v>
      </c>
      <c r="AD399" s="80" t="s">
        <v>592</v>
      </c>
    </row>
    <row r="400" spans="1:30">
      <c r="A400" s="10" t="s">
        <v>1099</v>
      </c>
      <c r="B400" s="78" t="s">
        <v>96</v>
      </c>
      <c r="C400" s="78">
        <f>C399+(BudgetsTable[[#This Row],[lead]]&lt;&gt;K399)</f>
        <v>59</v>
      </c>
      <c r="D400" s="78">
        <f>D399*(BudgetsTable[[#This Row],[lead]]=K399)+(BudgetsTable[[#This Row],[prop_id]]&lt;&gt;A399)</f>
        <v>1</v>
      </c>
      <c r="E400" s="79">
        <v>42970.70208333333</v>
      </c>
      <c r="F400" s="80" t="s">
        <v>1376</v>
      </c>
      <c r="G400" s="80" t="s">
        <v>1124</v>
      </c>
      <c r="H400" s="80" t="s">
        <v>1377</v>
      </c>
      <c r="I400" s="78" t="s">
        <v>705</v>
      </c>
      <c r="J400" s="78" t="s">
        <v>13</v>
      </c>
      <c r="K400" s="80" t="s">
        <v>1099</v>
      </c>
      <c r="L400" s="7" t="str">
        <f>IF(BudgetsTable[[#This Row],[pi_last_name]]=" ","",HYPERLINK("https://www.ejacket.nsf.gov/ej/showProposal.do?Continue=Y&amp;ID="&amp;BudgetsTable[[#This Row],[prop_id]],BudgetsTable[[#This Row],[prop_id]]))</f>
        <v/>
      </c>
      <c r="M400" s="15" t="str">
        <f>IF(BudgetsTable[[#This Row],[pi_last_name]]=" ","",HYPERLINK("https://www.ejacket.nsf.gov/ej/processReviewAnalysis.do?dispatch=add&amp;uniqId="&amp;BudgetsTable[[#This Row],[prop_id]]&amp;PO_id,"&gt;ra"))</f>
        <v/>
      </c>
      <c r="N400" s="80" t="s">
        <v>13</v>
      </c>
      <c r="O400" s="7" t="str">
        <f>IF(BudgetsTable[[#This Row],[pi_last_name]]=" ","",HYPERLINK("mailto:"&amp;BudgetsTable[[#This Row],[pi_email]]&amp;"&amp;subject=Your NSF Proposal:  "&amp;BudgetsTable[[#This Row],[prop_id]],BudgetsTable[[#This Row],[pi_email]]))</f>
        <v/>
      </c>
      <c r="P400" s="80" t="s">
        <v>13</v>
      </c>
      <c r="Q400" s="80">
        <v>5</v>
      </c>
      <c r="R400" s="80">
        <v>0.71</v>
      </c>
      <c r="S400" s="81">
        <v>0</v>
      </c>
      <c r="T400" s="81">
        <v>0</v>
      </c>
      <c r="U400" s="81">
        <v>83550</v>
      </c>
      <c r="V400" s="82">
        <v>119160</v>
      </c>
      <c r="W400" s="80">
        <v>0</v>
      </c>
      <c r="X400" s="80">
        <v>2</v>
      </c>
      <c r="Y400" s="11" t="str">
        <f ca="1">IF(ISBLANK(BudgetsTable[[#This Row],[budg_seq_yr]]),"FY"&amp;fiscalyear,"FY"&amp;fiscalyear-1+BudgetsTable[[#This Row],[budg_seq_yr]])</f>
        <v>FY19</v>
      </c>
      <c r="Z400" s="81">
        <v>119160</v>
      </c>
      <c r="AA400" s="80" t="s">
        <v>1124</v>
      </c>
      <c r="AB400" s="80" t="s">
        <v>1377</v>
      </c>
      <c r="AC400" s="108" t="s">
        <v>94</v>
      </c>
      <c r="AD400" s="80" t="s">
        <v>592</v>
      </c>
    </row>
    <row r="401" spans="1:30">
      <c r="A401" s="10" t="s">
        <v>1099</v>
      </c>
      <c r="B401" s="78" t="s">
        <v>96</v>
      </c>
      <c r="C401" s="78">
        <f>C400+(BudgetsTable[[#This Row],[lead]]&lt;&gt;K400)</f>
        <v>59</v>
      </c>
      <c r="D401" s="78">
        <f>D400*(BudgetsTable[[#This Row],[lead]]=K400)+(BudgetsTable[[#This Row],[prop_id]]&lt;&gt;A400)</f>
        <v>1</v>
      </c>
      <c r="E401" s="79">
        <v>42970.70208333333</v>
      </c>
      <c r="F401" s="80" t="s">
        <v>1376</v>
      </c>
      <c r="G401" s="80" t="s">
        <v>1124</v>
      </c>
      <c r="H401" s="80" t="s">
        <v>1377</v>
      </c>
      <c r="I401" s="78" t="s">
        <v>705</v>
      </c>
      <c r="J401" s="78" t="s">
        <v>13</v>
      </c>
      <c r="K401" s="80" t="s">
        <v>1099</v>
      </c>
      <c r="L401" s="7" t="str">
        <f>IF(BudgetsTable[[#This Row],[pi_last_name]]=" ","",HYPERLINK("https://www.ejacket.nsf.gov/ej/showProposal.do?Continue=Y&amp;ID="&amp;BudgetsTable[[#This Row],[prop_id]],BudgetsTable[[#This Row],[prop_id]]))</f>
        <v/>
      </c>
      <c r="M401" s="15" t="str">
        <f>IF(BudgetsTable[[#This Row],[pi_last_name]]=" ","",HYPERLINK("https://www.ejacket.nsf.gov/ej/processReviewAnalysis.do?dispatch=add&amp;uniqId="&amp;BudgetsTable[[#This Row],[prop_id]]&amp;PO_id,"&gt;ra"))</f>
        <v/>
      </c>
      <c r="N401" s="80" t="s">
        <v>13</v>
      </c>
      <c r="O401" s="7" t="str">
        <f>IF(BudgetsTable[[#This Row],[pi_last_name]]=" ","",HYPERLINK("mailto:"&amp;BudgetsTable[[#This Row],[pi_email]]&amp;"&amp;subject=Your NSF Proposal:  "&amp;BudgetsTable[[#This Row],[prop_id]],BudgetsTable[[#This Row],[pi_email]]))</f>
        <v/>
      </c>
      <c r="P401" s="80" t="s">
        <v>13</v>
      </c>
      <c r="Q401" s="80">
        <v>5</v>
      </c>
      <c r="R401" s="80">
        <v>0.71</v>
      </c>
      <c r="S401" s="81">
        <v>0</v>
      </c>
      <c r="T401" s="81">
        <v>0</v>
      </c>
      <c r="U401" s="81">
        <v>83550</v>
      </c>
      <c r="V401" s="82">
        <v>119160</v>
      </c>
      <c r="W401" s="80">
        <v>0</v>
      </c>
      <c r="X401" s="80">
        <v>3</v>
      </c>
      <c r="Y401" s="11" t="str">
        <f ca="1">IF(ISBLANK(BudgetsTable[[#This Row],[budg_seq_yr]]),"FY"&amp;fiscalyear,"FY"&amp;fiscalyear-1+BudgetsTable[[#This Row],[budg_seq_yr]])</f>
        <v>FY20</v>
      </c>
      <c r="Z401" s="81">
        <v>119160</v>
      </c>
      <c r="AA401" s="80" t="s">
        <v>1124</v>
      </c>
      <c r="AB401" s="80" t="s">
        <v>1377</v>
      </c>
      <c r="AC401" s="108" t="s">
        <v>94</v>
      </c>
      <c r="AD401" s="80" t="s">
        <v>592</v>
      </c>
    </row>
    <row r="402" spans="1:30">
      <c r="A402" s="10" t="s">
        <v>1107</v>
      </c>
      <c r="B402" s="78" t="s">
        <v>96</v>
      </c>
      <c r="C402" s="78">
        <f>C401+(BudgetsTable[[#This Row],[lead]]&lt;&gt;K401)</f>
        <v>60</v>
      </c>
      <c r="D402" s="78">
        <f>D401*(BudgetsTable[[#This Row],[lead]]=K401)+(BudgetsTable[[#This Row],[prop_id]]&lt;&gt;A401)</f>
        <v>1</v>
      </c>
      <c r="E402" s="79">
        <v>42970.709722222222</v>
      </c>
      <c r="F402" s="80" t="s">
        <v>1376</v>
      </c>
      <c r="G402" s="80" t="s">
        <v>1124</v>
      </c>
      <c r="H402" s="80" t="s">
        <v>1377</v>
      </c>
      <c r="I402" s="78" t="s">
        <v>705</v>
      </c>
      <c r="J402" s="78" t="s">
        <v>1441</v>
      </c>
      <c r="K402" s="80" t="s">
        <v>1107</v>
      </c>
      <c r="L402" s="7" t="str">
        <f>IF(BudgetsTable[[#This Row],[pi_last_name]]=" ","",HYPERLINK("https://www.ejacket.nsf.gov/ej/showProposal.do?Continue=Y&amp;ID="&amp;BudgetsTable[[#This Row],[prop_id]],BudgetsTable[[#This Row],[prop_id]]))</f>
        <v>1757940</v>
      </c>
      <c r="M402" s="15" t="str">
        <f>IF(BudgetsTable[[#This Row],[pi_last_name]]=" ","",HYPERLINK("https://www.ejacket.nsf.gov/ej/processReviewAnalysis.do?dispatch=add&amp;uniqId="&amp;BudgetsTable[[#This Row],[prop_id]]&amp;PO_id,"&gt;ra"))</f>
        <v>&gt;ra</v>
      </c>
      <c r="N402" s="80" t="s">
        <v>1108</v>
      </c>
      <c r="O402" s="7" t="str">
        <f>IF(BudgetsTable[[#This Row],[pi_last_name]]=" ","",HYPERLINK("mailto:"&amp;BudgetsTable[[#This Row],[pi_email]]&amp;"&amp;subject=Your NSF Proposal:  "&amp;BudgetsTable[[#This Row],[prop_id]],BudgetsTable[[#This Row],[pi_email]]))</f>
        <v>dulal.kar@tamucc.edu</v>
      </c>
      <c r="P402" s="80" t="s">
        <v>1439</v>
      </c>
      <c r="Q402" s="80"/>
      <c r="R402" s="80"/>
      <c r="S402" s="81"/>
      <c r="T402" s="81"/>
      <c r="U402" s="81"/>
      <c r="V402" s="82"/>
      <c r="W402" s="80">
        <v>0</v>
      </c>
      <c r="X402" s="80"/>
      <c r="Y402" s="11" t="str">
        <f ca="1">IF(ISBLANK(BudgetsTable[[#This Row],[budg_seq_yr]]),"FY"&amp;fiscalyear,"FY"&amp;fiscalyear-1+BudgetsTable[[#This Row],[budg_seq_yr]])</f>
        <v>FY18</v>
      </c>
      <c r="Z402" s="81">
        <v>357018</v>
      </c>
      <c r="AA402" s="80" t="s">
        <v>1124</v>
      </c>
      <c r="AB402" s="80" t="s">
        <v>1377</v>
      </c>
      <c r="AC402" s="108" t="s">
        <v>94</v>
      </c>
      <c r="AD402" s="80" t="s">
        <v>592</v>
      </c>
    </row>
    <row r="403" spans="1:30">
      <c r="A403" s="10" t="s">
        <v>1107</v>
      </c>
      <c r="B403" s="78" t="s">
        <v>96</v>
      </c>
      <c r="C403" s="78">
        <f>C402+(BudgetsTable[[#This Row],[lead]]&lt;&gt;K402)</f>
        <v>60</v>
      </c>
      <c r="D403" s="78">
        <f>D402*(BudgetsTable[[#This Row],[lead]]=K402)+(BudgetsTable[[#This Row],[prop_id]]&lt;&gt;A402)</f>
        <v>1</v>
      </c>
      <c r="E403" s="79">
        <v>42970.709722222222</v>
      </c>
      <c r="F403" s="80" t="s">
        <v>1376</v>
      </c>
      <c r="G403" s="80" t="s">
        <v>1124</v>
      </c>
      <c r="H403" s="80" t="s">
        <v>1377</v>
      </c>
      <c r="I403" s="78" t="s">
        <v>705</v>
      </c>
      <c r="J403" s="78" t="s">
        <v>13</v>
      </c>
      <c r="K403" s="80" t="s">
        <v>1107</v>
      </c>
      <c r="L403" s="7" t="str">
        <f>IF(BudgetsTable[[#This Row],[pi_last_name]]=" ","",HYPERLINK("https://www.ejacket.nsf.gov/ej/showProposal.do?Continue=Y&amp;ID="&amp;BudgetsTable[[#This Row],[prop_id]],BudgetsTable[[#This Row],[prop_id]]))</f>
        <v/>
      </c>
      <c r="M403" s="15" t="str">
        <f>IF(BudgetsTable[[#This Row],[pi_last_name]]=" ","",HYPERLINK("https://www.ejacket.nsf.gov/ej/processReviewAnalysis.do?dispatch=add&amp;uniqId="&amp;BudgetsTable[[#This Row],[prop_id]]&amp;PO_id,"&gt;ra"))</f>
        <v/>
      </c>
      <c r="N403" s="80" t="s">
        <v>13</v>
      </c>
      <c r="O403" s="7" t="str">
        <f>IF(BudgetsTable[[#This Row],[pi_last_name]]=" ","",HYPERLINK("mailto:"&amp;BudgetsTable[[#This Row],[pi_email]]&amp;"&amp;subject=Your NSF Proposal:  "&amp;BudgetsTable[[#This Row],[prop_id]],BudgetsTable[[#This Row],[pi_email]]))</f>
        <v/>
      </c>
      <c r="P403" s="80" t="s">
        <v>13</v>
      </c>
      <c r="Q403" s="80">
        <v>5</v>
      </c>
      <c r="R403" s="80">
        <v>0</v>
      </c>
      <c r="S403" s="81">
        <v>0</v>
      </c>
      <c r="T403" s="81">
        <v>0</v>
      </c>
      <c r="U403" s="81">
        <v>89850</v>
      </c>
      <c r="V403" s="82">
        <v>118323</v>
      </c>
      <c r="W403" s="80">
        <v>0</v>
      </c>
      <c r="X403" s="80">
        <v>1</v>
      </c>
      <c r="Y403" s="11" t="str">
        <f ca="1">IF(ISBLANK(BudgetsTable[[#This Row],[budg_seq_yr]]),"FY"&amp;fiscalyear,"FY"&amp;fiscalyear-1+BudgetsTable[[#This Row],[budg_seq_yr]])</f>
        <v>FY18</v>
      </c>
      <c r="Z403" s="81">
        <v>118323</v>
      </c>
      <c r="AA403" s="80" t="s">
        <v>1124</v>
      </c>
      <c r="AB403" s="80" t="s">
        <v>1377</v>
      </c>
      <c r="AC403" s="108" t="s">
        <v>94</v>
      </c>
      <c r="AD403" s="80" t="s">
        <v>592</v>
      </c>
    </row>
    <row r="404" spans="1:30">
      <c r="A404" s="10" t="s">
        <v>1107</v>
      </c>
      <c r="B404" s="78" t="s">
        <v>96</v>
      </c>
      <c r="C404" s="78">
        <f>C403+(BudgetsTable[[#This Row],[lead]]&lt;&gt;K403)</f>
        <v>60</v>
      </c>
      <c r="D404" s="78">
        <f>D403*(BudgetsTable[[#This Row],[lead]]=K403)+(BudgetsTable[[#This Row],[prop_id]]&lt;&gt;A403)</f>
        <v>1</v>
      </c>
      <c r="E404" s="79">
        <v>42970.709722222222</v>
      </c>
      <c r="F404" s="80" t="s">
        <v>1376</v>
      </c>
      <c r="G404" s="80" t="s">
        <v>1124</v>
      </c>
      <c r="H404" s="80" t="s">
        <v>1377</v>
      </c>
      <c r="I404" s="78" t="s">
        <v>705</v>
      </c>
      <c r="J404" s="78" t="s">
        <v>13</v>
      </c>
      <c r="K404" s="80" t="s">
        <v>1107</v>
      </c>
      <c r="L404" s="7" t="str">
        <f>IF(BudgetsTable[[#This Row],[pi_last_name]]=" ","",HYPERLINK("https://www.ejacket.nsf.gov/ej/showProposal.do?Continue=Y&amp;ID="&amp;BudgetsTable[[#This Row],[prop_id]],BudgetsTable[[#This Row],[prop_id]]))</f>
        <v/>
      </c>
      <c r="M404" s="15" t="str">
        <f>IF(BudgetsTable[[#This Row],[pi_last_name]]=" ","",HYPERLINK("https://www.ejacket.nsf.gov/ej/processReviewAnalysis.do?dispatch=add&amp;uniqId="&amp;BudgetsTable[[#This Row],[prop_id]]&amp;PO_id,"&gt;ra"))</f>
        <v/>
      </c>
      <c r="N404" s="80" t="s">
        <v>13</v>
      </c>
      <c r="O404" s="7" t="str">
        <f>IF(BudgetsTable[[#This Row],[pi_last_name]]=" ","",HYPERLINK("mailto:"&amp;BudgetsTable[[#This Row],[pi_email]]&amp;"&amp;subject=Your NSF Proposal:  "&amp;BudgetsTable[[#This Row],[prop_id]],BudgetsTable[[#This Row],[pi_email]]))</f>
        <v/>
      </c>
      <c r="P404" s="80" t="s">
        <v>13</v>
      </c>
      <c r="Q404" s="80">
        <v>5</v>
      </c>
      <c r="R404" s="80">
        <v>0</v>
      </c>
      <c r="S404" s="81">
        <v>0</v>
      </c>
      <c r="T404" s="81">
        <v>0</v>
      </c>
      <c r="U404" s="81">
        <v>89850</v>
      </c>
      <c r="V404" s="82">
        <v>118999</v>
      </c>
      <c r="W404" s="80">
        <v>0</v>
      </c>
      <c r="X404" s="80">
        <v>2</v>
      </c>
      <c r="Y404" s="11" t="str">
        <f ca="1">IF(ISBLANK(BudgetsTable[[#This Row],[budg_seq_yr]]),"FY"&amp;fiscalyear,"FY"&amp;fiscalyear-1+BudgetsTable[[#This Row],[budg_seq_yr]])</f>
        <v>FY19</v>
      </c>
      <c r="Z404" s="81">
        <v>118999</v>
      </c>
      <c r="AA404" s="80" t="s">
        <v>1124</v>
      </c>
      <c r="AB404" s="80" t="s">
        <v>1377</v>
      </c>
      <c r="AC404" s="108" t="s">
        <v>94</v>
      </c>
      <c r="AD404" s="80" t="s">
        <v>592</v>
      </c>
    </row>
    <row r="405" spans="1:30">
      <c r="A405" s="10" t="s">
        <v>1107</v>
      </c>
      <c r="B405" s="78" t="s">
        <v>96</v>
      </c>
      <c r="C405" s="78">
        <f>C404+(BudgetsTable[[#This Row],[lead]]&lt;&gt;K404)</f>
        <v>60</v>
      </c>
      <c r="D405" s="78">
        <f>D404*(BudgetsTable[[#This Row],[lead]]=K404)+(BudgetsTable[[#This Row],[prop_id]]&lt;&gt;A404)</f>
        <v>1</v>
      </c>
      <c r="E405" s="79">
        <v>42970.709722222222</v>
      </c>
      <c r="F405" s="80" t="s">
        <v>1376</v>
      </c>
      <c r="G405" s="80" t="s">
        <v>1124</v>
      </c>
      <c r="H405" s="80" t="s">
        <v>1377</v>
      </c>
      <c r="I405" s="78" t="s">
        <v>705</v>
      </c>
      <c r="J405" s="78" t="s">
        <v>13</v>
      </c>
      <c r="K405" s="80" t="s">
        <v>1107</v>
      </c>
      <c r="L405" s="7" t="str">
        <f>IF(BudgetsTable[[#This Row],[pi_last_name]]=" ","",HYPERLINK("https://www.ejacket.nsf.gov/ej/showProposal.do?Continue=Y&amp;ID="&amp;BudgetsTable[[#This Row],[prop_id]],BudgetsTable[[#This Row],[prop_id]]))</f>
        <v/>
      </c>
      <c r="M405" s="15" t="str">
        <f>IF(BudgetsTable[[#This Row],[pi_last_name]]=" ","",HYPERLINK("https://www.ejacket.nsf.gov/ej/processReviewAnalysis.do?dispatch=add&amp;uniqId="&amp;BudgetsTable[[#This Row],[prop_id]]&amp;PO_id,"&gt;ra"))</f>
        <v/>
      </c>
      <c r="N405" s="80" t="s">
        <v>13</v>
      </c>
      <c r="O405" s="7" t="str">
        <f>IF(BudgetsTable[[#This Row],[pi_last_name]]=" ","",HYPERLINK("mailto:"&amp;BudgetsTable[[#This Row],[pi_email]]&amp;"&amp;subject=Your NSF Proposal:  "&amp;BudgetsTable[[#This Row],[prop_id]],BudgetsTable[[#This Row],[pi_email]]))</f>
        <v/>
      </c>
      <c r="P405" s="80" t="s">
        <v>13</v>
      </c>
      <c r="Q405" s="80">
        <v>5</v>
      </c>
      <c r="R405" s="80">
        <v>0</v>
      </c>
      <c r="S405" s="81">
        <v>0</v>
      </c>
      <c r="T405" s="81">
        <v>0</v>
      </c>
      <c r="U405" s="81">
        <v>89850</v>
      </c>
      <c r="V405" s="82">
        <v>119696</v>
      </c>
      <c r="W405" s="80">
        <v>0</v>
      </c>
      <c r="X405" s="80">
        <v>3</v>
      </c>
      <c r="Y405" s="11" t="str">
        <f ca="1">IF(ISBLANK(BudgetsTable[[#This Row],[budg_seq_yr]]),"FY"&amp;fiscalyear,"FY"&amp;fiscalyear-1+BudgetsTable[[#This Row],[budg_seq_yr]])</f>
        <v>FY20</v>
      </c>
      <c r="Z405" s="81">
        <v>119696</v>
      </c>
      <c r="AA405" s="80" t="s">
        <v>1124</v>
      </c>
      <c r="AB405" s="80" t="s">
        <v>1377</v>
      </c>
      <c r="AC405" s="108" t="s">
        <v>94</v>
      </c>
      <c r="AD405" s="80" t="s">
        <v>592</v>
      </c>
    </row>
    <row r="406" spans="1:30">
      <c r="A406" s="10" t="s">
        <v>1115</v>
      </c>
      <c r="B406" s="78" t="s">
        <v>96</v>
      </c>
      <c r="C406" s="78">
        <f>C405+(BudgetsTable[[#This Row],[lead]]&lt;&gt;K405)</f>
        <v>61</v>
      </c>
      <c r="D406" s="78">
        <f>D405*(BudgetsTable[[#This Row],[lead]]=K405)+(BudgetsTable[[#This Row],[prop_id]]&lt;&gt;A405)</f>
        <v>1</v>
      </c>
      <c r="E406" s="79">
        <v>42970.728472222225</v>
      </c>
      <c r="F406" s="80" t="s">
        <v>1376</v>
      </c>
      <c r="G406" s="80" t="s">
        <v>1124</v>
      </c>
      <c r="H406" s="80" t="s">
        <v>1377</v>
      </c>
      <c r="I406" s="78" t="s">
        <v>705</v>
      </c>
      <c r="J406" s="78" t="s">
        <v>1446</v>
      </c>
      <c r="K406" s="80" t="s">
        <v>1115</v>
      </c>
      <c r="L406" s="7" t="str">
        <f>IF(BudgetsTable[[#This Row],[pi_last_name]]=" ","",HYPERLINK("https://www.ejacket.nsf.gov/ej/showProposal.do?Continue=Y&amp;ID="&amp;BudgetsTable[[#This Row],[prop_id]],BudgetsTable[[#This Row],[prop_id]]))</f>
        <v>1757956</v>
      </c>
      <c r="M406" s="15" t="str">
        <f>IF(BudgetsTable[[#This Row],[pi_last_name]]=" ","",HYPERLINK("https://www.ejacket.nsf.gov/ej/processReviewAnalysis.do?dispatch=add&amp;uniqId="&amp;BudgetsTable[[#This Row],[prop_id]]&amp;PO_id,"&gt;ra"))</f>
        <v>&gt;ra</v>
      </c>
      <c r="N406" s="80" t="s">
        <v>1116</v>
      </c>
      <c r="O406" s="7" t="str">
        <f>IF(BudgetsTable[[#This Row],[pi_last_name]]=" ","",HYPERLINK("mailto:"&amp;BudgetsTable[[#This Row],[pi_email]]&amp;"&amp;subject=Your NSF Proposal:  "&amp;BudgetsTable[[#This Row],[prop_id]],BudgetsTable[[#This Row],[pi_email]]))</f>
        <v>cbobda@uark.edu</v>
      </c>
      <c r="P406" s="80" t="s">
        <v>1443</v>
      </c>
      <c r="Q406" s="80"/>
      <c r="R406" s="80"/>
      <c r="S406" s="81"/>
      <c r="T406" s="81"/>
      <c r="U406" s="81"/>
      <c r="V406" s="82"/>
      <c r="W406" s="80">
        <v>0</v>
      </c>
      <c r="X406" s="80"/>
      <c r="Y406" s="11" t="str">
        <f ca="1">IF(ISBLANK(BudgetsTable[[#This Row],[budg_seq_yr]]),"FY"&amp;fiscalyear,"FY"&amp;fiscalyear-1+BudgetsTable[[#This Row],[budg_seq_yr]])</f>
        <v>FY18</v>
      </c>
      <c r="Z406" s="81">
        <v>399415</v>
      </c>
      <c r="AA406" s="80" t="s">
        <v>1124</v>
      </c>
      <c r="AB406" s="80" t="s">
        <v>1377</v>
      </c>
      <c r="AC406" s="108" t="s">
        <v>94</v>
      </c>
      <c r="AD406" s="80" t="s">
        <v>1424</v>
      </c>
    </row>
    <row r="407" spans="1:30">
      <c r="A407" s="10" t="s">
        <v>1115</v>
      </c>
      <c r="B407" s="78" t="s">
        <v>96</v>
      </c>
      <c r="C407" s="78">
        <f>C406+(BudgetsTable[[#This Row],[lead]]&lt;&gt;K406)</f>
        <v>61</v>
      </c>
      <c r="D407" s="78">
        <f>D406*(BudgetsTable[[#This Row],[lead]]=K406)+(BudgetsTable[[#This Row],[prop_id]]&lt;&gt;A406)</f>
        <v>1</v>
      </c>
      <c r="E407" s="79">
        <v>42970.728472222225</v>
      </c>
      <c r="F407" s="80" t="s">
        <v>1376</v>
      </c>
      <c r="G407" s="80" t="s">
        <v>1124</v>
      </c>
      <c r="H407" s="80" t="s">
        <v>1377</v>
      </c>
      <c r="I407" s="78" t="s">
        <v>705</v>
      </c>
      <c r="J407" s="78" t="s">
        <v>13</v>
      </c>
      <c r="K407" s="80" t="s">
        <v>1115</v>
      </c>
      <c r="L407" s="7" t="str">
        <f>IF(BudgetsTable[[#This Row],[pi_last_name]]=" ","",HYPERLINK("https://www.ejacket.nsf.gov/ej/showProposal.do?Continue=Y&amp;ID="&amp;BudgetsTable[[#This Row],[prop_id]],BudgetsTable[[#This Row],[prop_id]]))</f>
        <v/>
      </c>
      <c r="M407" s="15" t="str">
        <f>IF(BudgetsTable[[#This Row],[pi_last_name]]=" ","",HYPERLINK("https://www.ejacket.nsf.gov/ej/processReviewAnalysis.do?dispatch=add&amp;uniqId="&amp;BudgetsTable[[#This Row],[prop_id]]&amp;PO_id,"&gt;ra"))</f>
        <v/>
      </c>
      <c r="N407" s="80" t="s">
        <v>13</v>
      </c>
      <c r="O407" s="7" t="str">
        <f>IF(BudgetsTable[[#This Row],[pi_last_name]]=" ","",HYPERLINK("mailto:"&amp;BudgetsTable[[#This Row],[pi_email]]&amp;"&amp;subject=Your NSF Proposal:  "&amp;BudgetsTable[[#This Row],[prop_id]],BudgetsTable[[#This Row],[pi_email]]))</f>
        <v/>
      </c>
      <c r="P407" s="80" t="s">
        <v>13</v>
      </c>
      <c r="Q407" s="80">
        <v>1</v>
      </c>
      <c r="R407" s="80">
        <v>1</v>
      </c>
      <c r="S407" s="81">
        <v>0</v>
      </c>
      <c r="T407" s="81">
        <v>0</v>
      </c>
      <c r="U407" s="81">
        <v>87175</v>
      </c>
      <c r="V407" s="82">
        <v>129208</v>
      </c>
      <c r="W407" s="80">
        <v>0</v>
      </c>
      <c r="X407" s="80">
        <v>1</v>
      </c>
      <c r="Y407" s="11" t="str">
        <f ca="1">IF(ISBLANK(BudgetsTable[[#This Row],[budg_seq_yr]]),"FY"&amp;fiscalyear,"FY"&amp;fiscalyear-1+BudgetsTable[[#This Row],[budg_seq_yr]])</f>
        <v>FY18</v>
      </c>
      <c r="Z407" s="81">
        <v>129208</v>
      </c>
      <c r="AA407" s="80" t="s">
        <v>1124</v>
      </c>
      <c r="AB407" s="80" t="s">
        <v>1377</v>
      </c>
      <c r="AC407" s="108" t="s">
        <v>94</v>
      </c>
      <c r="AD407" s="80" t="s">
        <v>1424</v>
      </c>
    </row>
    <row r="408" spans="1:30">
      <c r="A408" s="10" t="s">
        <v>1115</v>
      </c>
      <c r="B408" s="78" t="s">
        <v>96</v>
      </c>
      <c r="C408" s="78">
        <f>C407+(BudgetsTable[[#This Row],[lead]]&lt;&gt;K407)</f>
        <v>61</v>
      </c>
      <c r="D408" s="78">
        <f>D407*(BudgetsTable[[#This Row],[lead]]=K407)+(BudgetsTable[[#This Row],[prop_id]]&lt;&gt;A407)</f>
        <v>1</v>
      </c>
      <c r="E408" s="79">
        <v>42970.728472222225</v>
      </c>
      <c r="F408" s="80" t="s">
        <v>1376</v>
      </c>
      <c r="G408" s="80" t="s">
        <v>1124</v>
      </c>
      <c r="H408" s="80" t="s">
        <v>1377</v>
      </c>
      <c r="I408" s="78" t="s">
        <v>705</v>
      </c>
      <c r="J408" s="78" t="s">
        <v>13</v>
      </c>
      <c r="K408" s="80" t="s">
        <v>1115</v>
      </c>
      <c r="L408" s="7" t="str">
        <f>IF(BudgetsTable[[#This Row],[pi_last_name]]=" ","",HYPERLINK("https://www.ejacket.nsf.gov/ej/showProposal.do?Continue=Y&amp;ID="&amp;BudgetsTable[[#This Row],[prop_id]],BudgetsTable[[#This Row],[prop_id]]))</f>
        <v/>
      </c>
      <c r="M408" s="15" t="str">
        <f>IF(BudgetsTable[[#This Row],[pi_last_name]]=" ","",HYPERLINK("https://www.ejacket.nsf.gov/ej/processReviewAnalysis.do?dispatch=add&amp;uniqId="&amp;BudgetsTable[[#This Row],[prop_id]]&amp;PO_id,"&gt;ra"))</f>
        <v/>
      </c>
      <c r="N408" s="80" t="s">
        <v>13</v>
      </c>
      <c r="O408" s="7" t="str">
        <f>IF(BudgetsTable[[#This Row],[pi_last_name]]=" ","",HYPERLINK("mailto:"&amp;BudgetsTable[[#This Row],[pi_email]]&amp;"&amp;subject=Your NSF Proposal:  "&amp;BudgetsTable[[#This Row],[prop_id]],BudgetsTable[[#This Row],[pi_email]]))</f>
        <v/>
      </c>
      <c r="P408" s="80" t="s">
        <v>13</v>
      </c>
      <c r="Q408" s="80">
        <v>1</v>
      </c>
      <c r="R408" s="80">
        <v>1</v>
      </c>
      <c r="S408" s="81">
        <v>0</v>
      </c>
      <c r="T408" s="81">
        <v>0</v>
      </c>
      <c r="U408" s="81">
        <v>88549</v>
      </c>
      <c r="V408" s="82">
        <v>133677</v>
      </c>
      <c r="W408" s="80">
        <v>0</v>
      </c>
      <c r="X408" s="80">
        <v>2</v>
      </c>
      <c r="Y408" s="11" t="str">
        <f ca="1">IF(ISBLANK(BudgetsTable[[#This Row],[budg_seq_yr]]),"FY"&amp;fiscalyear,"FY"&amp;fiscalyear-1+BudgetsTable[[#This Row],[budg_seq_yr]])</f>
        <v>FY19</v>
      </c>
      <c r="Z408" s="81">
        <v>133677</v>
      </c>
      <c r="AA408" s="80" t="s">
        <v>1124</v>
      </c>
      <c r="AB408" s="80" t="s">
        <v>1377</v>
      </c>
      <c r="AC408" s="108" t="s">
        <v>94</v>
      </c>
      <c r="AD408" s="80" t="s">
        <v>1424</v>
      </c>
    </row>
    <row r="409" spans="1:30">
      <c r="A409" s="10" t="s">
        <v>1115</v>
      </c>
      <c r="B409" s="78" t="s">
        <v>96</v>
      </c>
      <c r="C409" s="78">
        <f>C408+(BudgetsTable[[#This Row],[lead]]&lt;&gt;K408)</f>
        <v>61</v>
      </c>
      <c r="D409" s="78">
        <f>D408*(BudgetsTable[[#This Row],[lead]]=K408)+(BudgetsTable[[#This Row],[prop_id]]&lt;&gt;A408)</f>
        <v>1</v>
      </c>
      <c r="E409" s="79">
        <v>42970.728472222225</v>
      </c>
      <c r="F409" s="80" t="s">
        <v>1376</v>
      </c>
      <c r="G409" s="80" t="s">
        <v>1124</v>
      </c>
      <c r="H409" s="80" t="s">
        <v>1377</v>
      </c>
      <c r="I409" s="78" t="s">
        <v>705</v>
      </c>
      <c r="J409" s="78" t="s">
        <v>13</v>
      </c>
      <c r="K409" s="80" t="s">
        <v>1115</v>
      </c>
      <c r="L409" s="7" t="str">
        <f>IF(BudgetsTable[[#This Row],[pi_last_name]]=" ","",HYPERLINK("https://www.ejacket.nsf.gov/ej/showProposal.do?Continue=Y&amp;ID="&amp;BudgetsTable[[#This Row],[prop_id]],BudgetsTable[[#This Row],[prop_id]]))</f>
        <v/>
      </c>
      <c r="M409" s="15" t="str">
        <f>IF(BudgetsTable[[#This Row],[pi_last_name]]=" ","",HYPERLINK("https://www.ejacket.nsf.gov/ej/processReviewAnalysis.do?dispatch=add&amp;uniqId="&amp;BudgetsTable[[#This Row],[prop_id]]&amp;PO_id,"&gt;ra"))</f>
        <v/>
      </c>
      <c r="N409" s="80" t="s">
        <v>13</v>
      </c>
      <c r="O409" s="7" t="str">
        <f>IF(BudgetsTable[[#This Row],[pi_last_name]]=" ","",HYPERLINK("mailto:"&amp;BudgetsTable[[#This Row],[pi_email]]&amp;"&amp;subject=Your NSF Proposal:  "&amp;BudgetsTable[[#This Row],[prop_id]],BudgetsTable[[#This Row],[pi_email]]))</f>
        <v/>
      </c>
      <c r="P409" s="80" t="s">
        <v>13</v>
      </c>
      <c r="Q409" s="80">
        <v>1</v>
      </c>
      <c r="R409" s="80">
        <v>1</v>
      </c>
      <c r="S409" s="81">
        <v>0</v>
      </c>
      <c r="T409" s="81">
        <v>0</v>
      </c>
      <c r="U409" s="81">
        <v>89991</v>
      </c>
      <c r="V409" s="82">
        <v>136530</v>
      </c>
      <c r="W409" s="80">
        <v>0</v>
      </c>
      <c r="X409" s="80">
        <v>3</v>
      </c>
      <c r="Y409" s="11" t="str">
        <f ca="1">IF(ISBLANK(BudgetsTable[[#This Row],[budg_seq_yr]]),"FY"&amp;fiscalyear,"FY"&amp;fiscalyear-1+BudgetsTable[[#This Row],[budg_seq_yr]])</f>
        <v>FY20</v>
      </c>
      <c r="Z409" s="81">
        <v>136530</v>
      </c>
      <c r="AA409" s="80" t="s">
        <v>1124</v>
      </c>
      <c r="AB409" s="80" t="s">
        <v>1377</v>
      </c>
      <c r="AC409" s="108" t="s">
        <v>94</v>
      </c>
      <c r="AD409" s="80" t="s">
        <v>1424</v>
      </c>
    </row>
  </sheetData>
  <conditionalFormatting sqref="A4:AD409">
    <cfRule type="expression" dxfId="72" priority="1684">
      <formula>MOD($C4,2)</formula>
    </cfRule>
  </conditionalFormatting>
  <conditionalFormatting sqref="L4:AD409">
    <cfRule type="expression" dxfId="71" priority="1579">
      <formula>MOD($D4+1,2)</formula>
    </cfRule>
    <cfRule type="expression" dxfId="70"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75"/>
  <sheetViews>
    <sheetView topLeftCell="U1" workbookViewId="0">
      <selection activeCell="AG52" sqref="AG52"/>
    </sheetView>
  </sheetViews>
  <sheetFormatPr defaultRowHeight="15"/>
  <cols>
    <col min="1" max="1" width="8.7109375" style="30" customWidth="1"/>
    <col min="2" max="2" width="8.5703125" customWidth="1"/>
    <col min="3" max="3" width="10.42578125" customWidth="1"/>
    <col min="4" max="4" width="8.85546875" customWidth="1"/>
    <col min="5" max="5" width="5.5703125" customWidth="1"/>
    <col min="6" max="6" width="7.7109375" style="30" customWidth="1"/>
    <col min="7" max="9" width="5.85546875" style="30" customWidth="1"/>
    <col min="10" max="10" width="5.28515625" style="30" customWidth="1"/>
    <col min="11" max="11" width="8.5703125" customWidth="1"/>
    <col min="12" max="12" width="14.28515625" customWidth="1"/>
    <col min="13" max="13" width="4.42578125" customWidth="1"/>
    <col min="14" max="14" width="1.85546875" customWidth="1"/>
    <col min="15" max="15" width="8.42578125" style="22" customWidth="1"/>
    <col min="16" max="16" width="2.85546875" style="39" customWidth="1"/>
    <col min="17" max="17" width="3.5703125" style="39" customWidth="1"/>
    <col min="18" max="18" width="8.42578125" style="39" customWidth="1"/>
    <col min="19" max="19" width="10.85546875" customWidth="1"/>
    <col min="20" max="20" width="10.28515625" customWidth="1"/>
    <col min="21" max="21" width="13.7109375" customWidth="1"/>
    <col min="22" max="22" width="3.7109375" style="30" customWidth="1"/>
    <col min="23" max="23" width="9.5703125" customWidth="1"/>
    <col min="24" max="24" width="9.28515625" style="30"/>
    <col min="25" max="25" width="4.28515625" style="30" customWidth="1"/>
    <col min="26" max="26" width="9" customWidth="1"/>
    <col min="27" max="27" width="10" customWidth="1"/>
    <col min="28" max="28" width="8.85546875" style="83" customWidth="1"/>
    <col min="29" max="30" width="8.85546875" style="21" customWidth="1"/>
    <col min="31" max="31" width="17.42578125" style="21" customWidth="1"/>
    <col min="32" max="32" width="3.5703125" style="21" customWidth="1"/>
    <col min="33" max="33" width="18.5703125" style="21" customWidth="1"/>
    <col min="34" max="34" width="5.28515625" style="21" customWidth="1"/>
    <col min="35" max="35" width="11.7109375" customWidth="1"/>
    <col min="36" max="36" width="3.5703125" customWidth="1"/>
    <col min="37" max="37" width="9.7109375" customWidth="1"/>
    <col min="38" max="38" width="11.42578125" style="13" customWidth="1"/>
    <col min="39" max="39" width="7.5703125" customWidth="1"/>
    <col min="40" max="41" width="10.42578125" style="1" customWidth="1"/>
    <col min="42" max="44" width="4.85546875" style="1" customWidth="1"/>
    <col min="45" max="46" width="4.85546875" style="83" customWidth="1"/>
    <col min="47" max="47" width="22.140625" customWidth="1"/>
    <col min="48" max="48" width="68.42578125" customWidth="1"/>
    <col min="49" max="49" width="7.28515625" hidden="1" customWidth="1"/>
    <col min="50" max="50" width="29.42578125" hidden="1" customWidth="1"/>
    <col min="51" max="51" width="10.140625" style="21" customWidth="1"/>
    <col min="52" max="52" width="58.85546875" style="21" customWidth="1"/>
    <col min="53" max="53" width="21.28515625" style="21" customWidth="1"/>
    <col min="54" max="56" width="5.5703125" style="21" customWidth="1"/>
    <col min="57" max="57" width="4.42578125" customWidth="1"/>
    <col min="58" max="63" width="3" customWidth="1"/>
    <col min="64" max="64" width="9.28515625" style="1"/>
    <col min="66" max="66" width="85.5703125" customWidth="1"/>
    <col min="67" max="67" width="10.42578125" customWidth="1"/>
    <col min="68" max="68" width="9.5703125" style="13" customWidth="1"/>
    <col min="69" max="69" width="10.42578125" customWidth="1"/>
    <col min="70" max="70" width="15.42578125" customWidth="1"/>
    <col min="71" max="71" width="11.7109375" customWidth="1"/>
    <col min="72" max="72" width="9.28515625" hidden="1" customWidth="1"/>
    <col min="73" max="73" width="11" hidden="1" customWidth="1"/>
    <col min="74" max="77" width="4.28515625" customWidth="1"/>
  </cols>
  <sheetData>
    <row r="1" spans="1:68" ht="29.1" customHeight="1">
      <c r="A1" s="30" t="s">
        <v>87</v>
      </c>
      <c r="B1" s="30" t="s">
        <v>7</v>
      </c>
      <c r="C1" t="s">
        <v>8</v>
      </c>
      <c r="D1" t="s">
        <v>5</v>
      </c>
      <c r="E1" t="s">
        <v>4</v>
      </c>
      <c r="F1" t="s">
        <v>91</v>
      </c>
      <c r="G1" t="s">
        <v>166</v>
      </c>
      <c r="H1" t="s">
        <v>164</v>
      </c>
      <c r="I1" t="s">
        <v>441</v>
      </c>
      <c r="J1" t="s">
        <v>92</v>
      </c>
      <c r="K1" t="s">
        <v>17</v>
      </c>
      <c r="L1" s="22" t="s">
        <v>16</v>
      </c>
      <c r="M1" s="14" t="s">
        <v>102</v>
      </c>
      <c r="N1" t="s">
        <v>88</v>
      </c>
      <c r="O1" t="s">
        <v>9</v>
      </c>
      <c r="P1" t="s">
        <v>1</v>
      </c>
      <c r="Q1" t="s">
        <v>144</v>
      </c>
      <c r="R1" t="s">
        <v>0</v>
      </c>
      <c r="S1" t="s">
        <v>10</v>
      </c>
      <c r="T1" t="s">
        <v>18</v>
      </c>
      <c r="U1" t="s">
        <v>328</v>
      </c>
      <c r="V1" t="s">
        <v>93</v>
      </c>
      <c r="W1" s="14" t="s">
        <v>131</v>
      </c>
      <c r="X1" s="30" t="s">
        <v>19</v>
      </c>
      <c r="Y1" t="s">
        <v>20</v>
      </c>
      <c r="Z1" t="s">
        <v>89</v>
      </c>
      <c r="AA1" s="21" t="s">
        <v>498</v>
      </c>
      <c r="AB1" s="21" t="s">
        <v>499</v>
      </c>
      <c r="AC1" t="s">
        <v>90</v>
      </c>
      <c r="AD1" s="21" t="s">
        <v>500</v>
      </c>
      <c r="AE1" s="21" t="s">
        <v>132</v>
      </c>
      <c r="AF1" s="21" t="s">
        <v>449</v>
      </c>
      <c r="AG1" s="21" t="s">
        <v>528</v>
      </c>
      <c r="AH1" s="21" t="s">
        <v>133</v>
      </c>
      <c r="AI1" s="13" t="s">
        <v>21</v>
      </c>
      <c r="AJ1" s="21" t="s">
        <v>337</v>
      </c>
      <c r="AK1" s="1" t="s">
        <v>22</v>
      </c>
      <c r="AL1" s="1" t="s">
        <v>338</v>
      </c>
      <c r="AM1" s="1" t="s">
        <v>339</v>
      </c>
      <c r="AN1" s="1" t="s">
        <v>340</v>
      </c>
      <c r="AO1" s="1" t="s">
        <v>341</v>
      </c>
      <c r="AP1" s="21" t="s">
        <v>342</v>
      </c>
      <c r="AQ1" s="21" t="s">
        <v>343</v>
      </c>
      <c r="AR1" s="21" t="s">
        <v>344</v>
      </c>
      <c r="AS1" s="21" t="s">
        <v>345</v>
      </c>
      <c r="AT1" s="21" t="s">
        <v>346</v>
      </c>
      <c r="AU1" t="s">
        <v>167</v>
      </c>
      <c r="AV1" t="s">
        <v>36</v>
      </c>
      <c r="AW1" t="s">
        <v>513</v>
      </c>
      <c r="AX1" t="s">
        <v>146</v>
      </c>
      <c r="AY1"/>
      <c r="AZ1"/>
      <c r="BA1"/>
      <c r="BB1"/>
      <c r="BC1"/>
      <c r="BD1"/>
      <c r="BL1"/>
      <c r="BP1"/>
    </row>
    <row r="2" spans="1:68">
      <c r="B2" s="30">
        <v>42797.679166666669</v>
      </c>
      <c r="C2" t="s">
        <v>1123</v>
      </c>
      <c r="D2" t="s">
        <v>1124</v>
      </c>
      <c r="E2" t="s">
        <v>1125</v>
      </c>
      <c r="F2" t="s">
        <v>596</v>
      </c>
      <c r="G2" s="8" t="s">
        <v>172</v>
      </c>
      <c r="H2" s="8" t="s">
        <v>170</v>
      </c>
      <c r="I2" s="8" t="s">
        <v>447</v>
      </c>
      <c r="J2" t="s">
        <v>94</v>
      </c>
      <c r="K2" t="s">
        <v>1126</v>
      </c>
      <c r="L2" s="22"/>
      <c r="M2">
        <f xml:space="preserve"> M1+(ckAwdTable[ILN]&lt;"M")</f>
        <v>1</v>
      </c>
      <c r="N2" t="s">
        <v>463</v>
      </c>
      <c r="O2" t="s">
        <v>594</v>
      </c>
      <c r="P2" s="15" t="str">
        <f>HYPERLINK("https://www.ejacket.nsf.gov/ej/showProposal.do?ID="&amp;ckAwdTable[[#This Row],[prop_id]],"eJ")</f>
        <v>eJ</v>
      </c>
      <c r="Q2" s="8" t="s">
        <v>1127</v>
      </c>
      <c r="R2" t="s">
        <v>594</v>
      </c>
      <c r="S2" t="s">
        <v>595</v>
      </c>
      <c r="T2" t="s">
        <v>1128</v>
      </c>
      <c r="U2" s="8" t="s">
        <v>468</v>
      </c>
      <c r="V2" t="s">
        <v>266</v>
      </c>
      <c r="W2" s="15" t="str">
        <f>HYPERLINK("mailto:"&amp; ckAwdTable[[#This Row],[email]]&amp;"&amp;subject=Your NSF Proposal:  "&amp;ckAwdTable[[#This Row],[prop_id]], ckAwdTable[[#This Row],[email]])</f>
        <v>mns18@columbia.edu</v>
      </c>
      <c r="X2" s="30">
        <v>43101</v>
      </c>
      <c r="Y2">
        <v>60</v>
      </c>
      <c r="AA2" s="21" t="s">
        <v>13</v>
      </c>
      <c r="AB2" s="21" t="s">
        <v>454</v>
      </c>
      <c r="AC2" t="s">
        <v>451</v>
      </c>
      <c r="AD2" s="21" t="s">
        <v>1558</v>
      </c>
      <c r="AF2" s="21" t="s">
        <v>450</v>
      </c>
      <c r="AG2" s="21" t="str">
        <f>IFERROR(IF(FIND("?",ckAwdTable[[#This Row],[abst_narr_txt]]),SummarizeQuestMarks(ckAwdTable[[#This Row],[abst_narr_txt]]),""),"")</f>
        <v/>
      </c>
      <c r="AI2" s="13">
        <v>4613676</v>
      </c>
      <c r="AJ2" s="21">
        <v>0</v>
      </c>
      <c r="AK2" s="1">
        <v>4613676</v>
      </c>
      <c r="AL2" s="1"/>
      <c r="AM2" s="1"/>
      <c r="AN2" s="1">
        <v>292585</v>
      </c>
      <c r="AO2" s="1">
        <v>233401</v>
      </c>
      <c r="AP2" s="21">
        <v>10</v>
      </c>
      <c r="AQ2" s="21">
        <v>20</v>
      </c>
      <c r="AR2" s="21">
        <v>5</v>
      </c>
      <c r="AS2" s="21"/>
      <c r="AT2" s="21">
        <v>31</v>
      </c>
      <c r="AU2" s="8" t="s">
        <v>173</v>
      </c>
      <c r="AV2" t="s">
        <v>1130</v>
      </c>
      <c r="AW2" t="b">
        <f>AND(ckAwdTable[[#This Row],[ILN]]&gt;"M", SUBSTITUTE(ckAwdTable[[#This Row],[prop_titl_txt]]," ","")&lt;&gt;SUBSTITUTE(AV1," ",""))</f>
        <v>0</v>
      </c>
      <c r="AX2" s="8" t="s">
        <v>1131</v>
      </c>
      <c r="AY2"/>
      <c r="AZ2"/>
      <c r="BA2"/>
      <c r="BB2"/>
      <c r="BC2"/>
      <c r="BD2"/>
      <c r="BL2"/>
      <c r="BP2"/>
    </row>
    <row r="3" spans="1:68">
      <c r="B3" s="30">
        <v>42796.521527777775</v>
      </c>
      <c r="C3" t="s">
        <v>1123</v>
      </c>
      <c r="D3" t="s">
        <v>1124</v>
      </c>
      <c r="E3" t="s">
        <v>1125</v>
      </c>
      <c r="F3" t="s">
        <v>596</v>
      </c>
      <c r="G3" s="8" t="s">
        <v>172</v>
      </c>
      <c r="H3" s="8" t="s">
        <v>170</v>
      </c>
      <c r="I3" s="8" t="s">
        <v>447</v>
      </c>
      <c r="J3" t="s">
        <v>94</v>
      </c>
      <c r="K3" t="s">
        <v>1126</v>
      </c>
      <c r="L3" s="22"/>
      <c r="M3">
        <f xml:space="preserve"> M2+(ckAwdTable[ILN]&lt;"M")</f>
        <v>1</v>
      </c>
      <c r="N3" t="s">
        <v>450</v>
      </c>
      <c r="O3" t="s">
        <v>594</v>
      </c>
      <c r="P3" s="15" t="str">
        <f>HYPERLINK("https://www.ejacket.nsf.gov/ej/showProposal.do?ID="&amp;ckAwdTable[[#This Row],[prop_id]],"eJ")</f>
        <v>eJ</v>
      </c>
      <c r="Q3" s="8" t="s">
        <v>1127</v>
      </c>
      <c r="R3" t="s">
        <v>1132</v>
      </c>
      <c r="S3" t="s">
        <v>1133</v>
      </c>
      <c r="T3" t="s">
        <v>1134</v>
      </c>
      <c r="U3" s="8" t="s">
        <v>1135</v>
      </c>
      <c r="V3" t="s">
        <v>266</v>
      </c>
      <c r="W3" s="15" t="str">
        <f>HYPERLINK("mailto:"&amp; ckAwdTable[[#This Row],[email]]&amp;"&amp;subject=Your NSF Proposal:  "&amp;ckAwdTable[[#This Row],[prop_id]], ckAwdTable[[#This Row],[email]])</f>
        <v>Rudchenkos@hss.edu</v>
      </c>
      <c r="X3" s="30">
        <v>43101</v>
      </c>
      <c r="Y3">
        <v>60</v>
      </c>
      <c r="AA3" s="21" t="s">
        <v>13</v>
      </c>
      <c r="AB3" s="21" t="s">
        <v>454</v>
      </c>
      <c r="AC3"/>
      <c r="AD3" s="21" t="s">
        <v>13</v>
      </c>
      <c r="AF3" s="21" t="s">
        <v>450</v>
      </c>
      <c r="AG3" s="21" t="str">
        <f>IFERROR(IF(FIND("?",ckAwdTable[[#This Row],[abst_narr_txt]]),SummarizeQuestMarks(ckAwdTable[[#This Row],[abst_narr_txt]]),""),"")</f>
        <v/>
      </c>
      <c r="AI3" s="13">
        <v>1028304</v>
      </c>
      <c r="AJ3" s="21">
        <v>0</v>
      </c>
      <c r="AK3" s="1">
        <v>1028304</v>
      </c>
      <c r="AL3" s="1"/>
      <c r="AM3" s="1"/>
      <c r="AN3" s="1">
        <v>159274</v>
      </c>
      <c r="AP3" s="21"/>
      <c r="AQ3" s="21">
        <v>5</v>
      </c>
      <c r="AR3" s="21"/>
      <c r="AS3" s="21"/>
      <c r="AT3" s="21">
        <v>15</v>
      </c>
      <c r="AU3" s="8" t="s">
        <v>173</v>
      </c>
      <c r="AV3" t="s">
        <v>1130</v>
      </c>
      <c r="AW3" t="b">
        <f>AND(ckAwdTable[[#This Row],[ILN]]&gt;"M", SUBSTITUTE(ckAwdTable[[#This Row],[prop_titl_txt]]," ","")&lt;&gt;SUBSTITUTE(AV2," ",""))</f>
        <v>0</v>
      </c>
      <c r="AX3" s="8" t="s">
        <v>1136</v>
      </c>
      <c r="AY3"/>
      <c r="AZ3"/>
      <c r="BA3"/>
      <c r="BB3"/>
      <c r="BC3"/>
      <c r="BD3"/>
      <c r="BL3"/>
      <c r="BP3"/>
    </row>
    <row r="4" spans="1:68">
      <c r="B4" s="30">
        <v>42797.665277777778</v>
      </c>
      <c r="C4" t="s">
        <v>1123</v>
      </c>
      <c r="D4" t="s">
        <v>1124</v>
      </c>
      <c r="E4" t="s">
        <v>1125</v>
      </c>
      <c r="F4" t="s">
        <v>596</v>
      </c>
      <c r="G4" s="8" t="s">
        <v>172</v>
      </c>
      <c r="H4" s="8" t="s">
        <v>170</v>
      </c>
      <c r="I4" s="8" t="s">
        <v>447</v>
      </c>
      <c r="J4" t="s">
        <v>94</v>
      </c>
      <c r="K4" t="s">
        <v>1126</v>
      </c>
      <c r="L4" s="22"/>
      <c r="M4">
        <f xml:space="preserve"> M3+(ckAwdTable[ILN]&lt;"M")</f>
        <v>1</v>
      </c>
      <c r="N4" t="s">
        <v>450</v>
      </c>
      <c r="O4" t="s">
        <v>594</v>
      </c>
      <c r="P4" s="15" t="str">
        <f>HYPERLINK("https://www.ejacket.nsf.gov/ej/showProposal.do?ID="&amp;ckAwdTable[[#This Row],[prop_id]],"eJ")</f>
        <v>eJ</v>
      </c>
      <c r="Q4" s="8" t="s">
        <v>1127</v>
      </c>
      <c r="R4" t="s">
        <v>1137</v>
      </c>
      <c r="S4" t="s">
        <v>1138</v>
      </c>
      <c r="T4" t="s">
        <v>1139</v>
      </c>
      <c r="U4" s="8" t="s">
        <v>1140</v>
      </c>
      <c r="V4" t="s">
        <v>116</v>
      </c>
      <c r="W4" s="15" t="str">
        <f>HYPERLINK("mailto:"&amp; ckAwdTable[[#This Row],[email]]&amp;"&amp;subject=Your NSF Proposal:  "&amp;ckAwdTable[[#This Row],[prop_id]], ckAwdTable[[#This Row],[email]])</f>
        <v>darko@cs.unm.edu</v>
      </c>
      <c r="X4" s="30">
        <v>43101</v>
      </c>
      <c r="Y4">
        <v>60</v>
      </c>
      <c r="AA4" s="21" t="s">
        <v>13</v>
      </c>
      <c r="AB4" s="21" t="s">
        <v>454</v>
      </c>
      <c r="AC4"/>
      <c r="AD4" s="21" t="s">
        <v>13</v>
      </c>
      <c r="AE4" s="21" t="s">
        <v>260</v>
      </c>
      <c r="AF4" s="21" t="s">
        <v>450</v>
      </c>
      <c r="AG4" s="21" t="str">
        <f>IFERROR(IF(FIND("?",ckAwdTable[[#This Row],[abst_narr_txt]]),SummarizeQuestMarks(ckAwdTable[[#This Row],[abst_narr_txt]]),""),"")</f>
        <v/>
      </c>
      <c r="AI4" s="13">
        <v>1004116</v>
      </c>
      <c r="AJ4" s="21">
        <v>0</v>
      </c>
      <c r="AK4" s="1">
        <v>1004116</v>
      </c>
      <c r="AL4" s="1"/>
      <c r="AM4" s="1">
        <v>25000</v>
      </c>
      <c r="AP4" s="21">
        <v>10</v>
      </c>
      <c r="AQ4" s="21">
        <v>10</v>
      </c>
      <c r="AR4" s="21">
        <v>3.75</v>
      </c>
      <c r="AS4" s="21"/>
      <c r="AT4" s="21">
        <v>10</v>
      </c>
      <c r="AU4" s="8" t="s">
        <v>173</v>
      </c>
      <c r="AV4" t="s">
        <v>1130</v>
      </c>
      <c r="AW4" t="b">
        <f>AND(ckAwdTable[[#This Row],[ILN]]&gt;"M", SUBSTITUTE(ckAwdTable[[#This Row],[prop_titl_txt]]," ","")&lt;&gt;SUBSTITUTE(AV3," ",""))</f>
        <v>0</v>
      </c>
      <c r="AX4" s="8" t="s">
        <v>1141</v>
      </c>
      <c r="AY4"/>
      <c r="AZ4"/>
      <c r="BA4"/>
      <c r="BB4"/>
      <c r="BC4"/>
      <c r="BD4"/>
      <c r="BL4"/>
      <c r="BP4"/>
    </row>
    <row r="5" spans="1:68">
      <c r="B5" s="30">
        <v>42800.618055555555</v>
      </c>
      <c r="C5" t="s">
        <v>1123</v>
      </c>
      <c r="D5" t="s">
        <v>1124</v>
      </c>
      <c r="E5" t="s">
        <v>1125</v>
      </c>
      <c r="F5" t="s">
        <v>596</v>
      </c>
      <c r="G5" s="8" t="s">
        <v>172</v>
      </c>
      <c r="H5" s="8" t="s">
        <v>170</v>
      </c>
      <c r="I5" s="8" t="s">
        <v>447</v>
      </c>
      <c r="J5" t="s">
        <v>94</v>
      </c>
      <c r="K5" t="s">
        <v>1126</v>
      </c>
      <c r="L5" s="22"/>
      <c r="M5">
        <f xml:space="preserve"> M4+(ckAwdTable[ILN]&lt;"M")</f>
        <v>2</v>
      </c>
      <c r="N5" t="s">
        <v>463</v>
      </c>
      <c r="O5" t="s">
        <v>615</v>
      </c>
      <c r="P5" s="15" t="str">
        <f>HYPERLINK("https://www.ejacket.nsf.gov/ej/showProposal.do?ID="&amp;ckAwdTable[[#This Row],[prop_id]],"eJ")</f>
        <v>eJ</v>
      </c>
      <c r="Q5" s="8" t="s">
        <v>1127</v>
      </c>
      <c r="R5" t="s">
        <v>615</v>
      </c>
      <c r="S5" t="s">
        <v>616</v>
      </c>
      <c r="T5" t="s">
        <v>1142</v>
      </c>
      <c r="U5" s="8" t="s">
        <v>1143</v>
      </c>
      <c r="V5" t="s">
        <v>266</v>
      </c>
      <c r="W5" s="15" t="str">
        <f>HYPERLINK("mailto:"&amp; ckAwdTable[[#This Row],[email]]&amp;"&amp;subject=Your NSF Proposal:  "&amp;ckAwdTable[[#This Row],[prop_id]], ckAwdTable[[#This Row],[email]])</f>
        <v>aksanyal@syr.edu</v>
      </c>
      <c r="X5" s="30">
        <v>42979</v>
      </c>
      <c r="Y5">
        <v>48</v>
      </c>
      <c r="Z5" t="s">
        <v>451</v>
      </c>
      <c r="AA5" s="21" t="s">
        <v>1559</v>
      </c>
      <c r="AB5" s="21" t="s">
        <v>454</v>
      </c>
      <c r="AC5"/>
      <c r="AD5" s="21" t="s">
        <v>13</v>
      </c>
      <c r="AF5" s="21" t="s">
        <v>450</v>
      </c>
      <c r="AG5" s="21" t="str">
        <f>IFERROR(IF(FIND("?",ckAwdTable[[#This Row],[abst_narr_txt]]),SummarizeQuestMarks(ckAwdTable[[#This Row],[abst_narr_txt]]),""),"")</f>
        <v/>
      </c>
      <c r="AI5" s="13">
        <v>2230900</v>
      </c>
      <c r="AJ5" s="21">
        <v>0</v>
      </c>
      <c r="AK5" s="1">
        <v>2230900</v>
      </c>
      <c r="AL5" s="1"/>
      <c r="AM5" s="1"/>
      <c r="AN5" s="1">
        <v>204579</v>
      </c>
      <c r="AO5" s="1">
        <v>45200</v>
      </c>
      <c r="AP5" s="21">
        <v>16</v>
      </c>
      <c r="AQ5" s="21">
        <v>23</v>
      </c>
      <c r="AR5" s="21">
        <v>12</v>
      </c>
      <c r="AS5" s="21">
        <v>5.5</v>
      </c>
      <c r="AT5" s="21"/>
      <c r="AU5" s="8" t="s">
        <v>173</v>
      </c>
      <c r="AV5" t="s">
        <v>1145</v>
      </c>
      <c r="AW5" t="b">
        <f>AND(ckAwdTable[[#This Row],[ILN]]&gt;"M", SUBSTITUTE(ckAwdTable[[#This Row],[prop_titl_txt]]," ","")&lt;&gt;SUBSTITUTE(AV4," ",""))</f>
        <v>0</v>
      </c>
      <c r="AX5" s="8" t="s">
        <v>1146</v>
      </c>
      <c r="AY5"/>
      <c r="AZ5"/>
      <c r="BA5"/>
      <c r="BB5"/>
      <c r="BC5"/>
      <c r="BD5"/>
      <c r="BL5"/>
      <c r="BP5"/>
    </row>
    <row r="6" spans="1:68">
      <c r="B6" s="30">
        <v>42797.47152777778</v>
      </c>
      <c r="C6" t="s">
        <v>1123</v>
      </c>
      <c r="D6" t="s">
        <v>1124</v>
      </c>
      <c r="E6" t="s">
        <v>1125</v>
      </c>
      <c r="F6" t="s">
        <v>596</v>
      </c>
      <c r="G6" s="8" t="s">
        <v>172</v>
      </c>
      <c r="H6" s="8" t="s">
        <v>170</v>
      </c>
      <c r="I6" s="8" t="s">
        <v>447</v>
      </c>
      <c r="J6" t="s">
        <v>94</v>
      </c>
      <c r="K6" t="s">
        <v>1126</v>
      </c>
      <c r="L6" s="22"/>
      <c r="M6">
        <f xml:space="preserve"> M5+(ckAwdTable[ILN]&lt;"M")</f>
        <v>2</v>
      </c>
      <c r="N6" t="s">
        <v>450</v>
      </c>
      <c r="O6" t="s">
        <v>615</v>
      </c>
      <c r="P6" s="15" t="str">
        <f>HYPERLINK("https://www.ejacket.nsf.gov/ej/showProposal.do?ID="&amp;ckAwdTable[[#This Row],[prop_id]],"eJ")</f>
        <v>eJ</v>
      </c>
      <c r="Q6" s="8" t="s">
        <v>1127</v>
      </c>
      <c r="R6" t="s">
        <v>1147</v>
      </c>
      <c r="S6" t="s">
        <v>1148</v>
      </c>
      <c r="T6" t="s">
        <v>1149</v>
      </c>
      <c r="U6" s="8" t="s">
        <v>358</v>
      </c>
      <c r="V6" t="s">
        <v>359</v>
      </c>
      <c r="W6" s="15" t="str">
        <f>HYPERLINK("mailto:"&amp; ckAwdTable[[#This Row],[email]]&amp;"&amp;subject=Your NSF Proposal:  "&amp;ckAwdTable[[#This Row],[prop_id]], ckAwdTable[[#This Row],[email]])</f>
        <v>m.cummings@duke.edu</v>
      </c>
      <c r="X6" s="30">
        <v>42979</v>
      </c>
      <c r="Y6">
        <v>48</v>
      </c>
      <c r="AA6" s="21" t="s">
        <v>13</v>
      </c>
      <c r="AB6" s="21" t="s">
        <v>454</v>
      </c>
      <c r="AC6"/>
      <c r="AD6" s="21" t="s">
        <v>13</v>
      </c>
      <c r="AF6" s="21" t="s">
        <v>450</v>
      </c>
      <c r="AG6" s="21" t="str">
        <f>IFERROR(IF(FIND("?",ckAwdTable[[#This Row],[abst_narr_txt]]),SummarizeQuestMarks(ckAwdTable[[#This Row],[abst_narr_txt]]),""),"")</f>
        <v/>
      </c>
      <c r="AI6" s="13">
        <v>800000</v>
      </c>
      <c r="AJ6" s="21">
        <v>0</v>
      </c>
      <c r="AK6" s="1">
        <v>800000</v>
      </c>
      <c r="AL6" s="1"/>
      <c r="AM6" s="1"/>
      <c r="AP6" s="21">
        <v>4</v>
      </c>
      <c r="AQ6" s="21">
        <v>4</v>
      </c>
      <c r="AR6" s="21">
        <v>3</v>
      </c>
      <c r="AS6" s="21"/>
      <c r="AT6" s="21"/>
      <c r="AU6" s="8" t="s">
        <v>173</v>
      </c>
      <c r="AV6" t="s">
        <v>1145</v>
      </c>
      <c r="AW6" t="b">
        <f>AND(ckAwdTable[[#This Row],[ILN]]&gt;"M", SUBSTITUTE(ckAwdTable[[#This Row],[prop_titl_txt]]," ","")&lt;&gt;SUBSTITUTE(AV5," ",""))</f>
        <v>0</v>
      </c>
      <c r="AX6" s="8" t="s">
        <v>1150</v>
      </c>
      <c r="AY6"/>
      <c r="AZ6"/>
      <c r="BA6"/>
      <c r="BB6"/>
      <c r="BC6"/>
      <c r="BD6"/>
      <c r="BL6"/>
      <c r="BP6"/>
    </row>
    <row r="7" spans="1:68">
      <c r="B7" s="30">
        <v>42797.618750000001</v>
      </c>
      <c r="C7" t="s">
        <v>1123</v>
      </c>
      <c r="D7" t="s">
        <v>1124</v>
      </c>
      <c r="E7" t="s">
        <v>1125</v>
      </c>
      <c r="F7" t="s">
        <v>596</v>
      </c>
      <c r="G7" s="8" t="s">
        <v>172</v>
      </c>
      <c r="H7" s="8" t="s">
        <v>170</v>
      </c>
      <c r="I7" s="8" t="s">
        <v>447</v>
      </c>
      <c r="J7" t="s">
        <v>94</v>
      </c>
      <c r="K7" t="s">
        <v>1126</v>
      </c>
      <c r="L7" s="22"/>
      <c r="M7">
        <f xml:space="preserve"> M6+(ckAwdTable[ILN]&lt;"M")</f>
        <v>2</v>
      </c>
      <c r="N7" t="s">
        <v>450</v>
      </c>
      <c r="O7" t="s">
        <v>615</v>
      </c>
      <c r="P7" s="15" t="str">
        <f>HYPERLINK("https://www.ejacket.nsf.gov/ej/showProposal.do?ID="&amp;ckAwdTable[[#This Row],[prop_id]],"eJ")</f>
        <v>eJ</v>
      </c>
      <c r="Q7" s="8" t="s">
        <v>1127</v>
      </c>
      <c r="R7" t="s">
        <v>1151</v>
      </c>
      <c r="S7" t="s">
        <v>576</v>
      </c>
      <c r="T7" t="s">
        <v>467</v>
      </c>
      <c r="U7" s="8" t="s">
        <v>1152</v>
      </c>
      <c r="V7" t="s">
        <v>265</v>
      </c>
      <c r="W7" s="15" t="str">
        <f>HYPERLINK("mailto:"&amp; ckAwdTable[[#This Row],[email]]&amp;"&amp;subject=Your NSF Proposal:  "&amp;ckAwdTable[[#This Row],[prop_id]], ckAwdTable[[#This Row],[email]])</f>
        <v>aclark@wpi.edu</v>
      </c>
      <c r="X7" s="30">
        <v>42979</v>
      </c>
      <c r="Y7">
        <v>48</v>
      </c>
      <c r="AA7" s="21" t="s">
        <v>13</v>
      </c>
      <c r="AB7" s="21" t="s">
        <v>454</v>
      </c>
      <c r="AC7"/>
      <c r="AD7" s="21" t="s">
        <v>13</v>
      </c>
      <c r="AF7" s="21" t="s">
        <v>450</v>
      </c>
      <c r="AG7" s="21" t="str">
        <f>IFERROR(IF(FIND("?",ckAwdTable[[#This Row],[abst_narr_txt]]),SummarizeQuestMarks(ckAwdTable[[#This Row],[abst_narr_txt]]),""),"")</f>
        <v/>
      </c>
      <c r="AI7" s="13">
        <v>449670</v>
      </c>
      <c r="AJ7" s="21">
        <v>0</v>
      </c>
      <c r="AK7" s="1">
        <v>449670</v>
      </c>
      <c r="AL7" s="1"/>
      <c r="AM7" s="1"/>
      <c r="AP7" s="21">
        <v>8</v>
      </c>
      <c r="AQ7" s="21">
        <v>4</v>
      </c>
      <c r="AR7" s="21">
        <v>2</v>
      </c>
      <c r="AS7" s="21"/>
      <c r="AT7" s="21"/>
      <c r="AU7" s="8" t="s">
        <v>173</v>
      </c>
      <c r="AV7" t="s">
        <v>1145</v>
      </c>
      <c r="AW7" t="b">
        <f>AND(ckAwdTable[[#This Row],[ILN]]&gt;"M", SUBSTITUTE(ckAwdTable[[#This Row],[prop_titl_txt]]," ","")&lt;&gt;SUBSTITUTE(AV6," ",""))</f>
        <v>0</v>
      </c>
      <c r="AX7" s="8" t="s">
        <v>1153</v>
      </c>
    </row>
    <row r="8" spans="1:68">
      <c r="B8" s="30">
        <v>42797.715277777781</v>
      </c>
      <c r="C8" t="s">
        <v>1123</v>
      </c>
      <c r="D8" t="s">
        <v>1124</v>
      </c>
      <c r="E8" t="s">
        <v>1125</v>
      </c>
      <c r="F8" t="s">
        <v>596</v>
      </c>
      <c r="G8" s="8" t="s">
        <v>172</v>
      </c>
      <c r="H8" s="8" t="s">
        <v>170</v>
      </c>
      <c r="I8" s="8" t="s">
        <v>447</v>
      </c>
      <c r="J8" t="s">
        <v>94</v>
      </c>
      <c r="K8" t="s">
        <v>1126</v>
      </c>
      <c r="L8" s="22"/>
      <c r="M8">
        <f xml:space="preserve"> M7+(ckAwdTable[ILN]&lt;"M")</f>
        <v>2</v>
      </c>
      <c r="N8" t="s">
        <v>450</v>
      </c>
      <c r="O8" t="s">
        <v>615</v>
      </c>
      <c r="P8" s="15" t="str">
        <f>HYPERLINK("https://www.ejacket.nsf.gov/ej/showProposal.do?ID="&amp;ckAwdTable[[#This Row],[prop_id]],"eJ")</f>
        <v>eJ</v>
      </c>
      <c r="Q8" s="8" t="s">
        <v>1127</v>
      </c>
      <c r="R8" t="s">
        <v>1154</v>
      </c>
      <c r="S8" t="s">
        <v>1155</v>
      </c>
      <c r="T8" t="s">
        <v>1156</v>
      </c>
      <c r="U8" s="8" t="s">
        <v>250</v>
      </c>
      <c r="V8" t="s">
        <v>263</v>
      </c>
      <c r="W8" s="15" t="str">
        <f>HYPERLINK("mailto:"&amp; ckAwdTable[[#This Row],[email]]&amp;"&amp;subject=Your NSF Proposal:  "&amp;ckAwdTable[[#This Row],[prop_id]], ckAwdTable[[#This Row],[email]])</f>
        <v>rp3@uw.edu</v>
      </c>
      <c r="X8" s="30">
        <v>42979</v>
      </c>
      <c r="Y8">
        <v>48</v>
      </c>
      <c r="AA8" s="21" t="s">
        <v>13</v>
      </c>
      <c r="AB8" s="21" t="s">
        <v>454</v>
      </c>
      <c r="AC8"/>
      <c r="AD8" s="21" t="s">
        <v>13</v>
      </c>
      <c r="AE8" s="21" t="s">
        <v>581</v>
      </c>
      <c r="AF8" s="21" t="s">
        <v>450</v>
      </c>
      <c r="AG8" s="21" t="str">
        <f>IFERROR(IF(FIND("?",ckAwdTable[[#This Row],[abst_narr_txt]]),SummarizeQuestMarks(ckAwdTable[[#This Row],[abst_narr_txt]]),""),"")</f>
        <v/>
      </c>
      <c r="AI8" s="13">
        <v>2000000</v>
      </c>
      <c r="AJ8" s="21">
        <v>0</v>
      </c>
      <c r="AK8" s="1">
        <v>2000000</v>
      </c>
      <c r="AL8" s="1"/>
      <c r="AM8" s="1">
        <v>20000</v>
      </c>
      <c r="AN8" s="1">
        <v>254787</v>
      </c>
      <c r="AP8" s="21">
        <v>12</v>
      </c>
      <c r="AQ8" s="21">
        <v>16</v>
      </c>
      <c r="AR8" s="21"/>
      <c r="AS8" s="21"/>
      <c r="AT8" s="21">
        <v>8</v>
      </c>
      <c r="AU8" s="8" t="s">
        <v>173</v>
      </c>
      <c r="AV8" t="s">
        <v>1157</v>
      </c>
      <c r="AW8" t="b">
        <f>AND(ckAwdTable[[#This Row],[ILN]]&gt;"M", SUBSTITUTE(ckAwdTable[[#This Row],[prop_titl_txt]]," ","")&lt;&gt;SUBSTITUTE(AV7," ",""))</f>
        <v>0</v>
      </c>
      <c r="AX8" s="8" t="s">
        <v>1158</v>
      </c>
    </row>
    <row r="9" spans="1:68">
      <c r="B9" s="30">
        <v>42800.361805555556</v>
      </c>
      <c r="C9" t="s">
        <v>1123</v>
      </c>
      <c r="D9" t="s">
        <v>1124</v>
      </c>
      <c r="E9" t="s">
        <v>1125</v>
      </c>
      <c r="F9" t="s">
        <v>596</v>
      </c>
      <c r="G9" s="8" t="s">
        <v>172</v>
      </c>
      <c r="H9" s="8" t="s">
        <v>170</v>
      </c>
      <c r="I9" s="8" t="s">
        <v>447</v>
      </c>
      <c r="J9" t="s">
        <v>94</v>
      </c>
      <c r="K9" t="s">
        <v>1126</v>
      </c>
      <c r="L9" s="22"/>
      <c r="M9">
        <f xml:space="preserve"> M8+(ckAwdTable[ILN]&lt;"M")</f>
        <v>2</v>
      </c>
      <c r="N9" t="s">
        <v>450</v>
      </c>
      <c r="O9" t="s">
        <v>615</v>
      </c>
      <c r="P9" s="15" t="str">
        <f>HYPERLINK("https://www.ejacket.nsf.gov/ej/showProposal.do?ID="&amp;ckAwdTable[[#This Row],[prop_id]],"eJ")</f>
        <v>eJ</v>
      </c>
      <c r="Q9" s="8" t="s">
        <v>1127</v>
      </c>
      <c r="R9" t="s">
        <v>1159</v>
      </c>
      <c r="S9" t="s">
        <v>1160</v>
      </c>
      <c r="T9" t="s">
        <v>1161</v>
      </c>
      <c r="U9" s="8" t="s">
        <v>356</v>
      </c>
      <c r="V9" t="s">
        <v>357</v>
      </c>
      <c r="W9" s="15" t="str">
        <f>HYPERLINK("mailto:"&amp; ckAwdTable[[#This Row],[email]]&amp;"&amp;subject=Your NSF Proposal:  "&amp;ckAwdTable[[#This Row],[prop_id]], ckAwdTable[[#This Row],[email]])</f>
        <v>ilya@umich.edu</v>
      </c>
      <c r="X9" s="30">
        <v>42979</v>
      </c>
      <c r="Y9">
        <v>48</v>
      </c>
      <c r="AA9" s="21" t="s">
        <v>13</v>
      </c>
      <c r="AB9" s="21" t="s">
        <v>454</v>
      </c>
      <c r="AC9"/>
      <c r="AD9" s="21" t="s">
        <v>13</v>
      </c>
      <c r="AF9" s="21" t="s">
        <v>450</v>
      </c>
      <c r="AG9" s="21" t="str">
        <f>IFERROR(IF(FIND("?",ckAwdTable[[#This Row],[abst_narr_txt]]),SummarizeQuestMarks(ckAwdTable[[#This Row],[abst_narr_txt]]),""),"")</f>
        <v/>
      </c>
      <c r="AI9" s="13">
        <v>460230</v>
      </c>
      <c r="AJ9" s="21">
        <v>0</v>
      </c>
      <c r="AK9" s="1">
        <v>460230</v>
      </c>
      <c r="AL9" s="1"/>
      <c r="AM9" s="1"/>
      <c r="AP9" s="21">
        <v>4</v>
      </c>
      <c r="AQ9" s="21">
        <v>4</v>
      </c>
      <c r="AR9" s="21">
        <v>2</v>
      </c>
      <c r="AS9" s="21"/>
      <c r="AT9" s="21"/>
      <c r="AU9" s="8" t="s">
        <v>173</v>
      </c>
      <c r="AV9" t="s">
        <v>1162</v>
      </c>
      <c r="AW9" t="b">
        <f>AND(ckAwdTable[[#This Row],[ILN]]&gt;"M", SUBSTITUTE(ckAwdTable[[#This Row],[prop_titl_txt]]," ","")&lt;&gt;SUBSTITUTE(AV8," ",""))</f>
        <v>1</v>
      </c>
      <c r="AX9" s="8" t="s">
        <v>1163</v>
      </c>
    </row>
    <row r="10" spans="1:68">
      <c r="B10" s="30">
        <v>42800.62222222222</v>
      </c>
      <c r="C10" t="s">
        <v>1123</v>
      </c>
      <c r="D10" t="s">
        <v>1124</v>
      </c>
      <c r="E10" t="s">
        <v>1125</v>
      </c>
      <c r="F10" t="s">
        <v>596</v>
      </c>
      <c r="G10" s="8" t="s">
        <v>172</v>
      </c>
      <c r="H10" s="8" t="s">
        <v>170</v>
      </c>
      <c r="I10" s="8" t="s">
        <v>447</v>
      </c>
      <c r="J10" t="s">
        <v>94</v>
      </c>
      <c r="K10" t="s">
        <v>1126</v>
      </c>
      <c r="L10" s="22"/>
      <c r="M10">
        <f xml:space="preserve"> M9+(ckAwdTable[ILN]&lt;"M")</f>
        <v>3</v>
      </c>
      <c r="N10" t="s">
        <v>463</v>
      </c>
      <c r="O10" t="s">
        <v>632</v>
      </c>
      <c r="P10" s="15" t="str">
        <f>HYPERLINK("https://www.ejacket.nsf.gov/ej/showProposal.do?ID="&amp;ckAwdTable[[#This Row],[prop_id]],"eJ")</f>
        <v>eJ</v>
      </c>
      <c r="Q10" s="8" t="s">
        <v>1127</v>
      </c>
      <c r="R10" t="s">
        <v>632</v>
      </c>
      <c r="S10" t="s">
        <v>349</v>
      </c>
      <c r="T10" t="s">
        <v>1164</v>
      </c>
      <c r="U10" s="8" t="s">
        <v>1165</v>
      </c>
      <c r="V10" t="s">
        <v>261</v>
      </c>
      <c r="W10" s="15" t="str">
        <f>HYPERLINK("mailto:"&amp; ckAwdTable[[#This Row],[email]]&amp;"&amp;subject=Your NSF Proposal:  "&amp;ckAwdTable[[#This Row],[prop_id]], ckAwdTable[[#This Row],[email]])</f>
        <v>lee@cis.upenn.edu</v>
      </c>
      <c r="X10" s="30">
        <v>42979</v>
      </c>
      <c r="Y10">
        <v>60</v>
      </c>
      <c r="AA10" s="21" t="s">
        <v>13</v>
      </c>
      <c r="AB10" s="21" t="s">
        <v>454</v>
      </c>
      <c r="AC10"/>
      <c r="AD10" s="21" t="s">
        <v>13</v>
      </c>
      <c r="AE10" s="21" t="s">
        <v>1560</v>
      </c>
      <c r="AF10" s="21" t="s">
        <v>450</v>
      </c>
      <c r="AG10" s="21" t="str">
        <f>IFERROR(IF(FIND("?",ckAwdTable[[#This Row],[abst_narr_txt]]),SummarizeQuestMarks(ckAwdTable[[#This Row],[abst_narr_txt]]),""),"")</f>
        <v/>
      </c>
      <c r="AI10" s="13">
        <v>4667281</v>
      </c>
      <c r="AJ10" s="21">
        <v>0</v>
      </c>
      <c r="AK10" s="1">
        <v>4667281</v>
      </c>
      <c r="AL10" s="1"/>
      <c r="AM10" s="1">
        <v>25000</v>
      </c>
      <c r="AN10" s="1">
        <v>322736</v>
      </c>
      <c r="AP10" s="21">
        <v>15</v>
      </c>
      <c r="AQ10" s="21">
        <v>45</v>
      </c>
      <c r="AR10" s="21">
        <v>9.6</v>
      </c>
      <c r="AS10" s="21"/>
      <c r="AT10" s="21">
        <v>17.7</v>
      </c>
      <c r="AU10" s="8" t="s">
        <v>173</v>
      </c>
      <c r="AV10" t="s">
        <v>1166</v>
      </c>
      <c r="AW10" t="b">
        <f>AND(ckAwdTable[[#This Row],[ILN]]&gt;"M", SUBSTITUTE(ckAwdTable[[#This Row],[prop_titl_txt]]," ","")&lt;&gt;SUBSTITUTE(AV9," ",""))</f>
        <v>0</v>
      </c>
      <c r="AX10" s="8" t="s">
        <v>1167</v>
      </c>
    </row>
    <row r="11" spans="1:68">
      <c r="B11" s="30">
        <v>42797.460416666669</v>
      </c>
      <c r="C11" t="s">
        <v>1123</v>
      </c>
      <c r="D11" t="s">
        <v>1124</v>
      </c>
      <c r="E11" t="s">
        <v>1125</v>
      </c>
      <c r="F11" t="s">
        <v>596</v>
      </c>
      <c r="G11" s="8" t="s">
        <v>172</v>
      </c>
      <c r="H11" s="8" t="s">
        <v>170</v>
      </c>
      <c r="I11" s="8" t="s">
        <v>447</v>
      </c>
      <c r="J11" t="s">
        <v>94</v>
      </c>
      <c r="K11" t="s">
        <v>1126</v>
      </c>
      <c r="L11" s="22"/>
      <c r="M11">
        <f xml:space="preserve"> M10+(ckAwdTable[ILN]&lt;"M")</f>
        <v>3</v>
      </c>
      <c r="N11" t="s">
        <v>450</v>
      </c>
      <c r="O11" t="s">
        <v>632</v>
      </c>
      <c r="P11" s="15" t="str">
        <f>HYPERLINK("https://www.ejacket.nsf.gov/ej/showProposal.do?ID="&amp;ckAwdTable[[#This Row],[prop_id]],"eJ")</f>
        <v>eJ</v>
      </c>
      <c r="Q11" s="8" t="s">
        <v>1127</v>
      </c>
      <c r="R11" t="s">
        <v>1168</v>
      </c>
      <c r="S11" t="s">
        <v>1169</v>
      </c>
      <c r="T11" t="s">
        <v>1170</v>
      </c>
      <c r="U11" s="8" t="s">
        <v>358</v>
      </c>
      <c r="V11" t="s">
        <v>359</v>
      </c>
      <c r="W11" s="15" t="str">
        <f>HYPERLINK("mailto:"&amp; ckAwdTable[[#This Row],[email]]&amp;"&amp;subject=Your NSF Proposal:  "&amp;ckAwdTable[[#This Row],[prop_id]], ckAwdTable[[#This Row],[email]])</f>
        <v>miroslav.pajic@duke.edu</v>
      </c>
      <c r="X11" s="30">
        <v>42979</v>
      </c>
      <c r="Y11">
        <v>60</v>
      </c>
      <c r="AA11" s="21" t="s">
        <v>13</v>
      </c>
      <c r="AB11" s="21" t="s">
        <v>454</v>
      </c>
      <c r="AC11"/>
      <c r="AD11" s="21" t="s">
        <v>13</v>
      </c>
      <c r="AF11" s="21" t="s">
        <v>450</v>
      </c>
      <c r="AG11" s="21" t="str">
        <f>IFERROR(IF(FIND("?",ckAwdTable[[#This Row],[abst_narr_txt]]),SummarizeQuestMarks(ckAwdTable[[#This Row],[abst_narr_txt]]),""),"")</f>
        <v/>
      </c>
      <c r="AI11" s="13">
        <v>1000000</v>
      </c>
      <c r="AJ11" s="21">
        <v>0</v>
      </c>
      <c r="AK11" s="1">
        <v>1000000</v>
      </c>
      <c r="AL11" s="1"/>
      <c r="AM11" s="1"/>
      <c r="AP11" s="21">
        <v>10</v>
      </c>
      <c r="AQ11" s="21">
        <v>10</v>
      </c>
      <c r="AR11" s="21">
        <v>7.4</v>
      </c>
      <c r="AS11" s="21"/>
      <c r="AT11" s="21"/>
      <c r="AU11" s="8" t="s">
        <v>173</v>
      </c>
      <c r="AV11" t="s">
        <v>1166</v>
      </c>
      <c r="AW11" t="b">
        <f>AND(ckAwdTable[[#This Row],[ILN]]&gt;"M", SUBSTITUTE(ckAwdTable[[#This Row],[prop_titl_txt]]," ","")&lt;&gt;SUBSTITUTE(AV10," ",""))</f>
        <v>0</v>
      </c>
      <c r="AX11" s="8" t="s">
        <v>1171</v>
      </c>
    </row>
    <row r="12" spans="1:68">
      <c r="B12" s="30">
        <v>42797.675000000003</v>
      </c>
      <c r="C12" t="s">
        <v>1123</v>
      </c>
      <c r="D12" t="s">
        <v>1124</v>
      </c>
      <c r="E12" t="s">
        <v>1125</v>
      </c>
      <c r="F12" t="s">
        <v>596</v>
      </c>
      <c r="G12" s="8" t="s">
        <v>172</v>
      </c>
      <c r="H12" s="8" t="s">
        <v>170</v>
      </c>
      <c r="I12" s="8" t="s">
        <v>447</v>
      </c>
      <c r="J12" t="s">
        <v>94</v>
      </c>
      <c r="K12" t="s">
        <v>1126</v>
      </c>
      <c r="L12" s="22"/>
      <c r="M12">
        <f xml:space="preserve"> M11+(ckAwdTable[ILN]&lt;"M")</f>
        <v>3</v>
      </c>
      <c r="N12" t="s">
        <v>450</v>
      </c>
      <c r="O12" t="s">
        <v>632</v>
      </c>
      <c r="P12" s="15" t="str">
        <f>HYPERLINK("https://www.ejacket.nsf.gov/ej/showProposal.do?ID="&amp;ckAwdTable[[#This Row],[prop_id]],"eJ")</f>
        <v>eJ</v>
      </c>
      <c r="Q12" s="8" t="s">
        <v>1127</v>
      </c>
      <c r="R12" t="s">
        <v>1172</v>
      </c>
      <c r="S12" t="s">
        <v>704</v>
      </c>
      <c r="T12" t="s">
        <v>1173</v>
      </c>
      <c r="U12" s="8" t="s">
        <v>475</v>
      </c>
      <c r="V12" t="s">
        <v>267</v>
      </c>
      <c r="W12" s="15" t="str">
        <f>HYPERLINK("mailto:"&amp; ckAwdTable[[#This Row],[email]]&amp;"&amp;subject=Your NSF Proposal:  "&amp;ckAwdTable[[#This Row],[prop_id]], ckAwdTable[[#This Row],[email]])</f>
        <v>jhahn12@umd.edu</v>
      </c>
      <c r="X12" s="30">
        <v>42979</v>
      </c>
      <c r="Y12">
        <v>60</v>
      </c>
      <c r="AA12" s="21" t="s">
        <v>13</v>
      </c>
      <c r="AB12" s="21" t="s">
        <v>454</v>
      </c>
      <c r="AC12"/>
      <c r="AD12" s="21" t="s">
        <v>13</v>
      </c>
      <c r="AF12" s="21" t="s">
        <v>450</v>
      </c>
      <c r="AG12" s="21" t="str">
        <f>IFERROR(IF(FIND("?",ckAwdTable[[#This Row],[abst_narr_txt]]),SummarizeQuestMarks(ckAwdTable[[#This Row],[abst_narr_txt]]),""),"")</f>
        <v/>
      </c>
      <c r="AI12" s="13">
        <v>765000</v>
      </c>
      <c r="AJ12" s="21">
        <v>0</v>
      </c>
      <c r="AK12" s="1">
        <v>765000</v>
      </c>
      <c r="AL12" s="1"/>
      <c r="AM12" s="1"/>
      <c r="AN12" s="1">
        <v>108326</v>
      </c>
      <c r="AP12" s="21">
        <v>5</v>
      </c>
      <c r="AQ12" s="21">
        <v>5</v>
      </c>
      <c r="AR12" s="21"/>
      <c r="AS12" s="21"/>
      <c r="AT12" s="21">
        <v>5</v>
      </c>
      <c r="AU12" s="8" t="s">
        <v>173</v>
      </c>
      <c r="AV12" t="s">
        <v>1166</v>
      </c>
      <c r="AW12" t="b">
        <f>AND(ckAwdTable[[#This Row],[ILN]]&gt;"M", SUBSTITUTE(ckAwdTable[[#This Row],[prop_titl_txt]]," ","")&lt;&gt;SUBSTITUTE(AV11," ",""))</f>
        <v>0</v>
      </c>
      <c r="AX12" s="8" t="s">
        <v>1174</v>
      </c>
    </row>
    <row r="13" spans="1:68">
      <c r="B13" s="30">
        <v>42800.413194444445</v>
      </c>
      <c r="C13" t="s">
        <v>1123</v>
      </c>
      <c r="D13" t="s">
        <v>1124</v>
      </c>
      <c r="E13" t="s">
        <v>1125</v>
      </c>
      <c r="F13" t="s">
        <v>596</v>
      </c>
      <c r="G13" s="8" t="s">
        <v>172</v>
      </c>
      <c r="H13" s="8" t="s">
        <v>170</v>
      </c>
      <c r="I13" s="8" t="s">
        <v>447</v>
      </c>
      <c r="J13" t="s">
        <v>94</v>
      </c>
      <c r="K13" t="s">
        <v>1126</v>
      </c>
      <c r="L13" s="22"/>
      <c r="M13">
        <f xml:space="preserve"> M12+(ckAwdTable[ILN]&lt;"M")</f>
        <v>3</v>
      </c>
      <c r="N13" t="s">
        <v>450</v>
      </c>
      <c r="O13" t="s">
        <v>632</v>
      </c>
      <c r="P13" s="15" t="str">
        <f>HYPERLINK("https://www.ejacket.nsf.gov/ej/showProposal.do?ID="&amp;ckAwdTable[[#This Row],[prop_id]],"eJ")</f>
        <v>eJ</v>
      </c>
      <c r="Q13" s="8" t="s">
        <v>1127</v>
      </c>
      <c r="R13" t="s">
        <v>1175</v>
      </c>
      <c r="S13" t="s">
        <v>1176</v>
      </c>
      <c r="T13" t="s">
        <v>1177</v>
      </c>
      <c r="U13" s="8" t="s">
        <v>476</v>
      </c>
      <c r="V13" t="s">
        <v>362</v>
      </c>
      <c r="W13" s="15" t="str">
        <f>HYPERLINK("mailto:"&amp; ckAwdTable[[#This Row],[email]]&amp;"&amp;subject=Your NSF Proposal:  "&amp;ckAwdTable[[#This Row],[prop_id]], ckAwdTable[[#This Row],[email]])</f>
        <v>lf9u@virginia.edu</v>
      </c>
      <c r="X13" s="30">
        <v>42979</v>
      </c>
      <c r="Y13">
        <v>60</v>
      </c>
      <c r="AA13" s="21" t="s">
        <v>13</v>
      </c>
      <c r="AB13" s="21" t="s">
        <v>454</v>
      </c>
      <c r="AC13"/>
      <c r="AD13" s="21" t="s">
        <v>13</v>
      </c>
      <c r="AE13" s="21" t="s">
        <v>260</v>
      </c>
      <c r="AF13" s="21" t="s">
        <v>450</v>
      </c>
      <c r="AG13" s="21" t="str">
        <f>IFERROR(IF(FIND("?",ckAwdTable[[#This Row],[abst_narr_txt]]),SummarizeQuestMarks(ckAwdTable[[#This Row],[abst_narr_txt]]),""),"")</f>
        <v/>
      </c>
      <c r="AI13" s="13">
        <v>450000</v>
      </c>
      <c r="AJ13" s="21">
        <v>0</v>
      </c>
      <c r="AK13" s="1">
        <v>450000</v>
      </c>
      <c r="AL13" s="1"/>
      <c r="AM13" s="1">
        <v>14000</v>
      </c>
      <c r="AP13" s="21">
        <v>5</v>
      </c>
      <c r="AQ13" s="21">
        <v>5</v>
      </c>
      <c r="AR13" s="21"/>
      <c r="AS13" s="21"/>
      <c r="AT13" s="21">
        <v>5</v>
      </c>
      <c r="AU13" s="8" t="s">
        <v>173</v>
      </c>
      <c r="AV13" t="s">
        <v>1166</v>
      </c>
      <c r="AW13" t="b">
        <f>AND(ckAwdTable[[#This Row],[ILN]]&gt;"M", SUBSTITUTE(ckAwdTable[[#This Row],[prop_titl_txt]]," ","")&lt;&gt;SUBSTITUTE(AV12," ",""))</f>
        <v>0</v>
      </c>
      <c r="AX13" s="8" t="s">
        <v>1178</v>
      </c>
    </row>
    <row r="14" spans="1:68">
      <c r="B14" s="30">
        <v>42800.65347222222</v>
      </c>
      <c r="C14" t="s">
        <v>1123</v>
      </c>
      <c r="D14" t="s">
        <v>1124</v>
      </c>
      <c r="E14" t="s">
        <v>1125</v>
      </c>
      <c r="F14" t="s">
        <v>596</v>
      </c>
      <c r="G14" s="8" t="s">
        <v>172</v>
      </c>
      <c r="H14" s="8" t="s">
        <v>170</v>
      </c>
      <c r="I14" s="8" t="s">
        <v>447</v>
      </c>
      <c r="J14" t="s">
        <v>94</v>
      </c>
      <c r="K14" t="s">
        <v>1126</v>
      </c>
      <c r="L14" s="22"/>
      <c r="M14">
        <f xml:space="preserve"> M13+(ckAwdTable[ILN]&lt;"M")</f>
        <v>4</v>
      </c>
      <c r="N14" t="s">
        <v>96</v>
      </c>
      <c r="O14" t="s">
        <v>639</v>
      </c>
      <c r="P14" s="15" t="str">
        <f>HYPERLINK("https://www.ejacket.nsf.gov/ej/showProposal.do?ID="&amp;ckAwdTable[[#This Row],[prop_id]],"eJ")</f>
        <v>eJ</v>
      </c>
      <c r="Q14" s="8" t="s">
        <v>1127</v>
      </c>
      <c r="R14" t="s">
        <v>639</v>
      </c>
      <c r="S14" t="s">
        <v>640</v>
      </c>
      <c r="T14" t="s">
        <v>568</v>
      </c>
      <c r="U14" s="8" t="s">
        <v>348</v>
      </c>
      <c r="V14" t="s">
        <v>261</v>
      </c>
      <c r="W14" s="15" t="str">
        <f>HYPERLINK("mailto:"&amp; ckAwdTable[[#This Row],[email]]&amp;"&amp;subject=Your NSF Proposal:  "&amp;ckAwdTable[[#This Row],[prop_id]], ckAwdTable[[#This Row],[email]])</f>
        <v>jmanoff@uw.edu</v>
      </c>
      <c r="X14" s="30">
        <v>43101</v>
      </c>
      <c r="Y14">
        <v>60</v>
      </c>
      <c r="Z14" t="s">
        <v>451</v>
      </c>
      <c r="AA14" s="21" t="s">
        <v>1561</v>
      </c>
      <c r="AB14" s="21" t="s">
        <v>1562</v>
      </c>
      <c r="AC14"/>
      <c r="AD14" s="21" t="s">
        <v>13</v>
      </c>
      <c r="AF14" s="21" t="s">
        <v>450</v>
      </c>
      <c r="AG14" s="21" t="str">
        <f>IFERROR(IF(FIND("?",ckAwdTable[[#This Row],[abst_narr_txt]]),SummarizeQuestMarks(ckAwdTable[[#This Row],[abst_narr_txt]]),""),"")</f>
        <v/>
      </c>
      <c r="AI14" s="13">
        <v>7000000</v>
      </c>
      <c r="AJ14" s="21">
        <v>0</v>
      </c>
      <c r="AK14" s="1">
        <v>7000000</v>
      </c>
      <c r="AL14" s="1">
        <v>493485</v>
      </c>
      <c r="AM14" s="1"/>
      <c r="AN14" s="1">
        <v>292003</v>
      </c>
      <c r="AP14" s="21">
        <v>45</v>
      </c>
      <c r="AQ14" s="21">
        <v>35</v>
      </c>
      <c r="AR14" s="21">
        <v>37.5</v>
      </c>
      <c r="AS14" s="21"/>
      <c r="AT14" s="21"/>
      <c r="AU14" s="8" t="s">
        <v>173</v>
      </c>
      <c r="AV14" t="s">
        <v>1179</v>
      </c>
      <c r="AW14" t="b">
        <f>AND(ckAwdTable[[#This Row],[ILN]]&gt;"M", SUBSTITUTE(ckAwdTable[[#This Row],[prop_titl_txt]]," ","")&lt;&gt;SUBSTITUTE(AV13," ",""))</f>
        <v>0</v>
      </c>
      <c r="AX14" s="8" t="s">
        <v>1180</v>
      </c>
    </row>
    <row r="15" spans="1:68">
      <c r="B15" s="30">
        <v>42800.660416666666</v>
      </c>
      <c r="C15" t="s">
        <v>1123</v>
      </c>
      <c r="D15" t="s">
        <v>1124</v>
      </c>
      <c r="E15" t="s">
        <v>1125</v>
      </c>
      <c r="F15" t="s">
        <v>596</v>
      </c>
      <c r="G15" s="8" t="s">
        <v>172</v>
      </c>
      <c r="H15" s="8" t="s">
        <v>170</v>
      </c>
      <c r="I15" s="8" t="s">
        <v>447</v>
      </c>
      <c r="J15" t="s">
        <v>94</v>
      </c>
      <c r="K15" t="s">
        <v>1126</v>
      </c>
      <c r="L15" s="22"/>
      <c r="M15">
        <f xml:space="preserve"> M14+(ckAwdTable[ILN]&lt;"M")</f>
        <v>5</v>
      </c>
      <c r="N15" t="s">
        <v>463</v>
      </c>
      <c r="O15" t="s">
        <v>647</v>
      </c>
      <c r="P15" s="15" t="str">
        <f>HYPERLINK("https://www.ejacket.nsf.gov/ej/showProposal.do?ID="&amp;ckAwdTable[[#This Row],[prop_id]],"eJ")</f>
        <v>eJ</v>
      </c>
      <c r="Q15" s="8" t="s">
        <v>1127</v>
      </c>
      <c r="R15" t="s">
        <v>647</v>
      </c>
      <c r="S15" t="s">
        <v>648</v>
      </c>
      <c r="T15" t="s">
        <v>1182</v>
      </c>
      <c r="U15" s="8" t="s">
        <v>1183</v>
      </c>
      <c r="V15" t="s">
        <v>1181</v>
      </c>
      <c r="W15" s="15" t="str">
        <f>HYPERLINK("mailto:"&amp; ckAwdTable[[#This Row],[email]]&amp;"&amp;subject=Your NSF Proposal:  "&amp;ckAwdTable[[#This Row],[prop_id]], ckAwdTable[[#This Row],[email]])</f>
        <v>Janos.Sztipanovits@Vanderbilt.edu</v>
      </c>
      <c r="X15" s="30">
        <v>43009</v>
      </c>
      <c r="Y15">
        <v>60</v>
      </c>
      <c r="AA15" s="21" t="s">
        <v>13</v>
      </c>
      <c r="AB15" s="21" t="s">
        <v>454</v>
      </c>
      <c r="AC15"/>
      <c r="AD15" s="21" t="s">
        <v>13</v>
      </c>
      <c r="AF15" s="21" t="s">
        <v>450</v>
      </c>
      <c r="AG15" s="21" t="str">
        <f>IFERROR(IF(FIND("?",ckAwdTable[[#This Row],[abst_narr_txt]]),SummarizeQuestMarks(ckAwdTable[[#This Row],[abst_narr_txt]]),""),"")</f>
        <v/>
      </c>
      <c r="AI15" s="13">
        <v>3499505</v>
      </c>
      <c r="AJ15" s="21">
        <v>0</v>
      </c>
      <c r="AK15" s="1">
        <v>3499505</v>
      </c>
      <c r="AL15" s="1"/>
      <c r="AM15" s="1"/>
      <c r="AN15" s="1">
        <v>152740</v>
      </c>
      <c r="AO15" s="1">
        <v>125000</v>
      </c>
      <c r="AP15" s="21">
        <v>20</v>
      </c>
      <c r="AQ15" s="21">
        <v>20</v>
      </c>
      <c r="AR15" s="21">
        <v>12.5</v>
      </c>
      <c r="AS15" s="21">
        <v>9</v>
      </c>
      <c r="AT15" s="21"/>
      <c r="AU15" s="8" t="s">
        <v>173</v>
      </c>
      <c r="AV15" t="s">
        <v>1185</v>
      </c>
      <c r="AW15" t="b">
        <f>AND(ckAwdTable[[#This Row],[ILN]]&gt;"M", SUBSTITUTE(ckAwdTable[[#This Row],[prop_titl_txt]]," ","")&lt;&gt;SUBSTITUTE(AV14," ",""))</f>
        <v>0</v>
      </c>
      <c r="AX15" s="8" t="s">
        <v>1186</v>
      </c>
    </row>
    <row r="16" spans="1:68">
      <c r="B16" s="30">
        <v>42800.525000000001</v>
      </c>
      <c r="C16" t="s">
        <v>1123</v>
      </c>
      <c r="D16" t="s">
        <v>1124</v>
      </c>
      <c r="E16" t="s">
        <v>1125</v>
      </c>
      <c r="F16" t="s">
        <v>596</v>
      </c>
      <c r="G16" s="8" t="s">
        <v>172</v>
      </c>
      <c r="H16" s="8" t="s">
        <v>170</v>
      </c>
      <c r="I16" s="8" t="s">
        <v>447</v>
      </c>
      <c r="J16" t="s">
        <v>94</v>
      </c>
      <c r="K16" t="s">
        <v>1126</v>
      </c>
      <c r="L16" s="22"/>
      <c r="M16">
        <f xml:space="preserve"> M15+(ckAwdTable[ILN]&lt;"M")</f>
        <v>5</v>
      </c>
      <c r="N16" t="s">
        <v>450</v>
      </c>
      <c r="O16" t="s">
        <v>647</v>
      </c>
      <c r="P16" s="15" t="str">
        <f>HYPERLINK("https://www.ejacket.nsf.gov/ej/showProposal.do?ID="&amp;ckAwdTable[[#This Row],[prop_id]],"eJ")</f>
        <v>eJ</v>
      </c>
      <c r="Q16" s="8" t="s">
        <v>1127</v>
      </c>
      <c r="R16" t="s">
        <v>1187</v>
      </c>
      <c r="S16" t="s">
        <v>1188</v>
      </c>
      <c r="T16" t="s">
        <v>464</v>
      </c>
      <c r="U16" s="8" t="s">
        <v>571</v>
      </c>
      <c r="V16" t="s">
        <v>264</v>
      </c>
      <c r="W16" s="15" t="str">
        <f>HYPERLINK("mailto:"&amp; ckAwdTable[[#This Row],[email]]&amp;"&amp;subject=Your NSF Proposal:  "&amp;ckAwdTable[[#This Row],[prop_id]], ckAwdTable[[#This Row],[email]])</f>
        <v>tomlin@eecs.berkeley.edu</v>
      </c>
      <c r="X16" s="30">
        <v>43009</v>
      </c>
      <c r="Y16">
        <v>60</v>
      </c>
      <c r="AA16" s="21" t="s">
        <v>13</v>
      </c>
      <c r="AB16" s="21" t="s">
        <v>454</v>
      </c>
      <c r="AC16"/>
      <c r="AD16" s="21" t="s">
        <v>13</v>
      </c>
      <c r="AF16" s="21" t="s">
        <v>450</v>
      </c>
      <c r="AG16" s="21" t="str">
        <f>IFERROR(IF(FIND("?",ckAwdTable[[#This Row],[abst_narr_txt]]),SummarizeQuestMarks(ckAwdTable[[#This Row],[abst_narr_txt]]),""),"")</f>
        <v/>
      </c>
      <c r="AI16" s="13">
        <v>3500000</v>
      </c>
      <c r="AJ16" s="21">
        <v>0</v>
      </c>
      <c r="AK16" s="1">
        <v>3500000</v>
      </c>
      <c r="AL16" s="1"/>
      <c r="AM16" s="1"/>
      <c r="AN16" s="1">
        <v>236450</v>
      </c>
      <c r="AO16" s="1">
        <v>125000</v>
      </c>
      <c r="AP16" s="21">
        <v>25</v>
      </c>
      <c r="AQ16" s="21">
        <v>15</v>
      </c>
      <c r="AR16" s="21">
        <v>7.5</v>
      </c>
      <c r="AS16" s="21"/>
      <c r="AT16" s="21"/>
      <c r="AU16" s="8" t="s">
        <v>173</v>
      </c>
      <c r="AV16" t="s">
        <v>1189</v>
      </c>
      <c r="AW16" t="b">
        <f>AND(ckAwdTable[[#This Row],[ILN]]&gt;"M", SUBSTITUTE(ckAwdTable[[#This Row],[prop_titl_txt]]," ","")&lt;&gt;SUBSTITUTE(AV15," ",""))</f>
        <v>0</v>
      </c>
      <c r="AX16" s="8" t="s">
        <v>1190</v>
      </c>
    </row>
    <row r="17" spans="2:50">
      <c r="B17" s="30">
        <v>42800.671527777777</v>
      </c>
      <c r="C17" t="s">
        <v>1123</v>
      </c>
      <c r="D17" t="s">
        <v>1124</v>
      </c>
      <c r="E17" t="s">
        <v>1125</v>
      </c>
      <c r="F17" t="s">
        <v>596</v>
      </c>
      <c r="G17" s="8" t="s">
        <v>172</v>
      </c>
      <c r="H17" s="8" t="s">
        <v>170</v>
      </c>
      <c r="I17" s="8" t="s">
        <v>447</v>
      </c>
      <c r="J17" t="s">
        <v>94</v>
      </c>
      <c r="K17" t="s">
        <v>1126</v>
      </c>
      <c r="L17" s="22"/>
      <c r="M17">
        <f xml:space="preserve"> M16+(ckAwdTable[ILN]&lt;"M")</f>
        <v>6</v>
      </c>
      <c r="N17" t="s">
        <v>463</v>
      </c>
      <c r="O17" t="s">
        <v>658</v>
      </c>
      <c r="P17" s="15" t="str">
        <f>HYPERLINK("https://www.ejacket.nsf.gov/ej/showProposal.do?ID="&amp;ckAwdTable[[#This Row],[prop_id]],"eJ")</f>
        <v>eJ</v>
      </c>
      <c r="Q17" s="8" t="s">
        <v>1127</v>
      </c>
      <c r="R17" t="s">
        <v>658</v>
      </c>
      <c r="S17" t="s">
        <v>659</v>
      </c>
      <c r="T17" t="s">
        <v>1191</v>
      </c>
      <c r="U17" s="8" t="s">
        <v>459</v>
      </c>
      <c r="V17" t="s">
        <v>268</v>
      </c>
      <c r="W17" s="15" t="str">
        <f>HYPERLINK("mailto:"&amp; ckAwdTable[[#This Row],[email]]&amp;"&amp;subject=Your NSF Proposal:  "&amp;ckAwdTable[[#This Row],[prop_id]], ckAwdTable[[#This Row],[email]])</f>
        <v>ian@ece.gatech.edu</v>
      </c>
      <c r="X17" s="30">
        <v>43009</v>
      </c>
      <c r="Y17">
        <v>60</v>
      </c>
      <c r="AA17" s="21" t="s">
        <v>13</v>
      </c>
      <c r="AB17" s="21" t="s">
        <v>454</v>
      </c>
      <c r="AC17"/>
      <c r="AD17" s="21" t="s">
        <v>13</v>
      </c>
      <c r="AE17" s="21" t="s">
        <v>260</v>
      </c>
      <c r="AF17" s="21" t="s">
        <v>450</v>
      </c>
      <c r="AG17" s="21" t="str">
        <f>IFERROR(IF(FIND("?",ckAwdTable[[#This Row],[abst_narr_txt]]),SummarizeQuestMarks(ckAwdTable[[#This Row],[abst_narr_txt]]),""),"")</f>
        <v/>
      </c>
      <c r="AI17" s="13">
        <v>3883266</v>
      </c>
      <c r="AJ17" s="21">
        <v>0</v>
      </c>
      <c r="AK17" s="1">
        <v>3883266</v>
      </c>
      <c r="AL17" s="1"/>
      <c r="AM17" s="1">
        <v>10000</v>
      </c>
      <c r="AN17" s="1">
        <v>584005</v>
      </c>
      <c r="AP17" s="21">
        <v>15</v>
      </c>
      <c r="AQ17" s="21">
        <v>15</v>
      </c>
      <c r="AR17" s="21">
        <v>20</v>
      </c>
      <c r="AS17" s="21"/>
      <c r="AT17" s="21"/>
      <c r="AU17" s="8" t="s">
        <v>173</v>
      </c>
      <c r="AV17" t="s">
        <v>1193</v>
      </c>
      <c r="AW17" t="b">
        <f>AND(ckAwdTable[[#This Row],[ILN]]&gt;"M", SUBSTITUTE(ckAwdTable[[#This Row],[prop_titl_txt]]," ","")&lt;&gt;SUBSTITUTE(AV16," ",""))</f>
        <v>0</v>
      </c>
      <c r="AX17" s="8" t="s">
        <v>1194</v>
      </c>
    </row>
    <row r="18" spans="2:50">
      <c r="B18" s="30">
        <v>42800.681250000001</v>
      </c>
      <c r="C18" t="s">
        <v>1123</v>
      </c>
      <c r="D18" t="s">
        <v>1124</v>
      </c>
      <c r="E18" t="s">
        <v>1125</v>
      </c>
      <c r="F18" t="s">
        <v>596</v>
      </c>
      <c r="G18" s="8" t="s">
        <v>172</v>
      </c>
      <c r="H18" s="8" t="s">
        <v>170</v>
      </c>
      <c r="I18" s="8" t="s">
        <v>447</v>
      </c>
      <c r="J18" t="s">
        <v>94</v>
      </c>
      <c r="K18" t="s">
        <v>1126</v>
      </c>
      <c r="L18" s="22"/>
      <c r="M18">
        <f xml:space="preserve"> M17+(ckAwdTable[ILN]&lt;"M")</f>
        <v>6</v>
      </c>
      <c r="N18" t="s">
        <v>450</v>
      </c>
      <c r="O18" t="s">
        <v>658</v>
      </c>
      <c r="P18" s="15" t="str">
        <f>HYPERLINK("https://www.ejacket.nsf.gov/ej/showProposal.do?ID="&amp;ckAwdTable[[#This Row],[prop_id]],"eJ")</f>
        <v>eJ</v>
      </c>
      <c r="Q18" s="8" t="s">
        <v>1127</v>
      </c>
      <c r="R18" t="s">
        <v>1195</v>
      </c>
      <c r="S18" t="s">
        <v>1196</v>
      </c>
      <c r="T18" t="s">
        <v>1197</v>
      </c>
      <c r="U18" s="8" t="s">
        <v>1198</v>
      </c>
      <c r="V18" t="s">
        <v>268</v>
      </c>
      <c r="W18" s="15" t="str">
        <f>HYPERLINK("mailto:"&amp; ckAwdTable[[#This Row],[email]]&amp;"&amp;subject=Your NSF Proposal:  "&amp;ckAwdTable[[#This Row],[prop_id]], ckAwdTable[[#This Row],[email]])</f>
        <v>mehmet.a.bilen@emory.edu</v>
      </c>
      <c r="X18" s="30">
        <v>43009</v>
      </c>
      <c r="Y18">
        <v>60</v>
      </c>
      <c r="Z18" t="s">
        <v>451</v>
      </c>
      <c r="AA18" s="21" t="s">
        <v>1563</v>
      </c>
      <c r="AB18" s="21" t="s">
        <v>454</v>
      </c>
      <c r="AC18" t="s">
        <v>451</v>
      </c>
      <c r="AD18" s="21" t="s">
        <v>1564</v>
      </c>
      <c r="AF18" s="21" t="s">
        <v>450</v>
      </c>
      <c r="AG18" s="21" t="str">
        <f>IFERROR(IF(FIND("?",ckAwdTable[[#This Row],[abst_narr_txt]]),SummarizeQuestMarks(ckAwdTable[[#This Row],[abst_narr_txt]]),""),"")</f>
        <v/>
      </c>
      <c r="AI18" s="13">
        <v>3116734</v>
      </c>
      <c r="AJ18" s="21">
        <v>0</v>
      </c>
      <c r="AK18" s="1">
        <v>3116734</v>
      </c>
      <c r="AL18" s="1"/>
      <c r="AM18" s="1"/>
      <c r="AN18" s="1">
        <v>557506</v>
      </c>
      <c r="AP18" s="21"/>
      <c r="AQ18" s="21">
        <v>15</v>
      </c>
      <c r="AR18" s="21"/>
      <c r="AS18" s="21"/>
      <c r="AT18" s="21">
        <v>26</v>
      </c>
      <c r="AU18" s="8" t="s">
        <v>173</v>
      </c>
      <c r="AV18" t="s">
        <v>1199</v>
      </c>
      <c r="AW18" t="b">
        <f>AND(ckAwdTable[[#This Row],[ILN]]&gt;"M", SUBSTITUTE(ckAwdTable[[#This Row],[prop_titl_txt]]," ","")&lt;&gt;SUBSTITUTE(AV17," ",""))</f>
        <v>0</v>
      </c>
      <c r="AX18" s="8" t="s">
        <v>1200</v>
      </c>
    </row>
    <row r="19" spans="2:50">
      <c r="B19" s="30">
        <v>42800.684027777781</v>
      </c>
      <c r="C19" t="s">
        <v>1123</v>
      </c>
      <c r="D19" t="s">
        <v>1124</v>
      </c>
      <c r="E19" t="s">
        <v>1125</v>
      </c>
      <c r="F19" t="s">
        <v>596</v>
      </c>
      <c r="G19" s="8" t="s">
        <v>172</v>
      </c>
      <c r="H19" s="8" t="s">
        <v>170</v>
      </c>
      <c r="I19" s="8" t="s">
        <v>447</v>
      </c>
      <c r="J19" t="s">
        <v>94</v>
      </c>
      <c r="K19" t="s">
        <v>1126</v>
      </c>
      <c r="L19" s="22"/>
      <c r="M19">
        <f xml:space="preserve"> M18+(ckAwdTable[ILN]&lt;"M")</f>
        <v>7</v>
      </c>
      <c r="N19" t="s">
        <v>463</v>
      </c>
      <c r="O19" t="s">
        <v>666</v>
      </c>
      <c r="P19" s="15" t="str">
        <f>HYPERLINK("https://www.ejacket.nsf.gov/ej/showProposal.do?ID="&amp;ckAwdTable[[#This Row],[prop_id]],"eJ")</f>
        <v>eJ</v>
      </c>
      <c r="Q19" s="8" t="s">
        <v>1127</v>
      </c>
      <c r="R19" t="s">
        <v>666</v>
      </c>
      <c r="S19" t="s">
        <v>667</v>
      </c>
      <c r="T19" t="s">
        <v>1201</v>
      </c>
      <c r="U19" s="8" t="s">
        <v>563</v>
      </c>
      <c r="V19" t="s">
        <v>359</v>
      </c>
      <c r="W19" s="15" t="str">
        <f>HYPERLINK("mailto:"&amp; ckAwdTable[[#This Row],[email]]&amp;"&amp;subject=Your NSF Proposal:  "&amp;ckAwdTable[[#This Row],[prop_id]], ckAwdTable[[#This Row],[email]])</f>
        <v>iguvenc@ncsu.edu</v>
      </c>
      <c r="X19" s="30">
        <v>43084</v>
      </c>
      <c r="Y19">
        <v>60</v>
      </c>
      <c r="Z19" t="s">
        <v>1565</v>
      </c>
      <c r="AA19" s="21" t="s">
        <v>1566</v>
      </c>
      <c r="AB19" s="21" t="s">
        <v>454</v>
      </c>
      <c r="AC19"/>
      <c r="AD19" s="21" t="s">
        <v>13</v>
      </c>
      <c r="AE19" s="21" t="s">
        <v>1567</v>
      </c>
      <c r="AF19" s="21" t="s">
        <v>450</v>
      </c>
      <c r="AG19" s="21" t="str">
        <f>IFERROR(IF(FIND("?",ckAwdTable[[#This Row],[abst_narr_txt]]),SummarizeQuestMarks(ckAwdTable[[#This Row],[abst_narr_txt]]),""),"")</f>
        <v/>
      </c>
      <c r="AI19" s="13">
        <v>1817030</v>
      </c>
      <c r="AJ19" s="21">
        <v>0</v>
      </c>
      <c r="AK19" s="1">
        <v>1817030</v>
      </c>
      <c r="AL19" s="1"/>
      <c r="AM19" s="1">
        <v>10000</v>
      </c>
      <c r="AN19" s="1">
        <v>154545</v>
      </c>
      <c r="AO19" s="1">
        <v>121900</v>
      </c>
      <c r="AP19" s="21">
        <v>15</v>
      </c>
      <c r="AQ19" s="21">
        <v>15</v>
      </c>
      <c r="AR19" s="21">
        <v>7.35</v>
      </c>
      <c r="AS19" s="21"/>
      <c r="AT19" s="21"/>
      <c r="AU19" s="8" t="s">
        <v>173</v>
      </c>
      <c r="AV19" t="s">
        <v>1203</v>
      </c>
      <c r="AW19" t="b">
        <f>AND(ckAwdTable[[#This Row],[ILN]]&gt;"M", SUBSTITUTE(ckAwdTable[[#This Row],[prop_titl_txt]]," ","")&lt;&gt;SUBSTITUTE(AV18," ",""))</f>
        <v>0</v>
      </c>
      <c r="AX19" s="8" t="s">
        <v>1204</v>
      </c>
    </row>
    <row r="20" spans="2:50">
      <c r="B20" s="30">
        <v>42800.517361111109</v>
      </c>
      <c r="C20" t="s">
        <v>1123</v>
      </c>
      <c r="D20" t="s">
        <v>1124</v>
      </c>
      <c r="E20" t="s">
        <v>1125</v>
      </c>
      <c r="F20" t="s">
        <v>596</v>
      </c>
      <c r="G20" s="8" t="s">
        <v>172</v>
      </c>
      <c r="H20" s="8" t="s">
        <v>170</v>
      </c>
      <c r="I20" s="8" t="s">
        <v>447</v>
      </c>
      <c r="J20" t="s">
        <v>94</v>
      </c>
      <c r="K20" t="s">
        <v>1126</v>
      </c>
      <c r="L20" s="22"/>
      <c r="M20">
        <f xml:space="preserve"> M19+(ckAwdTable[ILN]&lt;"M")</f>
        <v>7</v>
      </c>
      <c r="N20" t="s">
        <v>450</v>
      </c>
      <c r="O20" t="s">
        <v>666</v>
      </c>
      <c r="P20" s="15" t="str">
        <f>HYPERLINK("https://www.ejacket.nsf.gov/ej/showProposal.do?ID="&amp;ckAwdTable[[#This Row],[prop_id]],"eJ")</f>
        <v>eJ</v>
      </c>
      <c r="Q20" s="8" t="s">
        <v>1127</v>
      </c>
      <c r="R20" t="s">
        <v>1205</v>
      </c>
      <c r="S20" t="s">
        <v>1206</v>
      </c>
      <c r="T20" t="s">
        <v>1207</v>
      </c>
      <c r="U20" s="8" t="s">
        <v>565</v>
      </c>
      <c r="V20" t="s">
        <v>564</v>
      </c>
      <c r="W20" s="15" t="str">
        <f>HYPERLINK("mailto:"&amp; ckAwdTable[[#This Row],[email]]&amp;"&amp;subject=Your NSF Proposal:  "&amp;ckAwdTable[[#This Row],[prop_id]], ckAwdTable[[#This Row],[email]])</f>
        <v>ibrahim-demir@uiowa.edu</v>
      </c>
      <c r="X20" s="30">
        <v>43084</v>
      </c>
      <c r="Y20">
        <v>60</v>
      </c>
      <c r="AA20" s="21" t="s">
        <v>13</v>
      </c>
      <c r="AB20" s="21" t="s">
        <v>454</v>
      </c>
      <c r="AC20"/>
      <c r="AD20" s="21" t="s">
        <v>13</v>
      </c>
      <c r="AF20" s="21" t="s">
        <v>450</v>
      </c>
      <c r="AG20" s="21" t="str">
        <f>IFERROR(IF(FIND("?",ckAwdTable[[#This Row],[abst_narr_txt]]),SummarizeQuestMarks(ckAwdTable[[#This Row],[abst_narr_txt]]),""),"")</f>
        <v/>
      </c>
      <c r="AI20" s="13">
        <v>604262</v>
      </c>
      <c r="AJ20" s="21">
        <v>0</v>
      </c>
      <c r="AK20" s="1">
        <v>604262</v>
      </c>
      <c r="AL20" s="1"/>
      <c r="AM20" s="1"/>
      <c r="AN20" s="1">
        <v>51504</v>
      </c>
      <c r="AP20" s="21">
        <v>5</v>
      </c>
      <c r="AQ20" s="21">
        <v>5</v>
      </c>
      <c r="AR20" s="21">
        <v>5</v>
      </c>
      <c r="AS20" s="21"/>
      <c r="AT20" s="21"/>
      <c r="AU20" s="8" t="s">
        <v>173</v>
      </c>
      <c r="AV20" t="s">
        <v>1203</v>
      </c>
      <c r="AW20" t="b">
        <f>AND(ckAwdTable[[#This Row],[ILN]]&gt;"M", SUBSTITUTE(ckAwdTable[[#This Row],[prop_titl_txt]]," ","")&lt;&gt;SUBSTITUTE(AV19," ",""))</f>
        <v>0</v>
      </c>
      <c r="AX20" s="8" t="s">
        <v>1208</v>
      </c>
    </row>
    <row r="21" spans="2:50">
      <c r="B21" s="30">
        <v>42800.601388888892</v>
      </c>
      <c r="C21" t="s">
        <v>1123</v>
      </c>
      <c r="D21" t="s">
        <v>1124</v>
      </c>
      <c r="E21" t="s">
        <v>1125</v>
      </c>
      <c r="F21" t="s">
        <v>596</v>
      </c>
      <c r="G21" s="8" t="s">
        <v>172</v>
      </c>
      <c r="H21" s="8" t="s">
        <v>170</v>
      </c>
      <c r="I21" s="8" t="s">
        <v>447</v>
      </c>
      <c r="J21" t="s">
        <v>94</v>
      </c>
      <c r="K21" t="s">
        <v>1126</v>
      </c>
      <c r="L21" s="22"/>
      <c r="M21">
        <f xml:space="preserve"> M20+(ckAwdTable[ILN]&lt;"M")</f>
        <v>7</v>
      </c>
      <c r="N21" t="s">
        <v>450</v>
      </c>
      <c r="O21" t="s">
        <v>666</v>
      </c>
      <c r="P21" s="15" t="str">
        <f>HYPERLINK("https://www.ejacket.nsf.gov/ej/showProposal.do?ID="&amp;ckAwdTable[[#This Row],[prop_id]],"eJ")</f>
        <v>eJ</v>
      </c>
      <c r="Q21" s="8" t="s">
        <v>1127</v>
      </c>
      <c r="R21" t="s">
        <v>1209</v>
      </c>
      <c r="S21" t="s">
        <v>1210</v>
      </c>
      <c r="T21" t="s">
        <v>1211</v>
      </c>
      <c r="U21" s="8" t="s">
        <v>1212</v>
      </c>
      <c r="V21" t="s">
        <v>359</v>
      </c>
      <c r="W21" s="15" t="str">
        <f>HYPERLINK("mailto:"&amp; ckAwdTable[[#This Row],[email]]&amp;"&amp;subject=Your NSF Proposal:  "&amp;ckAwdTable[[#This Row],[prop_id]], ckAwdTable[[#This Row],[email]])</f>
        <v>ucali@uncc.edu</v>
      </c>
      <c r="X21" s="30">
        <v>43084</v>
      </c>
      <c r="Y21">
        <v>60</v>
      </c>
      <c r="AA21" s="21" t="s">
        <v>13</v>
      </c>
      <c r="AB21" s="21" t="s">
        <v>454</v>
      </c>
      <c r="AC21"/>
      <c r="AD21" s="21" t="s">
        <v>13</v>
      </c>
      <c r="AF21" s="21" t="s">
        <v>450</v>
      </c>
      <c r="AG21" s="21" t="str">
        <f>IFERROR(IF(FIND("?",ckAwdTable[[#This Row],[abst_narr_txt]]),SummarizeQuestMarks(ckAwdTable[[#This Row],[abst_narr_txt]]),""),"")</f>
        <v/>
      </c>
      <c r="AI21" s="13">
        <v>1298699</v>
      </c>
      <c r="AJ21" s="21">
        <v>0</v>
      </c>
      <c r="AK21" s="1">
        <v>1298699</v>
      </c>
      <c r="AL21" s="1"/>
      <c r="AM21" s="1"/>
      <c r="AN21" s="1">
        <v>77530</v>
      </c>
      <c r="AP21" s="21">
        <v>9</v>
      </c>
      <c r="AQ21" s="21">
        <v>15</v>
      </c>
      <c r="AR21" s="21">
        <v>12.5</v>
      </c>
      <c r="AS21" s="21">
        <v>5.65</v>
      </c>
      <c r="AT21" s="21"/>
      <c r="AU21" s="8" t="s">
        <v>173</v>
      </c>
      <c r="AV21" t="s">
        <v>1203</v>
      </c>
      <c r="AW21" t="b">
        <f>AND(ckAwdTable[[#This Row],[ILN]]&gt;"M", SUBSTITUTE(ckAwdTable[[#This Row],[prop_titl_txt]]," ","")&lt;&gt;SUBSTITUTE(AV20," ",""))</f>
        <v>0</v>
      </c>
      <c r="AX21" s="8" t="s">
        <v>1213</v>
      </c>
    </row>
    <row r="22" spans="2:50">
      <c r="B22" s="30">
        <v>42800.695138888892</v>
      </c>
      <c r="C22" t="s">
        <v>1123</v>
      </c>
      <c r="D22" t="s">
        <v>1124</v>
      </c>
      <c r="E22" t="s">
        <v>1125</v>
      </c>
      <c r="F22" t="s">
        <v>596</v>
      </c>
      <c r="G22" s="8" t="s">
        <v>172</v>
      </c>
      <c r="H22" s="8" t="s">
        <v>170</v>
      </c>
      <c r="I22" s="8" t="s">
        <v>447</v>
      </c>
      <c r="J22" t="s">
        <v>94</v>
      </c>
      <c r="K22" t="s">
        <v>1126</v>
      </c>
      <c r="L22" s="22"/>
      <c r="M22">
        <f xml:space="preserve"> M21+(ckAwdTable[ILN]&lt;"M")</f>
        <v>7</v>
      </c>
      <c r="N22" t="s">
        <v>450</v>
      </c>
      <c r="O22" t="s">
        <v>666</v>
      </c>
      <c r="P22" s="15" t="str">
        <f>HYPERLINK("https://www.ejacket.nsf.gov/ej/showProposal.do?ID="&amp;ckAwdTable[[#This Row],[prop_id]],"eJ")</f>
        <v>eJ</v>
      </c>
      <c r="Q22" s="8" t="s">
        <v>1127</v>
      </c>
      <c r="R22" t="s">
        <v>1214</v>
      </c>
      <c r="S22" t="s">
        <v>1215</v>
      </c>
      <c r="T22" t="s">
        <v>1216</v>
      </c>
      <c r="U22" s="8" t="s">
        <v>361</v>
      </c>
      <c r="V22" t="s">
        <v>362</v>
      </c>
      <c r="W22" s="15" t="str">
        <f>HYPERLINK("mailto:"&amp; ckAwdTable[[#This Row],[email]]&amp;"&amp;subject=Your NSF Proposal:  "&amp;ckAwdTable[[#This Row],[prop_id]], ckAwdTable[[#This Row],[email]])</f>
        <v>walids@vt.edu</v>
      </c>
      <c r="X22" s="30">
        <v>43084</v>
      </c>
      <c r="Y22">
        <v>60</v>
      </c>
      <c r="Z22" t="s">
        <v>451</v>
      </c>
      <c r="AA22" s="21" t="s">
        <v>1568</v>
      </c>
      <c r="AB22" s="21" t="s">
        <v>454</v>
      </c>
      <c r="AC22"/>
      <c r="AD22" s="21" t="s">
        <v>13</v>
      </c>
      <c r="AE22" s="21" t="s">
        <v>260</v>
      </c>
      <c r="AF22" s="21" t="s">
        <v>450</v>
      </c>
      <c r="AG22" s="21" t="str">
        <f>IFERROR(IF(FIND("?",ckAwdTable[[#This Row],[abst_narr_txt]]),SummarizeQuestMarks(ckAwdTable[[#This Row],[abst_narr_txt]]),""),"")</f>
        <v/>
      </c>
      <c r="AI22" s="13">
        <v>1407104</v>
      </c>
      <c r="AJ22" s="21">
        <v>0</v>
      </c>
      <c r="AK22" s="1">
        <v>1407104</v>
      </c>
      <c r="AL22" s="1"/>
      <c r="AM22" s="1">
        <v>23500</v>
      </c>
      <c r="AN22" s="1">
        <v>150086</v>
      </c>
      <c r="AP22" s="21">
        <v>10</v>
      </c>
      <c r="AQ22" s="21">
        <v>9</v>
      </c>
      <c r="AR22" s="21">
        <v>3</v>
      </c>
      <c r="AS22" s="21">
        <v>1.34</v>
      </c>
      <c r="AT22" s="21">
        <v>5.4</v>
      </c>
      <c r="AU22" s="8" t="s">
        <v>173</v>
      </c>
      <c r="AV22" t="s">
        <v>1203</v>
      </c>
      <c r="AW22" t="b">
        <f>AND(ckAwdTable[[#This Row],[ILN]]&gt;"M", SUBSTITUTE(ckAwdTable[[#This Row],[prop_titl_txt]]," ","")&lt;&gt;SUBSTITUTE(AV21," ",""))</f>
        <v>0</v>
      </c>
      <c r="AX22" s="8" t="s">
        <v>1217</v>
      </c>
    </row>
    <row r="23" spans="2:50">
      <c r="B23" s="30">
        <v>42800.697222222225</v>
      </c>
      <c r="C23" t="s">
        <v>1123</v>
      </c>
      <c r="D23" t="s">
        <v>1124</v>
      </c>
      <c r="E23" t="s">
        <v>1125</v>
      </c>
      <c r="F23" t="s">
        <v>596</v>
      </c>
      <c r="G23" s="8" t="s">
        <v>172</v>
      </c>
      <c r="H23" s="8" t="s">
        <v>170</v>
      </c>
      <c r="I23" s="8" t="s">
        <v>447</v>
      </c>
      <c r="J23" t="s">
        <v>94</v>
      </c>
      <c r="K23" t="s">
        <v>1126</v>
      </c>
      <c r="L23" s="22"/>
      <c r="M23">
        <f xml:space="preserve"> M22+(ckAwdTable[ILN]&lt;"M")</f>
        <v>8</v>
      </c>
      <c r="N23" t="s">
        <v>463</v>
      </c>
      <c r="O23" t="s">
        <v>673</v>
      </c>
      <c r="P23" s="15" t="str">
        <f>HYPERLINK("https://www.ejacket.nsf.gov/ej/showProposal.do?ID="&amp;ckAwdTable[[#This Row],[prop_id]],"eJ")</f>
        <v>eJ</v>
      </c>
      <c r="Q23" s="8" t="s">
        <v>1127</v>
      </c>
      <c r="R23" t="s">
        <v>673</v>
      </c>
      <c r="S23" t="s">
        <v>674</v>
      </c>
      <c r="T23" t="s">
        <v>466</v>
      </c>
      <c r="U23" s="8" t="s">
        <v>475</v>
      </c>
      <c r="V23" t="s">
        <v>267</v>
      </c>
      <c r="W23" s="15" t="str">
        <f>HYPERLINK("mailto:"&amp; ckAwdTable[[#This Row],[email]]&amp;"&amp;subject=Your NSF Proposal:  "&amp;ckAwdTable[[#This Row],[prop_id]], ckAwdTable[[#This Row],[email]])</f>
        <v>baras@umd.edu</v>
      </c>
      <c r="X23" s="30">
        <v>42979</v>
      </c>
      <c r="Y23">
        <v>60</v>
      </c>
      <c r="Z23" t="s">
        <v>1569</v>
      </c>
      <c r="AA23" s="21" t="s">
        <v>1570</v>
      </c>
      <c r="AB23" s="21" t="s">
        <v>454</v>
      </c>
      <c r="AC23"/>
      <c r="AD23" s="21" t="s">
        <v>13</v>
      </c>
      <c r="AE23" s="21" t="s">
        <v>260</v>
      </c>
      <c r="AF23" s="21" t="s">
        <v>450</v>
      </c>
      <c r="AG23" s="21" t="str">
        <f>IFERROR(IF(FIND("?",ckAwdTable[[#This Row],[abst_narr_txt]]),SummarizeQuestMarks(ckAwdTable[[#This Row],[abst_narr_txt]]),""),"")</f>
        <v/>
      </c>
      <c r="AI23" s="13">
        <v>5999568</v>
      </c>
      <c r="AJ23" s="21">
        <v>0</v>
      </c>
      <c r="AK23" s="1">
        <v>5999568</v>
      </c>
      <c r="AL23" s="1"/>
      <c r="AM23" s="1">
        <v>75000</v>
      </c>
      <c r="AN23" s="1">
        <v>331538</v>
      </c>
      <c r="AP23" s="21">
        <v>50</v>
      </c>
      <c r="AQ23" s="21">
        <v>30</v>
      </c>
      <c r="AR23" s="21"/>
      <c r="AS23" s="21"/>
      <c r="AT23" s="21">
        <v>30</v>
      </c>
      <c r="AU23" s="8" t="s">
        <v>173</v>
      </c>
      <c r="AV23" t="s">
        <v>1219</v>
      </c>
      <c r="AW23" t="b">
        <f>AND(ckAwdTable[[#This Row],[ILN]]&gt;"M", SUBSTITUTE(ckAwdTable[[#This Row],[prop_titl_txt]]," ","")&lt;&gt;SUBSTITUTE(AV22," ",""))</f>
        <v>0</v>
      </c>
      <c r="AX23" s="8" t="s">
        <v>1220</v>
      </c>
    </row>
    <row r="24" spans="2:50">
      <c r="B24" s="30">
        <v>42800.666666666664</v>
      </c>
      <c r="C24" t="s">
        <v>1123</v>
      </c>
      <c r="D24" t="s">
        <v>1124</v>
      </c>
      <c r="E24" t="s">
        <v>1125</v>
      </c>
      <c r="F24" t="s">
        <v>596</v>
      </c>
      <c r="G24" s="8" t="s">
        <v>172</v>
      </c>
      <c r="H24" s="8" t="s">
        <v>170</v>
      </c>
      <c r="I24" s="8" t="s">
        <v>447</v>
      </c>
      <c r="J24" t="s">
        <v>94</v>
      </c>
      <c r="K24" t="s">
        <v>1126</v>
      </c>
      <c r="L24" s="22"/>
      <c r="M24">
        <f xml:space="preserve"> M23+(ckAwdTable[ILN]&lt;"M")</f>
        <v>8</v>
      </c>
      <c r="N24" t="s">
        <v>450</v>
      </c>
      <c r="O24" t="s">
        <v>673</v>
      </c>
      <c r="P24" s="15" t="str">
        <f>HYPERLINK("https://www.ejacket.nsf.gov/ej/showProposal.do?ID="&amp;ckAwdTable[[#This Row],[prop_id]],"eJ")</f>
        <v>eJ</v>
      </c>
      <c r="Q24" s="8" t="s">
        <v>1127</v>
      </c>
      <c r="R24" t="s">
        <v>1221</v>
      </c>
      <c r="S24" t="s">
        <v>574</v>
      </c>
      <c r="T24" t="s">
        <v>1222</v>
      </c>
      <c r="U24" s="8" t="s">
        <v>1223</v>
      </c>
      <c r="V24" t="s">
        <v>264</v>
      </c>
      <c r="W24" s="15" t="str">
        <f>HYPERLINK("mailto:"&amp; ckAwdTable[[#This Row],[email]]&amp;"&amp;subject=Your NSF Proposal:  "&amp;ckAwdTable[[#This Row],[prop_id]], ckAwdTable[[#This Row],[email]])</f>
        <v>tara@ece.ucsd.edu</v>
      </c>
      <c r="X24" s="30">
        <v>42979</v>
      </c>
      <c r="Y24">
        <v>60</v>
      </c>
      <c r="AA24" s="21" t="s">
        <v>13</v>
      </c>
      <c r="AB24" s="21" t="s">
        <v>454</v>
      </c>
      <c r="AC24"/>
      <c r="AD24" s="21" t="s">
        <v>13</v>
      </c>
      <c r="AF24" s="21" t="s">
        <v>450</v>
      </c>
      <c r="AG24" s="21" t="str">
        <f>IFERROR(IF(FIND("?",ckAwdTable[[#This Row],[abst_narr_txt]]),SummarizeQuestMarks(ckAwdTable[[#This Row],[abst_narr_txt]]),""),"")</f>
        <v/>
      </c>
      <c r="AI24" s="13">
        <v>1000000</v>
      </c>
      <c r="AJ24" s="21">
        <v>0</v>
      </c>
      <c r="AK24" s="1">
        <v>1000000</v>
      </c>
      <c r="AL24" s="1"/>
      <c r="AM24" s="1"/>
      <c r="AN24" s="1">
        <v>219447</v>
      </c>
      <c r="AP24" s="21">
        <v>5</v>
      </c>
      <c r="AQ24" s="21">
        <v>5</v>
      </c>
      <c r="AR24" s="21">
        <v>5</v>
      </c>
      <c r="AS24" s="21"/>
      <c r="AT24" s="21"/>
      <c r="AU24" s="8" t="s">
        <v>173</v>
      </c>
      <c r="AV24" t="s">
        <v>1224</v>
      </c>
      <c r="AW24" t="b">
        <f>AND(ckAwdTable[[#This Row],[ILN]]&gt;"M", SUBSTITUTE(ckAwdTable[[#This Row],[prop_titl_txt]]," ","")&lt;&gt;SUBSTITUTE(AV23," ",""))</f>
        <v>0</v>
      </c>
      <c r="AX24" s="8" t="s">
        <v>1225</v>
      </c>
    </row>
    <row r="25" spans="2:50">
      <c r="B25" s="30">
        <v>42800.70416666667</v>
      </c>
      <c r="C25" t="s">
        <v>1123</v>
      </c>
      <c r="D25" t="s">
        <v>1124</v>
      </c>
      <c r="E25" t="s">
        <v>1125</v>
      </c>
      <c r="F25" t="s">
        <v>596</v>
      </c>
      <c r="G25" s="8" t="s">
        <v>172</v>
      </c>
      <c r="H25" s="8" t="s">
        <v>170</v>
      </c>
      <c r="I25" s="8" t="s">
        <v>447</v>
      </c>
      <c r="J25" t="s">
        <v>94</v>
      </c>
      <c r="K25" t="s">
        <v>1126</v>
      </c>
      <c r="L25" s="22"/>
      <c r="M25">
        <f xml:space="preserve"> M24+(ckAwdTable[ILN]&lt;"M")</f>
        <v>9</v>
      </c>
      <c r="N25" t="s">
        <v>463</v>
      </c>
      <c r="O25" t="s">
        <v>681</v>
      </c>
      <c r="P25" s="15" t="str">
        <f>HYPERLINK("https://www.ejacket.nsf.gov/ej/showProposal.do?ID="&amp;ckAwdTable[[#This Row],[prop_id]],"eJ")</f>
        <v>eJ</v>
      </c>
      <c r="Q25" s="8" t="s">
        <v>1127</v>
      </c>
      <c r="R25" t="s">
        <v>681</v>
      </c>
      <c r="S25" t="s">
        <v>682</v>
      </c>
      <c r="T25" t="s">
        <v>1226</v>
      </c>
      <c r="U25" s="8" t="s">
        <v>1227</v>
      </c>
      <c r="V25" t="s">
        <v>263</v>
      </c>
      <c r="W25" s="15" t="str">
        <f>HYPERLINK("mailto:"&amp; ckAwdTable[[#This Row],[email]]&amp;"&amp;subject=Your NSF Proposal:  "&amp;ckAwdTable[[#This Row],[prop_id]], ckAwdTable[[#This Row],[email]])</f>
        <v>sroy@eecs.wsu.edu</v>
      </c>
      <c r="X25" s="30">
        <v>43101</v>
      </c>
      <c r="Y25">
        <v>60</v>
      </c>
      <c r="AA25" s="21" t="s">
        <v>13</v>
      </c>
      <c r="AB25" s="21" t="s">
        <v>454</v>
      </c>
      <c r="AC25"/>
      <c r="AD25" s="21" t="s">
        <v>13</v>
      </c>
      <c r="AF25" s="21" t="s">
        <v>450</v>
      </c>
      <c r="AG25" s="21" t="str">
        <f>IFERROR(IF(FIND("?",ckAwdTable[[#This Row],[abst_narr_txt]]),SummarizeQuestMarks(ckAwdTable[[#This Row],[abst_narr_txt]]),""),"")</f>
        <v/>
      </c>
      <c r="AI25" s="13">
        <v>2414634</v>
      </c>
      <c r="AJ25" s="21">
        <v>0</v>
      </c>
      <c r="AK25" s="1">
        <v>2414634</v>
      </c>
      <c r="AL25" s="1"/>
      <c r="AM25" s="1"/>
      <c r="AP25" s="21">
        <v>22</v>
      </c>
      <c r="AQ25" s="21">
        <v>25</v>
      </c>
      <c r="AR25" s="21">
        <v>27</v>
      </c>
      <c r="AS25" s="21"/>
      <c r="AT25" s="21"/>
      <c r="AU25" s="8" t="s">
        <v>173</v>
      </c>
      <c r="AV25" t="s">
        <v>1229</v>
      </c>
      <c r="AW25" t="b">
        <f>AND(ckAwdTable[[#This Row],[ILN]]&gt;"M", SUBSTITUTE(ckAwdTable[[#This Row],[prop_titl_txt]]," ","")&lt;&gt;SUBSTITUTE(AV24," ",""))</f>
        <v>0</v>
      </c>
      <c r="AX25" s="8" t="s">
        <v>1230</v>
      </c>
    </row>
    <row r="26" spans="2:50">
      <c r="B26" s="30">
        <v>42797.677777777775</v>
      </c>
      <c r="C26" t="s">
        <v>1123</v>
      </c>
      <c r="D26" t="s">
        <v>1124</v>
      </c>
      <c r="E26" t="s">
        <v>1125</v>
      </c>
      <c r="F26" t="s">
        <v>596</v>
      </c>
      <c r="G26" s="8" t="s">
        <v>172</v>
      </c>
      <c r="H26" s="8" t="s">
        <v>170</v>
      </c>
      <c r="I26" s="8" t="s">
        <v>447</v>
      </c>
      <c r="J26" t="s">
        <v>94</v>
      </c>
      <c r="K26" t="s">
        <v>1126</v>
      </c>
      <c r="L26" s="22"/>
      <c r="M26">
        <f xml:space="preserve"> M25+(ckAwdTable[ILN]&lt;"M")</f>
        <v>9</v>
      </c>
      <c r="N26" t="s">
        <v>450</v>
      </c>
      <c r="O26" t="s">
        <v>681</v>
      </c>
      <c r="P26" s="15" t="str">
        <f>HYPERLINK("https://www.ejacket.nsf.gov/ej/showProposal.do?ID="&amp;ckAwdTable[[#This Row],[prop_id]],"eJ")</f>
        <v>eJ</v>
      </c>
      <c r="Q26" s="8" t="s">
        <v>1127</v>
      </c>
      <c r="R26" t="s">
        <v>1231</v>
      </c>
      <c r="S26" t="s">
        <v>1232</v>
      </c>
      <c r="T26" t="s">
        <v>1233</v>
      </c>
      <c r="U26" s="8" t="s">
        <v>1165</v>
      </c>
      <c r="V26" t="s">
        <v>261</v>
      </c>
      <c r="W26" s="15" t="str">
        <f>HYPERLINK("mailto:"&amp; ckAwdTable[[#This Row],[email]]&amp;"&amp;subject=Your NSF Proposal:  "&amp;ckAwdTable[[#This Row],[prop_id]], ckAwdTable[[#This Row],[email]])</f>
        <v>preciado@seas.upenn.edu</v>
      </c>
      <c r="X26" s="30">
        <v>43101</v>
      </c>
      <c r="Y26">
        <v>60</v>
      </c>
      <c r="AA26" s="21" t="s">
        <v>13</v>
      </c>
      <c r="AB26" s="21" t="s">
        <v>454</v>
      </c>
      <c r="AC26"/>
      <c r="AD26" s="21" t="s">
        <v>13</v>
      </c>
      <c r="AE26" s="21" t="s">
        <v>260</v>
      </c>
      <c r="AF26" s="21" t="s">
        <v>450</v>
      </c>
      <c r="AG26" s="21" t="str">
        <f>IFERROR(IF(FIND("?",ckAwdTable[[#This Row],[abst_narr_txt]]),SummarizeQuestMarks(ckAwdTable[[#This Row],[abst_narr_txt]]),""),"")</f>
        <v/>
      </c>
      <c r="AI26" s="13">
        <v>1500000</v>
      </c>
      <c r="AJ26" s="21">
        <v>0</v>
      </c>
      <c r="AK26" s="1">
        <v>1500000</v>
      </c>
      <c r="AL26" s="1"/>
      <c r="AM26" s="1">
        <v>10000</v>
      </c>
      <c r="AP26" s="21">
        <v>15</v>
      </c>
      <c r="AQ26" s="21">
        <v>15</v>
      </c>
      <c r="AR26" s="21">
        <v>15</v>
      </c>
      <c r="AS26" s="21"/>
      <c r="AT26" s="21"/>
      <c r="AU26" s="8" t="s">
        <v>173</v>
      </c>
      <c r="AV26" t="s">
        <v>1229</v>
      </c>
      <c r="AW26" t="b">
        <f>AND(ckAwdTable[[#This Row],[ILN]]&gt;"M", SUBSTITUTE(ckAwdTable[[#This Row],[prop_titl_txt]]," ","")&lt;&gt;SUBSTITUTE(AV25," ",""))</f>
        <v>0</v>
      </c>
      <c r="AX26" s="8" t="s">
        <v>1234</v>
      </c>
    </row>
    <row r="27" spans="2:50">
      <c r="B27" s="30">
        <v>42800.574305555558</v>
      </c>
      <c r="C27" t="s">
        <v>1123</v>
      </c>
      <c r="D27" t="s">
        <v>1124</v>
      </c>
      <c r="E27" t="s">
        <v>1125</v>
      </c>
      <c r="F27" t="s">
        <v>596</v>
      </c>
      <c r="G27" s="8" t="s">
        <v>172</v>
      </c>
      <c r="H27" s="8" t="s">
        <v>170</v>
      </c>
      <c r="I27" s="8" t="s">
        <v>447</v>
      </c>
      <c r="J27" t="s">
        <v>94</v>
      </c>
      <c r="K27" t="s">
        <v>1126</v>
      </c>
      <c r="L27" s="22"/>
      <c r="M27">
        <f xml:space="preserve"> M26+(ckAwdTable[ILN]&lt;"M")</f>
        <v>9</v>
      </c>
      <c r="N27" t="s">
        <v>450</v>
      </c>
      <c r="O27" t="s">
        <v>681</v>
      </c>
      <c r="P27" s="15" t="str">
        <f>HYPERLINK("https://www.ejacket.nsf.gov/ej/showProposal.do?ID="&amp;ckAwdTable[[#This Row],[prop_id]],"eJ")</f>
        <v>eJ</v>
      </c>
      <c r="Q27" s="8" t="s">
        <v>1127</v>
      </c>
      <c r="R27" t="s">
        <v>1235</v>
      </c>
      <c r="S27" t="s">
        <v>1236</v>
      </c>
      <c r="T27" t="s">
        <v>1237</v>
      </c>
      <c r="U27" s="8" t="s">
        <v>253</v>
      </c>
      <c r="V27" t="s">
        <v>262</v>
      </c>
      <c r="W27" s="15" t="str">
        <f>HYPERLINK("mailto:"&amp; ckAwdTable[[#This Row],[email]]&amp;"&amp;subject=Your NSF Proposal:  "&amp;ckAwdTable[[#This Row],[prop_id]], ckAwdTable[[#This Row],[email]])</f>
        <v>lesieutre@wisc.edu</v>
      </c>
      <c r="X27" s="30">
        <v>43101</v>
      </c>
      <c r="Y27">
        <v>60</v>
      </c>
      <c r="AA27" s="21" t="s">
        <v>13</v>
      </c>
      <c r="AB27" s="21" t="s">
        <v>454</v>
      </c>
      <c r="AC27"/>
      <c r="AD27" s="21" t="s">
        <v>13</v>
      </c>
      <c r="AF27" s="21" t="s">
        <v>450</v>
      </c>
      <c r="AG27" s="21" t="str">
        <f>IFERROR(IF(FIND("?",ckAwdTable[[#This Row],[abst_narr_txt]]),SummarizeQuestMarks(ckAwdTable[[#This Row],[abst_narr_txt]]),""),"")</f>
        <v/>
      </c>
      <c r="AI27" s="13">
        <v>1267898</v>
      </c>
      <c r="AJ27" s="21">
        <v>0</v>
      </c>
      <c r="AK27" s="1">
        <v>1267898</v>
      </c>
      <c r="AL27" s="1"/>
      <c r="AM27" s="1"/>
      <c r="AN27" s="1">
        <v>105367</v>
      </c>
      <c r="AP27" s="21">
        <v>10</v>
      </c>
      <c r="AQ27" s="21">
        <v>10</v>
      </c>
      <c r="AR27" s="21">
        <v>10</v>
      </c>
      <c r="AS27" s="21"/>
      <c r="AT27" s="21"/>
      <c r="AU27" s="8" t="s">
        <v>173</v>
      </c>
      <c r="AV27" t="s">
        <v>1229</v>
      </c>
      <c r="AW27" t="b">
        <f>AND(ckAwdTable[[#This Row],[ILN]]&gt;"M", SUBSTITUTE(ckAwdTable[[#This Row],[prop_titl_txt]]," ","")&lt;&gt;SUBSTITUTE(AV26," ",""))</f>
        <v>0</v>
      </c>
      <c r="AX27" s="8" t="s">
        <v>1238</v>
      </c>
    </row>
    <row r="28" spans="2:50">
      <c r="B28" s="30">
        <v>42800.745833333334</v>
      </c>
      <c r="C28" t="s">
        <v>1123</v>
      </c>
      <c r="D28" t="s">
        <v>1124</v>
      </c>
      <c r="E28" t="s">
        <v>1125</v>
      </c>
      <c r="F28" t="s">
        <v>596</v>
      </c>
      <c r="G28" s="8" t="s">
        <v>172</v>
      </c>
      <c r="H28" s="8" t="s">
        <v>170</v>
      </c>
      <c r="I28" s="8" t="s">
        <v>447</v>
      </c>
      <c r="J28" t="s">
        <v>94</v>
      </c>
      <c r="K28" t="s">
        <v>1126</v>
      </c>
      <c r="L28" s="22"/>
      <c r="M28">
        <f xml:space="preserve"> M27+(ckAwdTable[ILN]&lt;"M")</f>
        <v>9</v>
      </c>
      <c r="N28" t="s">
        <v>450</v>
      </c>
      <c r="O28" t="s">
        <v>681</v>
      </c>
      <c r="P28" s="15" t="str">
        <f>HYPERLINK("https://www.ejacket.nsf.gov/ej/showProposal.do?ID="&amp;ckAwdTable[[#This Row],[prop_id]],"eJ")</f>
        <v>eJ</v>
      </c>
      <c r="Q28" s="8" t="s">
        <v>1127</v>
      </c>
      <c r="R28" t="s">
        <v>1239</v>
      </c>
      <c r="S28" t="s">
        <v>1240</v>
      </c>
      <c r="T28" t="s">
        <v>1241</v>
      </c>
      <c r="U28" s="8" t="s">
        <v>353</v>
      </c>
      <c r="V28" t="s">
        <v>264</v>
      </c>
      <c r="W28" s="15" t="str">
        <f>HYPERLINK("mailto:"&amp; ckAwdTable[[#This Row],[email]]&amp;"&amp;subject=Your NSF Proposal:  "&amp;ckAwdTable[[#This Row],[prop_id]], ckAwdTable[[#This Row],[email]])</f>
        <v>fabio.pasqualetti@ucr.edu</v>
      </c>
      <c r="X28" s="30">
        <v>43101</v>
      </c>
      <c r="Y28">
        <v>60</v>
      </c>
      <c r="AA28" s="21" t="s">
        <v>13</v>
      </c>
      <c r="AB28" s="21" t="s">
        <v>454</v>
      </c>
      <c r="AC28"/>
      <c r="AD28" s="21" t="s">
        <v>13</v>
      </c>
      <c r="AF28" s="21" t="s">
        <v>450</v>
      </c>
      <c r="AG28" s="21" t="str">
        <f>IFERROR(IF(FIND("?",ckAwdTable[[#This Row],[abst_narr_txt]]),SummarizeQuestMarks(ckAwdTable[[#This Row],[abst_narr_txt]]),""),"")</f>
        <v/>
      </c>
      <c r="AI28" s="13">
        <v>916599</v>
      </c>
      <c r="AJ28" s="21">
        <v>0</v>
      </c>
      <c r="AK28" s="1">
        <v>916599</v>
      </c>
      <c r="AL28" s="1"/>
      <c r="AM28" s="1"/>
      <c r="AP28" s="21">
        <v>10</v>
      </c>
      <c r="AQ28" s="21">
        <v>10</v>
      </c>
      <c r="AR28" s="21">
        <v>10</v>
      </c>
      <c r="AS28" s="21"/>
      <c r="AT28" s="21"/>
      <c r="AU28" s="8" t="s">
        <v>173</v>
      </c>
      <c r="AV28" t="s">
        <v>1229</v>
      </c>
      <c r="AW28" t="b">
        <f>AND(ckAwdTable[[#This Row],[ILN]]&gt;"M", SUBSTITUTE(ckAwdTable[[#This Row],[prop_titl_txt]]," ","")&lt;&gt;SUBSTITUTE(AV27," ",""))</f>
        <v>0</v>
      </c>
      <c r="AX28" s="8" t="s">
        <v>1242</v>
      </c>
    </row>
    <row r="29" spans="2:50">
      <c r="B29" s="30">
        <v>42800.704861111109</v>
      </c>
      <c r="C29" t="s">
        <v>1123</v>
      </c>
      <c r="D29" t="s">
        <v>1124</v>
      </c>
      <c r="E29" t="s">
        <v>1125</v>
      </c>
      <c r="F29" t="s">
        <v>596</v>
      </c>
      <c r="G29" s="8" t="s">
        <v>172</v>
      </c>
      <c r="H29" s="8" t="s">
        <v>170</v>
      </c>
      <c r="I29" s="8" t="s">
        <v>447</v>
      </c>
      <c r="J29" t="s">
        <v>94</v>
      </c>
      <c r="K29" t="s">
        <v>1126</v>
      </c>
      <c r="L29" s="22"/>
      <c r="M29">
        <f xml:space="preserve"> M28+(ckAwdTable[ILN]&lt;"M")</f>
        <v>10</v>
      </c>
      <c r="N29" t="s">
        <v>463</v>
      </c>
      <c r="O29" t="s">
        <v>689</v>
      </c>
      <c r="P29" s="15" t="str">
        <f>HYPERLINK("https://www.ejacket.nsf.gov/ej/showProposal.do?ID="&amp;ckAwdTable[[#This Row],[prop_id]],"eJ")</f>
        <v>eJ</v>
      </c>
      <c r="Q29" s="8" t="s">
        <v>1127</v>
      </c>
      <c r="R29" t="s">
        <v>689</v>
      </c>
      <c r="S29" t="s">
        <v>690</v>
      </c>
      <c r="T29" t="s">
        <v>1243</v>
      </c>
      <c r="U29" s="8" t="s">
        <v>361</v>
      </c>
      <c r="V29" t="s">
        <v>362</v>
      </c>
      <c r="W29" s="15" t="str">
        <f>HYPERLINK("mailto:"&amp; ckAwdTable[[#This Row],[email]]&amp;"&amp;subject=Your NSF Proposal:  "&amp;ckAwdTable[[#This Row],[prop_id]], ckAwdTable[[#This Row],[email]])</f>
        <v>rgerdes@vt.edu</v>
      </c>
      <c r="X29" s="30">
        <v>42917</v>
      </c>
      <c r="Y29">
        <v>60</v>
      </c>
      <c r="AA29" s="21" t="s">
        <v>13</v>
      </c>
      <c r="AB29" s="21" t="s">
        <v>454</v>
      </c>
      <c r="AC29"/>
      <c r="AD29" s="21" t="s">
        <v>13</v>
      </c>
      <c r="AE29" s="21" t="s">
        <v>260</v>
      </c>
      <c r="AF29" s="21" t="s">
        <v>450</v>
      </c>
      <c r="AG29" s="21" t="str">
        <f>IFERROR(IF(FIND("?",ckAwdTable[[#This Row],[abst_narr_txt]]),SummarizeQuestMarks(ckAwdTable[[#This Row],[abst_narr_txt]]),""),"")</f>
        <v/>
      </c>
      <c r="AI29" s="13">
        <v>2296997</v>
      </c>
      <c r="AJ29" s="21">
        <v>0</v>
      </c>
      <c r="AK29" s="1">
        <v>2296997</v>
      </c>
      <c r="AL29" s="1"/>
      <c r="AM29" s="1">
        <v>55190</v>
      </c>
      <c r="AO29" s="1">
        <v>25000</v>
      </c>
      <c r="AP29" s="21">
        <v>20</v>
      </c>
      <c r="AQ29" s="21">
        <v>27</v>
      </c>
      <c r="AR29" s="21">
        <v>6.75</v>
      </c>
      <c r="AS29" s="21">
        <v>3.93</v>
      </c>
      <c r="AT29" s="21"/>
      <c r="AU29" s="8" t="s">
        <v>173</v>
      </c>
      <c r="AV29" t="s">
        <v>1245</v>
      </c>
      <c r="AW29" t="b">
        <f>AND(ckAwdTable[[#This Row],[ILN]]&gt;"M", SUBSTITUTE(ckAwdTable[[#This Row],[prop_titl_txt]]," ","")&lt;&gt;SUBSTITUTE(AV28," ",""))</f>
        <v>0</v>
      </c>
      <c r="AX29" s="8" t="s">
        <v>1246</v>
      </c>
    </row>
    <row r="30" spans="2:50">
      <c r="B30" s="30">
        <v>42796.675694444442</v>
      </c>
      <c r="C30" t="s">
        <v>1123</v>
      </c>
      <c r="D30" t="s">
        <v>1124</v>
      </c>
      <c r="E30" t="s">
        <v>1125</v>
      </c>
      <c r="F30" t="s">
        <v>596</v>
      </c>
      <c r="G30" s="8" t="s">
        <v>172</v>
      </c>
      <c r="H30" s="8" t="s">
        <v>170</v>
      </c>
      <c r="I30" s="8" t="s">
        <v>447</v>
      </c>
      <c r="J30" t="s">
        <v>94</v>
      </c>
      <c r="K30" t="s">
        <v>1126</v>
      </c>
      <c r="L30" s="22"/>
      <c r="M30">
        <f xml:space="preserve"> M29+(ckAwdTable[ILN]&lt;"M")</f>
        <v>10</v>
      </c>
      <c r="N30" t="s">
        <v>450</v>
      </c>
      <c r="O30" t="s">
        <v>689</v>
      </c>
      <c r="P30" s="15" t="str">
        <f>HYPERLINK("https://www.ejacket.nsf.gov/ej/showProposal.do?ID="&amp;ckAwdTable[[#This Row],[prop_id]],"eJ")</f>
        <v>eJ</v>
      </c>
      <c r="Q30" s="8" t="s">
        <v>1127</v>
      </c>
      <c r="R30" t="s">
        <v>1247</v>
      </c>
      <c r="S30" t="s">
        <v>1248</v>
      </c>
      <c r="T30" t="s">
        <v>1249</v>
      </c>
      <c r="U30" s="8" t="s">
        <v>250</v>
      </c>
      <c r="V30" t="s">
        <v>263</v>
      </c>
      <c r="W30" s="15" t="str">
        <f>HYPERLINK("mailto:"&amp; ckAwdTable[[#This Row],[email]]&amp;"&amp;subject=Your NSF Proposal:  "&amp;ckAwdTable[[#This Row],[prop_id]], ckAwdTable[[#This Row],[email]])</f>
        <v>yoshi@cs.washington.edu</v>
      </c>
      <c r="X30" s="30">
        <v>42917</v>
      </c>
      <c r="Y30">
        <v>60</v>
      </c>
      <c r="AA30" s="21" t="s">
        <v>13</v>
      </c>
      <c r="AB30" s="21" t="s">
        <v>454</v>
      </c>
      <c r="AC30"/>
      <c r="AD30" s="21" t="s">
        <v>13</v>
      </c>
      <c r="AF30" s="21" t="s">
        <v>450</v>
      </c>
      <c r="AG30" s="21" t="str">
        <f>IFERROR(IF(FIND("?",ckAwdTable[[#This Row],[abst_narr_txt]]),SummarizeQuestMarks(ckAwdTable[[#This Row],[abst_narr_txt]]),""),"")</f>
        <v/>
      </c>
      <c r="AI30" s="13">
        <v>1000000</v>
      </c>
      <c r="AJ30" s="21">
        <v>0</v>
      </c>
      <c r="AK30" s="1">
        <v>1000000</v>
      </c>
      <c r="AL30" s="1"/>
      <c r="AM30" s="1"/>
      <c r="AP30" s="21">
        <v>5</v>
      </c>
      <c r="AQ30" s="21">
        <v>10</v>
      </c>
      <c r="AR30" s="21">
        <v>2.5</v>
      </c>
      <c r="AS30" s="21"/>
      <c r="AT30" s="21">
        <v>15</v>
      </c>
      <c r="AU30" s="8" t="s">
        <v>173</v>
      </c>
      <c r="AV30" t="s">
        <v>1245</v>
      </c>
      <c r="AW30" t="b">
        <f>AND(ckAwdTable[[#This Row],[ILN]]&gt;"M", SUBSTITUTE(ckAwdTable[[#This Row],[prop_titl_txt]]," ","")&lt;&gt;SUBSTITUTE(AV29," ",""))</f>
        <v>0</v>
      </c>
      <c r="AX30" s="8" t="s">
        <v>1250</v>
      </c>
    </row>
    <row r="31" spans="2:50">
      <c r="B31" s="30">
        <v>42797.749305555553</v>
      </c>
      <c r="C31" t="s">
        <v>1123</v>
      </c>
      <c r="D31" t="s">
        <v>1124</v>
      </c>
      <c r="E31" t="s">
        <v>1125</v>
      </c>
      <c r="F31" t="s">
        <v>596</v>
      </c>
      <c r="G31" s="8" t="s">
        <v>172</v>
      </c>
      <c r="H31" s="8" t="s">
        <v>170</v>
      </c>
      <c r="I31" s="8" t="s">
        <v>447</v>
      </c>
      <c r="J31" t="s">
        <v>94</v>
      </c>
      <c r="K31" t="s">
        <v>1126</v>
      </c>
      <c r="L31" s="22"/>
      <c r="M31">
        <f xml:space="preserve"> M30+(ckAwdTable[ILN]&lt;"M")</f>
        <v>10</v>
      </c>
      <c r="N31" t="s">
        <v>450</v>
      </c>
      <c r="O31" t="s">
        <v>689</v>
      </c>
      <c r="P31" s="15" t="str">
        <f>HYPERLINK("https://www.ejacket.nsf.gov/ej/showProposal.do?ID="&amp;ckAwdTable[[#This Row],[prop_id]],"eJ")</f>
        <v>eJ</v>
      </c>
      <c r="Q31" s="8" t="s">
        <v>1127</v>
      </c>
      <c r="R31" t="s">
        <v>1251</v>
      </c>
      <c r="S31" t="s">
        <v>347</v>
      </c>
      <c r="T31" t="s">
        <v>916</v>
      </c>
      <c r="U31" s="8" t="s">
        <v>462</v>
      </c>
      <c r="V31" t="s">
        <v>264</v>
      </c>
      <c r="W31" s="15" t="str">
        <f>HYPERLINK("mailto:"&amp; ckAwdTable[[#This Row],[email]]&amp;"&amp;subject=Your NSF Proposal:  "&amp;ckAwdTable[[#This Row],[prop_id]], ckAwdTable[[#This Row],[email]])</f>
        <v>wang626@usc.edu</v>
      </c>
      <c r="X31" s="30">
        <v>42917</v>
      </c>
      <c r="Y31">
        <v>60</v>
      </c>
      <c r="AA31" s="21" t="s">
        <v>13</v>
      </c>
      <c r="AB31" s="21" t="s">
        <v>454</v>
      </c>
      <c r="AC31"/>
      <c r="AD31" s="21" t="s">
        <v>13</v>
      </c>
      <c r="AF31" s="21" t="s">
        <v>450</v>
      </c>
      <c r="AG31" s="21" t="str">
        <f>IFERROR(IF(FIND("?",ckAwdTable[[#This Row],[abst_narr_txt]]),SummarizeQuestMarks(ckAwdTable[[#This Row],[abst_narr_txt]]),""),"")</f>
        <v/>
      </c>
      <c r="AI31" s="13">
        <v>200189</v>
      </c>
      <c r="AJ31" s="21">
        <v>0</v>
      </c>
      <c r="AK31" s="1">
        <v>200189</v>
      </c>
      <c r="AL31" s="1"/>
      <c r="AM31" s="1"/>
      <c r="AP31" s="21">
        <v>2</v>
      </c>
      <c r="AQ31" s="21">
        <v>5</v>
      </c>
      <c r="AR31" s="21">
        <v>1.51</v>
      </c>
      <c r="AS31" s="21"/>
      <c r="AT31" s="21"/>
      <c r="AU31" s="8" t="s">
        <v>173</v>
      </c>
      <c r="AV31" t="s">
        <v>1252</v>
      </c>
      <c r="AW31" t="b">
        <f>AND(ckAwdTable[[#This Row],[ILN]]&gt;"M", SUBSTITUTE(ckAwdTable[[#This Row],[prop_titl_txt]]," ","")&lt;&gt;SUBSTITUTE(AV30," ",""))</f>
        <v>0</v>
      </c>
      <c r="AX31" s="8" t="s">
        <v>1253</v>
      </c>
    </row>
    <row r="32" spans="2:50">
      <c r="B32" s="30">
        <v>42800.672222222223</v>
      </c>
      <c r="C32" t="s">
        <v>1123</v>
      </c>
      <c r="D32" t="s">
        <v>1124</v>
      </c>
      <c r="E32" t="s">
        <v>1125</v>
      </c>
      <c r="F32" t="s">
        <v>596</v>
      </c>
      <c r="G32" s="8" t="s">
        <v>172</v>
      </c>
      <c r="H32" s="8" t="s">
        <v>170</v>
      </c>
      <c r="I32" s="8" t="s">
        <v>447</v>
      </c>
      <c r="J32" t="s">
        <v>94</v>
      </c>
      <c r="K32" t="s">
        <v>1126</v>
      </c>
      <c r="L32" s="22"/>
      <c r="M32">
        <f xml:space="preserve"> M31+(ckAwdTable[ILN]&lt;"M")</f>
        <v>10</v>
      </c>
      <c r="N32" t="s">
        <v>450</v>
      </c>
      <c r="O32" t="s">
        <v>689</v>
      </c>
      <c r="P32" s="15" t="str">
        <f>HYPERLINK("https://www.ejacket.nsf.gov/ej/showProposal.do?ID="&amp;ckAwdTable[[#This Row],[prop_id]],"eJ")</f>
        <v>eJ</v>
      </c>
      <c r="Q32" s="8" t="s">
        <v>1127</v>
      </c>
      <c r="R32" t="s">
        <v>1254</v>
      </c>
      <c r="S32" t="s">
        <v>1255</v>
      </c>
      <c r="T32" t="s">
        <v>1256</v>
      </c>
      <c r="U32" s="8" t="s">
        <v>1257</v>
      </c>
      <c r="V32" t="s">
        <v>1181</v>
      </c>
      <c r="W32" s="15" t="str">
        <f>HYPERLINK("mailto:"&amp; ckAwdTable[[#This Row],[email]]&amp;"&amp;subject=Your NSF Proposal:  "&amp;ckAwdTable[[#This Row],[prop_id]], ckAwdTable[[#This Row],[email]])</f>
        <v>wbeckman@mtsu.edu</v>
      </c>
      <c r="X32" s="30">
        <v>42917</v>
      </c>
      <c r="Y32">
        <v>60</v>
      </c>
      <c r="Z32" t="s">
        <v>1571</v>
      </c>
      <c r="AA32" s="21" t="s">
        <v>1572</v>
      </c>
      <c r="AB32" s="21" t="s">
        <v>454</v>
      </c>
      <c r="AC32"/>
      <c r="AD32" s="21" t="s">
        <v>13</v>
      </c>
      <c r="AF32" s="21" t="s">
        <v>450</v>
      </c>
      <c r="AG32" s="21" t="str">
        <f>IFERROR(IF(FIND("?",ckAwdTable[[#This Row],[abst_narr_txt]]),SummarizeQuestMarks(ckAwdTable[[#This Row],[abst_narr_txt]]),""),"")</f>
        <v/>
      </c>
      <c r="AI32" s="13">
        <v>1477644</v>
      </c>
      <c r="AJ32" s="21">
        <v>0</v>
      </c>
      <c r="AK32" s="1">
        <v>1477644</v>
      </c>
      <c r="AL32" s="1">
        <v>238557</v>
      </c>
      <c r="AM32" s="1"/>
      <c r="AP32" s="21">
        <v>30</v>
      </c>
      <c r="AQ32" s="21">
        <v>20</v>
      </c>
      <c r="AR32" s="21">
        <v>14.7</v>
      </c>
      <c r="AS32" s="21">
        <v>13.5</v>
      </c>
      <c r="AT32" s="21"/>
      <c r="AU32" s="8" t="s">
        <v>173</v>
      </c>
      <c r="AV32" t="s">
        <v>1245</v>
      </c>
      <c r="AW32" t="b">
        <f>AND(ckAwdTable[[#This Row],[ILN]]&gt;"M", SUBSTITUTE(ckAwdTable[[#This Row],[prop_titl_txt]]," ","")&lt;&gt;SUBSTITUTE(AV31," ",""))</f>
        <v>0</v>
      </c>
      <c r="AX32" s="8" t="s">
        <v>1258</v>
      </c>
    </row>
    <row r="33" spans="2:50">
      <c r="B33" s="30">
        <v>42800.832638888889</v>
      </c>
      <c r="C33" t="s">
        <v>1123</v>
      </c>
      <c r="D33" t="s">
        <v>1124</v>
      </c>
      <c r="E33" t="s">
        <v>1125</v>
      </c>
      <c r="F33" t="s">
        <v>596</v>
      </c>
      <c r="G33" s="8" t="s">
        <v>172</v>
      </c>
      <c r="H33" s="8" t="s">
        <v>170</v>
      </c>
      <c r="I33" s="8" t="s">
        <v>447</v>
      </c>
      <c r="J33" t="s">
        <v>94</v>
      </c>
      <c r="K33" t="s">
        <v>1126</v>
      </c>
      <c r="L33" s="22"/>
      <c r="M33">
        <f xml:space="preserve"> M32+(ckAwdTable[ILN]&lt;"M")</f>
        <v>11</v>
      </c>
      <c r="N33" t="s">
        <v>463</v>
      </c>
      <c r="O33" t="s">
        <v>696</v>
      </c>
      <c r="P33" s="15" t="str">
        <f>HYPERLINK("https://www.ejacket.nsf.gov/ej/showProposal.do?ID="&amp;ckAwdTable[[#This Row],[prop_id]],"eJ")</f>
        <v>eJ</v>
      </c>
      <c r="Q33" s="8" t="s">
        <v>1127</v>
      </c>
      <c r="R33" t="s">
        <v>696</v>
      </c>
      <c r="S33" t="s">
        <v>697</v>
      </c>
      <c r="T33" t="s">
        <v>465</v>
      </c>
      <c r="U33" s="8" t="s">
        <v>570</v>
      </c>
      <c r="V33" t="s">
        <v>264</v>
      </c>
      <c r="W33" s="15" t="str">
        <f>HYPERLINK("mailto:"&amp; ckAwdTable[[#This Row],[email]]&amp;"&amp;subject=Your NSF Proposal:  "&amp;ckAwdTable[[#This Row],[prop_id]], ckAwdTable[[#This Row],[email]])</f>
        <v>nalini@ics.uci.edu</v>
      </c>
      <c r="X33" s="30">
        <v>43009</v>
      </c>
      <c r="Y33">
        <v>48</v>
      </c>
      <c r="AA33" s="21" t="s">
        <v>13</v>
      </c>
      <c r="AB33" s="21" t="s">
        <v>454</v>
      </c>
      <c r="AC33"/>
      <c r="AD33" s="21" t="s">
        <v>13</v>
      </c>
      <c r="AE33" s="21" t="s">
        <v>260</v>
      </c>
      <c r="AF33" s="21" t="s">
        <v>450</v>
      </c>
      <c r="AG33" s="21" t="str">
        <f>IFERROR(IF(FIND("?",ckAwdTable[[#This Row],[abst_narr_txt]]),SummarizeQuestMarks(ckAwdTable[[#This Row],[abst_narr_txt]]),""),"")</f>
        <v/>
      </c>
      <c r="AI33" s="13">
        <v>5296730</v>
      </c>
      <c r="AJ33" s="21">
        <v>0</v>
      </c>
      <c r="AK33" s="1">
        <v>5296730</v>
      </c>
      <c r="AL33" s="1">
        <v>499936</v>
      </c>
      <c r="AM33" s="1">
        <v>10459</v>
      </c>
      <c r="AN33" s="1">
        <v>300501</v>
      </c>
      <c r="AP33" s="21">
        <v>20</v>
      </c>
      <c r="AQ33" s="21">
        <v>32</v>
      </c>
      <c r="AR33" s="21">
        <v>26</v>
      </c>
      <c r="AS33" s="21"/>
      <c r="AT33" s="21">
        <v>2</v>
      </c>
      <c r="AU33" s="8" t="s">
        <v>173</v>
      </c>
      <c r="AV33" t="s">
        <v>1259</v>
      </c>
      <c r="AW33" t="b">
        <f>AND(ckAwdTable[[#This Row],[ILN]]&gt;"M", SUBSTITUTE(ckAwdTable[[#This Row],[prop_titl_txt]]," ","")&lt;&gt;SUBSTITUTE(AV32," ",""))</f>
        <v>0</v>
      </c>
      <c r="AX33" s="8" t="s">
        <v>1260</v>
      </c>
    </row>
    <row r="34" spans="2:50">
      <c r="B34" s="30">
        <v>42800.522222222222</v>
      </c>
      <c r="C34" t="s">
        <v>1123</v>
      </c>
      <c r="D34" t="s">
        <v>1124</v>
      </c>
      <c r="E34" t="s">
        <v>1125</v>
      </c>
      <c r="F34" t="s">
        <v>596</v>
      </c>
      <c r="G34" s="8" t="s">
        <v>172</v>
      </c>
      <c r="H34" s="8" t="s">
        <v>170</v>
      </c>
      <c r="I34" s="8" t="s">
        <v>447</v>
      </c>
      <c r="J34" t="s">
        <v>94</v>
      </c>
      <c r="K34" t="s">
        <v>1126</v>
      </c>
      <c r="L34" s="22"/>
      <c r="M34">
        <f xml:space="preserve"> M33+(ckAwdTable[ILN]&lt;"M")</f>
        <v>11</v>
      </c>
      <c r="N34" t="s">
        <v>450</v>
      </c>
      <c r="O34" t="s">
        <v>696</v>
      </c>
      <c r="P34" s="15" t="str">
        <f>HYPERLINK("https://www.ejacket.nsf.gov/ej/showProposal.do?ID="&amp;ckAwdTable[[#This Row],[prop_id]],"eJ")</f>
        <v>eJ</v>
      </c>
      <c r="Q34" s="8" t="s">
        <v>1127</v>
      </c>
      <c r="R34" t="s">
        <v>1261</v>
      </c>
      <c r="S34" t="s">
        <v>1262</v>
      </c>
      <c r="T34" t="s">
        <v>1263</v>
      </c>
      <c r="U34" s="8" t="s">
        <v>1264</v>
      </c>
      <c r="V34" t="s">
        <v>264</v>
      </c>
      <c r="W34" s="15" t="str">
        <f>HYPERLINK("mailto:"&amp; ckAwdTable[[#This Row],[email]]&amp;"&amp;subject=Your NSF Proposal:  "&amp;ckAwdTable[[#This Row],[prop_id]], ckAwdTable[[#This Row],[email]])</f>
        <v>slow@caltech.edu</v>
      </c>
      <c r="X34" s="30">
        <v>43009</v>
      </c>
      <c r="Y34">
        <v>48</v>
      </c>
      <c r="AA34" s="21" t="s">
        <v>13</v>
      </c>
      <c r="AB34" s="21" t="s">
        <v>454</v>
      </c>
      <c r="AC34"/>
      <c r="AD34" s="21" t="s">
        <v>13</v>
      </c>
      <c r="AF34" s="21" t="s">
        <v>450</v>
      </c>
      <c r="AG34" s="21" t="str">
        <f>IFERROR(IF(FIND("?",ckAwdTable[[#This Row],[abst_narr_txt]]),SummarizeQuestMarks(ckAwdTable[[#This Row],[abst_narr_txt]]),""),"")</f>
        <v/>
      </c>
      <c r="AI34" s="13">
        <v>900000</v>
      </c>
      <c r="AJ34" s="21">
        <v>0</v>
      </c>
      <c r="AK34" s="1">
        <v>900000</v>
      </c>
      <c r="AL34" s="1"/>
      <c r="AM34" s="1"/>
      <c r="AP34" s="21">
        <v>4</v>
      </c>
      <c r="AQ34" s="21">
        <v>8</v>
      </c>
      <c r="AR34" s="21"/>
      <c r="AS34" s="21"/>
      <c r="AT34" s="21">
        <v>14.4</v>
      </c>
      <c r="AU34" s="8" t="s">
        <v>173</v>
      </c>
      <c r="AV34" t="s">
        <v>1259</v>
      </c>
      <c r="AW34" t="b">
        <f>AND(ckAwdTable[[#This Row],[ILN]]&gt;"M", SUBSTITUTE(ckAwdTable[[#This Row],[prop_titl_txt]]," ","")&lt;&gt;SUBSTITUTE(AV33," ",""))</f>
        <v>0</v>
      </c>
      <c r="AX34" s="8" t="s">
        <v>1265</v>
      </c>
    </row>
    <row r="35" spans="2:50">
      <c r="B35" s="30">
        <v>42800.665277777778</v>
      </c>
      <c r="C35" t="s">
        <v>1123</v>
      </c>
      <c r="D35" t="s">
        <v>1124</v>
      </c>
      <c r="E35" t="s">
        <v>1125</v>
      </c>
      <c r="F35" t="s">
        <v>596</v>
      </c>
      <c r="G35" s="8" t="s">
        <v>172</v>
      </c>
      <c r="H35" s="8" t="s">
        <v>170</v>
      </c>
      <c r="I35" s="8" t="s">
        <v>447</v>
      </c>
      <c r="J35" t="s">
        <v>94</v>
      </c>
      <c r="K35" t="s">
        <v>1126</v>
      </c>
      <c r="L35" s="22"/>
      <c r="M35">
        <f xml:space="preserve"> M34+(ckAwdTable[ILN]&lt;"M")</f>
        <v>11</v>
      </c>
      <c r="N35" t="s">
        <v>450</v>
      </c>
      <c r="O35" t="s">
        <v>696</v>
      </c>
      <c r="P35" s="15" t="str">
        <f>HYPERLINK("https://www.ejacket.nsf.gov/ej/showProposal.do?ID="&amp;ckAwdTable[[#This Row],[prop_id]],"eJ")</f>
        <v>eJ</v>
      </c>
      <c r="Q35" s="8" t="s">
        <v>1127</v>
      </c>
      <c r="R35" t="s">
        <v>1266</v>
      </c>
      <c r="S35" t="s">
        <v>1267</v>
      </c>
      <c r="T35" t="s">
        <v>1268</v>
      </c>
      <c r="U35" s="8" t="s">
        <v>1269</v>
      </c>
      <c r="V35" t="s">
        <v>264</v>
      </c>
      <c r="W35" s="15" t="str">
        <f>HYPERLINK("mailto:"&amp; ckAwdTable[[#This Row],[email]]&amp;"&amp;subject=Your NSF Proposal:  "&amp;ckAwdTable[[#This Row],[prop_id]], ckAwdTable[[#This Row],[email]])</f>
        <v>clt@cs.stanford.edu</v>
      </c>
      <c r="X35" s="30">
        <v>43009</v>
      </c>
      <c r="Y35">
        <v>48</v>
      </c>
      <c r="AA35" s="21" t="s">
        <v>13</v>
      </c>
      <c r="AB35" s="21" t="s">
        <v>454</v>
      </c>
      <c r="AC35"/>
      <c r="AD35" s="21" t="s">
        <v>13</v>
      </c>
      <c r="AF35" s="21" t="s">
        <v>450</v>
      </c>
      <c r="AG35" s="21" t="str">
        <f>IFERROR(IF(FIND("?",ckAwdTable[[#This Row],[abst_narr_txt]]),SummarizeQuestMarks(ckAwdTable[[#This Row],[abst_narr_txt]]),""),"")</f>
        <v/>
      </c>
      <c r="AI35" s="13">
        <v>798300</v>
      </c>
      <c r="AJ35" s="21">
        <v>0</v>
      </c>
      <c r="AK35" s="1">
        <v>798300</v>
      </c>
      <c r="AL35" s="1"/>
      <c r="AM35" s="1"/>
      <c r="AP35" s="21">
        <v>8</v>
      </c>
      <c r="AQ35" s="21">
        <v>8</v>
      </c>
      <c r="AR35" s="21"/>
      <c r="AS35" s="21"/>
      <c r="AT35" s="21">
        <v>11</v>
      </c>
      <c r="AU35" s="8" t="s">
        <v>173</v>
      </c>
      <c r="AV35" t="s">
        <v>1259</v>
      </c>
      <c r="AW35" t="b">
        <f>AND(ckAwdTable[[#This Row],[ILN]]&gt;"M", SUBSTITUTE(ckAwdTable[[#This Row],[prop_titl_txt]]," ","")&lt;&gt;SUBSTITUTE(AV34," ",""))</f>
        <v>0</v>
      </c>
      <c r="AX35" s="8" t="s">
        <v>1270</v>
      </c>
    </row>
    <row r="36" spans="2:50">
      <c r="B36" s="30">
        <v>42926.695833333331</v>
      </c>
      <c r="C36" t="s">
        <v>248</v>
      </c>
      <c r="D36" t="s">
        <v>1124</v>
      </c>
      <c r="E36" t="s">
        <v>1125</v>
      </c>
      <c r="F36" t="s">
        <v>596</v>
      </c>
      <c r="G36" s="8" t="s">
        <v>172</v>
      </c>
      <c r="H36" s="8" t="s">
        <v>170</v>
      </c>
      <c r="I36" s="8" t="s">
        <v>447</v>
      </c>
      <c r="J36" t="s">
        <v>94</v>
      </c>
      <c r="K36" t="s">
        <v>1271</v>
      </c>
      <c r="L36" s="22"/>
      <c r="M36">
        <f xml:space="preserve"> M35+(ckAwdTable[ILN]&lt;"M")</f>
        <v>12</v>
      </c>
      <c r="N36" t="s">
        <v>96</v>
      </c>
      <c r="O36" t="s">
        <v>703</v>
      </c>
      <c r="P36" s="15" t="str">
        <f>HYPERLINK("https://www.ejacket.nsf.gov/ej/showProposal.do?ID="&amp;ckAwdTable[[#This Row],[prop_id]],"eJ")</f>
        <v>eJ</v>
      </c>
      <c r="Q36" s="8" t="s">
        <v>1127</v>
      </c>
      <c r="R36" t="s">
        <v>703</v>
      </c>
      <c r="S36" t="s">
        <v>704</v>
      </c>
      <c r="T36" t="s">
        <v>1173</v>
      </c>
      <c r="U36" s="8" t="s">
        <v>475</v>
      </c>
      <c r="V36" t="s">
        <v>267</v>
      </c>
      <c r="W36" s="15" t="str">
        <f>HYPERLINK("mailto:"&amp; ckAwdTable[[#This Row],[email]]&amp;"&amp;subject=Your NSF Proposal:  "&amp;ckAwdTable[[#This Row],[prop_id]], ckAwdTable[[#This Row],[email]])</f>
        <v>jhahn12@umd.edu</v>
      </c>
      <c r="X36" s="30">
        <v>43101</v>
      </c>
      <c r="Y36">
        <v>60</v>
      </c>
      <c r="AA36" s="21" t="s">
        <v>13</v>
      </c>
      <c r="AB36" s="21" t="s">
        <v>454</v>
      </c>
      <c r="AC36"/>
      <c r="AD36" s="21" t="s">
        <v>13</v>
      </c>
      <c r="AF36" s="21" t="s">
        <v>450</v>
      </c>
      <c r="AG36" s="21" t="str">
        <f>IFERROR(IF(FIND("?",ckAwdTable[[#This Row],[abst_narr_txt]]),SummarizeQuestMarks(ckAwdTable[[#This Row],[abst_narr_txt]]),""),"")</f>
        <v/>
      </c>
      <c r="AI36" s="13">
        <v>500409</v>
      </c>
      <c r="AJ36" s="21">
        <v>0</v>
      </c>
      <c r="AK36" s="1">
        <v>500409</v>
      </c>
      <c r="AL36" s="1"/>
      <c r="AM36" s="1"/>
      <c r="AP36" s="21">
        <v>5</v>
      </c>
      <c r="AQ36" s="21">
        <v>5</v>
      </c>
      <c r="AR36" s="21"/>
      <c r="AS36" s="21"/>
      <c r="AT36" s="21">
        <v>2.5</v>
      </c>
      <c r="AU36" s="8" t="s">
        <v>173</v>
      </c>
      <c r="AV36" t="s">
        <v>1273</v>
      </c>
      <c r="AW36" t="b">
        <f>AND(ckAwdTable[[#This Row],[ILN]]&gt;"M", SUBSTITUTE(ckAwdTable[[#This Row],[prop_titl_txt]]," ","")&lt;&gt;SUBSTITUTE(AV35," ",""))</f>
        <v>0</v>
      </c>
      <c r="AX36" s="8" t="s">
        <v>1174</v>
      </c>
    </row>
    <row r="37" spans="2:50">
      <c r="B37" s="30">
        <v>42930.439583333333</v>
      </c>
      <c r="C37" t="s">
        <v>248</v>
      </c>
      <c r="D37" t="s">
        <v>1124</v>
      </c>
      <c r="E37" t="s">
        <v>1125</v>
      </c>
      <c r="F37" t="s">
        <v>596</v>
      </c>
      <c r="G37" s="8" t="s">
        <v>172</v>
      </c>
      <c r="H37" s="8" t="s">
        <v>170</v>
      </c>
      <c r="I37" s="8" t="s">
        <v>447</v>
      </c>
      <c r="J37" t="s">
        <v>94</v>
      </c>
      <c r="K37" t="s">
        <v>1271</v>
      </c>
      <c r="L37" s="22"/>
      <c r="M37">
        <f xml:space="preserve"> M36+(ckAwdTable[ILN]&lt;"M")</f>
        <v>13</v>
      </c>
      <c r="N37" t="s">
        <v>96</v>
      </c>
      <c r="O37" t="s">
        <v>728</v>
      </c>
      <c r="P37" s="15" t="str">
        <f>HYPERLINK("https://www.ejacket.nsf.gov/ej/showProposal.do?ID="&amp;ckAwdTable[[#This Row],[prop_id]],"eJ")</f>
        <v>eJ</v>
      </c>
      <c r="Q37" s="8" t="s">
        <v>1127</v>
      </c>
      <c r="R37" t="s">
        <v>728</v>
      </c>
      <c r="S37" t="s">
        <v>729</v>
      </c>
      <c r="T37" t="s">
        <v>1275</v>
      </c>
      <c r="U37" s="8" t="s">
        <v>1276</v>
      </c>
      <c r="V37" t="s">
        <v>117</v>
      </c>
      <c r="W37" s="15" t="str">
        <f>HYPERLINK("mailto:"&amp; ckAwdTable[[#This Row],[email]]&amp;"&amp;subject=Your NSF Proposal:  "&amp;ckAwdTable[[#This Row],[prop_id]], ckAwdTable[[#This Row],[email]])</f>
        <v>debasis.dawn@ndsu.edu</v>
      </c>
      <c r="X37" s="30">
        <v>43132</v>
      </c>
      <c r="Y37">
        <v>60</v>
      </c>
      <c r="AA37" s="21" t="s">
        <v>13</v>
      </c>
      <c r="AB37" s="21" t="s">
        <v>454</v>
      </c>
      <c r="AC37"/>
      <c r="AD37" s="21" t="s">
        <v>13</v>
      </c>
      <c r="AF37" s="21" t="s">
        <v>450</v>
      </c>
      <c r="AG37" s="21" t="str">
        <f>IFERROR(IF(FIND("?",ckAwdTable[[#This Row],[abst_narr_txt]]),SummarizeQuestMarks(ckAwdTable[[#This Row],[abst_narr_txt]]),""),"")</f>
        <v/>
      </c>
      <c r="AI37" s="13">
        <v>504542</v>
      </c>
      <c r="AJ37" s="21">
        <v>0</v>
      </c>
      <c r="AK37" s="1">
        <v>504542</v>
      </c>
      <c r="AL37" s="1"/>
      <c r="AM37" s="1"/>
      <c r="AO37" s="1">
        <v>10000</v>
      </c>
      <c r="AP37" s="21">
        <v>10</v>
      </c>
      <c r="AQ37" s="21">
        <v>5</v>
      </c>
      <c r="AR37" s="21">
        <v>5</v>
      </c>
      <c r="AS37" s="21"/>
      <c r="AT37" s="21"/>
      <c r="AU37" s="8" t="s">
        <v>173</v>
      </c>
      <c r="AV37" t="s">
        <v>1277</v>
      </c>
      <c r="AW37" t="b">
        <f>AND(ckAwdTable[[#This Row],[ILN]]&gt;"M", SUBSTITUTE(ckAwdTable[[#This Row],[prop_titl_txt]]," ","")&lt;&gt;SUBSTITUTE(AV36," ",""))</f>
        <v>0</v>
      </c>
      <c r="AX37" s="8" t="s">
        <v>1278</v>
      </c>
    </row>
    <row r="38" spans="2:50">
      <c r="B38" s="30">
        <v>42935.324999999997</v>
      </c>
      <c r="C38" t="s">
        <v>248</v>
      </c>
      <c r="D38" t="s">
        <v>1124</v>
      </c>
      <c r="E38" t="s">
        <v>1125</v>
      </c>
      <c r="F38" t="s">
        <v>596</v>
      </c>
      <c r="G38" s="8" t="s">
        <v>172</v>
      </c>
      <c r="H38" s="8" t="s">
        <v>170</v>
      </c>
      <c r="I38" s="8" t="s">
        <v>447</v>
      </c>
      <c r="J38" t="s">
        <v>94</v>
      </c>
      <c r="K38" t="s">
        <v>1271</v>
      </c>
      <c r="L38" s="22"/>
      <c r="M38">
        <f xml:space="preserve"> M37+(ckAwdTable[ILN]&lt;"M")</f>
        <v>14</v>
      </c>
      <c r="N38" t="s">
        <v>96</v>
      </c>
      <c r="O38" t="s">
        <v>741</v>
      </c>
      <c r="P38" s="15" t="str">
        <f>HYPERLINK("https://www.ejacket.nsf.gov/ej/showProposal.do?ID="&amp;ckAwdTable[[#This Row],[prop_id]],"eJ")</f>
        <v>eJ</v>
      </c>
      <c r="Q38" s="8" t="s">
        <v>1127</v>
      </c>
      <c r="R38" t="s">
        <v>741</v>
      </c>
      <c r="S38" t="s">
        <v>742</v>
      </c>
      <c r="T38" t="s">
        <v>1279</v>
      </c>
      <c r="U38" s="8" t="s">
        <v>475</v>
      </c>
      <c r="V38" t="s">
        <v>267</v>
      </c>
      <c r="W38" s="15" t="str">
        <f>HYPERLINK("mailto:"&amp; ckAwdTable[[#This Row],[email]]&amp;"&amp;subject=Your NSF Proposal:  "&amp;ckAwdTable[[#This Row],[prop_id]], ckAwdTable[[#This Row],[email]])</f>
        <v>vfrias@umd.edu</v>
      </c>
      <c r="X38" s="30">
        <v>43344</v>
      </c>
      <c r="Y38">
        <v>60</v>
      </c>
      <c r="Z38" t="s">
        <v>451</v>
      </c>
      <c r="AA38" s="21" t="s">
        <v>1570</v>
      </c>
      <c r="AB38" s="21" t="s">
        <v>454</v>
      </c>
      <c r="AC38"/>
      <c r="AD38" s="21" t="s">
        <v>13</v>
      </c>
      <c r="AE38" s="21" t="s">
        <v>260</v>
      </c>
      <c r="AF38" s="21" t="s">
        <v>450</v>
      </c>
      <c r="AG38" s="21" t="str">
        <f>IFERROR(IF(FIND("?",ckAwdTable[[#This Row],[abst_narr_txt]]),SummarizeQuestMarks(ckAwdTable[[#This Row],[abst_narr_txt]]),""),"")</f>
        <v/>
      </c>
      <c r="AI38" s="13">
        <v>634696</v>
      </c>
      <c r="AJ38" s="21">
        <v>0</v>
      </c>
      <c r="AK38" s="1">
        <v>634696</v>
      </c>
      <c r="AL38" s="1"/>
      <c r="AM38" s="1">
        <v>25000</v>
      </c>
      <c r="AO38" s="1">
        <v>1000</v>
      </c>
      <c r="AP38" s="21">
        <v>5</v>
      </c>
      <c r="AQ38" s="21">
        <v>5</v>
      </c>
      <c r="AR38" s="21">
        <v>5</v>
      </c>
      <c r="AS38" s="21"/>
      <c r="AT38" s="21"/>
      <c r="AU38" s="8" t="s">
        <v>173</v>
      </c>
      <c r="AV38" t="s">
        <v>1281</v>
      </c>
      <c r="AW38" t="b">
        <f>AND(ckAwdTable[[#This Row],[ILN]]&gt;"M", SUBSTITUTE(ckAwdTable[[#This Row],[prop_titl_txt]]," ","")&lt;&gt;SUBSTITUTE(AV37," ",""))</f>
        <v>0</v>
      </c>
      <c r="AX38" s="8" t="s">
        <v>1282</v>
      </c>
    </row>
    <row r="39" spans="2:50">
      <c r="B39" s="30">
        <v>42935.45</v>
      </c>
      <c r="C39" t="s">
        <v>248</v>
      </c>
      <c r="D39" t="s">
        <v>1124</v>
      </c>
      <c r="E39" t="s">
        <v>1125</v>
      </c>
      <c r="F39" t="s">
        <v>596</v>
      </c>
      <c r="G39" s="8" t="s">
        <v>172</v>
      </c>
      <c r="H39" s="8" t="s">
        <v>170</v>
      </c>
      <c r="I39" s="8" t="s">
        <v>447</v>
      </c>
      <c r="J39" t="s">
        <v>94</v>
      </c>
      <c r="K39" t="s">
        <v>1271</v>
      </c>
      <c r="L39" s="22"/>
      <c r="M39">
        <f xml:space="preserve"> M38+(ckAwdTable[ILN]&lt;"M")</f>
        <v>15</v>
      </c>
      <c r="N39" t="s">
        <v>96</v>
      </c>
      <c r="O39" t="s">
        <v>758</v>
      </c>
      <c r="P39" s="15" t="str">
        <f>HYPERLINK("https://www.ejacket.nsf.gov/ej/showProposal.do?ID="&amp;ckAwdTable[[#This Row],[prop_id]],"eJ")</f>
        <v>eJ</v>
      </c>
      <c r="Q39" s="8" t="s">
        <v>1127</v>
      </c>
      <c r="R39" t="s">
        <v>758</v>
      </c>
      <c r="S39" t="s">
        <v>457</v>
      </c>
      <c r="T39" t="s">
        <v>1283</v>
      </c>
      <c r="U39" s="8" t="s">
        <v>1284</v>
      </c>
      <c r="V39" t="s">
        <v>368</v>
      </c>
      <c r="W39" s="15" t="str">
        <f>HYPERLINK("mailto:"&amp; ckAwdTable[[#This Row],[email]]&amp;"&amp;subject=Your NSF Proposal:  "&amp;ckAwdTable[[#This Row],[prop_id]], ckAwdTable[[#This Row],[email]])</f>
        <v>zhangs@cs.fit.edu</v>
      </c>
      <c r="X39" s="30">
        <v>43101</v>
      </c>
      <c r="Y39">
        <v>60</v>
      </c>
      <c r="AA39" s="21" t="s">
        <v>13</v>
      </c>
      <c r="AB39" s="21" t="s">
        <v>454</v>
      </c>
      <c r="AC39"/>
      <c r="AD39" s="21" t="s">
        <v>13</v>
      </c>
      <c r="AF39" s="21" t="s">
        <v>450</v>
      </c>
      <c r="AG39" s="21" t="str">
        <f>IFERROR(IF(FIND("?",ckAwdTable[[#This Row],[abst_narr_txt]]),SummarizeQuestMarks(ckAwdTable[[#This Row],[abst_narr_txt]]),""),"")</f>
        <v/>
      </c>
      <c r="AI39" s="13">
        <v>792792</v>
      </c>
      <c r="AJ39" s="21">
        <v>0</v>
      </c>
      <c r="AK39" s="1">
        <v>792792</v>
      </c>
      <c r="AL39" s="1"/>
      <c r="AM39" s="1"/>
      <c r="AP39" s="21">
        <v>15</v>
      </c>
      <c r="AQ39" s="21">
        <v>5</v>
      </c>
      <c r="AR39" s="21">
        <v>10</v>
      </c>
      <c r="AS39" s="21"/>
      <c r="AT39" s="21"/>
      <c r="AU39" s="8" t="s">
        <v>173</v>
      </c>
      <c r="AV39" t="s">
        <v>1286</v>
      </c>
      <c r="AW39" t="b">
        <f>AND(ckAwdTable[[#This Row],[ILN]]&gt;"M", SUBSTITUTE(ckAwdTable[[#This Row],[prop_titl_txt]]," ","")&lt;&gt;SUBSTITUTE(AV38," ",""))</f>
        <v>0</v>
      </c>
      <c r="AX39" s="8" t="s">
        <v>1287</v>
      </c>
    </row>
    <row r="40" spans="2:50">
      <c r="B40" s="30">
        <v>42935.465277777781</v>
      </c>
      <c r="C40" t="s">
        <v>248</v>
      </c>
      <c r="D40" t="s">
        <v>1124</v>
      </c>
      <c r="E40" t="s">
        <v>1125</v>
      </c>
      <c r="F40" t="s">
        <v>596</v>
      </c>
      <c r="G40" s="8" t="s">
        <v>172</v>
      </c>
      <c r="H40" s="8" t="s">
        <v>170</v>
      </c>
      <c r="I40" s="8" t="s">
        <v>447</v>
      </c>
      <c r="J40" t="s">
        <v>94</v>
      </c>
      <c r="K40" t="s">
        <v>1271</v>
      </c>
      <c r="L40" s="22">
        <v>43048.618194444447</v>
      </c>
      <c r="M40">
        <f xml:space="preserve"> M39+(ckAwdTable[ILN]&lt;"M")</f>
        <v>16</v>
      </c>
      <c r="N40" t="s">
        <v>96</v>
      </c>
      <c r="O40" t="s">
        <v>765</v>
      </c>
      <c r="P40" s="15" t="str">
        <f>HYPERLINK("https://www.ejacket.nsf.gov/ej/showProposal.do?ID="&amp;ckAwdTable[[#This Row],[prop_id]],"eJ")</f>
        <v>eJ</v>
      </c>
      <c r="Q40" s="8" t="s">
        <v>1127</v>
      </c>
      <c r="R40" t="s">
        <v>765</v>
      </c>
      <c r="S40" t="s">
        <v>766</v>
      </c>
      <c r="T40" t="s">
        <v>1288</v>
      </c>
      <c r="U40" s="8" t="s">
        <v>361</v>
      </c>
      <c r="V40" t="s">
        <v>362</v>
      </c>
      <c r="W40" s="15" t="str">
        <f>HYPERLINK("mailto:"&amp; ckAwdTable[[#This Row],[email]]&amp;"&amp;subject=Your NSF Proposal:  "&amp;ckAwdTable[[#This Row],[prop_id]], ckAwdTable[[#This Row],[email]])</f>
        <v>jran5@vt.edu</v>
      </c>
      <c r="X40" s="30">
        <v>43235</v>
      </c>
      <c r="Y40">
        <v>60</v>
      </c>
      <c r="Z40" t="s">
        <v>451</v>
      </c>
      <c r="AA40" s="21" t="s">
        <v>13</v>
      </c>
      <c r="AB40" s="21" t="s">
        <v>454</v>
      </c>
      <c r="AC40"/>
      <c r="AD40" s="21" t="s">
        <v>13</v>
      </c>
      <c r="AF40" s="21" t="s">
        <v>450</v>
      </c>
      <c r="AG40" s="21" t="str">
        <f>IFERROR(IF(FIND("?",ckAwdTable[[#This Row],[abst_narr_txt]]),SummarizeQuestMarks(ckAwdTable[[#This Row],[abst_narr_txt]]),""),"")</f>
        <v/>
      </c>
      <c r="AI40" s="13">
        <v>500000</v>
      </c>
      <c r="AJ40" s="21">
        <v>0</v>
      </c>
      <c r="AK40" s="1">
        <v>500000</v>
      </c>
      <c r="AL40" s="1"/>
      <c r="AM40" s="1"/>
      <c r="AP40" s="21">
        <v>10</v>
      </c>
      <c r="AQ40" s="21">
        <v>5</v>
      </c>
      <c r="AR40" s="21">
        <v>2.25</v>
      </c>
      <c r="AS40" s="21">
        <v>1.2</v>
      </c>
      <c r="AT40" s="21"/>
      <c r="AU40" s="8" t="s">
        <v>173</v>
      </c>
      <c r="AV40" t="s">
        <v>1290</v>
      </c>
      <c r="AW40" t="b">
        <f>AND(ckAwdTable[[#This Row],[ILN]]&gt;"M", SUBSTITUTE(ckAwdTable[[#This Row],[prop_titl_txt]]," ","")&lt;&gt;SUBSTITUTE(AV39," ",""))</f>
        <v>0</v>
      </c>
      <c r="AX40" s="8" t="s">
        <v>1291</v>
      </c>
    </row>
    <row r="41" spans="2:50">
      <c r="B41" s="30">
        <v>42935.527777777781</v>
      </c>
      <c r="C41" t="s">
        <v>248</v>
      </c>
      <c r="D41" t="s">
        <v>1124</v>
      </c>
      <c r="E41" t="s">
        <v>1125</v>
      </c>
      <c r="F41" t="s">
        <v>596</v>
      </c>
      <c r="G41" s="8" t="s">
        <v>172</v>
      </c>
      <c r="H41" s="8" t="s">
        <v>170</v>
      </c>
      <c r="I41" s="8" t="s">
        <v>447</v>
      </c>
      <c r="J41" t="s">
        <v>94</v>
      </c>
      <c r="K41" t="s">
        <v>1271</v>
      </c>
      <c r="L41" s="22"/>
      <c r="M41">
        <f xml:space="preserve"> M40+(ckAwdTable[ILN]&lt;"M")</f>
        <v>17</v>
      </c>
      <c r="N41" t="s">
        <v>96</v>
      </c>
      <c r="O41" t="s">
        <v>793</v>
      </c>
      <c r="P41" s="15" t="str">
        <f>HYPERLINK("https://www.ejacket.nsf.gov/ej/showProposal.do?ID="&amp;ckAwdTable[[#This Row],[prop_id]],"eJ")</f>
        <v>eJ</v>
      </c>
      <c r="Q41" s="8" t="s">
        <v>1127</v>
      </c>
      <c r="R41" t="s">
        <v>793</v>
      </c>
      <c r="S41" t="s">
        <v>794</v>
      </c>
      <c r="T41" t="s">
        <v>1292</v>
      </c>
      <c r="U41" s="8" t="s">
        <v>361</v>
      </c>
      <c r="V41" t="s">
        <v>362</v>
      </c>
      <c r="W41" s="15" t="str">
        <f>HYPERLINK("mailto:"&amp; ckAwdTable[[#This Row],[email]]&amp;"&amp;subject=Your NSF Proposal:  "&amp;ckAwdTable[[#This Row],[prop_id]], ckAwdTable[[#This Row],[email]])</f>
        <v>hbzeng@vt.edu</v>
      </c>
      <c r="X41" s="30">
        <v>43101</v>
      </c>
      <c r="Y41">
        <v>60</v>
      </c>
      <c r="AA41" s="21" t="s">
        <v>13</v>
      </c>
      <c r="AB41" s="21" t="s">
        <v>454</v>
      </c>
      <c r="AC41"/>
      <c r="AD41" s="21" t="s">
        <v>13</v>
      </c>
      <c r="AF41" s="21" t="s">
        <v>450</v>
      </c>
      <c r="AG41" s="21" t="str">
        <f>IFERROR(IF(FIND("?",ckAwdTable[[#This Row],[abst_narr_txt]]),SummarizeQuestMarks(ckAwdTable[[#This Row],[abst_narr_txt]]),""),"")</f>
        <v/>
      </c>
      <c r="AI41" s="13">
        <v>499449</v>
      </c>
      <c r="AJ41" s="21">
        <v>0</v>
      </c>
      <c r="AK41" s="1">
        <v>499449</v>
      </c>
      <c r="AL41" s="1"/>
      <c r="AM41" s="1"/>
      <c r="AO41" s="1">
        <v>6000</v>
      </c>
      <c r="AP41" s="21">
        <v>5</v>
      </c>
      <c r="AQ41" s="21">
        <v>5</v>
      </c>
      <c r="AR41" s="21">
        <v>5</v>
      </c>
      <c r="AS41" s="21">
        <v>1.35</v>
      </c>
      <c r="AT41" s="21"/>
      <c r="AU41" s="8" t="s">
        <v>173</v>
      </c>
      <c r="AV41" t="s">
        <v>1293</v>
      </c>
      <c r="AW41" t="b">
        <f>AND(ckAwdTable[[#This Row],[ILN]]&gt;"M", SUBSTITUTE(ckAwdTable[[#This Row],[prop_titl_txt]]," ","")&lt;&gt;SUBSTITUTE(AV40," ",""))</f>
        <v>0</v>
      </c>
      <c r="AX41" s="8" t="s">
        <v>1294</v>
      </c>
    </row>
    <row r="42" spans="2:50">
      <c r="B42" s="30">
        <v>42935.531944444447</v>
      </c>
      <c r="C42" t="s">
        <v>248</v>
      </c>
      <c r="D42" t="s">
        <v>1124</v>
      </c>
      <c r="E42" t="s">
        <v>1125</v>
      </c>
      <c r="F42" t="s">
        <v>596</v>
      </c>
      <c r="G42" s="8" t="s">
        <v>172</v>
      </c>
      <c r="H42" s="8" t="s">
        <v>170</v>
      </c>
      <c r="I42" s="8" t="s">
        <v>447</v>
      </c>
      <c r="J42" t="s">
        <v>94</v>
      </c>
      <c r="K42" t="s">
        <v>1271</v>
      </c>
      <c r="L42" s="22"/>
      <c r="M42">
        <f xml:space="preserve"> M41+(ckAwdTable[ILN]&lt;"M")</f>
        <v>18</v>
      </c>
      <c r="N42" t="s">
        <v>96</v>
      </c>
      <c r="O42" t="s">
        <v>800</v>
      </c>
      <c r="P42" s="15" t="str">
        <f>HYPERLINK("https://www.ejacket.nsf.gov/ej/showProposal.do?ID="&amp;ckAwdTable[[#This Row],[prop_id]],"eJ")</f>
        <v>eJ</v>
      </c>
      <c r="Q42" s="8" t="s">
        <v>1127</v>
      </c>
      <c r="R42" t="s">
        <v>800</v>
      </c>
      <c r="S42" t="s">
        <v>354</v>
      </c>
      <c r="T42" t="s">
        <v>1295</v>
      </c>
      <c r="U42" s="8" t="s">
        <v>1152</v>
      </c>
      <c r="V42" t="s">
        <v>265</v>
      </c>
      <c r="W42" s="15" t="str">
        <f>HYPERLINK("mailto:"&amp; ckAwdTable[[#This Row],[email]]&amp;"&amp;subject=Your NSF Proposal:  "&amp;ckAwdTable[[#This Row],[prop_id]], ckAwdTable[[#This Row],[email]])</f>
        <v>yli15@wpi.edu</v>
      </c>
      <c r="X42" s="30">
        <v>43282</v>
      </c>
      <c r="Y42">
        <v>60</v>
      </c>
      <c r="AA42" s="21" t="s">
        <v>13</v>
      </c>
      <c r="AB42" s="21" t="s">
        <v>454</v>
      </c>
      <c r="AC42"/>
      <c r="AD42" s="21" t="s">
        <v>13</v>
      </c>
      <c r="AE42" s="21" t="s">
        <v>260</v>
      </c>
      <c r="AF42" s="21" t="s">
        <v>450</v>
      </c>
      <c r="AG42" s="21" t="str">
        <f>IFERROR(IF(FIND("?",ckAwdTable[[#This Row],[abst_narr_txt]]),SummarizeQuestMarks(ckAwdTable[[#This Row],[abst_narr_txt]]),""),"")</f>
        <v/>
      </c>
      <c r="AI42" s="13">
        <v>499714</v>
      </c>
      <c r="AJ42" s="21">
        <v>0</v>
      </c>
      <c r="AK42" s="1">
        <v>499714</v>
      </c>
      <c r="AL42" s="1"/>
      <c r="AM42" s="1">
        <v>8500</v>
      </c>
      <c r="AP42" s="21">
        <v>7</v>
      </c>
      <c r="AQ42" s="21">
        <v>5</v>
      </c>
      <c r="AR42" s="21">
        <v>5</v>
      </c>
      <c r="AS42" s="21"/>
      <c r="AT42" s="21"/>
      <c r="AU42" s="8" t="s">
        <v>173</v>
      </c>
      <c r="AV42" t="s">
        <v>1296</v>
      </c>
      <c r="AW42" t="b">
        <f>AND(ckAwdTable[[#This Row],[ILN]]&gt;"M", SUBSTITUTE(ckAwdTable[[#This Row],[prop_titl_txt]]," ","")&lt;&gt;SUBSTITUTE(AV41," ",""))</f>
        <v>0</v>
      </c>
      <c r="AX42" s="8" t="s">
        <v>1297</v>
      </c>
    </row>
    <row r="43" spans="2:50">
      <c r="B43" s="30">
        <v>42935.546527777777</v>
      </c>
      <c r="C43" t="s">
        <v>248</v>
      </c>
      <c r="D43" t="s">
        <v>1124</v>
      </c>
      <c r="E43" t="s">
        <v>1125</v>
      </c>
      <c r="F43" t="s">
        <v>596</v>
      </c>
      <c r="G43" s="8" t="s">
        <v>172</v>
      </c>
      <c r="H43" s="8" t="s">
        <v>170</v>
      </c>
      <c r="I43" s="8" t="s">
        <v>447</v>
      </c>
      <c r="J43" t="s">
        <v>94</v>
      </c>
      <c r="K43" t="s">
        <v>1271</v>
      </c>
      <c r="L43" s="22"/>
      <c r="M43">
        <f xml:space="preserve"> M42+(ckAwdTable[ILN]&lt;"M")</f>
        <v>19</v>
      </c>
      <c r="N43" t="s">
        <v>96</v>
      </c>
      <c r="O43" t="s">
        <v>810</v>
      </c>
      <c r="P43" s="15" t="str">
        <f>HYPERLINK("https://www.ejacket.nsf.gov/ej/showProposal.do?ID="&amp;ckAwdTable[[#This Row],[prop_id]],"eJ")</f>
        <v>eJ</v>
      </c>
      <c r="Q43" s="8" t="s">
        <v>1127</v>
      </c>
      <c r="R43" t="s">
        <v>810</v>
      </c>
      <c r="S43" t="s">
        <v>811</v>
      </c>
      <c r="T43" t="s">
        <v>1298</v>
      </c>
      <c r="U43" s="8" t="s">
        <v>474</v>
      </c>
      <c r="V43" t="s">
        <v>266</v>
      </c>
      <c r="W43" s="15" t="str">
        <f>HYPERLINK("mailto:"&amp; ckAwdTable[[#This Row],[email]]&amp;"&amp;subject=Your NSF Proposal:  "&amp;ckAwdTable[[#This Row],[prop_id]], ckAwdTable[[#This Row],[email]])</f>
        <v>quanyan.zhu@nyu.edu</v>
      </c>
      <c r="X43" s="30">
        <v>43344</v>
      </c>
      <c r="Y43">
        <v>60</v>
      </c>
      <c r="AA43" s="21" t="s">
        <v>13</v>
      </c>
      <c r="AB43" s="21" t="s">
        <v>454</v>
      </c>
      <c r="AC43"/>
      <c r="AD43" s="21" t="s">
        <v>13</v>
      </c>
      <c r="AF43" s="21" t="s">
        <v>450</v>
      </c>
      <c r="AG43" s="21" t="str">
        <f>IFERROR(IF(FIND("?",ckAwdTable[[#This Row],[abst_narr_txt]]),SummarizeQuestMarks(ckAwdTable[[#This Row],[abst_narr_txt]]),""),"")</f>
        <v/>
      </c>
      <c r="AI43" s="13">
        <v>499953</v>
      </c>
      <c r="AJ43" s="21">
        <v>0</v>
      </c>
      <c r="AK43" s="1">
        <v>499953</v>
      </c>
      <c r="AL43" s="1"/>
      <c r="AM43" s="1"/>
      <c r="AP43" s="21">
        <v>5</v>
      </c>
      <c r="AQ43" s="21">
        <v>5</v>
      </c>
      <c r="AR43" s="21">
        <v>5</v>
      </c>
      <c r="AS43" s="21"/>
      <c r="AT43" s="21"/>
      <c r="AU43" s="8" t="s">
        <v>173</v>
      </c>
      <c r="AV43" t="s">
        <v>1300</v>
      </c>
      <c r="AW43" t="b">
        <f>AND(ckAwdTable[[#This Row],[ILN]]&gt;"M", SUBSTITUTE(ckAwdTable[[#This Row],[prop_titl_txt]]," ","")&lt;&gt;SUBSTITUTE(AV42," ",""))</f>
        <v>0</v>
      </c>
      <c r="AX43" s="8" t="s">
        <v>1301</v>
      </c>
    </row>
    <row r="44" spans="2:50">
      <c r="B44" s="30">
        <v>42935.549305555556</v>
      </c>
      <c r="C44" t="s">
        <v>248</v>
      </c>
      <c r="D44" t="s">
        <v>1124</v>
      </c>
      <c r="E44" t="s">
        <v>1125</v>
      </c>
      <c r="F44" t="s">
        <v>596</v>
      </c>
      <c r="G44" s="8" t="s">
        <v>172</v>
      </c>
      <c r="H44" s="8" t="s">
        <v>170</v>
      </c>
      <c r="I44" s="8" t="s">
        <v>447</v>
      </c>
      <c r="J44" t="s">
        <v>94</v>
      </c>
      <c r="K44" t="s">
        <v>1271</v>
      </c>
      <c r="L44" s="22"/>
      <c r="M44">
        <f xml:space="preserve"> M43+(ckAwdTable[ILN]&lt;"M")</f>
        <v>20</v>
      </c>
      <c r="N44" t="s">
        <v>96</v>
      </c>
      <c r="O44" t="s">
        <v>820</v>
      </c>
      <c r="P44" s="15" t="str">
        <f>HYPERLINK("https://www.ejacket.nsf.gov/ej/showProposal.do?ID="&amp;ckAwdTable[[#This Row],[prop_id]],"eJ")</f>
        <v>eJ</v>
      </c>
      <c r="Q44" s="8" t="s">
        <v>1127</v>
      </c>
      <c r="R44" t="s">
        <v>820</v>
      </c>
      <c r="S44" t="s">
        <v>489</v>
      </c>
      <c r="T44" t="s">
        <v>1302</v>
      </c>
      <c r="U44" s="8" t="s">
        <v>475</v>
      </c>
      <c r="V44" t="s">
        <v>267</v>
      </c>
      <c r="W44" s="15" t="str">
        <f>HYPERLINK("mailto:"&amp; ckAwdTable[[#This Row],[email]]&amp;"&amp;subject=Your NSF Proposal:  "&amp;ckAwdTable[[#This Row],[prop_id]], ckAwdTable[[#This Row],[email]])</f>
        <v>mumu@umd.edu</v>
      </c>
      <c r="X44" s="30">
        <v>43101</v>
      </c>
      <c r="Y44">
        <v>60</v>
      </c>
      <c r="AA44" s="21" t="s">
        <v>13</v>
      </c>
      <c r="AB44" s="21" t="s">
        <v>454</v>
      </c>
      <c r="AC44"/>
      <c r="AD44" s="21" t="s">
        <v>13</v>
      </c>
      <c r="AF44" s="21" t="s">
        <v>450</v>
      </c>
      <c r="AG44" s="21" t="str">
        <f>IFERROR(IF(FIND("?",ckAwdTable[[#This Row],[abst_narr_txt]]),SummarizeQuestMarks(ckAwdTable[[#This Row],[abst_narr_txt]]),""),"")</f>
        <v/>
      </c>
      <c r="AI44" s="13">
        <v>500000</v>
      </c>
      <c r="AJ44" s="21">
        <v>0</v>
      </c>
      <c r="AK44" s="1">
        <v>500000</v>
      </c>
      <c r="AL44" s="1"/>
      <c r="AM44" s="1"/>
      <c r="AP44" s="21">
        <v>5</v>
      </c>
      <c r="AQ44" s="21">
        <v>5</v>
      </c>
      <c r="AR44" s="21"/>
      <c r="AS44" s="21"/>
      <c r="AT44" s="21">
        <v>5</v>
      </c>
      <c r="AU44" s="8" t="s">
        <v>173</v>
      </c>
      <c r="AV44" t="s">
        <v>1304</v>
      </c>
      <c r="AW44" t="b">
        <f>AND(ckAwdTable[[#This Row],[ILN]]&gt;"M", SUBSTITUTE(ckAwdTable[[#This Row],[prop_titl_txt]]," ","")&lt;&gt;SUBSTITUTE(AV43," ",""))</f>
        <v>0</v>
      </c>
      <c r="AX44" s="8" t="s">
        <v>1305</v>
      </c>
    </row>
    <row r="45" spans="2:50">
      <c r="B45" s="30">
        <v>42935.570138888892</v>
      </c>
      <c r="C45" t="s">
        <v>248</v>
      </c>
      <c r="D45" t="s">
        <v>1124</v>
      </c>
      <c r="E45" t="s">
        <v>1125</v>
      </c>
      <c r="F45" t="s">
        <v>596</v>
      </c>
      <c r="G45" s="8" t="s">
        <v>172</v>
      </c>
      <c r="H45" s="8" t="s">
        <v>170</v>
      </c>
      <c r="I45" s="8" t="s">
        <v>447</v>
      </c>
      <c r="J45" t="s">
        <v>94</v>
      </c>
      <c r="K45" t="s">
        <v>1271</v>
      </c>
      <c r="L45" s="22"/>
      <c r="M45">
        <f xml:space="preserve"> M44+(ckAwdTable[ILN]&lt;"M")</f>
        <v>21</v>
      </c>
      <c r="N45" t="s">
        <v>96</v>
      </c>
      <c r="O45" t="s">
        <v>830</v>
      </c>
      <c r="P45" s="15" t="str">
        <f>HYPERLINK("https://www.ejacket.nsf.gov/ej/showProposal.do?ID="&amp;ckAwdTable[[#This Row],[prop_id]],"eJ")</f>
        <v>eJ</v>
      </c>
      <c r="Q45" s="8" t="s">
        <v>1127</v>
      </c>
      <c r="R45" t="s">
        <v>830</v>
      </c>
      <c r="S45" t="s">
        <v>347</v>
      </c>
      <c r="T45" t="s">
        <v>1306</v>
      </c>
      <c r="U45" s="8" t="s">
        <v>1307</v>
      </c>
      <c r="V45" t="s">
        <v>458</v>
      </c>
      <c r="W45" s="15" t="str">
        <f>HYPERLINK("mailto:"&amp; ckAwdTable[[#This Row],[email]]&amp;"&amp;subject=Your NSF Proposal:  "&amp;ckAwdTable[[#This Row],[prop_id]], ckAwdTable[[#This Row],[email]])</f>
        <v>dwang5@nd.edu</v>
      </c>
      <c r="X45" s="30">
        <v>43344</v>
      </c>
      <c r="Y45">
        <v>60</v>
      </c>
      <c r="Z45" t="s">
        <v>451</v>
      </c>
      <c r="AA45" s="21" t="s">
        <v>1573</v>
      </c>
      <c r="AB45" s="21" t="s">
        <v>454</v>
      </c>
      <c r="AC45"/>
      <c r="AD45" s="21" t="s">
        <v>13</v>
      </c>
      <c r="AE45" s="21" t="s">
        <v>260</v>
      </c>
      <c r="AF45" s="21" t="s">
        <v>450</v>
      </c>
      <c r="AG45" s="21" t="str">
        <f>IFERROR(IF(FIND("?",ckAwdTable[[#This Row],[abst_narr_txt]]),SummarizeQuestMarks(ckAwdTable[[#This Row],[abst_narr_txt]]),""),"")</f>
        <v/>
      </c>
      <c r="AI45" s="13">
        <v>533683</v>
      </c>
      <c r="AJ45" s="21">
        <v>0</v>
      </c>
      <c r="AK45" s="1">
        <v>533683</v>
      </c>
      <c r="AL45" s="1"/>
      <c r="AM45" s="1">
        <v>15000</v>
      </c>
      <c r="AP45" s="21">
        <v>5</v>
      </c>
      <c r="AQ45" s="21">
        <v>5</v>
      </c>
      <c r="AR45" s="21">
        <v>5</v>
      </c>
      <c r="AS45" s="21"/>
      <c r="AT45" s="21"/>
      <c r="AU45" s="8" t="s">
        <v>173</v>
      </c>
      <c r="AV45" t="s">
        <v>1309</v>
      </c>
      <c r="AW45" t="b">
        <f>AND(ckAwdTable[[#This Row],[ILN]]&gt;"M", SUBSTITUTE(ckAwdTable[[#This Row],[prop_titl_txt]]," ","")&lt;&gt;SUBSTITUTE(AV44," ",""))</f>
        <v>0</v>
      </c>
      <c r="AX45" s="8" t="s">
        <v>1310</v>
      </c>
    </row>
    <row r="46" spans="2:50">
      <c r="B46" s="30">
        <v>42935.572222222225</v>
      </c>
      <c r="C46" t="s">
        <v>248</v>
      </c>
      <c r="D46" t="s">
        <v>1124</v>
      </c>
      <c r="E46" t="s">
        <v>1125</v>
      </c>
      <c r="F46" t="s">
        <v>596</v>
      </c>
      <c r="G46" s="8" t="s">
        <v>172</v>
      </c>
      <c r="H46" s="8" t="s">
        <v>170</v>
      </c>
      <c r="I46" s="8" t="s">
        <v>447</v>
      </c>
      <c r="J46" t="s">
        <v>94</v>
      </c>
      <c r="K46" t="s">
        <v>1271</v>
      </c>
      <c r="L46" s="22"/>
      <c r="M46">
        <f xml:space="preserve"> M45+(ckAwdTable[ILN]&lt;"M")</f>
        <v>22</v>
      </c>
      <c r="N46" t="s">
        <v>96</v>
      </c>
      <c r="O46" t="s">
        <v>837</v>
      </c>
      <c r="P46" s="15" t="str">
        <f>HYPERLINK("https://www.ejacket.nsf.gov/ej/showProposal.do?ID="&amp;ckAwdTable[[#This Row],[prop_id]],"eJ")</f>
        <v>eJ</v>
      </c>
      <c r="Q46" s="8" t="s">
        <v>1127</v>
      </c>
      <c r="R46" t="s">
        <v>837</v>
      </c>
      <c r="S46" t="s">
        <v>838</v>
      </c>
      <c r="T46" t="s">
        <v>1311</v>
      </c>
      <c r="U46" s="8" t="s">
        <v>567</v>
      </c>
      <c r="V46" t="s">
        <v>264</v>
      </c>
      <c r="W46" s="15" t="str">
        <f>HYPERLINK("mailto:"&amp; ckAwdTable[[#This Row],[email]]&amp;"&amp;subject=Your NSF Proposal:  "&amp;ckAwdTable[[#This Row],[prop_id]], ckAwdTable[[#This Row],[email]])</f>
        <v>zdkong@ucdavis.edu</v>
      </c>
      <c r="X46" s="30">
        <v>43160</v>
      </c>
      <c r="Y46">
        <v>60</v>
      </c>
      <c r="AA46" s="21" t="s">
        <v>13</v>
      </c>
      <c r="AB46" s="21" t="s">
        <v>454</v>
      </c>
      <c r="AC46"/>
      <c r="AD46" s="21" t="s">
        <v>13</v>
      </c>
      <c r="AF46" s="21" t="s">
        <v>450</v>
      </c>
      <c r="AG46" s="21" t="str">
        <f>IFERROR(IF(FIND("?",ckAwdTable[[#This Row],[abst_narr_txt]]),SummarizeQuestMarks(ckAwdTable[[#This Row],[abst_narr_txt]]),""),"")</f>
        <v/>
      </c>
      <c r="AI46" s="13">
        <v>588632</v>
      </c>
      <c r="AJ46" s="21">
        <v>0</v>
      </c>
      <c r="AK46" s="1">
        <v>588632</v>
      </c>
      <c r="AL46" s="1"/>
      <c r="AM46" s="1"/>
      <c r="AO46" s="1">
        <v>3600</v>
      </c>
      <c r="AP46" s="21">
        <v>10</v>
      </c>
      <c r="AQ46" s="21">
        <v>5</v>
      </c>
      <c r="AR46" s="21">
        <v>2.5</v>
      </c>
      <c r="AS46" s="21"/>
      <c r="AT46" s="21"/>
      <c r="AU46" s="8" t="s">
        <v>173</v>
      </c>
      <c r="AV46" t="s">
        <v>1312</v>
      </c>
      <c r="AW46" t="b">
        <f>AND(ckAwdTable[[#This Row],[ILN]]&gt;"M", SUBSTITUTE(ckAwdTable[[#This Row],[prop_titl_txt]]," ","")&lt;&gt;SUBSTITUTE(AV45," ",""))</f>
        <v>0</v>
      </c>
      <c r="AX46" s="8" t="s">
        <v>1313</v>
      </c>
    </row>
    <row r="47" spans="2:50">
      <c r="B47" s="30">
        <v>42935.620833333334</v>
      </c>
      <c r="C47" t="s">
        <v>248</v>
      </c>
      <c r="D47" t="s">
        <v>1124</v>
      </c>
      <c r="E47" t="s">
        <v>1125</v>
      </c>
      <c r="F47" t="s">
        <v>596</v>
      </c>
      <c r="G47" s="8" t="s">
        <v>172</v>
      </c>
      <c r="H47" s="8" t="s">
        <v>170</v>
      </c>
      <c r="I47" s="8" t="s">
        <v>447</v>
      </c>
      <c r="J47" t="s">
        <v>94</v>
      </c>
      <c r="K47" t="s">
        <v>1271</v>
      </c>
      <c r="L47" s="22"/>
      <c r="M47">
        <f xml:space="preserve"> M46+(ckAwdTable[ILN]&lt;"M")</f>
        <v>23</v>
      </c>
      <c r="N47" t="s">
        <v>96</v>
      </c>
      <c r="O47" t="s">
        <v>845</v>
      </c>
      <c r="P47" s="15" t="str">
        <f>HYPERLINK("https://www.ejacket.nsf.gov/ej/showProposal.do?ID="&amp;ckAwdTable[[#This Row],[prop_id]],"eJ")</f>
        <v>eJ</v>
      </c>
      <c r="Q47" s="8" t="s">
        <v>1127</v>
      </c>
      <c r="R47" t="s">
        <v>845</v>
      </c>
      <c r="S47" t="s">
        <v>473</v>
      </c>
      <c r="T47" t="s">
        <v>1314</v>
      </c>
      <c r="U47" s="8" t="s">
        <v>1315</v>
      </c>
      <c r="V47" t="s">
        <v>264</v>
      </c>
      <c r="W47" s="15" t="str">
        <f>HYPERLINK("mailto:"&amp; ckAwdTable[[#This Row],[email]]&amp;"&amp;subject=Your NSF Proposal:  "&amp;ckAwdTable[[#This Row],[prop_id]], ckAwdTable[[#This Row],[email]])</f>
        <v>kaikai.liu@sjsu.edu</v>
      </c>
      <c r="X47" s="30">
        <v>43160</v>
      </c>
      <c r="Y47">
        <v>60</v>
      </c>
      <c r="AA47" s="21" t="s">
        <v>13</v>
      </c>
      <c r="AB47" s="21" t="s">
        <v>454</v>
      </c>
      <c r="AC47"/>
      <c r="AD47" s="21" t="s">
        <v>13</v>
      </c>
      <c r="AF47" s="21" t="s">
        <v>450</v>
      </c>
      <c r="AG47" s="21" t="str">
        <f>IFERROR(IF(FIND("?",ckAwdTable[[#This Row],[abst_narr_txt]]),SummarizeQuestMarks(ckAwdTable[[#This Row],[abst_narr_txt]]),""),"")</f>
        <v/>
      </c>
      <c r="AI47" s="13">
        <v>486820</v>
      </c>
      <c r="AJ47" s="21">
        <v>0</v>
      </c>
      <c r="AK47" s="1">
        <v>486820</v>
      </c>
      <c r="AL47" s="1"/>
      <c r="AM47" s="1"/>
      <c r="AP47" s="21">
        <v>15</v>
      </c>
      <c r="AQ47" s="21">
        <v>5</v>
      </c>
      <c r="AR47" s="21">
        <v>5</v>
      </c>
      <c r="AS47" s="21"/>
      <c r="AT47" s="21"/>
      <c r="AU47" s="8" t="s">
        <v>173</v>
      </c>
      <c r="AV47" t="s">
        <v>1317</v>
      </c>
      <c r="AW47" t="b">
        <f>AND(ckAwdTable[[#This Row],[ILN]]&gt;"M", SUBSTITUTE(ckAwdTable[[#This Row],[prop_titl_txt]]," ","")&lt;&gt;SUBSTITUTE(AV46," ",""))</f>
        <v>0</v>
      </c>
      <c r="AX47" s="8" t="s">
        <v>1318</v>
      </c>
    </row>
    <row r="48" spans="2:50">
      <c r="B48" s="30">
        <v>42935.634722222225</v>
      </c>
      <c r="C48" t="s">
        <v>248</v>
      </c>
      <c r="D48" t="s">
        <v>1124</v>
      </c>
      <c r="E48" t="s">
        <v>1125</v>
      </c>
      <c r="F48" t="s">
        <v>596</v>
      </c>
      <c r="G48" s="8" t="s">
        <v>172</v>
      </c>
      <c r="H48" s="8" t="s">
        <v>170</v>
      </c>
      <c r="I48" s="8" t="s">
        <v>447</v>
      </c>
      <c r="J48" t="s">
        <v>94</v>
      </c>
      <c r="K48" t="s">
        <v>1271</v>
      </c>
      <c r="L48" s="22"/>
      <c r="M48">
        <f xml:space="preserve"> M47+(ckAwdTable[ILN]&lt;"M")</f>
        <v>24</v>
      </c>
      <c r="N48" t="s">
        <v>96</v>
      </c>
      <c r="O48" t="s">
        <v>852</v>
      </c>
      <c r="P48" s="15" t="str">
        <f>HYPERLINK("https://www.ejacket.nsf.gov/ej/showProposal.do?ID="&amp;ckAwdTable[[#This Row],[prop_id]],"eJ")</f>
        <v>eJ</v>
      </c>
      <c r="Q48" s="8" t="s">
        <v>1127</v>
      </c>
      <c r="R48" t="s">
        <v>852</v>
      </c>
      <c r="S48" t="s">
        <v>853</v>
      </c>
      <c r="T48" t="s">
        <v>1319</v>
      </c>
      <c r="U48" s="8" t="s">
        <v>361</v>
      </c>
      <c r="V48" t="s">
        <v>362</v>
      </c>
      <c r="W48" s="15" t="str">
        <f>HYPERLINK("mailto:"&amp; ckAwdTable[[#This Row],[email]]&amp;"&amp;subject=Your NSF Proposal:  "&amp;ckAwdTable[[#This Row],[prop_id]], ckAwdTable[[#This Row],[email]])</f>
        <v>kyriakos@vt.edu</v>
      </c>
      <c r="X48" s="30">
        <v>43101</v>
      </c>
      <c r="Y48">
        <v>60</v>
      </c>
      <c r="AA48" s="21" t="s">
        <v>13</v>
      </c>
      <c r="AB48" s="21" t="s">
        <v>454</v>
      </c>
      <c r="AC48"/>
      <c r="AD48" s="21" t="s">
        <v>13</v>
      </c>
      <c r="AE48" s="21" t="s">
        <v>1574</v>
      </c>
      <c r="AF48" s="21" t="s">
        <v>450</v>
      </c>
      <c r="AG48" s="21" t="str">
        <f>IFERROR(IF(FIND("?",ckAwdTable[[#This Row],[abst_narr_txt]]),SummarizeQuestMarks(ckAwdTable[[#This Row],[abst_narr_txt]]),""),"")</f>
        <v/>
      </c>
      <c r="AI48" s="13">
        <v>645910</v>
      </c>
      <c r="AJ48" s="21">
        <v>0</v>
      </c>
      <c r="AK48" s="1">
        <v>645910</v>
      </c>
      <c r="AL48" s="1"/>
      <c r="AM48" s="1">
        <v>35000</v>
      </c>
      <c r="AP48" s="21">
        <v>5</v>
      </c>
      <c r="AQ48" s="21">
        <v>5</v>
      </c>
      <c r="AR48" s="21">
        <v>5</v>
      </c>
      <c r="AS48" s="21"/>
      <c r="AT48" s="21"/>
      <c r="AU48" s="8" t="s">
        <v>173</v>
      </c>
      <c r="AV48" t="s">
        <v>1321</v>
      </c>
      <c r="AW48" t="b">
        <f>AND(ckAwdTable[[#This Row],[ILN]]&gt;"M", SUBSTITUTE(ckAwdTable[[#This Row],[prop_titl_txt]]," ","")&lt;&gt;SUBSTITUTE(AV47," ",""))</f>
        <v>0</v>
      </c>
      <c r="AX48" s="8" t="s">
        <v>1322</v>
      </c>
    </row>
    <row r="49" spans="1:50">
      <c r="B49" s="30">
        <v>42935.63958333333</v>
      </c>
      <c r="C49" t="s">
        <v>248</v>
      </c>
      <c r="D49" t="s">
        <v>1124</v>
      </c>
      <c r="E49" t="s">
        <v>1125</v>
      </c>
      <c r="F49" t="s">
        <v>596</v>
      </c>
      <c r="G49" s="8" t="s">
        <v>172</v>
      </c>
      <c r="H49" s="8" t="s">
        <v>170</v>
      </c>
      <c r="I49" s="8" t="s">
        <v>447</v>
      </c>
      <c r="J49" t="s">
        <v>94</v>
      </c>
      <c r="K49" t="s">
        <v>1271</v>
      </c>
      <c r="L49" s="22"/>
      <c r="M49">
        <f xml:space="preserve"> M48+(ckAwdTable[ILN]&lt;"M")</f>
        <v>25</v>
      </c>
      <c r="N49" t="s">
        <v>96</v>
      </c>
      <c r="O49" t="s">
        <v>859</v>
      </c>
      <c r="P49" s="15" t="str">
        <f>HYPERLINK("https://www.ejacket.nsf.gov/ej/showProposal.do?ID="&amp;ckAwdTable[[#This Row],[prop_id]],"eJ")</f>
        <v>eJ</v>
      </c>
      <c r="Q49" s="8" t="s">
        <v>1127</v>
      </c>
      <c r="R49" t="s">
        <v>859</v>
      </c>
      <c r="S49" t="s">
        <v>860</v>
      </c>
      <c r="T49" t="s">
        <v>1323</v>
      </c>
      <c r="U49" s="8" t="s">
        <v>460</v>
      </c>
      <c r="V49" t="s">
        <v>461</v>
      </c>
      <c r="W49" s="15" t="str">
        <f>HYPERLINK("mailto:"&amp; ckAwdTable[[#This Row],[email]]&amp;"&amp;subject=Your NSF Proposal:  "&amp;ckAwdTable[[#This Row],[prop_id]], ckAwdTable[[#This Row],[email]])</f>
        <v>psd@engr.uconn.edu</v>
      </c>
      <c r="X49" s="30">
        <v>43101</v>
      </c>
      <c r="Y49">
        <v>60</v>
      </c>
      <c r="AA49" s="21" t="s">
        <v>13</v>
      </c>
      <c r="AB49" s="21" t="s">
        <v>454</v>
      </c>
      <c r="AC49"/>
      <c r="AD49" s="21" t="s">
        <v>13</v>
      </c>
      <c r="AE49" s="21" t="s">
        <v>1575</v>
      </c>
      <c r="AF49" s="21" t="s">
        <v>450</v>
      </c>
      <c r="AG49" s="21" t="str">
        <f>IFERROR(IF(FIND("?",ckAwdTable[[#This Row],[abst_narr_txt]]),SummarizeQuestMarks(ckAwdTable[[#This Row],[abst_narr_txt]]),""),"")</f>
        <v/>
      </c>
      <c r="AI49" s="13">
        <v>508393</v>
      </c>
      <c r="AJ49" s="21">
        <v>0</v>
      </c>
      <c r="AK49" s="1">
        <v>508393</v>
      </c>
      <c r="AL49" s="1"/>
      <c r="AM49" s="1">
        <v>15000</v>
      </c>
      <c r="AP49" s="21">
        <v>5</v>
      </c>
      <c r="AQ49" s="21">
        <v>5</v>
      </c>
      <c r="AR49" s="21">
        <v>5</v>
      </c>
      <c r="AS49" s="21"/>
      <c r="AT49" s="21"/>
      <c r="AU49" s="8" t="s">
        <v>173</v>
      </c>
      <c r="AV49" t="s">
        <v>1324</v>
      </c>
      <c r="AW49" t="b">
        <f>AND(ckAwdTable[[#This Row],[ILN]]&gt;"M", SUBSTITUTE(ckAwdTable[[#This Row],[prop_titl_txt]]," ","")&lt;&gt;SUBSTITUTE(AV48," ",""))</f>
        <v>0</v>
      </c>
      <c r="AX49" s="8" t="s">
        <v>1325</v>
      </c>
    </row>
    <row r="50" spans="1:50">
      <c r="B50" s="30">
        <v>42935.647916666669</v>
      </c>
      <c r="C50" t="s">
        <v>248</v>
      </c>
      <c r="D50" t="s">
        <v>1124</v>
      </c>
      <c r="E50" t="s">
        <v>1125</v>
      </c>
      <c r="F50" t="s">
        <v>596</v>
      </c>
      <c r="G50" s="8" t="s">
        <v>172</v>
      </c>
      <c r="H50" s="8" t="s">
        <v>170</v>
      </c>
      <c r="I50" s="8" t="s">
        <v>447</v>
      </c>
      <c r="J50" t="s">
        <v>94</v>
      </c>
      <c r="K50" t="s">
        <v>1271</v>
      </c>
      <c r="L50" s="22"/>
      <c r="M50">
        <f xml:space="preserve"> M49+(ckAwdTable[ILN]&lt;"M")</f>
        <v>26</v>
      </c>
      <c r="N50" t="s">
        <v>96</v>
      </c>
      <c r="O50" t="s">
        <v>867</v>
      </c>
      <c r="P50" s="15" t="str">
        <f>HYPERLINK("https://www.ejacket.nsf.gov/ej/showProposal.do?ID="&amp;ckAwdTable[[#This Row],[prop_id]],"eJ")</f>
        <v>eJ</v>
      </c>
      <c r="Q50" s="8" t="s">
        <v>1127</v>
      </c>
      <c r="R50" t="s">
        <v>867</v>
      </c>
      <c r="S50" t="s">
        <v>561</v>
      </c>
      <c r="T50" t="s">
        <v>1326</v>
      </c>
      <c r="U50" s="8" t="s">
        <v>351</v>
      </c>
      <c r="V50" t="s">
        <v>352</v>
      </c>
      <c r="W50" s="15" t="str">
        <f>HYPERLINK("mailto:"&amp; ckAwdTable[[#This Row],[email]]&amp;"&amp;subject=Your NSF Proposal:  "&amp;ckAwdTable[[#This Row],[prop_id]], ckAwdTable[[#This Row],[email]])</f>
        <v>gracegao@illinois.edu</v>
      </c>
      <c r="X50" s="30">
        <v>43236</v>
      </c>
      <c r="Y50">
        <v>60</v>
      </c>
      <c r="AA50" s="21" t="s">
        <v>13</v>
      </c>
      <c r="AB50" s="21" t="s">
        <v>454</v>
      </c>
      <c r="AC50"/>
      <c r="AD50" s="21" t="s">
        <v>13</v>
      </c>
      <c r="AF50" s="21" t="s">
        <v>450</v>
      </c>
      <c r="AG50" s="21" t="str">
        <f>IFERROR(IF(FIND("?",ckAwdTable[[#This Row],[abst_narr_txt]]),SummarizeQuestMarks(ckAwdTable[[#This Row],[abst_narr_txt]]),""),"")</f>
        <v/>
      </c>
      <c r="AI50" s="13">
        <v>517473</v>
      </c>
      <c r="AJ50" s="21">
        <v>0</v>
      </c>
      <c r="AK50" s="1">
        <v>517473</v>
      </c>
      <c r="AL50" s="1"/>
      <c r="AM50" s="1"/>
      <c r="AP50" s="21">
        <v>7</v>
      </c>
      <c r="AQ50" s="21">
        <v>5</v>
      </c>
      <c r="AR50" s="21">
        <v>3.12</v>
      </c>
      <c r="AS50" s="21"/>
      <c r="AT50" s="21"/>
      <c r="AU50" s="8" t="s">
        <v>173</v>
      </c>
      <c r="AV50" t="s">
        <v>1328</v>
      </c>
      <c r="AW50" t="b">
        <f>AND(ckAwdTable[[#This Row],[ILN]]&gt;"M", SUBSTITUTE(ckAwdTable[[#This Row],[prop_titl_txt]]," ","")&lt;&gt;SUBSTITUTE(AV49," ",""))</f>
        <v>0</v>
      </c>
      <c r="AX50" s="8" t="s">
        <v>1329</v>
      </c>
    </row>
    <row r="51" spans="1:50">
      <c r="B51" s="30">
        <v>42935.674305555556</v>
      </c>
      <c r="C51" t="s">
        <v>248</v>
      </c>
      <c r="D51" t="s">
        <v>1124</v>
      </c>
      <c r="E51" t="s">
        <v>1125</v>
      </c>
      <c r="F51" t="s">
        <v>705</v>
      </c>
      <c r="G51" s="8" t="s">
        <v>172</v>
      </c>
      <c r="H51" s="8" t="s">
        <v>170</v>
      </c>
      <c r="I51" s="8" t="s">
        <v>447</v>
      </c>
      <c r="J51" t="s">
        <v>94</v>
      </c>
      <c r="K51" t="s">
        <v>1271</v>
      </c>
      <c r="L51" s="22"/>
      <c r="M51">
        <f xml:space="preserve"> M50+(ckAwdTable[ILN]&lt;"M")</f>
        <v>27</v>
      </c>
      <c r="N51" t="s">
        <v>96</v>
      </c>
      <c r="O51" t="s">
        <v>874</v>
      </c>
      <c r="P51" s="15" t="str">
        <f>HYPERLINK("https://www.ejacket.nsf.gov/ej/showProposal.do?ID="&amp;ckAwdTable[[#This Row],[prop_id]],"eJ")</f>
        <v>eJ</v>
      </c>
      <c r="Q51" s="8" t="s">
        <v>1127</v>
      </c>
      <c r="R51" t="s">
        <v>874</v>
      </c>
      <c r="S51" t="s">
        <v>875</v>
      </c>
      <c r="T51" t="s">
        <v>1330</v>
      </c>
      <c r="U51" s="8" t="s">
        <v>217</v>
      </c>
      <c r="V51" t="s">
        <v>266</v>
      </c>
      <c r="W51" s="15" t="str">
        <f>HYPERLINK("mailto:"&amp; ckAwdTable[[#This Row],[email]]&amp;"&amp;subject=Your NSF Proposal:  "&amp;ckAwdTable[[#This Row],[prop_id]], ckAwdTable[[#This Row],[email]])</f>
        <v>kdantu@buffalo.edu</v>
      </c>
      <c r="X51" s="30">
        <v>43221</v>
      </c>
      <c r="Y51">
        <v>60</v>
      </c>
      <c r="AA51" s="21" t="s">
        <v>13</v>
      </c>
      <c r="AB51" s="21" t="s">
        <v>454</v>
      </c>
      <c r="AC51"/>
      <c r="AD51" s="21" t="s">
        <v>13</v>
      </c>
      <c r="AE51" s="21" t="s">
        <v>452</v>
      </c>
      <c r="AF51" s="21" t="s">
        <v>450</v>
      </c>
      <c r="AG51" s="21" t="str">
        <f>IFERROR(IF(FIND("?",ckAwdTable[[#This Row],[abst_narr_txt]]),SummarizeQuestMarks(ckAwdTable[[#This Row],[abst_narr_txt]]),""),"")</f>
        <v/>
      </c>
      <c r="AI51" s="13">
        <v>651679</v>
      </c>
      <c r="AJ51" s="21">
        <v>0</v>
      </c>
      <c r="AK51" s="1">
        <v>651679</v>
      </c>
      <c r="AL51" s="1"/>
      <c r="AM51" s="1">
        <v>50000</v>
      </c>
      <c r="AP51" s="21">
        <v>5</v>
      </c>
      <c r="AQ51" s="21">
        <v>5</v>
      </c>
      <c r="AR51" s="21">
        <v>2.5</v>
      </c>
      <c r="AS51" s="21"/>
      <c r="AT51" s="21"/>
      <c r="AU51" s="8" t="s">
        <v>173</v>
      </c>
      <c r="AV51" t="s">
        <v>1332</v>
      </c>
      <c r="AW51" t="b">
        <f>AND(ckAwdTable[[#This Row],[ILN]]&gt;"M", SUBSTITUTE(ckAwdTable[[#This Row],[prop_titl_txt]]," ","")&lt;&gt;SUBSTITUTE(AV50," ",""))</f>
        <v>0</v>
      </c>
      <c r="AX51" s="8" t="s">
        <v>1333</v>
      </c>
    </row>
    <row r="52" spans="1:50">
      <c r="B52" s="30">
        <v>42935.683333333334</v>
      </c>
      <c r="C52" t="s">
        <v>248</v>
      </c>
      <c r="D52" t="s">
        <v>1124</v>
      </c>
      <c r="E52" t="s">
        <v>1125</v>
      </c>
      <c r="F52" t="s">
        <v>596</v>
      </c>
      <c r="G52" s="8" t="s">
        <v>172</v>
      </c>
      <c r="H52" s="8" t="s">
        <v>170</v>
      </c>
      <c r="I52" s="8" t="s">
        <v>447</v>
      </c>
      <c r="J52" t="s">
        <v>94</v>
      </c>
      <c r="K52" t="s">
        <v>1271</v>
      </c>
      <c r="L52" s="22"/>
      <c r="M52">
        <f xml:space="preserve"> M51+(ckAwdTable[ILN]&lt;"M")</f>
        <v>28</v>
      </c>
      <c r="N52" t="s">
        <v>96</v>
      </c>
      <c r="O52" t="s">
        <v>883</v>
      </c>
      <c r="P52" s="15" t="str">
        <f>HYPERLINK("https://www.ejacket.nsf.gov/ej/showProposal.do?ID="&amp;ckAwdTable[[#This Row],[prop_id]],"eJ")</f>
        <v>eJ</v>
      </c>
      <c r="Q52" s="8" t="s">
        <v>1127</v>
      </c>
      <c r="R52" t="s">
        <v>883</v>
      </c>
      <c r="S52" t="s">
        <v>884</v>
      </c>
      <c r="T52" t="s">
        <v>1334</v>
      </c>
      <c r="U52" s="8" t="s">
        <v>1335</v>
      </c>
      <c r="V52" t="s">
        <v>97</v>
      </c>
      <c r="W52" s="15" t="str">
        <f>HYPERLINK("mailto:"&amp; ckAwdTable[[#This Row],[email]]&amp;"&amp;subject=Your NSF Proposal:  "&amp;ckAwdTable[[#This Row],[prop_id]], ckAwdTable[[#This Row],[email]])</f>
        <v>adrian.lauf@louisville.edu</v>
      </c>
      <c r="X52" s="30">
        <v>43101</v>
      </c>
      <c r="Y52">
        <v>60</v>
      </c>
      <c r="AA52" s="21" t="s">
        <v>13</v>
      </c>
      <c r="AB52" s="21" t="s">
        <v>454</v>
      </c>
      <c r="AC52"/>
      <c r="AD52" s="21" t="s">
        <v>13</v>
      </c>
      <c r="AF52" s="21" t="s">
        <v>450</v>
      </c>
      <c r="AG52" s="21" t="str">
        <f>IFERROR(IF(FIND("?",ckAwdTable[[#This Row],[abst_narr_txt]]),SummarizeQuestMarks(ckAwdTable[[#This Row],[abst_narr_txt]]),""),"")</f>
        <v/>
      </c>
      <c r="AI52" s="13">
        <v>519006</v>
      </c>
      <c r="AJ52" s="21">
        <v>0</v>
      </c>
      <c r="AK52" s="1">
        <v>519006</v>
      </c>
      <c r="AL52" s="1"/>
      <c r="AM52" s="1"/>
      <c r="AP52" s="21">
        <v>7</v>
      </c>
      <c r="AQ52" s="21">
        <v>5</v>
      </c>
      <c r="AR52" s="21">
        <v>5</v>
      </c>
      <c r="AS52" s="21"/>
      <c r="AT52" s="21"/>
      <c r="AU52" s="8" t="s">
        <v>173</v>
      </c>
      <c r="AV52" t="s">
        <v>1337</v>
      </c>
      <c r="AW52" t="b">
        <f>AND(ckAwdTable[[#This Row],[ILN]]&gt;"M", SUBSTITUTE(ckAwdTable[[#This Row],[prop_titl_txt]]," ","")&lt;&gt;SUBSTITUTE(AV51," ",""))</f>
        <v>0</v>
      </c>
      <c r="AX52" s="8" t="s">
        <v>1338</v>
      </c>
    </row>
    <row r="53" spans="1:50">
      <c r="B53" s="30">
        <v>42935.708333333336</v>
      </c>
      <c r="C53" t="s">
        <v>248</v>
      </c>
      <c r="D53" t="s">
        <v>1124</v>
      </c>
      <c r="E53" t="s">
        <v>1125</v>
      </c>
      <c r="F53" t="s">
        <v>596</v>
      </c>
      <c r="G53" s="8" t="s">
        <v>172</v>
      </c>
      <c r="H53" s="8" t="s">
        <v>170</v>
      </c>
      <c r="I53" s="8" t="s">
        <v>447</v>
      </c>
      <c r="J53" t="s">
        <v>94</v>
      </c>
      <c r="K53" t="s">
        <v>1271</v>
      </c>
      <c r="L53" s="22"/>
      <c r="M53">
        <f xml:space="preserve"> M52+(ckAwdTable[ILN]&lt;"M")</f>
        <v>29</v>
      </c>
      <c r="N53" t="s">
        <v>96</v>
      </c>
      <c r="O53" t="s">
        <v>891</v>
      </c>
      <c r="P53" s="15" t="str">
        <f>HYPERLINK("https://www.ejacket.nsf.gov/ej/showProposal.do?ID="&amp;ckAwdTable[[#This Row],[prop_id]],"eJ")</f>
        <v>eJ</v>
      </c>
      <c r="Q53" s="8" t="s">
        <v>1127</v>
      </c>
      <c r="R53" t="s">
        <v>891</v>
      </c>
      <c r="S53" t="s">
        <v>892</v>
      </c>
      <c r="T53" t="s">
        <v>1339</v>
      </c>
      <c r="U53" s="8" t="s">
        <v>353</v>
      </c>
      <c r="V53" t="s">
        <v>264</v>
      </c>
      <c r="W53" s="15" t="str">
        <f>HYPERLINK("mailto:"&amp; ckAwdTable[[#This Row],[email]]&amp;"&amp;subject=Your NSF Proposal:  "&amp;ckAwdTable[[#This Row],[prop_id]], ckAwdTable[[#This Row],[email]])</f>
        <v>zak.kassas@ucr.edu</v>
      </c>
      <c r="X53" s="30">
        <v>43191</v>
      </c>
      <c r="Y53">
        <v>60</v>
      </c>
      <c r="AA53" s="21" t="s">
        <v>13</v>
      </c>
      <c r="AB53" s="21" t="s">
        <v>454</v>
      </c>
      <c r="AC53"/>
      <c r="AD53" s="21" t="s">
        <v>13</v>
      </c>
      <c r="AE53" s="21" t="s">
        <v>1574</v>
      </c>
      <c r="AF53" s="21" t="s">
        <v>450</v>
      </c>
      <c r="AG53" s="21" t="str">
        <f>IFERROR(IF(FIND("?",ckAwdTable[[#This Row],[abst_narr_txt]]),SummarizeQuestMarks(ckAwdTable[[#This Row],[abst_narr_txt]]),""),"")</f>
        <v/>
      </c>
      <c r="AI53" s="13">
        <v>500000</v>
      </c>
      <c r="AJ53" s="21">
        <v>0</v>
      </c>
      <c r="AK53" s="1">
        <v>500000</v>
      </c>
      <c r="AL53" s="1"/>
      <c r="AM53" s="1">
        <v>8000</v>
      </c>
      <c r="AP53" s="21">
        <v>5</v>
      </c>
      <c r="AQ53" s="21">
        <v>5</v>
      </c>
      <c r="AR53" s="21">
        <v>5</v>
      </c>
      <c r="AS53" s="21"/>
      <c r="AT53" s="21"/>
      <c r="AU53" s="8" t="s">
        <v>173</v>
      </c>
      <c r="AV53" t="s">
        <v>1341</v>
      </c>
      <c r="AW53" t="b">
        <f>AND(ckAwdTable[[#This Row],[ILN]]&gt;"M", SUBSTITUTE(ckAwdTable[[#This Row],[prop_titl_txt]]," ","")&lt;&gt;SUBSTITUTE(AV52," ",""))</f>
        <v>0</v>
      </c>
      <c r="AX53" s="8" t="s">
        <v>1342</v>
      </c>
    </row>
    <row r="54" spans="1:50">
      <c r="B54" s="30">
        <v>42935.712500000001</v>
      </c>
      <c r="C54" t="s">
        <v>248</v>
      </c>
      <c r="D54" t="s">
        <v>1124</v>
      </c>
      <c r="E54" t="s">
        <v>1125</v>
      </c>
      <c r="F54" t="s">
        <v>596</v>
      </c>
      <c r="G54" s="8" t="s">
        <v>172</v>
      </c>
      <c r="H54" s="8" t="s">
        <v>170</v>
      </c>
      <c r="I54" s="8" t="s">
        <v>447</v>
      </c>
      <c r="J54" t="s">
        <v>94</v>
      </c>
      <c r="K54" t="s">
        <v>1271</v>
      </c>
      <c r="L54" s="22"/>
      <c r="M54">
        <f xml:space="preserve"> M53+(ckAwdTable[ILN]&lt;"M")</f>
        <v>30</v>
      </c>
      <c r="N54" t="s">
        <v>96</v>
      </c>
      <c r="O54" t="s">
        <v>899</v>
      </c>
      <c r="P54" s="15" t="str">
        <f>HYPERLINK("https://www.ejacket.nsf.gov/ej/showProposal.do?ID="&amp;ckAwdTable[[#This Row],[prop_id]],"eJ")</f>
        <v>eJ</v>
      </c>
      <c r="Q54" s="8" t="s">
        <v>1127</v>
      </c>
      <c r="R54" t="s">
        <v>899</v>
      </c>
      <c r="S54" t="s">
        <v>900</v>
      </c>
      <c r="T54" t="s">
        <v>1343</v>
      </c>
      <c r="U54" s="8" t="s">
        <v>1344</v>
      </c>
      <c r="V54" t="s">
        <v>99</v>
      </c>
      <c r="W54" s="15" t="str">
        <f>HYPERLINK("mailto:"&amp; ckAwdTable[[#This Row],[email]]&amp;"&amp;subject=Your NSF Proposal:  "&amp;ckAwdTable[[#This Row],[prop_id]], ckAwdTable[[#This Row],[email]])</f>
        <v>atkison@cs.ua.edu</v>
      </c>
      <c r="X54" s="30">
        <v>43327</v>
      </c>
      <c r="Y54">
        <v>60</v>
      </c>
      <c r="AA54" s="21" t="s">
        <v>13</v>
      </c>
      <c r="AB54" s="21" t="s">
        <v>454</v>
      </c>
      <c r="AC54"/>
      <c r="AD54" s="21" t="s">
        <v>13</v>
      </c>
      <c r="AF54" s="21" t="s">
        <v>450</v>
      </c>
      <c r="AG54" s="21" t="str">
        <f>IFERROR(IF(FIND("?",ckAwdTable[[#This Row],[abst_narr_txt]]),SummarizeQuestMarks(ckAwdTable[[#This Row],[abst_narr_txt]]),""),"")</f>
        <v/>
      </c>
      <c r="AI54" s="13">
        <v>662136</v>
      </c>
      <c r="AJ54" s="21">
        <v>0</v>
      </c>
      <c r="AK54" s="1">
        <v>662136</v>
      </c>
      <c r="AL54" s="1"/>
      <c r="AM54" s="1"/>
      <c r="AP54" s="21">
        <v>5</v>
      </c>
      <c r="AQ54" s="21">
        <v>5</v>
      </c>
      <c r="AR54" s="21">
        <v>10</v>
      </c>
      <c r="AS54" s="21"/>
      <c r="AT54" s="21"/>
      <c r="AU54" s="8" t="s">
        <v>173</v>
      </c>
      <c r="AV54" t="s">
        <v>1346</v>
      </c>
      <c r="AW54" t="b">
        <f>AND(ckAwdTable[[#This Row],[ILN]]&gt;"M", SUBSTITUTE(ckAwdTable[[#This Row],[prop_titl_txt]]," ","")&lt;&gt;SUBSTITUTE(AV53," ",""))</f>
        <v>0</v>
      </c>
      <c r="AX54" s="8" t="s">
        <v>1347</v>
      </c>
    </row>
    <row r="55" spans="1:50">
      <c r="B55" s="30">
        <v>42935.732638888891</v>
      </c>
      <c r="C55" t="s">
        <v>248</v>
      </c>
      <c r="D55" t="s">
        <v>1124</v>
      </c>
      <c r="E55" t="s">
        <v>1125</v>
      </c>
      <c r="F55" t="s">
        <v>596</v>
      </c>
      <c r="G55" s="8" t="s">
        <v>172</v>
      </c>
      <c r="H55" s="8" t="s">
        <v>170</v>
      </c>
      <c r="I55" s="8" t="s">
        <v>447</v>
      </c>
      <c r="J55" t="s">
        <v>94</v>
      </c>
      <c r="K55" t="s">
        <v>1271</v>
      </c>
      <c r="L55" s="22"/>
      <c r="M55">
        <f xml:space="preserve"> M54+(ckAwdTable[ILN]&lt;"M")</f>
        <v>31</v>
      </c>
      <c r="N55" t="s">
        <v>96</v>
      </c>
      <c r="O55" t="s">
        <v>907</v>
      </c>
      <c r="P55" s="15" t="str">
        <f>HYPERLINK("https://www.ejacket.nsf.gov/ej/showProposal.do?ID="&amp;ckAwdTable[[#This Row],[prop_id]],"eJ")</f>
        <v>eJ</v>
      </c>
      <c r="Q55" s="8" t="s">
        <v>1127</v>
      </c>
      <c r="R55" t="s">
        <v>907</v>
      </c>
      <c r="S55" t="s">
        <v>908</v>
      </c>
      <c r="T55" t="s">
        <v>1348</v>
      </c>
      <c r="U55" s="8" t="s">
        <v>1183</v>
      </c>
      <c r="V55" t="s">
        <v>1181</v>
      </c>
      <c r="W55" s="15" t="str">
        <f>HYPERLINK("mailto:"&amp; ckAwdTable[[#This Row],[email]]&amp;"&amp;subject=Your NSF Proposal:  "&amp;ckAwdTable[[#This Row],[prop_id]], ckAwdTable[[#This Row],[email]])</f>
        <v>taylor.johnson@gmail.com</v>
      </c>
      <c r="X55" s="30">
        <v>43101</v>
      </c>
      <c r="Y55">
        <v>60</v>
      </c>
      <c r="AA55" s="21" t="s">
        <v>13</v>
      </c>
      <c r="AB55" s="21" t="s">
        <v>454</v>
      </c>
      <c r="AC55"/>
      <c r="AD55" s="21" t="s">
        <v>13</v>
      </c>
      <c r="AE55" s="21" t="s">
        <v>1576</v>
      </c>
      <c r="AF55" s="21" t="s">
        <v>450</v>
      </c>
      <c r="AG55" s="21" t="str">
        <f>IFERROR(IF(FIND("?",ckAwdTable[[#This Row],[abst_narr_txt]]),SummarizeQuestMarks(ckAwdTable[[#This Row],[abst_narr_txt]]),""),"")</f>
        <v/>
      </c>
      <c r="AI55" s="13">
        <v>557308</v>
      </c>
      <c r="AJ55" s="21">
        <v>0</v>
      </c>
      <c r="AK55" s="1">
        <v>557308</v>
      </c>
      <c r="AL55" s="1"/>
      <c r="AM55" s="1">
        <v>41480</v>
      </c>
      <c r="AP55" s="21">
        <v>5</v>
      </c>
      <c r="AQ55" s="21">
        <v>5</v>
      </c>
      <c r="AR55" s="21">
        <v>2.5</v>
      </c>
      <c r="AS55" s="21">
        <v>2.25</v>
      </c>
      <c r="AT55" s="21"/>
      <c r="AU55" s="8" t="s">
        <v>173</v>
      </c>
      <c r="AV55" t="s">
        <v>1349</v>
      </c>
      <c r="AW55" t="b">
        <f>AND(ckAwdTable[[#This Row],[ILN]]&gt;"M", SUBSTITUTE(ckAwdTable[[#This Row],[prop_titl_txt]]," ","")&lt;&gt;SUBSTITUTE(AV54," ",""))</f>
        <v>0</v>
      </c>
      <c r="AX55" s="8" t="s">
        <v>1350</v>
      </c>
    </row>
    <row r="56" spans="1:50">
      <c r="B56" s="30">
        <v>42935.743750000001</v>
      </c>
      <c r="C56" t="s">
        <v>248</v>
      </c>
      <c r="D56" t="s">
        <v>1124</v>
      </c>
      <c r="E56" t="s">
        <v>1125</v>
      </c>
      <c r="F56" t="s">
        <v>596</v>
      </c>
      <c r="G56" s="8" t="s">
        <v>172</v>
      </c>
      <c r="H56" s="8" t="s">
        <v>170</v>
      </c>
      <c r="I56" s="8" t="s">
        <v>447</v>
      </c>
      <c r="J56" t="s">
        <v>94</v>
      </c>
      <c r="K56" t="s">
        <v>1271</v>
      </c>
      <c r="L56" s="22"/>
      <c r="M56">
        <f xml:space="preserve"> M55+(ckAwdTable[ILN]&lt;"M")</f>
        <v>32</v>
      </c>
      <c r="N56" t="s">
        <v>96</v>
      </c>
      <c r="O56" t="s">
        <v>915</v>
      </c>
      <c r="P56" s="15" t="str">
        <f>HYPERLINK("https://www.ejacket.nsf.gov/ej/showProposal.do?ID="&amp;ckAwdTable[[#This Row],[prop_id]],"eJ")</f>
        <v>eJ</v>
      </c>
      <c r="Q56" s="8" t="s">
        <v>1127</v>
      </c>
      <c r="R56" t="s">
        <v>915</v>
      </c>
      <c r="S56" t="s">
        <v>916</v>
      </c>
      <c r="T56" t="s">
        <v>1351</v>
      </c>
      <c r="U56" s="8" t="s">
        <v>1352</v>
      </c>
      <c r="V56" t="s">
        <v>109</v>
      </c>
      <c r="W56" s="15" t="str">
        <f>HYPERLINK("mailto:"&amp; ckAwdTable[[#This Row],[email]]&amp;"&amp;subject=Your NSF Proposal:  "&amp;ckAwdTable[[#This Row],[prop_id]], ckAwdTable[[#This Row],[email]])</f>
        <v>chaohaiyang@ku.edu</v>
      </c>
      <c r="X56" s="30">
        <v>43101</v>
      </c>
      <c r="Y56">
        <v>60</v>
      </c>
      <c r="AA56" s="21" t="s">
        <v>13</v>
      </c>
      <c r="AB56" s="21" t="s">
        <v>454</v>
      </c>
      <c r="AC56"/>
      <c r="AD56" s="21" t="s">
        <v>13</v>
      </c>
      <c r="AF56" s="21" t="s">
        <v>450</v>
      </c>
      <c r="AG56" s="21" t="str">
        <f>IFERROR(IF(FIND("?",ckAwdTable[[#This Row],[abst_narr_txt]]),SummarizeQuestMarks(ckAwdTable[[#This Row],[abst_narr_txt]]),""),"")</f>
        <v/>
      </c>
      <c r="AI56" s="13">
        <v>500000</v>
      </c>
      <c r="AJ56" s="21">
        <v>0</v>
      </c>
      <c r="AK56" s="1">
        <v>500000</v>
      </c>
      <c r="AL56" s="1"/>
      <c r="AM56" s="1"/>
      <c r="AP56" s="21">
        <v>10</v>
      </c>
      <c r="AQ56" s="21">
        <v>5</v>
      </c>
      <c r="AR56" s="21">
        <v>5</v>
      </c>
      <c r="AS56" s="21"/>
      <c r="AT56" s="21"/>
      <c r="AU56" s="8" t="s">
        <v>173</v>
      </c>
      <c r="AV56" t="s">
        <v>1354</v>
      </c>
      <c r="AW56" t="b">
        <f>AND(ckAwdTable[[#This Row],[ILN]]&gt;"M", SUBSTITUTE(ckAwdTable[[#This Row],[prop_titl_txt]]," ","")&lt;&gt;SUBSTITUTE(AV55," ",""))</f>
        <v>0</v>
      </c>
      <c r="AX56" s="8" t="s">
        <v>1355</v>
      </c>
    </row>
    <row r="57" spans="1:50">
      <c r="B57" s="30">
        <v>42935.765972222223</v>
      </c>
      <c r="C57" t="s">
        <v>248</v>
      </c>
      <c r="D57" t="s">
        <v>1124</v>
      </c>
      <c r="E57" t="s">
        <v>1125</v>
      </c>
      <c r="F57" t="s">
        <v>596</v>
      </c>
      <c r="G57" s="8" t="s">
        <v>172</v>
      </c>
      <c r="H57" s="8" t="s">
        <v>170</v>
      </c>
      <c r="I57" s="8" t="s">
        <v>447</v>
      </c>
      <c r="J57" t="s">
        <v>94</v>
      </c>
      <c r="K57" t="s">
        <v>1271</v>
      </c>
      <c r="L57" s="22"/>
      <c r="M57">
        <f xml:space="preserve"> M56+(ckAwdTable[ILN]&lt;"M")</f>
        <v>33</v>
      </c>
      <c r="N57" t="s">
        <v>96</v>
      </c>
      <c r="O57" t="s">
        <v>923</v>
      </c>
      <c r="P57" s="15" t="str">
        <f>HYPERLINK("https://www.ejacket.nsf.gov/ej/showProposal.do?ID="&amp;ckAwdTable[[#This Row],[prop_id]],"eJ")</f>
        <v>eJ</v>
      </c>
      <c r="Q57" s="8" t="s">
        <v>1127</v>
      </c>
      <c r="R57" t="s">
        <v>923</v>
      </c>
      <c r="S57" t="s">
        <v>924</v>
      </c>
      <c r="T57" t="s">
        <v>1356</v>
      </c>
      <c r="U57" s="8" t="s">
        <v>1357</v>
      </c>
      <c r="V57" t="s">
        <v>263</v>
      </c>
      <c r="W57" s="15" t="str">
        <f>HYPERLINK("mailto:"&amp; ckAwdTable[[#This Row],[email]]&amp;"&amp;subject=Your NSF Proposal:  "&amp;ckAwdTable[[#This Row],[prop_id]], ckAwdTable[[#This Row],[email]])</f>
        <v>julian.rrushi@wwu.edu</v>
      </c>
      <c r="X57" s="30">
        <v>43358</v>
      </c>
      <c r="Y57">
        <v>60</v>
      </c>
      <c r="AA57" s="21" t="s">
        <v>13</v>
      </c>
      <c r="AB57" s="21" t="s">
        <v>454</v>
      </c>
      <c r="AC57"/>
      <c r="AD57" s="21" t="s">
        <v>13</v>
      </c>
      <c r="AF57" s="21" t="s">
        <v>450</v>
      </c>
      <c r="AG57" s="21" t="str">
        <f>IFERROR(IF(FIND("?",ckAwdTable[[#This Row],[abst_narr_txt]]),SummarizeQuestMarks(ckAwdTable[[#This Row],[abst_narr_txt]]),""),"")</f>
        <v/>
      </c>
      <c r="AI57" s="13">
        <v>630787</v>
      </c>
      <c r="AJ57" s="21">
        <v>0</v>
      </c>
      <c r="AK57" s="1">
        <v>630787</v>
      </c>
      <c r="AL57" s="1"/>
      <c r="AM57" s="1"/>
      <c r="AP57" s="21">
        <v>5</v>
      </c>
      <c r="AQ57" s="21">
        <v>5</v>
      </c>
      <c r="AR57" s="21">
        <v>10</v>
      </c>
      <c r="AS57" s="21"/>
      <c r="AT57" s="21"/>
      <c r="AU57" s="8" t="s">
        <v>173</v>
      </c>
      <c r="AV57" t="s">
        <v>1359</v>
      </c>
      <c r="AW57" t="b">
        <f>AND(ckAwdTable[[#This Row],[ILN]]&gt;"M", SUBSTITUTE(ckAwdTable[[#This Row],[prop_titl_txt]]," ","")&lt;&gt;SUBSTITUTE(AV56," ",""))</f>
        <v>0</v>
      </c>
      <c r="AX57" s="8" t="s">
        <v>1360</v>
      </c>
    </row>
    <row r="58" spans="1:50">
      <c r="B58" s="30">
        <v>42935.916666666664</v>
      </c>
      <c r="C58" t="s">
        <v>248</v>
      </c>
      <c r="D58" t="s">
        <v>1124</v>
      </c>
      <c r="E58" t="s">
        <v>1125</v>
      </c>
      <c r="F58" t="s">
        <v>596</v>
      </c>
      <c r="G58" s="8" t="s">
        <v>172</v>
      </c>
      <c r="H58" s="8" t="s">
        <v>170</v>
      </c>
      <c r="I58" s="8" t="s">
        <v>447</v>
      </c>
      <c r="J58" t="s">
        <v>94</v>
      </c>
      <c r="K58" t="s">
        <v>1271</v>
      </c>
      <c r="L58" s="22"/>
      <c r="M58">
        <f xml:space="preserve"> M57+(ckAwdTable[ILN]&lt;"M")</f>
        <v>34</v>
      </c>
      <c r="N58" t="s">
        <v>96</v>
      </c>
      <c r="O58" t="s">
        <v>931</v>
      </c>
      <c r="P58" s="15" t="str">
        <f>HYPERLINK("https://www.ejacket.nsf.gov/ej/showProposal.do?ID="&amp;ckAwdTable[[#This Row],[prop_id]],"eJ")</f>
        <v>eJ</v>
      </c>
      <c r="Q58" s="8" t="s">
        <v>1127</v>
      </c>
      <c r="R58" t="s">
        <v>931</v>
      </c>
      <c r="S58" t="s">
        <v>354</v>
      </c>
      <c r="T58" t="s">
        <v>1361</v>
      </c>
      <c r="U58" s="8" t="s">
        <v>365</v>
      </c>
      <c r="V58" t="s">
        <v>101</v>
      </c>
      <c r="W58" s="15" t="str">
        <f>HYPERLINK("mailto:"&amp; ckAwdTable[[#This Row],[email]]&amp;"&amp;subject=Your NSF Proposal:  "&amp;ckAwdTable[[#This Row],[prop_id]], ckAwdTable[[#This Row],[email]])</f>
        <v>depengli@hawaii.edu</v>
      </c>
      <c r="X58" s="30">
        <v>42979</v>
      </c>
      <c r="Y58">
        <v>60</v>
      </c>
      <c r="AA58" s="21" t="s">
        <v>13</v>
      </c>
      <c r="AB58" s="21" t="s">
        <v>454</v>
      </c>
      <c r="AC58"/>
      <c r="AD58" s="21" t="s">
        <v>13</v>
      </c>
      <c r="AE58" s="21" t="s">
        <v>1577</v>
      </c>
      <c r="AF58" s="21" t="s">
        <v>450</v>
      </c>
      <c r="AG58" s="21" t="str">
        <f>IFERROR(IF(FIND("?",ckAwdTable[[#This Row],[abst_narr_txt]]),SummarizeQuestMarks(ckAwdTable[[#This Row],[abst_narr_txt]]),""),"")</f>
        <v/>
      </c>
      <c r="AI58" s="13">
        <v>400188</v>
      </c>
      <c r="AJ58" s="21">
        <v>0</v>
      </c>
      <c r="AK58" s="1">
        <v>400188</v>
      </c>
      <c r="AL58" s="1"/>
      <c r="AM58" s="1">
        <v>17500</v>
      </c>
      <c r="AP58" s="21">
        <v>5</v>
      </c>
      <c r="AQ58" s="21">
        <v>5</v>
      </c>
      <c r="AR58" s="21">
        <v>10</v>
      </c>
      <c r="AS58" s="21"/>
      <c r="AT58" s="21"/>
      <c r="AU58" s="8" t="s">
        <v>173</v>
      </c>
      <c r="AV58" t="s">
        <v>1363</v>
      </c>
      <c r="AW58" t="b">
        <f>AND(ckAwdTable[[#This Row],[ILN]]&gt;"M", SUBSTITUTE(ckAwdTable[[#This Row],[prop_titl_txt]]," ","")&lt;&gt;SUBSTITUTE(AV57," ",""))</f>
        <v>0</v>
      </c>
      <c r="AX58" s="8" t="s">
        <v>1364</v>
      </c>
    </row>
    <row r="59" spans="1:50">
      <c r="B59" s="30">
        <v>42936.376388888886</v>
      </c>
      <c r="C59" t="s">
        <v>248</v>
      </c>
      <c r="D59" t="s">
        <v>1124</v>
      </c>
      <c r="E59" t="s">
        <v>1125</v>
      </c>
      <c r="F59" t="s">
        <v>596</v>
      </c>
      <c r="G59" s="8" t="s">
        <v>172</v>
      </c>
      <c r="H59" s="8" t="s">
        <v>170</v>
      </c>
      <c r="I59" s="8" t="s">
        <v>447</v>
      </c>
      <c r="J59" t="s">
        <v>94</v>
      </c>
      <c r="K59" t="s">
        <v>1365</v>
      </c>
      <c r="L59" s="22"/>
      <c r="M59">
        <f xml:space="preserve"> M58+(ckAwdTable[ILN]&lt;"M")</f>
        <v>35</v>
      </c>
      <c r="N59" t="s">
        <v>96</v>
      </c>
      <c r="O59" t="s">
        <v>940</v>
      </c>
      <c r="P59" s="15" t="str">
        <f>HYPERLINK("https://www.ejacket.nsf.gov/ej/showProposal.do?ID="&amp;ckAwdTable[[#This Row],[prop_id]],"eJ")</f>
        <v>eJ</v>
      </c>
      <c r="Q59" s="8" t="s">
        <v>1127</v>
      </c>
      <c r="R59" t="s">
        <v>940</v>
      </c>
      <c r="S59" t="s">
        <v>369</v>
      </c>
      <c r="T59" t="s">
        <v>1366</v>
      </c>
      <c r="U59" s="8" t="s">
        <v>1367</v>
      </c>
      <c r="V59" t="s">
        <v>357</v>
      </c>
      <c r="W59" s="15" t="str">
        <f>HYPERLINK("mailto:"&amp; ckAwdTable[[#This Row],[email]]&amp;"&amp;subject=Your NSF Proposal:  "&amp;ckAwdTable[[#This Row],[prop_id]], ckAwdTable[[#This Row],[email]])</f>
        <v>yes@mtu.edu</v>
      </c>
      <c r="X59" s="30">
        <v>43221</v>
      </c>
      <c r="Y59">
        <v>60</v>
      </c>
      <c r="Z59" t="s">
        <v>451</v>
      </c>
      <c r="AA59" s="21" t="s">
        <v>1578</v>
      </c>
      <c r="AB59" s="21" t="s">
        <v>454</v>
      </c>
      <c r="AC59"/>
      <c r="AD59" s="21" t="s">
        <v>13</v>
      </c>
      <c r="AF59" s="21" t="s">
        <v>450</v>
      </c>
      <c r="AG59" s="21" t="str">
        <f>IFERROR(IF(FIND("?",ckAwdTable[[#This Row],[abst_narr_txt]]),SummarizeQuestMarks(ckAwdTable[[#This Row],[abst_narr_txt]]),""),"")</f>
        <v/>
      </c>
      <c r="AI59" s="13">
        <v>508934</v>
      </c>
      <c r="AJ59" s="21">
        <v>0</v>
      </c>
      <c r="AK59" s="1">
        <v>508934</v>
      </c>
      <c r="AL59" s="1"/>
      <c r="AM59" s="1"/>
      <c r="AP59" s="21">
        <v>5</v>
      </c>
      <c r="AQ59" s="21">
        <v>5</v>
      </c>
      <c r="AR59" s="21">
        <v>5</v>
      </c>
      <c r="AS59" s="21"/>
      <c r="AT59" s="21"/>
      <c r="AU59" s="8" t="s">
        <v>173</v>
      </c>
      <c r="AV59" t="s">
        <v>1369</v>
      </c>
      <c r="AW59" t="b">
        <f>AND(ckAwdTable[[#This Row],[ILN]]&gt;"M", SUBSTITUTE(ckAwdTable[[#This Row],[prop_titl_txt]]," ","")&lt;&gt;SUBSTITUTE(AV58," ",""))</f>
        <v>0</v>
      </c>
      <c r="AX59" s="8" t="s">
        <v>1370</v>
      </c>
    </row>
    <row r="60" spans="1:50">
      <c r="B60" s="30">
        <v>42936.688194444447</v>
      </c>
      <c r="C60" t="s">
        <v>248</v>
      </c>
      <c r="D60" t="s">
        <v>1124</v>
      </c>
      <c r="E60" t="s">
        <v>1125</v>
      </c>
      <c r="F60" t="s">
        <v>596</v>
      </c>
      <c r="G60" s="8" t="s">
        <v>172</v>
      </c>
      <c r="H60" s="8" t="s">
        <v>170</v>
      </c>
      <c r="I60" s="8" t="s">
        <v>447</v>
      </c>
      <c r="J60" t="s">
        <v>94</v>
      </c>
      <c r="K60" t="s">
        <v>1271</v>
      </c>
      <c r="L60" s="22"/>
      <c r="M60">
        <f xml:space="preserve"> M59+(ckAwdTable[ILN]&lt;"M")</f>
        <v>36</v>
      </c>
      <c r="N60" t="s">
        <v>96</v>
      </c>
      <c r="O60" t="s">
        <v>966</v>
      </c>
      <c r="P60" s="15" t="str">
        <f>HYPERLINK("https://www.ejacket.nsf.gov/ej/showProposal.do?ID="&amp;ckAwdTable[[#This Row],[prop_id]],"eJ")</f>
        <v>eJ</v>
      </c>
      <c r="Q60" s="8" t="s">
        <v>1127</v>
      </c>
      <c r="R60" t="s">
        <v>966</v>
      </c>
      <c r="S60" t="s">
        <v>967</v>
      </c>
      <c r="T60" t="s">
        <v>1371</v>
      </c>
      <c r="U60" s="8" t="s">
        <v>1372</v>
      </c>
      <c r="V60" t="s">
        <v>359</v>
      </c>
      <c r="W60" s="15" t="str">
        <f>HYPERLINK("mailto:"&amp; ckAwdTable[[#This Row],[email]]&amp;"&amp;subject=Your NSF Proposal:  "&amp;ckAwdTable[[#This Row],[prop_id]], ckAwdTable[[#This Row],[email]])</f>
        <v>akarimod@ncat.edu</v>
      </c>
      <c r="X60" s="30">
        <v>43115</v>
      </c>
      <c r="Y60">
        <v>60</v>
      </c>
      <c r="AA60" s="21" t="s">
        <v>13</v>
      </c>
      <c r="AB60" s="21" t="s">
        <v>454</v>
      </c>
      <c r="AC60"/>
      <c r="AD60" s="21" t="s">
        <v>13</v>
      </c>
      <c r="AF60" s="21" t="s">
        <v>450</v>
      </c>
      <c r="AG60" s="21" t="str">
        <f>IFERROR(IF(FIND("?",ckAwdTable[[#This Row],[abst_narr_txt]]),SummarizeQuestMarks(ckAwdTable[[#This Row],[abst_narr_txt]]),""),"")</f>
        <v/>
      </c>
      <c r="AI60" s="13">
        <v>500000</v>
      </c>
      <c r="AJ60" s="21">
        <v>0</v>
      </c>
      <c r="AK60" s="1">
        <v>500000</v>
      </c>
      <c r="AL60" s="1"/>
      <c r="AM60" s="1"/>
      <c r="AP60" s="21">
        <v>8</v>
      </c>
      <c r="AQ60" s="21">
        <v>5</v>
      </c>
      <c r="AR60" s="21">
        <v>5</v>
      </c>
      <c r="AS60" s="21"/>
      <c r="AT60" s="21"/>
      <c r="AU60" s="8" t="s">
        <v>173</v>
      </c>
      <c r="AV60" t="s">
        <v>1374</v>
      </c>
      <c r="AW60" t="b">
        <f>AND(ckAwdTable[[#This Row],[ILN]]&gt;"M", SUBSTITUTE(ckAwdTable[[#This Row],[prop_titl_txt]]," ","")&lt;&gt;SUBSTITUTE(AV59," ",""))</f>
        <v>0</v>
      </c>
      <c r="AX60" s="8" t="s">
        <v>1375</v>
      </c>
    </row>
    <row r="61" spans="1:50">
      <c r="B61" s="30">
        <v>42968.718055555553</v>
      </c>
      <c r="C61" t="s">
        <v>1376</v>
      </c>
      <c r="D61" t="s">
        <v>1124</v>
      </c>
      <c r="E61" t="s">
        <v>1377</v>
      </c>
      <c r="F61" t="s">
        <v>705</v>
      </c>
      <c r="G61" s="8" t="s">
        <v>172</v>
      </c>
      <c r="H61" s="8" t="s">
        <v>170</v>
      </c>
      <c r="I61" s="8" t="s">
        <v>447</v>
      </c>
      <c r="J61" t="s">
        <v>94</v>
      </c>
      <c r="K61" t="s">
        <v>1378</v>
      </c>
      <c r="L61" s="22">
        <v>43048.503634259258</v>
      </c>
      <c r="M61">
        <f xml:space="preserve"> M60+(ckAwdTable[ILN]&lt;"M")</f>
        <v>37</v>
      </c>
      <c r="N61" t="s">
        <v>96</v>
      </c>
      <c r="O61" t="s">
        <v>975</v>
      </c>
      <c r="P61" s="15" t="str">
        <f>HYPERLINK("https://www.ejacket.nsf.gov/ej/showProposal.do?ID="&amp;ckAwdTable[[#This Row],[prop_id]],"eJ")</f>
        <v>eJ</v>
      </c>
      <c r="Q61" s="8" t="s">
        <v>1127</v>
      </c>
      <c r="R61" t="s">
        <v>975</v>
      </c>
      <c r="S61" t="s">
        <v>976</v>
      </c>
      <c r="T61" t="s">
        <v>1379</v>
      </c>
      <c r="U61" s="8" t="s">
        <v>1380</v>
      </c>
      <c r="V61" t="s">
        <v>363</v>
      </c>
      <c r="W61" s="15" t="str">
        <f>HYPERLINK("mailto:"&amp; ckAwdTable[[#This Row],[email]]&amp;"&amp;subject=Your NSF Proposal:  "&amp;ckAwdTable[[#This Row],[prop_id]], ckAwdTable[[#This Row],[email]])</f>
        <v>song.fu@unt.edu</v>
      </c>
      <c r="X61" s="30">
        <v>43160</v>
      </c>
      <c r="Y61">
        <v>36</v>
      </c>
      <c r="AA61" s="21" t="s">
        <v>13</v>
      </c>
      <c r="AB61" s="21" t="s">
        <v>454</v>
      </c>
      <c r="AC61"/>
      <c r="AD61" s="21" t="s">
        <v>13</v>
      </c>
      <c r="AF61" s="21" t="s">
        <v>450</v>
      </c>
      <c r="AG61" s="21" t="str">
        <f>IFERROR(IF(FIND("?",ckAwdTable[[#This Row],[abst_narr_txt]]),SummarizeQuestMarks(ckAwdTable[[#This Row],[abst_narr_txt]]),""),"")</f>
        <v/>
      </c>
      <c r="AI61" s="13">
        <v>365510</v>
      </c>
      <c r="AJ61" s="21">
        <v>0</v>
      </c>
      <c r="AK61" s="1">
        <v>357120</v>
      </c>
      <c r="AL61" s="1"/>
      <c r="AM61" s="1"/>
      <c r="AO61" s="1">
        <v>255000</v>
      </c>
      <c r="AP61" s="21">
        <v>3</v>
      </c>
      <c r="AQ61" s="21">
        <v>6</v>
      </c>
      <c r="AR61" s="21">
        <v>2.88</v>
      </c>
      <c r="AS61" s="21"/>
      <c r="AT61" s="21"/>
      <c r="AU61" s="8" t="s">
        <v>1381</v>
      </c>
      <c r="AV61" t="s">
        <v>1382</v>
      </c>
      <c r="AW61" t="b">
        <f>AND(ckAwdTable[[#This Row],[ILN]]&gt;"M", SUBSTITUTE(ckAwdTable[[#This Row],[prop_titl_txt]]," ","")&lt;&gt;SUBSTITUTE(AV60," ",""))</f>
        <v>0</v>
      </c>
      <c r="AX61" s="8" t="s">
        <v>1383</v>
      </c>
    </row>
    <row r="62" spans="1:50">
      <c r="A62" s="30">
        <v>43060.397106481483</v>
      </c>
      <c r="B62" s="30">
        <v>42969.449305555558</v>
      </c>
      <c r="C62" t="s">
        <v>1376</v>
      </c>
      <c r="D62" t="s">
        <v>1124</v>
      </c>
      <c r="E62" t="s">
        <v>1377</v>
      </c>
      <c r="F62" t="s">
        <v>705</v>
      </c>
      <c r="G62" s="8" t="s">
        <v>456</v>
      </c>
      <c r="H62" s="8" t="s">
        <v>170</v>
      </c>
      <c r="I62" s="8" t="s">
        <v>447</v>
      </c>
      <c r="J62" t="s">
        <v>94</v>
      </c>
      <c r="K62" t="s">
        <v>1378</v>
      </c>
      <c r="L62" s="22">
        <v>43048.501631944448</v>
      </c>
      <c r="M62">
        <f xml:space="preserve"> M61+(ckAwdTable[ILN]&lt;"M")</f>
        <v>38</v>
      </c>
      <c r="N62" t="s">
        <v>96</v>
      </c>
      <c r="O62" t="s">
        <v>996</v>
      </c>
      <c r="P62" s="15" t="str">
        <f>HYPERLINK("https://www.ejacket.nsf.gov/ej/showProposal.do?ID="&amp;ckAwdTable[[#This Row],[prop_id]],"eJ")</f>
        <v>eJ</v>
      </c>
      <c r="Q62" s="8" t="s">
        <v>1127</v>
      </c>
      <c r="R62" t="s">
        <v>996</v>
      </c>
      <c r="S62" t="s">
        <v>997</v>
      </c>
      <c r="T62" t="s">
        <v>1385</v>
      </c>
      <c r="U62" s="8" t="s">
        <v>356</v>
      </c>
      <c r="V62" t="s">
        <v>357</v>
      </c>
      <c r="W62" s="15" t="str">
        <f>HYPERLINK("mailto:"&amp; ckAwdTable[[#This Row],[email]]&amp;"&amp;subject=Your NSF Proposal:  "&amp;ckAwdTable[[#This Row],[prop_id]], ckAwdTable[[#This Row],[email]])</f>
        <v>shen@umich.edu</v>
      </c>
      <c r="X62" s="30">
        <v>43174</v>
      </c>
      <c r="Y62">
        <v>36</v>
      </c>
      <c r="AA62" s="21" t="s">
        <v>13</v>
      </c>
      <c r="AB62" s="21" t="s">
        <v>454</v>
      </c>
      <c r="AC62"/>
      <c r="AD62" s="21" t="s">
        <v>13</v>
      </c>
      <c r="AF62" s="21" t="s">
        <v>450</v>
      </c>
      <c r="AG62" s="21" t="str">
        <f>IFERROR(IF(FIND("?",ckAwdTable[[#This Row],[abst_narr_txt]]),SummarizeQuestMarks(ckAwdTable[[#This Row],[abst_narr_txt]]),""),"")</f>
        <v/>
      </c>
      <c r="AI62" s="13">
        <v>269021</v>
      </c>
      <c r="AJ62" s="21">
        <v>0</v>
      </c>
      <c r="AK62" s="1">
        <v>269021</v>
      </c>
      <c r="AL62" s="1"/>
      <c r="AM62" s="1"/>
      <c r="AO62" s="1">
        <v>147000</v>
      </c>
      <c r="AP62" s="21">
        <v>3</v>
      </c>
      <c r="AQ62" s="21">
        <v>30</v>
      </c>
      <c r="AR62" s="21">
        <v>2.58</v>
      </c>
      <c r="AS62" s="21"/>
      <c r="AT62" s="21"/>
      <c r="AU62" s="8" t="s">
        <v>455</v>
      </c>
      <c r="AV62" t="s">
        <v>1386</v>
      </c>
      <c r="AW62" t="b">
        <f>AND(ckAwdTable[[#This Row],[ILN]]&gt;"M", SUBSTITUTE(ckAwdTable[[#This Row],[prop_titl_txt]]," ","")&lt;&gt;SUBSTITUTE(AV61," ",""))</f>
        <v>0</v>
      </c>
      <c r="AX62" s="8" t="s">
        <v>1387</v>
      </c>
    </row>
    <row r="63" spans="1:50">
      <c r="A63" s="30">
        <v>43063.973275462966</v>
      </c>
      <c r="B63" s="30">
        <v>42970.378472222219</v>
      </c>
      <c r="C63" t="s">
        <v>1376</v>
      </c>
      <c r="D63" t="s">
        <v>1124</v>
      </c>
      <c r="E63" t="s">
        <v>1377</v>
      </c>
      <c r="F63" t="s">
        <v>705</v>
      </c>
      <c r="G63" s="8" t="s">
        <v>456</v>
      </c>
      <c r="H63" s="8" t="s">
        <v>170</v>
      </c>
      <c r="I63" s="8" t="s">
        <v>447</v>
      </c>
      <c r="J63" t="s">
        <v>94</v>
      </c>
      <c r="K63" t="s">
        <v>1378</v>
      </c>
      <c r="L63" s="22">
        <v>43041.475706018522</v>
      </c>
      <c r="M63">
        <f xml:space="preserve"> M62+(ckAwdTable[ILN]&lt;"M")</f>
        <v>39</v>
      </c>
      <c r="N63" t="s">
        <v>96</v>
      </c>
      <c r="O63" t="s">
        <v>1013</v>
      </c>
      <c r="P63" s="15" t="str">
        <f>HYPERLINK("https://www.ejacket.nsf.gov/ej/showProposal.do?ID="&amp;ckAwdTable[[#This Row],[prop_id]],"eJ")</f>
        <v>eJ</v>
      </c>
      <c r="Q63" s="8" t="s">
        <v>1127</v>
      </c>
      <c r="R63" t="s">
        <v>1013</v>
      </c>
      <c r="S63" t="s">
        <v>457</v>
      </c>
      <c r="T63" t="s">
        <v>1388</v>
      </c>
      <c r="U63" s="8" t="s">
        <v>1389</v>
      </c>
      <c r="V63" t="s">
        <v>362</v>
      </c>
      <c r="W63" s="15" t="str">
        <f>HYPERLINK("mailto:"&amp; ckAwdTable[[#This Row],[email]]&amp;"&amp;subject=Your NSF Proposal:  "&amp;ckAwdTable[[#This Row],[prop_id]], ckAwdTable[[#This Row],[email]])</f>
        <v>wzhang4@vcu.edu</v>
      </c>
      <c r="X63" s="30">
        <v>43160</v>
      </c>
      <c r="Y63">
        <v>36</v>
      </c>
      <c r="AA63" s="21" t="s">
        <v>13</v>
      </c>
      <c r="AB63" s="21" t="s">
        <v>454</v>
      </c>
      <c r="AC63"/>
      <c r="AD63" s="21" t="s">
        <v>13</v>
      </c>
      <c r="AF63" s="21" t="s">
        <v>450</v>
      </c>
      <c r="AG63" s="21" t="str">
        <f>IFERROR(IF(FIND("?",ckAwdTable[[#This Row],[abst_narr_txt]]),SummarizeQuestMarks(ckAwdTable[[#This Row],[abst_narr_txt]]),""),"")</f>
        <v/>
      </c>
      <c r="AI63" s="13">
        <v>447942</v>
      </c>
      <c r="AJ63" s="21">
        <v>0</v>
      </c>
      <c r="AK63" s="1">
        <v>447942</v>
      </c>
      <c r="AL63" s="1"/>
      <c r="AM63" s="1"/>
      <c r="AO63" s="1">
        <v>325089</v>
      </c>
      <c r="AP63" s="21">
        <v>3</v>
      </c>
      <c r="AQ63" s="21">
        <v>6</v>
      </c>
      <c r="AR63" s="21">
        <v>2.25</v>
      </c>
      <c r="AS63" s="21"/>
      <c r="AT63" s="21"/>
      <c r="AU63" s="8" t="s">
        <v>455</v>
      </c>
      <c r="AV63" t="s">
        <v>1391</v>
      </c>
      <c r="AW63" t="b">
        <f>AND(ckAwdTable[[#This Row],[ILN]]&gt;"M", SUBSTITUTE(ckAwdTable[[#This Row],[prop_titl_txt]]," ","")&lt;&gt;SUBSTITUTE(AV62," ",""))</f>
        <v>0</v>
      </c>
      <c r="AX63" s="8" t="s">
        <v>1392</v>
      </c>
    </row>
    <row r="64" spans="1:50">
      <c r="B64" s="30">
        <v>42970.536111111112</v>
      </c>
      <c r="C64" t="s">
        <v>1376</v>
      </c>
      <c r="D64" t="s">
        <v>1124</v>
      </c>
      <c r="E64" t="s">
        <v>1377</v>
      </c>
      <c r="F64" t="s">
        <v>705</v>
      </c>
      <c r="G64" s="8" t="s">
        <v>172</v>
      </c>
      <c r="H64" s="8" t="s">
        <v>1393</v>
      </c>
      <c r="I64" s="8" t="s">
        <v>447</v>
      </c>
      <c r="J64" t="s">
        <v>94</v>
      </c>
      <c r="K64" t="s">
        <v>1378</v>
      </c>
      <c r="L64" s="22"/>
      <c r="M64">
        <f xml:space="preserve"> M63+(ckAwdTable[ILN]&lt;"M")</f>
        <v>40</v>
      </c>
      <c r="N64" t="s">
        <v>96</v>
      </c>
      <c r="O64" t="s">
        <v>1028</v>
      </c>
      <c r="P64" s="15" t="str">
        <f>HYPERLINK("https://www.ejacket.nsf.gov/ej/showProposal.do?ID="&amp;ckAwdTable[[#This Row],[prop_id]],"eJ")</f>
        <v>eJ</v>
      </c>
      <c r="Q64" s="8" t="s">
        <v>1127</v>
      </c>
      <c r="R64" t="s">
        <v>1028</v>
      </c>
      <c r="S64" t="s">
        <v>1029</v>
      </c>
      <c r="T64" t="s">
        <v>1394</v>
      </c>
      <c r="U64" s="8" t="s">
        <v>1227</v>
      </c>
      <c r="V64" t="s">
        <v>263</v>
      </c>
      <c r="W64" s="15" t="str">
        <f>HYPERLINK("mailto:"&amp; ckAwdTable[[#This Row],[email]]&amp;"&amp;subject=Your NSF Proposal:  "&amp;ckAwdTable[[#This Row],[prop_id]], ckAwdTable[[#This Row],[email]])</f>
        <v>holder@eecs.wsu.edu</v>
      </c>
      <c r="X64" s="30">
        <v>43160</v>
      </c>
      <c r="Y64">
        <v>36</v>
      </c>
      <c r="Z64" t="s">
        <v>1579</v>
      </c>
      <c r="AA64" s="21" t="s">
        <v>1580</v>
      </c>
      <c r="AB64" s="21" t="s">
        <v>454</v>
      </c>
      <c r="AC64"/>
      <c r="AD64" s="21" t="s">
        <v>13</v>
      </c>
      <c r="AF64" s="21" t="s">
        <v>450</v>
      </c>
      <c r="AG64" s="21" t="str">
        <f>IFERROR(IF(FIND("?",ckAwdTable[[#This Row],[abst_narr_txt]]),SummarizeQuestMarks(ckAwdTable[[#This Row],[abst_narr_txt]]),""),"")</f>
        <v/>
      </c>
      <c r="AI64" s="13">
        <v>410400</v>
      </c>
      <c r="AJ64" s="21">
        <v>0</v>
      </c>
      <c r="AK64" s="1">
        <v>410400</v>
      </c>
      <c r="AL64" s="1"/>
      <c r="AM64" s="1"/>
      <c r="AO64" s="1">
        <v>283680</v>
      </c>
      <c r="AP64" s="21"/>
      <c r="AQ64" s="21">
        <v>3</v>
      </c>
      <c r="AR64" s="21"/>
      <c r="AS64" s="21"/>
      <c r="AT64" s="21">
        <v>3</v>
      </c>
      <c r="AU64" s="8" t="s">
        <v>173</v>
      </c>
      <c r="AV64" t="s">
        <v>1396</v>
      </c>
      <c r="AW64" t="b">
        <f>AND(ckAwdTable[[#This Row],[ILN]]&gt;"M", SUBSTITUTE(ckAwdTable[[#This Row],[prop_titl_txt]]," ","")&lt;&gt;SUBSTITUTE(AV63," ",""))</f>
        <v>0</v>
      </c>
      <c r="AX64" s="8" t="s">
        <v>1397</v>
      </c>
    </row>
    <row r="65" spans="1:50">
      <c r="B65" s="30">
        <v>42970.65</v>
      </c>
      <c r="C65" t="s">
        <v>1376</v>
      </c>
      <c r="D65" t="s">
        <v>1124</v>
      </c>
      <c r="E65" t="s">
        <v>1377</v>
      </c>
      <c r="F65" t="s">
        <v>705</v>
      </c>
      <c r="G65" s="8" t="s">
        <v>172</v>
      </c>
      <c r="H65" s="8" t="s">
        <v>170</v>
      </c>
      <c r="I65" s="8" t="s">
        <v>447</v>
      </c>
      <c r="J65" t="s">
        <v>94</v>
      </c>
      <c r="K65" t="s">
        <v>1378</v>
      </c>
      <c r="L65" s="22">
        <v>43075.643761574072</v>
      </c>
      <c r="M65">
        <f xml:space="preserve"> M64+(ckAwdTable[ILN]&lt;"M")</f>
        <v>41</v>
      </c>
      <c r="N65" t="s">
        <v>96</v>
      </c>
      <c r="O65" t="s">
        <v>1036</v>
      </c>
      <c r="P65" s="15" t="str">
        <f>HYPERLINK("https://www.ejacket.nsf.gov/ej/showProposal.do?ID="&amp;ckAwdTable[[#This Row],[prop_id]],"eJ")</f>
        <v>eJ</v>
      </c>
      <c r="Q65" s="8" t="s">
        <v>1127</v>
      </c>
      <c r="R65" t="s">
        <v>1036</v>
      </c>
      <c r="S65" t="s">
        <v>579</v>
      </c>
      <c r="T65" t="s">
        <v>1398</v>
      </c>
      <c r="U65" s="8" t="s">
        <v>1399</v>
      </c>
      <c r="V65" t="s">
        <v>368</v>
      </c>
      <c r="W65" s="15" t="str">
        <f>HYPERLINK("mailto:"&amp; ckAwdTable[[#This Row],[email]]&amp;"&amp;subject=Your NSF Proposal:  "&amp;ckAwdTable[[#This Row],[prop_id]], ckAwdTable[[#This Row],[email]])</f>
        <v>yuanj@erau.edu</v>
      </c>
      <c r="X65" s="30">
        <v>43252</v>
      </c>
      <c r="Y65">
        <v>36</v>
      </c>
      <c r="AA65" s="21" t="s">
        <v>13</v>
      </c>
      <c r="AB65" s="21" t="s">
        <v>454</v>
      </c>
      <c r="AC65"/>
      <c r="AD65" s="21" t="s">
        <v>13</v>
      </c>
      <c r="AF65" s="21" t="s">
        <v>450</v>
      </c>
      <c r="AG65" s="21" t="str">
        <f>IFERROR(IF(FIND("?",ckAwdTable[[#This Row],[abst_narr_txt]]),SummarizeQuestMarks(ckAwdTable[[#This Row],[abst_narr_txt]]),""),"")</f>
        <v/>
      </c>
      <c r="AH65" s="21" t="s">
        <v>1587</v>
      </c>
      <c r="AI65" s="13">
        <v>357969</v>
      </c>
      <c r="AJ65" s="21">
        <v>1</v>
      </c>
      <c r="AK65" s="1">
        <v>287959</v>
      </c>
      <c r="AL65" s="1"/>
      <c r="AM65" s="1"/>
      <c r="AO65" s="1">
        <v>203520</v>
      </c>
      <c r="AP65" s="21"/>
      <c r="AQ65" s="21">
        <v>21</v>
      </c>
      <c r="AR65" s="21">
        <v>3.87</v>
      </c>
      <c r="AS65" s="21"/>
      <c r="AT65" s="21"/>
      <c r="AU65" s="8" t="s">
        <v>173</v>
      </c>
      <c r="AV65" t="s">
        <v>1401</v>
      </c>
      <c r="AW65" t="b">
        <f>AND(ckAwdTable[[#This Row],[ILN]]&gt;"M", SUBSTITUTE(ckAwdTable[[#This Row],[prop_titl_txt]]," ","")&lt;&gt;SUBSTITUTE(AV64," ",""))</f>
        <v>0</v>
      </c>
      <c r="AX65" s="8" t="s">
        <v>1402</v>
      </c>
    </row>
    <row r="66" spans="1:50">
      <c r="B66" s="30">
        <v>42970.652083333334</v>
      </c>
      <c r="C66" t="s">
        <v>1376</v>
      </c>
      <c r="D66" t="s">
        <v>1124</v>
      </c>
      <c r="E66" t="s">
        <v>1377</v>
      </c>
      <c r="F66" t="s">
        <v>705</v>
      </c>
      <c r="G66" s="8" t="s">
        <v>172</v>
      </c>
      <c r="H66" s="8" t="s">
        <v>170</v>
      </c>
      <c r="I66" s="8" t="s">
        <v>447</v>
      </c>
      <c r="J66" t="s">
        <v>94</v>
      </c>
      <c r="K66" t="s">
        <v>1378</v>
      </c>
      <c r="L66" s="22"/>
      <c r="M66">
        <f xml:space="preserve"> M65+(ckAwdTable[ILN]&lt;"M")</f>
        <v>42</v>
      </c>
      <c r="N66" t="s">
        <v>96</v>
      </c>
      <c r="O66" t="s">
        <v>1043</v>
      </c>
      <c r="P66" s="15" t="str">
        <f>HYPERLINK("https://www.ejacket.nsf.gov/ej/showProposal.do?ID="&amp;ckAwdTable[[#This Row],[prop_id]],"eJ")</f>
        <v>eJ</v>
      </c>
      <c r="Q66" s="8" t="s">
        <v>1127</v>
      </c>
      <c r="R66" t="s">
        <v>1043</v>
      </c>
      <c r="S66" t="s">
        <v>469</v>
      </c>
      <c r="T66" t="s">
        <v>470</v>
      </c>
      <c r="U66" s="8" t="s">
        <v>471</v>
      </c>
      <c r="V66" t="s">
        <v>261</v>
      </c>
      <c r="W66" s="15" t="str">
        <f>HYPERLINK("mailto:"&amp; ckAwdTable[[#This Row],[email]]&amp;"&amp;subject=Your NSF Proposal:  "&amp;ckAwdTable[[#This Row],[prop_id]], ckAwdTable[[#This Row],[email]])</f>
        <v>brian@cse.lehigh.edu</v>
      </c>
      <c r="X66" s="30">
        <v>43221</v>
      </c>
      <c r="Y66">
        <v>36</v>
      </c>
      <c r="Z66" t="s">
        <v>451</v>
      </c>
      <c r="AA66" s="21" t="s">
        <v>1581</v>
      </c>
      <c r="AB66" s="21" t="s">
        <v>454</v>
      </c>
      <c r="AC66"/>
      <c r="AD66" s="21" t="s">
        <v>13</v>
      </c>
      <c r="AF66" s="21" t="s">
        <v>450</v>
      </c>
      <c r="AG66" s="21" t="str">
        <f>IFERROR(IF(FIND("?",ckAwdTable[[#This Row],[abst_narr_txt]]),SummarizeQuestMarks(ckAwdTable[[#This Row],[abst_narr_txt]]),""),"")</f>
        <v/>
      </c>
      <c r="AI66" s="13">
        <v>359969</v>
      </c>
      <c r="AJ66" s="21">
        <v>0</v>
      </c>
      <c r="AK66" s="1">
        <v>359969</v>
      </c>
      <c r="AL66" s="1"/>
      <c r="AM66" s="1"/>
      <c r="AO66" s="1">
        <v>261921</v>
      </c>
      <c r="AP66" s="21">
        <v>3</v>
      </c>
      <c r="AQ66" s="21">
        <v>6</v>
      </c>
      <c r="AR66" s="21"/>
      <c r="AS66" s="21"/>
      <c r="AT66" s="21">
        <v>1.5</v>
      </c>
      <c r="AU66" s="8" t="s">
        <v>173</v>
      </c>
      <c r="AV66" t="s">
        <v>1404</v>
      </c>
      <c r="AW66" t="b">
        <f>AND(ckAwdTable[[#This Row],[ILN]]&gt;"M", SUBSTITUTE(ckAwdTable[[#This Row],[prop_titl_txt]]," ","")&lt;&gt;SUBSTITUTE(AV65," ",""))</f>
        <v>0</v>
      </c>
      <c r="AX66" s="8" t="s">
        <v>472</v>
      </c>
    </row>
    <row r="67" spans="1:50">
      <c r="A67" s="30">
        <v>43066.349340277775</v>
      </c>
      <c r="B67" s="30">
        <v>42970.680555555555</v>
      </c>
      <c r="C67" t="s">
        <v>1376</v>
      </c>
      <c r="D67" t="s">
        <v>1124</v>
      </c>
      <c r="E67" t="s">
        <v>1377</v>
      </c>
      <c r="F67" t="s">
        <v>705</v>
      </c>
      <c r="G67" s="8" t="s">
        <v>456</v>
      </c>
      <c r="H67" s="8" t="s">
        <v>170</v>
      </c>
      <c r="I67" s="8" t="s">
        <v>447</v>
      </c>
      <c r="J67" t="s">
        <v>94</v>
      </c>
      <c r="K67" t="s">
        <v>1378</v>
      </c>
      <c r="L67" s="22">
        <v>43048.503240740742</v>
      </c>
      <c r="M67">
        <f xml:space="preserve"> M66+(ckAwdTable[ILN]&lt;"M")</f>
        <v>43</v>
      </c>
      <c r="N67" t="s">
        <v>96</v>
      </c>
      <c r="O67" t="s">
        <v>1051</v>
      </c>
      <c r="P67" s="15" t="str">
        <f>HYPERLINK("https://www.ejacket.nsf.gov/ej/showProposal.do?ID="&amp;ckAwdTable[[#This Row],[prop_id]],"eJ")</f>
        <v>eJ</v>
      </c>
      <c r="Q67" s="8" t="s">
        <v>1127</v>
      </c>
      <c r="R67" t="s">
        <v>1051</v>
      </c>
      <c r="S67" t="s">
        <v>1052</v>
      </c>
      <c r="T67" t="s">
        <v>1405</v>
      </c>
      <c r="U67" s="8" t="s">
        <v>1406</v>
      </c>
      <c r="V67" t="s">
        <v>363</v>
      </c>
      <c r="W67" s="15" t="str">
        <f>HYPERLINK("mailto:"&amp; ckAwdTable[[#This Row],[email]]&amp;"&amp;subject=Your NSF Proposal:  "&amp;ckAwdTable[[#This Row],[prop_id]], ckAwdTable[[#This Row],[email]])</f>
        <v>jung@uta.edu</v>
      </c>
      <c r="X67" s="30">
        <v>43101</v>
      </c>
      <c r="Y67">
        <v>36</v>
      </c>
      <c r="AA67" s="21" t="s">
        <v>13</v>
      </c>
      <c r="AB67" s="21" t="s">
        <v>454</v>
      </c>
      <c r="AC67"/>
      <c r="AD67" s="21" t="s">
        <v>13</v>
      </c>
      <c r="AF67" s="21" t="s">
        <v>450</v>
      </c>
      <c r="AG67" s="21" t="str">
        <f>IFERROR(IF(FIND("?",ckAwdTable[[#This Row],[abst_narr_txt]]),SummarizeQuestMarks(ckAwdTable[[#This Row],[abst_narr_txt]]),""),"")</f>
        <v/>
      </c>
      <c r="AI67" s="13">
        <v>339491</v>
      </c>
      <c r="AJ67" s="21">
        <v>0</v>
      </c>
      <c r="AK67" s="1">
        <v>339491</v>
      </c>
      <c r="AL67" s="1"/>
      <c r="AM67" s="1"/>
      <c r="AO67" s="1">
        <v>270000</v>
      </c>
      <c r="AP67" s="21"/>
      <c r="AQ67" s="21">
        <v>6</v>
      </c>
      <c r="AR67" s="21">
        <v>3</v>
      </c>
      <c r="AS67" s="21"/>
      <c r="AT67" s="21"/>
      <c r="AU67" s="8" t="s">
        <v>455</v>
      </c>
      <c r="AV67" t="s">
        <v>1408</v>
      </c>
      <c r="AW67" t="b">
        <f>AND(ckAwdTable[[#This Row],[ILN]]&gt;"M", SUBSTITUTE(ckAwdTable[[#This Row],[prop_titl_txt]]," ","")&lt;&gt;SUBSTITUTE(AV66," ",""))</f>
        <v>0</v>
      </c>
      <c r="AX67" s="8" t="s">
        <v>1409</v>
      </c>
    </row>
    <row r="68" spans="1:50">
      <c r="A68" s="30">
        <v>43066.352777777778</v>
      </c>
      <c r="B68" s="30">
        <v>42970.688194444447</v>
      </c>
      <c r="C68" t="s">
        <v>1376</v>
      </c>
      <c r="D68" t="s">
        <v>1124</v>
      </c>
      <c r="E68" t="s">
        <v>1377</v>
      </c>
      <c r="F68" t="s">
        <v>705</v>
      </c>
      <c r="G68" s="8" t="s">
        <v>456</v>
      </c>
      <c r="H68" s="8" t="s">
        <v>170</v>
      </c>
      <c r="I68" s="8" t="s">
        <v>447</v>
      </c>
      <c r="J68" t="s">
        <v>94</v>
      </c>
      <c r="K68" t="s">
        <v>1378</v>
      </c>
      <c r="L68" s="22">
        <v>43048.501331018517</v>
      </c>
      <c r="M68">
        <f xml:space="preserve"> M67+(ckAwdTable[ILN]&lt;"M")</f>
        <v>44</v>
      </c>
      <c r="N68" t="s">
        <v>96</v>
      </c>
      <c r="O68" t="s">
        <v>1060</v>
      </c>
      <c r="P68" s="15" t="str">
        <f>HYPERLINK("https://www.ejacket.nsf.gov/ej/showProposal.do?ID="&amp;ckAwdTable[[#This Row],[prop_id]],"eJ")</f>
        <v>eJ</v>
      </c>
      <c r="Q68" s="8" t="s">
        <v>1127</v>
      </c>
      <c r="R68" t="s">
        <v>1060</v>
      </c>
      <c r="S68" t="s">
        <v>575</v>
      </c>
      <c r="T68" t="s">
        <v>1410</v>
      </c>
      <c r="U68" s="8" t="s">
        <v>1411</v>
      </c>
      <c r="V68" t="s">
        <v>566</v>
      </c>
      <c r="W68" s="15" t="str">
        <f>HYPERLINK("mailto:"&amp; ckAwdTable[[#This Row],[email]]&amp;"&amp;subject=Your NSF Proposal:  "&amp;ckAwdTable[[#This Row],[prop_id]], ckAwdTable[[#This Row],[email]])</f>
        <v>jiafeng.xie@wright.edu</v>
      </c>
      <c r="X68" s="30">
        <v>43132</v>
      </c>
      <c r="Y68">
        <v>36</v>
      </c>
      <c r="AA68" s="21" t="s">
        <v>13</v>
      </c>
      <c r="AB68" s="21" t="s">
        <v>454</v>
      </c>
      <c r="AC68"/>
      <c r="AD68" s="21" t="s">
        <v>13</v>
      </c>
      <c r="AF68" s="21" t="s">
        <v>450</v>
      </c>
      <c r="AG68" s="21" t="str">
        <f>IFERROR(IF(FIND("?",ckAwdTable[[#This Row],[abst_narr_txt]]),SummarizeQuestMarks(ckAwdTable[[#This Row],[abst_narr_txt]]),""),"")</f>
        <v/>
      </c>
      <c r="AI68" s="13">
        <v>353763</v>
      </c>
      <c r="AJ68" s="21">
        <v>0</v>
      </c>
      <c r="AK68" s="1">
        <v>353763</v>
      </c>
      <c r="AL68" s="1"/>
      <c r="AM68" s="1"/>
      <c r="AO68" s="1">
        <v>237000</v>
      </c>
      <c r="AP68" s="21">
        <v>3</v>
      </c>
      <c r="AQ68" s="21">
        <v>15</v>
      </c>
      <c r="AR68" s="21">
        <v>3.7</v>
      </c>
      <c r="AS68" s="21"/>
      <c r="AT68" s="21"/>
      <c r="AU68" s="8" t="s">
        <v>455</v>
      </c>
      <c r="AV68" t="s">
        <v>1413</v>
      </c>
      <c r="AW68" t="b">
        <f>AND(ckAwdTable[[#This Row],[ILN]]&gt;"M", SUBSTITUTE(ckAwdTable[[#This Row],[prop_titl_txt]]," ","")&lt;&gt;SUBSTITUTE(AV67," ",""))</f>
        <v>0</v>
      </c>
      <c r="AX68" s="8" t="s">
        <v>1414</v>
      </c>
    </row>
    <row r="69" spans="1:50">
      <c r="B69" s="30">
        <v>42970.690972222219</v>
      </c>
      <c r="C69" t="s">
        <v>1376</v>
      </c>
      <c r="D69" t="s">
        <v>1124</v>
      </c>
      <c r="E69" t="s">
        <v>1377</v>
      </c>
      <c r="F69" t="s">
        <v>705</v>
      </c>
      <c r="G69" s="8" t="s">
        <v>172</v>
      </c>
      <c r="H69" s="8" t="s">
        <v>170</v>
      </c>
      <c r="I69" s="8" t="s">
        <v>447</v>
      </c>
      <c r="J69" t="s">
        <v>94</v>
      </c>
      <c r="K69" t="s">
        <v>1378</v>
      </c>
      <c r="L69" s="22"/>
      <c r="M69">
        <f xml:space="preserve"> M68+(ckAwdTable[ILN]&lt;"M")</f>
        <v>45</v>
      </c>
      <c r="N69" t="s">
        <v>96</v>
      </c>
      <c r="O69" t="s">
        <v>1069</v>
      </c>
      <c r="P69" s="15" t="str">
        <f>HYPERLINK("https://www.ejacket.nsf.gov/ej/showProposal.do?ID="&amp;ckAwdTable[[#This Row],[prop_id]],"eJ")</f>
        <v>eJ</v>
      </c>
      <c r="Q69" s="8" t="s">
        <v>1127</v>
      </c>
      <c r="R69" t="s">
        <v>1069</v>
      </c>
      <c r="S69" t="s">
        <v>562</v>
      </c>
      <c r="T69" t="s">
        <v>1415</v>
      </c>
      <c r="U69" s="8" t="s">
        <v>1212</v>
      </c>
      <c r="V69" t="s">
        <v>359</v>
      </c>
      <c r="W69" s="15" t="str">
        <f>HYPERLINK("mailto:"&amp; ckAwdTable[[#This Row],[email]]&amp;"&amp;subject=Your NSF Proposal:  "&amp;ckAwdTable[[#This Row],[prop_id]], ckAwdTable[[#This Row],[email]])</f>
        <v>davils@uncc.edu</v>
      </c>
      <c r="X69" s="30">
        <v>43132</v>
      </c>
      <c r="Y69">
        <v>36</v>
      </c>
      <c r="Z69" t="s">
        <v>451</v>
      </c>
      <c r="AA69" s="21" t="s">
        <v>1582</v>
      </c>
      <c r="AB69" s="21" t="s">
        <v>454</v>
      </c>
      <c r="AC69"/>
      <c r="AD69" s="21" t="s">
        <v>13</v>
      </c>
      <c r="AF69" s="21" t="s">
        <v>450</v>
      </c>
      <c r="AG69" s="21" t="str">
        <f>IFERROR(IF(FIND("?",ckAwdTable[[#This Row],[abst_narr_txt]]),SummarizeQuestMarks(ckAwdTable[[#This Row],[abst_narr_txt]]),""),"")</f>
        <v/>
      </c>
      <c r="AI69" s="13">
        <v>360182</v>
      </c>
      <c r="AJ69" s="21">
        <v>0</v>
      </c>
      <c r="AK69" s="1">
        <v>360182</v>
      </c>
      <c r="AL69" s="1"/>
      <c r="AM69" s="1"/>
      <c r="AO69" s="1">
        <v>256350</v>
      </c>
      <c r="AP69" s="21">
        <v>9</v>
      </c>
      <c r="AQ69" s="21">
        <v>9</v>
      </c>
      <c r="AR69" s="21">
        <v>0.6</v>
      </c>
      <c r="AS69" s="21"/>
      <c r="AT69" s="21">
        <v>2.25</v>
      </c>
      <c r="AU69" s="8" t="s">
        <v>173</v>
      </c>
      <c r="AV69" t="s">
        <v>1417</v>
      </c>
      <c r="AW69" t="b">
        <f>AND(ckAwdTable[[#This Row],[ILN]]&gt;"M", SUBSTITUTE(ckAwdTable[[#This Row],[prop_titl_txt]]," ","")&lt;&gt;SUBSTITUTE(AV68," ",""))</f>
        <v>0</v>
      </c>
      <c r="AX69" s="8" t="s">
        <v>1418</v>
      </c>
    </row>
    <row r="70" spans="1:50">
      <c r="B70" s="30">
        <v>42970.693055555559</v>
      </c>
      <c r="C70" t="s">
        <v>1376</v>
      </c>
      <c r="D70" t="s">
        <v>1124</v>
      </c>
      <c r="E70" t="s">
        <v>1377</v>
      </c>
      <c r="F70" t="s">
        <v>705</v>
      </c>
      <c r="G70" s="8" t="s">
        <v>172</v>
      </c>
      <c r="H70" s="8" t="s">
        <v>170</v>
      </c>
      <c r="I70" s="8" t="s">
        <v>447</v>
      </c>
      <c r="J70" t="s">
        <v>94</v>
      </c>
      <c r="K70" t="s">
        <v>1378</v>
      </c>
      <c r="L70" s="22">
        <v>43048.50240740741</v>
      </c>
      <c r="M70">
        <f xml:space="preserve"> M69+(ckAwdTable[ILN]&lt;"M")</f>
        <v>46</v>
      </c>
      <c r="N70" t="s">
        <v>96</v>
      </c>
      <c r="O70" t="s">
        <v>1076</v>
      </c>
      <c r="P70" s="15" t="str">
        <f>HYPERLINK("https://www.ejacket.nsf.gov/ej/showProposal.do?ID="&amp;ckAwdTable[[#This Row],[prop_id]],"eJ")</f>
        <v>eJ</v>
      </c>
      <c r="Q70" s="8" t="s">
        <v>1127</v>
      </c>
      <c r="R70" t="s">
        <v>1076</v>
      </c>
      <c r="S70" t="s">
        <v>1077</v>
      </c>
      <c r="T70" t="s">
        <v>1419</v>
      </c>
      <c r="U70" s="8" t="s">
        <v>1420</v>
      </c>
      <c r="V70" t="s">
        <v>363</v>
      </c>
      <c r="W70" s="15" t="str">
        <f>HYPERLINK("mailto:"&amp; ckAwdTable[[#This Row],[email]]&amp;"&amp;subject=Your NSF Proposal:  "&amp;ckAwdTable[[#This Row],[prop_id]], ckAwdTable[[#This Row],[email]])</f>
        <v>vmetsis@txstate.edu</v>
      </c>
      <c r="X70" s="30">
        <v>43101</v>
      </c>
      <c r="Y70">
        <v>36</v>
      </c>
      <c r="Z70" t="s">
        <v>451</v>
      </c>
      <c r="AA70" s="21" t="s">
        <v>13</v>
      </c>
      <c r="AB70" s="21" t="s">
        <v>454</v>
      </c>
      <c r="AC70"/>
      <c r="AD70" s="21" t="s">
        <v>13</v>
      </c>
      <c r="AF70" s="21" t="s">
        <v>450</v>
      </c>
      <c r="AG70" s="21" t="str">
        <f>IFERROR(IF(FIND("?",ckAwdTable[[#This Row],[abst_narr_txt]]),SummarizeQuestMarks(ckAwdTable[[#This Row],[abst_narr_txt]]),""),"")</f>
        <v/>
      </c>
      <c r="AI70" s="13">
        <v>359812</v>
      </c>
      <c r="AJ70" s="21">
        <v>0</v>
      </c>
      <c r="AK70" s="1">
        <v>359812</v>
      </c>
      <c r="AL70" s="1"/>
      <c r="AM70" s="1"/>
      <c r="AO70" s="1">
        <v>240000</v>
      </c>
      <c r="AP70" s="21">
        <v>3</v>
      </c>
      <c r="AQ70" s="21">
        <v>6</v>
      </c>
      <c r="AR70" s="21">
        <v>3.6</v>
      </c>
      <c r="AS70" s="21"/>
      <c r="AT70" s="21"/>
      <c r="AU70" s="8" t="s">
        <v>173</v>
      </c>
      <c r="AV70" t="s">
        <v>1422</v>
      </c>
      <c r="AW70" t="b">
        <f>AND(ckAwdTable[[#This Row],[ILN]]&gt;"M", SUBSTITUTE(ckAwdTable[[#This Row],[prop_titl_txt]]," ","")&lt;&gt;SUBSTITUTE(AV69," ",""))</f>
        <v>0</v>
      </c>
      <c r="AX70" s="8" t="s">
        <v>1423</v>
      </c>
    </row>
    <row r="71" spans="1:50">
      <c r="B71" s="30">
        <v>42970.698611111111</v>
      </c>
      <c r="C71" t="s">
        <v>1376</v>
      </c>
      <c r="D71" t="s">
        <v>1124</v>
      </c>
      <c r="E71" t="s">
        <v>1377</v>
      </c>
      <c r="F71" t="s">
        <v>705</v>
      </c>
      <c r="G71" s="8" t="s">
        <v>172</v>
      </c>
      <c r="H71" s="8" t="s">
        <v>170</v>
      </c>
      <c r="I71" s="8" t="s">
        <v>447</v>
      </c>
      <c r="J71" t="s">
        <v>94</v>
      </c>
      <c r="K71" t="s">
        <v>1378</v>
      </c>
      <c r="L71" s="22"/>
      <c r="M71">
        <f xml:space="preserve"> M70+(ckAwdTable[ILN]&lt;"M")</f>
        <v>47</v>
      </c>
      <c r="N71" t="s">
        <v>96</v>
      </c>
      <c r="O71" t="s">
        <v>1083</v>
      </c>
      <c r="P71" s="15" t="str">
        <f>HYPERLINK("https://www.ejacket.nsf.gov/ej/showProposal.do?ID="&amp;ckAwdTable[[#This Row],[prop_id]],"eJ")</f>
        <v>eJ</v>
      </c>
      <c r="Q71" s="8" t="s">
        <v>1127</v>
      </c>
      <c r="R71" t="s">
        <v>1083</v>
      </c>
      <c r="S71" t="s">
        <v>1084</v>
      </c>
      <c r="T71" t="s">
        <v>1425</v>
      </c>
      <c r="U71" s="8" t="s">
        <v>569</v>
      </c>
      <c r="V71" t="s">
        <v>113</v>
      </c>
      <c r="W71" s="15" t="str">
        <f>HYPERLINK("mailto:"&amp; ckAwdTable[[#This Row],[email]]&amp;"&amp;subject=Your NSF Proposal:  "&amp;ckAwdTable[[#This Row],[prop_id]], ckAwdTable[[#This Row],[email]])</f>
        <v>elbaum@cse.unl.edu</v>
      </c>
      <c r="X71" s="30">
        <v>43160</v>
      </c>
      <c r="Y71">
        <v>36</v>
      </c>
      <c r="AA71" s="21" t="s">
        <v>13</v>
      </c>
      <c r="AB71" s="21" t="s">
        <v>454</v>
      </c>
      <c r="AC71"/>
      <c r="AD71" s="21" t="s">
        <v>13</v>
      </c>
      <c r="AF71" s="21" t="s">
        <v>450</v>
      </c>
      <c r="AG71" s="21" t="str">
        <f>IFERROR(IF(FIND("?",ckAwdTable[[#This Row],[abst_narr_txt]]),SummarizeQuestMarks(ckAwdTable[[#This Row],[abst_narr_txt]]),""),"")</f>
        <v/>
      </c>
      <c r="AI71" s="13">
        <v>344650</v>
      </c>
      <c r="AJ71" s="21">
        <v>0</v>
      </c>
      <c r="AK71" s="1">
        <v>344650</v>
      </c>
      <c r="AL71" s="1"/>
      <c r="AM71" s="1"/>
      <c r="AO71" s="1">
        <v>296137</v>
      </c>
      <c r="AP71" s="21"/>
      <c r="AQ71" s="21"/>
      <c r="AR71" s="21"/>
      <c r="AS71" s="21"/>
      <c r="AT71" s="21"/>
      <c r="AU71" s="8" t="s">
        <v>173</v>
      </c>
      <c r="AV71" t="s">
        <v>1426</v>
      </c>
      <c r="AW71" t="b">
        <f>AND(ckAwdTable[[#This Row],[ILN]]&gt;"M", SUBSTITUTE(ckAwdTable[[#This Row],[prop_titl_txt]]," ","")&lt;&gt;SUBSTITUTE(AV70," ",""))</f>
        <v>0</v>
      </c>
      <c r="AX71" s="8" t="s">
        <v>1427</v>
      </c>
    </row>
    <row r="72" spans="1:50">
      <c r="B72" s="30">
        <v>42970.70208333333</v>
      </c>
      <c r="C72" t="s">
        <v>1376</v>
      </c>
      <c r="D72" t="s">
        <v>1124</v>
      </c>
      <c r="E72" t="s">
        <v>1377</v>
      </c>
      <c r="F72" t="s">
        <v>705</v>
      </c>
      <c r="G72" s="8" t="s">
        <v>172</v>
      </c>
      <c r="H72" s="8" t="s">
        <v>170</v>
      </c>
      <c r="I72" s="8" t="s">
        <v>447</v>
      </c>
      <c r="J72" t="s">
        <v>94</v>
      </c>
      <c r="K72" t="s">
        <v>1378</v>
      </c>
      <c r="L72" s="22">
        <v>43048.502071759256</v>
      </c>
      <c r="M72">
        <f xml:space="preserve"> M71+(ckAwdTable[ILN]&lt;"M")</f>
        <v>48</v>
      </c>
      <c r="N72" t="s">
        <v>96</v>
      </c>
      <c r="O72" t="s">
        <v>1091</v>
      </c>
      <c r="P72" s="15" t="str">
        <f>HYPERLINK("https://www.ejacket.nsf.gov/ej/showProposal.do?ID="&amp;ckAwdTable[[#This Row],[prop_id]],"eJ")</f>
        <v>eJ</v>
      </c>
      <c r="Q72" s="8" t="s">
        <v>1127</v>
      </c>
      <c r="R72" t="s">
        <v>1091</v>
      </c>
      <c r="S72" t="s">
        <v>1092</v>
      </c>
      <c r="T72" t="s">
        <v>1428</v>
      </c>
      <c r="U72" s="8" t="s">
        <v>476</v>
      </c>
      <c r="V72" t="s">
        <v>362</v>
      </c>
      <c r="W72" s="15" t="str">
        <f>HYPERLINK("mailto:"&amp; ckAwdTable[[#This Row],[email]]&amp;"&amp;subject=Your NSF Proposal:  "&amp;ckAwdTable[[#This Row],[prop_id]], ckAwdTable[[#This Row],[email]])</f>
        <v>tbo4z@virginia.edu</v>
      </c>
      <c r="X72" s="30">
        <v>43252</v>
      </c>
      <c r="Y72">
        <v>36</v>
      </c>
      <c r="AA72" s="21" t="s">
        <v>13</v>
      </c>
      <c r="AB72" s="21" t="s">
        <v>454</v>
      </c>
      <c r="AC72"/>
      <c r="AD72" s="21" t="s">
        <v>13</v>
      </c>
      <c r="AF72" s="21" t="s">
        <v>450</v>
      </c>
      <c r="AG72" s="21" t="str">
        <f>IFERROR(IF(FIND("?",ckAwdTable[[#This Row],[abst_narr_txt]]),SummarizeQuestMarks(ckAwdTable[[#This Row],[abst_narr_txt]]),""),"")</f>
        <v/>
      </c>
      <c r="AI72" s="13">
        <v>299333</v>
      </c>
      <c r="AJ72" s="21">
        <v>0</v>
      </c>
      <c r="AK72" s="1">
        <v>299333</v>
      </c>
      <c r="AL72" s="1"/>
      <c r="AM72" s="1"/>
      <c r="AO72" s="1">
        <v>231600</v>
      </c>
      <c r="AP72" s="21"/>
      <c r="AQ72" s="21">
        <v>3</v>
      </c>
      <c r="AR72" s="21">
        <v>2.4</v>
      </c>
      <c r="AS72" s="21"/>
      <c r="AT72" s="21"/>
      <c r="AU72" s="8" t="s">
        <v>1430</v>
      </c>
      <c r="AV72" t="s">
        <v>1431</v>
      </c>
      <c r="AW72" t="b">
        <f>AND(ckAwdTable[[#This Row],[ILN]]&gt;"M", SUBSTITUTE(ckAwdTable[[#This Row],[prop_titl_txt]]," ","")&lt;&gt;SUBSTITUTE(AV71," ",""))</f>
        <v>0</v>
      </c>
      <c r="AX72" s="8" t="s">
        <v>1432</v>
      </c>
    </row>
    <row r="73" spans="1:50">
      <c r="A73" s="30">
        <v>43063.975752314815</v>
      </c>
      <c r="B73" s="30">
        <v>42970.70208333333</v>
      </c>
      <c r="C73" t="s">
        <v>1376</v>
      </c>
      <c r="D73" t="s">
        <v>1124</v>
      </c>
      <c r="E73" t="s">
        <v>1377</v>
      </c>
      <c r="F73" t="s">
        <v>705</v>
      </c>
      <c r="G73" s="8" t="s">
        <v>456</v>
      </c>
      <c r="H73" s="8" t="s">
        <v>170</v>
      </c>
      <c r="I73" s="8" t="s">
        <v>447</v>
      </c>
      <c r="J73" t="s">
        <v>94</v>
      </c>
      <c r="K73" t="s">
        <v>1378</v>
      </c>
      <c r="L73" s="22">
        <v>43048.504432870373</v>
      </c>
      <c r="M73">
        <f xml:space="preserve"> M72+(ckAwdTable[ILN]&lt;"M")</f>
        <v>49</v>
      </c>
      <c r="N73" t="s">
        <v>96</v>
      </c>
      <c r="O73" t="s">
        <v>1099</v>
      </c>
      <c r="P73" s="15" t="str">
        <f>HYPERLINK("https://www.ejacket.nsf.gov/ej/showProposal.do?ID="&amp;ckAwdTable[[#This Row],[prop_id]],"eJ")</f>
        <v>eJ</v>
      </c>
      <c r="Q73" s="8" t="s">
        <v>1127</v>
      </c>
      <c r="R73" t="s">
        <v>1099</v>
      </c>
      <c r="S73" t="s">
        <v>1100</v>
      </c>
      <c r="T73" t="s">
        <v>1433</v>
      </c>
      <c r="U73" s="8" t="s">
        <v>1434</v>
      </c>
      <c r="V73" t="s">
        <v>268</v>
      </c>
      <c r="W73" s="15" t="str">
        <f>HYPERLINK("mailto:"&amp; ckAwdTable[[#This Row],[email]]&amp;"&amp;subject=Your NSF Proposal:  "&amp;ckAwdTable[[#This Row],[prop_id]], ckAwdTable[[#This Row],[email]])</f>
        <v>aashok@gsu.edu</v>
      </c>
      <c r="X73" s="30">
        <v>43130</v>
      </c>
      <c r="Y73">
        <v>36</v>
      </c>
      <c r="AA73" s="21" t="s">
        <v>13</v>
      </c>
      <c r="AB73" s="21" t="s">
        <v>454</v>
      </c>
      <c r="AC73"/>
      <c r="AD73" s="21" t="s">
        <v>13</v>
      </c>
      <c r="AF73" s="21" t="s">
        <v>450</v>
      </c>
      <c r="AG73" s="21" t="str">
        <f>IFERROR(IF(FIND("?",ckAwdTable[[#This Row],[abst_narr_txt]]),SummarizeQuestMarks(ckAwdTable[[#This Row],[abst_narr_txt]]),""),"")</f>
        <v/>
      </c>
      <c r="AI73" s="13">
        <v>358313</v>
      </c>
      <c r="AJ73" s="21">
        <v>0</v>
      </c>
      <c r="AK73" s="1">
        <v>358313</v>
      </c>
      <c r="AL73" s="1"/>
      <c r="AM73" s="1"/>
      <c r="AO73" s="1">
        <v>250650</v>
      </c>
      <c r="AP73" s="21">
        <v>12</v>
      </c>
      <c r="AQ73" s="21">
        <v>15</v>
      </c>
      <c r="AR73" s="21">
        <v>2.13</v>
      </c>
      <c r="AS73" s="21"/>
      <c r="AT73" s="21"/>
      <c r="AU73" s="8" t="s">
        <v>455</v>
      </c>
      <c r="AV73" t="s">
        <v>1436</v>
      </c>
      <c r="AW73" t="b">
        <f>AND(ckAwdTable[[#This Row],[ILN]]&gt;"M", SUBSTITUTE(ckAwdTable[[#This Row],[prop_titl_txt]]," ","")&lt;&gt;SUBSTITUTE(AV72," ",""))</f>
        <v>0</v>
      </c>
      <c r="AX73" s="8" t="s">
        <v>1437</v>
      </c>
    </row>
    <row r="74" spans="1:50">
      <c r="B74" s="30">
        <v>42970.709722222222</v>
      </c>
      <c r="C74" t="s">
        <v>1376</v>
      </c>
      <c r="D74" t="s">
        <v>1124</v>
      </c>
      <c r="E74" t="s">
        <v>1377</v>
      </c>
      <c r="F74" t="s">
        <v>705</v>
      </c>
      <c r="G74" s="8" t="s">
        <v>172</v>
      </c>
      <c r="H74" s="8" t="s">
        <v>170</v>
      </c>
      <c r="I74" s="8" t="s">
        <v>447</v>
      </c>
      <c r="J74" t="s">
        <v>94</v>
      </c>
      <c r="K74" t="s">
        <v>1378</v>
      </c>
      <c r="L74" s="22"/>
      <c r="M74">
        <f xml:space="preserve"> M73+(ckAwdTable[ILN]&lt;"M")</f>
        <v>50</v>
      </c>
      <c r="N74" t="s">
        <v>96</v>
      </c>
      <c r="O74" t="s">
        <v>1107</v>
      </c>
      <c r="P74" s="15" t="str">
        <f>HYPERLINK("https://www.ejacket.nsf.gov/ej/showProposal.do?ID="&amp;ckAwdTable[[#This Row],[prop_id]],"eJ")</f>
        <v>eJ</v>
      </c>
      <c r="Q74" s="8" t="s">
        <v>1127</v>
      </c>
      <c r="R74" t="s">
        <v>1107</v>
      </c>
      <c r="S74" t="s">
        <v>1108</v>
      </c>
      <c r="T74" t="s">
        <v>1438</v>
      </c>
      <c r="U74" s="8" t="s">
        <v>1439</v>
      </c>
      <c r="V74" t="s">
        <v>363</v>
      </c>
      <c r="W74" s="15" t="str">
        <f>HYPERLINK("mailto:"&amp; ckAwdTable[[#This Row],[email]]&amp;"&amp;subject=Your NSF Proposal:  "&amp;ckAwdTable[[#This Row],[prop_id]], ckAwdTable[[#This Row],[email]])</f>
        <v>dulal.kar@tamucc.edu</v>
      </c>
      <c r="X74" s="30">
        <v>43252</v>
      </c>
      <c r="Y74">
        <v>36</v>
      </c>
      <c r="Z74" t="s">
        <v>451</v>
      </c>
      <c r="AA74" s="21" t="s">
        <v>1583</v>
      </c>
      <c r="AB74" s="21" t="s">
        <v>454</v>
      </c>
      <c r="AC74"/>
      <c r="AD74" s="21" t="s">
        <v>13</v>
      </c>
      <c r="AF74" s="21" t="s">
        <v>450</v>
      </c>
      <c r="AG74" s="21" t="str">
        <f>IFERROR(IF(FIND("?",ckAwdTable[[#This Row],[abst_narr_txt]]),SummarizeQuestMarks(ckAwdTable[[#This Row],[abst_narr_txt]]),""),"")</f>
        <v/>
      </c>
      <c r="AI74" s="13">
        <v>357018</v>
      </c>
      <c r="AJ74" s="21">
        <v>0</v>
      </c>
      <c r="AK74" s="1">
        <v>357018</v>
      </c>
      <c r="AL74" s="1"/>
      <c r="AM74" s="1"/>
      <c r="AO74" s="1">
        <v>269550</v>
      </c>
      <c r="AP74" s="21">
        <v>3</v>
      </c>
      <c r="AQ74" s="21">
        <v>15</v>
      </c>
      <c r="AR74" s="21"/>
      <c r="AS74" s="21"/>
      <c r="AT74" s="21">
        <v>2.94</v>
      </c>
      <c r="AU74" s="8" t="s">
        <v>173</v>
      </c>
      <c r="AV74" t="s">
        <v>1440</v>
      </c>
      <c r="AW74" t="b">
        <f>AND(ckAwdTable[[#This Row],[ILN]]&gt;"M", SUBSTITUTE(ckAwdTable[[#This Row],[prop_titl_txt]]," ","")&lt;&gt;SUBSTITUTE(AV73," ",""))</f>
        <v>0</v>
      </c>
      <c r="AX74" s="8" t="s">
        <v>1441</v>
      </c>
    </row>
    <row r="75" spans="1:50">
      <c r="A75" s="30">
        <v>43066.356249999997</v>
      </c>
      <c r="B75" s="30">
        <v>42970.728472222225</v>
      </c>
      <c r="C75" t="s">
        <v>1376</v>
      </c>
      <c r="D75" t="s">
        <v>1124</v>
      </c>
      <c r="E75" t="s">
        <v>1377</v>
      </c>
      <c r="F75" t="s">
        <v>705</v>
      </c>
      <c r="G75" s="8" t="s">
        <v>456</v>
      </c>
      <c r="H75" s="8" t="s">
        <v>170</v>
      </c>
      <c r="I75" s="8" t="s">
        <v>447</v>
      </c>
      <c r="J75" t="s">
        <v>94</v>
      </c>
      <c r="K75" t="s">
        <v>1378</v>
      </c>
      <c r="L75" s="22">
        <v>43048.504155092596</v>
      </c>
      <c r="M75">
        <f xml:space="preserve"> M74+(ckAwdTable[ILN]&lt;"M")</f>
        <v>51</v>
      </c>
      <c r="N75" t="s">
        <v>96</v>
      </c>
      <c r="O75" t="s">
        <v>1115</v>
      </c>
      <c r="P75" s="15" t="str">
        <f>HYPERLINK("https://www.ejacket.nsf.gov/ej/showProposal.do?ID="&amp;ckAwdTable[[#This Row],[prop_id]],"eJ")</f>
        <v>eJ</v>
      </c>
      <c r="Q75" s="8" t="s">
        <v>1127</v>
      </c>
      <c r="R75" t="s">
        <v>1115</v>
      </c>
      <c r="S75" t="s">
        <v>1116</v>
      </c>
      <c r="T75" t="s">
        <v>1442</v>
      </c>
      <c r="U75" s="8" t="s">
        <v>1443</v>
      </c>
      <c r="V75" t="s">
        <v>100</v>
      </c>
      <c r="W75" s="15" t="str">
        <f>HYPERLINK("mailto:"&amp; ckAwdTable[[#This Row],[email]]&amp;"&amp;subject=Your NSF Proposal:  "&amp;ckAwdTable[[#This Row],[prop_id]], ckAwdTable[[#This Row],[email]])</f>
        <v>cbobda@uark.edu</v>
      </c>
      <c r="X75" s="30">
        <v>43101</v>
      </c>
      <c r="Y75">
        <v>36</v>
      </c>
      <c r="AA75" s="21" t="s">
        <v>13</v>
      </c>
      <c r="AB75" s="21" t="s">
        <v>454</v>
      </c>
      <c r="AC75"/>
      <c r="AD75" s="21" t="s">
        <v>13</v>
      </c>
      <c r="AF75" s="21" t="s">
        <v>450</v>
      </c>
      <c r="AG75" s="21" t="str">
        <f>IFERROR(IF(FIND("?",ckAwdTable[[#This Row],[abst_narr_txt]]),SummarizeQuestMarks(ckAwdTable[[#This Row],[abst_narr_txt]]),""),"")</f>
        <v/>
      </c>
      <c r="AI75" s="13">
        <v>399415</v>
      </c>
      <c r="AJ75" s="21">
        <v>0</v>
      </c>
      <c r="AK75" s="1">
        <v>399415</v>
      </c>
      <c r="AL75" s="1"/>
      <c r="AM75" s="1"/>
      <c r="AO75" s="1">
        <v>265715</v>
      </c>
      <c r="AP75" s="21">
        <v>3</v>
      </c>
      <c r="AQ75" s="21">
        <v>3</v>
      </c>
      <c r="AR75" s="21">
        <v>3</v>
      </c>
      <c r="AS75" s="21"/>
      <c r="AT75" s="21"/>
      <c r="AU75" s="8" t="s">
        <v>455</v>
      </c>
      <c r="AV75" t="s">
        <v>1445</v>
      </c>
      <c r="AW75" t="b">
        <f>AND(ckAwdTable[[#This Row],[ILN]]&gt;"M", SUBSTITUTE(ckAwdTable[[#This Row],[prop_titl_txt]]," ","")&lt;&gt;SUBSTITUTE(AV74," ",""))</f>
        <v>0</v>
      </c>
      <c r="AX75" s="8" t="s">
        <v>1446</v>
      </c>
    </row>
  </sheetData>
  <conditionalFormatting sqref="A2:AX75">
    <cfRule type="expression" dxfId="69" priority="1968">
      <formula>MOD($M2,2)</formula>
    </cfRule>
  </conditionalFormatting>
  <conditionalFormatting sqref="AV2:AV75">
    <cfRule type="expression" dxfId="68" priority="2">
      <formula>$AW2</formula>
    </cfRule>
  </conditionalFormatting>
  <conditionalFormatting sqref="X2:AH75 AU2:AU75">
    <cfRule type="expression" dxfId="67" priority="1990">
      <formula>AND($N2="N", TRIM(X2)&lt;&gt;TRIM(#REF!))</formula>
    </cfRule>
  </conditionalFormatting>
  <conditionalFormatting sqref="C2:K75">
    <cfRule type="expression" dxfId="66" priority="1994">
      <formula>AND($N2="N",C2&lt;&gt;#REF!)</formula>
    </cfRule>
  </conditionalFormatting>
  <conditionalFormatting sqref="X2:AH75 AU2:AU75">
    <cfRule type="expression" dxfId="65" priority="2018">
      <formula>AND($N2="N", TRIM(X2)&lt;&gt;TRIM(#REF!))</formula>
    </cfRule>
  </conditionalFormatting>
  <conditionalFormatting sqref="C2:K75">
    <cfRule type="expression" dxfId="64" priority="2020">
      <formula>AND($N2="N",C2&lt;&gt;#REF!)</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AE2" sqref="AE2"/>
    </sheetView>
  </sheetViews>
  <sheetFormatPr defaultRowHeight="15"/>
  <cols>
    <col min="1" max="2" width="8.7109375" style="30" customWidth="1"/>
    <col min="3" max="3" width="12.42578125" customWidth="1"/>
    <col min="4" max="4" width="12.140625" style="30" customWidth="1"/>
    <col min="5" max="5" width="5.42578125" style="30" customWidth="1"/>
    <col min="6" max="6" width="5.28515625" style="30" customWidth="1"/>
    <col min="7" max="7" width="8.85546875" style="30" bestFit="1" customWidth="1"/>
    <col min="8" max="8" width="8.85546875" bestFit="1" customWidth="1"/>
    <col min="9" max="9" width="5.28515625" customWidth="1"/>
    <col min="10" max="10" width="5.5703125" customWidth="1"/>
    <col min="11" max="12" width="9.28515625" bestFit="1" customWidth="1"/>
    <col min="13" max="13" width="6.28515625" style="22" customWidth="1"/>
    <col min="14" max="14" width="5.85546875" style="39" customWidth="1"/>
    <col min="15" max="16" width="6.140625" customWidth="1"/>
    <col min="17" max="17" width="3.42578125" customWidth="1"/>
    <col min="18" max="18" width="11.42578125" customWidth="1"/>
    <col min="19" max="19" width="4.42578125" style="21" customWidth="1"/>
    <col min="20" max="20" width="2.28515625" customWidth="1"/>
    <col min="21" max="21" width="7.85546875" customWidth="1"/>
    <col min="22" max="22" width="3.140625" customWidth="1"/>
    <col min="23" max="23" width="4.28515625" customWidth="1"/>
    <col min="24" max="24" width="9.5703125" bestFit="1" customWidth="1"/>
    <col min="25" max="25" width="10.85546875" customWidth="1"/>
    <col min="26" max="26" width="10.140625" customWidth="1"/>
    <col min="27" max="27" width="22.7109375" customWidth="1"/>
    <col min="28" max="28" width="9.28515625" customWidth="1"/>
    <col min="29" max="29" width="14.28515625" hidden="1" customWidth="1"/>
    <col min="30" max="30" width="18.140625" bestFit="1" customWidth="1"/>
    <col min="31" max="31" width="18.5703125" bestFit="1" customWidth="1"/>
    <col min="32" max="32" width="9.140625" bestFit="1" customWidth="1"/>
    <col min="33" max="33" width="23.5703125" bestFit="1" customWidth="1"/>
    <col min="34" max="34" width="80.5703125" bestFit="1" customWidth="1"/>
    <col min="35" max="36" width="11.85546875" customWidth="1"/>
    <col min="37" max="37" width="24.140625" style="21" customWidth="1"/>
    <col min="38" max="38" width="15.140625" style="83" customWidth="1"/>
    <col min="39" max="39" width="16.28515625" style="83" customWidth="1"/>
    <col min="40" max="40" width="11.28515625" style="83" customWidth="1"/>
    <col min="41" max="41" width="11.140625" style="83" customWidth="1"/>
    <col min="42" max="42" width="12.140625" style="83" customWidth="1"/>
    <col min="43" max="43" width="9.5703125" style="21" customWidth="1"/>
    <col min="44" max="44" width="12.140625" style="21" customWidth="1"/>
    <col min="45" max="47" width="5.5703125" style="21" customWidth="1"/>
    <col min="48" max="49" width="11.85546875" customWidth="1"/>
    <col min="50" max="50" width="4.42578125" customWidth="1"/>
    <col min="51" max="51" width="3.7109375" customWidth="1"/>
    <col min="52" max="52" width="8.7109375" style="30" customWidth="1"/>
    <col min="53" max="53" width="3.7109375" customWidth="1"/>
    <col min="54" max="54" width="9.28515625" style="30"/>
    <col min="55" max="55" width="9.5703125" style="30" customWidth="1"/>
    <col min="56" max="56" width="11.5703125" customWidth="1"/>
    <col min="57" max="57" width="12.140625" customWidth="1"/>
    <col min="58" max="58" width="9.85546875" customWidth="1"/>
    <col min="59" max="59" width="10.140625" customWidth="1"/>
    <col min="60" max="60" width="4.42578125" customWidth="1"/>
    <col min="61" max="66" width="3" customWidth="1"/>
    <col min="67" max="67" width="9.28515625" style="1"/>
    <col min="69" max="69" width="85.5703125" customWidth="1"/>
    <col min="70" max="70" width="10.42578125" customWidth="1"/>
    <col min="71" max="71" width="9.5703125" style="13" customWidth="1"/>
    <col min="72" max="72" width="10.42578125" customWidth="1"/>
    <col min="73" max="73" width="15.42578125" customWidth="1"/>
    <col min="74" max="74" width="11.7109375" customWidth="1"/>
    <col min="75" max="75" width="9.28515625" hidden="1" customWidth="1"/>
    <col min="76" max="76" width="11" hidden="1" customWidth="1"/>
    <col min="77" max="80" width="4.28515625" customWidth="1"/>
  </cols>
  <sheetData>
    <row r="1" spans="1:71" ht="29.65" customHeight="1">
      <c r="A1" s="30" t="s">
        <v>87</v>
      </c>
      <c r="B1" s="30" t="s">
        <v>7</v>
      </c>
      <c r="C1" t="s">
        <v>17</v>
      </c>
      <c r="D1" s="14" t="s">
        <v>8</v>
      </c>
      <c r="E1" t="s">
        <v>501</v>
      </c>
      <c r="F1" t="s">
        <v>502</v>
      </c>
      <c r="G1" t="s">
        <v>435</v>
      </c>
      <c r="H1" t="s">
        <v>436</v>
      </c>
      <c r="I1" t="s">
        <v>437</v>
      </c>
      <c r="J1" t="s">
        <v>438</v>
      </c>
      <c r="K1" t="s">
        <v>439</v>
      </c>
      <c r="L1" t="s">
        <v>440</v>
      </c>
      <c r="M1" t="s">
        <v>166</v>
      </c>
      <c r="N1" t="s">
        <v>164</v>
      </c>
      <c r="O1" t="s">
        <v>441</v>
      </c>
      <c r="P1" s="21" t="s">
        <v>443</v>
      </c>
      <c r="Q1" t="s">
        <v>444</v>
      </c>
      <c r="R1" s="32" t="s">
        <v>445</v>
      </c>
      <c r="S1" s="21" t="s">
        <v>102</v>
      </c>
      <c r="T1" t="s">
        <v>88</v>
      </c>
      <c r="U1" t="s">
        <v>9</v>
      </c>
      <c r="V1" t="s">
        <v>1</v>
      </c>
      <c r="W1" t="s">
        <v>144</v>
      </c>
      <c r="X1" t="s">
        <v>0</v>
      </c>
      <c r="Y1" t="s">
        <v>10</v>
      </c>
      <c r="Z1" t="s">
        <v>18</v>
      </c>
      <c r="AA1" t="s">
        <v>328</v>
      </c>
      <c r="AB1" s="14" t="s">
        <v>505</v>
      </c>
      <c r="AC1" t="s">
        <v>146</v>
      </c>
      <c r="AD1" t="s">
        <v>329</v>
      </c>
      <c r="AE1" t="s">
        <v>446</v>
      </c>
      <c r="AF1" t="s">
        <v>442</v>
      </c>
      <c r="AG1" t="s">
        <v>167</v>
      </c>
      <c r="AH1" t="s">
        <v>36</v>
      </c>
      <c r="AK1" s="89" t="s">
        <v>508</v>
      </c>
      <c r="AL1"/>
      <c r="AM1" s="89" t="s">
        <v>506</v>
      </c>
      <c r="AN1"/>
      <c r="AO1"/>
      <c r="AP1"/>
      <c r="AQ1"/>
      <c r="AR1"/>
      <c r="AS1"/>
      <c r="AT1"/>
      <c r="AU1"/>
      <c r="AZ1"/>
      <c r="BB1"/>
      <c r="BC1"/>
      <c r="BO1"/>
      <c r="BS1"/>
    </row>
    <row r="2" spans="1:71">
      <c r="B2" s="30">
        <v>42970.65</v>
      </c>
      <c r="C2" t="s">
        <v>1378</v>
      </c>
      <c r="D2" t="s">
        <v>1376</v>
      </c>
      <c r="E2" s="8" t="s">
        <v>94</v>
      </c>
      <c r="F2" s="8" t="s">
        <v>94</v>
      </c>
      <c r="G2" t="s">
        <v>1124</v>
      </c>
      <c r="H2" t="s">
        <v>1124</v>
      </c>
      <c r="I2" t="s">
        <v>1377</v>
      </c>
      <c r="J2" t="s">
        <v>1377</v>
      </c>
      <c r="K2" t="s">
        <v>705</v>
      </c>
      <c r="L2" t="s">
        <v>705</v>
      </c>
      <c r="M2" t="s">
        <v>172</v>
      </c>
      <c r="N2" s="8" t="s">
        <v>170</v>
      </c>
      <c r="O2" s="8" t="s">
        <v>447</v>
      </c>
      <c r="P2" s="21">
        <v>2018</v>
      </c>
      <c r="Q2" s="8" t="s">
        <v>503</v>
      </c>
      <c r="R2" s="32">
        <v>287959</v>
      </c>
      <c r="S2" s="21">
        <f>S1+(X2&lt;&gt;X1)</f>
        <v>1</v>
      </c>
      <c r="T2" s="8" t="s">
        <v>96</v>
      </c>
      <c r="U2" s="8" t="s">
        <v>1036</v>
      </c>
      <c r="V2" s="88" t="str">
        <f>HYPERLINK("https://www.ejacket.nsf.gov/ej/showProposal.do?ID="&amp;ckSplitTable[[#This Row],[prop_id]],"eJ")</f>
        <v>eJ</v>
      </c>
      <c r="W2" s="8" t="s">
        <v>1127</v>
      </c>
      <c r="X2" s="8" t="s">
        <v>1036</v>
      </c>
      <c r="Y2" s="8" t="s">
        <v>579</v>
      </c>
      <c r="Z2" s="8" t="s">
        <v>1398</v>
      </c>
      <c r="AA2" s="8" t="s">
        <v>1399</v>
      </c>
      <c r="AB2" s="88" t="str">
        <f>HYPERLINK("mailto:"&amp;ckSplitTable[[#This Row],[email]]&amp;"&amp;subject=Your NSF Proposal:  "&amp;ckSplitTable[[#This Row],[prop_id]],ckSplitTable[[#This Row],[email]])</f>
        <v>yuanj@erau.edu</v>
      </c>
      <c r="AC2" s="8" t="s">
        <v>1402</v>
      </c>
      <c r="AD2" s="8" t="s">
        <v>592</v>
      </c>
      <c r="AE2" s="8" t="s">
        <v>592</v>
      </c>
      <c r="AF2" s="8" t="s">
        <v>454</v>
      </c>
      <c r="AG2" s="8" t="s">
        <v>173</v>
      </c>
      <c r="AH2" s="8" t="s">
        <v>1401</v>
      </c>
      <c r="AK2" s="89" t="s">
        <v>509</v>
      </c>
      <c r="AL2" s="89" t="s">
        <v>10</v>
      </c>
      <c r="AM2">
        <v>2018</v>
      </c>
      <c r="AN2" t="s">
        <v>507</v>
      </c>
      <c r="AO2"/>
      <c r="AP2"/>
      <c r="AQ2"/>
      <c r="AR2"/>
      <c r="AS2"/>
      <c r="AT2"/>
      <c r="AU2"/>
      <c r="AZ2"/>
      <c r="BB2"/>
      <c r="BC2"/>
      <c r="BO2"/>
      <c r="BS2"/>
    </row>
    <row r="3" spans="1:71">
      <c r="AK3" s="25" t="s">
        <v>1036</v>
      </c>
      <c r="AL3" s="25" t="s">
        <v>579</v>
      </c>
      <c r="AM3" s="31"/>
      <c r="AN3" s="31"/>
      <c r="AO3"/>
      <c r="AP3"/>
      <c r="AQ3"/>
      <c r="AR3"/>
      <c r="AS3"/>
      <c r="AT3"/>
      <c r="AU3"/>
      <c r="AZ3"/>
      <c r="BB3"/>
      <c r="BC3"/>
      <c r="BO3"/>
      <c r="BS3"/>
    </row>
    <row r="4" spans="1:71">
      <c r="AK4"/>
      <c r="AL4" s="90" t="s">
        <v>1377</v>
      </c>
      <c r="AM4" s="31">
        <v>287959</v>
      </c>
      <c r="AN4" s="31">
        <v>287959</v>
      </c>
      <c r="AO4"/>
      <c r="AP4"/>
      <c r="AQ4"/>
      <c r="AR4"/>
      <c r="AS4"/>
      <c r="AT4"/>
      <c r="AU4"/>
      <c r="AZ4"/>
      <c r="BB4"/>
      <c r="BC4"/>
      <c r="BO4"/>
      <c r="BS4"/>
    </row>
    <row r="5" spans="1:71">
      <c r="AK5" s="25" t="s">
        <v>507</v>
      </c>
      <c r="AL5"/>
      <c r="AM5" s="31">
        <v>287959</v>
      </c>
      <c r="AN5" s="31">
        <v>287959</v>
      </c>
      <c r="AO5"/>
      <c r="AP5"/>
      <c r="AQ5"/>
      <c r="AR5"/>
      <c r="AS5"/>
      <c r="AT5"/>
      <c r="AU5"/>
      <c r="AZ5"/>
      <c r="BB5"/>
      <c r="BC5"/>
      <c r="BO5"/>
      <c r="BS5"/>
    </row>
    <row r="6" spans="1:71">
      <c r="AK6"/>
      <c r="AL6"/>
      <c r="AM6"/>
      <c r="AN6"/>
      <c r="AO6"/>
      <c r="AP6"/>
      <c r="AQ6"/>
      <c r="AR6"/>
      <c r="AS6"/>
      <c r="AT6"/>
      <c r="AU6"/>
      <c r="AZ6"/>
      <c r="BB6"/>
      <c r="BC6"/>
      <c r="BO6"/>
      <c r="BS6"/>
    </row>
    <row r="7" spans="1:71">
      <c r="AK7"/>
      <c r="AL7"/>
      <c r="AM7"/>
      <c r="AN7"/>
      <c r="AO7"/>
      <c r="AP7"/>
      <c r="AQ7"/>
      <c r="AR7"/>
      <c r="AS7"/>
      <c r="AT7"/>
      <c r="AU7"/>
      <c r="AZ7"/>
      <c r="BB7"/>
      <c r="BC7"/>
      <c r="BO7"/>
      <c r="BS7"/>
    </row>
    <row r="8" spans="1:71">
      <c r="AK8"/>
      <c r="AL8"/>
      <c r="AM8"/>
      <c r="AN8"/>
      <c r="AO8"/>
      <c r="AP8"/>
      <c r="AQ8"/>
      <c r="AR8"/>
      <c r="AS8"/>
      <c r="AT8"/>
      <c r="AU8"/>
      <c r="AZ8"/>
      <c r="BB8"/>
      <c r="BC8"/>
      <c r="BO8"/>
      <c r="BS8"/>
    </row>
    <row r="9" spans="1:71">
      <c r="AK9"/>
      <c r="AL9"/>
      <c r="AM9"/>
      <c r="AN9"/>
      <c r="AO9"/>
      <c r="AP9"/>
      <c r="AQ9"/>
      <c r="AR9"/>
      <c r="AS9"/>
      <c r="AT9"/>
      <c r="AU9"/>
      <c r="AZ9"/>
      <c r="BB9"/>
      <c r="BC9"/>
      <c r="BO9"/>
      <c r="BS9"/>
    </row>
  </sheetData>
  <conditionalFormatting sqref="F2 H2 J2 L2 AE2">
    <cfRule type="expression" dxfId="63" priority="1">
      <formula>E2&lt;&gt;F2</formula>
    </cfRule>
  </conditionalFormatting>
  <conditionalFormatting sqref="A2:AH2">
    <cfRule type="expression" dxfId="62" priority="2000">
      <formula>#REF!&lt;&gt;$U2</formula>
    </cfRule>
    <cfRule type="expression" dxfId="61" priority="2001">
      <formula>MOD($S2,2)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31"/>
  <sheetViews>
    <sheetView workbookViewId="0">
      <selection activeCell="P90" sqref="P90"/>
    </sheetView>
  </sheetViews>
  <sheetFormatPr defaultRowHeight="1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28" customWidth="1"/>
    <col min="12" max="12" width="16.140625" customWidth="1"/>
    <col min="13" max="14" width="6.28515625" style="21" customWidth="1"/>
    <col min="15" max="15" width="5.140625" customWidth="1"/>
    <col min="16" max="16" width="80.5703125" bestFit="1" customWidth="1"/>
  </cols>
  <sheetData>
    <row r="1" spans="1:16" ht="51.4" customHeight="1">
      <c r="A1" t="s">
        <v>102</v>
      </c>
      <c r="B1" t="s">
        <v>9</v>
      </c>
      <c r="C1" t="s">
        <v>10</v>
      </c>
      <c r="D1" t="s">
        <v>182</v>
      </c>
      <c r="E1" t="s">
        <v>183</v>
      </c>
      <c r="F1" t="s">
        <v>184</v>
      </c>
      <c r="G1" t="s">
        <v>185</v>
      </c>
      <c r="H1" t="s">
        <v>186</v>
      </c>
      <c r="I1" t="s">
        <v>187</v>
      </c>
      <c r="J1" t="s">
        <v>188</v>
      </c>
      <c r="K1" s="28" t="s">
        <v>189</v>
      </c>
      <c r="L1" t="s">
        <v>190</v>
      </c>
      <c r="M1" s="21" t="s">
        <v>191</v>
      </c>
      <c r="N1" s="21" t="s">
        <v>192</v>
      </c>
      <c r="O1" t="s">
        <v>193</v>
      </c>
      <c r="P1" t="s">
        <v>194</v>
      </c>
    </row>
    <row r="2" spans="1:16">
      <c r="A2">
        <f t="shared" ref="A2:A65" si="0">A1+(B2&lt;&gt;B1)</f>
        <v>1</v>
      </c>
      <c r="B2" t="s">
        <v>594</v>
      </c>
      <c r="C2" t="s">
        <v>595</v>
      </c>
      <c r="D2" t="s">
        <v>207</v>
      </c>
      <c r="E2" t="s">
        <v>596</v>
      </c>
      <c r="F2" t="s">
        <v>597</v>
      </c>
      <c r="G2" t="s">
        <v>598</v>
      </c>
      <c r="H2" t="s">
        <v>210</v>
      </c>
      <c r="I2" t="s">
        <v>199</v>
      </c>
      <c r="K2" s="30">
        <v>43027</v>
      </c>
      <c r="L2" s="8"/>
      <c r="M2" s="21">
        <f>LEN(ProjTextTable[[#This Row],[text]])</f>
        <v>4993</v>
      </c>
      <c r="N2" s="21">
        <f>LEN(TRIM(CLEAN(SUBSTITUTE(ProjTextTable[[#This Row],[text]],CHAR(10)," "))))+1 - LEN(SUBSTITUTE(CLEAN(SUBSTITUTE(ProjTextTable[[#This Row],[text]],CHAR(10)," "))," ",""))</f>
        <v>737</v>
      </c>
      <c r="O2" t="s">
        <v>211</v>
      </c>
      <c r="P2" t="s">
        <v>599</v>
      </c>
    </row>
    <row r="3" spans="1:16">
      <c r="A3">
        <f t="shared" si="0"/>
        <v>1</v>
      </c>
      <c r="B3" t="s">
        <v>594</v>
      </c>
      <c r="C3" t="s">
        <v>595</v>
      </c>
      <c r="D3" t="s">
        <v>196</v>
      </c>
      <c r="E3" t="s">
        <v>596</v>
      </c>
      <c r="F3" t="s">
        <v>600</v>
      </c>
      <c r="G3" t="s">
        <v>601</v>
      </c>
      <c r="H3" t="s">
        <v>602</v>
      </c>
      <c r="I3" t="s">
        <v>259</v>
      </c>
      <c r="J3" t="s">
        <v>176</v>
      </c>
      <c r="K3" s="30">
        <v>43028</v>
      </c>
      <c r="L3" s="8">
        <v>43024.562974537039</v>
      </c>
      <c r="M3" s="21">
        <f>LEN(ProjTextTable[[#This Row],[text]])</f>
        <v>7285</v>
      </c>
      <c r="N3" s="21">
        <f>LEN(TRIM(CLEAN(SUBSTITUTE(ProjTextTable[[#This Row],[text]],CHAR(10)," "))))+1 - LEN(SUBSTITUTE(CLEAN(SUBSTITUTE(ProjTextTable[[#This Row],[text]],CHAR(10)," "))," ",""))</f>
        <v>1073</v>
      </c>
      <c r="O3" t="s">
        <v>204</v>
      </c>
      <c r="P3" t="s">
        <v>603</v>
      </c>
    </row>
    <row r="4" spans="1:16">
      <c r="A4">
        <f t="shared" si="0"/>
        <v>1</v>
      </c>
      <c r="B4" t="s">
        <v>594</v>
      </c>
      <c r="C4" t="s">
        <v>595</v>
      </c>
      <c r="D4" t="s">
        <v>196</v>
      </c>
      <c r="E4" t="s">
        <v>596</v>
      </c>
      <c r="F4" t="s">
        <v>604</v>
      </c>
      <c r="G4" t="s">
        <v>605</v>
      </c>
      <c r="H4" t="s">
        <v>606</v>
      </c>
      <c r="I4" t="s">
        <v>259</v>
      </c>
      <c r="J4" t="s">
        <v>176</v>
      </c>
      <c r="K4" s="30">
        <v>43028</v>
      </c>
      <c r="L4" s="8">
        <v>43027.450983796298</v>
      </c>
      <c r="M4" s="21">
        <f>LEN(ProjTextTable[[#This Row],[text]])</f>
        <v>4842</v>
      </c>
      <c r="N4" s="21">
        <f>LEN(TRIM(CLEAN(SUBSTITUTE(ProjTextTable[[#This Row],[text]],CHAR(10)," "))))+1 - LEN(SUBSTITUTE(CLEAN(SUBSTITUTE(ProjTextTable[[#This Row],[text]],CHAR(10)," "))," ",""))</f>
        <v>701</v>
      </c>
      <c r="O4" t="s">
        <v>200</v>
      </c>
      <c r="P4" t="s">
        <v>607</v>
      </c>
    </row>
    <row r="5" spans="1:16">
      <c r="A5">
        <f t="shared" si="0"/>
        <v>1</v>
      </c>
      <c r="B5" t="s">
        <v>594</v>
      </c>
      <c r="C5" t="s">
        <v>595</v>
      </c>
      <c r="D5" t="s">
        <v>196</v>
      </c>
      <c r="E5" t="s">
        <v>596</v>
      </c>
      <c r="F5" t="s">
        <v>608</v>
      </c>
      <c r="G5" t="s">
        <v>560</v>
      </c>
      <c r="H5" t="s">
        <v>609</v>
      </c>
      <c r="I5" t="s">
        <v>259</v>
      </c>
      <c r="J5" t="s">
        <v>176</v>
      </c>
      <c r="K5" s="30">
        <v>43028</v>
      </c>
      <c r="L5" s="8">
        <v>43026.810613425929</v>
      </c>
      <c r="M5" s="21">
        <f>LEN(ProjTextTable[[#This Row],[text]])</f>
        <v>5507</v>
      </c>
      <c r="N5" s="21">
        <f>LEN(TRIM(CLEAN(SUBSTITUTE(ProjTextTable[[#This Row],[text]],CHAR(10)," "))))+1 - LEN(SUBSTITUTE(CLEAN(SUBSTITUTE(ProjTextTable[[#This Row],[text]],CHAR(10)," "))," ",""))</f>
        <v>793</v>
      </c>
      <c r="O5" t="s">
        <v>204</v>
      </c>
      <c r="P5" t="s">
        <v>610</v>
      </c>
    </row>
    <row r="6" spans="1:16">
      <c r="A6">
        <f t="shared" si="0"/>
        <v>1</v>
      </c>
      <c r="B6" t="s">
        <v>594</v>
      </c>
      <c r="C6" t="s">
        <v>595</v>
      </c>
      <c r="D6" t="s">
        <v>196</v>
      </c>
      <c r="E6" t="s">
        <v>596</v>
      </c>
      <c r="F6" t="s">
        <v>611</v>
      </c>
      <c r="G6" t="s">
        <v>612</v>
      </c>
      <c r="H6" t="s">
        <v>613</v>
      </c>
      <c r="I6" t="s">
        <v>259</v>
      </c>
      <c r="J6" t="s">
        <v>176</v>
      </c>
      <c r="K6" s="30">
        <v>43028</v>
      </c>
      <c r="L6" s="8">
        <v>43028.357210648152</v>
      </c>
      <c r="M6" s="21">
        <f>LEN(ProjTextTable[[#This Row],[text]])</f>
        <v>2535</v>
      </c>
      <c r="N6" s="21">
        <f>LEN(TRIM(CLEAN(SUBSTITUTE(ProjTextTable[[#This Row],[text]],CHAR(10)," "))))+1 - LEN(SUBSTITUTE(CLEAN(SUBSTITUTE(ProjTextTable[[#This Row],[text]],CHAR(10)," "))," ",""))</f>
        <v>367</v>
      </c>
      <c r="O6" t="s">
        <v>204</v>
      </c>
      <c r="P6" t="s">
        <v>614</v>
      </c>
    </row>
    <row r="7" spans="1:16">
      <c r="A7">
        <f t="shared" si="0"/>
        <v>2</v>
      </c>
      <c r="B7" t="s">
        <v>615</v>
      </c>
      <c r="C7" t="s">
        <v>616</v>
      </c>
      <c r="D7" t="s">
        <v>207</v>
      </c>
      <c r="E7" t="s">
        <v>596</v>
      </c>
      <c r="F7" t="s">
        <v>597</v>
      </c>
      <c r="G7" t="s">
        <v>598</v>
      </c>
      <c r="H7" t="s">
        <v>210</v>
      </c>
      <c r="I7" t="s">
        <v>199</v>
      </c>
      <c r="K7" s="30">
        <v>43027</v>
      </c>
      <c r="L7" s="8"/>
      <c r="M7" s="21">
        <f>LEN(ProjTextTable[[#This Row],[text]])</f>
        <v>4911</v>
      </c>
      <c r="N7" s="21">
        <f>LEN(TRIM(CLEAN(SUBSTITUTE(ProjTextTable[[#This Row],[text]],CHAR(10)," "))))+1 - LEN(SUBSTITUTE(CLEAN(SUBSTITUTE(ProjTextTable[[#This Row],[text]],CHAR(10)," "))," ",""))</f>
        <v>739</v>
      </c>
      <c r="O7" t="s">
        <v>211</v>
      </c>
      <c r="P7" t="s">
        <v>617</v>
      </c>
    </row>
    <row r="8" spans="1:16">
      <c r="A8">
        <f t="shared" si="0"/>
        <v>2</v>
      </c>
      <c r="B8" t="s">
        <v>615</v>
      </c>
      <c r="C8" t="s">
        <v>616</v>
      </c>
      <c r="D8" t="s">
        <v>196</v>
      </c>
      <c r="E8" t="s">
        <v>596</v>
      </c>
      <c r="F8" t="s">
        <v>618</v>
      </c>
      <c r="G8" t="s">
        <v>619</v>
      </c>
      <c r="H8" t="s">
        <v>620</v>
      </c>
      <c r="I8" t="s">
        <v>259</v>
      </c>
      <c r="J8" t="s">
        <v>176</v>
      </c>
      <c r="K8" s="30">
        <v>43028</v>
      </c>
      <c r="L8" s="8">
        <v>43028.503206018519</v>
      </c>
      <c r="M8" s="21">
        <f>LEN(ProjTextTable[[#This Row],[text]])</f>
        <v>5260</v>
      </c>
      <c r="N8" s="21">
        <f>LEN(TRIM(CLEAN(SUBSTITUTE(ProjTextTable[[#This Row],[text]],CHAR(10)," "))))+1 - LEN(SUBSTITUTE(CLEAN(SUBSTITUTE(ProjTextTable[[#This Row],[text]],CHAR(10)," "))," ",""))</f>
        <v>779</v>
      </c>
      <c r="O8" t="s">
        <v>197</v>
      </c>
      <c r="P8" t="s">
        <v>621</v>
      </c>
    </row>
    <row r="9" spans="1:16">
      <c r="A9">
        <f t="shared" si="0"/>
        <v>2</v>
      </c>
      <c r="B9" t="s">
        <v>615</v>
      </c>
      <c r="C9" t="s">
        <v>616</v>
      </c>
      <c r="D9" t="s">
        <v>196</v>
      </c>
      <c r="E9" t="s">
        <v>596</v>
      </c>
      <c r="F9" t="s">
        <v>622</v>
      </c>
      <c r="G9" t="s">
        <v>623</v>
      </c>
      <c r="H9" t="s">
        <v>624</v>
      </c>
      <c r="I9" t="s">
        <v>259</v>
      </c>
      <c r="J9" t="s">
        <v>176</v>
      </c>
      <c r="K9" s="30">
        <v>43028</v>
      </c>
      <c r="L9" s="8">
        <v>43024.034120370372</v>
      </c>
      <c r="M9" s="21">
        <f>LEN(ProjTextTable[[#This Row],[text]])</f>
        <v>5017</v>
      </c>
      <c r="N9" s="21">
        <f>LEN(TRIM(CLEAN(SUBSTITUTE(ProjTextTable[[#This Row],[text]],CHAR(10)," "))))+1 - LEN(SUBSTITUTE(CLEAN(SUBSTITUTE(ProjTextTable[[#This Row],[text]],CHAR(10)," "))," ",""))</f>
        <v>815</v>
      </c>
      <c r="O9" t="s">
        <v>201</v>
      </c>
      <c r="P9" t="s">
        <v>625</v>
      </c>
    </row>
    <row r="10" spans="1:16">
      <c r="A10">
        <f t="shared" si="0"/>
        <v>2</v>
      </c>
      <c r="B10" t="s">
        <v>615</v>
      </c>
      <c r="C10" t="s">
        <v>616</v>
      </c>
      <c r="D10" t="s">
        <v>196</v>
      </c>
      <c r="E10" t="s">
        <v>596</v>
      </c>
      <c r="F10" t="s">
        <v>604</v>
      </c>
      <c r="G10" t="s">
        <v>605</v>
      </c>
      <c r="H10" t="s">
        <v>606</v>
      </c>
      <c r="I10" t="s">
        <v>259</v>
      </c>
      <c r="J10" t="s">
        <v>176</v>
      </c>
      <c r="K10" s="30">
        <v>43028</v>
      </c>
      <c r="L10" s="8">
        <v>43026.096863425926</v>
      </c>
      <c r="M10" s="21">
        <f>LEN(ProjTextTable[[#This Row],[text]])</f>
        <v>4997</v>
      </c>
      <c r="N10" s="21">
        <f>LEN(TRIM(CLEAN(SUBSTITUTE(ProjTextTable[[#This Row],[text]],CHAR(10)," "))))+1 - LEN(SUBSTITUTE(CLEAN(SUBSTITUTE(ProjTextTable[[#This Row],[text]],CHAR(10)," "))," ",""))</f>
        <v>704</v>
      </c>
      <c r="O10" t="s">
        <v>204</v>
      </c>
      <c r="P10" t="s">
        <v>626</v>
      </c>
    </row>
    <row r="11" spans="1:16">
      <c r="A11">
        <f t="shared" si="0"/>
        <v>2</v>
      </c>
      <c r="B11" t="s">
        <v>615</v>
      </c>
      <c r="C11" t="s">
        <v>616</v>
      </c>
      <c r="D11" t="s">
        <v>196</v>
      </c>
      <c r="E11" t="s">
        <v>596</v>
      </c>
      <c r="F11" t="s">
        <v>627</v>
      </c>
      <c r="G11" t="s">
        <v>628</v>
      </c>
      <c r="H11" t="s">
        <v>629</v>
      </c>
      <c r="I11" t="s">
        <v>259</v>
      </c>
      <c r="J11" t="s">
        <v>176</v>
      </c>
      <c r="K11" s="30">
        <v>43028</v>
      </c>
      <c r="L11" s="8">
        <v>43027.083425925928</v>
      </c>
      <c r="M11" s="21">
        <f>LEN(ProjTextTable[[#This Row],[text]])</f>
        <v>6115</v>
      </c>
      <c r="N11" s="21">
        <f>LEN(TRIM(CLEAN(SUBSTITUTE(ProjTextTable[[#This Row],[text]],CHAR(10)," "))))+1 - LEN(SUBSTITUTE(CLEAN(SUBSTITUTE(ProjTextTable[[#This Row],[text]],CHAR(10)," "))," ",""))</f>
        <v>929</v>
      </c>
      <c r="O11" t="s">
        <v>201</v>
      </c>
      <c r="P11" t="s">
        <v>630</v>
      </c>
    </row>
    <row r="12" spans="1:16">
      <c r="A12">
        <f t="shared" si="0"/>
        <v>2</v>
      </c>
      <c r="B12" t="s">
        <v>615</v>
      </c>
      <c r="C12" t="s">
        <v>616</v>
      </c>
      <c r="D12" t="s">
        <v>198</v>
      </c>
      <c r="E12" t="s">
        <v>596</v>
      </c>
      <c r="F12" t="s">
        <v>13</v>
      </c>
      <c r="G12" t="s">
        <v>13</v>
      </c>
      <c r="H12" t="s">
        <v>13</v>
      </c>
      <c r="K12" s="30"/>
      <c r="L12" s="8">
        <v>42801.043495370373</v>
      </c>
      <c r="M12" s="21">
        <f>LEN(ProjTextTable[[#This Row],[text]])</f>
        <v>3675</v>
      </c>
      <c r="N12" s="21">
        <f>LEN(TRIM(CLEAN(SUBSTITUTE(ProjTextTable[[#This Row],[text]],CHAR(10)," "))))+1 - LEN(SUBSTITUTE(CLEAN(SUBSTITUTE(ProjTextTable[[#This Row],[text]],CHAR(10)," "))," ",""))</f>
        <v>496</v>
      </c>
      <c r="O12" t="s">
        <v>13</v>
      </c>
      <c r="P12" t="s">
        <v>631</v>
      </c>
    </row>
    <row r="13" spans="1:16">
      <c r="A13">
        <f t="shared" si="0"/>
        <v>3</v>
      </c>
      <c r="B13" t="s">
        <v>632</v>
      </c>
      <c r="C13" t="s">
        <v>349</v>
      </c>
      <c r="D13" t="s">
        <v>207</v>
      </c>
      <c r="E13" t="s">
        <v>596</v>
      </c>
      <c r="F13" t="s">
        <v>597</v>
      </c>
      <c r="G13" t="s">
        <v>598</v>
      </c>
      <c r="H13" t="s">
        <v>210</v>
      </c>
      <c r="I13" t="s">
        <v>199</v>
      </c>
      <c r="K13" s="30">
        <v>43027</v>
      </c>
      <c r="L13" s="8"/>
      <c r="M13" s="21">
        <f>LEN(ProjTextTable[[#This Row],[text]])</f>
        <v>5390</v>
      </c>
      <c r="N13" s="21">
        <f>LEN(TRIM(CLEAN(SUBSTITUTE(ProjTextTable[[#This Row],[text]],CHAR(10)," "))))+1 - LEN(SUBSTITUTE(CLEAN(SUBSTITUTE(ProjTextTable[[#This Row],[text]],CHAR(10)," "))," ",""))</f>
        <v>789</v>
      </c>
      <c r="O13" t="s">
        <v>211</v>
      </c>
      <c r="P13" t="s">
        <v>633</v>
      </c>
    </row>
    <row r="14" spans="1:16">
      <c r="A14">
        <f t="shared" si="0"/>
        <v>3</v>
      </c>
      <c r="B14" t="s">
        <v>632</v>
      </c>
      <c r="C14" t="s">
        <v>349</v>
      </c>
      <c r="D14" t="s">
        <v>196</v>
      </c>
      <c r="E14" t="s">
        <v>596</v>
      </c>
      <c r="F14" t="s">
        <v>618</v>
      </c>
      <c r="G14" t="s">
        <v>619</v>
      </c>
      <c r="H14" t="s">
        <v>620</v>
      </c>
      <c r="I14" t="s">
        <v>259</v>
      </c>
      <c r="J14" t="s">
        <v>176</v>
      </c>
      <c r="K14" s="30">
        <v>43028</v>
      </c>
      <c r="L14" s="8">
        <v>43028.500590277778</v>
      </c>
      <c r="M14" s="21">
        <f>LEN(ProjTextTable[[#This Row],[text]])</f>
        <v>4178</v>
      </c>
      <c r="N14" s="21">
        <f>LEN(TRIM(CLEAN(SUBSTITUTE(ProjTextTable[[#This Row],[text]],CHAR(10)," "))))+1 - LEN(SUBSTITUTE(CLEAN(SUBSTITUTE(ProjTextTable[[#This Row],[text]],CHAR(10)," "))," ",""))</f>
        <v>618</v>
      </c>
      <c r="O14" t="s">
        <v>201</v>
      </c>
      <c r="P14" t="s">
        <v>634</v>
      </c>
    </row>
    <row r="15" spans="1:16">
      <c r="A15">
        <f t="shared" si="0"/>
        <v>3</v>
      </c>
      <c r="B15" t="s">
        <v>632</v>
      </c>
      <c r="C15" t="s">
        <v>349</v>
      </c>
      <c r="D15" t="s">
        <v>196</v>
      </c>
      <c r="E15" t="s">
        <v>596</v>
      </c>
      <c r="F15" t="s">
        <v>622</v>
      </c>
      <c r="G15" t="s">
        <v>623</v>
      </c>
      <c r="H15" t="s">
        <v>624</v>
      </c>
      <c r="I15" t="s">
        <v>259</v>
      </c>
      <c r="J15" t="s">
        <v>176</v>
      </c>
      <c r="K15" s="30">
        <v>43028</v>
      </c>
      <c r="L15" s="8">
        <v>43025.047986111109</v>
      </c>
      <c r="M15" s="21">
        <f>LEN(ProjTextTable[[#This Row],[text]])</f>
        <v>6260</v>
      </c>
      <c r="N15" s="21">
        <f>LEN(TRIM(CLEAN(SUBSTITUTE(ProjTextTable[[#This Row],[text]],CHAR(10)," "))))+1 - LEN(SUBSTITUTE(CLEAN(SUBSTITUTE(ProjTextTable[[#This Row],[text]],CHAR(10)," "))," ",""))</f>
        <v>1019</v>
      </c>
      <c r="O15" t="s">
        <v>204</v>
      </c>
      <c r="P15" t="s">
        <v>635</v>
      </c>
    </row>
    <row r="16" spans="1:16">
      <c r="A16">
        <f t="shared" si="0"/>
        <v>3</v>
      </c>
      <c r="B16" t="s">
        <v>632</v>
      </c>
      <c r="C16" t="s">
        <v>349</v>
      </c>
      <c r="D16" t="s">
        <v>196</v>
      </c>
      <c r="E16" t="s">
        <v>596</v>
      </c>
      <c r="F16" t="s">
        <v>604</v>
      </c>
      <c r="G16" t="s">
        <v>605</v>
      </c>
      <c r="H16" t="s">
        <v>606</v>
      </c>
      <c r="I16" t="s">
        <v>259</v>
      </c>
      <c r="J16" t="s">
        <v>176</v>
      </c>
      <c r="K16" s="30">
        <v>43028</v>
      </c>
      <c r="L16" s="8">
        <v>43026.096875000003</v>
      </c>
      <c r="M16" s="21">
        <f>LEN(ProjTextTable[[#This Row],[text]])</f>
        <v>3563</v>
      </c>
      <c r="N16" s="21">
        <f>LEN(TRIM(CLEAN(SUBSTITUTE(ProjTextTable[[#This Row],[text]],CHAR(10)," "))))+1 - LEN(SUBSTITUTE(CLEAN(SUBSTITUTE(ProjTextTable[[#This Row],[text]],CHAR(10)," "))," ",""))</f>
        <v>496</v>
      </c>
      <c r="O16" t="s">
        <v>204</v>
      </c>
      <c r="P16" t="s">
        <v>636</v>
      </c>
    </row>
    <row r="17" spans="1:16">
      <c r="A17">
        <f t="shared" si="0"/>
        <v>3</v>
      </c>
      <c r="B17" t="s">
        <v>632</v>
      </c>
      <c r="C17" t="s">
        <v>349</v>
      </c>
      <c r="D17" t="s">
        <v>196</v>
      </c>
      <c r="E17" t="s">
        <v>596</v>
      </c>
      <c r="F17" t="s">
        <v>608</v>
      </c>
      <c r="G17" t="s">
        <v>560</v>
      </c>
      <c r="H17" t="s">
        <v>609</v>
      </c>
      <c r="I17" t="s">
        <v>259</v>
      </c>
      <c r="J17" t="s">
        <v>176</v>
      </c>
      <c r="K17" s="30">
        <v>43028</v>
      </c>
      <c r="L17" s="8">
        <v>43027.249849537038</v>
      </c>
      <c r="M17" s="21">
        <f>LEN(ProjTextTable[[#This Row],[text]])</f>
        <v>5369</v>
      </c>
      <c r="N17" s="21">
        <f>LEN(TRIM(CLEAN(SUBSTITUTE(ProjTextTable[[#This Row],[text]],CHAR(10)," "))))+1 - LEN(SUBSTITUTE(CLEAN(SUBSTITUTE(ProjTextTable[[#This Row],[text]],CHAR(10)," "))," ",""))</f>
        <v>769</v>
      </c>
      <c r="O17" t="s">
        <v>200</v>
      </c>
      <c r="P17" t="s">
        <v>637</v>
      </c>
    </row>
    <row r="18" spans="1:16">
      <c r="A18">
        <f t="shared" si="0"/>
        <v>3</v>
      </c>
      <c r="B18" t="s">
        <v>632</v>
      </c>
      <c r="C18" t="s">
        <v>349</v>
      </c>
      <c r="D18" t="s">
        <v>198</v>
      </c>
      <c r="E18" t="s">
        <v>596</v>
      </c>
      <c r="F18" t="s">
        <v>13</v>
      </c>
      <c r="G18" t="s">
        <v>13</v>
      </c>
      <c r="H18" t="s">
        <v>13</v>
      </c>
      <c r="K18" s="30"/>
      <c r="L18" s="8">
        <v>42801.043541666666</v>
      </c>
      <c r="M18" s="21">
        <f>LEN(ProjTextTable[[#This Row],[text]])</f>
        <v>4192</v>
      </c>
      <c r="N18" s="21">
        <f>LEN(TRIM(CLEAN(SUBSTITUTE(ProjTextTable[[#This Row],[text]],CHAR(10)," "))))+1 - LEN(SUBSTITUTE(CLEAN(SUBSTITUTE(ProjTextTable[[#This Row],[text]],CHAR(10)," "))," ",""))</f>
        <v>569</v>
      </c>
      <c r="O18" t="s">
        <v>13</v>
      </c>
      <c r="P18" t="s">
        <v>638</v>
      </c>
    </row>
    <row r="19" spans="1:16">
      <c r="A19">
        <f t="shared" si="0"/>
        <v>4</v>
      </c>
      <c r="B19" t="s">
        <v>639</v>
      </c>
      <c r="C19" t="s">
        <v>640</v>
      </c>
      <c r="D19" t="s">
        <v>207</v>
      </c>
      <c r="E19" t="s">
        <v>596</v>
      </c>
      <c r="F19" t="s">
        <v>597</v>
      </c>
      <c r="G19" t="s">
        <v>598</v>
      </c>
      <c r="H19" t="s">
        <v>386</v>
      </c>
      <c r="I19" t="s">
        <v>202</v>
      </c>
      <c r="K19" s="30">
        <v>43027</v>
      </c>
      <c r="L19" s="8"/>
      <c r="M19" s="21">
        <f>LEN(ProjTextTable[[#This Row],[text]])</f>
        <v>3934</v>
      </c>
      <c r="N19" s="21">
        <f>LEN(TRIM(CLEAN(SUBSTITUTE(ProjTextTable[[#This Row],[text]],CHAR(10)," "))))+1 - LEN(SUBSTITUTE(CLEAN(SUBSTITUTE(ProjTextTable[[#This Row],[text]],CHAR(10)," "))," ",""))</f>
        <v>580</v>
      </c>
      <c r="O19" t="s">
        <v>359</v>
      </c>
      <c r="P19" t="s">
        <v>641</v>
      </c>
    </row>
    <row r="20" spans="1:16">
      <c r="A20">
        <f t="shared" si="0"/>
        <v>4</v>
      </c>
      <c r="B20" t="s">
        <v>639</v>
      </c>
      <c r="C20" t="s">
        <v>640</v>
      </c>
      <c r="D20" t="s">
        <v>196</v>
      </c>
      <c r="E20" t="s">
        <v>596</v>
      </c>
      <c r="F20" t="s">
        <v>600</v>
      </c>
      <c r="G20" t="s">
        <v>601</v>
      </c>
      <c r="H20" t="s">
        <v>602</v>
      </c>
      <c r="I20" t="s">
        <v>259</v>
      </c>
      <c r="J20" t="s">
        <v>176</v>
      </c>
      <c r="K20" s="30">
        <v>43028</v>
      </c>
      <c r="L20" s="8">
        <v>43027.577314814815</v>
      </c>
      <c r="M20" s="21">
        <f>LEN(ProjTextTable[[#This Row],[text]])</f>
        <v>4905</v>
      </c>
      <c r="N20" s="21">
        <f>LEN(TRIM(CLEAN(SUBSTITUTE(ProjTextTable[[#This Row],[text]],CHAR(10)," "))))+1 - LEN(SUBSTITUTE(CLEAN(SUBSTITUTE(ProjTextTable[[#This Row],[text]],CHAR(10)," "))," ",""))</f>
        <v>749</v>
      </c>
      <c r="O20" t="s">
        <v>203</v>
      </c>
      <c r="P20" t="s">
        <v>642</v>
      </c>
    </row>
    <row r="21" spans="1:16">
      <c r="A21">
        <f t="shared" si="0"/>
        <v>4</v>
      </c>
      <c r="B21" t="s">
        <v>639</v>
      </c>
      <c r="C21" t="s">
        <v>640</v>
      </c>
      <c r="D21" t="s">
        <v>196</v>
      </c>
      <c r="E21" t="s">
        <v>596</v>
      </c>
      <c r="F21" t="s">
        <v>604</v>
      </c>
      <c r="G21" t="s">
        <v>605</v>
      </c>
      <c r="H21" t="s">
        <v>606</v>
      </c>
      <c r="I21" t="s">
        <v>259</v>
      </c>
      <c r="J21" t="s">
        <v>176</v>
      </c>
      <c r="K21" s="30">
        <v>43028</v>
      </c>
      <c r="L21" s="8">
        <v>43026.096875000003</v>
      </c>
      <c r="M21" s="21">
        <f>LEN(ProjTextTable[[#This Row],[text]])</f>
        <v>4211</v>
      </c>
      <c r="N21" s="21">
        <f>LEN(TRIM(CLEAN(SUBSTITUTE(ProjTextTable[[#This Row],[text]],CHAR(10)," "))))+1 - LEN(SUBSTITUTE(CLEAN(SUBSTITUTE(ProjTextTable[[#This Row],[text]],CHAR(10)," "))," ",""))</f>
        <v>609</v>
      </c>
      <c r="O21" t="s">
        <v>205</v>
      </c>
      <c r="P21" t="s">
        <v>643</v>
      </c>
    </row>
    <row r="22" spans="1:16">
      <c r="A22">
        <f t="shared" si="0"/>
        <v>4</v>
      </c>
      <c r="B22" t="s">
        <v>639</v>
      </c>
      <c r="C22" t="s">
        <v>640</v>
      </c>
      <c r="D22" t="s">
        <v>196</v>
      </c>
      <c r="E22" t="s">
        <v>596</v>
      </c>
      <c r="F22" t="s">
        <v>608</v>
      </c>
      <c r="G22" t="s">
        <v>560</v>
      </c>
      <c r="H22" t="s">
        <v>609</v>
      </c>
      <c r="I22" t="s">
        <v>259</v>
      </c>
      <c r="J22" t="s">
        <v>176</v>
      </c>
      <c r="K22" s="30">
        <v>43028</v>
      </c>
      <c r="L22" s="8">
        <v>43028.480520833335</v>
      </c>
      <c r="M22" s="21">
        <f>LEN(ProjTextTable[[#This Row],[text]])</f>
        <v>4726</v>
      </c>
      <c r="N22" s="21">
        <f>LEN(TRIM(CLEAN(SUBSTITUTE(ProjTextTable[[#This Row],[text]],CHAR(10)," "))))+1 - LEN(SUBSTITUTE(CLEAN(SUBSTITUTE(ProjTextTable[[#This Row],[text]],CHAR(10)," "))," ",""))</f>
        <v>661</v>
      </c>
      <c r="O22" t="s">
        <v>203</v>
      </c>
      <c r="P22" t="s">
        <v>644</v>
      </c>
    </row>
    <row r="23" spans="1:16">
      <c r="A23">
        <f t="shared" si="0"/>
        <v>4</v>
      </c>
      <c r="B23" t="s">
        <v>639</v>
      </c>
      <c r="C23" t="s">
        <v>640</v>
      </c>
      <c r="D23" t="s">
        <v>196</v>
      </c>
      <c r="E23" t="s">
        <v>596</v>
      </c>
      <c r="F23" t="s">
        <v>611</v>
      </c>
      <c r="G23" t="s">
        <v>612</v>
      </c>
      <c r="H23" t="s">
        <v>613</v>
      </c>
      <c r="I23" t="s">
        <v>259</v>
      </c>
      <c r="J23" t="s">
        <v>176</v>
      </c>
      <c r="K23" s="30">
        <v>43028</v>
      </c>
      <c r="L23" s="8">
        <v>43027.383240740739</v>
      </c>
      <c r="M23" s="21">
        <f>LEN(ProjTextTable[[#This Row],[text]])</f>
        <v>482</v>
      </c>
      <c r="N23" s="21">
        <f>LEN(TRIM(CLEAN(SUBSTITUTE(ProjTextTable[[#This Row],[text]],CHAR(10)," "))))+1 - LEN(SUBSTITUTE(CLEAN(SUBSTITUTE(ProjTextTable[[#This Row],[text]],CHAR(10)," "))," ",""))</f>
        <v>69</v>
      </c>
      <c r="O23" t="s">
        <v>203</v>
      </c>
      <c r="P23" t="s">
        <v>645</v>
      </c>
    </row>
    <row r="24" spans="1:16">
      <c r="A24">
        <f t="shared" si="0"/>
        <v>4</v>
      </c>
      <c r="B24" t="s">
        <v>639</v>
      </c>
      <c r="C24" t="s">
        <v>640</v>
      </c>
      <c r="D24" t="s">
        <v>198</v>
      </c>
      <c r="E24" t="s">
        <v>596</v>
      </c>
      <c r="F24" t="s">
        <v>13</v>
      </c>
      <c r="G24" t="s">
        <v>13</v>
      </c>
      <c r="H24" t="s">
        <v>13</v>
      </c>
      <c r="K24" s="30"/>
      <c r="L24" s="8">
        <v>42801.043888888889</v>
      </c>
      <c r="M24" s="21">
        <f>LEN(ProjTextTable[[#This Row],[text]])</f>
        <v>3518</v>
      </c>
      <c r="N24" s="21">
        <f>LEN(TRIM(CLEAN(SUBSTITUTE(ProjTextTable[[#This Row],[text]],CHAR(10)," "))))+1 - LEN(SUBSTITUTE(CLEAN(SUBSTITUTE(ProjTextTable[[#This Row],[text]],CHAR(10)," "))," ",""))</f>
        <v>509</v>
      </c>
      <c r="O24" t="s">
        <v>13</v>
      </c>
      <c r="P24" t="s">
        <v>646</v>
      </c>
    </row>
    <row r="25" spans="1:16">
      <c r="A25">
        <f t="shared" si="0"/>
        <v>5</v>
      </c>
      <c r="B25" t="s">
        <v>647</v>
      </c>
      <c r="C25" t="s">
        <v>648</v>
      </c>
      <c r="D25" t="s">
        <v>207</v>
      </c>
      <c r="E25" t="s">
        <v>596</v>
      </c>
      <c r="F25" t="s">
        <v>597</v>
      </c>
      <c r="G25" t="s">
        <v>598</v>
      </c>
      <c r="H25" t="s">
        <v>255</v>
      </c>
      <c r="I25" t="s">
        <v>195</v>
      </c>
      <c r="K25" s="30">
        <v>43027</v>
      </c>
      <c r="L25" s="8"/>
      <c r="M25" s="21">
        <f>LEN(ProjTextTable[[#This Row],[text]])</f>
        <v>3049</v>
      </c>
      <c r="N25" s="21">
        <f>LEN(TRIM(CLEAN(SUBSTITUTE(ProjTextTable[[#This Row],[text]],CHAR(10)," "))))+1 - LEN(SUBSTITUTE(CLEAN(SUBSTITUTE(ProjTextTable[[#This Row],[text]],CHAR(10)," "))," ",""))</f>
        <v>440</v>
      </c>
      <c r="O25" t="s">
        <v>254</v>
      </c>
      <c r="P25" t="s">
        <v>649</v>
      </c>
    </row>
    <row r="26" spans="1:16">
      <c r="A26">
        <f t="shared" si="0"/>
        <v>5</v>
      </c>
      <c r="B26" t="s">
        <v>647</v>
      </c>
      <c r="C26" t="s">
        <v>648</v>
      </c>
      <c r="D26" t="s">
        <v>196</v>
      </c>
      <c r="E26" t="s">
        <v>596</v>
      </c>
      <c r="F26" t="s">
        <v>622</v>
      </c>
      <c r="G26" t="s">
        <v>623</v>
      </c>
      <c r="H26" t="s">
        <v>624</v>
      </c>
      <c r="I26" t="s">
        <v>259</v>
      </c>
      <c r="J26" t="s">
        <v>176</v>
      </c>
      <c r="K26" s="30">
        <v>43028</v>
      </c>
      <c r="L26" s="8">
        <v>43027.686527777776</v>
      </c>
      <c r="M26" s="21">
        <f>LEN(ProjTextTable[[#This Row],[text]])</f>
        <v>6181</v>
      </c>
      <c r="N26" s="21">
        <f>LEN(TRIM(CLEAN(SUBSTITUTE(ProjTextTable[[#This Row],[text]],CHAR(10)," "))))+1 - LEN(SUBSTITUTE(CLEAN(SUBSTITUTE(ProjTextTable[[#This Row],[text]],CHAR(10)," "))," ",""))</f>
        <v>1005</v>
      </c>
      <c r="O26" t="s">
        <v>203</v>
      </c>
      <c r="P26" t="s">
        <v>650</v>
      </c>
    </row>
    <row r="27" spans="1:16">
      <c r="A27">
        <f t="shared" si="0"/>
        <v>5</v>
      </c>
      <c r="B27" t="s">
        <v>647</v>
      </c>
      <c r="C27" t="s">
        <v>648</v>
      </c>
      <c r="D27" t="s">
        <v>196</v>
      </c>
      <c r="E27" t="s">
        <v>596</v>
      </c>
      <c r="F27" t="s">
        <v>600</v>
      </c>
      <c r="G27" t="s">
        <v>601</v>
      </c>
      <c r="H27" t="s">
        <v>602</v>
      </c>
      <c r="I27" t="s">
        <v>259</v>
      </c>
      <c r="J27" t="s">
        <v>176</v>
      </c>
      <c r="K27" s="30">
        <v>43028</v>
      </c>
      <c r="L27" s="8">
        <v>43026.898009259261</v>
      </c>
      <c r="M27" s="21">
        <f>LEN(ProjTextTable[[#This Row],[text]])</f>
        <v>4353</v>
      </c>
      <c r="N27" s="21">
        <f>LEN(TRIM(CLEAN(SUBSTITUTE(ProjTextTable[[#This Row],[text]],CHAR(10)," "))))+1 - LEN(SUBSTITUTE(CLEAN(SUBSTITUTE(ProjTextTable[[#This Row],[text]],CHAR(10)," "))," ",""))</f>
        <v>657</v>
      </c>
      <c r="O27" t="s">
        <v>197</v>
      </c>
      <c r="P27" t="s">
        <v>651</v>
      </c>
    </row>
    <row r="28" spans="1:16">
      <c r="A28">
        <f t="shared" si="0"/>
        <v>5</v>
      </c>
      <c r="B28" t="s">
        <v>647</v>
      </c>
      <c r="C28" t="s">
        <v>648</v>
      </c>
      <c r="D28" t="s">
        <v>196</v>
      </c>
      <c r="E28" t="s">
        <v>596</v>
      </c>
      <c r="F28" t="s">
        <v>608</v>
      </c>
      <c r="G28" t="s">
        <v>560</v>
      </c>
      <c r="H28" t="s">
        <v>609</v>
      </c>
      <c r="I28" t="s">
        <v>259</v>
      </c>
      <c r="J28" t="s">
        <v>176</v>
      </c>
      <c r="K28" s="30">
        <v>43028</v>
      </c>
      <c r="L28" s="8">
        <v>43028.601805555554</v>
      </c>
      <c r="M28" s="21">
        <f>LEN(ProjTextTable[[#This Row],[text]])</f>
        <v>5138</v>
      </c>
      <c r="N28" s="21">
        <f>LEN(TRIM(CLEAN(SUBSTITUTE(ProjTextTable[[#This Row],[text]],CHAR(10)," "))))+1 - LEN(SUBSTITUTE(CLEAN(SUBSTITUTE(ProjTextTable[[#This Row],[text]],CHAR(10)," "))," ",""))</f>
        <v>706</v>
      </c>
      <c r="O28" t="s">
        <v>204</v>
      </c>
      <c r="P28" t="s">
        <v>652</v>
      </c>
    </row>
    <row r="29" spans="1:16">
      <c r="A29">
        <f t="shared" si="0"/>
        <v>5</v>
      </c>
      <c r="B29" t="s">
        <v>647</v>
      </c>
      <c r="C29" t="s">
        <v>648</v>
      </c>
      <c r="D29" t="s">
        <v>196</v>
      </c>
      <c r="E29" t="s">
        <v>596</v>
      </c>
      <c r="F29" t="s">
        <v>653</v>
      </c>
      <c r="G29" t="s">
        <v>654</v>
      </c>
      <c r="H29" t="s">
        <v>655</v>
      </c>
      <c r="I29" t="s">
        <v>259</v>
      </c>
      <c r="J29" t="s">
        <v>176</v>
      </c>
      <c r="K29" s="30">
        <v>43028</v>
      </c>
      <c r="L29" s="8">
        <v>43027.435243055559</v>
      </c>
      <c r="M29" s="21">
        <f>LEN(ProjTextTable[[#This Row],[text]])</f>
        <v>6995</v>
      </c>
      <c r="N29" s="21">
        <f>LEN(TRIM(CLEAN(SUBSTITUTE(ProjTextTable[[#This Row],[text]],CHAR(10)," "))))+1 - LEN(SUBSTITUTE(CLEAN(SUBSTITUTE(ProjTextTable[[#This Row],[text]],CHAR(10)," "))," ",""))</f>
        <v>1063</v>
      </c>
      <c r="O29" t="s">
        <v>203</v>
      </c>
      <c r="P29" t="s">
        <v>656</v>
      </c>
    </row>
    <row r="30" spans="1:16">
      <c r="A30">
        <f t="shared" si="0"/>
        <v>5</v>
      </c>
      <c r="B30" t="s">
        <v>647</v>
      </c>
      <c r="C30" t="s">
        <v>648</v>
      </c>
      <c r="D30" t="s">
        <v>198</v>
      </c>
      <c r="E30" t="s">
        <v>596</v>
      </c>
      <c r="F30" t="s">
        <v>13</v>
      </c>
      <c r="G30" t="s">
        <v>13</v>
      </c>
      <c r="H30" t="s">
        <v>13</v>
      </c>
      <c r="K30" s="30"/>
      <c r="L30" s="8">
        <v>42801.043958333335</v>
      </c>
      <c r="M30" s="21">
        <f>LEN(ProjTextTable[[#This Row],[text]])</f>
        <v>4525</v>
      </c>
      <c r="N30" s="21">
        <f>LEN(TRIM(CLEAN(SUBSTITUTE(ProjTextTable[[#This Row],[text]],CHAR(10)," "))))+1 - LEN(SUBSTITUTE(CLEAN(SUBSTITUTE(ProjTextTable[[#This Row],[text]],CHAR(10)," "))," ",""))</f>
        <v>631</v>
      </c>
      <c r="O30" t="s">
        <v>13</v>
      </c>
      <c r="P30" t="s">
        <v>657</v>
      </c>
    </row>
    <row r="31" spans="1:16">
      <c r="A31">
        <f t="shared" si="0"/>
        <v>6</v>
      </c>
      <c r="B31" t="s">
        <v>658</v>
      </c>
      <c r="C31" t="s">
        <v>659</v>
      </c>
      <c r="D31" t="s">
        <v>207</v>
      </c>
      <c r="E31" t="s">
        <v>596</v>
      </c>
      <c r="F31" t="s">
        <v>597</v>
      </c>
      <c r="G31" t="s">
        <v>598</v>
      </c>
      <c r="H31" t="s">
        <v>386</v>
      </c>
      <c r="I31" t="s">
        <v>202</v>
      </c>
      <c r="K31" s="30">
        <v>43027</v>
      </c>
      <c r="L31" s="8"/>
      <c r="M31" s="21">
        <f>LEN(ProjTextTable[[#This Row],[text]])</f>
        <v>6756</v>
      </c>
      <c r="N31" s="21">
        <f>LEN(TRIM(CLEAN(SUBSTITUTE(ProjTextTable[[#This Row],[text]],CHAR(10)," "))))+1 - LEN(SUBSTITUTE(CLEAN(SUBSTITUTE(ProjTextTable[[#This Row],[text]],CHAR(10)," "))," ",""))</f>
        <v>1026</v>
      </c>
      <c r="O31" t="s">
        <v>359</v>
      </c>
      <c r="P31" t="s">
        <v>660</v>
      </c>
    </row>
    <row r="32" spans="1:16">
      <c r="A32">
        <f t="shared" si="0"/>
        <v>6</v>
      </c>
      <c r="B32" t="s">
        <v>658</v>
      </c>
      <c r="C32" t="s">
        <v>659</v>
      </c>
      <c r="D32" t="s">
        <v>196</v>
      </c>
      <c r="E32" t="s">
        <v>596</v>
      </c>
      <c r="F32" t="s">
        <v>622</v>
      </c>
      <c r="G32" t="s">
        <v>623</v>
      </c>
      <c r="H32" t="s">
        <v>624</v>
      </c>
      <c r="I32" t="s">
        <v>259</v>
      </c>
      <c r="J32" t="s">
        <v>176</v>
      </c>
      <c r="K32" s="30">
        <v>43028</v>
      </c>
      <c r="L32" s="8">
        <v>43026.962118055555</v>
      </c>
      <c r="M32" s="21">
        <f>LEN(ProjTextTable[[#This Row],[text]])</f>
        <v>6156</v>
      </c>
      <c r="N32" s="21">
        <f>LEN(TRIM(CLEAN(SUBSTITUTE(ProjTextTable[[#This Row],[text]],CHAR(10)," "))))+1 - LEN(SUBSTITUTE(CLEAN(SUBSTITUTE(ProjTextTable[[#This Row],[text]],CHAR(10)," "))," ",""))</f>
        <v>952</v>
      </c>
      <c r="O32" t="s">
        <v>201</v>
      </c>
      <c r="P32" t="s">
        <v>661</v>
      </c>
    </row>
    <row r="33" spans="1:16">
      <c r="A33">
        <f t="shared" si="0"/>
        <v>6</v>
      </c>
      <c r="B33" t="s">
        <v>658</v>
      </c>
      <c r="C33" t="s">
        <v>659</v>
      </c>
      <c r="D33" t="s">
        <v>196</v>
      </c>
      <c r="E33" t="s">
        <v>596</v>
      </c>
      <c r="F33" t="s">
        <v>600</v>
      </c>
      <c r="G33" t="s">
        <v>601</v>
      </c>
      <c r="H33" t="s">
        <v>602</v>
      </c>
      <c r="I33" t="s">
        <v>259</v>
      </c>
      <c r="J33" t="s">
        <v>176</v>
      </c>
      <c r="K33" s="30">
        <v>43028</v>
      </c>
      <c r="L33" s="8">
        <v>43026.108171296299</v>
      </c>
      <c r="M33" s="21">
        <f>LEN(ProjTextTable[[#This Row],[text]])</f>
        <v>5618</v>
      </c>
      <c r="N33" s="21">
        <f>LEN(TRIM(CLEAN(SUBSTITUTE(ProjTextTable[[#This Row],[text]],CHAR(10)," "))))+1 - LEN(SUBSTITUTE(CLEAN(SUBSTITUTE(ProjTextTable[[#This Row],[text]],CHAR(10)," "))," ",""))</f>
        <v>815</v>
      </c>
      <c r="O33" t="s">
        <v>203</v>
      </c>
      <c r="P33" t="s">
        <v>662</v>
      </c>
    </row>
    <row r="34" spans="1:16">
      <c r="A34">
        <f t="shared" si="0"/>
        <v>6</v>
      </c>
      <c r="B34" t="s">
        <v>658</v>
      </c>
      <c r="C34" t="s">
        <v>659</v>
      </c>
      <c r="D34" t="s">
        <v>196</v>
      </c>
      <c r="E34" t="s">
        <v>596</v>
      </c>
      <c r="F34" t="s">
        <v>604</v>
      </c>
      <c r="G34" t="s">
        <v>605</v>
      </c>
      <c r="H34" t="s">
        <v>606</v>
      </c>
      <c r="I34" t="s">
        <v>259</v>
      </c>
      <c r="J34" t="s">
        <v>176</v>
      </c>
      <c r="K34" s="30">
        <v>43028</v>
      </c>
      <c r="L34" s="8">
        <v>43026.096875000003</v>
      </c>
      <c r="M34" s="21">
        <f>LEN(ProjTextTable[[#This Row],[text]])</f>
        <v>5506</v>
      </c>
      <c r="N34" s="21">
        <f>LEN(TRIM(CLEAN(SUBSTITUTE(ProjTextTable[[#This Row],[text]],CHAR(10)," "))))+1 - LEN(SUBSTITUTE(CLEAN(SUBSTITUTE(ProjTextTable[[#This Row],[text]],CHAR(10)," "))," ",""))</f>
        <v>765</v>
      </c>
      <c r="O34" t="s">
        <v>212</v>
      </c>
      <c r="P34" t="s">
        <v>663</v>
      </c>
    </row>
    <row r="35" spans="1:16">
      <c r="A35">
        <f t="shared" si="0"/>
        <v>6</v>
      </c>
      <c r="B35" t="s">
        <v>658</v>
      </c>
      <c r="C35" t="s">
        <v>659</v>
      </c>
      <c r="D35" t="s">
        <v>196</v>
      </c>
      <c r="E35" t="s">
        <v>596</v>
      </c>
      <c r="F35" t="s">
        <v>627</v>
      </c>
      <c r="G35" t="s">
        <v>628</v>
      </c>
      <c r="H35" t="s">
        <v>629</v>
      </c>
      <c r="I35" t="s">
        <v>259</v>
      </c>
      <c r="J35" t="s">
        <v>176</v>
      </c>
      <c r="K35" s="30">
        <v>43028</v>
      </c>
      <c r="L35" s="8">
        <v>43027.085821759261</v>
      </c>
      <c r="M35" s="21">
        <f>LEN(ProjTextTable[[#This Row],[text]])</f>
        <v>4595</v>
      </c>
      <c r="N35" s="21">
        <f>LEN(TRIM(CLEAN(SUBSTITUTE(ProjTextTable[[#This Row],[text]],CHAR(10)," "))))+1 - LEN(SUBSTITUTE(CLEAN(SUBSTITUTE(ProjTextTable[[#This Row],[text]],CHAR(10)," "))," ",""))</f>
        <v>704</v>
      </c>
      <c r="O35" t="s">
        <v>197</v>
      </c>
      <c r="P35" t="s">
        <v>664</v>
      </c>
    </row>
    <row r="36" spans="1:16">
      <c r="A36">
        <f t="shared" si="0"/>
        <v>6</v>
      </c>
      <c r="B36" t="s">
        <v>658</v>
      </c>
      <c r="C36" t="s">
        <v>659</v>
      </c>
      <c r="D36" t="s">
        <v>198</v>
      </c>
      <c r="E36" t="s">
        <v>596</v>
      </c>
      <c r="F36" t="s">
        <v>13</v>
      </c>
      <c r="G36" t="s">
        <v>13</v>
      </c>
      <c r="H36" t="s">
        <v>13</v>
      </c>
      <c r="K36" s="30"/>
      <c r="L36" s="8">
        <v>42801.04409722222</v>
      </c>
      <c r="M36" s="21">
        <f>LEN(ProjTextTable[[#This Row],[text]])</f>
        <v>4530</v>
      </c>
      <c r="N36" s="21">
        <f>LEN(TRIM(CLEAN(SUBSTITUTE(ProjTextTable[[#This Row],[text]],CHAR(10)," "))))+1 - LEN(SUBSTITUTE(CLEAN(SUBSTITUTE(ProjTextTable[[#This Row],[text]],CHAR(10)," "))," ",""))</f>
        <v>644</v>
      </c>
      <c r="O36" t="s">
        <v>13</v>
      </c>
      <c r="P36" t="s">
        <v>665</v>
      </c>
    </row>
    <row r="37" spans="1:16">
      <c r="A37">
        <f t="shared" si="0"/>
        <v>7</v>
      </c>
      <c r="B37" t="s">
        <v>666</v>
      </c>
      <c r="C37" t="s">
        <v>667</v>
      </c>
      <c r="D37" t="s">
        <v>207</v>
      </c>
      <c r="E37" t="s">
        <v>596</v>
      </c>
      <c r="F37" t="s">
        <v>597</v>
      </c>
      <c r="G37" t="s">
        <v>598</v>
      </c>
      <c r="H37" t="s">
        <v>255</v>
      </c>
      <c r="I37" t="s">
        <v>195</v>
      </c>
      <c r="K37" s="30">
        <v>43027</v>
      </c>
      <c r="L37" s="8"/>
      <c r="M37" s="21">
        <f>LEN(ProjTextTable[[#This Row],[text]])</f>
        <v>6494</v>
      </c>
      <c r="N37" s="21">
        <f>LEN(TRIM(CLEAN(SUBSTITUTE(ProjTextTable[[#This Row],[text]],CHAR(10)," "))))+1 - LEN(SUBSTITUTE(CLEAN(SUBSTITUTE(ProjTextTable[[#This Row],[text]],CHAR(10)," "))," ",""))</f>
        <v>932</v>
      </c>
      <c r="O37" t="s">
        <v>254</v>
      </c>
      <c r="P37" t="s">
        <v>668</v>
      </c>
    </row>
    <row r="38" spans="1:16">
      <c r="A38">
        <f t="shared" si="0"/>
        <v>7</v>
      </c>
      <c r="B38" t="s">
        <v>666</v>
      </c>
      <c r="C38" t="s">
        <v>667</v>
      </c>
      <c r="D38" t="s">
        <v>196</v>
      </c>
      <c r="E38" t="s">
        <v>596</v>
      </c>
      <c r="F38" t="s">
        <v>618</v>
      </c>
      <c r="G38" t="s">
        <v>619</v>
      </c>
      <c r="H38" t="s">
        <v>620</v>
      </c>
      <c r="I38" t="s">
        <v>259</v>
      </c>
      <c r="J38" t="s">
        <v>176</v>
      </c>
      <c r="K38" s="30">
        <v>43028</v>
      </c>
      <c r="L38" s="8">
        <v>43028.497187499997</v>
      </c>
      <c r="M38" s="21">
        <f>LEN(ProjTextTable[[#This Row],[text]])</f>
        <v>5391</v>
      </c>
      <c r="N38" s="21">
        <f>LEN(TRIM(CLEAN(SUBSTITUTE(ProjTextTable[[#This Row],[text]],CHAR(10)," "))))+1 - LEN(SUBSTITUTE(CLEAN(SUBSTITUTE(ProjTextTable[[#This Row],[text]],CHAR(10)," "))," ",""))</f>
        <v>743</v>
      </c>
      <c r="O38" t="s">
        <v>197</v>
      </c>
      <c r="P38" t="s">
        <v>669</v>
      </c>
    </row>
    <row r="39" spans="1:16">
      <c r="A39">
        <f t="shared" si="0"/>
        <v>7</v>
      </c>
      <c r="B39" t="s">
        <v>666</v>
      </c>
      <c r="C39" t="s">
        <v>667</v>
      </c>
      <c r="D39" t="s">
        <v>196</v>
      </c>
      <c r="E39" t="s">
        <v>596</v>
      </c>
      <c r="F39" t="s">
        <v>600</v>
      </c>
      <c r="G39" t="s">
        <v>601</v>
      </c>
      <c r="H39" t="s">
        <v>602</v>
      </c>
      <c r="I39" t="s">
        <v>259</v>
      </c>
      <c r="J39" t="s">
        <v>176</v>
      </c>
      <c r="K39" s="30">
        <v>43028</v>
      </c>
      <c r="L39" s="8">
        <v>43024.949062500003</v>
      </c>
      <c r="M39" s="21">
        <f>LEN(ProjTextTable[[#This Row],[text]])</f>
        <v>8872</v>
      </c>
      <c r="N39" s="21">
        <f>LEN(TRIM(CLEAN(SUBSTITUTE(ProjTextTable[[#This Row],[text]],CHAR(10)," "))))+1 - LEN(SUBSTITUTE(CLEAN(SUBSTITUTE(ProjTextTable[[#This Row],[text]],CHAR(10)," "))," ",""))</f>
        <v>1299</v>
      </c>
      <c r="O39" t="s">
        <v>197</v>
      </c>
      <c r="P39" t="s">
        <v>670</v>
      </c>
    </row>
    <row r="40" spans="1:16">
      <c r="A40">
        <f t="shared" si="0"/>
        <v>7</v>
      </c>
      <c r="B40" t="s">
        <v>666</v>
      </c>
      <c r="C40" t="s">
        <v>667</v>
      </c>
      <c r="D40" t="s">
        <v>196</v>
      </c>
      <c r="E40" t="s">
        <v>596</v>
      </c>
      <c r="F40" t="s">
        <v>611</v>
      </c>
      <c r="G40" t="s">
        <v>612</v>
      </c>
      <c r="H40" t="s">
        <v>613</v>
      </c>
      <c r="I40" t="s">
        <v>259</v>
      </c>
      <c r="J40" t="s">
        <v>176</v>
      </c>
      <c r="K40" s="30">
        <v>43028</v>
      </c>
      <c r="L40" s="8">
        <v>43027.38380787037</v>
      </c>
      <c r="M40" s="21">
        <f>LEN(ProjTextTable[[#This Row],[text]])</f>
        <v>482</v>
      </c>
      <c r="N40" s="21">
        <f>LEN(TRIM(CLEAN(SUBSTITUTE(ProjTextTable[[#This Row],[text]],CHAR(10)," "))))+1 - LEN(SUBSTITUTE(CLEAN(SUBSTITUTE(ProjTextTable[[#This Row],[text]],CHAR(10)," "))," ",""))</f>
        <v>69</v>
      </c>
      <c r="O40" t="s">
        <v>197</v>
      </c>
      <c r="P40" t="s">
        <v>645</v>
      </c>
    </row>
    <row r="41" spans="1:16">
      <c r="A41">
        <f t="shared" si="0"/>
        <v>7</v>
      </c>
      <c r="B41" t="s">
        <v>666</v>
      </c>
      <c r="C41" t="s">
        <v>667</v>
      </c>
      <c r="D41" t="s">
        <v>196</v>
      </c>
      <c r="E41" t="s">
        <v>596</v>
      </c>
      <c r="F41" t="s">
        <v>653</v>
      </c>
      <c r="G41" t="s">
        <v>654</v>
      </c>
      <c r="H41" t="s">
        <v>655</v>
      </c>
      <c r="I41" t="s">
        <v>259</v>
      </c>
      <c r="J41" t="s">
        <v>176</v>
      </c>
      <c r="K41" s="30">
        <v>43028</v>
      </c>
      <c r="L41" s="8">
        <v>43027.637025462966</v>
      </c>
      <c r="M41" s="21">
        <f>LEN(ProjTextTable[[#This Row],[text]])</f>
        <v>5450</v>
      </c>
      <c r="N41" s="21">
        <f>LEN(TRIM(CLEAN(SUBSTITUTE(ProjTextTable[[#This Row],[text]],CHAR(10)," "))))+1 - LEN(SUBSTITUTE(CLEAN(SUBSTITUTE(ProjTextTable[[#This Row],[text]],CHAR(10)," "))," ",""))</f>
        <v>823</v>
      </c>
      <c r="O41" t="s">
        <v>204</v>
      </c>
      <c r="P41" t="s">
        <v>671</v>
      </c>
    </row>
    <row r="42" spans="1:16">
      <c r="A42">
        <f t="shared" si="0"/>
        <v>7</v>
      </c>
      <c r="B42" t="s">
        <v>666</v>
      </c>
      <c r="C42" t="s">
        <v>667</v>
      </c>
      <c r="D42" t="s">
        <v>198</v>
      </c>
      <c r="E42" t="s">
        <v>596</v>
      </c>
      <c r="F42" t="s">
        <v>13</v>
      </c>
      <c r="G42" t="s">
        <v>13</v>
      </c>
      <c r="H42" t="s">
        <v>13</v>
      </c>
      <c r="K42" s="30"/>
      <c r="L42" s="8">
        <v>42801.044247685182</v>
      </c>
      <c r="M42" s="21">
        <f>LEN(ProjTextTable[[#This Row],[text]])</f>
        <v>4568</v>
      </c>
      <c r="N42" s="21">
        <f>LEN(TRIM(CLEAN(SUBSTITUTE(ProjTextTable[[#This Row],[text]],CHAR(10)," "))))+1 - LEN(SUBSTITUTE(CLEAN(SUBSTITUTE(ProjTextTable[[#This Row],[text]],CHAR(10)," "))," ",""))</f>
        <v>597</v>
      </c>
      <c r="O42" t="s">
        <v>13</v>
      </c>
      <c r="P42" t="s">
        <v>672</v>
      </c>
    </row>
    <row r="43" spans="1:16">
      <c r="A43">
        <f t="shared" si="0"/>
        <v>8</v>
      </c>
      <c r="B43" t="s">
        <v>673</v>
      </c>
      <c r="C43" t="s">
        <v>674</v>
      </c>
      <c r="D43" t="s">
        <v>207</v>
      </c>
      <c r="E43" t="s">
        <v>596</v>
      </c>
      <c r="F43" t="s">
        <v>597</v>
      </c>
      <c r="G43" t="s">
        <v>598</v>
      </c>
      <c r="H43" t="s">
        <v>255</v>
      </c>
      <c r="I43" t="s">
        <v>195</v>
      </c>
      <c r="K43" s="30">
        <v>43027</v>
      </c>
      <c r="L43" s="8"/>
      <c r="M43" s="21">
        <f>LEN(ProjTextTable[[#This Row],[text]])</f>
        <v>4351</v>
      </c>
      <c r="N43" s="21">
        <f>LEN(TRIM(CLEAN(SUBSTITUTE(ProjTextTable[[#This Row],[text]],CHAR(10)," "))))+1 - LEN(SUBSTITUTE(CLEAN(SUBSTITUTE(ProjTextTable[[#This Row],[text]],CHAR(10)," "))," ",""))</f>
        <v>632</v>
      </c>
      <c r="O43" t="s">
        <v>254</v>
      </c>
      <c r="P43" t="s">
        <v>675</v>
      </c>
    </row>
    <row r="44" spans="1:16">
      <c r="A44">
        <f t="shared" si="0"/>
        <v>8</v>
      </c>
      <c r="B44" t="s">
        <v>673</v>
      </c>
      <c r="C44" t="s">
        <v>674</v>
      </c>
      <c r="D44" t="s">
        <v>196</v>
      </c>
      <c r="E44" t="s">
        <v>596</v>
      </c>
      <c r="F44" t="s">
        <v>608</v>
      </c>
      <c r="G44" t="s">
        <v>560</v>
      </c>
      <c r="H44" t="s">
        <v>609</v>
      </c>
      <c r="I44" t="s">
        <v>259</v>
      </c>
      <c r="J44" t="s">
        <v>176</v>
      </c>
      <c r="K44" s="30">
        <v>43028</v>
      </c>
      <c r="L44" s="8">
        <v>43025.740057870367</v>
      </c>
      <c r="M44" s="21">
        <f>LEN(ProjTextTable[[#This Row],[text]])</f>
        <v>6767</v>
      </c>
      <c r="N44" s="21">
        <f>LEN(TRIM(CLEAN(SUBSTITUTE(ProjTextTable[[#This Row],[text]],CHAR(10)," "))))+1 - LEN(SUBSTITUTE(CLEAN(SUBSTITUTE(ProjTextTable[[#This Row],[text]],CHAR(10)," "))," ",""))</f>
        <v>961</v>
      </c>
      <c r="O44" t="s">
        <v>197</v>
      </c>
      <c r="P44" t="s">
        <v>676</v>
      </c>
    </row>
    <row r="45" spans="1:16">
      <c r="A45">
        <f t="shared" si="0"/>
        <v>8</v>
      </c>
      <c r="B45" t="s">
        <v>673</v>
      </c>
      <c r="C45" t="s">
        <v>674</v>
      </c>
      <c r="D45" t="s">
        <v>196</v>
      </c>
      <c r="E45" t="s">
        <v>596</v>
      </c>
      <c r="F45" t="s">
        <v>611</v>
      </c>
      <c r="G45" t="s">
        <v>612</v>
      </c>
      <c r="H45" t="s">
        <v>613</v>
      </c>
      <c r="I45" t="s">
        <v>259</v>
      </c>
      <c r="J45" t="s">
        <v>176</v>
      </c>
      <c r="K45" s="30">
        <v>43028</v>
      </c>
      <c r="L45" s="8">
        <v>43028.415023148147</v>
      </c>
      <c r="M45" s="21">
        <f>LEN(ProjTextTable[[#This Row],[text]])</f>
        <v>2355</v>
      </c>
      <c r="N45" s="21">
        <f>LEN(TRIM(CLEAN(SUBSTITUTE(ProjTextTable[[#This Row],[text]],CHAR(10)," "))))+1 - LEN(SUBSTITUTE(CLEAN(SUBSTITUTE(ProjTextTable[[#This Row],[text]],CHAR(10)," "))," ",""))</f>
        <v>354</v>
      </c>
      <c r="O45" t="s">
        <v>197</v>
      </c>
      <c r="P45" t="s">
        <v>677</v>
      </c>
    </row>
    <row r="46" spans="1:16">
      <c r="A46">
        <f t="shared" si="0"/>
        <v>8</v>
      </c>
      <c r="B46" t="s">
        <v>673</v>
      </c>
      <c r="C46" t="s">
        <v>674</v>
      </c>
      <c r="D46" t="s">
        <v>196</v>
      </c>
      <c r="E46" t="s">
        <v>596</v>
      </c>
      <c r="F46" t="s">
        <v>627</v>
      </c>
      <c r="G46" t="s">
        <v>628</v>
      </c>
      <c r="H46" t="s">
        <v>629</v>
      </c>
      <c r="I46" t="s">
        <v>259</v>
      </c>
      <c r="J46" t="s">
        <v>176</v>
      </c>
      <c r="K46" s="30">
        <v>43028</v>
      </c>
      <c r="L46" s="8">
        <v>43027.084907407407</v>
      </c>
      <c r="M46" s="21">
        <f>LEN(ProjTextTable[[#This Row],[text]])</f>
        <v>3525</v>
      </c>
      <c r="N46" s="21">
        <f>LEN(TRIM(CLEAN(SUBSTITUTE(ProjTextTable[[#This Row],[text]],CHAR(10)," "))))+1 - LEN(SUBSTITUTE(CLEAN(SUBSTITUTE(ProjTextTable[[#This Row],[text]],CHAR(10)," "))," ",""))</f>
        <v>544</v>
      </c>
      <c r="O46" t="s">
        <v>205</v>
      </c>
      <c r="P46" t="s">
        <v>678</v>
      </c>
    </row>
    <row r="47" spans="1:16">
      <c r="A47">
        <f t="shared" si="0"/>
        <v>8</v>
      </c>
      <c r="B47" t="s">
        <v>673</v>
      </c>
      <c r="C47" t="s">
        <v>674</v>
      </c>
      <c r="D47" t="s">
        <v>196</v>
      </c>
      <c r="E47" t="s">
        <v>596</v>
      </c>
      <c r="F47" t="s">
        <v>653</v>
      </c>
      <c r="G47" t="s">
        <v>654</v>
      </c>
      <c r="H47" t="s">
        <v>655</v>
      </c>
      <c r="I47" t="s">
        <v>259</v>
      </c>
      <c r="J47" t="s">
        <v>176</v>
      </c>
      <c r="K47" s="30">
        <v>43028</v>
      </c>
      <c r="L47" s="8">
        <v>43027.013182870367</v>
      </c>
      <c r="M47" s="21">
        <f>LEN(ProjTextTable[[#This Row],[text]])</f>
        <v>5365</v>
      </c>
      <c r="N47" s="21">
        <f>LEN(TRIM(CLEAN(SUBSTITUTE(ProjTextTable[[#This Row],[text]],CHAR(10)," "))))+1 - LEN(SUBSTITUTE(CLEAN(SUBSTITUTE(ProjTextTable[[#This Row],[text]],CHAR(10)," "))," ",""))</f>
        <v>825</v>
      </c>
      <c r="O47" t="s">
        <v>197</v>
      </c>
      <c r="P47" t="s">
        <v>679</v>
      </c>
    </row>
    <row r="48" spans="1:16">
      <c r="A48">
        <f t="shared" si="0"/>
        <v>8</v>
      </c>
      <c r="B48" t="s">
        <v>673</v>
      </c>
      <c r="C48" t="s">
        <v>674</v>
      </c>
      <c r="D48" t="s">
        <v>198</v>
      </c>
      <c r="E48" t="s">
        <v>596</v>
      </c>
      <c r="F48" t="s">
        <v>13</v>
      </c>
      <c r="G48" t="s">
        <v>13</v>
      </c>
      <c r="H48" t="s">
        <v>13</v>
      </c>
      <c r="K48" s="30"/>
      <c r="L48" s="8">
        <v>42801.044409722221</v>
      </c>
      <c r="M48" s="21">
        <f>LEN(ProjTextTable[[#This Row],[text]])</f>
        <v>4292</v>
      </c>
      <c r="N48" s="21">
        <f>LEN(TRIM(CLEAN(SUBSTITUTE(ProjTextTable[[#This Row],[text]],CHAR(10)," "))))+1 - LEN(SUBSTITUTE(CLEAN(SUBSTITUTE(ProjTextTable[[#This Row],[text]],CHAR(10)," "))," ",""))</f>
        <v>587</v>
      </c>
      <c r="O48" t="s">
        <v>13</v>
      </c>
      <c r="P48" t="s">
        <v>680</v>
      </c>
    </row>
    <row r="49" spans="1:16">
      <c r="A49">
        <f t="shared" si="0"/>
        <v>9</v>
      </c>
      <c r="B49" t="s">
        <v>681</v>
      </c>
      <c r="C49" t="s">
        <v>682</v>
      </c>
      <c r="D49" t="s">
        <v>207</v>
      </c>
      <c r="E49" t="s">
        <v>596</v>
      </c>
      <c r="F49" t="s">
        <v>597</v>
      </c>
      <c r="G49" t="s">
        <v>598</v>
      </c>
      <c r="H49" t="s">
        <v>255</v>
      </c>
      <c r="I49" t="s">
        <v>195</v>
      </c>
      <c r="K49" s="30">
        <v>43027</v>
      </c>
      <c r="L49" s="8"/>
      <c r="M49" s="21">
        <f>LEN(ProjTextTable[[#This Row],[text]])</f>
        <v>4685</v>
      </c>
      <c r="N49" s="21">
        <f>LEN(TRIM(CLEAN(SUBSTITUTE(ProjTextTable[[#This Row],[text]],CHAR(10)," "))))+1 - LEN(SUBSTITUTE(CLEAN(SUBSTITUTE(ProjTextTable[[#This Row],[text]],CHAR(10)," "))," ",""))</f>
        <v>699</v>
      </c>
      <c r="O49" t="s">
        <v>254</v>
      </c>
      <c r="P49" t="s">
        <v>683</v>
      </c>
    </row>
    <row r="50" spans="1:16">
      <c r="A50">
        <f t="shared" si="0"/>
        <v>9</v>
      </c>
      <c r="B50" t="s">
        <v>681</v>
      </c>
      <c r="C50" t="s">
        <v>682</v>
      </c>
      <c r="D50" t="s">
        <v>196</v>
      </c>
      <c r="E50" t="s">
        <v>596</v>
      </c>
      <c r="F50" t="s">
        <v>618</v>
      </c>
      <c r="G50" t="s">
        <v>619</v>
      </c>
      <c r="H50" t="s">
        <v>620</v>
      </c>
      <c r="I50" t="s">
        <v>259</v>
      </c>
      <c r="J50" t="s">
        <v>176</v>
      </c>
      <c r="K50" s="30">
        <v>43028</v>
      </c>
      <c r="L50" s="8">
        <v>43028.603148148148</v>
      </c>
      <c r="M50" s="21">
        <f>LEN(ProjTextTable[[#This Row],[text]])</f>
        <v>2801</v>
      </c>
      <c r="N50" s="21">
        <f>LEN(TRIM(CLEAN(SUBSTITUTE(ProjTextTable[[#This Row],[text]],CHAR(10)," "))))+1 - LEN(SUBSTITUTE(CLEAN(SUBSTITUTE(ProjTextTable[[#This Row],[text]],CHAR(10)," "))," ",""))</f>
        <v>408</v>
      </c>
      <c r="O50" t="s">
        <v>204</v>
      </c>
      <c r="P50" t="s">
        <v>684</v>
      </c>
    </row>
    <row r="51" spans="1:16">
      <c r="A51">
        <f t="shared" si="0"/>
        <v>9</v>
      </c>
      <c r="B51" t="s">
        <v>681</v>
      </c>
      <c r="C51" t="s">
        <v>682</v>
      </c>
      <c r="D51" t="s">
        <v>196</v>
      </c>
      <c r="E51" t="s">
        <v>596</v>
      </c>
      <c r="F51" t="s">
        <v>622</v>
      </c>
      <c r="G51" t="s">
        <v>623</v>
      </c>
      <c r="H51" t="s">
        <v>624</v>
      </c>
      <c r="I51" t="s">
        <v>259</v>
      </c>
      <c r="J51" t="s">
        <v>176</v>
      </c>
      <c r="K51" s="30">
        <v>43028</v>
      </c>
      <c r="L51" s="8">
        <v>43027.039502314816</v>
      </c>
      <c r="M51" s="21">
        <f>LEN(ProjTextTable[[#This Row],[text]])</f>
        <v>6643</v>
      </c>
      <c r="N51" s="21">
        <f>LEN(TRIM(CLEAN(SUBSTITUTE(ProjTextTable[[#This Row],[text]],CHAR(10)," "))))+1 - LEN(SUBSTITUTE(CLEAN(SUBSTITUTE(ProjTextTable[[#This Row],[text]],CHAR(10)," "))," ",""))</f>
        <v>1058</v>
      </c>
      <c r="O51" t="s">
        <v>203</v>
      </c>
      <c r="P51" t="s">
        <v>685</v>
      </c>
    </row>
    <row r="52" spans="1:16">
      <c r="A52">
        <f t="shared" si="0"/>
        <v>9</v>
      </c>
      <c r="B52" t="s">
        <v>681</v>
      </c>
      <c r="C52" t="s">
        <v>682</v>
      </c>
      <c r="D52" t="s">
        <v>196</v>
      </c>
      <c r="E52" t="s">
        <v>596</v>
      </c>
      <c r="F52" t="s">
        <v>627</v>
      </c>
      <c r="G52" t="s">
        <v>628</v>
      </c>
      <c r="H52" t="s">
        <v>629</v>
      </c>
      <c r="I52" t="s">
        <v>259</v>
      </c>
      <c r="J52" t="s">
        <v>176</v>
      </c>
      <c r="K52" s="30">
        <v>43028</v>
      </c>
      <c r="L52" s="8">
        <v>43027.081759259258</v>
      </c>
      <c r="M52" s="21">
        <f>LEN(ProjTextTable[[#This Row],[text]])</f>
        <v>3693</v>
      </c>
      <c r="N52" s="21">
        <f>LEN(TRIM(CLEAN(SUBSTITUTE(ProjTextTable[[#This Row],[text]],CHAR(10)," "))))+1 - LEN(SUBSTITUTE(CLEAN(SUBSTITUTE(ProjTextTable[[#This Row],[text]],CHAR(10)," "))," ",""))</f>
        <v>545</v>
      </c>
      <c r="O52" t="s">
        <v>197</v>
      </c>
      <c r="P52" t="s">
        <v>686</v>
      </c>
    </row>
    <row r="53" spans="1:16">
      <c r="A53">
        <f t="shared" si="0"/>
        <v>9</v>
      </c>
      <c r="B53" t="s">
        <v>681</v>
      </c>
      <c r="C53" t="s">
        <v>682</v>
      </c>
      <c r="D53" t="s">
        <v>196</v>
      </c>
      <c r="E53" t="s">
        <v>596</v>
      </c>
      <c r="F53" t="s">
        <v>653</v>
      </c>
      <c r="G53" t="s">
        <v>654</v>
      </c>
      <c r="H53" t="s">
        <v>655</v>
      </c>
      <c r="I53" t="s">
        <v>259</v>
      </c>
      <c r="J53" t="s">
        <v>176</v>
      </c>
      <c r="K53" s="30">
        <v>43028</v>
      </c>
      <c r="L53" s="8">
        <v>43027.013773148145</v>
      </c>
      <c r="M53" s="21">
        <f>LEN(ProjTextTable[[#This Row],[text]])</f>
        <v>5795</v>
      </c>
      <c r="N53" s="21">
        <f>LEN(TRIM(CLEAN(SUBSTITUTE(ProjTextTable[[#This Row],[text]],CHAR(10)," "))))+1 - LEN(SUBSTITUTE(CLEAN(SUBSTITUTE(ProjTextTable[[#This Row],[text]],CHAR(10)," "))," ",""))</f>
        <v>871</v>
      </c>
      <c r="O53" t="s">
        <v>201</v>
      </c>
      <c r="P53" t="s">
        <v>687</v>
      </c>
    </row>
    <row r="54" spans="1:16">
      <c r="A54">
        <f t="shared" si="0"/>
        <v>9</v>
      </c>
      <c r="B54" t="s">
        <v>681</v>
      </c>
      <c r="C54" t="s">
        <v>682</v>
      </c>
      <c r="D54" t="s">
        <v>198</v>
      </c>
      <c r="E54" t="s">
        <v>596</v>
      </c>
      <c r="F54" t="s">
        <v>13</v>
      </c>
      <c r="G54" t="s">
        <v>13</v>
      </c>
      <c r="H54" t="s">
        <v>13</v>
      </c>
      <c r="K54" s="30"/>
      <c r="L54" s="8">
        <v>42801.044490740744</v>
      </c>
      <c r="M54" s="21">
        <f>LEN(ProjTextTable[[#This Row],[text]])</f>
        <v>4444</v>
      </c>
      <c r="N54" s="21">
        <f>LEN(TRIM(CLEAN(SUBSTITUTE(ProjTextTable[[#This Row],[text]],CHAR(10)," "))))+1 - LEN(SUBSTITUTE(CLEAN(SUBSTITUTE(ProjTextTable[[#This Row],[text]],CHAR(10)," "))," ",""))</f>
        <v>573</v>
      </c>
      <c r="O54" t="s">
        <v>13</v>
      </c>
      <c r="P54" t="s">
        <v>688</v>
      </c>
    </row>
    <row r="55" spans="1:16">
      <c r="A55">
        <f t="shared" si="0"/>
        <v>10</v>
      </c>
      <c r="B55" t="s">
        <v>689</v>
      </c>
      <c r="C55" t="s">
        <v>690</v>
      </c>
      <c r="D55" t="s">
        <v>207</v>
      </c>
      <c r="E55" t="s">
        <v>596</v>
      </c>
      <c r="F55" t="s">
        <v>597</v>
      </c>
      <c r="G55" t="s">
        <v>598</v>
      </c>
      <c r="H55" t="s">
        <v>255</v>
      </c>
      <c r="I55" t="s">
        <v>195</v>
      </c>
      <c r="K55" s="30">
        <v>43027</v>
      </c>
      <c r="L55" s="8"/>
      <c r="M55" s="21">
        <f>LEN(ProjTextTable[[#This Row],[text]])</f>
        <v>6160</v>
      </c>
      <c r="N55" s="21">
        <f>LEN(TRIM(CLEAN(SUBSTITUTE(ProjTextTable[[#This Row],[text]],CHAR(10)," "))))+1 - LEN(SUBSTITUTE(CLEAN(SUBSTITUTE(ProjTextTable[[#This Row],[text]],CHAR(10)," "))," ",""))</f>
        <v>882</v>
      </c>
      <c r="O55" t="s">
        <v>254</v>
      </c>
      <c r="P55" t="s">
        <v>691</v>
      </c>
    </row>
    <row r="56" spans="1:16">
      <c r="A56">
        <f t="shared" si="0"/>
        <v>10</v>
      </c>
      <c r="B56" t="s">
        <v>689</v>
      </c>
      <c r="C56" t="s">
        <v>690</v>
      </c>
      <c r="D56" t="s">
        <v>196</v>
      </c>
      <c r="E56" t="s">
        <v>596</v>
      </c>
      <c r="F56" t="s">
        <v>618</v>
      </c>
      <c r="G56" t="s">
        <v>619</v>
      </c>
      <c r="H56" t="s">
        <v>620</v>
      </c>
      <c r="I56" t="s">
        <v>259</v>
      </c>
      <c r="J56" t="s">
        <v>176</v>
      </c>
      <c r="K56" s="30">
        <v>43028</v>
      </c>
      <c r="L56" s="8">
        <v>43026.855231481481</v>
      </c>
      <c r="M56" s="21">
        <f>LEN(ProjTextTable[[#This Row],[text]])</f>
        <v>5323</v>
      </c>
      <c r="N56" s="21">
        <f>LEN(TRIM(CLEAN(SUBSTITUTE(ProjTextTable[[#This Row],[text]],CHAR(10)," "))))+1 - LEN(SUBSTITUTE(CLEAN(SUBSTITUTE(ProjTextTable[[#This Row],[text]],CHAR(10)," "))," ",""))</f>
        <v>771</v>
      </c>
      <c r="O56" t="s">
        <v>201</v>
      </c>
      <c r="P56" t="s">
        <v>692</v>
      </c>
    </row>
    <row r="57" spans="1:16">
      <c r="A57">
        <f t="shared" si="0"/>
        <v>10</v>
      </c>
      <c r="B57" t="s">
        <v>689</v>
      </c>
      <c r="C57" t="s">
        <v>690</v>
      </c>
      <c r="D57" t="s">
        <v>196</v>
      </c>
      <c r="E57" t="s">
        <v>596</v>
      </c>
      <c r="F57" t="s">
        <v>608</v>
      </c>
      <c r="G57" t="s">
        <v>560</v>
      </c>
      <c r="H57" t="s">
        <v>609</v>
      </c>
      <c r="I57" t="s">
        <v>259</v>
      </c>
      <c r="J57" t="s">
        <v>176</v>
      </c>
      <c r="K57" s="30">
        <v>43028</v>
      </c>
      <c r="L57" s="8">
        <v>43027.597025462965</v>
      </c>
      <c r="M57" s="21">
        <f>LEN(ProjTextTable[[#This Row],[text]])</f>
        <v>9327</v>
      </c>
      <c r="N57" s="21">
        <f>LEN(TRIM(CLEAN(SUBSTITUTE(ProjTextTable[[#This Row],[text]],CHAR(10)," "))))+1 - LEN(SUBSTITUTE(CLEAN(SUBSTITUTE(ProjTextTable[[#This Row],[text]],CHAR(10)," "))," ",""))</f>
        <v>1318</v>
      </c>
      <c r="O57" t="s">
        <v>197</v>
      </c>
      <c r="P57" t="s">
        <v>693</v>
      </c>
    </row>
    <row r="58" spans="1:16">
      <c r="A58">
        <f t="shared" si="0"/>
        <v>10</v>
      </c>
      <c r="B58" t="s">
        <v>689</v>
      </c>
      <c r="C58" t="s">
        <v>690</v>
      </c>
      <c r="D58" t="s">
        <v>196</v>
      </c>
      <c r="E58" t="s">
        <v>596</v>
      </c>
      <c r="F58" t="s">
        <v>627</v>
      </c>
      <c r="G58" t="s">
        <v>628</v>
      </c>
      <c r="H58" t="s">
        <v>629</v>
      </c>
      <c r="I58" t="s">
        <v>259</v>
      </c>
      <c r="J58" t="s">
        <v>176</v>
      </c>
      <c r="K58" s="30">
        <v>43028</v>
      </c>
      <c r="L58" s="8">
        <v>43027.384675925925</v>
      </c>
      <c r="M58" s="21">
        <f>LEN(ProjTextTable[[#This Row],[text]])</f>
        <v>1779</v>
      </c>
      <c r="N58" s="21">
        <f>LEN(TRIM(CLEAN(SUBSTITUTE(ProjTextTable[[#This Row],[text]],CHAR(10)," "))))+1 - LEN(SUBSTITUTE(CLEAN(SUBSTITUTE(ProjTextTable[[#This Row],[text]],CHAR(10)," "))," ",""))</f>
        <v>261</v>
      </c>
      <c r="O58" t="s">
        <v>197</v>
      </c>
      <c r="P58" t="s">
        <v>694</v>
      </c>
    </row>
    <row r="59" spans="1:16">
      <c r="A59">
        <f t="shared" si="0"/>
        <v>10</v>
      </c>
      <c r="B59" t="s">
        <v>689</v>
      </c>
      <c r="C59" t="s">
        <v>690</v>
      </c>
      <c r="D59" t="s">
        <v>196</v>
      </c>
      <c r="E59" t="s">
        <v>596</v>
      </c>
      <c r="F59" t="s">
        <v>653</v>
      </c>
      <c r="G59" t="s">
        <v>654</v>
      </c>
      <c r="H59" t="s">
        <v>655</v>
      </c>
      <c r="I59" t="s">
        <v>259</v>
      </c>
      <c r="J59" t="s">
        <v>176</v>
      </c>
      <c r="K59" s="30">
        <v>43028</v>
      </c>
      <c r="L59" s="8">
        <v>43027.567939814813</v>
      </c>
      <c r="M59" s="21">
        <f>LEN(ProjTextTable[[#This Row],[text]])</f>
        <v>6154</v>
      </c>
      <c r="N59" s="21">
        <f>LEN(TRIM(CLEAN(SUBSTITUTE(ProjTextTable[[#This Row],[text]],CHAR(10)," "))))+1 - LEN(SUBSTITUTE(CLEAN(SUBSTITUTE(ProjTextTable[[#This Row],[text]],CHAR(10)," "))," ",""))</f>
        <v>937</v>
      </c>
      <c r="O59" t="s">
        <v>203</v>
      </c>
      <c r="P59" t="s">
        <v>695</v>
      </c>
    </row>
    <row r="60" spans="1:16">
      <c r="A60">
        <f t="shared" si="0"/>
        <v>11</v>
      </c>
      <c r="B60" t="s">
        <v>696</v>
      </c>
      <c r="C60" t="s">
        <v>697</v>
      </c>
      <c r="D60" t="s">
        <v>207</v>
      </c>
      <c r="E60" t="s">
        <v>596</v>
      </c>
      <c r="F60" t="s">
        <v>597</v>
      </c>
      <c r="G60" t="s">
        <v>598</v>
      </c>
      <c r="H60" t="s">
        <v>255</v>
      </c>
      <c r="I60" t="s">
        <v>195</v>
      </c>
      <c r="K60" s="30">
        <v>43027</v>
      </c>
      <c r="L60" s="8"/>
      <c r="M60" s="21">
        <f>LEN(ProjTextTable[[#This Row],[text]])</f>
        <v>4825</v>
      </c>
      <c r="N60" s="21">
        <f>LEN(TRIM(CLEAN(SUBSTITUTE(ProjTextTable[[#This Row],[text]],CHAR(10)," "))))+1 - LEN(SUBSTITUTE(CLEAN(SUBSTITUTE(ProjTextTable[[#This Row],[text]],CHAR(10)," "))," ",""))</f>
        <v>704</v>
      </c>
      <c r="O60" t="s">
        <v>254</v>
      </c>
      <c r="P60" t="s">
        <v>698</v>
      </c>
    </row>
    <row r="61" spans="1:16">
      <c r="A61">
        <f t="shared" si="0"/>
        <v>11</v>
      </c>
      <c r="B61" t="s">
        <v>696</v>
      </c>
      <c r="C61" t="s">
        <v>697</v>
      </c>
      <c r="D61" t="s">
        <v>196</v>
      </c>
      <c r="E61" t="s">
        <v>596</v>
      </c>
      <c r="F61" t="s">
        <v>618</v>
      </c>
      <c r="G61" t="s">
        <v>619</v>
      </c>
      <c r="H61" t="s">
        <v>620</v>
      </c>
      <c r="I61" t="s">
        <v>259</v>
      </c>
      <c r="J61" t="s">
        <v>176</v>
      </c>
      <c r="K61" s="30">
        <v>43028</v>
      </c>
      <c r="L61" s="8">
        <v>43028.490983796299</v>
      </c>
      <c r="M61" s="21">
        <f>LEN(ProjTextTable[[#This Row],[text]])</f>
        <v>5009</v>
      </c>
      <c r="N61" s="21">
        <f>LEN(TRIM(CLEAN(SUBSTITUTE(ProjTextTable[[#This Row],[text]],CHAR(10)," "))))+1 - LEN(SUBSTITUTE(CLEAN(SUBSTITUTE(ProjTextTable[[#This Row],[text]],CHAR(10)," "))," ",""))</f>
        <v>745</v>
      </c>
      <c r="O61" t="s">
        <v>197</v>
      </c>
      <c r="P61" t="s">
        <v>699</v>
      </c>
    </row>
    <row r="62" spans="1:16">
      <c r="A62">
        <f t="shared" si="0"/>
        <v>11</v>
      </c>
      <c r="B62" t="s">
        <v>696</v>
      </c>
      <c r="C62" t="s">
        <v>697</v>
      </c>
      <c r="D62" t="s">
        <v>196</v>
      </c>
      <c r="E62" t="s">
        <v>596</v>
      </c>
      <c r="F62" t="s">
        <v>622</v>
      </c>
      <c r="G62" t="s">
        <v>623</v>
      </c>
      <c r="H62" t="s">
        <v>624</v>
      </c>
      <c r="I62" t="s">
        <v>259</v>
      </c>
      <c r="J62" t="s">
        <v>176</v>
      </c>
      <c r="K62" s="30">
        <v>43028</v>
      </c>
      <c r="L62" s="8">
        <v>43024.06590277778</v>
      </c>
      <c r="M62" s="21">
        <f>LEN(ProjTextTable[[#This Row],[text]])</f>
        <v>6017</v>
      </c>
      <c r="N62" s="21">
        <f>LEN(TRIM(CLEAN(SUBSTITUTE(ProjTextTable[[#This Row],[text]],CHAR(10)," "))))+1 - LEN(SUBSTITUTE(CLEAN(SUBSTITUTE(ProjTextTable[[#This Row],[text]],CHAR(10)," "))," ",""))</f>
        <v>925</v>
      </c>
      <c r="O62" t="s">
        <v>197</v>
      </c>
      <c r="P62" t="s">
        <v>700</v>
      </c>
    </row>
    <row r="63" spans="1:16">
      <c r="A63">
        <f t="shared" si="0"/>
        <v>11</v>
      </c>
      <c r="B63" t="s">
        <v>696</v>
      </c>
      <c r="C63" t="s">
        <v>697</v>
      </c>
      <c r="D63" t="s">
        <v>196</v>
      </c>
      <c r="E63" t="s">
        <v>596</v>
      </c>
      <c r="F63" t="s">
        <v>600</v>
      </c>
      <c r="G63" t="s">
        <v>601</v>
      </c>
      <c r="H63" t="s">
        <v>602</v>
      </c>
      <c r="I63" t="s">
        <v>259</v>
      </c>
      <c r="J63" t="s">
        <v>176</v>
      </c>
      <c r="K63" s="30">
        <v>43028</v>
      </c>
      <c r="L63" s="8">
        <v>43024.852719907409</v>
      </c>
      <c r="M63" s="21">
        <f>LEN(ProjTextTable[[#This Row],[text]])</f>
        <v>6936</v>
      </c>
      <c r="N63" s="21">
        <f>LEN(TRIM(CLEAN(SUBSTITUTE(ProjTextTable[[#This Row],[text]],CHAR(10)," "))))+1 - LEN(SUBSTITUTE(CLEAN(SUBSTITUTE(ProjTextTable[[#This Row],[text]],CHAR(10)," "))," ",""))</f>
        <v>1068</v>
      </c>
      <c r="O63" t="s">
        <v>205</v>
      </c>
      <c r="P63" t="s">
        <v>701</v>
      </c>
    </row>
    <row r="64" spans="1:16">
      <c r="A64">
        <f t="shared" si="0"/>
        <v>11</v>
      </c>
      <c r="B64" t="s">
        <v>696</v>
      </c>
      <c r="C64" t="s">
        <v>697</v>
      </c>
      <c r="D64" t="s">
        <v>196</v>
      </c>
      <c r="E64" t="s">
        <v>596</v>
      </c>
      <c r="F64" t="s">
        <v>611</v>
      </c>
      <c r="G64" t="s">
        <v>612</v>
      </c>
      <c r="H64" t="s">
        <v>613</v>
      </c>
      <c r="I64" t="s">
        <v>259</v>
      </c>
      <c r="J64" t="s">
        <v>176</v>
      </c>
      <c r="K64" s="30">
        <v>43028</v>
      </c>
      <c r="L64" s="8">
        <v>43028.537893518522</v>
      </c>
      <c r="M64" s="21">
        <f>LEN(ProjTextTable[[#This Row],[text]])</f>
        <v>3628</v>
      </c>
      <c r="N64" s="21">
        <f>LEN(TRIM(CLEAN(SUBSTITUTE(ProjTextTable[[#This Row],[text]],CHAR(10)," "))))+1 - LEN(SUBSTITUTE(CLEAN(SUBSTITUTE(ProjTextTable[[#This Row],[text]],CHAR(10)," "))," ",""))</f>
        <v>528</v>
      </c>
      <c r="O64" t="s">
        <v>197</v>
      </c>
      <c r="P64" t="s">
        <v>702</v>
      </c>
    </row>
    <row r="65" spans="1:16">
      <c r="A65">
        <f t="shared" si="0"/>
        <v>12</v>
      </c>
      <c r="B65" t="s">
        <v>703</v>
      </c>
      <c r="C65" t="s">
        <v>704</v>
      </c>
      <c r="D65" t="s">
        <v>207</v>
      </c>
      <c r="E65" t="s">
        <v>705</v>
      </c>
      <c r="F65" t="s">
        <v>706</v>
      </c>
      <c r="G65" t="s">
        <v>707</v>
      </c>
      <c r="H65" t="s">
        <v>210</v>
      </c>
      <c r="I65" t="s">
        <v>199</v>
      </c>
      <c r="J65" t="s">
        <v>258</v>
      </c>
      <c r="K65" s="30">
        <v>43041</v>
      </c>
      <c r="L65" s="8"/>
      <c r="M65" s="21">
        <f>LEN(ProjTextTable[[#This Row],[text]])</f>
        <v>1763</v>
      </c>
      <c r="N65" s="21">
        <f>LEN(TRIM(CLEAN(SUBSTITUTE(ProjTextTable[[#This Row],[text]],CHAR(10)," "))))+1 - LEN(SUBSTITUTE(CLEAN(SUBSTITUTE(ProjTextTable[[#This Row],[text]],CHAR(10)," "))," ",""))</f>
        <v>242</v>
      </c>
      <c r="O65" t="s">
        <v>211</v>
      </c>
      <c r="P65" t="s">
        <v>708</v>
      </c>
    </row>
    <row r="66" spans="1:16">
      <c r="A66">
        <f t="shared" ref="A66:A129" si="1">A65+(B66&lt;&gt;B65)</f>
        <v>12</v>
      </c>
      <c r="B66" t="s">
        <v>703</v>
      </c>
      <c r="C66" t="s">
        <v>704</v>
      </c>
      <c r="D66" t="s">
        <v>196</v>
      </c>
      <c r="E66" t="s">
        <v>596</v>
      </c>
      <c r="F66" t="s">
        <v>709</v>
      </c>
      <c r="G66" t="s">
        <v>710</v>
      </c>
      <c r="H66" t="s">
        <v>711</v>
      </c>
      <c r="I66" t="s">
        <v>259</v>
      </c>
      <c r="J66" t="s">
        <v>176</v>
      </c>
      <c r="K66" s="30">
        <v>43042</v>
      </c>
      <c r="L66" s="8">
        <v>43040.932372685187</v>
      </c>
      <c r="M66" s="21">
        <f>LEN(ProjTextTable[[#This Row],[text]])</f>
        <v>3055</v>
      </c>
      <c r="N66" s="21">
        <f>LEN(TRIM(CLEAN(SUBSTITUTE(ProjTextTable[[#This Row],[text]],CHAR(10)," "))))+1 - LEN(SUBSTITUTE(CLEAN(SUBSTITUTE(ProjTextTable[[#This Row],[text]],CHAR(10)," "))," ",""))</f>
        <v>453</v>
      </c>
      <c r="O66" t="s">
        <v>197</v>
      </c>
      <c r="P66" t="s">
        <v>712</v>
      </c>
    </row>
    <row r="67" spans="1:16">
      <c r="A67">
        <f t="shared" si="1"/>
        <v>12</v>
      </c>
      <c r="B67" t="s">
        <v>703</v>
      </c>
      <c r="C67" t="s">
        <v>704</v>
      </c>
      <c r="D67" t="s">
        <v>196</v>
      </c>
      <c r="E67" t="s">
        <v>596</v>
      </c>
      <c r="F67" t="s">
        <v>713</v>
      </c>
      <c r="G67" t="s">
        <v>714</v>
      </c>
      <c r="H67" t="s">
        <v>715</v>
      </c>
      <c r="I67" t="s">
        <v>259</v>
      </c>
      <c r="J67" t="s">
        <v>176</v>
      </c>
      <c r="K67" s="30">
        <v>43042</v>
      </c>
      <c r="L67" s="8">
        <v>43039.084178240744</v>
      </c>
      <c r="M67" s="21">
        <f>LEN(ProjTextTable[[#This Row],[text]])</f>
        <v>2270</v>
      </c>
      <c r="N67" s="21">
        <f>LEN(TRIM(CLEAN(SUBSTITUTE(ProjTextTable[[#This Row],[text]],CHAR(10)," "))))+1 - LEN(SUBSTITUTE(CLEAN(SUBSTITUTE(ProjTextTable[[#This Row],[text]],CHAR(10)," "))," ",""))</f>
        <v>342</v>
      </c>
      <c r="O67" t="s">
        <v>205</v>
      </c>
      <c r="P67" t="s">
        <v>716</v>
      </c>
    </row>
    <row r="68" spans="1:16">
      <c r="A68">
        <f t="shared" si="1"/>
        <v>12</v>
      </c>
      <c r="B68" t="s">
        <v>703</v>
      </c>
      <c r="C68" t="s">
        <v>704</v>
      </c>
      <c r="D68" t="s">
        <v>196</v>
      </c>
      <c r="E68" t="s">
        <v>596</v>
      </c>
      <c r="F68" t="s">
        <v>717</v>
      </c>
      <c r="G68" t="s">
        <v>648</v>
      </c>
      <c r="H68" t="s">
        <v>718</v>
      </c>
      <c r="I68" t="s">
        <v>259</v>
      </c>
      <c r="J68" t="s">
        <v>176</v>
      </c>
      <c r="K68" s="30">
        <v>43042</v>
      </c>
      <c r="L68" s="8">
        <v>43039.753634259258</v>
      </c>
      <c r="M68" s="21">
        <f>LEN(ProjTextTable[[#This Row],[text]])</f>
        <v>2457</v>
      </c>
      <c r="N68" s="21">
        <f>LEN(TRIM(CLEAN(SUBSTITUTE(ProjTextTable[[#This Row],[text]],CHAR(10)," "))))+1 - LEN(SUBSTITUTE(CLEAN(SUBSTITUTE(ProjTextTable[[#This Row],[text]],CHAR(10)," "))," ",""))</f>
        <v>315</v>
      </c>
      <c r="O68" t="s">
        <v>201</v>
      </c>
      <c r="P68" t="s">
        <v>719</v>
      </c>
    </row>
    <row r="69" spans="1:16">
      <c r="A69">
        <f t="shared" si="1"/>
        <v>12</v>
      </c>
      <c r="B69" t="s">
        <v>703</v>
      </c>
      <c r="C69" t="s">
        <v>704</v>
      </c>
      <c r="D69" t="s">
        <v>196</v>
      </c>
      <c r="E69" t="s">
        <v>596</v>
      </c>
      <c r="F69" t="s">
        <v>720</v>
      </c>
      <c r="G69" t="s">
        <v>721</v>
      </c>
      <c r="H69" t="s">
        <v>722</v>
      </c>
      <c r="I69" t="s">
        <v>259</v>
      </c>
      <c r="J69" t="s">
        <v>176</v>
      </c>
      <c r="K69" s="30">
        <v>43042</v>
      </c>
      <c r="L69" s="8">
        <v>43041.734618055554</v>
      </c>
      <c r="M69" s="21">
        <f>LEN(ProjTextTable[[#This Row],[text]])</f>
        <v>6521</v>
      </c>
      <c r="N69" s="21">
        <f>LEN(TRIM(CLEAN(SUBSTITUTE(ProjTextTable[[#This Row],[text]],CHAR(10)," "))))+1 - LEN(SUBSTITUTE(CLEAN(SUBSTITUTE(ProjTextTable[[#This Row],[text]],CHAR(10)," "))," ",""))</f>
        <v>1031</v>
      </c>
      <c r="O69" t="s">
        <v>201</v>
      </c>
      <c r="P69" t="s">
        <v>723</v>
      </c>
    </row>
    <row r="70" spans="1:16">
      <c r="A70">
        <f t="shared" si="1"/>
        <v>12</v>
      </c>
      <c r="B70" t="s">
        <v>703</v>
      </c>
      <c r="C70" t="s">
        <v>704</v>
      </c>
      <c r="D70" t="s">
        <v>198</v>
      </c>
      <c r="E70" t="s">
        <v>596</v>
      </c>
      <c r="F70" t="s">
        <v>13</v>
      </c>
      <c r="G70" t="s">
        <v>13</v>
      </c>
      <c r="H70" t="s">
        <v>13</v>
      </c>
      <c r="K70" s="30"/>
      <c r="L70" s="8">
        <v>42927.042638888888</v>
      </c>
      <c r="M70" s="21">
        <f>LEN(ProjTextTable[[#This Row],[text]])</f>
        <v>4048</v>
      </c>
      <c r="N70" s="21">
        <f>LEN(TRIM(CLEAN(SUBSTITUTE(ProjTextTable[[#This Row],[text]],CHAR(10)," "))))+1 - LEN(SUBSTITUTE(CLEAN(SUBSTITUTE(ProjTextTable[[#This Row],[text]],CHAR(10)," "))," ",""))</f>
        <v>539</v>
      </c>
      <c r="O70" t="s">
        <v>13</v>
      </c>
      <c r="P70" t="s">
        <v>724</v>
      </c>
    </row>
    <row r="71" spans="1:16">
      <c r="A71">
        <f t="shared" si="1"/>
        <v>12</v>
      </c>
      <c r="B71" t="s">
        <v>703</v>
      </c>
      <c r="C71" t="s">
        <v>704</v>
      </c>
      <c r="D71" t="s">
        <v>488</v>
      </c>
      <c r="E71" t="s">
        <v>596</v>
      </c>
      <c r="F71" t="s">
        <v>703</v>
      </c>
      <c r="G71" t="s">
        <v>725</v>
      </c>
      <c r="H71" t="s">
        <v>726</v>
      </c>
      <c r="K71" s="30"/>
      <c r="L71" s="8">
        <v>42956.657696759263</v>
      </c>
      <c r="M71" s="21">
        <f>LEN(ProjTextTable[[#This Row],[text]])</f>
        <v>53</v>
      </c>
      <c r="N71" s="21">
        <f>LEN(TRIM(CLEAN(SUBSTITUTE(ProjTextTable[[#This Row],[text]],CHAR(10)," "))))+1 - LEN(SUBSTITUTE(CLEAN(SUBSTITUTE(ProjTextTable[[#This Row],[text]],CHAR(10)," "))," ",""))</f>
        <v>7</v>
      </c>
      <c r="O71" t="s">
        <v>13</v>
      </c>
      <c r="P71" t="s">
        <v>727</v>
      </c>
    </row>
    <row r="72" spans="1:16">
      <c r="A72">
        <f t="shared" si="1"/>
        <v>13</v>
      </c>
      <c r="B72" t="s">
        <v>728</v>
      </c>
      <c r="C72" t="s">
        <v>729</v>
      </c>
      <c r="D72" t="s">
        <v>207</v>
      </c>
      <c r="E72" t="s">
        <v>705</v>
      </c>
      <c r="F72" t="s">
        <v>706</v>
      </c>
      <c r="G72" t="s">
        <v>707</v>
      </c>
      <c r="H72" t="s">
        <v>255</v>
      </c>
      <c r="I72" t="s">
        <v>195</v>
      </c>
      <c r="K72" s="30">
        <v>43041</v>
      </c>
      <c r="L72" s="8"/>
      <c r="M72" s="21">
        <f>LEN(ProjTextTable[[#This Row],[text]])</f>
        <v>2013</v>
      </c>
      <c r="N72" s="21">
        <f>LEN(TRIM(CLEAN(SUBSTITUTE(ProjTextTable[[#This Row],[text]],CHAR(10)," "))))+1 - LEN(SUBSTITUTE(CLEAN(SUBSTITUTE(ProjTextTable[[#This Row],[text]],CHAR(10)," "))," ",""))</f>
        <v>293</v>
      </c>
      <c r="O72" t="s">
        <v>254</v>
      </c>
      <c r="P72" t="s">
        <v>730</v>
      </c>
    </row>
    <row r="73" spans="1:16">
      <c r="A73">
        <f t="shared" si="1"/>
        <v>13</v>
      </c>
      <c r="B73" t="s">
        <v>728</v>
      </c>
      <c r="C73" t="s">
        <v>729</v>
      </c>
      <c r="D73" t="s">
        <v>196</v>
      </c>
      <c r="E73" t="s">
        <v>596</v>
      </c>
      <c r="F73" t="s">
        <v>713</v>
      </c>
      <c r="G73" t="s">
        <v>714</v>
      </c>
      <c r="H73" t="s">
        <v>715</v>
      </c>
      <c r="I73" t="s">
        <v>259</v>
      </c>
      <c r="J73" t="s">
        <v>176</v>
      </c>
      <c r="K73" s="30">
        <v>43042</v>
      </c>
      <c r="L73" s="8">
        <v>43041.597974537035</v>
      </c>
      <c r="M73" s="21">
        <f>LEN(ProjTextTable[[#This Row],[text]])</f>
        <v>3482</v>
      </c>
      <c r="N73" s="21">
        <f>LEN(TRIM(CLEAN(SUBSTITUTE(ProjTextTable[[#This Row],[text]],CHAR(10)," "))))+1 - LEN(SUBSTITUTE(CLEAN(SUBSTITUTE(ProjTextTable[[#This Row],[text]],CHAR(10)," "))," ",""))</f>
        <v>538</v>
      </c>
      <c r="O73" t="s">
        <v>205</v>
      </c>
      <c r="P73" t="s">
        <v>731</v>
      </c>
    </row>
    <row r="74" spans="1:16">
      <c r="A74">
        <f t="shared" si="1"/>
        <v>13</v>
      </c>
      <c r="B74" t="s">
        <v>728</v>
      </c>
      <c r="C74" t="s">
        <v>729</v>
      </c>
      <c r="D74" t="s">
        <v>196</v>
      </c>
      <c r="E74" t="s">
        <v>596</v>
      </c>
      <c r="F74" t="s">
        <v>732</v>
      </c>
      <c r="G74" t="s">
        <v>349</v>
      </c>
      <c r="H74" t="s">
        <v>733</v>
      </c>
      <c r="I74" t="s">
        <v>259</v>
      </c>
      <c r="J74" t="s">
        <v>176</v>
      </c>
      <c r="K74" s="30">
        <v>43042</v>
      </c>
      <c r="L74" s="8">
        <v>43036.549317129633</v>
      </c>
      <c r="M74" s="21">
        <f>LEN(ProjTextTable[[#This Row],[text]])</f>
        <v>1959</v>
      </c>
      <c r="N74" s="21">
        <f>LEN(TRIM(CLEAN(SUBSTITUTE(ProjTextTable[[#This Row],[text]],CHAR(10)," "))))+1 - LEN(SUBSTITUTE(CLEAN(SUBSTITUTE(ProjTextTable[[#This Row],[text]],CHAR(10)," "))," ",""))</f>
        <v>291</v>
      </c>
      <c r="O74" t="s">
        <v>201</v>
      </c>
      <c r="P74" t="s">
        <v>734</v>
      </c>
    </row>
    <row r="75" spans="1:16">
      <c r="A75">
        <f t="shared" si="1"/>
        <v>13</v>
      </c>
      <c r="B75" t="s">
        <v>728</v>
      </c>
      <c r="C75" t="s">
        <v>729</v>
      </c>
      <c r="D75" t="s">
        <v>196</v>
      </c>
      <c r="E75" t="s">
        <v>596</v>
      </c>
      <c r="F75" t="s">
        <v>735</v>
      </c>
      <c r="G75" t="s">
        <v>736</v>
      </c>
      <c r="H75" t="s">
        <v>737</v>
      </c>
      <c r="I75" t="s">
        <v>259</v>
      </c>
      <c r="J75" t="s">
        <v>176</v>
      </c>
      <c r="K75" s="30">
        <v>43042</v>
      </c>
      <c r="L75" s="8">
        <v>43040.681354166663</v>
      </c>
      <c r="M75" s="21">
        <f>LEN(ProjTextTable[[#This Row],[text]])</f>
        <v>2997</v>
      </c>
      <c r="N75" s="21">
        <f>LEN(TRIM(CLEAN(SUBSTITUTE(ProjTextTable[[#This Row],[text]],CHAR(10)," "))))+1 - LEN(SUBSTITUTE(CLEAN(SUBSTITUTE(ProjTextTable[[#This Row],[text]],CHAR(10)," "))," ",""))</f>
        <v>463</v>
      </c>
      <c r="O75" t="s">
        <v>204</v>
      </c>
      <c r="P75" t="s">
        <v>738</v>
      </c>
    </row>
    <row r="76" spans="1:16">
      <c r="A76">
        <f t="shared" si="1"/>
        <v>13</v>
      </c>
      <c r="B76" t="s">
        <v>728</v>
      </c>
      <c r="C76" t="s">
        <v>729</v>
      </c>
      <c r="D76" t="s">
        <v>196</v>
      </c>
      <c r="E76" t="s">
        <v>596</v>
      </c>
      <c r="F76" t="s">
        <v>717</v>
      </c>
      <c r="G76" t="s">
        <v>648</v>
      </c>
      <c r="H76" t="s">
        <v>718</v>
      </c>
      <c r="I76" t="s">
        <v>259</v>
      </c>
      <c r="J76" t="s">
        <v>176</v>
      </c>
      <c r="K76" s="30">
        <v>43042</v>
      </c>
      <c r="L76" s="8">
        <v>43039.842766203707</v>
      </c>
      <c r="M76" s="21">
        <f>LEN(ProjTextTable[[#This Row],[text]])</f>
        <v>2366</v>
      </c>
      <c r="N76" s="21">
        <f>LEN(TRIM(CLEAN(SUBSTITUTE(ProjTextTable[[#This Row],[text]],CHAR(10)," "))))+1 - LEN(SUBSTITUTE(CLEAN(SUBSTITUTE(ProjTextTable[[#This Row],[text]],CHAR(10)," "))," ",""))</f>
        <v>329</v>
      </c>
      <c r="O76" t="s">
        <v>197</v>
      </c>
      <c r="P76" t="s">
        <v>739</v>
      </c>
    </row>
    <row r="77" spans="1:16">
      <c r="A77">
        <f t="shared" si="1"/>
        <v>13</v>
      </c>
      <c r="B77" t="s">
        <v>728</v>
      </c>
      <c r="C77" t="s">
        <v>729</v>
      </c>
      <c r="D77" t="s">
        <v>198</v>
      </c>
      <c r="E77" t="s">
        <v>596</v>
      </c>
      <c r="F77" t="s">
        <v>13</v>
      </c>
      <c r="G77" t="s">
        <v>13</v>
      </c>
      <c r="H77" t="s">
        <v>13</v>
      </c>
      <c r="K77" s="30"/>
      <c r="L77" s="8">
        <v>42931.442673611113</v>
      </c>
      <c r="M77" s="21">
        <f>LEN(ProjTextTable[[#This Row],[text]])</f>
        <v>4514</v>
      </c>
      <c r="N77" s="21">
        <f>LEN(TRIM(CLEAN(SUBSTITUTE(ProjTextTable[[#This Row],[text]],CHAR(10)," "))))+1 - LEN(SUBSTITUTE(CLEAN(SUBSTITUTE(ProjTextTable[[#This Row],[text]],CHAR(10)," "))," ",""))</f>
        <v>652</v>
      </c>
      <c r="O77" t="s">
        <v>13</v>
      </c>
      <c r="P77" t="s">
        <v>740</v>
      </c>
    </row>
    <row r="78" spans="1:16">
      <c r="A78">
        <f t="shared" si="1"/>
        <v>14</v>
      </c>
      <c r="B78" t="s">
        <v>741</v>
      </c>
      <c r="C78" t="s">
        <v>742</v>
      </c>
      <c r="D78" t="s">
        <v>207</v>
      </c>
      <c r="E78" t="s">
        <v>705</v>
      </c>
      <c r="F78" t="s">
        <v>706</v>
      </c>
      <c r="G78" t="s">
        <v>707</v>
      </c>
      <c r="H78" t="s">
        <v>210</v>
      </c>
      <c r="I78" t="s">
        <v>199</v>
      </c>
      <c r="J78" t="s">
        <v>199</v>
      </c>
      <c r="K78" s="30">
        <v>43041</v>
      </c>
      <c r="L78" s="8"/>
      <c r="M78" s="21">
        <f>LEN(ProjTextTable[[#This Row],[text]])</f>
        <v>3772</v>
      </c>
      <c r="N78" s="21">
        <f>LEN(TRIM(CLEAN(SUBSTITUTE(ProjTextTable[[#This Row],[text]],CHAR(10)," "))))+1 - LEN(SUBSTITUTE(CLEAN(SUBSTITUTE(ProjTextTable[[#This Row],[text]],CHAR(10)," "))," ",""))</f>
        <v>572</v>
      </c>
      <c r="O78" t="s">
        <v>211</v>
      </c>
      <c r="P78" t="s">
        <v>743</v>
      </c>
    </row>
    <row r="79" spans="1:16">
      <c r="A79">
        <f t="shared" si="1"/>
        <v>14</v>
      </c>
      <c r="B79" t="s">
        <v>741</v>
      </c>
      <c r="C79" t="s">
        <v>742</v>
      </c>
      <c r="D79" t="s">
        <v>196</v>
      </c>
      <c r="E79" t="s">
        <v>596</v>
      </c>
      <c r="F79" t="s">
        <v>744</v>
      </c>
      <c r="G79" t="s">
        <v>745</v>
      </c>
      <c r="H79" t="s">
        <v>746</v>
      </c>
      <c r="I79" t="s">
        <v>259</v>
      </c>
      <c r="J79" t="s">
        <v>176</v>
      </c>
      <c r="K79" s="30">
        <v>43042</v>
      </c>
      <c r="L79" s="8">
        <v>43040.248101851852</v>
      </c>
      <c r="M79" s="21">
        <f>LEN(ProjTextTable[[#This Row],[text]])</f>
        <v>2534</v>
      </c>
      <c r="N79" s="21">
        <f>LEN(TRIM(CLEAN(SUBSTITUTE(ProjTextTable[[#This Row],[text]],CHAR(10)," "))))+1 - LEN(SUBSTITUTE(CLEAN(SUBSTITUTE(ProjTextTable[[#This Row],[text]],CHAR(10)," "))," ",""))</f>
        <v>361</v>
      </c>
      <c r="O79" t="s">
        <v>200</v>
      </c>
      <c r="P79" t="s">
        <v>747</v>
      </c>
    </row>
    <row r="80" spans="1:16">
      <c r="A80">
        <f t="shared" si="1"/>
        <v>14</v>
      </c>
      <c r="B80" t="s">
        <v>741</v>
      </c>
      <c r="C80" t="s">
        <v>742</v>
      </c>
      <c r="D80" t="s">
        <v>196</v>
      </c>
      <c r="E80" t="s">
        <v>596</v>
      </c>
      <c r="F80" t="s">
        <v>709</v>
      </c>
      <c r="G80" t="s">
        <v>710</v>
      </c>
      <c r="H80" t="s">
        <v>711</v>
      </c>
      <c r="I80" t="s">
        <v>259</v>
      </c>
      <c r="J80" t="s">
        <v>176</v>
      </c>
      <c r="K80" s="30">
        <v>43042</v>
      </c>
      <c r="L80" s="8">
        <v>43040.933657407404</v>
      </c>
      <c r="M80" s="21">
        <f>LEN(ProjTextTable[[#This Row],[text]])</f>
        <v>3498</v>
      </c>
      <c r="N80" s="21">
        <f>LEN(TRIM(CLEAN(SUBSTITUTE(ProjTextTable[[#This Row],[text]],CHAR(10)," "))))+1 - LEN(SUBSTITUTE(CLEAN(SUBSTITUTE(ProjTextTable[[#This Row],[text]],CHAR(10)," "))," ",""))</f>
        <v>545</v>
      </c>
      <c r="O80" t="s">
        <v>197</v>
      </c>
      <c r="P80" t="s">
        <v>748</v>
      </c>
    </row>
    <row r="81" spans="1:16">
      <c r="A81">
        <f t="shared" si="1"/>
        <v>14</v>
      </c>
      <c r="B81" t="s">
        <v>741</v>
      </c>
      <c r="C81" t="s">
        <v>742</v>
      </c>
      <c r="D81" t="s">
        <v>196</v>
      </c>
      <c r="E81" t="s">
        <v>596</v>
      </c>
      <c r="F81" t="s">
        <v>749</v>
      </c>
      <c r="G81" t="s">
        <v>750</v>
      </c>
      <c r="H81" t="s">
        <v>751</v>
      </c>
      <c r="I81" t="s">
        <v>259</v>
      </c>
      <c r="J81" t="s">
        <v>176</v>
      </c>
      <c r="K81" s="30">
        <v>43042</v>
      </c>
      <c r="L81" s="8">
        <v>43035.016111111108</v>
      </c>
      <c r="M81" s="21">
        <f>LEN(ProjTextTable[[#This Row],[text]])</f>
        <v>2408</v>
      </c>
      <c r="N81" s="21">
        <f>LEN(TRIM(CLEAN(SUBSTITUTE(ProjTextTable[[#This Row],[text]],CHAR(10)," "))))+1 - LEN(SUBSTITUTE(CLEAN(SUBSTITUTE(ProjTextTable[[#This Row],[text]],CHAR(10)," "))," ",""))</f>
        <v>377</v>
      </c>
      <c r="O81" t="s">
        <v>204</v>
      </c>
      <c r="P81" t="s">
        <v>752</v>
      </c>
    </row>
    <row r="82" spans="1:16">
      <c r="A82">
        <f t="shared" si="1"/>
        <v>14</v>
      </c>
      <c r="B82" t="s">
        <v>741</v>
      </c>
      <c r="C82" t="s">
        <v>742</v>
      </c>
      <c r="D82" t="s">
        <v>196</v>
      </c>
      <c r="E82" t="s">
        <v>596</v>
      </c>
      <c r="F82" t="s">
        <v>753</v>
      </c>
      <c r="G82" t="s">
        <v>754</v>
      </c>
      <c r="H82" t="s">
        <v>755</v>
      </c>
      <c r="I82" t="s">
        <v>259</v>
      </c>
      <c r="J82" t="s">
        <v>176</v>
      </c>
      <c r="K82" s="30">
        <v>43042</v>
      </c>
      <c r="L82" s="8">
        <v>43042.364236111112</v>
      </c>
      <c r="M82" s="21">
        <f>LEN(ProjTextTable[[#This Row],[text]])</f>
        <v>4222</v>
      </c>
      <c r="N82" s="21">
        <f>LEN(TRIM(CLEAN(SUBSTITUTE(ProjTextTable[[#This Row],[text]],CHAR(10)," "))))+1 - LEN(SUBSTITUTE(CLEAN(SUBSTITUTE(ProjTextTable[[#This Row],[text]],CHAR(10)," "))," ",""))</f>
        <v>657</v>
      </c>
      <c r="O82" t="s">
        <v>197</v>
      </c>
      <c r="P82" t="s">
        <v>756</v>
      </c>
    </row>
    <row r="83" spans="1:16">
      <c r="A83">
        <f t="shared" si="1"/>
        <v>14</v>
      </c>
      <c r="B83" t="s">
        <v>741</v>
      </c>
      <c r="C83" t="s">
        <v>742</v>
      </c>
      <c r="D83" t="s">
        <v>198</v>
      </c>
      <c r="E83" t="s">
        <v>596</v>
      </c>
      <c r="F83" t="s">
        <v>13</v>
      </c>
      <c r="G83" t="s">
        <v>13</v>
      </c>
      <c r="H83" t="s">
        <v>13</v>
      </c>
      <c r="K83" s="30"/>
      <c r="L83" s="8">
        <v>42936.042511574073</v>
      </c>
      <c r="M83" s="21">
        <f>LEN(ProjTextTable[[#This Row],[text]])</f>
        <v>4524</v>
      </c>
      <c r="N83" s="21">
        <f>LEN(TRIM(CLEAN(SUBSTITUTE(ProjTextTable[[#This Row],[text]],CHAR(10)," "))))+1 - LEN(SUBSTITUTE(CLEAN(SUBSTITUTE(ProjTextTable[[#This Row],[text]],CHAR(10)," "))," ",""))</f>
        <v>685</v>
      </c>
      <c r="O83" t="s">
        <v>13</v>
      </c>
      <c r="P83" t="s">
        <v>757</v>
      </c>
    </row>
    <row r="84" spans="1:16">
      <c r="A84">
        <f t="shared" si="1"/>
        <v>15</v>
      </c>
      <c r="B84" t="s">
        <v>758</v>
      </c>
      <c r="C84" t="s">
        <v>457</v>
      </c>
      <c r="D84" t="s">
        <v>207</v>
      </c>
      <c r="E84" t="s">
        <v>705</v>
      </c>
      <c r="F84" t="s">
        <v>706</v>
      </c>
      <c r="G84" t="s">
        <v>707</v>
      </c>
      <c r="H84" t="s">
        <v>386</v>
      </c>
      <c r="I84" t="s">
        <v>202</v>
      </c>
      <c r="K84" s="30">
        <v>43041</v>
      </c>
      <c r="L84" s="8"/>
      <c r="M84" s="21">
        <f>LEN(ProjTextTable[[#This Row],[text]])</f>
        <v>6856</v>
      </c>
      <c r="N84" s="21">
        <f>LEN(TRIM(CLEAN(SUBSTITUTE(ProjTextTable[[#This Row],[text]],CHAR(10)," "))))+1 - LEN(SUBSTITUTE(CLEAN(SUBSTITUTE(ProjTextTable[[#This Row],[text]],CHAR(10)," "))," ",""))</f>
        <v>1090</v>
      </c>
      <c r="O84" t="s">
        <v>359</v>
      </c>
      <c r="P84" t="s">
        <v>759</v>
      </c>
    </row>
    <row r="85" spans="1:16">
      <c r="A85">
        <f t="shared" si="1"/>
        <v>15</v>
      </c>
      <c r="B85" t="s">
        <v>758</v>
      </c>
      <c r="C85" t="s">
        <v>457</v>
      </c>
      <c r="D85" t="s">
        <v>196</v>
      </c>
      <c r="E85" t="s">
        <v>596</v>
      </c>
      <c r="F85" t="s">
        <v>744</v>
      </c>
      <c r="G85" t="s">
        <v>745</v>
      </c>
      <c r="H85" t="s">
        <v>746</v>
      </c>
      <c r="I85" t="s">
        <v>259</v>
      </c>
      <c r="J85" t="s">
        <v>176</v>
      </c>
      <c r="K85" s="30">
        <v>43042</v>
      </c>
      <c r="L85" s="8">
        <v>43040.260451388887</v>
      </c>
      <c r="M85" s="21">
        <f>LEN(ProjTextTable[[#This Row],[text]])</f>
        <v>2663</v>
      </c>
      <c r="N85" s="21">
        <f>LEN(TRIM(CLEAN(SUBSTITUTE(ProjTextTable[[#This Row],[text]],CHAR(10)," "))))+1 - LEN(SUBSTITUTE(CLEAN(SUBSTITUTE(ProjTextTable[[#This Row],[text]],CHAR(10)," "))," ",""))</f>
        <v>385</v>
      </c>
      <c r="O85" t="s">
        <v>203</v>
      </c>
      <c r="P85" t="s">
        <v>760</v>
      </c>
    </row>
    <row r="86" spans="1:16">
      <c r="A86">
        <f t="shared" si="1"/>
        <v>15</v>
      </c>
      <c r="B86" t="s">
        <v>758</v>
      </c>
      <c r="C86" t="s">
        <v>457</v>
      </c>
      <c r="D86" t="s">
        <v>196</v>
      </c>
      <c r="E86" t="s">
        <v>596</v>
      </c>
      <c r="F86" t="s">
        <v>709</v>
      </c>
      <c r="G86" t="s">
        <v>710</v>
      </c>
      <c r="H86" t="s">
        <v>711</v>
      </c>
      <c r="I86" t="s">
        <v>259</v>
      </c>
      <c r="J86" t="s">
        <v>176</v>
      </c>
      <c r="K86" s="30">
        <v>43042</v>
      </c>
      <c r="L86" s="8">
        <v>43040.934629629628</v>
      </c>
      <c r="M86" s="21">
        <f>LEN(ProjTextTable[[#This Row],[text]])</f>
        <v>1704</v>
      </c>
      <c r="N86" s="21">
        <f>LEN(TRIM(CLEAN(SUBSTITUTE(ProjTextTable[[#This Row],[text]],CHAR(10)," "))))+1 - LEN(SUBSTITUTE(CLEAN(SUBSTITUTE(ProjTextTable[[#This Row],[text]],CHAR(10)," "))," ",""))</f>
        <v>259</v>
      </c>
      <c r="O86" t="s">
        <v>212</v>
      </c>
      <c r="P86" t="s">
        <v>761</v>
      </c>
    </row>
    <row r="87" spans="1:16">
      <c r="A87">
        <f t="shared" si="1"/>
        <v>15</v>
      </c>
      <c r="B87" t="s">
        <v>758</v>
      </c>
      <c r="C87" t="s">
        <v>457</v>
      </c>
      <c r="D87" t="s">
        <v>196</v>
      </c>
      <c r="E87" t="s">
        <v>596</v>
      </c>
      <c r="F87" t="s">
        <v>735</v>
      </c>
      <c r="G87" t="s">
        <v>736</v>
      </c>
      <c r="H87" t="s">
        <v>737</v>
      </c>
      <c r="I87" t="s">
        <v>259</v>
      </c>
      <c r="J87" t="s">
        <v>176</v>
      </c>
      <c r="K87" s="30">
        <v>43042</v>
      </c>
      <c r="L87" s="8">
        <v>43041.461689814816</v>
      </c>
      <c r="M87" s="21">
        <f>LEN(ProjTextTable[[#This Row],[text]])</f>
        <v>5205</v>
      </c>
      <c r="N87" s="21">
        <f>LEN(TRIM(CLEAN(SUBSTITUTE(ProjTextTable[[#This Row],[text]],CHAR(10)," "))))+1 - LEN(SUBSTITUTE(CLEAN(SUBSTITUTE(ProjTextTable[[#This Row],[text]],CHAR(10)," "))," ",""))</f>
        <v>816</v>
      </c>
      <c r="O87" t="s">
        <v>203</v>
      </c>
      <c r="P87" t="s">
        <v>762</v>
      </c>
    </row>
    <row r="88" spans="1:16">
      <c r="A88">
        <f t="shared" si="1"/>
        <v>15</v>
      </c>
      <c r="B88" t="s">
        <v>758</v>
      </c>
      <c r="C88" t="s">
        <v>457</v>
      </c>
      <c r="D88" t="s">
        <v>196</v>
      </c>
      <c r="E88" t="s">
        <v>596</v>
      </c>
      <c r="F88" t="s">
        <v>753</v>
      </c>
      <c r="G88" t="s">
        <v>754</v>
      </c>
      <c r="H88" t="s">
        <v>755</v>
      </c>
      <c r="I88" t="s">
        <v>259</v>
      </c>
      <c r="J88" t="s">
        <v>176</v>
      </c>
      <c r="K88" s="30">
        <v>43042</v>
      </c>
      <c r="L88" s="8">
        <v>43040.903425925928</v>
      </c>
      <c r="M88" s="21">
        <f>LEN(ProjTextTable[[#This Row],[text]])</f>
        <v>4154</v>
      </c>
      <c r="N88" s="21">
        <f>LEN(TRIM(CLEAN(SUBSTITUTE(ProjTextTable[[#This Row],[text]],CHAR(10)," "))))+1 - LEN(SUBSTITUTE(CLEAN(SUBSTITUTE(ProjTextTable[[#This Row],[text]],CHAR(10)," "))," ",""))</f>
        <v>648</v>
      </c>
      <c r="O88" t="s">
        <v>203</v>
      </c>
      <c r="P88" t="s">
        <v>763</v>
      </c>
    </row>
    <row r="89" spans="1:16">
      <c r="A89">
        <f t="shared" si="1"/>
        <v>15</v>
      </c>
      <c r="B89" t="s">
        <v>758</v>
      </c>
      <c r="C89" t="s">
        <v>457</v>
      </c>
      <c r="D89" t="s">
        <v>198</v>
      </c>
      <c r="E89" t="s">
        <v>596</v>
      </c>
      <c r="F89" t="s">
        <v>13</v>
      </c>
      <c r="G89" t="s">
        <v>13</v>
      </c>
      <c r="H89" t="s">
        <v>13</v>
      </c>
      <c r="K89" s="30"/>
      <c r="L89" s="8">
        <v>42936.042881944442</v>
      </c>
      <c r="M89" s="21">
        <f>LEN(ProjTextTable[[#This Row],[text]])</f>
        <v>4256</v>
      </c>
      <c r="N89" s="21">
        <f>LEN(TRIM(CLEAN(SUBSTITUTE(ProjTextTable[[#This Row],[text]],CHAR(10)," "))))+1 - LEN(SUBSTITUTE(CLEAN(SUBSTITUTE(ProjTextTable[[#This Row],[text]],CHAR(10)," "))," ",""))</f>
        <v>597</v>
      </c>
      <c r="O89" t="s">
        <v>13</v>
      </c>
      <c r="P89" t="s">
        <v>764</v>
      </c>
    </row>
    <row r="90" spans="1:16">
      <c r="A90">
        <f t="shared" si="1"/>
        <v>15</v>
      </c>
      <c r="B90" t="s">
        <v>758</v>
      </c>
      <c r="C90" t="s">
        <v>457</v>
      </c>
      <c r="D90" t="s">
        <v>488</v>
      </c>
      <c r="E90" t="s">
        <v>596</v>
      </c>
      <c r="F90" t="s">
        <v>758</v>
      </c>
      <c r="G90" t="s">
        <v>725</v>
      </c>
      <c r="H90" t="s">
        <v>726</v>
      </c>
      <c r="K90" s="30"/>
      <c r="L90" s="8">
        <v>42956.658055555556</v>
      </c>
      <c r="M90" s="21">
        <f>LEN(ProjTextTable[[#This Row],[text]])</f>
        <v>53</v>
      </c>
      <c r="N90" s="21">
        <f>LEN(TRIM(CLEAN(SUBSTITUTE(ProjTextTable[[#This Row],[text]],CHAR(10)," "))))+1 - LEN(SUBSTITUTE(CLEAN(SUBSTITUTE(ProjTextTable[[#This Row],[text]],CHAR(10)," "))," ",""))</f>
        <v>7</v>
      </c>
      <c r="O90" t="s">
        <v>13</v>
      </c>
      <c r="P90" t="s">
        <v>727</v>
      </c>
    </row>
    <row r="91" spans="1:16">
      <c r="A91">
        <f t="shared" si="1"/>
        <v>16</v>
      </c>
      <c r="B91" t="s">
        <v>765</v>
      </c>
      <c r="C91" t="s">
        <v>766</v>
      </c>
      <c r="D91" t="s">
        <v>207</v>
      </c>
      <c r="E91" t="s">
        <v>705</v>
      </c>
      <c r="F91" t="s">
        <v>706</v>
      </c>
      <c r="G91" t="s">
        <v>707</v>
      </c>
      <c r="H91" t="s">
        <v>386</v>
      </c>
      <c r="I91" t="s">
        <v>202</v>
      </c>
      <c r="K91" s="30">
        <v>43041</v>
      </c>
      <c r="L91" s="8"/>
      <c r="M91" s="21">
        <f>LEN(ProjTextTable[[#This Row],[text]])</f>
        <v>4162</v>
      </c>
      <c r="N91" s="21">
        <f>LEN(TRIM(CLEAN(SUBSTITUTE(ProjTextTable[[#This Row],[text]],CHAR(10)," "))))+1 - LEN(SUBSTITUTE(CLEAN(SUBSTITUTE(ProjTextTable[[#This Row],[text]],CHAR(10)," "))," ",""))</f>
        <v>611</v>
      </c>
      <c r="O91" t="s">
        <v>359</v>
      </c>
      <c r="P91" t="s">
        <v>767</v>
      </c>
    </row>
    <row r="92" spans="1:16">
      <c r="A92">
        <f t="shared" si="1"/>
        <v>16</v>
      </c>
      <c r="B92" t="s">
        <v>765</v>
      </c>
      <c r="C92" t="s">
        <v>766</v>
      </c>
      <c r="D92" t="s">
        <v>2</v>
      </c>
      <c r="E92" t="s">
        <v>596</v>
      </c>
      <c r="F92" t="s">
        <v>13</v>
      </c>
      <c r="G92" t="s">
        <v>487</v>
      </c>
      <c r="H92" t="s">
        <v>13</v>
      </c>
      <c r="I92" t="s">
        <v>13</v>
      </c>
      <c r="K92" s="30"/>
      <c r="L92" s="8">
        <v>43048.618194444447</v>
      </c>
      <c r="M92" s="21">
        <f>LEN(ProjTextTable[[#This Row],[text]])</f>
        <v>2500</v>
      </c>
      <c r="N92" s="21">
        <f>LEN(TRIM(CLEAN(SUBSTITUTE(ProjTextTable[[#This Row],[text]],CHAR(10)," "))))+1 - LEN(SUBSTITUTE(CLEAN(SUBSTITUTE(ProjTextTable[[#This Row],[text]],CHAR(10)," "))," ",""))</f>
        <v>367</v>
      </c>
      <c r="O92" t="s">
        <v>13</v>
      </c>
      <c r="P92" t="s">
        <v>768</v>
      </c>
    </row>
    <row r="93" spans="1:16">
      <c r="A93">
        <f t="shared" si="1"/>
        <v>16</v>
      </c>
      <c r="B93" t="s">
        <v>765</v>
      </c>
      <c r="C93" t="s">
        <v>766</v>
      </c>
      <c r="D93" t="s">
        <v>196</v>
      </c>
      <c r="E93" t="s">
        <v>596</v>
      </c>
      <c r="F93" t="s">
        <v>769</v>
      </c>
      <c r="G93" t="s">
        <v>770</v>
      </c>
      <c r="H93" t="s">
        <v>771</v>
      </c>
      <c r="I93" t="s">
        <v>259</v>
      </c>
      <c r="J93" t="s">
        <v>176</v>
      </c>
      <c r="K93" s="30">
        <v>43019</v>
      </c>
      <c r="L93" s="8">
        <v>43015.664756944447</v>
      </c>
      <c r="M93" s="21">
        <f>LEN(ProjTextTable[[#This Row],[text]])</f>
        <v>3105</v>
      </c>
      <c r="N93" s="21">
        <f>LEN(TRIM(CLEAN(SUBSTITUTE(ProjTextTable[[#This Row],[text]],CHAR(10)," "))))+1 - LEN(SUBSTITUTE(CLEAN(SUBSTITUTE(ProjTextTable[[#This Row],[text]],CHAR(10)," "))," ",""))</f>
        <v>488</v>
      </c>
      <c r="O93" t="s">
        <v>203</v>
      </c>
      <c r="P93" t="s">
        <v>772</v>
      </c>
    </row>
    <row r="94" spans="1:16">
      <c r="A94">
        <f t="shared" si="1"/>
        <v>16</v>
      </c>
      <c r="B94" t="s">
        <v>765</v>
      </c>
      <c r="C94" t="s">
        <v>766</v>
      </c>
      <c r="D94" t="s">
        <v>196</v>
      </c>
      <c r="E94" t="s">
        <v>596</v>
      </c>
      <c r="F94" t="s">
        <v>773</v>
      </c>
      <c r="G94" t="s">
        <v>774</v>
      </c>
      <c r="H94" t="s">
        <v>775</v>
      </c>
      <c r="I94" t="s">
        <v>259</v>
      </c>
      <c r="J94" t="s">
        <v>176</v>
      </c>
      <c r="K94" s="30">
        <v>43019</v>
      </c>
      <c r="L94" s="8">
        <v>43019.52547453704</v>
      </c>
      <c r="M94" s="21">
        <f>LEN(ProjTextTable[[#This Row],[text]])</f>
        <v>3432</v>
      </c>
      <c r="N94" s="21">
        <f>LEN(TRIM(CLEAN(SUBSTITUTE(ProjTextTable[[#This Row],[text]],CHAR(10)," "))))+1 - LEN(SUBSTITUTE(CLEAN(SUBSTITUTE(ProjTextTable[[#This Row],[text]],CHAR(10)," "))," ",""))</f>
        <v>524</v>
      </c>
      <c r="O94" t="s">
        <v>203</v>
      </c>
      <c r="P94" t="s">
        <v>776</v>
      </c>
    </row>
    <row r="95" spans="1:16">
      <c r="A95">
        <f t="shared" si="1"/>
        <v>16</v>
      </c>
      <c r="B95" t="s">
        <v>765</v>
      </c>
      <c r="C95" t="s">
        <v>766</v>
      </c>
      <c r="D95" t="s">
        <v>196</v>
      </c>
      <c r="E95" t="s">
        <v>596</v>
      </c>
      <c r="F95" t="s">
        <v>777</v>
      </c>
      <c r="G95" t="s">
        <v>778</v>
      </c>
      <c r="H95" t="s">
        <v>779</v>
      </c>
      <c r="I95" t="s">
        <v>259</v>
      </c>
      <c r="J95" t="s">
        <v>176</v>
      </c>
      <c r="K95" s="30">
        <v>43019</v>
      </c>
      <c r="L95" s="8">
        <v>43016.759583333333</v>
      </c>
      <c r="M95" s="21">
        <f>LEN(ProjTextTable[[#This Row],[text]])</f>
        <v>3642</v>
      </c>
      <c r="N95" s="21">
        <f>LEN(TRIM(CLEAN(SUBSTITUTE(ProjTextTable[[#This Row],[text]],CHAR(10)," "))))+1 - LEN(SUBSTITUTE(CLEAN(SUBSTITUTE(ProjTextTable[[#This Row],[text]],CHAR(10)," "))," ",""))</f>
        <v>553</v>
      </c>
      <c r="O95" t="s">
        <v>203</v>
      </c>
      <c r="P95" t="s">
        <v>780</v>
      </c>
    </row>
    <row r="96" spans="1:16">
      <c r="A96">
        <f t="shared" si="1"/>
        <v>16</v>
      </c>
      <c r="B96" t="s">
        <v>765</v>
      </c>
      <c r="C96" t="s">
        <v>766</v>
      </c>
      <c r="D96" t="s">
        <v>196</v>
      </c>
      <c r="E96" t="s">
        <v>596</v>
      </c>
      <c r="F96" t="s">
        <v>732</v>
      </c>
      <c r="G96" t="s">
        <v>349</v>
      </c>
      <c r="H96" t="s">
        <v>733</v>
      </c>
      <c r="I96" t="s">
        <v>259</v>
      </c>
      <c r="J96" t="s">
        <v>176</v>
      </c>
      <c r="K96" s="30">
        <v>43042</v>
      </c>
      <c r="L96" s="8">
        <v>43036.558032407411</v>
      </c>
      <c r="M96" s="21">
        <f>LEN(ProjTextTable[[#This Row],[text]])</f>
        <v>2394</v>
      </c>
      <c r="N96" s="21">
        <f>LEN(TRIM(CLEAN(SUBSTITUTE(ProjTextTable[[#This Row],[text]],CHAR(10)," "))))+1 - LEN(SUBSTITUTE(CLEAN(SUBSTITUTE(ProjTextTable[[#This Row],[text]],CHAR(10)," "))," ",""))</f>
        <v>349</v>
      </c>
      <c r="O96" t="s">
        <v>197</v>
      </c>
      <c r="P96" t="s">
        <v>781</v>
      </c>
    </row>
    <row r="97" spans="1:16">
      <c r="A97">
        <f t="shared" si="1"/>
        <v>16</v>
      </c>
      <c r="B97" t="s">
        <v>765</v>
      </c>
      <c r="C97" t="s">
        <v>766</v>
      </c>
      <c r="D97" t="s">
        <v>196</v>
      </c>
      <c r="E97" t="s">
        <v>596</v>
      </c>
      <c r="F97" t="s">
        <v>782</v>
      </c>
      <c r="G97" t="s">
        <v>783</v>
      </c>
      <c r="H97" t="s">
        <v>784</v>
      </c>
      <c r="I97" t="s">
        <v>259</v>
      </c>
      <c r="J97" t="s">
        <v>176</v>
      </c>
      <c r="K97" s="30">
        <v>43042</v>
      </c>
      <c r="L97" s="8">
        <v>43039.973541666666</v>
      </c>
      <c r="M97" s="21">
        <f>LEN(ProjTextTable[[#This Row],[text]])</f>
        <v>1643</v>
      </c>
      <c r="N97" s="21">
        <f>LEN(TRIM(CLEAN(SUBSTITUTE(ProjTextTable[[#This Row],[text]],CHAR(10)," "))))+1 - LEN(SUBSTITUTE(CLEAN(SUBSTITUTE(ProjTextTable[[#This Row],[text]],CHAR(10)," "))," ",""))</f>
        <v>241</v>
      </c>
      <c r="O97" t="s">
        <v>203</v>
      </c>
      <c r="P97" t="s">
        <v>785</v>
      </c>
    </row>
    <row r="98" spans="1:16">
      <c r="A98">
        <f t="shared" si="1"/>
        <v>16</v>
      </c>
      <c r="B98" t="s">
        <v>765</v>
      </c>
      <c r="C98" t="s">
        <v>766</v>
      </c>
      <c r="D98" t="s">
        <v>196</v>
      </c>
      <c r="E98" t="s">
        <v>596</v>
      </c>
      <c r="F98" t="s">
        <v>786</v>
      </c>
      <c r="G98" t="s">
        <v>787</v>
      </c>
      <c r="H98" t="s">
        <v>788</v>
      </c>
      <c r="I98" t="s">
        <v>259</v>
      </c>
      <c r="J98" t="s">
        <v>176</v>
      </c>
      <c r="K98" s="30">
        <v>43019</v>
      </c>
      <c r="L98" s="8">
        <v>43012.454143518517</v>
      </c>
      <c r="M98" s="21">
        <f>LEN(ProjTextTable[[#This Row],[text]])</f>
        <v>4300</v>
      </c>
      <c r="N98" s="21">
        <f>LEN(TRIM(CLEAN(SUBSTITUTE(ProjTextTable[[#This Row],[text]],CHAR(10)," "))))+1 - LEN(SUBSTITUTE(CLEAN(SUBSTITUTE(ProjTextTable[[#This Row],[text]],CHAR(10)," "))," ",""))</f>
        <v>659</v>
      </c>
      <c r="O98" t="s">
        <v>197</v>
      </c>
      <c r="P98" t="s">
        <v>789</v>
      </c>
    </row>
    <row r="99" spans="1:16">
      <c r="A99">
        <f t="shared" si="1"/>
        <v>16</v>
      </c>
      <c r="B99" t="s">
        <v>765</v>
      </c>
      <c r="C99" t="s">
        <v>766</v>
      </c>
      <c r="D99" t="s">
        <v>196</v>
      </c>
      <c r="E99" t="s">
        <v>596</v>
      </c>
      <c r="F99" t="s">
        <v>717</v>
      </c>
      <c r="G99" t="s">
        <v>648</v>
      </c>
      <c r="H99" t="s">
        <v>718</v>
      </c>
      <c r="I99" t="s">
        <v>259</v>
      </c>
      <c r="J99" t="s">
        <v>176</v>
      </c>
      <c r="K99" s="30">
        <v>43042</v>
      </c>
      <c r="L99" s="8">
        <v>43039.765648148146</v>
      </c>
      <c r="M99" s="21">
        <f>LEN(ProjTextTable[[#This Row],[text]])</f>
        <v>3733</v>
      </c>
      <c r="N99" s="21">
        <f>LEN(TRIM(CLEAN(SUBSTITUTE(ProjTextTable[[#This Row],[text]],CHAR(10)," "))))+1 - LEN(SUBSTITUTE(CLEAN(SUBSTITUTE(ProjTextTable[[#This Row],[text]],CHAR(10)," "))," ",""))</f>
        <v>534</v>
      </c>
      <c r="O99" t="s">
        <v>201</v>
      </c>
      <c r="P99" t="s">
        <v>790</v>
      </c>
    </row>
    <row r="100" spans="1:16">
      <c r="A100">
        <f t="shared" si="1"/>
        <v>16</v>
      </c>
      <c r="B100" t="s">
        <v>765</v>
      </c>
      <c r="C100" t="s">
        <v>766</v>
      </c>
      <c r="D100" t="s">
        <v>196</v>
      </c>
      <c r="E100" t="s">
        <v>596</v>
      </c>
      <c r="F100" t="s">
        <v>720</v>
      </c>
      <c r="G100" t="s">
        <v>721</v>
      </c>
      <c r="H100" t="s">
        <v>722</v>
      </c>
      <c r="I100" t="s">
        <v>259</v>
      </c>
      <c r="J100" t="s">
        <v>176</v>
      </c>
      <c r="K100" s="30">
        <v>43042</v>
      </c>
      <c r="L100" s="8">
        <v>43041.00990740741</v>
      </c>
      <c r="M100" s="21">
        <f>LEN(ProjTextTable[[#This Row],[text]])</f>
        <v>6001</v>
      </c>
      <c r="N100" s="21">
        <f>LEN(TRIM(CLEAN(SUBSTITUTE(ProjTextTable[[#This Row],[text]],CHAR(10)," "))))+1 - LEN(SUBSTITUTE(CLEAN(SUBSTITUTE(ProjTextTable[[#This Row],[text]],CHAR(10)," "))," ",""))</f>
        <v>926</v>
      </c>
      <c r="O100" t="s">
        <v>197</v>
      </c>
      <c r="P100" t="s">
        <v>791</v>
      </c>
    </row>
    <row r="101" spans="1:16">
      <c r="A101">
        <f t="shared" si="1"/>
        <v>16</v>
      </c>
      <c r="B101" t="s">
        <v>765</v>
      </c>
      <c r="C101" t="s">
        <v>766</v>
      </c>
      <c r="D101" t="s">
        <v>198</v>
      </c>
      <c r="E101" t="s">
        <v>596</v>
      </c>
      <c r="F101" t="s">
        <v>13</v>
      </c>
      <c r="G101" t="s">
        <v>13</v>
      </c>
      <c r="H101" t="s">
        <v>13</v>
      </c>
      <c r="K101" s="30"/>
      <c r="L101" s="8">
        <v>42936.042974537035</v>
      </c>
      <c r="M101" s="21">
        <f>LEN(ProjTextTable[[#This Row],[text]])</f>
        <v>4014</v>
      </c>
      <c r="N101" s="21">
        <f>LEN(TRIM(CLEAN(SUBSTITUTE(ProjTextTable[[#This Row],[text]],CHAR(10)," "))))+1 - LEN(SUBSTITUTE(CLEAN(SUBSTITUTE(ProjTextTable[[#This Row],[text]],CHAR(10)," "))," ",""))</f>
        <v>533</v>
      </c>
      <c r="O101" t="s">
        <v>13</v>
      </c>
      <c r="P101" t="s">
        <v>792</v>
      </c>
    </row>
    <row r="102" spans="1:16">
      <c r="A102">
        <f t="shared" si="1"/>
        <v>17</v>
      </c>
      <c r="B102" t="s">
        <v>793</v>
      </c>
      <c r="C102" t="s">
        <v>794</v>
      </c>
      <c r="D102" t="s">
        <v>207</v>
      </c>
      <c r="E102" t="s">
        <v>705</v>
      </c>
      <c r="F102" t="s">
        <v>706</v>
      </c>
      <c r="G102" t="s">
        <v>707</v>
      </c>
      <c r="H102" t="s">
        <v>255</v>
      </c>
      <c r="I102" t="s">
        <v>195</v>
      </c>
      <c r="K102" s="30">
        <v>43041</v>
      </c>
      <c r="L102" s="8"/>
      <c r="M102" s="21">
        <f>LEN(ProjTextTable[[#This Row],[text]])</f>
        <v>2241</v>
      </c>
      <c r="N102" s="21">
        <f>LEN(TRIM(CLEAN(SUBSTITUTE(ProjTextTable[[#This Row],[text]],CHAR(10)," "))))+1 - LEN(SUBSTITUTE(CLEAN(SUBSTITUTE(ProjTextTable[[#This Row],[text]],CHAR(10)," "))," ",""))</f>
        <v>348</v>
      </c>
      <c r="O102" t="s">
        <v>254</v>
      </c>
      <c r="P102" t="s">
        <v>795</v>
      </c>
    </row>
    <row r="103" spans="1:16">
      <c r="A103">
        <f t="shared" si="1"/>
        <v>17</v>
      </c>
      <c r="B103" t="s">
        <v>793</v>
      </c>
      <c r="C103" t="s">
        <v>794</v>
      </c>
      <c r="D103" t="s">
        <v>196</v>
      </c>
      <c r="E103" t="s">
        <v>596</v>
      </c>
      <c r="F103" t="s">
        <v>744</v>
      </c>
      <c r="G103" t="s">
        <v>745</v>
      </c>
      <c r="H103" t="s">
        <v>746</v>
      </c>
      <c r="I103" t="s">
        <v>259</v>
      </c>
      <c r="J103" t="s">
        <v>176</v>
      </c>
      <c r="K103" s="30">
        <v>43042</v>
      </c>
      <c r="L103" s="8">
        <v>43041.735092592593</v>
      </c>
      <c r="M103" s="21">
        <f>LEN(ProjTextTable[[#This Row],[text]])</f>
        <v>3986</v>
      </c>
      <c r="N103" s="21">
        <f>LEN(TRIM(CLEAN(SUBSTITUTE(ProjTextTable[[#This Row],[text]],CHAR(10)," "))))+1 - LEN(SUBSTITUTE(CLEAN(SUBSTITUTE(ProjTextTable[[#This Row],[text]],CHAR(10)," "))," ",""))</f>
        <v>570</v>
      </c>
      <c r="O103" t="s">
        <v>197</v>
      </c>
      <c r="P103" t="s">
        <v>796</v>
      </c>
    </row>
    <row r="104" spans="1:16">
      <c r="A104">
        <f t="shared" si="1"/>
        <v>17</v>
      </c>
      <c r="B104" t="s">
        <v>793</v>
      </c>
      <c r="C104" t="s">
        <v>794</v>
      </c>
      <c r="D104" t="s">
        <v>196</v>
      </c>
      <c r="E104" t="s">
        <v>596</v>
      </c>
      <c r="F104" t="s">
        <v>713</v>
      </c>
      <c r="G104" t="s">
        <v>714</v>
      </c>
      <c r="H104" t="s">
        <v>715</v>
      </c>
      <c r="I104" t="s">
        <v>259</v>
      </c>
      <c r="J104" t="s">
        <v>176</v>
      </c>
      <c r="K104" s="30">
        <v>43042</v>
      </c>
      <c r="L104" s="8">
        <v>43042.438240740739</v>
      </c>
      <c r="M104" s="21">
        <f>LEN(ProjTextTable[[#This Row],[text]])</f>
        <v>3547</v>
      </c>
      <c r="N104" s="21">
        <f>LEN(TRIM(CLEAN(SUBSTITUTE(ProjTextTable[[#This Row],[text]],CHAR(10)," "))))+1 - LEN(SUBSTITUTE(CLEAN(SUBSTITUTE(ProjTextTable[[#This Row],[text]],CHAR(10)," "))," ",""))</f>
        <v>541</v>
      </c>
      <c r="O104" t="s">
        <v>205</v>
      </c>
      <c r="P104" t="s">
        <v>797</v>
      </c>
    </row>
    <row r="105" spans="1:16">
      <c r="A105">
        <f t="shared" si="1"/>
        <v>17</v>
      </c>
      <c r="B105" t="s">
        <v>793</v>
      </c>
      <c r="C105" t="s">
        <v>794</v>
      </c>
      <c r="D105" t="s">
        <v>196</v>
      </c>
      <c r="E105" t="s">
        <v>596</v>
      </c>
      <c r="F105" t="s">
        <v>732</v>
      </c>
      <c r="G105" t="s">
        <v>349</v>
      </c>
      <c r="H105" t="s">
        <v>733</v>
      </c>
      <c r="I105" t="s">
        <v>259</v>
      </c>
      <c r="J105" t="s">
        <v>176</v>
      </c>
      <c r="K105" s="30">
        <v>43042</v>
      </c>
      <c r="L105" s="8">
        <v>43036.59375</v>
      </c>
      <c r="M105" s="21">
        <f>LEN(ProjTextTable[[#This Row],[text]])</f>
        <v>2904</v>
      </c>
      <c r="N105" s="21">
        <f>LEN(TRIM(CLEAN(SUBSTITUTE(ProjTextTable[[#This Row],[text]],CHAR(10)," "))))+1 - LEN(SUBSTITUTE(CLEAN(SUBSTITUTE(ProjTextTable[[#This Row],[text]],CHAR(10)," "))," ",""))</f>
        <v>455</v>
      </c>
      <c r="O105" t="s">
        <v>203</v>
      </c>
      <c r="P105" t="s">
        <v>798</v>
      </c>
    </row>
    <row r="106" spans="1:16">
      <c r="A106">
        <f t="shared" si="1"/>
        <v>17</v>
      </c>
      <c r="B106" t="s">
        <v>793</v>
      </c>
      <c r="C106" t="s">
        <v>794</v>
      </c>
      <c r="D106" t="s">
        <v>196</v>
      </c>
      <c r="E106" t="s">
        <v>596</v>
      </c>
      <c r="F106" t="s">
        <v>717</v>
      </c>
      <c r="G106" t="s">
        <v>648</v>
      </c>
      <c r="H106" t="s">
        <v>718</v>
      </c>
      <c r="I106" t="s">
        <v>259</v>
      </c>
      <c r="J106" t="s">
        <v>176</v>
      </c>
      <c r="K106" s="30">
        <v>43042</v>
      </c>
      <c r="L106" s="8">
        <v>43039.992060185185</v>
      </c>
      <c r="M106" s="21">
        <f>LEN(ProjTextTable[[#This Row],[text]])</f>
        <v>2415</v>
      </c>
      <c r="N106" s="21">
        <f>LEN(TRIM(CLEAN(SUBSTITUTE(ProjTextTable[[#This Row],[text]],CHAR(10)," "))))+1 - LEN(SUBSTITUTE(CLEAN(SUBSTITUTE(ProjTextTable[[#This Row],[text]],CHAR(10)," "))," ",""))</f>
        <v>349</v>
      </c>
      <c r="O106" t="s">
        <v>201</v>
      </c>
      <c r="P106" t="s">
        <v>799</v>
      </c>
    </row>
    <row r="107" spans="1:16">
      <c r="A107">
        <f t="shared" si="1"/>
        <v>18</v>
      </c>
      <c r="B107" t="s">
        <v>800</v>
      </c>
      <c r="C107" t="s">
        <v>354</v>
      </c>
      <c r="D107" t="s">
        <v>207</v>
      </c>
      <c r="E107" t="s">
        <v>705</v>
      </c>
      <c r="F107" t="s">
        <v>706</v>
      </c>
      <c r="G107" t="s">
        <v>707</v>
      </c>
      <c r="H107" t="s">
        <v>255</v>
      </c>
      <c r="I107" t="s">
        <v>195</v>
      </c>
      <c r="K107" s="30">
        <v>43041</v>
      </c>
      <c r="L107" s="8"/>
      <c r="M107" s="21">
        <f>LEN(ProjTextTable[[#This Row],[text]])</f>
        <v>3547</v>
      </c>
      <c r="N107" s="21">
        <f>LEN(TRIM(CLEAN(SUBSTITUTE(ProjTextTable[[#This Row],[text]],CHAR(10)," "))))+1 - LEN(SUBSTITUTE(CLEAN(SUBSTITUTE(ProjTextTable[[#This Row],[text]],CHAR(10)," "))," ",""))</f>
        <v>541</v>
      </c>
      <c r="O107" t="s">
        <v>254</v>
      </c>
      <c r="P107" t="s">
        <v>801</v>
      </c>
    </row>
    <row r="108" spans="1:16">
      <c r="A108">
        <f t="shared" si="1"/>
        <v>18</v>
      </c>
      <c r="B108" t="s">
        <v>800</v>
      </c>
      <c r="C108" t="s">
        <v>354</v>
      </c>
      <c r="D108" t="s">
        <v>196</v>
      </c>
      <c r="E108" t="s">
        <v>596</v>
      </c>
      <c r="F108" t="s">
        <v>802</v>
      </c>
      <c r="G108" t="s">
        <v>803</v>
      </c>
      <c r="H108" t="s">
        <v>804</v>
      </c>
      <c r="I108" t="s">
        <v>259</v>
      </c>
      <c r="J108" t="s">
        <v>176</v>
      </c>
      <c r="K108" s="30">
        <v>43042</v>
      </c>
      <c r="L108" s="8">
        <v>43040.855324074073</v>
      </c>
      <c r="M108" s="21">
        <f>LEN(ProjTextTable[[#This Row],[text]])</f>
        <v>4043</v>
      </c>
      <c r="N108" s="21">
        <f>LEN(TRIM(CLEAN(SUBSTITUTE(ProjTextTable[[#This Row],[text]],CHAR(10)," "))))+1 - LEN(SUBSTITUTE(CLEAN(SUBSTITUTE(ProjTextTable[[#This Row],[text]],CHAR(10)," "))," ",""))</f>
        <v>570</v>
      </c>
      <c r="O108" t="s">
        <v>201</v>
      </c>
      <c r="P108" t="s">
        <v>805</v>
      </c>
    </row>
    <row r="109" spans="1:16">
      <c r="A109">
        <f t="shared" si="1"/>
        <v>18</v>
      </c>
      <c r="B109" t="s">
        <v>800</v>
      </c>
      <c r="C109" t="s">
        <v>354</v>
      </c>
      <c r="D109" t="s">
        <v>196</v>
      </c>
      <c r="E109" t="s">
        <v>596</v>
      </c>
      <c r="F109" t="s">
        <v>744</v>
      </c>
      <c r="G109" t="s">
        <v>745</v>
      </c>
      <c r="H109" t="s">
        <v>746</v>
      </c>
      <c r="I109" t="s">
        <v>259</v>
      </c>
      <c r="J109" t="s">
        <v>176</v>
      </c>
      <c r="K109" s="30">
        <v>43042</v>
      </c>
      <c r="L109" s="8">
        <v>43041.432835648149</v>
      </c>
      <c r="M109" s="21">
        <f>LEN(ProjTextTable[[#This Row],[text]])</f>
        <v>3373</v>
      </c>
      <c r="N109" s="21">
        <f>LEN(TRIM(CLEAN(SUBSTITUTE(ProjTextTable[[#This Row],[text]],CHAR(10)," "))))+1 - LEN(SUBSTITUTE(CLEAN(SUBSTITUTE(ProjTextTable[[#This Row],[text]],CHAR(10)," "))," ",""))</f>
        <v>504</v>
      </c>
      <c r="O109" t="s">
        <v>197</v>
      </c>
      <c r="P109" t="s">
        <v>806</v>
      </c>
    </row>
    <row r="110" spans="1:16">
      <c r="A110">
        <f t="shared" si="1"/>
        <v>18</v>
      </c>
      <c r="B110" t="s">
        <v>800</v>
      </c>
      <c r="C110" t="s">
        <v>354</v>
      </c>
      <c r="D110" t="s">
        <v>196</v>
      </c>
      <c r="E110" t="s">
        <v>596</v>
      </c>
      <c r="F110" t="s">
        <v>749</v>
      </c>
      <c r="G110" t="s">
        <v>750</v>
      </c>
      <c r="H110" t="s">
        <v>751</v>
      </c>
      <c r="I110" t="s">
        <v>259</v>
      </c>
      <c r="J110" t="s">
        <v>176</v>
      </c>
      <c r="K110" s="30">
        <v>43042</v>
      </c>
      <c r="L110" s="8">
        <v>43035.016527777778</v>
      </c>
      <c r="M110" s="21">
        <f>LEN(ProjTextTable[[#This Row],[text]])</f>
        <v>1684</v>
      </c>
      <c r="N110" s="21">
        <f>LEN(TRIM(CLEAN(SUBSTITUTE(ProjTextTable[[#This Row],[text]],CHAR(10)," "))))+1 - LEN(SUBSTITUTE(CLEAN(SUBSTITUTE(ProjTextTable[[#This Row],[text]],CHAR(10)," "))," ",""))</f>
        <v>258</v>
      </c>
      <c r="O110" t="s">
        <v>205</v>
      </c>
      <c r="P110" t="s">
        <v>807</v>
      </c>
    </row>
    <row r="111" spans="1:16">
      <c r="A111">
        <f t="shared" si="1"/>
        <v>18</v>
      </c>
      <c r="B111" t="s">
        <v>800</v>
      </c>
      <c r="C111" t="s">
        <v>354</v>
      </c>
      <c r="D111" t="s">
        <v>196</v>
      </c>
      <c r="E111" t="s">
        <v>596</v>
      </c>
      <c r="F111" t="s">
        <v>753</v>
      </c>
      <c r="G111" t="s">
        <v>754</v>
      </c>
      <c r="H111" t="s">
        <v>755</v>
      </c>
      <c r="I111" t="s">
        <v>259</v>
      </c>
      <c r="J111" t="s">
        <v>176</v>
      </c>
      <c r="K111" s="30">
        <v>43042</v>
      </c>
      <c r="L111" s="8">
        <v>43040.90934027778</v>
      </c>
      <c r="M111" s="21">
        <f>LEN(ProjTextTable[[#This Row],[text]])</f>
        <v>4428</v>
      </c>
      <c r="N111" s="21">
        <f>LEN(TRIM(CLEAN(SUBSTITUTE(ProjTextTable[[#This Row],[text]],CHAR(10)," "))))+1 - LEN(SUBSTITUTE(CLEAN(SUBSTITUTE(ProjTextTable[[#This Row],[text]],CHAR(10)," "))," ",""))</f>
        <v>668</v>
      </c>
      <c r="O111" t="s">
        <v>197</v>
      </c>
      <c r="P111" t="s">
        <v>808</v>
      </c>
    </row>
    <row r="112" spans="1:16">
      <c r="A112">
        <f t="shared" si="1"/>
        <v>18</v>
      </c>
      <c r="B112" t="s">
        <v>800</v>
      </c>
      <c r="C112" t="s">
        <v>354</v>
      </c>
      <c r="D112" t="s">
        <v>198</v>
      </c>
      <c r="E112" t="s">
        <v>596</v>
      </c>
      <c r="F112" t="s">
        <v>13</v>
      </c>
      <c r="G112" t="s">
        <v>13</v>
      </c>
      <c r="H112" t="s">
        <v>13</v>
      </c>
      <c r="K112" s="30"/>
      <c r="L112" s="8">
        <v>42936.043344907404</v>
      </c>
      <c r="M112" s="21">
        <f>LEN(ProjTextTable[[#This Row],[text]])</f>
        <v>4263</v>
      </c>
      <c r="N112" s="21">
        <f>LEN(TRIM(CLEAN(SUBSTITUTE(ProjTextTable[[#This Row],[text]],CHAR(10)," "))))+1 - LEN(SUBSTITUTE(CLEAN(SUBSTITUTE(ProjTextTable[[#This Row],[text]],CHAR(10)," "))," ",""))</f>
        <v>566</v>
      </c>
      <c r="O112" t="s">
        <v>13</v>
      </c>
      <c r="P112" t="s">
        <v>809</v>
      </c>
    </row>
    <row r="113" spans="1:16">
      <c r="A113">
        <f t="shared" si="1"/>
        <v>19</v>
      </c>
      <c r="B113" t="s">
        <v>810</v>
      </c>
      <c r="C113" t="s">
        <v>811</v>
      </c>
      <c r="D113" t="s">
        <v>207</v>
      </c>
      <c r="E113" t="s">
        <v>705</v>
      </c>
      <c r="F113" t="s">
        <v>706</v>
      </c>
      <c r="G113" t="s">
        <v>707</v>
      </c>
      <c r="H113" t="s">
        <v>386</v>
      </c>
      <c r="I113" t="s">
        <v>202</v>
      </c>
      <c r="K113" s="30">
        <v>43041</v>
      </c>
      <c r="L113" s="8"/>
      <c r="M113" s="21">
        <f>LEN(ProjTextTable[[#This Row],[text]])</f>
        <v>3064</v>
      </c>
      <c r="N113" s="21">
        <f>LEN(TRIM(CLEAN(SUBSTITUTE(ProjTextTable[[#This Row],[text]],CHAR(10)," "))))+1 - LEN(SUBSTITUTE(CLEAN(SUBSTITUTE(ProjTextTable[[#This Row],[text]],CHAR(10)," "))," ",""))</f>
        <v>452</v>
      </c>
      <c r="O113" t="s">
        <v>359</v>
      </c>
      <c r="P113" t="s">
        <v>812</v>
      </c>
    </row>
    <row r="114" spans="1:16">
      <c r="A114">
        <f t="shared" si="1"/>
        <v>19</v>
      </c>
      <c r="B114" t="s">
        <v>810</v>
      </c>
      <c r="C114" t="s">
        <v>811</v>
      </c>
      <c r="D114" t="s">
        <v>196</v>
      </c>
      <c r="E114" t="s">
        <v>596</v>
      </c>
      <c r="F114" t="s">
        <v>802</v>
      </c>
      <c r="G114" t="s">
        <v>803</v>
      </c>
      <c r="H114" t="s">
        <v>804</v>
      </c>
      <c r="I114" t="s">
        <v>259</v>
      </c>
      <c r="J114" t="s">
        <v>176</v>
      </c>
      <c r="K114" s="30">
        <v>43042</v>
      </c>
      <c r="L114" s="8">
        <v>43041.169502314813</v>
      </c>
      <c r="M114" s="21">
        <f>LEN(ProjTextTable[[#This Row],[text]])</f>
        <v>3501</v>
      </c>
      <c r="N114" s="21">
        <f>LEN(TRIM(CLEAN(SUBSTITUTE(ProjTextTable[[#This Row],[text]],CHAR(10)," "))))+1 - LEN(SUBSTITUTE(CLEAN(SUBSTITUTE(ProjTextTable[[#This Row],[text]],CHAR(10)," "))," ",""))</f>
        <v>514</v>
      </c>
      <c r="O114" t="s">
        <v>203</v>
      </c>
      <c r="P114" t="s">
        <v>813</v>
      </c>
    </row>
    <row r="115" spans="1:16">
      <c r="A115">
        <f t="shared" si="1"/>
        <v>19</v>
      </c>
      <c r="B115" t="s">
        <v>810</v>
      </c>
      <c r="C115" t="s">
        <v>811</v>
      </c>
      <c r="D115" t="s">
        <v>196</v>
      </c>
      <c r="E115" t="s">
        <v>596</v>
      </c>
      <c r="F115" t="s">
        <v>782</v>
      </c>
      <c r="G115" t="s">
        <v>783</v>
      </c>
      <c r="H115" t="s">
        <v>784</v>
      </c>
      <c r="I115" t="s">
        <v>259</v>
      </c>
      <c r="J115" t="s">
        <v>176</v>
      </c>
      <c r="K115" s="30">
        <v>43042</v>
      </c>
      <c r="L115" s="8">
        <v>43041.68959490741</v>
      </c>
      <c r="M115" s="21">
        <f>LEN(ProjTextTable[[#This Row],[text]])</f>
        <v>1743</v>
      </c>
      <c r="N115" s="21">
        <f>LEN(TRIM(CLEAN(SUBSTITUTE(ProjTextTable[[#This Row],[text]],CHAR(10)," "))))+1 - LEN(SUBSTITUTE(CLEAN(SUBSTITUTE(ProjTextTable[[#This Row],[text]],CHAR(10)," "))," ",""))</f>
        <v>255</v>
      </c>
      <c r="O115" t="s">
        <v>205</v>
      </c>
      <c r="P115" t="s">
        <v>814</v>
      </c>
    </row>
    <row r="116" spans="1:16">
      <c r="A116">
        <f t="shared" si="1"/>
        <v>19</v>
      </c>
      <c r="B116" t="s">
        <v>810</v>
      </c>
      <c r="C116" t="s">
        <v>811</v>
      </c>
      <c r="D116" t="s">
        <v>196</v>
      </c>
      <c r="E116" t="s">
        <v>596</v>
      </c>
      <c r="F116" t="s">
        <v>815</v>
      </c>
      <c r="G116" t="s">
        <v>816</v>
      </c>
      <c r="H116" t="s">
        <v>817</v>
      </c>
      <c r="I116" t="s">
        <v>259</v>
      </c>
      <c r="J116" t="s">
        <v>176</v>
      </c>
      <c r="K116" s="30">
        <v>43042</v>
      </c>
      <c r="L116" s="8">
        <v>43041.706631944442</v>
      </c>
      <c r="M116" s="21">
        <f>LEN(ProjTextTable[[#This Row],[text]])</f>
        <v>2942</v>
      </c>
      <c r="N116" s="21">
        <f>LEN(TRIM(CLEAN(SUBSTITUTE(ProjTextTable[[#This Row],[text]],CHAR(10)," "))))+1 - LEN(SUBSTITUTE(CLEAN(SUBSTITUTE(ProjTextTable[[#This Row],[text]],CHAR(10)," "))," ",""))</f>
        <v>435</v>
      </c>
      <c r="O116" t="s">
        <v>197</v>
      </c>
      <c r="P116" t="s">
        <v>818</v>
      </c>
    </row>
    <row r="117" spans="1:16">
      <c r="A117">
        <f t="shared" si="1"/>
        <v>19</v>
      </c>
      <c r="B117" t="s">
        <v>810</v>
      </c>
      <c r="C117" t="s">
        <v>811</v>
      </c>
      <c r="D117" t="s">
        <v>196</v>
      </c>
      <c r="E117" t="s">
        <v>596</v>
      </c>
      <c r="F117" t="s">
        <v>720</v>
      </c>
      <c r="G117" t="s">
        <v>721</v>
      </c>
      <c r="H117" t="s">
        <v>722</v>
      </c>
      <c r="I117" t="s">
        <v>259</v>
      </c>
      <c r="J117" t="s">
        <v>176</v>
      </c>
      <c r="K117" s="30">
        <v>43042</v>
      </c>
      <c r="L117" s="8">
        <v>43042.375671296293</v>
      </c>
      <c r="M117" s="21">
        <f>LEN(ProjTextTable[[#This Row],[text]])</f>
        <v>6626</v>
      </c>
      <c r="N117" s="21">
        <f>LEN(TRIM(CLEAN(SUBSTITUTE(ProjTextTable[[#This Row],[text]],CHAR(10)," "))))+1 - LEN(SUBSTITUTE(CLEAN(SUBSTITUTE(ProjTextTable[[#This Row],[text]],CHAR(10)," "))," ",""))</f>
        <v>1017</v>
      </c>
      <c r="O117" t="s">
        <v>218</v>
      </c>
      <c r="P117" t="s">
        <v>819</v>
      </c>
    </row>
    <row r="118" spans="1:16">
      <c r="A118">
        <f t="shared" si="1"/>
        <v>20</v>
      </c>
      <c r="B118" t="s">
        <v>820</v>
      </c>
      <c r="C118" t="s">
        <v>489</v>
      </c>
      <c r="D118" t="s">
        <v>207</v>
      </c>
      <c r="E118" t="s">
        <v>705</v>
      </c>
      <c r="F118" t="s">
        <v>706</v>
      </c>
      <c r="G118" t="s">
        <v>707</v>
      </c>
      <c r="H118" t="s">
        <v>255</v>
      </c>
      <c r="I118" t="s">
        <v>195</v>
      </c>
      <c r="K118" s="30">
        <v>43041</v>
      </c>
      <c r="L118" s="8"/>
      <c r="M118" s="21">
        <f>LEN(ProjTextTable[[#This Row],[text]])</f>
        <v>2732</v>
      </c>
      <c r="N118" s="21">
        <f>LEN(TRIM(CLEAN(SUBSTITUTE(ProjTextTable[[#This Row],[text]],CHAR(10)," "))))+1 - LEN(SUBSTITUTE(CLEAN(SUBSTITUTE(ProjTextTable[[#This Row],[text]],CHAR(10)," "))," ",""))</f>
        <v>416</v>
      </c>
      <c r="O118" t="s">
        <v>254</v>
      </c>
      <c r="P118" t="s">
        <v>821</v>
      </c>
    </row>
    <row r="119" spans="1:16">
      <c r="A119">
        <f t="shared" si="1"/>
        <v>20</v>
      </c>
      <c r="B119" t="s">
        <v>820</v>
      </c>
      <c r="C119" t="s">
        <v>489</v>
      </c>
      <c r="D119" t="s">
        <v>196</v>
      </c>
      <c r="E119" t="s">
        <v>596</v>
      </c>
      <c r="F119" t="s">
        <v>709</v>
      </c>
      <c r="G119" t="s">
        <v>710</v>
      </c>
      <c r="H119" t="s">
        <v>711</v>
      </c>
      <c r="I119" t="s">
        <v>259</v>
      </c>
      <c r="J119" t="s">
        <v>176</v>
      </c>
      <c r="K119" s="30">
        <v>43042</v>
      </c>
      <c r="L119" s="8">
        <v>43042.432280092595</v>
      </c>
      <c r="M119" s="21">
        <f>LEN(ProjTextTable[[#This Row],[text]])</f>
        <v>2372</v>
      </c>
      <c r="N119" s="21">
        <f>LEN(TRIM(CLEAN(SUBSTITUTE(ProjTextTable[[#This Row],[text]],CHAR(10)," "))))+1 - LEN(SUBSTITUTE(CLEAN(SUBSTITUTE(ProjTextTable[[#This Row],[text]],CHAR(10)," "))," ",""))</f>
        <v>364</v>
      </c>
      <c r="O119" t="s">
        <v>205</v>
      </c>
      <c r="P119" t="s">
        <v>822</v>
      </c>
    </row>
    <row r="120" spans="1:16">
      <c r="A120">
        <f t="shared" si="1"/>
        <v>20</v>
      </c>
      <c r="B120" t="s">
        <v>820</v>
      </c>
      <c r="C120" t="s">
        <v>489</v>
      </c>
      <c r="D120" t="s">
        <v>196</v>
      </c>
      <c r="E120" t="s">
        <v>596</v>
      </c>
      <c r="F120" t="s">
        <v>713</v>
      </c>
      <c r="G120" t="s">
        <v>714</v>
      </c>
      <c r="H120" t="s">
        <v>715</v>
      </c>
      <c r="I120" t="s">
        <v>259</v>
      </c>
      <c r="J120" t="s">
        <v>176</v>
      </c>
      <c r="K120" s="30">
        <v>43042</v>
      </c>
      <c r="L120" s="8">
        <v>43040.720532407409</v>
      </c>
      <c r="M120" s="21">
        <f>LEN(ProjTextTable[[#This Row],[text]])</f>
        <v>2192</v>
      </c>
      <c r="N120" s="21">
        <f>LEN(TRIM(CLEAN(SUBSTITUTE(ProjTextTable[[#This Row],[text]],CHAR(10)," "))))+1 - LEN(SUBSTITUTE(CLEAN(SUBSTITUTE(ProjTextTable[[#This Row],[text]],CHAR(10)," "))," ",""))</f>
        <v>331</v>
      </c>
      <c r="O120" t="s">
        <v>197</v>
      </c>
      <c r="P120" t="s">
        <v>823</v>
      </c>
    </row>
    <row r="121" spans="1:16">
      <c r="A121">
        <f t="shared" si="1"/>
        <v>20</v>
      </c>
      <c r="B121" t="s">
        <v>820</v>
      </c>
      <c r="C121" t="s">
        <v>489</v>
      </c>
      <c r="D121" t="s">
        <v>196</v>
      </c>
      <c r="E121" t="s">
        <v>596</v>
      </c>
      <c r="F121" t="s">
        <v>824</v>
      </c>
      <c r="G121" t="s">
        <v>825</v>
      </c>
      <c r="H121" t="s">
        <v>826</v>
      </c>
      <c r="I121" t="s">
        <v>259</v>
      </c>
      <c r="J121" t="s">
        <v>176</v>
      </c>
      <c r="K121" s="30">
        <v>43042</v>
      </c>
      <c r="L121" s="8">
        <v>43041.352175925924</v>
      </c>
      <c r="M121" s="21">
        <f>LEN(ProjTextTable[[#This Row],[text]])</f>
        <v>2489</v>
      </c>
      <c r="N121" s="21">
        <f>LEN(TRIM(CLEAN(SUBSTITUTE(ProjTextTable[[#This Row],[text]],CHAR(10)," "))))+1 - LEN(SUBSTITUTE(CLEAN(SUBSTITUTE(ProjTextTable[[#This Row],[text]],CHAR(10)," "))," ",""))</f>
        <v>366</v>
      </c>
      <c r="O121" t="s">
        <v>197</v>
      </c>
      <c r="P121" t="s">
        <v>827</v>
      </c>
    </row>
    <row r="122" spans="1:16">
      <c r="A122">
        <f t="shared" si="1"/>
        <v>20</v>
      </c>
      <c r="B122" t="s">
        <v>820</v>
      </c>
      <c r="C122" t="s">
        <v>489</v>
      </c>
      <c r="D122" t="s">
        <v>196</v>
      </c>
      <c r="E122" t="s">
        <v>596</v>
      </c>
      <c r="F122" t="s">
        <v>720</v>
      </c>
      <c r="G122" t="s">
        <v>721</v>
      </c>
      <c r="H122" t="s">
        <v>722</v>
      </c>
      <c r="I122" t="s">
        <v>259</v>
      </c>
      <c r="J122" t="s">
        <v>176</v>
      </c>
      <c r="K122" s="30">
        <v>43042</v>
      </c>
      <c r="L122" s="8">
        <v>43041.011643518519</v>
      </c>
      <c r="M122" s="21">
        <f>LEN(ProjTextTable[[#This Row],[text]])</f>
        <v>6002</v>
      </c>
      <c r="N122" s="21">
        <f>LEN(TRIM(CLEAN(SUBSTITUTE(ProjTextTable[[#This Row],[text]],CHAR(10)," "))))+1 - LEN(SUBSTITUTE(CLEAN(SUBSTITUTE(ProjTextTable[[#This Row],[text]],CHAR(10)," "))," ",""))</f>
        <v>947</v>
      </c>
      <c r="O122" t="s">
        <v>203</v>
      </c>
      <c r="P122" t="s">
        <v>828</v>
      </c>
    </row>
    <row r="123" spans="1:16">
      <c r="A123">
        <f t="shared" si="1"/>
        <v>20</v>
      </c>
      <c r="B123" t="s">
        <v>820</v>
      </c>
      <c r="C123" t="s">
        <v>489</v>
      </c>
      <c r="D123" t="s">
        <v>198</v>
      </c>
      <c r="E123" t="s">
        <v>596</v>
      </c>
      <c r="F123" t="s">
        <v>13</v>
      </c>
      <c r="G123" t="s">
        <v>13</v>
      </c>
      <c r="H123" t="s">
        <v>13</v>
      </c>
      <c r="K123" s="30"/>
      <c r="L123" s="8">
        <v>42936.04347222222</v>
      </c>
      <c r="M123" s="21">
        <f>LEN(ProjTextTable[[#This Row],[text]])</f>
        <v>4365</v>
      </c>
      <c r="N123" s="21">
        <f>LEN(TRIM(CLEAN(SUBSTITUTE(ProjTextTable[[#This Row],[text]],CHAR(10)," "))))+1 - LEN(SUBSTITUTE(CLEAN(SUBSTITUTE(ProjTextTable[[#This Row],[text]],CHAR(10)," "))," ",""))</f>
        <v>634</v>
      </c>
      <c r="O123" t="s">
        <v>13</v>
      </c>
      <c r="P123" t="s">
        <v>829</v>
      </c>
    </row>
    <row r="124" spans="1:16">
      <c r="A124">
        <f t="shared" si="1"/>
        <v>21</v>
      </c>
      <c r="B124" t="s">
        <v>830</v>
      </c>
      <c r="C124" t="s">
        <v>347</v>
      </c>
      <c r="D124" t="s">
        <v>207</v>
      </c>
      <c r="E124" t="s">
        <v>705</v>
      </c>
      <c r="F124" t="s">
        <v>706</v>
      </c>
      <c r="G124" t="s">
        <v>707</v>
      </c>
      <c r="H124" t="s">
        <v>210</v>
      </c>
      <c r="I124" t="s">
        <v>199</v>
      </c>
      <c r="J124" t="s">
        <v>202</v>
      </c>
      <c r="K124" s="30">
        <v>43041</v>
      </c>
      <c r="L124" s="8"/>
      <c r="M124" s="21">
        <f>LEN(ProjTextTable[[#This Row],[text]])</f>
        <v>3172</v>
      </c>
      <c r="N124" s="21">
        <f>LEN(TRIM(CLEAN(SUBSTITUTE(ProjTextTable[[#This Row],[text]],CHAR(10)," "))))+1 - LEN(SUBSTITUTE(CLEAN(SUBSTITUTE(ProjTextTable[[#This Row],[text]],CHAR(10)," "))," ",""))</f>
        <v>466</v>
      </c>
      <c r="O124" t="s">
        <v>211</v>
      </c>
      <c r="P124" t="s">
        <v>831</v>
      </c>
    </row>
    <row r="125" spans="1:16">
      <c r="A125">
        <f t="shared" si="1"/>
        <v>21</v>
      </c>
      <c r="B125" t="s">
        <v>830</v>
      </c>
      <c r="C125" t="s">
        <v>347</v>
      </c>
      <c r="D125" t="s">
        <v>196</v>
      </c>
      <c r="E125" t="s">
        <v>596</v>
      </c>
      <c r="F125" t="s">
        <v>782</v>
      </c>
      <c r="G125" t="s">
        <v>783</v>
      </c>
      <c r="H125" t="s">
        <v>784</v>
      </c>
      <c r="I125" t="s">
        <v>259</v>
      </c>
      <c r="J125" t="s">
        <v>176</v>
      </c>
      <c r="K125" s="30">
        <v>43042</v>
      </c>
      <c r="L125" s="8">
        <v>43039.90766203704</v>
      </c>
      <c r="M125" s="21">
        <f>LEN(ProjTextTable[[#This Row],[text]])</f>
        <v>1593</v>
      </c>
      <c r="N125" s="21">
        <f>LEN(TRIM(CLEAN(SUBSTITUTE(ProjTextTable[[#This Row],[text]],CHAR(10)," "))))+1 - LEN(SUBSTITUTE(CLEAN(SUBSTITUTE(ProjTextTable[[#This Row],[text]],CHAR(10)," "))," ",""))</f>
        <v>235</v>
      </c>
      <c r="O125" t="s">
        <v>197</v>
      </c>
      <c r="P125" t="s">
        <v>832</v>
      </c>
    </row>
    <row r="126" spans="1:16">
      <c r="A126">
        <f t="shared" si="1"/>
        <v>21</v>
      </c>
      <c r="B126" t="s">
        <v>830</v>
      </c>
      <c r="C126" t="s">
        <v>347</v>
      </c>
      <c r="D126" t="s">
        <v>196</v>
      </c>
      <c r="E126" t="s">
        <v>596</v>
      </c>
      <c r="F126" t="s">
        <v>735</v>
      </c>
      <c r="G126" t="s">
        <v>736</v>
      </c>
      <c r="H126" t="s">
        <v>737</v>
      </c>
      <c r="I126" t="s">
        <v>259</v>
      </c>
      <c r="J126" t="s">
        <v>176</v>
      </c>
      <c r="K126" s="30">
        <v>43042</v>
      </c>
      <c r="L126" s="8">
        <v>43042.371631944443</v>
      </c>
      <c r="M126" s="21">
        <f>LEN(ProjTextTable[[#This Row],[text]])</f>
        <v>3764</v>
      </c>
      <c r="N126" s="21">
        <f>LEN(TRIM(CLEAN(SUBSTITUTE(ProjTextTable[[#This Row],[text]],CHAR(10)," "))))+1 - LEN(SUBSTITUTE(CLEAN(SUBSTITUTE(ProjTextTable[[#This Row],[text]],CHAR(10)," "))," ",""))</f>
        <v>559</v>
      </c>
      <c r="O126" t="s">
        <v>204</v>
      </c>
      <c r="P126" t="s">
        <v>833</v>
      </c>
    </row>
    <row r="127" spans="1:16">
      <c r="A127">
        <f t="shared" si="1"/>
        <v>21</v>
      </c>
      <c r="B127" t="s">
        <v>830</v>
      </c>
      <c r="C127" t="s">
        <v>347</v>
      </c>
      <c r="D127" t="s">
        <v>196</v>
      </c>
      <c r="E127" t="s">
        <v>596</v>
      </c>
      <c r="F127" t="s">
        <v>815</v>
      </c>
      <c r="G127" t="s">
        <v>816</v>
      </c>
      <c r="H127" t="s">
        <v>817</v>
      </c>
      <c r="I127" t="s">
        <v>259</v>
      </c>
      <c r="J127" t="s">
        <v>176</v>
      </c>
      <c r="K127" s="30">
        <v>43042</v>
      </c>
      <c r="L127" s="8">
        <v>43041.505497685182</v>
      </c>
      <c r="M127" s="21">
        <f>LEN(ProjTextTable[[#This Row],[text]])</f>
        <v>2557</v>
      </c>
      <c r="N127" s="21">
        <f>LEN(TRIM(CLEAN(SUBSTITUTE(ProjTextTable[[#This Row],[text]],CHAR(10)," "))))+1 - LEN(SUBSTITUTE(CLEAN(SUBSTITUTE(ProjTextTable[[#This Row],[text]],CHAR(10)," "))," ",""))</f>
        <v>354</v>
      </c>
      <c r="O127" t="s">
        <v>197</v>
      </c>
      <c r="P127" t="s">
        <v>834</v>
      </c>
    </row>
    <row r="128" spans="1:16">
      <c r="A128">
        <f t="shared" si="1"/>
        <v>21</v>
      </c>
      <c r="B128" t="s">
        <v>830</v>
      </c>
      <c r="C128" t="s">
        <v>347</v>
      </c>
      <c r="D128" t="s">
        <v>196</v>
      </c>
      <c r="E128" t="s">
        <v>596</v>
      </c>
      <c r="F128" t="s">
        <v>753</v>
      </c>
      <c r="G128" t="s">
        <v>754</v>
      </c>
      <c r="H128" t="s">
        <v>755</v>
      </c>
      <c r="I128" t="s">
        <v>259</v>
      </c>
      <c r="J128" t="s">
        <v>176</v>
      </c>
      <c r="K128" s="30">
        <v>43042</v>
      </c>
      <c r="L128" s="8">
        <v>43040.913310185184</v>
      </c>
      <c r="M128" s="21">
        <f>LEN(ProjTextTable[[#This Row],[text]])</f>
        <v>4045</v>
      </c>
      <c r="N128" s="21">
        <f>LEN(TRIM(CLEAN(SUBSTITUTE(ProjTextTable[[#This Row],[text]],CHAR(10)," "))))+1 - LEN(SUBSTITUTE(CLEAN(SUBSTITUTE(ProjTextTable[[#This Row],[text]],CHAR(10)," "))," ",""))</f>
        <v>589</v>
      </c>
      <c r="O128" t="s">
        <v>201</v>
      </c>
      <c r="P128" t="s">
        <v>835</v>
      </c>
    </row>
    <row r="129" spans="1:16">
      <c r="A129">
        <f t="shared" si="1"/>
        <v>21</v>
      </c>
      <c r="B129" t="s">
        <v>830</v>
      </c>
      <c r="C129" t="s">
        <v>347</v>
      </c>
      <c r="D129" t="s">
        <v>198</v>
      </c>
      <c r="E129" t="s">
        <v>596</v>
      </c>
      <c r="F129" t="s">
        <v>13</v>
      </c>
      <c r="G129" t="s">
        <v>13</v>
      </c>
      <c r="H129" t="s">
        <v>13</v>
      </c>
      <c r="K129" s="30"/>
      <c r="L129" s="8">
        <v>42936.043622685182</v>
      </c>
      <c r="M129" s="21">
        <f>LEN(ProjTextTable[[#This Row],[text]])</f>
        <v>4539</v>
      </c>
      <c r="N129" s="21">
        <f>LEN(TRIM(CLEAN(SUBSTITUTE(ProjTextTable[[#This Row],[text]],CHAR(10)," "))))+1 - LEN(SUBSTITUTE(CLEAN(SUBSTITUTE(ProjTextTable[[#This Row],[text]],CHAR(10)," "))," ",""))</f>
        <v>637</v>
      </c>
      <c r="O129" t="s">
        <v>13</v>
      </c>
      <c r="P129" t="s">
        <v>836</v>
      </c>
    </row>
    <row r="130" spans="1:16">
      <c r="A130">
        <f t="shared" ref="A130:A193" si="2">A129+(B130&lt;&gt;B129)</f>
        <v>22</v>
      </c>
      <c r="B130" t="s">
        <v>837</v>
      </c>
      <c r="C130" t="s">
        <v>838</v>
      </c>
      <c r="D130" t="s">
        <v>207</v>
      </c>
      <c r="E130" t="s">
        <v>705</v>
      </c>
      <c r="F130" t="s">
        <v>706</v>
      </c>
      <c r="G130" t="s">
        <v>707</v>
      </c>
      <c r="H130" t="s">
        <v>255</v>
      </c>
      <c r="I130" t="s">
        <v>195</v>
      </c>
      <c r="K130" s="30">
        <v>43041</v>
      </c>
      <c r="L130" s="8"/>
      <c r="M130" s="21">
        <f>LEN(ProjTextTable[[#This Row],[text]])</f>
        <v>3779</v>
      </c>
      <c r="N130" s="21">
        <f>LEN(TRIM(CLEAN(SUBSTITUTE(ProjTextTable[[#This Row],[text]],CHAR(10)," "))))+1 - LEN(SUBSTITUTE(CLEAN(SUBSTITUTE(ProjTextTable[[#This Row],[text]],CHAR(10)," "))," ",""))</f>
        <v>568</v>
      </c>
      <c r="O130" t="s">
        <v>254</v>
      </c>
      <c r="P130" t="s">
        <v>839</v>
      </c>
    </row>
    <row r="131" spans="1:16">
      <c r="A131">
        <f t="shared" si="2"/>
        <v>22</v>
      </c>
      <c r="B131" t="s">
        <v>837</v>
      </c>
      <c r="C131" t="s">
        <v>838</v>
      </c>
      <c r="D131" t="s">
        <v>196</v>
      </c>
      <c r="E131" t="s">
        <v>596</v>
      </c>
      <c r="F131" t="s">
        <v>744</v>
      </c>
      <c r="G131" t="s">
        <v>745</v>
      </c>
      <c r="H131" t="s">
        <v>746</v>
      </c>
      <c r="I131" t="s">
        <v>259</v>
      </c>
      <c r="J131" t="s">
        <v>176</v>
      </c>
      <c r="K131" s="30">
        <v>43042</v>
      </c>
      <c r="L131" s="8">
        <v>43040.285451388889</v>
      </c>
      <c r="M131" s="21">
        <f>LEN(ProjTextTable[[#This Row],[text]])</f>
        <v>2857</v>
      </c>
      <c r="N131" s="21">
        <f>LEN(TRIM(CLEAN(SUBSTITUTE(ProjTextTable[[#This Row],[text]],CHAR(10)," "))))+1 - LEN(SUBSTITUTE(CLEAN(SUBSTITUTE(ProjTextTable[[#This Row],[text]],CHAR(10)," "))," ",""))</f>
        <v>422</v>
      </c>
      <c r="O131" t="s">
        <v>205</v>
      </c>
      <c r="P131" t="s">
        <v>840</v>
      </c>
    </row>
    <row r="132" spans="1:16">
      <c r="A132">
        <f t="shared" si="2"/>
        <v>22</v>
      </c>
      <c r="B132" t="s">
        <v>837</v>
      </c>
      <c r="C132" t="s">
        <v>838</v>
      </c>
      <c r="D132" t="s">
        <v>196</v>
      </c>
      <c r="E132" t="s">
        <v>596</v>
      </c>
      <c r="F132" t="s">
        <v>732</v>
      </c>
      <c r="G132" t="s">
        <v>349</v>
      </c>
      <c r="H132" t="s">
        <v>733</v>
      </c>
      <c r="I132" t="s">
        <v>259</v>
      </c>
      <c r="J132" t="s">
        <v>176</v>
      </c>
      <c r="K132" s="30">
        <v>43042</v>
      </c>
      <c r="L132" s="8">
        <v>43036.560324074075</v>
      </c>
      <c r="M132" s="21">
        <f>LEN(ProjTextTable[[#This Row],[text]])</f>
        <v>3952</v>
      </c>
      <c r="N132" s="21">
        <f>LEN(TRIM(CLEAN(SUBSTITUTE(ProjTextTable[[#This Row],[text]],CHAR(10)," "))))+1 - LEN(SUBSTITUTE(CLEAN(SUBSTITUTE(ProjTextTable[[#This Row],[text]],CHAR(10)," "))," ",""))</f>
        <v>602</v>
      </c>
      <c r="O132" t="s">
        <v>197</v>
      </c>
      <c r="P132" t="s">
        <v>841</v>
      </c>
    </row>
    <row r="133" spans="1:16">
      <c r="A133">
        <f t="shared" si="2"/>
        <v>22</v>
      </c>
      <c r="B133" t="s">
        <v>837</v>
      </c>
      <c r="C133" t="s">
        <v>838</v>
      </c>
      <c r="D133" t="s">
        <v>196</v>
      </c>
      <c r="E133" t="s">
        <v>596</v>
      </c>
      <c r="F133" t="s">
        <v>815</v>
      </c>
      <c r="G133" t="s">
        <v>816</v>
      </c>
      <c r="H133" t="s">
        <v>817</v>
      </c>
      <c r="I133" t="s">
        <v>259</v>
      </c>
      <c r="J133" t="s">
        <v>176</v>
      </c>
      <c r="K133" s="30">
        <v>43042</v>
      </c>
      <c r="L133" s="8">
        <v>43041.373414351852</v>
      </c>
      <c r="M133" s="21">
        <f>LEN(ProjTextTable[[#This Row],[text]])</f>
        <v>3009</v>
      </c>
      <c r="N133" s="21">
        <f>LEN(TRIM(CLEAN(SUBSTITUTE(ProjTextTable[[#This Row],[text]],CHAR(10)," "))))+1 - LEN(SUBSTITUTE(CLEAN(SUBSTITUTE(ProjTextTable[[#This Row],[text]],CHAR(10)," "))," ",""))</f>
        <v>436</v>
      </c>
      <c r="O133" t="s">
        <v>197</v>
      </c>
      <c r="P133" t="s">
        <v>842</v>
      </c>
    </row>
    <row r="134" spans="1:16">
      <c r="A134">
        <f t="shared" si="2"/>
        <v>22</v>
      </c>
      <c r="B134" t="s">
        <v>837</v>
      </c>
      <c r="C134" t="s">
        <v>838</v>
      </c>
      <c r="D134" t="s">
        <v>196</v>
      </c>
      <c r="E134" t="s">
        <v>596</v>
      </c>
      <c r="F134" t="s">
        <v>753</v>
      </c>
      <c r="G134" t="s">
        <v>754</v>
      </c>
      <c r="H134" t="s">
        <v>755</v>
      </c>
      <c r="I134" t="s">
        <v>259</v>
      </c>
      <c r="J134" t="s">
        <v>176</v>
      </c>
      <c r="K134" s="30">
        <v>43042</v>
      </c>
      <c r="L134" s="8">
        <v>43040.916712962964</v>
      </c>
      <c r="M134" s="21">
        <f>LEN(ProjTextTable[[#This Row],[text]])</f>
        <v>2786</v>
      </c>
      <c r="N134" s="21">
        <f>LEN(TRIM(CLEAN(SUBSTITUTE(ProjTextTable[[#This Row],[text]],CHAR(10)," "))))+1 - LEN(SUBSTITUTE(CLEAN(SUBSTITUTE(ProjTextTable[[#This Row],[text]],CHAR(10)," "))," ",""))</f>
        <v>418</v>
      </c>
      <c r="O134" t="s">
        <v>197</v>
      </c>
      <c r="P134" t="s">
        <v>843</v>
      </c>
    </row>
    <row r="135" spans="1:16">
      <c r="A135">
        <f t="shared" si="2"/>
        <v>22</v>
      </c>
      <c r="B135" t="s">
        <v>837</v>
      </c>
      <c r="C135" t="s">
        <v>838</v>
      </c>
      <c r="D135" t="s">
        <v>198</v>
      </c>
      <c r="E135" t="s">
        <v>596</v>
      </c>
      <c r="F135" t="s">
        <v>13</v>
      </c>
      <c r="G135" t="s">
        <v>13</v>
      </c>
      <c r="H135" t="s">
        <v>13</v>
      </c>
      <c r="K135" s="30"/>
      <c r="L135" s="8">
        <v>42936.043634259258</v>
      </c>
      <c r="M135" s="21">
        <f>LEN(ProjTextTable[[#This Row],[text]])</f>
        <v>3928</v>
      </c>
      <c r="N135" s="21">
        <f>LEN(TRIM(CLEAN(SUBSTITUTE(ProjTextTable[[#This Row],[text]],CHAR(10)," "))))+1 - LEN(SUBSTITUTE(CLEAN(SUBSTITUTE(ProjTextTable[[#This Row],[text]],CHAR(10)," "))," ",""))</f>
        <v>581</v>
      </c>
      <c r="O135" t="s">
        <v>13</v>
      </c>
      <c r="P135" t="s">
        <v>844</v>
      </c>
    </row>
    <row r="136" spans="1:16">
      <c r="A136">
        <f t="shared" si="2"/>
        <v>23</v>
      </c>
      <c r="B136" t="s">
        <v>845</v>
      </c>
      <c r="C136" t="s">
        <v>473</v>
      </c>
      <c r="D136" t="s">
        <v>207</v>
      </c>
      <c r="E136" t="s">
        <v>705</v>
      </c>
      <c r="F136" t="s">
        <v>706</v>
      </c>
      <c r="G136" t="s">
        <v>707</v>
      </c>
      <c r="H136" t="s">
        <v>210</v>
      </c>
      <c r="I136" t="s">
        <v>199</v>
      </c>
      <c r="J136" t="s">
        <v>258</v>
      </c>
      <c r="K136" s="30">
        <v>43041</v>
      </c>
      <c r="L136" s="8"/>
      <c r="M136" s="21">
        <f>LEN(ProjTextTable[[#This Row],[text]])</f>
        <v>2888</v>
      </c>
      <c r="N136" s="21">
        <f>LEN(TRIM(CLEAN(SUBSTITUTE(ProjTextTable[[#This Row],[text]],CHAR(10)," "))))+1 - LEN(SUBSTITUTE(CLEAN(SUBSTITUTE(ProjTextTable[[#This Row],[text]],CHAR(10)," "))," ",""))</f>
        <v>415</v>
      </c>
      <c r="O136" t="s">
        <v>211</v>
      </c>
      <c r="P136" t="s">
        <v>846</v>
      </c>
    </row>
    <row r="137" spans="1:16">
      <c r="A137">
        <f t="shared" si="2"/>
        <v>23</v>
      </c>
      <c r="B137" t="s">
        <v>845</v>
      </c>
      <c r="C137" t="s">
        <v>473</v>
      </c>
      <c r="D137" t="s">
        <v>196</v>
      </c>
      <c r="E137" t="s">
        <v>596</v>
      </c>
      <c r="F137" t="s">
        <v>749</v>
      </c>
      <c r="G137" t="s">
        <v>750</v>
      </c>
      <c r="H137" t="s">
        <v>751</v>
      </c>
      <c r="I137" t="s">
        <v>259</v>
      </c>
      <c r="J137" t="s">
        <v>176</v>
      </c>
      <c r="K137" s="30">
        <v>43042</v>
      </c>
      <c r="L137" s="8">
        <v>43035.016747685186</v>
      </c>
      <c r="M137" s="21">
        <f>LEN(ProjTextTable[[#This Row],[text]])</f>
        <v>1954</v>
      </c>
      <c r="N137" s="21">
        <f>LEN(TRIM(CLEAN(SUBSTITUTE(ProjTextTable[[#This Row],[text]],CHAR(10)," "))))+1 - LEN(SUBSTITUTE(CLEAN(SUBSTITUTE(ProjTextTable[[#This Row],[text]],CHAR(10)," "))," ",""))</f>
        <v>289</v>
      </c>
      <c r="O137" t="s">
        <v>205</v>
      </c>
      <c r="P137" t="s">
        <v>847</v>
      </c>
    </row>
    <row r="138" spans="1:16">
      <c r="A138">
        <f t="shared" si="2"/>
        <v>23</v>
      </c>
      <c r="B138" t="s">
        <v>845</v>
      </c>
      <c r="C138" t="s">
        <v>473</v>
      </c>
      <c r="D138" t="s">
        <v>196</v>
      </c>
      <c r="E138" t="s">
        <v>596</v>
      </c>
      <c r="F138" t="s">
        <v>732</v>
      </c>
      <c r="G138" t="s">
        <v>349</v>
      </c>
      <c r="H138" t="s">
        <v>733</v>
      </c>
      <c r="I138" t="s">
        <v>259</v>
      </c>
      <c r="J138" t="s">
        <v>176</v>
      </c>
      <c r="K138" s="30">
        <v>43042</v>
      </c>
      <c r="L138" s="8">
        <v>43036.571053240739</v>
      </c>
      <c r="M138" s="21">
        <f>LEN(ProjTextTable[[#This Row],[text]])</f>
        <v>1664</v>
      </c>
      <c r="N138" s="21">
        <f>LEN(TRIM(CLEAN(SUBSTITUTE(ProjTextTable[[#This Row],[text]],CHAR(10)," "))))+1 - LEN(SUBSTITUTE(CLEAN(SUBSTITUTE(ProjTextTable[[#This Row],[text]],CHAR(10)," "))," ",""))</f>
        <v>236</v>
      </c>
      <c r="O138" t="s">
        <v>257</v>
      </c>
      <c r="P138" t="s">
        <v>848</v>
      </c>
    </row>
    <row r="139" spans="1:16">
      <c r="A139">
        <f t="shared" si="2"/>
        <v>23</v>
      </c>
      <c r="B139" t="s">
        <v>845</v>
      </c>
      <c r="C139" t="s">
        <v>473</v>
      </c>
      <c r="D139" t="s">
        <v>196</v>
      </c>
      <c r="E139" t="s">
        <v>596</v>
      </c>
      <c r="F139" t="s">
        <v>824</v>
      </c>
      <c r="G139" t="s">
        <v>825</v>
      </c>
      <c r="H139" t="s">
        <v>826</v>
      </c>
      <c r="I139" t="s">
        <v>259</v>
      </c>
      <c r="J139" t="s">
        <v>176</v>
      </c>
      <c r="K139" s="30">
        <v>43042</v>
      </c>
      <c r="L139" s="8">
        <v>43041.699432870373</v>
      </c>
      <c r="M139" s="21">
        <f>LEN(ProjTextTable[[#This Row],[text]])</f>
        <v>2389</v>
      </c>
      <c r="N139" s="21">
        <f>LEN(TRIM(CLEAN(SUBSTITUTE(ProjTextTable[[#This Row],[text]],CHAR(10)," "))))+1 - LEN(SUBSTITUTE(CLEAN(SUBSTITUTE(ProjTextTable[[#This Row],[text]],CHAR(10)," "))," ",""))</f>
        <v>340</v>
      </c>
      <c r="O139" t="s">
        <v>204</v>
      </c>
      <c r="P139" t="s">
        <v>849</v>
      </c>
    </row>
    <row r="140" spans="1:16">
      <c r="A140">
        <f t="shared" si="2"/>
        <v>23</v>
      </c>
      <c r="B140" t="s">
        <v>845</v>
      </c>
      <c r="C140" t="s">
        <v>473</v>
      </c>
      <c r="D140" t="s">
        <v>196</v>
      </c>
      <c r="E140" t="s">
        <v>596</v>
      </c>
      <c r="F140" t="s">
        <v>753</v>
      </c>
      <c r="G140" t="s">
        <v>754</v>
      </c>
      <c r="H140" t="s">
        <v>755</v>
      </c>
      <c r="I140" t="s">
        <v>259</v>
      </c>
      <c r="J140" t="s">
        <v>176</v>
      </c>
      <c r="K140" s="30">
        <v>43042</v>
      </c>
      <c r="L140" s="8">
        <v>43041.64162037037</v>
      </c>
      <c r="M140" s="21">
        <f>LEN(ProjTextTable[[#This Row],[text]])</f>
        <v>2916</v>
      </c>
      <c r="N140" s="21">
        <f>LEN(TRIM(CLEAN(SUBSTITUTE(ProjTextTable[[#This Row],[text]],CHAR(10)," "))))+1 - LEN(SUBSTITUTE(CLEAN(SUBSTITUTE(ProjTextTable[[#This Row],[text]],CHAR(10)," "))," ",""))</f>
        <v>446</v>
      </c>
      <c r="O140" t="s">
        <v>197</v>
      </c>
      <c r="P140" t="s">
        <v>850</v>
      </c>
    </row>
    <row r="141" spans="1:16">
      <c r="A141">
        <f t="shared" si="2"/>
        <v>23</v>
      </c>
      <c r="B141" t="s">
        <v>845</v>
      </c>
      <c r="C141" t="s">
        <v>473</v>
      </c>
      <c r="D141" t="s">
        <v>198</v>
      </c>
      <c r="E141" t="s">
        <v>596</v>
      </c>
      <c r="F141" t="s">
        <v>13</v>
      </c>
      <c r="G141" t="s">
        <v>13</v>
      </c>
      <c r="H141" t="s">
        <v>13</v>
      </c>
      <c r="K141" s="30"/>
      <c r="L141" s="8">
        <v>42936.044120370374</v>
      </c>
      <c r="M141" s="21">
        <f>LEN(ProjTextTable[[#This Row],[text]])</f>
        <v>4063</v>
      </c>
      <c r="N141" s="21">
        <f>LEN(TRIM(CLEAN(SUBSTITUTE(ProjTextTable[[#This Row],[text]],CHAR(10)," "))))+1 - LEN(SUBSTITUTE(CLEAN(SUBSTITUTE(ProjTextTable[[#This Row],[text]],CHAR(10)," "))," ",""))</f>
        <v>565</v>
      </c>
      <c r="O141" t="s">
        <v>13</v>
      </c>
      <c r="P141" t="s">
        <v>851</v>
      </c>
    </row>
    <row r="142" spans="1:16">
      <c r="A142">
        <f t="shared" si="2"/>
        <v>24</v>
      </c>
      <c r="B142" t="s">
        <v>852</v>
      </c>
      <c r="C142" t="s">
        <v>853</v>
      </c>
      <c r="D142" t="s">
        <v>207</v>
      </c>
      <c r="E142" t="s">
        <v>705</v>
      </c>
      <c r="F142" t="s">
        <v>706</v>
      </c>
      <c r="G142" t="s">
        <v>707</v>
      </c>
      <c r="H142" t="s">
        <v>210</v>
      </c>
      <c r="I142" t="s">
        <v>199</v>
      </c>
      <c r="J142" t="s">
        <v>195</v>
      </c>
      <c r="K142" s="30">
        <v>43041</v>
      </c>
      <c r="L142" s="8"/>
      <c r="M142" s="21">
        <f>LEN(ProjTextTable[[#This Row],[text]])</f>
        <v>3123</v>
      </c>
      <c r="N142" s="21">
        <f>LEN(TRIM(CLEAN(SUBSTITUTE(ProjTextTable[[#This Row],[text]],CHAR(10)," "))))+1 - LEN(SUBSTITUTE(CLEAN(SUBSTITUTE(ProjTextTable[[#This Row],[text]],CHAR(10)," "))," ",""))</f>
        <v>449</v>
      </c>
      <c r="O142" t="s">
        <v>211</v>
      </c>
      <c r="P142" t="s">
        <v>854</v>
      </c>
    </row>
    <row r="143" spans="1:16">
      <c r="A143">
        <f t="shared" si="2"/>
        <v>24</v>
      </c>
      <c r="B143" t="s">
        <v>852</v>
      </c>
      <c r="C143" t="s">
        <v>853</v>
      </c>
      <c r="D143" t="s">
        <v>196</v>
      </c>
      <c r="E143" t="s">
        <v>596</v>
      </c>
      <c r="F143" t="s">
        <v>802</v>
      </c>
      <c r="G143" t="s">
        <v>803</v>
      </c>
      <c r="H143" t="s">
        <v>804</v>
      </c>
      <c r="I143" t="s">
        <v>259</v>
      </c>
      <c r="J143" t="s">
        <v>176</v>
      </c>
      <c r="K143" s="30">
        <v>43042</v>
      </c>
      <c r="L143" s="8">
        <v>43041.44358796296</v>
      </c>
      <c r="M143" s="21">
        <f>LEN(ProjTextTable[[#This Row],[text]])</f>
        <v>3901</v>
      </c>
      <c r="N143" s="21">
        <f>LEN(TRIM(CLEAN(SUBSTITUTE(ProjTextTable[[#This Row],[text]],CHAR(10)," "))))+1 - LEN(SUBSTITUTE(CLEAN(SUBSTITUTE(ProjTextTable[[#This Row],[text]],CHAR(10)," "))," ",""))</f>
        <v>543</v>
      </c>
      <c r="O143" t="s">
        <v>204</v>
      </c>
      <c r="P143" t="s">
        <v>855</v>
      </c>
    </row>
    <row r="144" spans="1:16">
      <c r="A144">
        <f t="shared" si="2"/>
        <v>24</v>
      </c>
      <c r="B144" t="s">
        <v>852</v>
      </c>
      <c r="C144" t="s">
        <v>853</v>
      </c>
      <c r="D144" t="s">
        <v>196</v>
      </c>
      <c r="E144" t="s">
        <v>596</v>
      </c>
      <c r="F144" t="s">
        <v>782</v>
      </c>
      <c r="G144" t="s">
        <v>783</v>
      </c>
      <c r="H144" t="s">
        <v>784</v>
      </c>
      <c r="I144" t="s">
        <v>259</v>
      </c>
      <c r="J144" t="s">
        <v>176</v>
      </c>
      <c r="K144" s="30">
        <v>43042</v>
      </c>
      <c r="L144" s="8">
        <v>43039.961678240739</v>
      </c>
      <c r="M144" s="21">
        <f>LEN(ProjTextTable[[#This Row],[text]])</f>
        <v>1653</v>
      </c>
      <c r="N144" s="21">
        <f>LEN(TRIM(CLEAN(SUBSTITUTE(ProjTextTable[[#This Row],[text]],CHAR(10)," "))))+1 - LEN(SUBSTITUTE(CLEAN(SUBSTITUTE(ProjTextTable[[#This Row],[text]],CHAR(10)," "))," ",""))</f>
        <v>238</v>
      </c>
      <c r="O144" t="s">
        <v>197</v>
      </c>
      <c r="P144" t="s">
        <v>856</v>
      </c>
    </row>
    <row r="145" spans="1:16">
      <c r="A145">
        <f t="shared" si="2"/>
        <v>24</v>
      </c>
      <c r="B145" t="s">
        <v>852</v>
      </c>
      <c r="C145" t="s">
        <v>853</v>
      </c>
      <c r="D145" t="s">
        <v>196</v>
      </c>
      <c r="E145" t="s">
        <v>596</v>
      </c>
      <c r="F145" t="s">
        <v>824</v>
      </c>
      <c r="G145" t="s">
        <v>825</v>
      </c>
      <c r="H145" t="s">
        <v>826</v>
      </c>
      <c r="I145" t="s">
        <v>259</v>
      </c>
      <c r="J145" t="s">
        <v>176</v>
      </c>
      <c r="K145" s="30">
        <v>43042</v>
      </c>
      <c r="L145" s="8">
        <v>43041.695972222224</v>
      </c>
      <c r="M145" s="21">
        <f>LEN(ProjTextTable[[#This Row],[text]])</f>
        <v>2521</v>
      </c>
      <c r="N145" s="21">
        <f>LEN(TRIM(CLEAN(SUBSTITUTE(ProjTextTable[[#This Row],[text]],CHAR(10)," "))))+1 - LEN(SUBSTITUTE(CLEAN(SUBSTITUTE(ProjTextTable[[#This Row],[text]],CHAR(10)," "))," ",""))</f>
        <v>354</v>
      </c>
      <c r="O145" t="s">
        <v>204</v>
      </c>
      <c r="P145" t="s">
        <v>857</v>
      </c>
    </row>
    <row r="146" spans="1:16">
      <c r="A146">
        <f t="shared" si="2"/>
        <v>24</v>
      </c>
      <c r="B146" t="s">
        <v>852</v>
      </c>
      <c r="C146" t="s">
        <v>853</v>
      </c>
      <c r="D146" t="s">
        <v>196</v>
      </c>
      <c r="E146" t="s">
        <v>596</v>
      </c>
      <c r="F146" t="s">
        <v>815</v>
      </c>
      <c r="G146" t="s">
        <v>816</v>
      </c>
      <c r="H146" t="s">
        <v>817</v>
      </c>
      <c r="I146" t="s">
        <v>259</v>
      </c>
      <c r="J146" t="s">
        <v>176</v>
      </c>
      <c r="K146" s="30">
        <v>43042</v>
      </c>
      <c r="L146" s="8">
        <v>43041.401203703703</v>
      </c>
      <c r="M146" s="21">
        <f>LEN(ProjTextTable[[#This Row],[text]])</f>
        <v>3175</v>
      </c>
      <c r="N146" s="21">
        <f>LEN(TRIM(CLEAN(SUBSTITUTE(ProjTextTable[[#This Row],[text]],CHAR(10)," "))))+1 - LEN(SUBSTITUTE(CLEAN(SUBSTITUTE(ProjTextTable[[#This Row],[text]],CHAR(10)," "))," ",""))</f>
        <v>455</v>
      </c>
      <c r="O146" t="s">
        <v>200</v>
      </c>
      <c r="P146" t="s">
        <v>858</v>
      </c>
    </row>
    <row r="147" spans="1:16">
      <c r="A147">
        <f t="shared" si="2"/>
        <v>25</v>
      </c>
      <c r="B147" t="s">
        <v>859</v>
      </c>
      <c r="C147" t="s">
        <v>860</v>
      </c>
      <c r="D147" t="s">
        <v>207</v>
      </c>
      <c r="E147" t="s">
        <v>705</v>
      </c>
      <c r="F147" t="s">
        <v>706</v>
      </c>
      <c r="G147" t="s">
        <v>707</v>
      </c>
      <c r="H147" t="s">
        <v>255</v>
      </c>
      <c r="I147" t="s">
        <v>195</v>
      </c>
      <c r="K147" s="30">
        <v>43041</v>
      </c>
      <c r="L147" s="8"/>
      <c r="M147" s="21">
        <f>LEN(ProjTextTable[[#This Row],[text]])</f>
        <v>2470</v>
      </c>
      <c r="N147" s="21">
        <f>LEN(TRIM(CLEAN(SUBSTITUTE(ProjTextTable[[#This Row],[text]],CHAR(10)," "))))+1 - LEN(SUBSTITUTE(CLEAN(SUBSTITUTE(ProjTextTable[[#This Row],[text]],CHAR(10)," "))," ",""))</f>
        <v>369</v>
      </c>
      <c r="O147" t="s">
        <v>254</v>
      </c>
      <c r="P147" t="s">
        <v>861</v>
      </c>
    </row>
    <row r="148" spans="1:16">
      <c r="A148">
        <f t="shared" si="2"/>
        <v>25</v>
      </c>
      <c r="B148" t="s">
        <v>859</v>
      </c>
      <c r="C148" t="s">
        <v>860</v>
      </c>
      <c r="D148" t="s">
        <v>196</v>
      </c>
      <c r="E148" t="s">
        <v>596</v>
      </c>
      <c r="F148" t="s">
        <v>709</v>
      </c>
      <c r="G148" t="s">
        <v>710</v>
      </c>
      <c r="H148" t="s">
        <v>711</v>
      </c>
      <c r="I148" t="s">
        <v>259</v>
      </c>
      <c r="J148" t="s">
        <v>176</v>
      </c>
      <c r="K148" s="30">
        <v>43042</v>
      </c>
      <c r="L148" s="8">
        <v>43041.633553240739</v>
      </c>
      <c r="M148" s="21">
        <f>LEN(ProjTextTable[[#This Row],[text]])</f>
        <v>2358</v>
      </c>
      <c r="N148" s="21">
        <f>LEN(TRIM(CLEAN(SUBSTITUTE(ProjTextTable[[#This Row],[text]],CHAR(10)," "))))+1 - LEN(SUBSTITUTE(CLEAN(SUBSTITUTE(ProjTextTable[[#This Row],[text]],CHAR(10)," "))," ",""))</f>
        <v>373</v>
      </c>
      <c r="O148" t="s">
        <v>201</v>
      </c>
      <c r="P148" t="s">
        <v>862</v>
      </c>
    </row>
    <row r="149" spans="1:16">
      <c r="A149">
        <f t="shared" si="2"/>
        <v>25</v>
      </c>
      <c r="B149" t="s">
        <v>859</v>
      </c>
      <c r="C149" t="s">
        <v>860</v>
      </c>
      <c r="D149" t="s">
        <v>196</v>
      </c>
      <c r="E149" t="s">
        <v>596</v>
      </c>
      <c r="F149" t="s">
        <v>782</v>
      </c>
      <c r="G149" t="s">
        <v>783</v>
      </c>
      <c r="H149" t="s">
        <v>784</v>
      </c>
      <c r="I149" t="s">
        <v>259</v>
      </c>
      <c r="J149" t="s">
        <v>176</v>
      </c>
      <c r="K149" s="30">
        <v>43042</v>
      </c>
      <c r="L149" s="8">
        <v>43039.92396990741</v>
      </c>
      <c r="M149" s="21">
        <f>LEN(ProjTextTable[[#This Row],[text]])</f>
        <v>1804</v>
      </c>
      <c r="N149" s="21">
        <f>LEN(TRIM(CLEAN(SUBSTITUTE(ProjTextTable[[#This Row],[text]],CHAR(10)," "))))+1 - LEN(SUBSTITUTE(CLEAN(SUBSTITUTE(ProjTextTable[[#This Row],[text]],CHAR(10)," "))," ",""))</f>
        <v>264</v>
      </c>
      <c r="O149" t="s">
        <v>197</v>
      </c>
      <c r="P149" t="s">
        <v>863</v>
      </c>
    </row>
    <row r="150" spans="1:16">
      <c r="A150">
        <f t="shared" si="2"/>
        <v>25</v>
      </c>
      <c r="B150" t="s">
        <v>859</v>
      </c>
      <c r="C150" t="s">
        <v>860</v>
      </c>
      <c r="D150" t="s">
        <v>196</v>
      </c>
      <c r="E150" t="s">
        <v>596</v>
      </c>
      <c r="F150" t="s">
        <v>735</v>
      </c>
      <c r="G150" t="s">
        <v>736</v>
      </c>
      <c r="H150" t="s">
        <v>737</v>
      </c>
      <c r="I150" t="s">
        <v>259</v>
      </c>
      <c r="J150" t="s">
        <v>176</v>
      </c>
      <c r="K150" s="30">
        <v>43042</v>
      </c>
      <c r="L150" s="8">
        <v>43040.996180555558</v>
      </c>
      <c r="M150" s="21">
        <f>LEN(ProjTextTable[[#This Row],[text]])</f>
        <v>3289</v>
      </c>
      <c r="N150" s="21">
        <f>LEN(TRIM(CLEAN(SUBSTITUTE(ProjTextTable[[#This Row],[text]],CHAR(10)," "))))+1 - LEN(SUBSTITUTE(CLEAN(SUBSTITUTE(ProjTextTable[[#This Row],[text]],CHAR(10)," "))," ",""))</f>
        <v>491</v>
      </c>
      <c r="O150" t="s">
        <v>197</v>
      </c>
      <c r="P150" t="s">
        <v>864</v>
      </c>
    </row>
    <row r="151" spans="1:16">
      <c r="A151">
        <f t="shared" si="2"/>
        <v>25</v>
      </c>
      <c r="B151" t="s">
        <v>859</v>
      </c>
      <c r="C151" t="s">
        <v>860</v>
      </c>
      <c r="D151" t="s">
        <v>196</v>
      </c>
      <c r="E151" t="s">
        <v>596</v>
      </c>
      <c r="F151" t="s">
        <v>717</v>
      </c>
      <c r="G151" t="s">
        <v>648</v>
      </c>
      <c r="H151" t="s">
        <v>718</v>
      </c>
      <c r="I151" t="s">
        <v>259</v>
      </c>
      <c r="J151" t="s">
        <v>176</v>
      </c>
      <c r="K151" s="30">
        <v>43042</v>
      </c>
      <c r="L151" s="8">
        <v>43039.846145833333</v>
      </c>
      <c r="M151" s="21">
        <f>LEN(ProjTextTable[[#This Row],[text]])</f>
        <v>3203</v>
      </c>
      <c r="N151" s="21">
        <f>LEN(TRIM(CLEAN(SUBSTITUTE(ProjTextTable[[#This Row],[text]],CHAR(10)," "))))+1 - LEN(SUBSTITUTE(CLEAN(SUBSTITUTE(ProjTextTable[[#This Row],[text]],CHAR(10)," "))," ",""))</f>
        <v>459</v>
      </c>
      <c r="O151" t="s">
        <v>197</v>
      </c>
      <c r="P151" t="s">
        <v>865</v>
      </c>
    </row>
    <row r="152" spans="1:16">
      <c r="A152">
        <f t="shared" si="2"/>
        <v>25</v>
      </c>
      <c r="B152" t="s">
        <v>859</v>
      </c>
      <c r="C152" t="s">
        <v>860</v>
      </c>
      <c r="D152" t="s">
        <v>198</v>
      </c>
      <c r="E152" t="s">
        <v>596</v>
      </c>
      <c r="F152" t="s">
        <v>13</v>
      </c>
      <c r="G152" t="s">
        <v>13</v>
      </c>
      <c r="H152" t="s">
        <v>13</v>
      </c>
      <c r="K152" s="30"/>
      <c r="L152" s="8">
        <v>42936.044328703705</v>
      </c>
      <c r="M152" s="21">
        <f>LEN(ProjTextTable[[#This Row],[text]])</f>
        <v>4727</v>
      </c>
      <c r="N152" s="21">
        <f>LEN(TRIM(CLEAN(SUBSTITUTE(ProjTextTable[[#This Row],[text]],CHAR(10)," "))))+1 - LEN(SUBSTITUTE(CLEAN(SUBSTITUTE(ProjTextTable[[#This Row],[text]],CHAR(10)," "))," ",""))</f>
        <v>686</v>
      </c>
      <c r="O152" t="s">
        <v>13</v>
      </c>
      <c r="P152" t="s">
        <v>866</v>
      </c>
    </row>
    <row r="153" spans="1:16">
      <c r="A153">
        <f t="shared" si="2"/>
        <v>26</v>
      </c>
      <c r="B153" t="s">
        <v>867</v>
      </c>
      <c r="C153" t="s">
        <v>561</v>
      </c>
      <c r="D153" t="s">
        <v>207</v>
      </c>
      <c r="E153" t="s">
        <v>705</v>
      </c>
      <c r="F153" t="s">
        <v>706</v>
      </c>
      <c r="G153" t="s">
        <v>707</v>
      </c>
      <c r="H153" t="s">
        <v>210</v>
      </c>
      <c r="I153" t="s">
        <v>199</v>
      </c>
      <c r="J153" t="s">
        <v>259</v>
      </c>
      <c r="K153" s="30">
        <v>43041</v>
      </c>
      <c r="L153" s="8"/>
      <c r="M153" s="21">
        <f>LEN(ProjTextTable[[#This Row],[text]])</f>
        <v>1814</v>
      </c>
      <c r="N153" s="21">
        <f>LEN(TRIM(CLEAN(SUBSTITUTE(ProjTextTable[[#This Row],[text]],CHAR(10)," "))))+1 - LEN(SUBSTITUTE(CLEAN(SUBSTITUTE(ProjTextTable[[#This Row],[text]],CHAR(10)," "))," ",""))</f>
        <v>247</v>
      </c>
      <c r="O153" t="s">
        <v>211</v>
      </c>
      <c r="P153" t="s">
        <v>868</v>
      </c>
    </row>
    <row r="154" spans="1:16">
      <c r="A154">
        <f t="shared" si="2"/>
        <v>26</v>
      </c>
      <c r="B154" t="s">
        <v>867</v>
      </c>
      <c r="C154" t="s">
        <v>561</v>
      </c>
      <c r="D154" t="s">
        <v>196</v>
      </c>
      <c r="E154" t="s">
        <v>596</v>
      </c>
      <c r="F154" t="s">
        <v>749</v>
      </c>
      <c r="G154" t="s">
        <v>750</v>
      </c>
      <c r="H154" t="s">
        <v>751</v>
      </c>
      <c r="I154" t="s">
        <v>259</v>
      </c>
      <c r="J154" t="s">
        <v>176</v>
      </c>
      <c r="K154" s="30">
        <v>43042</v>
      </c>
      <c r="L154" s="8">
        <v>43042.373726851853</v>
      </c>
      <c r="M154" s="21">
        <f>LEN(ProjTextTable[[#This Row],[text]])</f>
        <v>2889</v>
      </c>
      <c r="N154" s="21">
        <f>LEN(TRIM(CLEAN(SUBSTITUTE(ProjTextTable[[#This Row],[text]],CHAR(10)," "))))+1 - LEN(SUBSTITUTE(CLEAN(SUBSTITUTE(ProjTextTable[[#This Row],[text]],CHAR(10)," "))," ",""))</f>
        <v>458</v>
      </c>
      <c r="O154" t="s">
        <v>204</v>
      </c>
      <c r="P154" t="s">
        <v>869</v>
      </c>
    </row>
    <row r="155" spans="1:16">
      <c r="A155">
        <f t="shared" si="2"/>
        <v>26</v>
      </c>
      <c r="B155" t="s">
        <v>867</v>
      </c>
      <c r="C155" t="s">
        <v>561</v>
      </c>
      <c r="D155" t="s">
        <v>196</v>
      </c>
      <c r="E155" t="s">
        <v>596</v>
      </c>
      <c r="F155" t="s">
        <v>713</v>
      </c>
      <c r="G155" t="s">
        <v>714</v>
      </c>
      <c r="H155" t="s">
        <v>715</v>
      </c>
      <c r="I155" t="s">
        <v>259</v>
      </c>
      <c r="J155" t="s">
        <v>176</v>
      </c>
      <c r="K155" s="30">
        <v>43042</v>
      </c>
      <c r="L155" s="8">
        <v>43039.027129629627</v>
      </c>
      <c r="M155" s="21">
        <f>LEN(ProjTextTable[[#This Row],[text]])</f>
        <v>3296</v>
      </c>
      <c r="N155" s="21">
        <f>LEN(TRIM(CLEAN(SUBSTITUTE(ProjTextTable[[#This Row],[text]],CHAR(10)," "))))+1 - LEN(SUBSTITUTE(CLEAN(SUBSTITUTE(ProjTextTable[[#This Row],[text]],CHAR(10)," "))," ",""))</f>
        <v>496</v>
      </c>
      <c r="O155" t="s">
        <v>257</v>
      </c>
      <c r="P155" t="s">
        <v>870</v>
      </c>
    </row>
    <row r="156" spans="1:16">
      <c r="A156">
        <f t="shared" si="2"/>
        <v>26</v>
      </c>
      <c r="B156" t="s">
        <v>867</v>
      </c>
      <c r="C156" t="s">
        <v>561</v>
      </c>
      <c r="D156" t="s">
        <v>196</v>
      </c>
      <c r="E156" t="s">
        <v>596</v>
      </c>
      <c r="F156" t="s">
        <v>824</v>
      </c>
      <c r="G156" t="s">
        <v>825</v>
      </c>
      <c r="H156" t="s">
        <v>826</v>
      </c>
      <c r="I156" t="s">
        <v>259</v>
      </c>
      <c r="J156" t="s">
        <v>176</v>
      </c>
      <c r="K156" s="30">
        <v>43042</v>
      </c>
      <c r="L156" s="8">
        <v>43041.698506944442</v>
      </c>
      <c r="M156" s="21">
        <f>LEN(ProjTextTable[[#This Row],[text]])</f>
        <v>2226</v>
      </c>
      <c r="N156" s="21">
        <f>LEN(TRIM(CLEAN(SUBSTITUTE(ProjTextTable[[#This Row],[text]],CHAR(10)," "))))+1 - LEN(SUBSTITUTE(CLEAN(SUBSTITUTE(ProjTextTable[[#This Row],[text]],CHAR(10)," "))," ",""))</f>
        <v>324</v>
      </c>
      <c r="O156" t="s">
        <v>204</v>
      </c>
      <c r="P156" t="s">
        <v>871</v>
      </c>
    </row>
    <row r="157" spans="1:16">
      <c r="A157">
        <f t="shared" si="2"/>
        <v>26</v>
      </c>
      <c r="B157" t="s">
        <v>867</v>
      </c>
      <c r="C157" t="s">
        <v>561</v>
      </c>
      <c r="D157" t="s">
        <v>196</v>
      </c>
      <c r="E157" t="s">
        <v>596</v>
      </c>
      <c r="F157" t="s">
        <v>720</v>
      </c>
      <c r="G157" t="s">
        <v>721</v>
      </c>
      <c r="H157" t="s">
        <v>722</v>
      </c>
      <c r="I157" t="s">
        <v>259</v>
      </c>
      <c r="J157" t="s">
        <v>176</v>
      </c>
      <c r="K157" s="30">
        <v>43042</v>
      </c>
      <c r="L157" s="8">
        <v>43041.730208333334</v>
      </c>
      <c r="M157" s="21">
        <f>LEN(ProjTextTable[[#This Row],[text]])</f>
        <v>6252</v>
      </c>
      <c r="N157" s="21">
        <f>LEN(TRIM(CLEAN(SUBSTITUTE(ProjTextTable[[#This Row],[text]],CHAR(10)," "))))+1 - LEN(SUBSTITUTE(CLEAN(SUBSTITUTE(ProjTextTable[[#This Row],[text]],CHAR(10)," "))," ",""))</f>
        <v>979</v>
      </c>
      <c r="O157" t="s">
        <v>197</v>
      </c>
      <c r="P157" t="s">
        <v>872</v>
      </c>
    </row>
    <row r="158" spans="1:16">
      <c r="A158">
        <f t="shared" si="2"/>
        <v>26</v>
      </c>
      <c r="B158" t="s">
        <v>867</v>
      </c>
      <c r="C158" t="s">
        <v>561</v>
      </c>
      <c r="D158" t="s">
        <v>198</v>
      </c>
      <c r="E158" t="s">
        <v>596</v>
      </c>
      <c r="F158" t="s">
        <v>13</v>
      </c>
      <c r="G158" t="s">
        <v>13</v>
      </c>
      <c r="H158" t="s">
        <v>13</v>
      </c>
      <c r="K158" s="30"/>
      <c r="L158" s="8">
        <v>42936.044479166667</v>
      </c>
      <c r="M158" s="21">
        <f>LEN(ProjTextTable[[#This Row],[text]])</f>
        <v>3663</v>
      </c>
      <c r="N158" s="21">
        <f>LEN(TRIM(CLEAN(SUBSTITUTE(ProjTextTable[[#This Row],[text]],CHAR(10)," "))))+1 - LEN(SUBSTITUTE(CLEAN(SUBSTITUTE(ProjTextTable[[#This Row],[text]],CHAR(10)," "))," ",""))</f>
        <v>520</v>
      </c>
      <c r="O158" t="s">
        <v>13</v>
      </c>
      <c r="P158" t="s">
        <v>873</v>
      </c>
    </row>
    <row r="159" spans="1:16">
      <c r="A159">
        <f t="shared" si="2"/>
        <v>27</v>
      </c>
      <c r="B159" t="s">
        <v>874</v>
      </c>
      <c r="C159" t="s">
        <v>875</v>
      </c>
      <c r="D159" t="s">
        <v>207</v>
      </c>
      <c r="E159" t="s">
        <v>705</v>
      </c>
      <c r="F159" t="s">
        <v>706</v>
      </c>
      <c r="G159" t="s">
        <v>707</v>
      </c>
      <c r="H159" t="s">
        <v>386</v>
      </c>
      <c r="I159" t="s">
        <v>202</v>
      </c>
      <c r="K159" s="30">
        <v>43041</v>
      </c>
      <c r="L159" s="8"/>
      <c r="M159" s="21">
        <f>LEN(ProjTextTable[[#This Row],[text]])</f>
        <v>2432</v>
      </c>
      <c r="N159" s="21">
        <f>LEN(TRIM(CLEAN(SUBSTITUTE(ProjTextTable[[#This Row],[text]],CHAR(10)," "))))+1 - LEN(SUBSTITUTE(CLEAN(SUBSTITUTE(ProjTextTable[[#This Row],[text]],CHAR(10)," "))," ",""))</f>
        <v>354</v>
      </c>
      <c r="O159" t="s">
        <v>359</v>
      </c>
      <c r="P159" t="s">
        <v>876</v>
      </c>
    </row>
    <row r="160" spans="1:16">
      <c r="A160">
        <f t="shared" si="2"/>
        <v>27</v>
      </c>
      <c r="B160" t="s">
        <v>874</v>
      </c>
      <c r="C160" t="s">
        <v>875</v>
      </c>
      <c r="D160" t="s">
        <v>196</v>
      </c>
      <c r="E160" t="s">
        <v>705</v>
      </c>
      <c r="F160" t="s">
        <v>744</v>
      </c>
      <c r="G160" t="s">
        <v>745</v>
      </c>
      <c r="H160" t="s">
        <v>746</v>
      </c>
      <c r="I160" t="s">
        <v>259</v>
      </c>
      <c r="J160" t="s">
        <v>176</v>
      </c>
      <c r="K160" s="30">
        <v>43042</v>
      </c>
      <c r="L160" s="8">
        <v>43040.519756944443</v>
      </c>
      <c r="M160" s="21">
        <f>LEN(ProjTextTable[[#This Row],[text]])</f>
        <v>3503</v>
      </c>
      <c r="N160" s="21">
        <f>LEN(TRIM(CLEAN(SUBSTITUTE(ProjTextTable[[#This Row],[text]],CHAR(10)," "))))+1 - LEN(SUBSTITUTE(CLEAN(SUBSTITUTE(ProjTextTable[[#This Row],[text]],CHAR(10)," "))," ",""))</f>
        <v>508</v>
      </c>
      <c r="O160" t="s">
        <v>212</v>
      </c>
      <c r="P160" t="s">
        <v>877</v>
      </c>
    </row>
    <row r="161" spans="1:16">
      <c r="A161">
        <f t="shared" si="2"/>
        <v>27</v>
      </c>
      <c r="B161" t="s">
        <v>874</v>
      </c>
      <c r="C161" t="s">
        <v>875</v>
      </c>
      <c r="D161" t="s">
        <v>196</v>
      </c>
      <c r="E161" t="s">
        <v>705</v>
      </c>
      <c r="F161" t="s">
        <v>709</v>
      </c>
      <c r="G161" t="s">
        <v>710</v>
      </c>
      <c r="H161" t="s">
        <v>711</v>
      </c>
      <c r="I161" t="s">
        <v>259</v>
      </c>
      <c r="J161" t="s">
        <v>176</v>
      </c>
      <c r="K161" s="30">
        <v>43042</v>
      </c>
      <c r="L161" s="8">
        <v>43040.938506944447</v>
      </c>
      <c r="M161" s="21">
        <f>LEN(ProjTextTable[[#This Row],[text]])</f>
        <v>2322</v>
      </c>
      <c r="N161" s="21">
        <f>LEN(TRIM(CLEAN(SUBSTITUTE(ProjTextTable[[#This Row],[text]],CHAR(10)," "))))+1 - LEN(SUBSTITUTE(CLEAN(SUBSTITUTE(ProjTextTable[[#This Row],[text]],CHAR(10)," "))," ",""))</f>
        <v>357</v>
      </c>
      <c r="O161" t="s">
        <v>197</v>
      </c>
      <c r="P161" t="s">
        <v>878</v>
      </c>
    </row>
    <row r="162" spans="1:16">
      <c r="A162">
        <f t="shared" si="2"/>
        <v>27</v>
      </c>
      <c r="B162" t="s">
        <v>874</v>
      </c>
      <c r="C162" t="s">
        <v>875</v>
      </c>
      <c r="D162" t="s">
        <v>196</v>
      </c>
      <c r="E162" t="s">
        <v>879</v>
      </c>
      <c r="F162" t="s">
        <v>824</v>
      </c>
      <c r="G162" t="s">
        <v>825</v>
      </c>
      <c r="H162" t="s">
        <v>826</v>
      </c>
      <c r="I162" t="s">
        <v>259</v>
      </c>
      <c r="J162" t="s">
        <v>176</v>
      </c>
      <c r="K162" s="30">
        <v>43042</v>
      </c>
      <c r="L162" s="8">
        <v>43041.701527777775</v>
      </c>
      <c r="M162" s="21">
        <f>LEN(ProjTextTable[[#This Row],[text]])</f>
        <v>1614</v>
      </c>
      <c r="N162" s="21">
        <f>LEN(TRIM(CLEAN(SUBSTITUTE(ProjTextTable[[#This Row],[text]],CHAR(10)," "))))+1 - LEN(SUBSTITUTE(CLEAN(SUBSTITUTE(ProjTextTable[[#This Row],[text]],CHAR(10)," "))," ",""))</f>
        <v>243</v>
      </c>
      <c r="O162" t="s">
        <v>197</v>
      </c>
      <c r="P162" t="s">
        <v>880</v>
      </c>
    </row>
    <row r="163" spans="1:16">
      <c r="A163">
        <f t="shared" si="2"/>
        <v>27</v>
      </c>
      <c r="B163" t="s">
        <v>874</v>
      </c>
      <c r="C163" t="s">
        <v>875</v>
      </c>
      <c r="D163" t="s">
        <v>196</v>
      </c>
      <c r="E163" t="s">
        <v>879</v>
      </c>
      <c r="F163" t="s">
        <v>815</v>
      </c>
      <c r="G163" t="s">
        <v>816</v>
      </c>
      <c r="H163" t="s">
        <v>817</v>
      </c>
      <c r="I163" t="s">
        <v>259</v>
      </c>
      <c r="J163" t="s">
        <v>176</v>
      </c>
      <c r="K163" s="30">
        <v>43042</v>
      </c>
      <c r="L163" s="8">
        <v>43041.730231481481</v>
      </c>
      <c r="M163" s="21">
        <f>LEN(ProjTextTable[[#This Row],[text]])</f>
        <v>2490</v>
      </c>
      <c r="N163" s="21">
        <f>LEN(TRIM(CLEAN(SUBSTITUTE(ProjTextTable[[#This Row],[text]],CHAR(10)," "))))+1 - LEN(SUBSTITUTE(CLEAN(SUBSTITUTE(ProjTextTable[[#This Row],[text]],CHAR(10)," "))," ",""))</f>
        <v>366</v>
      </c>
      <c r="O163" t="s">
        <v>203</v>
      </c>
      <c r="P163" t="s">
        <v>881</v>
      </c>
    </row>
    <row r="164" spans="1:16">
      <c r="A164">
        <f t="shared" si="2"/>
        <v>27</v>
      </c>
      <c r="B164" t="s">
        <v>874</v>
      </c>
      <c r="C164" t="s">
        <v>875</v>
      </c>
      <c r="D164" t="s">
        <v>198</v>
      </c>
      <c r="E164" t="s">
        <v>705</v>
      </c>
      <c r="F164" t="s">
        <v>13</v>
      </c>
      <c r="G164" t="s">
        <v>13</v>
      </c>
      <c r="H164" t="s">
        <v>13</v>
      </c>
      <c r="K164" s="30"/>
      <c r="L164" s="8">
        <v>42936.04488425926</v>
      </c>
      <c r="M164" s="21">
        <f>LEN(ProjTextTable[[#This Row],[text]])</f>
        <v>3725</v>
      </c>
      <c r="N164" s="21">
        <f>LEN(TRIM(CLEAN(SUBSTITUTE(ProjTextTable[[#This Row],[text]],CHAR(10)," "))))+1 - LEN(SUBSTITUTE(CLEAN(SUBSTITUTE(ProjTextTable[[#This Row],[text]],CHAR(10)," "))," ",""))</f>
        <v>547</v>
      </c>
      <c r="O164" t="s">
        <v>13</v>
      </c>
      <c r="P164" t="s">
        <v>882</v>
      </c>
    </row>
    <row r="165" spans="1:16">
      <c r="A165">
        <f t="shared" si="2"/>
        <v>28</v>
      </c>
      <c r="B165" t="s">
        <v>883</v>
      </c>
      <c r="C165" t="s">
        <v>884</v>
      </c>
      <c r="D165" t="s">
        <v>207</v>
      </c>
      <c r="E165" t="s">
        <v>705</v>
      </c>
      <c r="F165" t="s">
        <v>706</v>
      </c>
      <c r="G165" t="s">
        <v>707</v>
      </c>
      <c r="H165" t="s">
        <v>255</v>
      </c>
      <c r="I165" t="s">
        <v>195</v>
      </c>
      <c r="K165" s="30">
        <v>43041</v>
      </c>
      <c r="L165" s="8"/>
      <c r="M165" s="21">
        <f>LEN(ProjTextTable[[#This Row],[text]])</f>
        <v>3789</v>
      </c>
      <c r="N165" s="21">
        <f>LEN(TRIM(CLEAN(SUBSTITUTE(ProjTextTable[[#This Row],[text]],CHAR(10)," "))))+1 - LEN(SUBSTITUTE(CLEAN(SUBSTITUTE(ProjTextTable[[#This Row],[text]],CHAR(10)," "))," ",""))</f>
        <v>539</v>
      </c>
      <c r="O165" t="s">
        <v>254</v>
      </c>
      <c r="P165" t="s">
        <v>885</v>
      </c>
    </row>
    <row r="166" spans="1:16">
      <c r="A166">
        <f t="shared" si="2"/>
        <v>28</v>
      </c>
      <c r="B166" t="s">
        <v>883</v>
      </c>
      <c r="C166" t="s">
        <v>884</v>
      </c>
      <c r="D166" t="s">
        <v>196</v>
      </c>
      <c r="E166" t="s">
        <v>596</v>
      </c>
      <c r="F166" t="s">
        <v>802</v>
      </c>
      <c r="G166" t="s">
        <v>803</v>
      </c>
      <c r="H166" t="s">
        <v>804</v>
      </c>
      <c r="I166" t="s">
        <v>259</v>
      </c>
      <c r="J166" t="s">
        <v>176</v>
      </c>
      <c r="K166" s="30">
        <v>43042</v>
      </c>
      <c r="L166" s="8">
        <v>43041.011412037034</v>
      </c>
      <c r="M166" s="21">
        <f>LEN(ProjTextTable[[#This Row],[text]])</f>
        <v>2636</v>
      </c>
      <c r="N166" s="21">
        <f>LEN(TRIM(CLEAN(SUBSTITUTE(ProjTextTable[[#This Row],[text]],CHAR(10)," "))))+1 - LEN(SUBSTITUTE(CLEAN(SUBSTITUTE(ProjTextTable[[#This Row],[text]],CHAR(10)," "))," ",""))</f>
        <v>363</v>
      </c>
      <c r="O166" t="s">
        <v>201</v>
      </c>
      <c r="P166" t="s">
        <v>886</v>
      </c>
    </row>
    <row r="167" spans="1:16">
      <c r="A167">
        <f t="shared" si="2"/>
        <v>28</v>
      </c>
      <c r="B167" t="s">
        <v>883</v>
      </c>
      <c r="C167" t="s">
        <v>884</v>
      </c>
      <c r="D167" t="s">
        <v>196</v>
      </c>
      <c r="E167" t="s">
        <v>596</v>
      </c>
      <c r="F167" t="s">
        <v>744</v>
      </c>
      <c r="G167" t="s">
        <v>745</v>
      </c>
      <c r="H167" t="s">
        <v>746</v>
      </c>
      <c r="I167" t="s">
        <v>259</v>
      </c>
      <c r="J167" t="s">
        <v>176</v>
      </c>
      <c r="K167" s="30">
        <v>43042</v>
      </c>
      <c r="L167" s="8">
        <v>43041.442476851851</v>
      </c>
      <c r="M167" s="21">
        <f>LEN(ProjTextTable[[#This Row],[text]])</f>
        <v>4156</v>
      </c>
      <c r="N167" s="21">
        <f>LEN(TRIM(CLEAN(SUBSTITUTE(ProjTextTable[[#This Row],[text]],CHAR(10)," "))))+1 - LEN(SUBSTITUTE(CLEAN(SUBSTITUTE(ProjTextTable[[#This Row],[text]],CHAR(10)," "))," ",""))</f>
        <v>610</v>
      </c>
      <c r="O167" t="s">
        <v>205</v>
      </c>
      <c r="P167" t="s">
        <v>887</v>
      </c>
    </row>
    <row r="168" spans="1:16">
      <c r="A168">
        <f t="shared" si="2"/>
        <v>28</v>
      </c>
      <c r="B168" t="s">
        <v>883</v>
      </c>
      <c r="C168" t="s">
        <v>884</v>
      </c>
      <c r="D168" t="s">
        <v>196</v>
      </c>
      <c r="E168" t="s">
        <v>596</v>
      </c>
      <c r="F168" t="s">
        <v>735</v>
      </c>
      <c r="G168" t="s">
        <v>736</v>
      </c>
      <c r="H168" t="s">
        <v>737</v>
      </c>
      <c r="I168" t="s">
        <v>259</v>
      </c>
      <c r="J168" t="s">
        <v>176</v>
      </c>
      <c r="K168" s="30">
        <v>43042</v>
      </c>
      <c r="L168" s="8">
        <v>43041.008877314816</v>
      </c>
      <c r="M168" s="21">
        <f>LEN(ProjTextTable[[#This Row],[text]])</f>
        <v>2349</v>
      </c>
      <c r="N168" s="21">
        <f>LEN(TRIM(CLEAN(SUBSTITUTE(ProjTextTable[[#This Row],[text]],CHAR(10)," "))))+1 - LEN(SUBSTITUTE(CLEAN(SUBSTITUTE(ProjTextTable[[#This Row],[text]],CHAR(10)," "))," ",""))</f>
        <v>368</v>
      </c>
      <c r="O168" t="s">
        <v>204</v>
      </c>
      <c r="P168" t="s">
        <v>888</v>
      </c>
    </row>
    <row r="169" spans="1:16">
      <c r="A169">
        <f t="shared" si="2"/>
        <v>28</v>
      </c>
      <c r="B169" t="s">
        <v>883</v>
      </c>
      <c r="C169" t="s">
        <v>884</v>
      </c>
      <c r="D169" t="s">
        <v>196</v>
      </c>
      <c r="E169" t="s">
        <v>596</v>
      </c>
      <c r="F169" t="s">
        <v>815</v>
      </c>
      <c r="G169" t="s">
        <v>816</v>
      </c>
      <c r="H169" t="s">
        <v>817</v>
      </c>
      <c r="I169" t="s">
        <v>259</v>
      </c>
      <c r="J169" t="s">
        <v>176</v>
      </c>
      <c r="K169" s="30">
        <v>43042</v>
      </c>
      <c r="L169" s="8">
        <v>43042.364016203705</v>
      </c>
      <c r="M169" s="21">
        <f>LEN(ProjTextTable[[#This Row],[text]])</f>
        <v>3345</v>
      </c>
      <c r="N169" s="21">
        <f>LEN(TRIM(CLEAN(SUBSTITUTE(ProjTextTable[[#This Row],[text]],CHAR(10)," "))))+1 - LEN(SUBSTITUTE(CLEAN(SUBSTITUTE(ProjTextTable[[#This Row],[text]],CHAR(10)," "))," ",""))</f>
        <v>521</v>
      </c>
      <c r="O169" t="s">
        <v>205</v>
      </c>
      <c r="P169" t="s">
        <v>889</v>
      </c>
    </row>
    <row r="170" spans="1:16">
      <c r="A170">
        <f t="shared" si="2"/>
        <v>28</v>
      </c>
      <c r="B170" t="s">
        <v>883</v>
      </c>
      <c r="C170" t="s">
        <v>884</v>
      </c>
      <c r="D170" t="s">
        <v>198</v>
      </c>
      <c r="E170" t="s">
        <v>596</v>
      </c>
      <c r="F170" t="s">
        <v>13</v>
      </c>
      <c r="G170" t="s">
        <v>13</v>
      </c>
      <c r="H170" t="s">
        <v>13</v>
      </c>
      <c r="K170" s="30"/>
      <c r="L170" s="8">
        <v>42936.045011574075</v>
      </c>
      <c r="M170" s="21">
        <f>LEN(ProjTextTable[[#This Row],[text]])</f>
        <v>4523</v>
      </c>
      <c r="N170" s="21">
        <f>LEN(TRIM(CLEAN(SUBSTITUTE(ProjTextTable[[#This Row],[text]],CHAR(10)," "))))+1 - LEN(SUBSTITUTE(CLEAN(SUBSTITUTE(ProjTextTable[[#This Row],[text]],CHAR(10)," "))," ",""))</f>
        <v>679</v>
      </c>
      <c r="O170" t="s">
        <v>13</v>
      </c>
      <c r="P170" t="s">
        <v>890</v>
      </c>
    </row>
    <row r="171" spans="1:16">
      <c r="A171">
        <f t="shared" si="2"/>
        <v>29</v>
      </c>
      <c r="B171" t="s">
        <v>891</v>
      </c>
      <c r="C171" t="s">
        <v>892</v>
      </c>
      <c r="D171" t="s">
        <v>207</v>
      </c>
      <c r="E171" t="s">
        <v>705</v>
      </c>
      <c r="F171" t="s">
        <v>706</v>
      </c>
      <c r="G171" t="s">
        <v>707</v>
      </c>
      <c r="H171" t="s">
        <v>255</v>
      </c>
      <c r="I171" t="s">
        <v>195</v>
      </c>
      <c r="K171" s="30">
        <v>43041</v>
      </c>
      <c r="L171" s="8"/>
      <c r="M171" s="21">
        <f>LEN(ProjTextTable[[#This Row],[text]])</f>
        <v>4225</v>
      </c>
      <c r="N171" s="21">
        <f>LEN(TRIM(CLEAN(SUBSTITUTE(ProjTextTable[[#This Row],[text]],CHAR(10)," "))))+1 - LEN(SUBSTITUTE(CLEAN(SUBSTITUTE(ProjTextTable[[#This Row],[text]],CHAR(10)," "))," ",""))</f>
        <v>591</v>
      </c>
      <c r="O171" t="s">
        <v>254</v>
      </c>
      <c r="P171" t="s">
        <v>893</v>
      </c>
    </row>
    <row r="172" spans="1:16">
      <c r="A172">
        <f t="shared" si="2"/>
        <v>29</v>
      </c>
      <c r="B172" t="s">
        <v>891</v>
      </c>
      <c r="C172" t="s">
        <v>892</v>
      </c>
      <c r="D172" t="s">
        <v>196</v>
      </c>
      <c r="E172" t="s">
        <v>596</v>
      </c>
      <c r="F172" t="s">
        <v>802</v>
      </c>
      <c r="G172" t="s">
        <v>803</v>
      </c>
      <c r="H172" t="s">
        <v>804</v>
      </c>
      <c r="I172" t="s">
        <v>259</v>
      </c>
      <c r="J172" t="s">
        <v>176</v>
      </c>
      <c r="K172" s="30">
        <v>43042</v>
      </c>
      <c r="L172" s="8">
        <v>43040.976493055554</v>
      </c>
      <c r="M172" s="21">
        <f>LEN(ProjTextTable[[#This Row],[text]])</f>
        <v>2994</v>
      </c>
      <c r="N172" s="21">
        <f>LEN(TRIM(CLEAN(SUBSTITUTE(ProjTextTable[[#This Row],[text]],CHAR(10)," "))))+1 - LEN(SUBSTITUTE(CLEAN(SUBSTITUTE(ProjTextTable[[#This Row],[text]],CHAR(10)," "))," ",""))</f>
        <v>412</v>
      </c>
      <c r="O172" t="s">
        <v>197</v>
      </c>
      <c r="P172" t="s">
        <v>894</v>
      </c>
    </row>
    <row r="173" spans="1:16">
      <c r="A173">
        <f t="shared" si="2"/>
        <v>29</v>
      </c>
      <c r="B173" t="s">
        <v>891</v>
      </c>
      <c r="C173" t="s">
        <v>892</v>
      </c>
      <c r="D173" t="s">
        <v>196</v>
      </c>
      <c r="E173" t="s">
        <v>596</v>
      </c>
      <c r="F173" t="s">
        <v>782</v>
      </c>
      <c r="G173" t="s">
        <v>783</v>
      </c>
      <c r="H173" t="s">
        <v>784</v>
      </c>
      <c r="I173" t="s">
        <v>259</v>
      </c>
      <c r="J173" t="s">
        <v>176</v>
      </c>
      <c r="K173" s="30">
        <v>43042</v>
      </c>
      <c r="L173" s="8">
        <v>43041.608958333331</v>
      </c>
      <c r="M173" s="21">
        <f>LEN(ProjTextTable[[#This Row],[text]])</f>
        <v>1468</v>
      </c>
      <c r="N173" s="21">
        <f>LEN(TRIM(CLEAN(SUBSTITUTE(ProjTextTable[[#This Row],[text]],CHAR(10)," "))))+1 - LEN(SUBSTITUTE(CLEAN(SUBSTITUTE(ProjTextTable[[#This Row],[text]],CHAR(10)," "))," ",""))</f>
        <v>219</v>
      </c>
      <c r="O173" t="s">
        <v>201</v>
      </c>
      <c r="P173" t="s">
        <v>895</v>
      </c>
    </row>
    <row r="174" spans="1:16">
      <c r="A174">
        <f t="shared" si="2"/>
        <v>29</v>
      </c>
      <c r="B174" t="s">
        <v>891</v>
      </c>
      <c r="C174" t="s">
        <v>892</v>
      </c>
      <c r="D174" t="s">
        <v>196</v>
      </c>
      <c r="E174" t="s">
        <v>596</v>
      </c>
      <c r="F174" t="s">
        <v>824</v>
      </c>
      <c r="G174" t="s">
        <v>825</v>
      </c>
      <c r="H174" t="s">
        <v>826</v>
      </c>
      <c r="I174" t="s">
        <v>259</v>
      </c>
      <c r="J174" t="s">
        <v>176</v>
      </c>
      <c r="K174" s="30">
        <v>43042</v>
      </c>
      <c r="L174" s="8">
        <v>43042.354201388887</v>
      </c>
      <c r="M174" s="21">
        <f>LEN(ProjTextTable[[#This Row],[text]])</f>
        <v>2165</v>
      </c>
      <c r="N174" s="21">
        <f>LEN(TRIM(CLEAN(SUBSTITUTE(ProjTextTable[[#This Row],[text]],CHAR(10)," "))))+1 - LEN(SUBSTITUTE(CLEAN(SUBSTITUTE(ProjTextTable[[#This Row],[text]],CHAR(10)," "))," ",""))</f>
        <v>316</v>
      </c>
      <c r="O174" t="s">
        <v>201</v>
      </c>
      <c r="P174" t="s">
        <v>896</v>
      </c>
    </row>
    <row r="175" spans="1:16">
      <c r="A175">
        <f t="shared" si="2"/>
        <v>29</v>
      </c>
      <c r="B175" t="s">
        <v>891</v>
      </c>
      <c r="C175" t="s">
        <v>892</v>
      </c>
      <c r="D175" t="s">
        <v>196</v>
      </c>
      <c r="E175" t="s">
        <v>596</v>
      </c>
      <c r="F175" t="s">
        <v>720</v>
      </c>
      <c r="G175" t="s">
        <v>721</v>
      </c>
      <c r="H175" t="s">
        <v>722</v>
      </c>
      <c r="I175" t="s">
        <v>259</v>
      </c>
      <c r="J175" t="s">
        <v>176</v>
      </c>
      <c r="K175" s="30">
        <v>43042</v>
      </c>
      <c r="L175" s="8">
        <v>43042.50990740741</v>
      </c>
      <c r="M175" s="21">
        <f>LEN(ProjTextTable[[#This Row],[text]])</f>
        <v>5787</v>
      </c>
      <c r="N175" s="21">
        <f>LEN(TRIM(CLEAN(SUBSTITUTE(ProjTextTable[[#This Row],[text]],CHAR(10)," "))))+1 - LEN(SUBSTITUTE(CLEAN(SUBSTITUTE(ProjTextTable[[#This Row],[text]],CHAR(10)," "))," ",""))</f>
        <v>883</v>
      </c>
      <c r="O175" t="s">
        <v>197</v>
      </c>
      <c r="P175" t="s">
        <v>897</v>
      </c>
    </row>
    <row r="176" spans="1:16">
      <c r="A176">
        <f t="shared" si="2"/>
        <v>29</v>
      </c>
      <c r="B176" t="s">
        <v>891</v>
      </c>
      <c r="C176" t="s">
        <v>892</v>
      </c>
      <c r="D176" t="s">
        <v>198</v>
      </c>
      <c r="E176" t="s">
        <v>596</v>
      </c>
      <c r="F176" t="s">
        <v>13</v>
      </c>
      <c r="G176" t="s">
        <v>13</v>
      </c>
      <c r="H176" t="s">
        <v>13</v>
      </c>
      <c r="K176" s="30"/>
      <c r="L176" s="8">
        <v>42936.045358796298</v>
      </c>
      <c r="M176" s="21">
        <f>LEN(ProjTextTable[[#This Row],[text]])</f>
        <v>4092</v>
      </c>
      <c r="N176" s="21">
        <f>LEN(TRIM(CLEAN(SUBSTITUTE(ProjTextTable[[#This Row],[text]],CHAR(10)," "))))+1 - LEN(SUBSTITUTE(CLEAN(SUBSTITUTE(ProjTextTable[[#This Row],[text]],CHAR(10)," "))," ",""))</f>
        <v>558</v>
      </c>
      <c r="O176" t="s">
        <v>13</v>
      </c>
      <c r="P176" t="s">
        <v>898</v>
      </c>
    </row>
    <row r="177" spans="1:16">
      <c r="A177">
        <f t="shared" si="2"/>
        <v>30</v>
      </c>
      <c r="B177" t="s">
        <v>899</v>
      </c>
      <c r="C177" t="s">
        <v>900</v>
      </c>
      <c r="D177" t="s">
        <v>207</v>
      </c>
      <c r="E177" t="s">
        <v>705</v>
      </c>
      <c r="F177" t="s">
        <v>706</v>
      </c>
      <c r="G177" t="s">
        <v>707</v>
      </c>
      <c r="H177" t="s">
        <v>386</v>
      </c>
      <c r="I177" t="s">
        <v>202</v>
      </c>
      <c r="K177" s="30">
        <v>43041</v>
      </c>
      <c r="L177" s="8"/>
      <c r="M177" s="21">
        <f>LEN(ProjTextTable[[#This Row],[text]])</f>
        <v>5102</v>
      </c>
      <c r="N177" s="21">
        <f>LEN(TRIM(CLEAN(SUBSTITUTE(ProjTextTable[[#This Row],[text]],CHAR(10)," "))))+1 - LEN(SUBSTITUTE(CLEAN(SUBSTITUTE(ProjTextTable[[#This Row],[text]],CHAR(10)," "))," ",""))</f>
        <v>788</v>
      </c>
      <c r="O177" t="s">
        <v>359</v>
      </c>
      <c r="P177" t="s">
        <v>901</v>
      </c>
    </row>
    <row r="178" spans="1:16">
      <c r="A178">
        <f t="shared" si="2"/>
        <v>30</v>
      </c>
      <c r="B178" t="s">
        <v>899</v>
      </c>
      <c r="C178" t="s">
        <v>900</v>
      </c>
      <c r="D178" t="s">
        <v>196</v>
      </c>
      <c r="E178" t="s">
        <v>596</v>
      </c>
      <c r="F178" t="s">
        <v>802</v>
      </c>
      <c r="G178" t="s">
        <v>803</v>
      </c>
      <c r="H178" t="s">
        <v>804</v>
      </c>
      <c r="I178" t="s">
        <v>259</v>
      </c>
      <c r="J178" t="s">
        <v>176</v>
      </c>
      <c r="K178" s="30">
        <v>43042</v>
      </c>
      <c r="L178" s="8">
        <v>43039.892685185187</v>
      </c>
      <c r="M178" s="21">
        <f>LEN(ProjTextTable[[#This Row],[text]])</f>
        <v>3536</v>
      </c>
      <c r="N178" s="21">
        <f>LEN(TRIM(CLEAN(SUBSTITUTE(ProjTextTable[[#This Row],[text]],CHAR(10)," "))))+1 - LEN(SUBSTITUTE(CLEAN(SUBSTITUTE(ProjTextTable[[#This Row],[text]],CHAR(10)," "))," ",""))</f>
        <v>496</v>
      </c>
      <c r="O178" t="s">
        <v>203</v>
      </c>
      <c r="P178" t="s">
        <v>902</v>
      </c>
    </row>
    <row r="179" spans="1:16">
      <c r="A179">
        <f t="shared" si="2"/>
        <v>30</v>
      </c>
      <c r="B179" t="s">
        <v>899</v>
      </c>
      <c r="C179" t="s">
        <v>900</v>
      </c>
      <c r="D179" t="s">
        <v>196</v>
      </c>
      <c r="E179" t="s">
        <v>596</v>
      </c>
      <c r="F179" t="s">
        <v>735</v>
      </c>
      <c r="G179" t="s">
        <v>736</v>
      </c>
      <c r="H179" t="s">
        <v>737</v>
      </c>
      <c r="I179" t="s">
        <v>259</v>
      </c>
      <c r="J179" t="s">
        <v>176</v>
      </c>
      <c r="K179" s="30">
        <v>43042</v>
      </c>
      <c r="L179" s="8">
        <v>43041.469629629632</v>
      </c>
      <c r="M179" s="21">
        <f>LEN(ProjTextTable[[#This Row],[text]])</f>
        <v>2514</v>
      </c>
      <c r="N179" s="21">
        <f>LEN(TRIM(CLEAN(SUBSTITUTE(ProjTextTable[[#This Row],[text]],CHAR(10)," "))))+1 - LEN(SUBSTITUTE(CLEAN(SUBSTITUTE(ProjTextTable[[#This Row],[text]],CHAR(10)," "))," ",""))</f>
        <v>370</v>
      </c>
      <c r="O179" t="s">
        <v>212</v>
      </c>
      <c r="P179" t="s">
        <v>903</v>
      </c>
    </row>
    <row r="180" spans="1:16">
      <c r="A180">
        <f t="shared" si="2"/>
        <v>30</v>
      </c>
      <c r="B180" t="s">
        <v>899</v>
      </c>
      <c r="C180" t="s">
        <v>900</v>
      </c>
      <c r="D180" t="s">
        <v>196</v>
      </c>
      <c r="E180" t="s">
        <v>596</v>
      </c>
      <c r="F180" t="s">
        <v>717</v>
      </c>
      <c r="G180" t="s">
        <v>648</v>
      </c>
      <c r="H180" t="s">
        <v>718</v>
      </c>
      <c r="I180" t="s">
        <v>259</v>
      </c>
      <c r="J180" t="s">
        <v>176</v>
      </c>
      <c r="K180" s="30">
        <v>43042</v>
      </c>
      <c r="L180" s="8">
        <v>43039.761469907404</v>
      </c>
      <c r="M180" s="21">
        <f>LEN(ProjTextTable[[#This Row],[text]])</f>
        <v>3262</v>
      </c>
      <c r="N180" s="21">
        <f>LEN(TRIM(CLEAN(SUBSTITUTE(ProjTextTable[[#This Row],[text]],CHAR(10)," "))))+1 - LEN(SUBSTITUTE(CLEAN(SUBSTITUTE(ProjTextTable[[#This Row],[text]],CHAR(10)," "))," ",""))</f>
        <v>479</v>
      </c>
      <c r="O180" t="s">
        <v>203</v>
      </c>
      <c r="P180" t="s">
        <v>904</v>
      </c>
    </row>
    <row r="181" spans="1:16">
      <c r="A181">
        <f t="shared" si="2"/>
        <v>30</v>
      </c>
      <c r="B181" t="s">
        <v>899</v>
      </c>
      <c r="C181" t="s">
        <v>900</v>
      </c>
      <c r="D181" t="s">
        <v>196</v>
      </c>
      <c r="E181" t="s">
        <v>596</v>
      </c>
      <c r="F181" t="s">
        <v>753</v>
      </c>
      <c r="G181" t="s">
        <v>754</v>
      </c>
      <c r="H181" t="s">
        <v>755</v>
      </c>
      <c r="I181" t="s">
        <v>259</v>
      </c>
      <c r="J181" t="s">
        <v>176</v>
      </c>
      <c r="K181" s="30">
        <v>43042</v>
      </c>
      <c r="L181" s="8">
        <v>43041.644884259258</v>
      </c>
      <c r="M181" s="21">
        <f>LEN(ProjTextTable[[#This Row],[text]])</f>
        <v>3284</v>
      </c>
      <c r="N181" s="21">
        <f>LEN(TRIM(CLEAN(SUBSTITUTE(ProjTextTable[[#This Row],[text]],CHAR(10)," "))))+1 - LEN(SUBSTITUTE(CLEAN(SUBSTITUTE(ProjTextTable[[#This Row],[text]],CHAR(10)," "))," ",""))</f>
        <v>491</v>
      </c>
      <c r="O181" t="s">
        <v>212</v>
      </c>
      <c r="P181" t="s">
        <v>905</v>
      </c>
    </row>
    <row r="182" spans="1:16">
      <c r="A182">
        <f t="shared" si="2"/>
        <v>30</v>
      </c>
      <c r="B182" t="s">
        <v>899</v>
      </c>
      <c r="C182" t="s">
        <v>900</v>
      </c>
      <c r="D182" t="s">
        <v>198</v>
      </c>
      <c r="E182" t="s">
        <v>596</v>
      </c>
      <c r="F182" t="s">
        <v>13</v>
      </c>
      <c r="G182" t="s">
        <v>13</v>
      </c>
      <c r="H182" t="s">
        <v>13</v>
      </c>
      <c r="K182" s="30"/>
      <c r="L182" s="8">
        <v>42936.045393518521</v>
      </c>
      <c r="M182" s="21">
        <f>LEN(ProjTextTable[[#This Row],[text]])</f>
        <v>3932</v>
      </c>
      <c r="N182" s="21">
        <f>LEN(TRIM(CLEAN(SUBSTITUTE(ProjTextTable[[#This Row],[text]],CHAR(10)," "))))+1 - LEN(SUBSTITUTE(CLEAN(SUBSTITUTE(ProjTextTable[[#This Row],[text]],CHAR(10)," "))," ",""))</f>
        <v>566</v>
      </c>
      <c r="O182" t="s">
        <v>13</v>
      </c>
      <c r="P182" t="s">
        <v>906</v>
      </c>
    </row>
    <row r="183" spans="1:16">
      <c r="A183">
        <f t="shared" si="2"/>
        <v>31</v>
      </c>
      <c r="B183" t="s">
        <v>907</v>
      </c>
      <c r="C183" t="s">
        <v>908</v>
      </c>
      <c r="D183" t="s">
        <v>207</v>
      </c>
      <c r="E183" t="s">
        <v>705</v>
      </c>
      <c r="F183" t="s">
        <v>706</v>
      </c>
      <c r="G183" t="s">
        <v>707</v>
      </c>
      <c r="H183" t="s">
        <v>255</v>
      </c>
      <c r="I183" t="s">
        <v>195</v>
      </c>
      <c r="K183" s="30">
        <v>43041</v>
      </c>
      <c r="L183" s="8"/>
      <c r="M183" s="21">
        <f>LEN(ProjTextTable[[#This Row],[text]])</f>
        <v>5999</v>
      </c>
      <c r="N183" s="21">
        <f>LEN(TRIM(CLEAN(SUBSTITUTE(ProjTextTable[[#This Row],[text]],CHAR(10)," "))))+1 - LEN(SUBSTITUTE(CLEAN(SUBSTITUTE(ProjTextTable[[#This Row],[text]],CHAR(10)," "))," ",""))</f>
        <v>947</v>
      </c>
      <c r="O183" t="s">
        <v>254</v>
      </c>
      <c r="P183" t="s">
        <v>909</v>
      </c>
    </row>
    <row r="184" spans="1:16">
      <c r="A184">
        <f t="shared" si="2"/>
        <v>31</v>
      </c>
      <c r="B184" t="s">
        <v>907</v>
      </c>
      <c r="C184" t="s">
        <v>908</v>
      </c>
      <c r="D184" t="s">
        <v>196</v>
      </c>
      <c r="E184" t="s">
        <v>596</v>
      </c>
      <c r="F184" t="s">
        <v>749</v>
      </c>
      <c r="G184" t="s">
        <v>750</v>
      </c>
      <c r="H184" t="s">
        <v>751</v>
      </c>
      <c r="I184" t="s">
        <v>259</v>
      </c>
      <c r="J184" t="s">
        <v>176</v>
      </c>
      <c r="K184" s="30">
        <v>43042</v>
      </c>
      <c r="L184" s="8">
        <v>43042.375104166669</v>
      </c>
      <c r="M184" s="21">
        <f>LEN(ProjTextTable[[#This Row],[text]])</f>
        <v>2001</v>
      </c>
      <c r="N184" s="21">
        <f>LEN(TRIM(CLEAN(SUBSTITUTE(ProjTextTable[[#This Row],[text]],CHAR(10)," "))))+1 - LEN(SUBSTITUTE(CLEAN(SUBSTITUTE(ProjTextTable[[#This Row],[text]],CHAR(10)," "))," ",""))</f>
        <v>307</v>
      </c>
      <c r="O184" t="s">
        <v>204</v>
      </c>
      <c r="P184" t="s">
        <v>910</v>
      </c>
    </row>
    <row r="185" spans="1:16">
      <c r="A185">
        <f t="shared" si="2"/>
        <v>31</v>
      </c>
      <c r="B185" t="s">
        <v>907</v>
      </c>
      <c r="C185" t="s">
        <v>908</v>
      </c>
      <c r="D185" t="s">
        <v>196</v>
      </c>
      <c r="E185" t="s">
        <v>596</v>
      </c>
      <c r="F185" t="s">
        <v>782</v>
      </c>
      <c r="G185" t="s">
        <v>783</v>
      </c>
      <c r="H185" t="s">
        <v>784</v>
      </c>
      <c r="I185" t="s">
        <v>259</v>
      </c>
      <c r="J185" t="s">
        <v>176</v>
      </c>
      <c r="K185" s="30">
        <v>43042</v>
      </c>
      <c r="L185" s="8">
        <v>43039.950381944444</v>
      </c>
      <c r="M185" s="21">
        <f>LEN(ProjTextTable[[#This Row],[text]])</f>
        <v>1573</v>
      </c>
      <c r="N185" s="21">
        <f>LEN(TRIM(CLEAN(SUBSTITUTE(ProjTextTable[[#This Row],[text]],CHAR(10)," "))))+1 - LEN(SUBSTITUTE(CLEAN(SUBSTITUTE(ProjTextTable[[#This Row],[text]],CHAR(10)," "))," ",""))</f>
        <v>232</v>
      </c>
      <c r="O185" t="s">
        <v>203</v>
      </c>
      <c r="P185" t="s">
        <v>911</v>
      </c>
    </row>
    <row r="186" spans="1:16">
      <c r="A186">
        <f t="shared" si="2"/>
        <v>31</v>
      </c>
      <c r="B186" t="s">
        <v>907</v>
      </c>
      <c r="C186" t="s">
        <v>908</v>
      </c>
      <c r="D186" t="s">
        <v>196</v>
      </c>
      <c r="E186" t="s">
        <v>596</v>
      </c>
      <c r="F186" t="s">
        <v>735</v>
      </c>
      <c r="G186" t="s">
        <v>736</v>
      </c>
      <c r="H186" t="s">
        <v>737</v>
      </c>
      <c r="I186" t="s">
        <v>259</v>
      </c>
      <c r="J186" t="s">
        <v>176</v>
      </c>
      <c r="K186" s="30">
        <v>43042</v>
      </c>
      <c r="L186" s="8">
        <v>43040.657395833332</v>
      </c>
      <c r="M186" s="21">
        <f>LEN(ProjTextTable[[#This Row],[text]])</f>
        <v>4675</v>
      </c>
      <c r="N186" s="21">
        <f>LEN(TRIM(CLEAN(SUBSTITUTE(ProjTextTable[[#This Row],[text]],CHAR(10)," "))))+1 - LEN(SUBSTITUTE(CLEAN(SUBSTITUTE(ProjTextTable[[#This Row],[text]],CHAR(10)," "))," ",""))</f>
        <v>723</v>
      </c>
      <c r="O186" t="s">
        <v>201</v>
      </c>
      <c r="P186" t="s">
        <v>912</v>
      </c>
    </row>
    <row r="187" spans="1:16">
      <c r="A187">
        <f t="shared" si="2"/>
        <v>31</v>
      </c>
      <c r="B187" t="s">
        <v>907</v>
      </c>
      <c r="C187" t="s">
        <v>908</v>
      </c>
      <c r="D187" t="s">
        <v>196</v>
      </c>
      <c r="E187" t="s">
        <v>596</v>
      </c>
      <c r="F187" t="s">
        <v>720</v>
      </c>
      <c r="G187" t="s">
        <v>721</v>
      </c>
      <c r="H187" t="s">
        <v>722</v>
      </c>
      <c r="I187" t="s">
        <v>259</v>
      </c>
      <c r="J187" t="s">
        <v>176</v>
      </c>
      <c r="K187" s="30">
        <v>43042</v>
      </c>
      <c r="L187" s="8">
        <v>43041.013564814813</v>
      </c>
      <c r="M187" s="21">
        <f>LEN(ProjTextTable[[#This Row],[text]])</f>
        <v>4658</v>
      </c>
      <c r="N187" s="21">
        <f>LEN(TRIM(CLEAN(SUBSTITUTE(ProjTextTable[[#This Row],[text]],CHAR(10)," "))))+1 - LEN(SUBSTITUTE(CLEAN(SUBSTITUTE(ProjTextTable[[#This Row],[text]],CHAR(10)," "))," ",""))</f>
        <v>739</v>
      </c>
      <c r="O187" t="s">
        <v>197</v>
      </c>
      <c r="P187" t="s">
        <v>913</v>
      </c>
    </row>
    <row r="188" spans="1:16">
      <c r="A188">
        <f t="shared" si="2"/>
        <v>31</v>
      </c>
      <c r="B188" t="s">
        <v>907</v>
      </c>
      <c r="C188" t="s">
        <v>908</v>
      </c>
      <c r="D188" t="s">
        <v>198</v>
      </c>
      <c r="E188" t="s">
        <v>596</v>
      </c>
      <c r="F188" t="s">
        <v>13</v>
      </c>
      <c r="G188" t="s">
        <v>13</v>
      </c>
      <c r="H188" t="s">
        <v>13</v>
      </c>
      <c r="K188" s="30"/>
      <c r="L188" s="8">
        <v>42936.045543981483</v>
      </c>
      <c r="M188" s="21">
        <f>LEN(ProjTextTable[[#This Row],[text]])</f>
        <v>3553</v>
      </c>
      <c r="N188" s="21">
        <f>LEN(TRIM(CLEAN(SUBSTITUTE(ProjTextTable[[#This Row],[text]],CHAR(10)," "))))+1 - LEN(SUBSTITUTE(CLEAN(SUBSTITUTE(ProjTextTable[[#This Row],[text]],CHAR(10)," "))," ",""))</f>
        <v>485</v>
      </c>
      <c r="O188" t="s">
        <v>13</v>
      </c>
      <c r="P188" t="s">
        <v>914</v>
      </c>
    </row>
    <row r="189" spans="1:16">
      <c r="A189">
        <f t="shared" si="2"/>
        <v>32</v>
      </c>
      <c r="B189" t="s">
        <v>915</v>
      </c>
      <c r="C189" t="s">
        <v>916</v>
      </c>
      <c r="D189" t="s">
        <v>207</v>
      </c>
      <c r="E189" t="s">
        <v>705</v>
      </c>
      <c r="F189" t="s">
        <v>706</v>
      </c>
      <c r="G189" t="s">
        <v>707</v>
      </c>
      <c r="H189" t="s">
        <v>255</v>
      </c>
      <c r="I189" t="s">
        <v>195</v>
      </c>
      <c r="K189" s="30">
        <v>43041</v>
      </c>
      <c r="L189" s="8"/>
      <c r="M189" s="21">
        <f>LEN(ProjTextTable[[#This Row],[text]])</f>
        <v>2858</v>
      </c>
      <c r="N189" s="21">
        <f>LEN(TRIM(CLEAN(SUBSTITUTE(ProjTextTable[[#This Row],[text]],CHAR(10)," "))))+1 - LEN(SUBSTITUTE(CLEAN(SUBSTITUTE(ProjTextTable[[#This Row],[text]],CHAR(10)," "))," ",""))</f>
        <v>423</v>
      </c>
      <c r="O189" t="s">
        <v>254</v>
      </c>
      <c r="P189" t="s">
        <v>917</v>
      </c>
    </row>
    <row r="190" spans="1:16">
      <c r="A190">
        <f t="shared" si="2"/>
        <v>32</v>
      </c>
      <c r="B190" t="s">
        <v>915</v>
      </c>
      <c r="C190" t="s">
        <v>916</v>
      </c>
      <c r="D190" t="s">
        <v>196</v>
      </c>
      <c r="E190" t="s">
        <v>596</v>
      </c>
      <c r="F190" t="s">
        <v>802</v>
      </c>
      <c r="G190" t="s">
        <v>803</v>
      </c>
      <c r="H190" t="s">
        <v>804</v>
      </c>
      <c r="I190" t="s">
        <v>259</v>
      </c>
      <c r="J190" t="s">
        <v>176</v>
      </c>
      <c r="K190" s="30">
        <v>43042</v>
      </c>
      <c r="L190" s="8">
        <v>43039.955231481479</v>
      </c>
      <c r="M190" s="21">
        <f>LEN(ProjTextTable[[#This Row],[text]])</f>
        <v>3835</v>
      </c>
      <c r="N190" s="21">
        <f>LEN(TRIM(CLEAN(SUBSTITUTE(ProjTextTable[[#This Row],[text]],CHAR(10)," "))))+1 - LEN(SUBSTITUTE(CLEAN(SUBSTITUTE(ProjTextTable[[#This Row],[text]],CHAR(10)," "))," ",""))</f>
        <v>554</v>
      </c>
      <c r="O190" t="s">
        <v>197</v>
      </c>
      <c r="P190" t="s">
        <v>918</v>
      </c>
    </row>
    <row r="191" spans="1:16">
      <c r="A191">
        <f t="shared" si="2"/>
        <v>32</v>
      </c>
      <c r="B191" t="s">
        <v>915</v>
      </c>
      <c r="C191" t="s">
        <v>916</v>
      </c>
      <c r="D191" t="s">
        <v>196</v>
      </c>
      <c r="E191" t="s">
        <v>596</v>
      </c>
      <c r="F191" t="s">
        <v>713</v>
      </c>
      <c r="G191" t="s">
        <v>714</v>
      </c>
      <c r="H191" t="s">
        <v>715</v>
      </c>
      <c r="I191" t="s">
        <v>259</v>
      </c>
      <c r="J191" t="s">
        <v>176</v>
      </c>
      <c r="K191" s="30">
        <v>43042</v>
      </c>
      <c r="L191" s="8">
        <v>43039.027673611112</v>
      </c>
      <c r="M191" s="21">
        <f>LEN(ProjTextTable[[#This Row],[text]])</f>
        <v>2439</v>
      </c>
      <c r="N191" s="21">
        <f>LEN(TRIM(CLEAN(SUBSTITUTE(ProjTextTable[[#This Row],[text]],CHAR(10)," "))))+1 - LEN(SUBSTITUTE(CLEAN(SUBSTITUTE(ProjTextTable[[#This Row],[text]],CHAR(10)," "))," ",""))</f>
        <v>371</v>
      </c>
      <c r="O191" t="s">
        <v>203</v>
      </c>
      <c r="P191" t="s">
        <v>919</v>
      </c>
    </row>
    <row r="192" spans="1:16">
      <c r="A192">
        <f t="shared" si="2"/>
        <v>32</v>
      </c>
      <c r="B192" t="s">
        <v>915</v>
      </c>
      <c r="C192" t="s">
        <v>916</v>
      </c>
      <c r="D192" t="s">
        <v>196</v>
      </c>
      <c r="E192" t="s">
        <v>596</v>
      </c>
      <c r="F192" t="s">
        <v>815</v>
      </c>
      <c r="G192" t="s">
        <v>816</v>
      </c>
      <c r="H192" t="s">
        <v>817</v>
      </c>
      <c r="I192" t="s">
        <v>259</v>
      </c>
      <c r="J192" t="s">
        <v>176</v>
      </c>
      <c r="K192" s="30">
        <v>43042</v>
      </c>
      <c r="L192" s="8">
        <v>43041.750949074078</v>
      </c>
      <c r="M192" s="21">
        <f>LEN(ProjTextTable[[#This Row],[text]])</f>
        <v>2705</v>
      </c>
      <c r="N192" s="21">
        <f>LEN(TRIM(CLEAN(SUBSTITUTE(ProjTextTable[[#This Row],[text]],CHAR(10)," "))))+1 - LEN(SUBSTITUTE(CLEAN(SUBSTITUTE(ProjTextTable[[#This Row],[text]],CHAR(10)," "))," ",""))</f>
        <v>394</v>
      </c>
      <c r="O192" t="s">
        <v>203</v>
      </c>
      <c r="P192" t="s">
        <v>920</v>
      </c>
    </row>
    <row r="193" spans="1:16">
      <c r="A193">
        <f t="shared" si="2"/>
        <v>32</v>
      </c>
      <c r="B193" t="s">
        <v>915</v>
      </c>
      <c r="C193" t="s">
        <v>916</v>
      </c>
      <c r="D193" t="s">
        <v>196</v>
      </c>
      <c r="E193" t="s">
        <v>596</v>
      </c>
      <c r="F193" t="s">
        <v>753</v>
      </c>
      <c r="G193" t="s">
        <v>754</v>
      </c>
      <c r="H193" t="s">
        <v>755</v>
      </c>
      <c r="I193" t="s">
        <v>259</v>
      </c>
      <c r="J193" t="s">
        <v>176</v>
      </c>
      <c r="K193" s="30">
        <v>43042</v>
      </c>
      <c r="L193" s="8">
        <v>43040.972222222219</v>
      </c>
      <c r="M193" s="21">
        <f>LEN(ProjTextTable[[#This Row],[text]])</f>
        <v>3076</v>
      </c>
      <c r="N193" s="21">
        <f>LEN(TRIM(CLEAN(SUBSTITUTE(ProjTextTable[[#This Row],[text]],CHAR(10)," "))))+1 - LEN(SUBSTITUTE(CLEAN(SUBSTITUTE(ProjTextTable[[#This Row],[text]],CHAR(10)," "))," ",""))</f>
        <v>453</v>
      </c>
      <c r="O193" t="s">
        <v>197</v>
      </c>
      <c r="P193" t="s">
        <v>921</v>
      </c>
    </row>
    <row r="194" spans="1:16">
      <c r="A194">
        <f t="shared" ref="A194:A257" si="3">A193+(B194&lt;&gt;B193)</f>
        <v>32</v>
      </c>
      <c r="B194" t="s">
        <v>915</v>
      </c>
      <c r="C194" t="s">
        <v>916</v>
      </c>
      <c r="D194" t="s">
        <v>198</v>
      </c>
      <c r="E194" t="s">
        <v>596</v>
      </c>
      <c r="F194" t="s">
        <v>13</v>
      </c>
      <c r="G194" t="s">
        <v>13</v>
      </c>
      <c r="H194" t="s">
        <v>13</v>
      </c>
      <c r="K194" s="30"/>
      <c r="L194" s="8">
        <v>42936.045624999999</v>
      </c>
      <c r="M194" s="21">
        <f>LEN(ProjTextTable[[#This Row],[text]])</f>
        <v>3931</v>
      </c>
      <c r="N194" s="21">
        <f>LEN(TRIM(CLEAN(SUBSTITUTE(ProjTextTable[[#This Row],[text]],CHAR(10)," "))))+1 - LEN(SUBSTITUTE(CLEAN(SUBSTITUTE(ProjTextTable[[#This Row],[text]],CHAR(10)," "))," ",""))</f>
        <v>544</v>
      </c>
      <c r="O194" t="s">
        <v>13</v>
      </c>
      <c r="P194" t="s">
        <v>922</v>
      </c>
    </row>
    <row r="195" spans="1:16">
      <c r="A195">
        <f t="shared" si="3"/>
        <v>33</v>
      </c>
      <c r="B195" t="s">
        <v>923</v>
      </c>
      <c r="C195" t="s">
        <v>924</v>
      </c>
      <c r="D195" t="s">
        <v>207</v>
      </c>
      <c r="E195" t="s">
        <v>705</v>
      </c>
      <c r="F195" t="s">
        <v>706</v>
      </c>
      <c r="G195" t="s">
        <v>707</v>
      </c>
      <c r="H195" t="s">
        <v>255</v>
      </c>
      <c r="I195" t="s">
        <v>195</v>
      </c>
      <c r="K195" s="30">
        <v>43041</v>
      </c>
      <c r="L195" s="8"/>
      <c r="M195" s="21">
        <f>LEN(ProjTextTable[[#This Row],[text]])</f>
        <v>3572</v>
      </c>
      <c r="N195" s="21">
        <f>LEN(TRIM(CLEAN(SUBSTITUTE(ProjTextTable[[#This Row],[text]],CHAR(10)," "))))+1 - LEN(SUBSTITUTE(CLEAN(SUBSTITUTE(ProjTextTable[[#This Row],[text]],CHAR(10)," "))," ",""))</f>
        <v>525</v>
      </c>
      <c r="O195" t="s">
        <v>254</v>
      </c>
      <c r="P195" t="s">
        <v>925</v>
      </c>
    </row>
    <row r="196" spans="1:16">
      <c r="A196">
        <f t="shared" si="3"/>
        <v>33</v>
      </c>
      <c r="B196" t="s">
        <v>923</v>
      </c>
      <c r="C196" t="s">
        <v>924</v>
      </c>
      <c r="D196" t="s">
        <v>196</v>
      </c>
      <c r="E196" t="s">
        <v>596</v>
      </c>
      <c r="F196" t="s">
        <v>802</v>
      </c>
      <c r="G196" t="s">
        <v>803</v>
      </c>
      <c r="H196" t="s">
        <v>804</v>
      </c>
      <c r="I196" t="s">
        <v>259</v>
      </c>
      <c r="J196" t="s">
        <v>176</v>
      </c>
      <c r="K196" s="30">
        <v>43042</v>
      </c>
      <c r="L196" s="8">
        <v>43040.925069444442</v>
      </c>
      <c r="M196" s="21">
        <f>LEN(ProjTextTable[[#This Row],[text]])</f>
        <v>2967</v>
      </c>
      <c r="N196" s="21">
        <f>LEN(TRIM(CLEAN(SUBSTITUTE(ProjTextTable[[#This Row],[text]],CHAR(10)," "))))+1 - LEN(SUBSTITUTE(CLEAN(SUBSTITUTE(ProjTextTable[[#This Row],[text]],CHAR(10)," "))," ",""))</f>
        <v>435</v>
      </c>
      <c r="O196" t="s">
        <v>203</v>
      </c>
      <c r="P196" t="s">
        <v>926</v>
      </c>
    </row>
    <row r="197" spans="1:16">
      <c r="A197">
        <f t="shared" si="3"/>
        <v>33</v>
      </c>
      <c r="B197" t="s">
        <v>923</v>
      </c>
      <c r="C197" t="s">
        <v>924</v>
      </c>
      <c r="D197" t="s">
        <v>196</v>
      </c>
      <c r="E197" t="s">
        <v>596</v>
      </c>
      <c r="F197" t="s">
        <v>749</v>
      </c>
      <c r="G197" t="s">
        <v>750</v>
      </c>
      <c r="H197" t="s">
        <v>751</v>
      </c>
      <c r="I197" t="s">
        <v>259</v>
      </c>
      <c r="J197" t="s">
        <v>176</v>
      </c>
      <c r="K197" s="30">
        <v>43042</v>
      </c>
      <c r="L197" s="8">
        <v>43035.018368055556</v>
      </c>
      <c r="M197" s="21">
        <f>LEN(ProjTextTable[[#This Row],[text]])</f>
        <v>1619</v>
      </c>
      <c r="N197" s="21">
        <f>LEN(TRIM(CLEAN(SUBSTITUTE(ProjTextTable[[#This Row],[text]],CHAR(10)," "))))+1 - LEN(SUBSTITUTE(CLEAN(SUBSTITUTE(ProjTextTable[[#This Row],[text]],CHAR(10)," "))," ",""))</f>
        <v>251</v>
      </c>
      <c r="O197" t="s">
        <v>205</v>
      </c>
      <c r="P197" t="s">
        <v>927</v>
      </c>
    </row>
    <row r="198" spans="1:16">
      <c r="A198">
        <f t="shared" si="3"/>
        <v>33</v>
      </c>
      <c r="B198" t="s">
        <v>923</v>
      </c>
      <c r="C198" t="s">
        <v>924</v>
      </c>
      <c r="D198" t="s">
        <v>196</v>
      </c>
      <c r="E198" t="s">
        <v>596</v>
      </c>
      <c r="F198" t="s">
        <v>713</v>
      </c>
      <c r="G198" t="s">
        <v>714</v>
      </c>
      <c r="H198" t="s">
        <v>715</v>
      </c>
      <c r="I198" t="s">
        <v>259</v>
      </c>
      <c r="J198" t="s">
        <v>176</v>
      </c>
      <c r="K198" s="30">
        <v>43042</v>
      </c>
      <c r="L198" s="8">
        <v>43039.985046296293</v>
      </c>
      <c r="M198" s="21">
        <f>LEN(ProjTextTable[[#This Row],[text]])</f>
        <v>2740</v>
      </c>
      <c r="N198" s="21">
        <f>LEN(TRIM(CLEAN(SUBSTITUTE(ProjTextTable[[#This Row],[text]],CHAR(10)," "))))+1 - LEN(SUBSTITUTE(CLEAN(SUBSTITUTE(ProjTextTable[[#This Row],[text]],CHAR(10)," "))," ",""))</f>
        <v>431</v>
      </c>
      <c r="O198" t="s">
        <v>205</v>
      </c>
      <c r="P198" t="s">
        <v>928</v>
      </c>
    </row>
    <row r="199" spans="1:16">
      <c r="A199">
        <f t="shared" si="3"/>
        <v>33</v>
      </c>
      <c r="B199" t="s">
        <v>923</v>
      </c>
      <c r="C199" t="s">
        <v>924</v>
      </c>
      <c r="D199" t="s">
        <v>196</v>
      </c>
      <c r="E199" t="s">
        <v>596</v>
      </c>
      <c r="F199" t="s">
        <v>732</v>
      </c>
      <c r="G199" t="s">
        <v>349</v>
      </c>
      <c r="H199" t="s">
        <v>733</v>
      </c>
      <c r="I199" t="s">
        <v>259</v>
      </c>
      <c r="J199" t="s">
        <v>176</v>
      </c>
      <c r="K199" s="30">
        <v>43042</v>
      </c>
      <c r="L199" s="8">
        <v>43042.334479166668</v>
      </c>
      <c r="M199" s="21">
        <f>LEN(ProjTextTable[[#This Row],[text]])</f>
        <v>2885</v>
      </c>
      <c r="N199" s="21">
        <f>LEN(TRIM(CLEAN(SUBSTITUTE(ProjTextTable[[#This Row],[text]],CHAR(10)," "))))+1 - LEN(SUBSTITUTE(CLEAN(SUBSTITUTE(ProjTextTable[[#This Row],[text]],CHAR(10)," "))," ",""))</f>
        <v>448</v>
      </c>
      <c r="O199" t="s">
        <v>203</v>
      </c>
      <c r="P199" t="s">
        <v>929</v>
      </c>
    </row>
    <row r="200" spans="1:16">
      <c r="A200">
        <f t="shared" si="3"/>
        <v>33</v>
      </c>
      <c r="B200" t="s">
        <v>923</v>
      </c>
      <c r="C200" t="s">
        <v>924</v>
      </c>
      <c r="D200" t="s">
        <v>198</v>
      </c>
      <c r="E200" t="s">
        <v>596</v>
      </c>
      <c r="F200" t="s">
        <v>13</v>
      </c>
      <c r="G200" t="s">
        <v>13</v>
      </c>
      <c r="H200" t="s">
        <v>13</v>
      </c>
      <c r="K200" s="30"/>
      <c r="L200" s="8">
        <v>42936.045717592591</v>
      </c>
      <c r="M200" s="21">
        <f>LEN(ProjTextTable[[#This Row],[text]])</f>
        <v>3402</v>
      </c>
      <c r="N200" s="21">
        <f>LEN(TRIM(CLEAN(SUBSTITUTE(ProjTextTable[[#This Row],[text]],CHAR(10)," "))))+1 - LEN(SUBSTITUTE(CLEAN(SUBSTITUTE(ProjTextTable[[#This Row],[text]],CHAR(10)," "))," ",""))</f>
        <v>510</v>
      </c>
      <c r="O200" t="s">
        <v>13</v>
      </c>
      <c r="P200" t="s">
        <v>930</v>
      </c>
    </row>
    <row r="201" spans="1:16">
      <c r="A201">
        <f t="shared" si="3"/>
        <v>34</v>
      </c>
      <c r="B201" t="s">
        <v>931</v>
      </c>
      <c r="C201" t="s">
        <v>354</v>
      </c>
      <c r="D201" t="s">
        <v>207</v>
      </c>
      <c r="E201" t="s">
        <v>705</v>
      </c>
      <c r="F201" t="s">
        <v>706</v>
      </c>
      <c r="G201" t="s">
        <v>707</v>
      </c>
      <c r="H201" t="s">
        <v>386</v>
      </c>
      <c r="I201" t="s">
        <v>202</v>
      </c>
      <c r="K201" s="30">
        <v>43041</v>
      </c>
      <c r="L201" s="8"/>
      <c r="M201" s="21">
        <f>LEN(ProjTextTable[[#This Row],[text]])</f>
        <v>2928</v>
      </c>
      <c r="N201" s="21">
        <f>LEN(TRIM(CLEAN(SUBSTITUTE(ProjTextTable[[#This Row],[text]],CHAR(10)," "))))+1 - LEN(SUBSTITUTE(CLEAN(SUBSTITUTE(ProjTextTable[[#This Row],[text]],CHAR(10)," "))," ",""))</f>
        <v>438</v>
      </c>
      <c r="O201" t="s">
        <v>359</v>
      </c>
      <c r="P201" t="s">
        <v>932</v>
      </c>
    </row>
    <row r="202" spans="1:16">
      <c r="A202">
        <f t="shared" si="3"/>
        <v>34</v>
      </c>
      <c r="B202" t="s">
        <v>931</v>
      </c>
      <c r="C202" t="s">
        <v>354</v>
      </c>
      <c r="D202" t="s">
        <v>196</v>
      </c>
      <c r="E202" t="s">
        <v>596</v>
      </c>
      <c r="F202" t="s">
        <v>749</v>
      </c>
      <c r="G202" t="s">
        <v>750</v>
      </c>
      <c r="H202" t="s">
        <v>751</v>
      </c>
      <c r="I202" t="s">
        <v>259</v>
      </c>
      <c r="J202" t="s">
        <v>176</v>
      </c>
      <c r="K202" s="30">
        <v>43042</v>
      </c>
      <c r="L202" s="8">
        <v>43035.018865740742</v>
      </c>
      <c r="M202" s="21">
        <f>LEN(ProjTextTable[[#This Row],[text]])</f>
        <v>1064</v>
      </c>
      <c r="N202" s="21">
        <f>LEN(TRIM(CLEAN(SUBSTITUTE(ProjTextTable[[#This Row],[text]],CHAR(10)," "))))+1 - LEN(SUBSTITUTE(CLEAN(SUBSTITUTE(ProjTextTable[[#This Row],[text]],CHAR(10)," "))," ",""))</f>
        <v>161</v>
      </c>
      <c r="O202" t="s">
        <v>203</v>
      </c>
      <c r="P202" t="s">
        <v>933</v>
      </c>
    </row>
    <row r="203" spans="1:16">
      <c r="A203">
        <f t="shared" si="3"/>
        <v>34</v>
      </c>
      <c r="B203" t="s">
        <v>931</v>
      </c>
      <c r="C203" t="s">
        <v>354</v>
      </c>
      <c r="D203" t="s">
        <v>196</v>
      </c>
      <c r="E203" t="s">
        <v>596</v>
      </c>
      <c r="F203" t="s">
        <v>713</v>
      </c>
      <c r="G203" t="s">
        <v>714</v>
      </c>
      <c r="H203" t="s">
        <v>715</v>
      </c>
      <c r="I203" t="s">
        <v>259</v>
      </c>
      <c r="J203" t="s">
        <v>176</v>
      </c>
      <c r="K203" s="30">
        <v>43042</v>
      </c>
      <c r="L203" s="8">
        <v>43039.02784722222</v>
      </c>
      <c r="M203" s="21">
        <f>LEN(ProjTextTable[[#This Row],[text]])</f>
        <v>4657</v>
      </c>
      <c r="N203" s="21">
        <f>LEN(TRIM(CLEAN(SUBSTITUTE(ProjTextTable[[#This Row],[text]],CHAR(10)," "))))+1 - LEN(SUBSTITUTE(CLEAN(SUBSTITUTE(ProjTextTable[[#This Row],[text]],CHAR(10)," "))," ",""))</f>
        <v>700</v>
      </c>
      <c r="O203" t="s">
        <v>212</v>
      </c>
      <c r="P203" t="s">
        <v>934</v>
      </c>
    </row>
    <row r="204" spans="1:16">
      <c r="A204">
        <f t="shared" si="3"/>
        <v>34</v>
      </c>
      <c r="B204" t="s">
        <v>931</v>
      </c>
      <c r="C204" t="s">
        <v>354</v>
      </c>
      <c r="D204" t="s">
        <v>196</v>
      </c>
      <c r="E204" t="s">
        <v>596</v>
      </c>
      <c r="F204" t="s">
        <v>732</v>
      </c>
      <c r="G204" t="s">
        <v>349</v>
      </c>
      <c r="H204" t="s">
        <v>733</v>
      </c>
      <c r="I204" t="s">
        <v>259</v>
      </c>
      <c r="J204" t="s">
        <v>176</v>
      </c>
      <c r="K204" s="30">
        <v>43042</v>
      </c>
      <c r="L204" s="8">
        <v>43031.766712962963</v>
      </c>
      <c r="M204" s="21">
        <f>LEN(ProjTextTable[[#This Row],[text]])</f>
        <v>3215</v>
      </c>
      <c r="N204" s="21">
        <f>LEN(TRIM(CLEAN(SUBSTITUTE(ProjTextTable[[#This Row],[text]],CHAR(10)," "))))+1 - LEN(SUBSTITUTE(CLEAN(SUBSTITUTE(ProjTextTable[[#This Row],[text]],CHAR(10)," "))," ",""))</f>
        <v>486</v>
      </c>
      <c r="O204" t="s">
        <v>203</v>
      </c>
      <c r="P204" t="s">
        <v>935</v>
      </c>
    </row>
    <row r="205" spans="1:16">
      <c r="A205">
        <f t="shared" si="3"/>
        <v>34</v>
      </c>
      <c r="B205" t="s">
        <v>931</v>
      </c>
      <c r="C205" t="s">
        <v>354</v>
      </c>
      <c r="D205" t="s">
        <v>196</v>
      </c>
      <c r="E205" t="s">
        <v>596</v>
      </c>
      <c r="F205" t="s">
        <v>815</v>
      </c>
      <c r="G205" t="s">
        <v>816</v>
      </c>
      <c r="H205" t="s">
        <v>817</v>
      </c>
      <c r="I205" t="s">
        <v>259</v>
      </c>
      <c r="J205" t="s">
        <v>176</v>
      </c>
      <c r="K205" s="30">
        <v>43042</v>
      </c>
      <c r="L205" s="8">
        <v>43041.422569444447</v>
      </c>
      <c r="M205" s="21">
        <f>LEN(ProjTextTable[[#This Row],[text]])</f>
        <v>2479</v>
      </c>
      <c r="N205" s="21">
        <f>LEN(TRIM(CLEAN(SUBSTITUTE(ProjTextTable[[#This Row],[text]],CHAR(10)," "))))+1 - LEN(SUBSTITUTE(CLEAN(SUBSTITUTE(ProjTextTable[[#This Row],[text]],CHAR(10)," "))," ",""))</f>
        <v>346</v>
      </c>
      <c r="O205" t="s">
        <v>205</v>
      </c>
      <c r="P205" t="s">
        <v>936</v>
      </c>
    </row>
    <row r="206" spans="1:16">
      <c r="A206">
        <f t="shared" si="3"/>
        <v>34</v>
      </c>
      <c r="B206" t="s">
        <v>931</v>
      </c>
      <c r="C206" t="s">
        <v>354</v>
      </c>
      <c r="D206" t="s">
        <v>198</v>
      </c>
      <c r="E206" t="s">
        <v>596</v>
      </c>
      <c r="F206" t="s">
        <v>13</v>
      </c>
      <c r="G206" t="s">
        <v>13</v>
      </c>
      <c r="H206" t="s">
        <v>13</v>
      </c>
      <c r="K206" s="30"/>
      <c r="L206" s="8">
        <v>42936.045914351853</v>
      </c>
      <c r="M206" s="21">
        <f>LEN(ProjTextTable[[#This Row],[text]])</f>
        <v>4597</v>
      </c>
      <c r="N206" s="21">
        <f>LEN(TRIM(CLEAN(SUBSTITUTE(ProjTextTable[[#This Row],[text]],CHAR(10)," "))))+1 - LEN(SUBSTITUTE(CLEAN(SUBSTITUTE(ProjTextTable[[#This Row],[text]],CHAR(10)," "))," ",""))</f>
        <v>672</v>
      </c>
      <c r="O206" t="s">
        <v>13</v>
      </c>
      <c r="P206" t="s">
        <v>937</v>
      </c>
    </row>
    <row r="207" spans="1:16">
      <c r="A207">
        <f t="shared" si="3"/>
        <v>34</v>
      </c>
      <c r="B207" t="s">
        <v>931</v>
      </c>
      <c r="C207" t="s">
        <v>354</v>
      </c>
      <c r="D207" t="s">
        <v>488</v>
      </c>
      <c r="E207" t="s">
        <v>596</v>
      </c>
      <c r="F207" t="s">
        <v>931</v>
      </c>
      <c r="G207" t="s">
        <v>725</v>
      </c>
      <c r="H207" t="s">
        <v>938</v>
      </c>
      <c r="K207" s="30"/>
      <c r="L207" s="8">
        <v>42956.644803240742</v>
      </c>
      <c r="M207" s="21">
        <f>LEN(ProjTextTable[[#This Row],[text]])</f>
        <v>132</v>
      </c>
      <c r="N207" s="21">
        <f>LEN(TRIM(CLEAN(SUBSTITUTE(ProjTextTable[[#This Row],[text]],CHAR(10)," "))))+1 - LEN(SUBSTITUTE(CLEAN(SUBSTITUTE(ProjTextTable[[#This Row],[text]],CHAR(10)," "))," ",""))</f>
        <v>20</v>
      </c>
      <c r="O207" t="s">
        <v>13</v>
      </c>
      <c r="P207" t="s">
        <v>939</v>
      </c>
    </row>
    <row r="208" spans="1:16">
      <c r="A208">
        <f t="shared" si="3"/>
        <v>35</v>
      </c>
      <c r="B208" t="s">
        <v>940</v>
      </c>
      <c r="C208" t="s">
        <v>369</v>
      </c>
      <c r="D208" t="s">
        <v>207</v>
      </c>
      <c r="E208" t="s">
        <v>705</v>
      </c>
      <c r="F208" t="s">
        <v>706</v>
      </c>
      <c r="G208" t="s">
        <v>707</v>
      </c>
      <c r="H208" t="s">
        <v>251</v>
      </c>
      <c r="I208" t="s">
        <v>95</v>
      </c>
      <c r="J208" t="s">
        <v>95</v>
      </c>
      <c r="K208" s="30">
        <v>43041</v>
      </c>
      <c r="L208" s="8"/>
      <c r="M208" s="21">
        <f>LEN(ProjTextTable[[#This Row],[text]])</f>
        <v>2881</v>
      </c>
      <c r="N208" s="21">
        <f>LEN(TRIM(CLEAN(SUBSTITUTE(ProjTextTable[[#This Row],[text]],CHAR(10)," "))))+1 - LEN(SUBSTITUTE(CLEAN(SUBSTITUTE(ProjTextTable[[#This Row],[text]],CHAR(10)," "))," ",""))</f>
        <v>392</v>
      </c>
      <c r="O208" t="s">
        <v>249</v>
      </c>
      <c r="P208" t="s">
        <v>941</v>
      </c>
    </row>
    <row r="209" spans="1:16">
      <c r="A209">
        <f t="shared" si="3"/>
        <v>35</v>
      </c>
      <c r="B209" t="s">
        <v>940</v>
      </c>
      <c r="C209" t="s">
        <v>369</v>
      </c>
      <c r="D209" t="s">
        <v>196</v>
      </c>
      <c r="E209" t="s">
        <v>596</v>
      </c>
      <c r="F209" t="s">
        <v>744</v>
      </c>
      <c r="G209" t="s">
        <v>745</v>
      </c>
      <c r="H209" t="s">
        <v>746</v>
      </c>
      <c r="I209" t="s">
        <v>259</v>
      </c>
      <c r="J209" t="s">
        <v>176</v>
      </c>
      <c r="K209" s="30">
        <v>43042</v>
      </c>
      <c r="L209" s="8">
        <v>43041.425393518519</v>
      </c>
      <c r="M209" s="21">
        <f>LEN(ProjTextTable[[#This Row],[text]])</f>
        <v>2646</v>
      </c>
      <c r="N209" s="21">
        <f>LEN(TRIM(CLEAN(SUBSTITUTE(ProjTextTable[[#This Row],[text]],CHAR(10)," "))))+1 - LEN(SUBSTITUTE(CLEAN(SUBSTITUTE(ProjTextTable[[#This Row],[text]],CHAR(10)," "))," ",""))</f>
        <v>402</v>
      </c>
      <c r="O209" t="s">
        <v>201</v>
      </c>
      <c r="P209" t="s">
        <v>942</v>
      </c>
    </row>
    <row r="210" spans="1:16">
      <c r="A210">
        <f t="shared" si="3"/>
        <v>35</v>
      </c>
      <c r="B210" t="s">
        <v>940</v>
      </c>
      <c r="C210" t="s">
        <v>369</v>
      </c>
      <c r="D210" t="s">
        <v>196</v>
      </c>
      <c r="E210" t="s">
        <v>596</v>
      </c>
      <c r="F210" t="s">
        <v>943</v>
      </c>
      <c r="G210" t="s">
        <v>944</v>
      </c>
      <c r="H210" t="s">
        <v>945</v>
      </c>
      <c r="I210" t="s">
        <v>259</v>
      </c>
      <c r="J210" t="s">
        <v>176</v>
      </c>
      <c r="K210" s="30">
        <v>42996</v>
      </c>
      <c r="L210" s="8">
        <v>42995.454016203701</v>
      </c>
      <c r="M210" s="21">
        <f>LEN(ProjTextTable[[#This Row],[text]])</f>
        <v>2312</v>
      </c>
      <c r="N210" s="21">
        <f>LEN(TRIM(CLEAN(SUBSTITUTE(ProjTextTable[[#This Row],[text]],CHAR(10)," "))))+1 - LEN(SUBSTITUTE(CLEAN(SUBSTITUTE(ProjTextTable[[#This Row],[text]],CHAR(10)," "))," ",""))</f>
        <v>323</v>
      </c>
      <c r="O210" t="s">
        <v>204</v>
      </c>
      <c r="P210" t="s">
        <v>946</v>
      </c>
    </row>
    <row r="211" spans="1:16">
      <c r="A211">
        <f t="shared" si="3"/>
        <v>35</v>
      </c>
      <c r="B211" t="s">
        <v>940</v>
      </c>
      <c r="C211" t="s">
        <v>369</v>
      </c>
      <c r="D211" t="s">
        <v>196</v>
      </c>
      <c r="E211" t="s">
        <v>596</v>
      </c>
      <c r="F211" t="s">
        <v>947</v>
      </c>
      <c r="G211" t="s">
        <v>948</v>
      </c>
      <c r="H211" t="s">
        <v>949</v>
      </c>
      <c r="I211" t="s">
        <v>259</v>
      </c>
      <c r="J211" t="s">
        <v>176</v>
      </c>
      <c r="K211" s="30">
        <v>43019</v>
      </c>
      <c r="L211" s="8">
        <v>43014.434930555559</v>
      </c>
      <c r="M211" s="21">
        <f>LEN(ProjTextTable[[#This Row],[text]])</f>
        <v>2943</v>
      </c>
      <c r="N211" s="21">
        <f>LEN(TRIM(CLEAN(SUBSTITUTE(ProjTextTable[[#This Row],[text]],CHAR(10)," "))))+1 - LEN(SUBSTITUTE(CLEAN(SUBSTITUTE(ProjTextTable[[#This Row],[text]],CHAR(10)," "))," ",""))</f>
        <v>455</v>
      </c>
      <c r="O211" t="s">
        <v>204</v>
      </c>
      <c r="P211" t="s">
        <v>950</v>
      </c>
    </row>
    <row r="212" spans="1:16">
      <c r="A212">
        <f t="shared" si="3"/>
        <v>35</v>
      </c>
      <c r="B212" t="s">
        <v>940</v>
      </c>
      <c r="C212" t="s">
        <v>369</v>
      </c>
      <c r="D212" t="s">
        <v>196</v>
      </c>
      <c r="E212" t="s">
        <v>596</v>
      </c>
      <c r="F212" t="s">
        <v>951</v>
      </c>
      <c r="G212" t="s">
        <v>952</v>
      </c>
      <c r="H212" t="s">
        <v>953</v>
      </c>
      <c r="I212" t="s">
        <v>259</v>
      </c>
      <c r="J212" t="s">
        <v>176</v>
      </c>
      <c r="K212" s="30">
        <v>42996</v>
      </c>
      <c r="L212" s="8">
        <v>42996.62462962963</v>
      </c>
      <c r="M212" s="21">
        <f>LEN(ProjTextTable[[#This Row],[text]])</f>
        <v>2566</v>
      </c>
      <c r="N212" s="21">
        <f>LEN(TRIM(CLEAN(SUBSTITUTE(ProjTextTable[[#This Row],[text]],CHAR(10)," "))))+1 - LEN(SUBSTITUTE(CLEAN(SUBSTITUTE(ProjTextTable[[#This Row],[text]],CHAR(10)," "))," ",""))</f>
        <v>348</v>
      </c>
      <c r="O212" t="s">
        <v>197</v>
      </c>
      <c r="P212" t="s">
        <v>954</v>
      </c>
    </row>
    <row r="213" spans="1:16">
      <c r="A213">
        <f t="shared" si="3"/>
        <v>35</v>
      </c>
      <c r="B213" t="s">
        <v>940</v>
      </c>
      <c r="C213" t="s">
        <v>369</v>
      </c>
      <c r="D213" t="s">
        <v>196</v>
      </c>
      <c r="E213" t="s">
        <v>596</v>
      </c>
      <c r="F213" t="s">
        <v>773</v>
      </c>
      <c r="G213" t="s">
        <v>774</v>
      </c>
      <c r="H213" t="s">
        <v>775</v>
      </c>
      <c r="I213" t="s">
        <v>259</v>
      </c>
      <c r="J213" t="s">
        <v>176</v>
      </c>
      <c r="K213" s="30">
        <v>43019</v>
      </c>
      <c r="L213" s="8">
        <v>43019.253379629627</v>
      </c>
      <c r="M213" s="21">
        <f>LEN(ProjTextTable[[#This Row],[text]])</f>
        <v>2791</v>
      </c>
      <c r="N213" s="21">
        <f>LEN(TRIM(CLEAN(SUBSTITUTE(ProjTextTable[[#This Row],[text]],CHAR(10)," "))))+1 - LEN(SUBSTITUTE(CLEAN(SUBSTITUTE(ProjTextTable[[#This Row],[text]],CHAR(10)," "))," ",""))</f>
        <v>438</v>
      </c>
      <c r="O213" t="s">
        <v>203</v>
      </c>
      <c r="P213" t="s">
        <v>955</v>
      </c>
    </row>
    <row r="214" spans="1:16">
      <c r="A214">
        <f t="shared" si="3"/>
        <v>35</v>
      </c>
      <c r="B214" t="s">
        <v>940</v>
      </c>
      <c r="C214" t="s">
        <v>369</v>
      </c>
      <c r="D214" t="s">
        <v>196</v>
      </c>
      <c r="E214" t="s">
        <v>596</v>
      </c>
      <c r="F214" t="s">
        <v>777</v>
      </c>
      <c r="G214" t="s">
        <v>778</v>
      </c>
      <c r="H214" t="s">
        <v>779</v>
      </c>
      <c r="I214" t="s">
        <v>259</v>
      </c>
      <c r="J214" t="s">
        <v>176</v>
      </c>
      <c r="K214" s="30">
        <v>43019</v>
      </c>
      <c r="L214" s="8">
        <v>43019.676134259258</v>
      </c>
      <c r="M214" s="21">
        <f>LEN(ProjTextTable[[#This Row],[text]])</f>
        <v>5393</v>
      </c>
      <c r="N214" s="21">
        <f>LEN(TRIM(CLEAN(SUBSTITUTE(ProjTextTable[[#This Row],[text]],CHAR(10)," "))))+1 - LEN(SUBSTITUTE(CLEAN(SUBSTITUTE(ProjTextTable[[#This Row],[text]],CHAR(10)," "))," ",""))</f>
        <v>816</v>
      </c>
      <c r="O214" t="s">
        <v>201</v>
      </c>
      <c r="P214" t="s">
        <v>956</v>
      </c>
    </row>
    <row r="215" spans="1:16">
      <c r="A215">
        <f t="shared" si="3"/>
        <v>35</v>
      </c>
      <c r="B215" t="s">
        <v>940</v>
      </c>
      <c r="C215" t="s">
        <v>369</v>
      </c>
      <c r="D215" t="s">
        <v>196</v>
      </c>
      <c r="E215" t="s">
        <v>596</v>
      </c>
      <c r="F215" t="s">
        <v>732</v>
      </c>
      <c r="G215" t="s">
        <v>349</v>
      </c>
      <c r="H215" t="s">
        <v>733</v>
      </c>
      <c r="I215" t="s">
        <v>259</v>
      </c>
      <c r="J215" t="s">
        <v>176</v>
      </c>
      <c r="K215" s="30">
        <v>43042</v>
      </c>
      <c r="L215" s="8">
        <v>43036.56827546296</v>
      </c>
      <c r="M215" s="21">
        <f>LEN(ProjTextTable[[#This Row],[text]])</f>
        <v>2778</v>
      </c>
      <c r="N215" s="21">
        <f>LEN(TRIM(CLEAN(SUBSTITUTE(ProjTextTable[[#This Row],[text]],CHAR(10)," "))))+1 - LEN(SUBSTITUTE(CLEAN(SUBSTITUTE(ProjTextTable[[#This Row],[text]],CHAR(10)," "))," ",""))</f>
        <v>394</v>
      </c>
      <c r="O215" t="s">
        <v>257</v>
      </c>
      <c r="P215" t="s">
        <v>957</v>
      </c>
    </row>
    <row r="216" spans="1:16">
      <c r="A216">
        <f t="shared" si="3"/>
        <v>35</v>
      </c>
      <c r="B216" t="s">
        <v>940</v>
      </c>
      <c r="C216" t="s">
        <v>369</v>
      </c>
      <c r="D216" t="s">
        <v>196</v>
      </c>
      <c r="E216" t="s">
        <v>596</v>
      </c>
      <c r="F216" t="s">
        <v>782</v>
      </c>
      <c r="G216" t="s">
        <v>783</v>
      </c>
      <c r="H216" t="s">
        <v>784</v>
      </c>
      <c r="I216" t="s">
        <v>259</v>
      </c>
      <c r="J216" t="s">
        <v>176</v>
      </c>
      <c r="K216" s="30">
        <v>43042</v>
      </c>
      <c r="L216" s="8">
        <v>43039.884456018517</v>
      </c>
      <c r="M216" s="21">
        <f>LEN(ProjTextTable[[#This Row],[text]])</f>
        <v>1935</v>
      </c>
      <c r="N216" s="21">
        <f>LEN(TRIM(CLEAN(SUBSTITUTE(ProjTextTable[[#This Row],[text]],CHAR(10)," "))))+1 - LEN(SUBSTITUTE(CLEAN(SUBSTITUTE(ProjTextTable[[#This Row],[text]],CHAR(10)," "))," ",""))</f>
        <v>292</v>
      </c>
      <c r="O216" t="s">
        <v>201</v>
      </c>
      <c r="P216" t="s">
        <v>958</v>
      </c>
    </row>
    <row r="217" spans="1:16">
      <c r="A217">
        <f t="shared" si="3"/>
        <v>35</v>
      </c>
      <c r="B217" t="s">
        <v>940</v>
      </c>
      <c r="C217" t="s">
        <v>369</v>
      </c>
      <c r="D217" t="s">
        <v>196</v>
      </c>
      <c r="E217" t="s">
        <v>596</v>
      </c>
      <c r="F217" t="s">
        <v>959</v>
      </c>
      <c r="G217" t="s">
        <v>960</v>
      </c>
      <c r="H217" t="s">
        <v>961</v>
      </c>
      <c r="I217" t="s">
        <v>259</v>
      </c>
      <c r="J217" t="s">
        <v>176</v>
      </c>
      <c r="K217" s="30">
        <v>42996</v>
      </c>
      <c r="L217" s="8">
        <v>42996.642974537041</v>
      </c>
      <c r="M217" s="21">
        <f>LEN(ProjTextTable[[#This Row],[text]])</f>
        <v>1858</v>
      </c>
      <c r="N217" s="21">
        <f>LEN(TRIM(CLEAN(SUBSTITUTE(ProjTextTable[[#This Row],[text]],CHAR(10)," "))))+1 - LEN(SUBSTITUTE(CLEAN(SUBSTITUTE(ProjTextTable[[#This Row],[text]],CHAR(10)," "))," ",""))</f>
        <v>251</v>
      </c>
      <c r="O217" t="s">
        <v>197</v>
      </c>
      <c r="P217" t="s">
        <v>962</v>
      </c>
    </row>
    <row r="218" spans="1:16">
      <c r="A218">
        <f t="shared" si="3"/>
        <v>35</v>
      </c>
      <c r="B218" t="s">
        <v>940</v>
      </c>
      <c r="C218" t="s">
        <v>369</v>
      </c>
      <c r="D218" t="s">
        <v>196</v>
      </c>
      <c r="E218" t="s">
        <v>596</v>
      </c>
      <c r="F218" t="s">
        <v>786</v>
      </c>
      <c r="G218" t="s">
        <v>787</v>
      </c>
      <c r="H218" t="s">
        <v>788</v>
      </c>
      <c r="I218" t="s">
        <v>259</v>
      </c>
      <c r="J218" t="s">
        <v>176</v>
      </c>
      <c r="K218" s="30">
        <v>43019</v>
      </c>
      <c r="L218" s="8">
        <v>43019.544374999998</v>
      </c>
      <c r="M218" s="21">
        <f>LEN(ProjTextTable[[#This Row],[text]])</f>
        <v>3400</v>
      </c>
      <c r="N218" s="21">
        <f>LEN(TRIM(CLEAN(SUBSTITUTE(ProjTextTable[[#This Row],[text]],CHAR(10)," "))))+1 - LEN(SUBSTITUTE(CLEAN(SUBSTITUTE(ProjTextTable[[#This Row],[text]],CHAR(10)," "))," ",""))</f>
        <v>527</v>
      </c>
      <c r="O218" t="s">
        <v>197</v>
      </c>
      <c r="P218" t="s">
        <v>963</v>
      </c>
    </row>
    <row r="219" spans="1:16">
      <c r="A219">
        <f t="shared" si="3"/>
        <v>35</v>
      </c>
      <c r="B219" t="s">
        <v>940</v>
      </c>
      <c r="C219" t="s">
        <v>369</v>
      </c>
      <c r="D219" t="s">
        <v>196</v>
      </c>
      <c r="E219" t="s">
        <v>596</v>
      </c>
      <c r="F219" t="s">
        <v>720</v>
      </c>
      <c r="G219" t="s">
        <v>721</v>
      </c>
      <c r="H219" t="s">
        <v>722</v>
      </c>
      <c r="I219" t="s">
        <v>259</v>
      </c>
      <c r="J219" t="s">
        <v>176</v>
      </c>
      <c r="K219" s="30">
        <v>43042</v>
      </c>
      <c r="L219" s="8">
        <v>43041.416805555556</v>
      </c>
      <c r="M219" s="21">
        <f>LEN(ProjTextTable[[#This Row],[text]])</f>
        <v>4341</v>
      </c>
      <c r="N219" s="21">
        <f>LEN(TRIM(CLEAN(SUBSTITUTE(ProjTextTable[[#This Row],[text]],CHAR(10)," "))))+1 - LEN(SUBSTITUTE(CLEAN(SUBSTITUTE(ProjTextTable[[#This Row],[text]],CHAR(10)," "))," ",""))</f>
        <v>660</v>
      </c>
      <c r="O219" t="s">
        <v>204</v>
      </c>
      <c r="P219" t="s">
        <v>964</v>
      </c>
    </row>
    <row r="220" spans="1:16">
      <c r="A220">
        <f t="shared" si="3"/>
        <v>35</v>
      </c>
      <c r="B220" t="s">
        <v>940</v>
      </c>
      <c r="C220" t="s">
        <v>369</v>
      </c>
      <c r="D220" t="s">
        <v>198</v>
      </c>
      <c r="E220" t="s">
        <v>596</v>
      </c>
      <c r="F220" t="s">
        <v>13</v>
      </c>
      <c r="G220" t="s">
        <v>13</v>
      </c>
      <c r="H220" t="s">
        <v>13</v>
      </c>
      <c r="K220" s="30"/>
      <c r="L220" s="8">
        <v>42937.042557870373</v>
      </c>
      <c r="M220" s="21">
        <f>LEN(ProjTextTable[[#This Row],[text]])</f>
        <v>4279</v>
      </c>
      <c r="N220" s="21">
        <f>LEN(TRIM(CLEAN(SUBSTITUTE(ProjTextTable[[#This Row],[text]],CHAR(10)," "))))+1 - LEN(SUBSTITUTE(CLEAN(SUBSTITUTE(ProjTextTable[[#This Row],[text]],CHAR(10)," "))," ",""))</f>
        <v>580</v>
      </c>
      <c r="O220" t="s">
        <v>13</v>
      </c>
      <c r="P220" t="s">
        <v>965</v>
      </c>
    </row>
    <row r="221" spans="1:16">
      <c r="A221">
        <f t="shared" si="3"/>
        <v>36</v>
      </c>
      <c r="B221" t="s">
        <v>966</v>
      </c>
      <c r="C221" t="s">
        <v>967</v>
      </c>
      <c r="D221" t="s">
        <v>207</v>
      </c>
      <c r="E221" t="s">
        <v>705</v>
      </c>
      <c r="F221" t="s">
        <v>706</v>
      </c>
      <c r="G221" t="s">
        <v>707</v>
      </c>
      <c r="H221" t="s">
        <v>386</v>
      </c>
      <c r="I221" t="s">
        <v>202</v>
      </c>
      <c r="K221" s="30">
        <v>43041</v>
      </c>
      <c r="L221" s="8"/>
      <c r="M221" s="21">
        <f>LEN(ProjTextTable[[#This Row],[text]])</f>
        <v>1979</v>
      </c>
      <c r="N221" s="21">
        <f>LEN(TRIM(CLEAN(SUBSTITUTE(ProjTextTable[[#This Row],[text]],CHAR(10)," "))))+1 - LEN(SUBSTITUTE(CLEAN(SUBSTITUTE(ProjTextTable[[#This Row],[text]],CHAR(10)," "))," ",""))</f>
        <v>273</v>
      </c>
      <c r="O221" t="s">
        <v>359</v>
      </c>
      <c r="P221" t="s">
        <v>968</v>
      </c>
    </row>
    <row r="222" spans="1:16">
      <c r="A222">
        <f t="shared" si="3"/>
        <v>36</v>
      </c>
      <c r="B222" t="s">
        <v>966</v>
      </c>
      <c r="C222" t="s">
        <v>967</v>
      </c>
      <c r="D222" t="s">
        <v>196</v>
      </c>
      <c r="E222" t="s">
        <v>596</v>
      </c>
      <c r="F222" t="s">
        <v>709</v>
      </c>
      <c r="G222" t="s">
        <v>710</v>
      </c>
      <c r="H222" t="s">
        <v>711</v>
      </c>
      <c r="I222" t="s">
        <v>259</v>
      </c>
      <c r="J222" t="s">
        <v>176</v>
      </c>
      <c r="K222" s="30">
        <v>43042</v>
      </c>
      <c r="L222" s="8">
        <v>43040.939722222225</v>
      </c>
      <c r="M222" s="21">
        <f>LEN(ProjTextTable[[#This Row],[text]])</f>
        <v>2858</v>
      </c>
      <c r="N222" s="21">
        <f>LEN(TRIM(CLEAN(SUBSTITUTE(ProjTextTable[[#This Row],[text]],CHAR(10)," "))))+1 - LEN(SUBSTITUTE(CLEAN(SUBSTITUTE(ProjTextTable[[#This Row],[text]],CHAR(10)," "))," ",""))</f>
        <v>428</v>
      </c>
      <c r="O222" t="s">
        <v>212</v>
      </c>
      <c r="P222" t="s">
        <v>969</v>
      </c>
    </row>
    <row r="223" spans="1:16">
      <c r="A223">
        <f t="shared" si="3"/>
        <v>36</v>
      </c>
      <c r="B223" t="s">
        <v>966</v>
      </c>
      <c r="C223" t="s">
        <v>967</v>
      </c>
      <c r="D223" t="s">
        <v>196</v>
      </c>
      <c r="E223" t="s">
        <v>596</v>
      </c>
      <c r="F223" t="s">
        <v>749</v>
      </c>
      <c r="G223" t="s">
        <v>750</v>
      </c>
      <c r="H223" t="s">
        <v>751</v>
      </c>
      <c r="I223" t="s">
        <v>259</v>
      </c>
      <c r="J223" t="s">
        <v>176</v>
      </c>
      <c r="K223" s="30">
        <v>43042</v>
      </c>
      <c r="L223" s="8">
        <v>43041.570925925924</v>
      </c>
      <c r="M223" s="21">
        <f>LEN(ProjTextTable[[#This Row],[text]])</f>
        <v>1607</v>
      </c>
      <c r="N223" s="21">
        <f>LEN(TRIM(CLEAN(SUBSTITUTE(ProjTextTable[[#This Row],[text]],CHAR(10)," "))))+1 - LEN(SUBSTITUTE(CLEAN(SUBSTITUTE(ProjTextTable[[#This Row],[text]],CHAR(10)," "))," ",""))</f>
        <v>232</v>
      </c>
      <c r="O223" t="s">
        <v>197</v>
      </c>
      <c r="P223" t="s">
        <v>970</v>
      </c>
    </row>
    <row r="224" spans="1:16">
      <c r="A224">
        <f t="shared" si="3"/>
        <v>36</v>
      </c>
      <c r="B224" t="s">
        <v>966</v>
      </c>
      <c r="C224" t="s">
        <v>967</v>
      </c>
      <c r="D224" t="s">
        <v>196</v>
      </c>
      <c r="E224" t="s">
        <v>596</v>
      </c>
      <c r="F224" t="s">
        <v>824</v>
      </c>
      <c r="G224" t="s">
        <v>825</v>
      </c>
      <c r="H224" t="s">
        <v>826</v>
      </c>
      <c r="I224" t="s">
        <v>259</v>
      </c>
      <c r="J224" t="s">
        <v>176</v>
      </c>
      <c r="K224" s="30">
        <v>43042</v>
      </c>
      <c r="L224" s="8">
        <v>43041.696817129632</v>
      </c>
      <c r="M224" s="21">
        <f>LEN(ProjTextTable[[#This Row],[text]])</f>
        <v>2526</v>
      </c>
      <c r="N224" s="21">
        <f>LEN(TRIM(CLEAN(SUBSTITUTE(ProjTextTable[[#This Row],[text]],CHAR(10)," "))))+1 - LEN(SUBSTITUTE(CLEAN(SUBSTITUTE(ProjTextTable[[#This Row],[text]],CHAR(10)," "))," ",""))</f>
        <v>360</v>
      </c>
      <c r="O224" t="s">
        <v>204</v>
      </c>
      <c r="P224" t="s">
        <v>971</v>
      </c>
    </row>
    <row r="225" spans="1:16">
      <c r="A225">
        <f t="shared" si="3"/>
        <v>36</v>
      </c>
      <c r="B225" t="s">
        <v>966</v>
      </c>
      <c r="C225" t="s">
        <v>967</v>
      </c>
      <c r="D225" t="s">
        <v>196</v>
      </c>
      <c r="E225" t="s">
        <v>596</v>
      </c>
      <c r="F225" t="s">
        <v>717</v>
      </c>
      <c r="G225" t="s">
        <v>648</v>
      </c>
      <c r="H225" t="s">
        <v>718</v>
      </c>
      <c r="I225" t="s">
        <v>259</v>
      </c>
      <c r="J225" t="s">
        <v>176</v>
      </c>
      <c r="K225" s="30">
        <v>43042</v>
      </c>
      <c r="L225" s="8">
        <v>43039.913738425923</v>
      </c>
      <c r="M225" s="21">
        <f>LEN(ProjTextTable[[#This Row],[text]])</f>
        <v>2991</v>
      </c>
      <c r="N225" s="21">
        <f>LEN(TRIM(CLEAN(SUBSTITUTE(ProjTextTable[[#This Row],[text]],CHAR(10)," "))))+1 - LEN(SUBSTITUTE(CLEAN(SUBSTITUTE(ProjTextTable[[#This Row],[text]],CHAR(10)," "))," ",""))</f>
        <v>435</v>
      </c>
      <c r="O225" t="s">
        <v>197</v>
      </c>
      <c r="P225" t="s">
        <v>972</v>
      </c>
    </row>
    <row r="226" spans="1:16">
      <c r="A226">
        <f t="shared" si="3"/>
        <v>36</v>
      </c>
      <c r="B226" t="s">
        <v>966</v>
      </c>
      <c r="C226" t="s">
        <v>967</v>
      </c>
      <c r="D226" t="s">
        <v>488</v>
      </c>
      <c r="E226" t="s">
        <v>596</v>
      </c>
      <c r="F226" t="s">
        <v>966</v>
      </c>
      <c r="G226" t="s">
        <v>973</v>
      </c>
      <c r="H226" t="s">
        <v>974</v>
      </c>
      <c r="K226" s="30"/>
      <c r="L226" s="8">
        <v>42947.466979166667</v>
      </c>
      <c r="M226" s="21">
        <f>LEN(ProjTextTable[[#This Row],[text]])</f>
        <v>15</v>
      </c>
      <c r="N226" s="21">
        <f>LEN(TRIM(CLEAN(SUBSTITUTE(ProjTextTable[[#This Row],[text]],CHAR(10)," "))))+1 - LEN(SUBSTITUTE(CLEAN(SUBSTITUTE(ProjTextTable[[#This Row],[text]],CHAR(10)," "))," ",""))</f>
        <v>2</v>
      </c>
      <c r="O226" t="s">
        <v>13</v>
      </c>
      <c r="P226" t="s">
        <v>974</v>
      </c>
    </row>
    <row r="227" spans="1:16">
      <c r="A227">
        <f t="shared" si="3"/>
        <v>37</v>
      </c>
      <c r="B227" t="s">
        <v>975</v>
      </c>
      <c r="C227" t="s">
        <v>976</v>
      </c>
      <c r="D227" t="s">
        <v>207</v>
      </c>
      <c r="E227" t="s">
        <v>705</v>
      </c>
      <c r="F227" t="s">
        <v>977</v>
      </c>
      <c r="G227" t="s">
        <v>978</v>
      </c>
      <c r="H227" t="s">
        <v>255</v>
      </c>
      <c r="I227" t="s">
        <v>195</v>
      </c>
      <c r="K227" s="30">
        <v>43034</v>
      </c>
      <c r="L227" s="8"/>
      <c r="M227" s="21">
        <f>LEN(ProjTextTable[[#This Row],[text]])</f>
        <v>4608</v>
      </c>
      <c r="N227" s="21">
        <f>LEN(TRIM(CLEAN(SUBSTITUTE(ProjTextTable[[#This Row],[text]],CHAR(10)," "))))+1 - LEN(SUBSTITUTE(CLEAN(SUBSTITUTE(ProjTextTable[[#This Row],[text]],CHAR(10)," "))," ",""))</f>
        <v>657</v>
      </c>
      <c r="O227" t="s">
        <v>254</v>
      </c>
      <c r="P227" t="s">
        <v>979</v>
      </c>
    </row>
    <row r="228" spans="1:16">
      <c r="A228">
        <f t="shared" si="3"/>
        <v>37</v>
      </c>
      <c r="B228" t="s">
        <v>975</v>
      </c>
      <c r="C228" t="s">
        <v>976</v>
      </c>
      <c r="D228" t="s">
        <v>2</v>
      </c>
      <c r="E228" t="s">
        <v>705</v>
      </c>
      <c r="F228" t="s">
        <v>13</v>
      </c>
      <c r="G228" t="s">
        <v>487</v>
      </c>
      <c r="H228" t="s">
        <v>13</v>
      </c>
      <c r="I228" t="s">
        <v>13</v>
      </c>
      <c r="K228" s="30"/>
      <c r="L228" s="8">
        <v>43048.503634259258</v>
      </c>
      <c r="M228" s="21">
        <f>LEN(ProjTextTable[[#This Row],[text]])</f>
        <v>2639</v>
      </c>
      <c r="N228" s="21">
        <f>LEN(TRIM(CLEAN(SUBSTITUTE(ProjTextTable[[#This Row],[text]],CHAR(10)," "))))+1 - LEN(SUBSTITUTE(CLEAN(SUBSTITUTE(ProjTextTable[[#This Row],[text]],CHAR(10)," "))," ",""))</f>
        <v>388</v>
      </c>
      <c r="O228" t="s">
        <v>13</v>
      </c>
      <c r="P228" t="s">
        <v>980</v>
      </c>
    </row>
    <row r="229" spans="1:16">
      <c r="A229">
        <f t="shared" si="3"/>
        <v>37</v>
      </c>
      <c r="B229" t="s">
        <v>975</v>
      </c>
      <c r="C229" t="s">
        <v>976</v>
      </c>
      <c r="D229" t="s">
        <v>196</v>
      </c>
      <c r="E229" t="s">
        <v>705</v>
      </c>
      <c r="F229" t="s">
        <v>981</v>
      </c>
      <c r="G229" t="s">
        <v>601</v>
      </c>
      <c r="H229" t="s">
        <v>982</v>
      </c>
      <c r="I229" t="s">
        <v>259</v>
      </c>
      <c r="J229" t="s">
        <v>176</v>
      </c>
      <c r="K229" s="30">
        <v>43035</v>
      </c>
      <c r="L229" s="8">
        <v>43032.714999999997</v>
      </c>
      <c r="M229" s="21">
        <f>LEN(ProjTextTable[[#This Row],[text]])</f>
        <v>1269</v>
      </c>
      <c r="N229" s="21">
        <f>LEN(TRIM(CLEAN(SUBSTITUTE(ProjTextTable[[#This Row],[text]],CHAR(10)," "))))+1 - LEN(SUBSTITUTE(CLEAN(SUBSTITUTE(ProjTextTable[[#This Row],[text]],CHAR(10)," "))," ",""))</f>
        <v>171</v>
      </c>
      <c r="O229" t="s">
        <v>197</v>
      </c>
      <c r="P229" t="s">
        <v>983</v>
      </c>
    </row>
    <row r="230" spans="1:16">
      <c r="A230">
        <f t="shared" si="3"/>
        <v>37</v>
      </c>
      <c r="B230" t="s">
        <v>975</v>
      </c>
      <c r="C230" t="s">
        <v>976</v>
      </c>
      <c r="D230" t="s">
        <v>196</v>
      </c>
      <c r="E230" t="s">
        <v>705</v>
      </c>
      <c r="F230" t="s">
        <v>984</v>
      </c>
      <c r="G230" t="s">
        <v>985</v>
      </c>
      <c r="H230" t="s">
        <v>986</v>
      </c>
      <c r="I230" t="s">
        <v>259</v>
      </c>
      <c r="J230" t="s">
        <v>176</v>
      </c>
      <c r="K230" s="30">
        <v>43035</v>
      </c>
      <c r="L230" s="8">
        <v>43034.655127314814</v>
      </c>
      <c r="M230" s="21">
        <f>LEN(ProjTextTable[[#This Row],[text]])</f>
        <v>5277</v>
      </c>
      <c r="N230" s="21">
        <f>LEN(TRIM(CLEAN(SUBSTITUTE(ProjTextTable[[#This Row],[text]],CHAR(10)," "))))+1 - LEN(SUBSTITUTE(CLEAN(SUBSTITUTE(ProjTextTable[[#This Row],[text]],CHAR(10)," "))," ",""))</f>
        <v>810</v>
      </c>
      <c r="O230" t="s">
        <v>201</v>
      </c>
      <c r="P230" t="s">
        <v>987</v>
      </c>
    </row>
    <row r="231" spans="1:16">
      <c r="A231">
        <f t="shared" si="3"/>
        <v>37</v>
      </c>
      <c r="B231" t="s">
        <v>975</v>
      </c>
      <c r="C231" t="s">
        <v>976</v>
      </c>
      <c r="D231" t="s">
        <v>196</v>
      </c>
      <c r="E231" t="s">
        <v>705</v>
      </c>
      <c r="F231" t="s">
        <v>988</v>
      </c>
      <c r="G231" t="s">
        <v>989</v>
      </c>
      <c r="H231" t="s">
        <v>990</v>
      </c>
      <c r="I231" t="s">
        <v>259</v>
      </c>
      <c r="J231" t="s">
        <v>176</v>
      </c>
      <c r="K231" s="30">
        <v>43035</v>
      </c>
      <c r="L231" s="8">
        <v>43026.637430555558</v>
      </c>
      <c r="M231" s="21">
        <f>LEN(ProjTextTable[[#This Row],[text]])</f>
        <v>5557</v>
      </c>
      <c r="N231" s="21">
        <f>LEN(TRIM(CLEAN(SUBSTITUTE(ProjTextTable[[#This Row],[text]],CHAR(10)," "))))+1 - LEN(SUBSTITUTE(CLEAN(SUBSTITUTE(ProjTextTable[[#This Row],[text]],CHAR(10)," "))," ",""))</f>
        <v>811</v>
      </c>
      <c r="O231" t="s">
        <v>197</v>
      </c>
      <c r="P231" t="s">
        <v>991</v>
      </c>
    </row>
    <row r="232" spans="1:16">
      <c r="A232">
        <f t="shared" si="3"/>
        <v>37</v>
      </c>
      <c r="B232" t="s">
        <v>975</v>
      </c>
      <c r="C232" t="s">
        <v>976</v>
      </c>
      <c r="D232" t="s">
        <v>196</v>
      </c>
      <c r="E232" t="s">
        <v>705</v>
      </c>
      <c r="F232" t="s">
        <v>992</v>
      </c>
      <c r="G232" t="s">
        <v>993</v>
      </c>
      <c r="H232" t="s">
        <v>994</v>
      </c>
      <c r="I232" t="s">
        <v>259</v>
      </c>
      <c r="J232" t="s">
        <v>176</v>
      </c>
      <c r="K232" s="30">
        <v>43035</v>
      </c>
      <c r="L232" s="8">
        <v>43028.642372685186</v>
      </c>
      <c r="M232" s="21">
        <f>LEN(ProjTextTable[[#This Row],[text]])</f>
        <v>3503</v>
      </c>
      <c r="N232" s="21">
        <f>LEN(TRIM(CLEAN(SUBSTITUTE(ProjTextTable[[#This Row],[text]],CHAR(10)," "))))+1 - LEN(SUBSTITUTE(CLEAN(SUBSTITUTE(ProjTextTable[[#This Row],[text]],CHAR(10)," "))," ",""))</f>
        <v>547</v>
      </c>
      <c r="O232" t="s">
        <v>203</v>
      </c>
      <c r="P232" t="s">
        <v>995</v>
      </c>
    </row>
    <row r="233" spans="1:16">
      <c r="A233">
        <f t="shared" si="3"/>
        <v>37</v>
      </c>
      <c r="B233" t="s">
        <v>975</v>
      </c>
      <c r="C233" t="s">
        <v>976</v>
      </c>
      <c r="D233" t="s">
        <v>488</v>
      </c>
      <c r="E233" t="s">
        <v>705</v>
      </c>
      <c r="F233" t="s">
        <v>975</v>
      </c>
      <c r="G233" t="s">
        <v>725</v>
      </c>
      <c r="H233" t="s">
        <v>13</v>
      </c>
      <c r="K233" s="30"/>
      <c r="L233" s="8">
        <v>43075.472291666665</v>
      </c>
      <c r="M233" s="21">
        <f>LEN(ProjTextTable[[#This Row],[text]])</f>
        <v>96</v>
      </c>
      <c r="N233" s="21">
        <f>LEN(TRIM(CLEAN(SUBSTITUTE(ProjTextTable[[#This Row],[text]],CHAR(10)," "))))+1 - LEN(SUBSTITUTE(CLEAN(SUBSTITUTE(ProjTextTable[[#This Row],[text]],CHAR(10)," "))," ",""))</f>
        <v>18</v>
      </c>
      <c r="O233" t="s">
        <v>13</v>
      </c>
      <c r="P233" t="s">
        <v>1586</v>
      </c>
    </row>
    <row r="234" spans="1:16">
      <c r="A234">
        <f t="shared" si="3"/>
        <v>38</v>
      </c>
      <c r="B234" t="s">
        <v>996</v>
      </c>
      <c r="C234" t="s">
        <v>997</v>
      </c>
      <c r="D234" t="s">
        <v>207</v>
      </c>
      <c r="E234" t="s">
        <v>705</v>
      </c>
      <c r="F234" t="s">
        <v>998</v>
      </c>
      <c r="G234" t="s">
        <v>978</v>
      </c>
      <c r="H234" t="s">
        <v>999</v>
      </c>
      <c r="I234" t="s">
        <v>202</v>
      </c>
      <c r="K234" s="30">
        <v>43034</v>
      </c>
      <c r="L234" s="8">
        <v>43059.499212962961</v>
      </c>
      <c r="M234" s="21">
        <f>LEN(ProjTextTable[[#This Row],[text]])</f>
        <v>3143</v>
      </c>
      <c r="N234" s="21">
        <f>LEN(TRIM(CLEAN(SUBSTITUTE(ProjTextTable[[#This Row],[text]],CHAR(10)," "))))+1 - LEN(SUBSTITUTE(CLEAN(SUBSTITUTE(ProjTextTable[[#This Row],[text]],CHAR(10)," "))," ",""))</f>
        <v>454</v>
      </c>
      <c r="O234" t="s">
        <v>359</v>
      </c>
      <c r="P234" t="s">
        <v>1000</v>
      </c>
    </row>
    <row r="235" spans="1:16">
      <c r="A235">
        <f t="shared" si="3"/>
        <v>38</v>
      </c>
      <c r="B235" t="s">
        <v>996</v>
      </c>
      <c r="C235" t="s">
        <v>997</v>
      </c>
      <c r="D235" t="s">
        <v>486</v>
      </c>
      <c r="E235" t="s">
        <v>705</v>
      </c>
      <c r="F235" t="s">
        <v>996</v>
      </c>
      <c r="G235" t="s">
        <v>725</v>
      </c>
      <c r="H235" t="s">
        <v>13</v>
      </c>
      <c r="I235" t="s">
        <v>13</v>
      </c>
      <c r="J235" t="s">
        <v>422</v>
      </c>
      <c r="K235" s="30">
        <v>43060.397222222222</v>
      </c>
      <c r="L235" s="8">
        <v>44886.397222222222</v>
      </c>
      <c r="M235" s="21">
        <f>LEN(ProjTextTable[[#This Row],[text]])</f>
        <v>309</v>
      </c>
      <c r="N235" s="21">
        <f>LEN(TRIM(CLEAN(SUBSTITUTE(ProjTextTable[[#This Row],[text]],CHAR(10)," "))))+1 - LEN(SUBSTITUTE(CLEAN(SUBSTITUTE(ProjTextTable[[#This Row],[text]],CHAR(10)," "))," ",""))</f>
        <v>46</v>
      </c>
      <c r="O235" t="s">
        <v>13</v>
      </c>
      <c r="P235" t="s">
        <v>1001</v>
      </c>
    </row>
    <row r="236" spans="1:16">
      <c r="A236">
        <f t="shared" si="3"/>
        <v>38</v>
      </c>
      <c r="B236" t="s">
        <v>996</v>
      </c>
      <c r="C236" t="s">
        <v>997</v>
      </c>
      <c r="D236" t="s">
        <v>2</v>
      </c>
      <c r="E236" t="s">
        <v>705</v>
      </c>
      <c r="F236" t="s">
        <v>13</v>
      </c>
      <c r="G236" t="s">
        <v>487</v>
      </c>
      <c r="H236" t="s">
        <v>13</v>
      </c>
      <c r="I236" t="s">
        <v>13</v>
      </c>
      <c r="K236" s="30"/>
      <c r="L236" s="8">
        <v>43048.501631944448</v>
      </c>
      <c r="M236" s="21">
        <f>LEN(ProjTextTable[[#This Row],[text]])</f>
        <v>2640</v>
      </c>
      <c r="N236" s="21">
        <f>LEN(TRIM(CLEAN(SUBSTITUTE(ProjTextTable[[#This Row],[text]],CHAR(10)," "))))+1 - LEN(SUBSTITUTE(CLEAN(SUBSTITUTE(ProjTextTable[[#This Row],[text]],CHAR(10)," "))," ",""))</f>
        <v>388</v>
      </c>
      <c r="O236" t="s">
        <v>13</v>
      </c>
      <c r="P236" t="s">
        <v>1002</v>
      </c>
    </row>
    <row r="237" spans="1:16">
      <c r="A237">
        <f t="shared" si="3"/>
        <v>38</v>
      </c>
      <c r="B237" t="s">
        <v>996</v>
      </c>
      <c r="C237" t="s">
        <v>997</v>
      </c>
      <c r="D237" t="s">
        <v>196</v>
      </c>
      <c r="E237" t="s">
        <v>705</v>
      </c>
      <c r="F237" t="s">
        <v>981</v>
      </c>
      <c r="G237" t="s">
        <v>601</v>
      </c>
      <c r="H237" t="s">
        <v>982</v>
      </c>
      <c r="I237" t="s">
        <v>259</v>
      </c>
      <c r="J237" t="s">
        <v>176</v>
      </c>
      <c r="K237" s="30">
        <v>43035</v>
      </c>
      <c r="L237" s="8">
        <v>43032.597719907404</v>
      </c>
      <c r="M237" s="21">
        <f>LEN(ProjTextTable[[#This Row],[text]])</f>
        <v>1910</v>
      </c>
      <c r="N237" s="21">
        <f>LEN(TRIM(CLEAN(SUBSTITUTE(ProjTextTable[[#This Row],[text]],CHAR(10)," "))))+1 - LEN(SUBSTITUTE(CLEAN(SUBSTITUTE(ProjTextTable[[#This Row],[text]],CHAR(10)," "))," ",""))</f>
        <v>279</v>
      </c>
      <c r="O237" t="s">
        <v>197</v>
      </c>
      <c r="P237" t="s">
        <v>1003</v>
      </c>
    </row>
    <row r="238" spans="1:16">
      <c r="A238">
        <f t="shared" si="3"/>
        <v>38</v>
      </c>
      <c r="B238" t="s">
        <v>996</v>
      </c>
      <c r="C238" t="s">
        <v>997</v>
      </c>
      <c r="D238" t="s">
        <v>196</v>
      </c>
      <c r="E238" t="s">
        <v>705</v>
      </c>
      <c r="F238" t="s">
        <v>984</v>
      </c>
      <c r="G238" t="s">
        <v>985</v>
      </c>
      <c r="H238" t="s">
        <v>986</v>
      </c>
      <c r="I238" t="s">
        <v>259</v>
      </c>
      <c r="J238" t="s">
        <v>176</v>
      </c>
      <c r="K238" s="30">
        <v>43035</v>
      </c>
      <c r="L238" s="8">
        <v>43034.669108796297</v>
      </c>
      <c r="M238" s="21">
        <f>LEN(ProjTextTable[[#This Row],[text]])</f>
        <v>4466</v>
      </c>
      <c r="N238" s="21">
        <f>LEN(TRIM(CLEAN(SUBSTITUTE(ProjTextTable[[#This Row],[text]],CHAR(10)," "))))+1 - LEN(SUBSTITUTE(CLEAN(SUBSTITUTE(ProjTextTable[[#This Row],[text]],CHAR(10)," "))," ",""))</f>
        <v>714</v>
      </c>
      <c r="O238" t="s">
        <v>203</v>
      </c>
      <c r="P238" t="s">
        <v>1004</v>
      </c>
    </row>
    <row r="239" spans="1:16">
      <c r="A239">
        <f t="shared" si="3"/>
        <v>38</v>
      </c>
      <c r="B239" t="s">
        <v>996</v>
      </c>
      <c r="C239" t="s">
        <v>997</v>
      </c>
      <c r="D239" t="s">
        <v>196</v>
      </c>
      <c r="E239" t="s">
        <v>705</v>
      </c>
      <c r="F239" t="s">
        <v>1005</v>
      </c>
      <c r="G239" t="s">
        <v>976</v>
      </c>
      <c r="H239" t="s">
        <v>1006</v>
      </c>
      <c r="I239" t="s">
        <v>259</v>
      </c>
      <c r="J239" t="s">
        <v>176</v>
      </c>
      <c r="K239" s="30">
        <v>43035</v>
      </c>
      <c r="L239" s="8">
        <v>43034.324791666666</v>
      </c>
      <c r="M239" s="21">
        <f>LEN(ProjTextTable[[#This Row],[text]])</f>
        <v>2329</v>
      </c>
      <c r="N239" s="21">
        <f>LEN(TRIM(CLEAN(SUBSTITUTE(ProjTextTable[[#This Row],[text]],CHAR(10)," "))))+1 - LEN(SUBSTITUTE(CLEAN(SUBSTITUTE(ProjTextTable[[#This Row],[text]],CHAR(10)," "))," ",""))</f>
        <v>347</v>
      </c>
      <c r="O239" t="s">
        <v>197</v>
      </c>
      <c r="P239" t="s">
        <v>1007</v>
      </c>
    </row>
    <row r="240" spans="1:16">
      <c r="A240">
        <f t="shared" si="3"/>
        <v>38</v>
      </c>
      <c r="B240" t="s">
        <v>996</v>
      </c>
      <c r="C240" t="s">
        <v>997</v>
      </c>
      <c r="D240" t="s">
        <v>196</v>
      </c>
      <c r="E240" t="s">
        <v>705</v>
      </c>
      <c r="F240" t="s">
        <v>1008</v>
      </c>
      <c r="G240" t="s">
        <v>1009</v>
      </c>
      <c r="H240" t="s">
        <v>1010</v>
      </c>
      <c r="I240" t="s">
        <v>259</v>
      </c>
      <c r="J240" t="s">
        <v>176</v>
      </c>
      <c r="K240" s="30">
        <v>43035</v>
      </c>
      <c r="L240" s="8">
        <v>43032.571273148147</v>
      </c>
      <c r="M240" s="21">
        <f>LEN(ProjTextTable[[#This Row],[text]])</f>
        <v>6721</v>
      </c>
      <c r="N240" s="21">
        <f>LEN(TRIM(CLEAN(SUBSTITUTE(ProjTextTable[[#This Row],[text]],CHAR(10)," "))))+1 - LEN(SUBSTITUTE(CLEAN(SUBSTITUTE(ProjTextTable[[#This Row],[text]],CHAR(10)," "))," ",""))</f>
        <v>955</v>
      </c>
      <c r="O240" t="s">
        <v>205</v>
      </c>
      <c r="P240" t="s">
        <v>1011</v>
      </c>
    </row>
    <row r="241" spans="1:16">
      <c r="A241">
        <f t="shared" si="3"/>
        <v>38</v>
      </c>
      <c r="B241" t="s">
        <v>996</v>
      </c>
      <c r="C241" t="s">
        <v>997</v>
      </c>
      <c r="D241" t="s">
        <v>198</v>
      </c>
      <c r="E241" t="s">
        <v>705</v>
      </c>
      <c r="F241" t="s">
        <v>13</v>
      </c>
      <c r="G241" t="s">
        <v>13</v>
      </c>
      <c r="H241" t="s">
        <v>13</v>
      </c>
      <c r="K241" s="30"/>
      <c r="L241" s="8">
        <v>42970.042442129627</v>
      </c>
      <c r="M241" s="21">
        <f>LEN(ProjTextTable[[#This Row],[text]])</f>
        <v>3694</v>
      </c>
      <c r="N241" s="21">
        <f>LEN(TRIM(CLEAN(SUBSTITUTE(ProjTextTable[[#This Row],[text]],CHAR(10)," "))))+1 - LEN(SUBSTITUTE(CLEAN(SUBSTITUTE(ProjTextTable[[#This Row],[text]],CHAR(10)," "))," ",""))</f>
        <v>532</v>
      </c>
      <c r="O241" t="s">
        <v>13</v>
      </c>
      <c r="P241" t="s">
        <v>1012</v>
      </c>
    </row>
    <row r="242" spans="1:16">
      <c r="A242">
        <f t="shared" si="3"/>
        <v>39</v>
      </c>
      <c r="B242" t="s">
        <v>1013</v>
      </c>
      <c r="C242" t="s">
        <v>457</v>
      </c>
      <c r="D242" t="s">
        <v>207</v>
      </c>
      <c r="E242" t="s">
        <v>705</v>
      </c>
      <c r="F242" t="s">
        <v>998</v>
      </c>
      <c r="G242" t="s">
        <v>978</v>
      </c>
      <c r="H242" t="s">
        <v>255</v>
      </c>
      <c r="I242" t="s">
        <v>195</v>
      </c>
      <c r="K242" s="30">
        <v>43034</v>
      </c>
      <c r="L242" s="8">
        <v>43059.423449074071</v>
      </c>
      <c r="M242" s="21">
        <f>LEN(ProjTextTable[[#This Row],[text]])</f>
        <v>4597</v>
      </c>
      <c r="N242" s="21">
        <f>LEN(TRIM(CLEAN(SUBSTITUTE(ProjTextTable[[#This Row],[text]],CHAR(10)," "))))+1 - LEN(SUBSTITUTE(CLEAN(SUBSTITUTE(ProjTextTable[[#This Row],[text]],CHAR(10)," "))," ",""))</f>
        <v>707</v>
      </c>
      <c r="O242" t="s">
        <v>254</v>
      </c>
      <c r="P242" t="s">
        <v>1014</v>
      </c>
    </row>
    <row r="243" spans="1:16">
      <c r="A243">
        <f t="shared" si="3"/>
        <v>39</v>
      </c>
      <c r="B243" t="s">
        <v>1013</v>
      </c>
      <c r="C243" t="s">
        <v>457</v>
      </c>
      <c r="D243" t="s">
        <v>2</v>
      </c>
      <c r="E243" t="s">
        <v>705</v>
      </c>
      <c r="F243" t="s">
        <v>13</v>
      </c>
      <c r="G243" t="s">
        <v>487</v>
      </c>
      <c r="H243" t="s">
        <v>13</v>
      </c>
      <c r="I243" t="s">
        <v>13</v>
      </c>
      <c r="K243" s="30"/>
      <c r="L243" s="8">
        <v>43041.475706018522</v>
      </c>
      <c r="M243" s="21">
        <f>LEN(ProjTextTable[[#This Row],[text]])</f>
        <v>2633</v>
      </c>
      <c r="N243" s="21">
        <f>LEN(TRIM(CLEAN(SUBSTITUTE(ProjTextTable[[#This Row],[text]],CHAR(10)," "))))+1 - LEN(SUBSTITUTE(CLEAN(SUBSTITUTE(ProjTextTable[[#This Row],[text]],CHAR(10)," "))," ",""))</f>
        <v>388</v>
      </c>
      <c r="O243" t="s">
        <v>13</v>
      </c>
      <c r="P243" t="s">
        <v>1015</v>
      </c>
    </row>
    <row r="244" spans="1:16">
      <c r="A244">
        <f t="shared" si="3"/>
        <v>39</v>
      </c>
      <c r="B244" t="s">
        <v>1013</v>
      </c>
      <c r="C244" t="s">
        <v>457</v>
      </c>
      <c r="D244" t="s">
        <v>196</v>
      </c>
      <c r="E244" t="s">
        <v>705</v>
      </c>
      <c r="F244" t="s">
        <v>984</v>
      </c>
      <c r="G244" t="s">
        <v>985</v>
      </c>
      <c r="H244" t="s">
        <v>986</v>
      </c>
      <c r="I244" t="s">
        <v>259</v>
      </c>
      <c r="J244" t="s">
        <v>176</v>
      </c>
      <c r="K244" s="30">
        <v>43035</v>
      </c>
      <c r="L244" s="8">
        <v>43034.681435185186</v>
      </c>
      <c r="M244" s="21">
        <f>LEN(ProjTextTable[[#This Row],[text]])</f>
        <v>4104</v>
      </c>
      <c r="N244" s="21">
        <f>LEN(TRIM(CLEAN(SUBSTITUTE(ProjTextTable[[#This Row],[text]],CHAR(10)," "))))+1 - LEN(SUBSTITUTE(CLEAN(SUBSTITUTE(ProjTextTable[[#This Row],[text]],CHAR(10)," "))," ",""))</f>
        <v>634</v>
      </c>
      <c r="O244" t="s">
        <v>197</v>
      </c>
      <c r="P244" t="s">
        <v>1016</v>
      </c>
    </row>
    <row r="245" spans="1:16">
      <c r="A245">
        <f t="shared" si="3"/>
        <v>39</v>
      </c>
      <c r="B245" t="s">
        <v>1013</v>
      </c>
      <c r="C245" t="s">
        <v>457</v>
      </c>
      <c r="D245" t="s">
        <v>196</v>
      </c>
      <c r="E245" t="s">
        <v>705</v>
      </c>
      <c r="F245" t="s">
        <v>1017</v>
      </c>
      <c r="G245" t="s">
        <v>1018</v>
      </c>
      <c r="H245" t="s">
        <v>1019</v>
      </c>
      <c r="I245" t="s">
        <v>259</v>
      </c>
      <c r="J245" t="s">
        <v>176</v>
      </c>
      <c r="K245" s="30">
        <v>43035</v>
      </c>
      <c r="L245" s="8">
        <v>43034.636956018519</v>
      </c>
      <c r="M245" s="21">
        <f>LEN(ProjTextTable[[#This Row],[text]])</f>
        <v>3118</v>
      </c>
      <c r="N245" s="21">
        <f>LEN(TRIM(CLEAN(SUBSTITUTE(ProjTextTable[[#This Row],[text]],CHAR(10)," "))))+1 - LEN(SUBSTITUTE(CLEAN(SUBSTITUTE(ProjTextTable[[#This Row],[text]],CHAR(10)," "))," ",""))</f>
        <v>503</v>
      </c>
      <c r="O245" t="s">
        <v>203</v>
      </c>
      <c r="P245" t="s">
        <v>1020</v>
      </c>
    </row>
    <row r="246" spans="1:16">
      <c r="A246">
        <f t="shared" si="3"/>
        <v>39</v>
      </c>
      <c r="B246" t="s">
        <v>1013</v>
      </c>
      <c r="C246" t="s">
        <v>457</v>
      </c>
      <c r="D246" t="s">
        <v>196</v>
      </c>
      <c r="E246" t="s">
        <v>705</v>
      </c>
      <c r="F246" t="s">
        <v>992</v>
      </c>
      <c r="G246" t="s">
        <v>993</v>
      </c>
      <c r="H246" t="s">
        <v>994</v>
      </c>
      <c r="I246" t="s">
        <v>259</v>
      </c>
      <c r="J246" t="s">
        <v>176</v>
      </c>
      <c r="K246" s="30">
        <v>43035</v>
      </c>
      <c r="L246" s="8">
        <v>43028.660810185182</v>
      </c>
      <c r="M246" s="21">
        <f>LEN(ProjTextTable[[#This Row],[text]])</f>
        <v>2819</v>
      </c>
      <c r="N246" s="21">
        <f>LEN(TRIM(CLEAN(SUBSTITUTE(ProjTextTable[[#This Row],[text]],CHAR(10)," "))))+1 - LEN(SUBSTITUTE(CLEAN(SUBSTITUTE(ProjTextTable[[#This Row],[text]],CHAR(10)," "))," ",""))</f>
        <v>410</v>
      </c>
      <c r="O246" t="s">
        <v>203</v>
      </c>
      <c r="P246" t="s">
        <v>1021</v>
      </c>
    </row>
    <row r="247" spans="1:16">
      <c r="A247">
        <f t="shared" si="3"/>
        <v>39</v>
      </c>
      <c r="B247" t="s">
        <v>1013</v>
      </c>
      <c r="C247" t="s">
        <v>457</v>
      </c>
      <c r="D247" t="s">
        <v>196</v>
      </c>
      <c r="E247" t="s">
        <v>705</v>
      </c>
      <c r="F247" t="s">
        <v>1008</v>
      </c>
      <c r="G247" t="s">
        <v>1009</v>
      </c>
      <c r="H247" t="s">
        <v>1010</v>
      </c>
      <c r="I247" t="s">
        <v>259</v>
      </c>
      <c r="J247" t="s">
        <v>176</v>
      </c>
      <c r="K247" s="30">
        <v>43035</v>
      </c>
      <c r="L247" s="8">
        <v>43035.513391203705</v>
      </c>
      <c r="M247" s="21">
        <f>LEN(ProjTextTable[[#This Row],[text]])</f>
        <v>6234</v>
      </c>
      <c r="N247" s="21">
        <f>LEN(TRIM(CLEAN(SUBSTITUTE(ProjTextTable[[#This Row],[text]],CHAR(10)," "))))+1 - LEN(SUBSTITUTE(CLEAN(SUBSTITUTE(ProjTextTable[[#This Row],[text]],CHAR(10)," "))," ",""))</f>
        <v>911</v>
      </c>
      <c r="O247" t="s">
        <v>205</v>
      </c>
      <c r="P247" t="s">
        <v>1022</v>
      </c>
    </row>
    <row r="248" spans="1:16">
      <c r="A248">
        <f t="shared" si="3"/>
        <v>39</v>
      </c>
      <c r="B248" t="s">
        <v>1013</v>
      </c>
      <c r="C248" t="s">
        <v>457</v>
      </c>
      <c r="D248" t="s">
        <v>196</v>
      </c>
      <c r="E248" t="s">
        <v>705</v>
      </c>
      <c r="F248" t="s">
        <v>1023</v>
      </c>
      <c r="G248" t="s">
        <v>1024</v>
      </c>
      <c r="H248" t="s">
        <v>1025</v>
      </c>
      <c r="I248" t="s">
        <v>259</v>
      </c>
      <c r="J248" t="s">
        <v>176</v>
      </c>
      <c r="K248" s="30">
        <v>43035</v>
      </c>
      <c r="L248" s="8">
        <v>43034.98678240741</v>
      </c>
      <c r="M248" s="21">
        <f>LEN(ProjTextTable[[#This Row],[text]])</f>
        <v>4103</v>
      </c>
      <c r="N248" s="21">
        <f>LEN(TRIM(CLEAN(SUBSTITUTE(ProjTextTable[[#This Row],[text]],CHAR(10)," "))))+1 - LEN(SUBSTITUTE(CLEAN(SUBSTITUTE(ProjTextTable[[#This Row],[text]],CHAR(10)," "))," ",""))</f>
        <v>641</v>
      </c>
      <c r="O248" t="s">
        <v>203</v>
      </c>
      <c r="P248" t="s">
        <v>1026</v>
      </c>
    </row>
    <row r="249" spans="1:16">
      <c r="A249">
        <f t="shared" si="3"/>
        <v>39</v>
      </c>
      <c r="B249" t="s">
        <v>1013</v>
      </c>
      <c r="C249" t="s">
        <v>457</v>
      </c>
      <c r="D249" t="s">
        <v>198</v>
      </c>
      <c r="E249" t="s">
        <v>705</v>
      </c>
      <c r="F249" t="s">
        <v>13</v>
      </c>
      <c r="G249" t="s">
        <v>13</v>
      </c>
      <c r="H249" t="s">
        <v>13</v>
      </c>
      <c r="K249" s="30"/>
      <c r="L249" s="8">
        <v>42971.042326388888</v>
      </c>
      <c r="M249" s="21">
        <f>LEN(ProjTextTable[[#This Row],[text]])</f>
        <v>3599</v>
      </c>
      <c r="N249" s="21">
        <f>LEN(TRIM(CLEAN(SUBSTITUTE(ProjTextTable[[#This Row],[text]],CHAR(10)," "))))+1 - LEN(SUBSTITUTE(CLEAN(SUBSTITUTE(ProjTextTable[[#This Row],[text]],CHAR(10)," "))," ",""))</f>
        <v>491</v>
      </c>
      <c r="O249" t="s">
        <v>13</v>
      </c>
      <c r="P249" t="s">
        <v>1027</v>
      </c>
    </row>
    <row r="250" spans="1:16">
      <c r="A250">
        <f t="shared" si="3"/>
        <v>40</v>
      </c>
      <c r="B250" t="s">
        <v>1028</v>
      </c>
      <c r="C250" t="s">
        <v>1029</v>
      </c>
      <c r="D250" t="s">
        <v>207</v>
      </c>
      <c r="E250" t="s">
        <v>705</v>
      </c>
      <c r="F250" t="s">
        <v>998</v>
      </c>
      <c r="G250" t="s">
        <v>978</v>
      </c>
      <c r="H250" t="s">
        <v>210</v>
      </c>
      <c r="I250" t="s">
        <v>199</v>
      </c>
      <c r="K250" s="30">
        <v>43034</v>
      </c>
      <c r="L250" s="8"/>
      <c r="M250" s="21">
        <f>LEN(ProjTextTable[[#This Row],[text]])</f>
        <v>3304</v>
      </c>
      <c r="N250" s="21">
        <f>LEN(TRIM(CLEAN(SUBSTITUTE(ProjTextTable[[#This Row],[text]],CHAR(10)," "))))+1 - LEN(SUBSTITUTE(CLEAN(SUBSTITUTE(ProjTextTable[[#This Row],[text]],CHAR(10)," "))," ",""))</f>
        <v>504</v>
      </c>
      <c r="O250" t="s">
        <v>211</v>
      </c>
      <c r="P250" t="s">
        <v>1030</v>
      </c>
    </row>
    <row r="251" spans="1:16">
      <c r="A251">
        <f t="shared" si="3"/>
        <v>40</v>
      </c>
      <c r="B251" t="s">
        <v>1028</v>
      </c>
      <c r="C251" t="s">
        <v>1029</v>
      </c>
      <c r="D251" t="s">
        <v>196</v>
      </c>
      <c r="E251" t="s">
        <v>705</v>
      </c>
      <c r="F251" t="s">
        <v>988</v>
      </c>
      <c r="G251" t="s">
        <v>989</v>
      </c>
      <c r="H251" t="s">
        <v>990</v>
      </c>
      <c r="I251" t="s">
        <v>259</v>
      </c>
      <c r="J251" t="s">
        <v>176</v>
      </c>
      <c r="K251" s="30">
        <v>43035</v>
      </c>
      <c r="L251" s="8">
        <v>43029.396458333336</v>
      </c>
      <c r="M251" s="21">
        <f>LEN(ProjTextTable[[#This Row],[text]])</f>
        <v>5491</v>
      </c>
      <c r="N251" s="21">
        <f>LEN(TRIM(CLEAN(SUBSTITUTE(ProjTextTable[[#This Row],[text]],CHAR(10)," "))))+1 - LEN(SUBSTITUTE(CLEAN(SUBSTITUTE(ProjTextTable[[#This Row],[text]],CHAR(10)," "))," ",""))</f>
        <v>790</v>
      </c>
      <c r="O251" t="s">
        <v>201</v>
      </c>
      <c r="P251" t="s">
        <v>1031</v>
      </c>
    </row>
    <row r="252" spans="1:16">
      <c r="A252">
        <f t="shared" si="3"/>
        <v>40</v>
      </c>
      <c r="B252" t="s">
        <v>1028</v>
      </c>
      <c r="C252" t="s">
        <v>1029</v>
      </c>
      <c r="D252" t="s">
        <v>196</v>
      </c>
      <c r="E252" t="s">
        <v>705</v>
      </c>
      <c r="F252" t="s">
        <v>992</v>
      </c>
      <c r="G252" t="s">
        <v>993</v>
      </c>
      <c r="H252" t="s">
        <v>994</v>
      </c>
      <c r="I252" t="s">
        <v>259</v>
      </c>
      <c r="J252" t="s">
        <v>176</v>
      </c>
      <c r="K252" s="30">
        <v>43035</v>
      </c>
      <c r="L252" s="8">
        <v>43028.64640046296</v>
      </c>
      <c r="M252" s="21">
        <f>LEN(ProjTextTable[[#This Row],[text]])</f>
        <v>2899</v>
      </c>
      <c r="N252" s="21">
        <f>LEN(TRIM(CLEAN(SUBSTITUTE(ProjTextTable[[#This Row],[text]],CHAR(10)," "))))+1 - LEN(SUBSTITUTE(CLEAN(SUBSTITUTE(ProjTextTable[[#This Row],[text]],CHAR(10)," "))," ",""))</f>
        <v>441</v>
      </c>
      <c r="O252" t="s">
        <v>257</v>
      </c>
      <c r="P252" t="s">
        <v>1032</v>
      </c>
    </row>
    <row r="253" spans="1:16">
      <c r="A253">
        <f t="shared" si="3"/>
        <v>40</v>
      </c>
      <c r="B253" t="s">
        <v>1028</v>
      </c>
      <c r="C253" t="s">
        <v>1029</v>
      </c>
      <c r="D253" t="s">
        <v>196</v>
      </c>
      <c r="E253" t="s">
        <v>705</v>
      </c>
      <c r="F253" t="s">
        <v>1008</v>
      </c>
      <c r="G253" t="s">
        <v>1009</v>
      </c>
      <c r="H253" t="s">
        <v>1010</v>
      </c>
      <c r="I253" t="s">
        <v>259</v>
      </c>
      <c r="J253" t="s">
        <v>176</v>
      </c>
      <c r="K253" s="30">
        <v>43035</v>
      </c>
      <c r="L253" s="8">
        <v>43033.995092592595</v>
      </c>
      <c r="M253" s="21">
        <f>LEN(ProjTextTable[[#This Row],[text]])</f>
        <v>3379</v>
      </c>
      <c r="N253" s="21">
        <f>LEN(TRIM(CLEAN(SUBSTITUTE(ProjTextTable[[#This Row],[text]],CHAR(10)," "))))+1 - LEN(SUBSTITUTE(CLEAN(SUBSTITUTE(ProjTextTable[[#This Row],[text]],CHAR(10)," "))," ",""))</f>
        <v>479</v>
      </c>
      <c r="O253" t="s">
        <v>201</v>
      </c>
      <c r="P253" t="s">
        <v>1033</v>
      </c>
    </row>
    <row r="254" spans="1:16">
      <c r="A254">
        <f t="shared" si="3"/>
        <v>40</v>
      </c>
      <c r="B254" t="s">
        <v>1028</v>
      </c>
      <c r="C254" t="s">
        <v>1029</v>
      </c>
      <c r="D254" t="s">
        <v>196</v>
      </c>
      <c r="E254" t="s">
        <v>705</v>
      </c>
      <c r="F254" t="s">
        <v>1023</v>
      </c>
      <c r="G254" t="s">
        <v>1024</v>
      </c>
      <c r="H254" t="s">
        <v>1025</v>
      </c>
      <c r="I254" t="s">
        <v>259</v>
      </c>
      <c r="J254" t="s">
        <v>176</v>
      </c>
      <c r="K254" s="30">
        <v>43035</v>
      </c>
      <c r="L254" s="8">
        <v>43031.649768518517</v>
      </c>
      <c r="M254" s="21">
        <f>LEN(ProjTextTable[[#This Row],[text]])</f>
        <v>4779</v>
      </c>
      <c r="N254" s="21">
        <f>LEN(TRIM(CLEAN(SUBSTITUTE(ProjTextTable[[#This Row],[text]],CHAR(10)," "))))+1 - LEN(SUBSTITUTE(CLEAN(SUBSTITUTE(ProjTextTable[[#This Row],[text]],CHAR(10)," "))," ",""))</f>
        <v>752</v>
      </c>
      <c r="O254" t="s">
        <v>205</v>
      </c>
      <c r="P254" t="s">
        <v>1034</v>
      </c>
    </row>
    <row r="255" spans="1:16">
      <c r="A255">
        <f t="shared" si="3"/>
        <v>40</v>
      </c>
      <c r="B255" t="s">
        <v>1028</v>
      </c>
      <c r="C255" t="s">
        <v>1029</v>
      </c>
      <c r="D255" t="s">
        <v>198</v>
      </c>
      <c r="E255" t="s">
        <v>705</v>
      </c>
      <c r="F255" t="s">
        <v>13</v>
      </c>
      <c r="G255" t="s">
        <v>13</v>
      </c>
      <c r="H255" t="s">
        <v>13</v>
      </c>
      <c r="K255" s="30"/>
      <c r="L255" s="8">
        <v>42971.042534722219</v>
      </c>
      <c r="M255" s="21">
        <f>LEN(ProjTextTable[[#This Row],[text]])</f>
        <v>3529</v>
      </c>
      <c r="N255" s="21">
        <f>LEN(TRIM(CLEAN(SUBSTITUTE(ProjTextTable[[#This Row],[text]],CHAR(10)," "))))+1 - LEN(SUBSTITUTE(CLEAN(SUBSTITUTE(ProjTextTable[[#This Row],[text]],CHAR(10)," "))," ",""))</f>
        <v>489</v>
      </c>
      <c r="O255" t="s">
        <v>13</v>
      </c>
      <c r="P255" t="s">
        <v>1035</v>
      </c>
    </row>
    <row r="256" spans="1:16">
      <c r="A256">
        <f t="shared" si="3"/>
        <v>41</v>
      </c>
      <c r="B256" t="s">
        <v>1036</v>
      </c>
      <c r="C256" t="s">
        <v>579</v>
      </c>
      <c r="D256" t="s">
        <v>207</v>
      </c>
      <c r="E256" t="s">
        <v>705</v>
      </c>
      <c r="F256" t="s">
        <v>998</v>
      </c>
      <c r="G256" t="s">
        <v>978</v>
      </c>
      <c r="H256" t="s">
        <v>251</v>
      </c>
      <c r="I256" t="s">
        <v>95</v>
      </c>
      <c r="K256" s="30">
        <v>43034</v>
      </c>
      <c r="L256" s="8">
        <v>43074.684467592589</v>
      </c>
      <c r="M256" s="21">
        <f>LEN(ProjTextTable[[#This Row],[text]])</f>
        <v>4242</v>
      </c>
      <c r="N256" s="21">
        <f>LEN(TRIM(CLEAN(SUBSTITUTE(ProjTextTable[[#This Row],[text]],CHAR(10)," "))))+1 - LEN(SUBSTITUTE(CLEAN(SUBSTITUTE(ProjTextTable[[#This Row],[text]],CHAR(10)," "))," ",""))</f>
        <v>604</v>
      </c>
      <c r="O256" t="s">
        <v>249</v>
      </c>
      <c r="P256" t="s">
        <v>1037</v>
      </c>
    </row>
    <row r="257" spans="1:16">
      <c r="A257">
        <f t="shared" si="3"/>
        <v>41</v>
      </c>
      <c r="B257" t="s">
        <v>1036</v>
      </c>
      <c r="C257" t="s">
        <v>579</v>
      </c>
      <c r="D257" t="s">
        <v>423</v>
      </c>
      <c r="E257" t="s">
        <v>705</v>
      </c>
      <c r="F257" t="s">
        <v>13</v>
      </c>
      <c r="G257" t="s">
        <v>725</v>
      </c>
      <c r="H257" t="s">
        <v>13</v>
      </c>
      <c r="I257" t="s">
        <v>13</v>
      </c>
      <c r="K257" s="30"/>
      <c r="L257" s="8">
        <v>43075.497708333336</v>
      </c>
      <c r="M257" s="21">
        <f>LEN(ProjTextTable[[#This Row],[text]])</f>
        <v>1924</v>
      </c>
      <c r="N257" s="21">
        <f>LEN(TRIM(CLEAN(SUBSTITUTE(ProjTextTable[[#This Row],[text]],CHAR(10)," "))))+1 - LEN(SUBSTITUTE(CLEAN(SUBSTITUTE(ProjTextTable[[#This Row],[text]],CHAR(10)," "))," ",""))</f>
        <v>268</v>
      </c>
      <c r="O257" t="s">
        <v>13</v>
      </c>
      <c r="P257" t="s">
        <v>1587</v>
      </c>
    </row>
    <row r="258" spans="1:16">
      <c r="A258">
        <f t="shared" ref="A258:A321" si="4">A257+(B258&lt;&gt;B257)</f>
        <v>41</v>
      </c>
      <c r="B258" t="s">
        <v>1036</v>
      </c>
      <c r="C258" t="s">
        <v>579</v>
      </c>
      <c r="D258" t="s">
        <v>196</v>
      </c>
      <c r="E258" t="s">
        <v>705</v>
      </c>
      <c r="F258" t="s">
        <v>981</v>
      </c>
      <c r="G258" t="s">
        <v>601</v>
      </c>
      <c r="H258" t="s">
        <v>982</v>
      </c>
      <c r="I258" t="s">
        <v>259</v>
      </c>
      <c r="J258" t="s">
        <v>176</v>
      </c>
      <c r="K258" s="30">
        <v>43035</v>
      </c>
      <c r="L258" s="8">
        <v>43032.917615740742</v>
      </c>
      <c r="M258" s="21">
        <f>LEN(ProjTextTable[[#This Row],[text]])</f>
        <v>2131</v>
      </c>
      <c r="N258" s="21">
        <f>LEN(TRIM(CLEAN(SUBSTITUTE(ProjTextTable[[#This Row],[text]],CHAR(10)," "))))+1 - LEN(SUBSTITUTE(CLEAN(SUBSTITUTE(ProjTextTable[[#This Row],[text]],CHAR(10)," "))," ",""))</f>
        <v>319</v>
      </c>
      <c r="O258" t="s">
        <v>201</v>
      </c>
      <c r="P258" t="s">
        <v>1038</v>
      </c>
    </row>
    <row r="259" spans="1:16">
      <c r="A259">
        <f t="shared" si="4"/>
        <v>41</v>
      </c>
      <c r="B259" t="s">
        <v>1036</v>
      </c>
      <c r="C259" t="s">
        <v>579</v>
      </c>
      <c r="D259" t="s">
        <v>196</v>
      </c>
      <c r="E259" t="s">
        <v>705</v>
      </c>
      <c r="F259" t="s">
        <v>1005</v>
      </c>
      <c r="G259" t="s">
        <v>976</v>
      </c>
      <c r="H259" t="s">
        <v>1006</v>
      </c>
      <c r="I259" t="s">
        <v>259</v>
      </c>
      <c r="J259" t="s">
        <v>176</v>
      </c>
      <c r="K259" s="30">
        <v>43035</v>
      </c>
      <c r="L259" s="8">
        <v>43034.312673611108</v>
      </c>
      <c r="M259" s="21">
        <f>LEN(ProjTextTable[[#This Row],[text]])</f>
        <v>3681</v>
      </c>
      <c r="N259" s="21">
        <f>LEN(TRIM(CLEAN(SUBSTITUTE(ProjTextTable[[#This Row],[text]],CHAR(10)," "))))+1 - LEN(SUBSTITUTE(CLEAN(SUBSTITUTE(ProjTextTable[[#This Row],[text]],CHAR(10)," "))," ",""))</f>
        <v>547</v>
      </c>
      <c r="O259" t="s">
        <v>201</v>
      </c>
      <c r="P259" t="s">
        <v>1039</v>
      </c>
    </row>
    <row r="260" spans="1:16">
      <c r="A260">
        <f t="shared" si="4"/>
        <v>41</v>
      </c>
      <c r="B260" t="s">
        <v>1036</v>
      </c>
      <c r="C260" t="s">
        <v>579</v>
      </c>
      <c r="D260" t="s">
        <v>196</v>
      </c>
      <c r="E260" t="s">
        <v>705</v>
      </c>
      <c r="F260" t="s">
        <v>1017</v>
      </c>
      <c r="G260" t="s">
        <v>1018</v>
      </c>
      <c r="H260" t="s">
        <v>1019</v>
      </c>
      <c r="I260" t="s">
        <v>259</v>
      </c>
      <c r="J260" t="s">
        <v>176</v>
      </c>
      <c r="K260" s="30">
        <v>43035</v>
      </c>
      <c r="L260" s="8">
        <v>43032.931273148148</v>
      </c>
      <c r="M260" s="21">
        <f>LEN(ProjTextTable[[#This Row],[text]])</f>
        <v>1380</v>
      </c>
      <c r="N260" s="21">
        <f>LEN(TRIM(CLEAN(SUBSTITUTE(ProjTextTable[[#This Row],[text]],CHAR(10)," "))))+1 - LEN(SUBSTITUTE(CLEAN(SUBSTITUTE(ProjTextTable[[#This Row],[text]],CHAR(10)," "))," ",""))</f>
        <v>214</v>
      </c>
      <c r="O260" t="s">
        <v>201</v>
      </c>
      <c r="P260" t="s">
        <v>1040</v>
      </c>
    </row>
    <row r="261" spans="1:16">
      <c r="A261">
        <f t="shared" si="4"/>
        <v>41</v>
      </c>
      <c r="B261" t="s">
        <v>1036</v>
      </c>
      <c r="C261" t="s">
        <v>579</v>
      </c>
      <c r="D261" t="s">
        <v>196</v>
      </c>
      <c r="E261" t="s">
        <v>705</v>
      </c>
      <c r="F261" t="s">
        <v>992</v>
      </c>
      <c r="G261" t="s">
        <v>993</v>
      </c>
      <c r="H261" t="s">
        <v>994</v>
      </c>
      <c r="I261" t="s">
        <v>259</v>
      </c>
      <c r="J261" t="s">
        <v>176</v>
      </c>
      <c r="K261" s="30">
        <v>43035</v>
      </c>
      <c r="L261" s="8">
        <v>43028.648344907408</v>
      </c>
      <c r="M261" s="21">
        <f>LEN(ProjTextTable[[#This Row],[text]])</f>
        <v>2867</v>
      </c>
      <c r="N261" s="21">
        <f>LEN(TRIM(CLEAN(SUBSTITUTE(ProjTextTable[[#This Row],[text]],CHAR(10)," "))))+1 - LEN(SUBSTITUTE(CLEAN(SUBSTITUTE(ProjTextTable[[#This Row],[text]],CHAR(10)," "))," ",""))</f>
        <v>426</v>
      </c>
      <c r="O261" t="s">
        <v>201</v>
      </c>
      <c r="P261" t="s">
        <v>1041</v>
      </c>
    </row>
    <row r="262" spans="1:16">
      <c r="A262">
        <f t="shared" si="4"/>
        <v>41</v>
      </c>
      <c r="B262" t="s">
        <v>1036</v>
      </c>
      <c r="C262" t="s">
        <v>579</v>
      </c>
      <c r="D262" t="s">
        <v>198</v>
      </c>
      <c r="E262" t="s">
        <v>705</v>
      </c>
      <c r="F262" t="s">
        <v>13</v>
      </c>
      <c r="G262" t="s">
        <v>13</v>
      </c>
      <c r="H262" t="s">
        <v>13</v>
      </c>
      <c r="K262" s="30"/>
      <c r="L262" s="8">
        <v>42971.042870370373</v>
      </c>
      <c r="M262" s="21">
        <f>LEN(ProjTextTable[[#This Row],[text]])</f>
        <v>4530</v>
      </c>
      <c r="N262" s="21">
        <f>LEN(TRIM(CLEAN(SUBSTITUTE(ProjTextTable[[#This Row],[text]],CHAR(10)," "))))+1 - LEN(SUBSTITUTE(CLEAN(SUBSTITUTE(ProjTextTable[[#This Row],[text]],CHAR(10)," "))," ",""))</f>
        <v>632</v>
      </c>
      <c r="O262" t="s">
        <v>13</v>
      </c>
      <c r="P262" t="s">
        <v>1042</v>
      </c>
    </row>
    <row r="263" spans="1:16">
      <c r="A263">
        <f t="shared" si="4"/>
        <v>42</v>
      </c>
      <c r="B263" t="s">
        <v>1043</v>
      </c>
      <c r="C263" t="s">
        <v>469</v>
      </c>
      <c r="D263" t="s">
        <v>207</v>
      </c>
      <c r="E263" t="s">
        <v>705</v>
      </c>
      <c r="F263" t="s">
        <v>998</v>
      </c>
      <c r="G263" t="s">
        <v>978</v>
      </c>
      <c r="H263" t="s">
        <v>210</v>
      </c>
      <c r="I263" t="s">
        <v>199</v>
      </c>
      <c r="K263" s="30">
        <v>43034</v>
      </c>
      <c r="L263" s="8"/>
      <c r="M263" s="21">
        <f>LEN(ProjTextTable[[#This Row],[text]])</f>
        <v>2531</v>
      </c>
      <c r="N263" s="21">
        <f>LEN(TRIM(CLEAN(SUBSTITUTE(ProjTextTable[[#This Row],[text]],CHAR(10)," "))))+1 - LEN(SUBSTITUTE(CLEAN(SUBSTITUTE(ProjTextTable[[#This Row],[text]],CHAR(10)," "))," ",""))</f>
        <v>366</v>
      </c>
      <c r="O263" t="s">
        <v>211</v>
      </c>
      <c r="P263" t="s">
        <v>1044</v>
      </c>
    </row>
    <row r="264" spans="1:16">
      <c r="A264">
        <f t="shared" si="4"/>
        <v>42</v>
      </c>
      <c r="B264" t="s">
        <v>1043</v>
      </c>
      <c r="C264" t="s">
        <v>469</v>
      </c>
      <c r="D264" t="s">
        <v>196</v>
      </c>
      <c r="E264" t="s">
        <v>705</v>
      </c>
      <c r="F264" t="s">
        <v>981</v>
      </c>
      <c r="G264" t="s">
        <v>601</v>
      </c>
      <c r="H264" t="s">
        <v>982</v>
      </c>
      <c r="I264" t="s">
        <v>259</v>
      </c>
      <c r="J264" t="s">
        <v>176</v>
      </c>
      <c r="K264" s="30">
        <v>43035</v>
      </c>
      <c r="L264" s="8">
        <v>43032.465462962966</v>
      </c>
      <c r="M264" s="21">
        <f>LEN(ProjTextTable[[#This Row],[text]])</f>
        <v>1630</v>
      </c>
      <c r="N264" s="21">
        <f>LEN(TRIM(CLEAN(SUBSTITUTE(ProjTextTable[[#This Row],[text]],CHAR(10)," "))))+1 - LEN(SUBSTITUTE(CLEAN(SUBSTITUTE(ProjTextTable[[#This Row],[text]],CHAR(10)," "))," ",""))</f>
        <v>236</v>
      </c>
      <c r="O264" t="s">
        <v>201</v>
      </c>
      <c r="P264" t="s">
        <v>1045</v>
      </c>
    </row>
    <row r="265" spans="1:16">
      <c r="A265">
        <f t="shared" si="4"/>
        <v>42</v>
      </c>
      <c r="B265" t="s">
        <v>1043</v>
      </c>
      <c r="C265" t="s">
        <v>469</v>
      </c>
      <c r="D265" t="s">
        <v>196</v>
      </c>
      <c r="E265" t="s">
        <v>705</v>
      </c>
      <c r="F265" t="s">
        <v>1005</v>
      </c>
      <c r="G265" t="s">
        <v>976</v>
      </c>
      <c r="H265" t="s">
        <v>1006</v>
      </c>
      <c r="I265" t="s">
        <v>259</v>
      </c>
      <c r="J265" t="s">
        <v>176</v>
      </c>
      <c r="K265" s="30">
        <v>43035</v>
      </c>
      <c r="L265" s="8">
        <v>43034.309178240743</v>
      </c>
      <c r="M265" s="21">
        <f>LEN(ProjTextTable[[#This Row],[text]])</f>
        <v>2130</v>
      </c>
      <c r="N265" s="21">
        <f>LEN(TRIM(CLEAN(SUBSTITUTE(ProjTextTable[[#This Row],[text]],CHAR(10)," "))))+1 - LEN(SUBSTITUTE(CLEAN(SUBSTITUTE(ProjTextTable[[#This Row],[text]],CHAR(10)," "))," ",""))</f>
        <v>325</v>
      </c>
      <c r="O265" t="s">
        <v>197</v>
      </c>
      <c r="P265" t="s">
        <v>1046</v>
      </c>
    </row>
    <row r="266" spans="1:16">
      <c r="A266">
        <f t="shared" si="4"/>
        <v>42</v>
      </c>
      <c r="B266" t="s">
        <v>1043</v>
      </c>
      <c r="C266" t="s">
        <v>469</v>
      </c>
      <c r="D266" t="s">
        <v>196</v>
      </c>
      <c r="E266" t="s">
        <v>705</v>
      </c>
      <c r="F266" t="s">
        <v>1017</v>
      </c>
      <c r="G266" t="s">
        <v>1018</v>
      </c>
      <c r="H266" t="s">
        <v>1019</v>
      </c>
      <c r="I266" t="s">
        <v>259</v>
      </c>
      <c r="J266" t="s">
        <v>176</v>
      </c>
      <c r="K266" s="30">
        <v>43035</v>
      </c>
      <c r="L266" s="8">
        <v>43032.932372685187</v>
      </c>
      <c r="M266" s="21">
        <f>LEN(ProjTextTable[[#This Row],[text]])</f>
        <v>1591</v>
      </c>
      <c r="N266" s="21">
        <f>LEN(TRIM(CLEAN(SUBSTITUTE(ProjTextTable[[#This Row],[text]],CHAR(10)," "))))+1 - LEN(SUBSTITUTE(CLEAN(SUBSTITUTE(ProjTextTable[[#This Row],[text]],CHAR(10)," "))," ",""))</f>
        <v>234</v>
      </c>
      <c r="O266" t="s">
        <v>197</v>
      </c>
      <c r="P266" t="s">
        <v>1047</v>
      </c>
    </row>
    <row r="267" spans="1:16">
      <c r="A267">
        <f t="shared" si="4"/>
        <v>42</v>
      </c>
      <c r="B267" t="s">
        <v>1043</v>
      </c>
      <c r="C267" t="s">
        <v>469</v>
      </c>
      <c r="D267" t="s">
        <v>196</v>
      </c>
      <c r="E267" t="s">
        <v>705</v>
      </c>
      <c r="F267" t="s">
        <v>988</v>
      </c>
      <c r="G267" t="s">
        <v>989</v>
      </c>
      <c r="H267" t="s">
        <v>990</v>
      </c>
      <c r="I267" t="s">
        <v>259</v>
      </c>
      <c r="J267" t="s">
        <v>176</v>
      </c>
      <c r="K267" s="30">
        <v>43035</v>
      </c>
      <c r="L267" s="8">
        <v>43033.313634259262</v>
      </c>
      <c r="M267" s="21">
        <f>LEN(ProjTextTable[[#This Row],[text]])</f>
        <v>5834</v>
      </c>
      <c r="N267" s="21">
        <f>LEN(TRIM(CLEAN(SUBSTITUTE(ProjTextTable[[#This Row],[text]],CHAR(10)," "))))+1 - LEN(SUBSTITUTE(CLEAN(SUBSTITUTE(ProjTextTable[[#This Row],[text]],CHAR(10)," "))," ",""))</f>
        <v>845</v>
      </c>
      <c r="O267" t="s">
        <v>201</v>
      </c>
      <c r="P267" t="s">
        <v>1048</v>
      </c>
    </row>
    <row r="268" spans="1:16">
      <c r="A268">
        <f t="shared" si="4"/>
        <v>42</v>
      </c>
      <c r="B268" t="s">
        <v>1043</v>
      </c>
      <c r="C268" t="s">
        <v>469</v>
      </c>
      <c r="D268" t="s">
        <v>196</v>
      </c>
      <c r="E268" t="s">
        <v>705</v>
      </c>
      <c r="F268" t="s">
        <v>1023</v>
      </c>
      <c r="G268" t="s">
        <v>1024</v>
      </c>
      <c r="H268" t="s">
        <v>1025</v>
      </c>
      <c r="I268" t="s">
        <v>259</v>
      </c>
      <c r="J268" t="s">
        <v>176</v>
      </c>
      <c r="K268" s="30">
        <v>43035</v>
      </c>
      <c r="L268" s="8">
        <v>43035.360601851855</v>
      </c>
      <c r="M268" s="21">
        <f>LEN(ProjTextTable[[#This Row],[text]])</f>
        <v>4792</v>
      </c>
      <c r="N268" s="21">
        <f>LEN(TRIM(CLEAN(SUBSTITUTE(ProjTextTable[[#This Row],[text]],CHAR(10)," "))))+1 - LEN(SUBSTITUTE(CLEAN(SUBSTITUTE(ProjTextTable[[#This Row],[text]],CHAR(10)," "))," ",""))</f>
        <v>766</v>
      </c>
      <c r="O268" t="s">
        <v>205</v>
      </c>
      <c r="P268" t="s">
        <v>1049</v>
      </c>
    </row>
    <row r="269" spans="1:16">
      <c r="A269">
        <f t="shared" si="4"/>
        <v>42</v>
      </c>
      <c r="B269" t="s">
        <v>1043</v>
      </c>
      <c r="C269" t="s">
        <v>469</v>
      </c>
      <c r="D269" t="s">
        <v>198</v>
      </c>
      <c r="E269" t="s">
        <v>705</v>
      </c>
      <c r="F269" t="s">
        <v>13</v>
      </c>
      <c r="G269" t="s">
        <v>13</v>
      </c>
      <c r="H269" t="s">
        <v>13</v>
      </c>
      <c r="K269" s="30"/>
      <c r="L269" s="8">
        <v>42971.042881944442</v>
      </c>
      <c r="M269" s="21">
        <f>LEN(ProjTextTable[[#This Row],[text]])</f>
        <v>3996</v>
      </c>
      <c r="N269" s="21">
        <f>LEN(TRIM(CLEAN(SUBSTITUTE(ProjTextTable[[#This Row],[text]],CHAR(10)," "))))+1 - LEN(SUBSTITUTE(CLEAN(SUBSTITUTE(ProjTextTable[[#This Row],[text]],CHAR(10)," "))," ",""))</f>
        <v>549</v>
      </c>
      <c r="O269" t="s">
        <v>13</v>
      </c>
      <c r="P269" t="s">
        <v>1050</v>
      </c>
    </row>
    <row r="270" spans="1:16">
      <c r="A270">
        <f t="shared" si="4"/>
        <v>43</v>
      </c>
      <c r="B270" t="s">
        <v>1051</v>
      </c>
      <c r="C270" t="s">
        <v>1052</v>
      </c>
      <c r="D270" t="s">
        <v>207</v>
      </c>
      <c r="E270" t="s">
        <v>705</v>
      </c>
      <c r="F270" t="s">
        <v>977</v>
      </c>
      <c r="G270" t="s">
        <v>978</v>
      </c>
      <c r="H270" t="s">
        <v>255</v>
      </c>
      <c r="I270" t="s">
        <v>195</v>
      </c>
      <c r="K270" s="30">
        <v>43034</v>
      </c>
      <c r="L270" s="8">
        <v>43059.456585648149</v>
      </c>
      <c r="M270" s="21">
        <f>LEN(ProjTextTable[[#This Row],[text]])</f>
        <v>4368</v>
      </c>
      <c r="N270" s="21">
        <f>LEN(TRIM(CLEAN(SUBSTITUTE(ProjTextTable[[#This Row],[text]],CHAR(10)," "))))+1 - LEN(SUBSTITUTE(CLEAN(SUBSTITUTE(ProjTextTable[[#This Row],[text]],CHAR(10)," "))," ",""))</f>
        <v>612</v>
      </c>
      <c r="O270" t="s">
        <v>254</v>
      </c>
      <c r="P270" t="s">
        <v>1053</v>
      </c>
    </row>
    <row r="271" spans="1:16">
      <c r="A271">
        <f t="shared" si="4"/>
        <v>43</v>
      </c>
      <c r="B271" t="s">
        <v>1051</v>
      </c>
      <c r="C271" t="s">
        <v>1052</v>
      </c>
      <c r="D271" t="s">
        <v>486</v>
      </c>
      <c r="E271" t="s">
        <v>705</v>
      </c>
      <c r="F271" t="s">
        <v>1051</v>
      </c>
      <c r="G271" t="s">
        <v>725</v>
      </c>
      <c r="H271" t="s">
        <v>13</v>
      </c>
      <c r="I271" t="s">
        <v>13</v>
      </c>
      <c r="J271" t="s">
        <v>422</v>
      </c>
      <c r="K271" s="30">
        <v>43066.349305555559</v>
      </c>
      <c r="L271" s="8">
        <v>44892.349305555559</v>
      </c>
      <c r="M271" s="21">
        <f>LEN(ProjTextTable[[#This Row],[text]])</f>
        <v>335</v>
      </c>
      <c r="N271" s="21">
        <f>LEN(TRIM(CLEAN(SUBSTITUTE(ProjTextTable[[#This Row],[text]],CHAR(10)," "))))+1 - LEN(SUBSTITUTE(CLEAN(SUBSTITUTE(ProjTextTable[[#This Row],[text]],CHAR(10)," "))," ",""))</f>
        <v>52</v>
      </c>
      <c r="O271" t="s">
        <v>13</v>
      </c>
      <c r="P271" t="s">
        <v>1054</v>
      </c>
    </row>
    <row r="272" spans="1:16">
      <c r="A272">
        <f t="shared" si="4"/>
        <v>43</v>
      </c>
      <c r="B272" t="s">
        <v>1051</v>
      </c>
      <c r="C272" t="s">
        <v>1052</v>
      </c>
      <c r="D272" t="s">
        <v>2</v>
      </c>
      <c r="E272" t="s">
        <v>705</v>
      </c>
      <c r="F272" t="s">
        <v>13</v>
      </c>
      <c r="G272" t="s">
        <v>487</v>
      </c>
      <c r="H272" t="s">
        <v>13</v>
      </c>
      <c r="I272" t="s">
        <v>13</v>
      </c>
      <c r="K272" s="30"/>
      <c r="L272" s="8">
        <v>43048.503240740742</v>
      </c>
      <c r="M272" s="21">
        <f>LEN(ProjTextTable[[#This Row],[text]])</f>
        <v>2639</v>
      </c>
      <c r="N272" s="21">
        <f>LEN(TRIM(CLEAN(SUBSTITUTE(ProjTextTable[[#This Row],[text]],CHAR(10)," "))))+1 - LEN(SUBSTITUTE(CLEAN(SUBSTITUTE(ProjTextTable[[#This Row],[text]],CHAR(10)," "))," ",""))</f>
        <v>388</v>
      </c>
      <c r="O272" t="s">
        <v>13</v>
      </c>
      <c r="P272" t="s">
        <v>980</v>
      </c>
    </row>
    <row r="273" spans="1:16">
      <c r="A273">
        <f t="shared" si="4"/>
        <v>43</v>
      </c>
      <c r="B273" t="s">
        <v>1051</v>
      </c>
      <c r="C273" t="s">
        <v>1052</v>
      </c>
      <c r="D273" t="s">
        <v>196</v>
      </c>
      <c r="E273" t="s">
        <v>705</v>
      </c>
      <c r="F273" t="s">
        <v>981</v>
      </c>
      <c r="G273" t="s">
        <v>601</v>
      </c>
      <c r="H273" t="s">
        <v>982</v>
      </c>
      <c r="I273" t="s">
        <v>259</v>
      </c>
      <c r="J273" t="s">
        <v>176</v>
      </c>
      <c r="K273" s="30">
        <v>43035</v>
      </c>
      <c r="L273" s="8">
        <v>43034.315648148149</v>
      </c>
      <c r="M273" s="21">
        <f>LEN(ProjTextTable[[#This Row],[text]])</f>
        <v>3003</v>
      </c>
      <c r="N273" s="21">
        <f>LEN(TRIM(CLEAN(SUBSTITUTE(ProjTextTable[[#This Row],[text]],CHAR(10)," "))))+1 - LEN(SUBSTITUTE(CLEAN(SUBSTITUTE(ProjTextTable[[#This Row],[text]],CHAR(10)," "))," ",""))</f>
        <v>464</v>
      </c>
      <c r="O273" t="s">
        <v>203</v>
      </c>
      <c r="P273" t="s">
        <v>1055</v>
      </c>
    </row>
    <row r="274" spans="1:16">
      <c r="A274">
        <f t="shared" si="4"/>
        <v>43</v>
      </c>
      <c r="B274" t="s">
        <v>1051</v>
      </c>
      <c r="C274" t="s">
        <v>1052</v>
      </c>
      <c r="D274" t="s">
        <v>196</v>
      </c>
      <c r="E274" t="s">
        <v>705</v>
      </c>
      <c r="F274" t="s">
        <v>1017</v>
      </c>
      <c r="G274" t="s">
        <v>1018</v>
      </c>
      <c r="H274" t="s">
        <v>1019</v>
      </c>
      <c r="I274" t="s">
        <v>259</v>
      </c>
      <c r="J274" t="s">
        <v>176</v>
      </c>
      <c r="K274" s="30">
        <v>43035</v>
      </c>
      <c r="L274" s="8">
        <v>43034.440162037034</v>
      </c>
      <c r="M274" s="21">
        <f>LEN(ProjTextTable[[#This Row],[text]])</f>
        <v>1834</v>
      </c>
      <c r="N274" s="21">
        <f>LEN(TRIM(CLEAN(SUBSTITUTE(ProjTextTable[[#This Row],[text]],CHAR(10)," "))))+1 - LEN(SUBSTITUTE(CLEAN(SUBSTITUTE(ProjTextTable[[#This Row],[text]],CHAR(10)," "))," ",""))</f>
        <v>289</v>
      </c>
      <c r="O274" t="s">
        <v>203</v>
      </c>
      <c r="P274" t="s">
        <v>1056</v>
      </c>
    </row>
    <row r="275" spans="1:16">
      <c r="A275">
        <f t="shared" si="4"/>
        <v>43</v>
      </c>
      <c r="B275" t="s">
        <v>1051</v>
      </c>
      <c r="C275" t="s">
        <v>1052</v>
      </c>
      <c r="D275" t="s">
        <v>196</v>
      </c>
      <c r="E275" t="s">
        <v>705</v>
      </c>
      <c r="F275" t="s">
        <v>988</v>
      </c>
      <c r="G275" t="s">
        <v>989</v>
      </c>
      <c r="H275" t="s">
        <v>990</v>
      </c>
      <c r="I275" t="s">
        <v>259</v>
      </c>
      <c r="J275" t="s">
        <v>176</v>
      </c>
      <c r="K275" s="30">
        <v>43035</v>
      </c>
      <c r="L275" s="8">
        <v>43033.537118055552</v>
      </c>
      <c r="M275" s="21">
        <f>LEN(ProjTextTable[[#This Row],[text]])</f>
        <v>4745</v>
      </c>
      <c r="N275" s="21">
        <f>LEN(TRIM(CLEAN(SUBSTITUTE(ProjTextTable[[#This Row],[text]],CHAR(10)," "))))+1 - LEN(SUBSTITUTE(CLEAN(SUBSTITUTE(ProjTextTable[[#This Row],[text]],CHAR(10)," "))," ",""))</f>
        <v>692</v>
      </c>
      <c r="O275" t="s">
        <v>203</v>
      </c>
      <c r="P275" t="s">
        <v>1057</v>
      </c>
    </row>
    <row r="276" spans="1:16">
      <c r="A276">
        <f t="shared" si="4"/>
        <v>43</v>
      </c>
      <c r="B276" t="s">
        <v>1051</v>
      </c>
      <c r="C276" t="s">
        <v>1052</v>
      </c>
      <c r="D276" t="s">
        <v>196</v>
      </c>
      <c r="E276" t="s">
        <v>705</v>
      </c>
      <c r="F276" t="s">
        <v>992</v>
      </c>
      <c r="G276" t="s">
        <v>993</v>
      </c>
      <c r="H276" t="s">
        <v>994</v>
      </c>
      <c r="I276" t="s">
        <v>259</v>
      </c>
      <c r="J276" t="s">
        <v>176</v>
      </c>
      <c r="K276" s="30">
        <v>43035</v>
      </c>
      <c r="L276" s="8">
        <v>43034.634027777778</v>
      </c>
      <c r="M276" s="21">
        <f>LEN(ProjTextTable[[#This Row],[text]])</f>
        <v>2891</v>
      </c>
      <c r="N276" s="21">
        <f>LEN(TRIM(CLEAN(SUBSTITUTE(ProjTextTable[[#This Row],[text]],CHAR(10)," "))))+1 - LEN(SUBSTITUTE(CLEAN(SUBSTITUTE(ProjTextTable[[#This Row],[text]],CHAR(10)," "))," ",""))</f>
        <v>426</v>
      </c>
      <c r="O276" t="s">
        <v>203</v>
      </c>
      <c r="P276" t="s">
        <v>1058</v>
      </c>
    </row>
    <row r="277" spans="1:16">
      <c r="A277">
        <f t="shared" si="4"/>
        <v>43</v>
      </c>
      <c r="B277" t="s">
        <v>1051</v>
      </c>
      <c r="C277" t="s">
        <v>1052</v>
      </c>
      <c r="D277" t="s">
        <v>198</v>
      </c>
      <c r="E277" t="s">
        <v>705</v>
      </c>
      <c r="F277" t="s">
        <v>13</v>
      </c>
      <c r="G277" t="s">
        <v>13</v>
      </c>
      <c r="H277" t="s">
        <v>13</v>
      </c>
      <c r="K277" s="30"/>
      <c r="L277" s="8">
        <v>42971.043043981481</v>
      </c>
      <c r="M277" s="21">
        <f>LEN(ProjTextTable[[#This Row],[text]])</f>
        <v>4078</v>
      </c>
      <c r="N277" s="21">
        <f>LEN(TRIM(CLEAN(SUBSTITUTE(ProjTextTable[[#This Row],[text]],CHAR(10)," "))))+1 - LEN(SUBSTITUTE(CLEAN(SUBSTITUTE(ProjTextTable[[#This Row],[text]],CHAR(10)," "))," ",""))</f>
        <v>569</v>
      </c>
      <c r="O277" t="s">
        <v>13</v>
      </c>
      <c r="P277" t="s">
        <v>1059</v>
      </c>
    </row>
    <row r="278" spans="1:16">
      <c r="A278">
        <f t="shared" si="4"/>
        <v>44</v>
      </c>
      <c r="B278" t="s">
        <v>1060</v>
      </c>
      <c r="C278" t="s">
        <v>575</v>
      </c>
      <c r="D278" t="s">
        <v>207</v>
      </c>
      <c r="E278" t="s">
        <v>705</v>
      </c>
      <c r="F278" t="s">
        <v>998</v>
      </c>
      <c r="G278" t="s">
        <v>978</v>
      </c>
      <c r="H278" t="s">
        <v>999</v>
      </c>
      <c r="I278" t="s">
        <v>202</v>
      </c>
      <c r="K278" s="30">
        <v>43034</v>
      </c>
      <c r="L278" s="8">
        <v>43059.489166666666</v>
      </c>
      <c r="M278" s="21">
        <f>LEN(ProjTextTable[[#This Row],[text]])</f>
        <v>5793</v>
      </c>
      <c r="N278" s="21">
        <f>LEN(TRIM(CLEAN(SUBSTITUTE(ProjTextTable[[#This Row],[text]],CHAR(10)," "))))+1 - LEN(SUBSTITUTE(CLEAN(SUBSTITUTE(ProjTextTable[[#This Row],[text]],CHAR(10)," "))," ",""))</f>
        <v>875</v>
      </c>
      <c r="O278" t="s">
        <v>359</v>
      </c>
      <c r="P278" t="s">
        <v>1061</v>
      </c>
    </row>
    <row r="279" spans="1:16">
      <c r="A279">
        <f t="shared" si="4"/>
        <v>44</v>
      </c>
      <c r="B279" t="s">
        <v>1060</v>
      </c>
      <c r="C279" t="s">
        <v>575</v>
      </c>
      <c r="D279" t="s">
        <v>486</v>
      </c>
      <c r="E279" t="s">
        <v>705</v>
      </c>
      <c r="F279" t="s">
        <v>1060</v>
      </c>
      <c r="G279" t="s">
        <v>725</v>
      </c>
      <c r="H279" t="s">
        <v>13</v>
      </c>
      <c r="I279" t="s">
        <v>13</v>
      </c>
      <c r="J279" t="s">
        <v>422</v>
      </c>
      <c r="K279" s="30">
        <v>43066.352777777778</v>
      </c>
      <c r="L279" s="8">
        <v>44892.352777777778</v>
      </c>
      <c r="M279" s="21">
        <f>LEN(ProjTextTable[[#This Row],[text]])</f>
        <v>457</v>
      </c>
      <c r="N279" s="21">
        <f>LEN(TRIM(CLEAN(SUBSTITUTE(ProjTextTable[[#This Row],[text]],CHAR(10)," "))))+1 - LEN(SUBSTITUTE(CLEAN(SUBSTITUTE(ProjTextTable[[#This Row],[text]],CHAR(10)," "))," ",""))</f>
        <v>69</v>
      </c>
      <c r="O279" t="s">
        <v>13</v>
      </c>
      <c r="P279" t="s">
        <v>1062</v>
      </c>
    </row>
    <row r="280" spans="1:16">
      <c r="A280">
        <f t="shared" si="4"/>
        <v>44</v>
      </c>
      <c r="B280" t="s">
        <v>1060</v>
      </c>
      <c r="C280" t="s">
        <v>575</v>
      </c>
      <c r="D280" t="s">
        <v>2</v>
      </c>
      <c r="E280" t="s">
        <v>705</v>
      </c>
      <c r="F280" t="s">
        <v>13</v>
      </c>
      <c r="G280" t="s">
        <v>487</v>
      </c>
      <c r="H280" t="s">
        <v>13</v>
      </c>
      <c r="I280" t="s">
        <v>13</v>
      </c>
      <c r="K280" s="30"/>
      <c r="L280" s="8">
        <v>43048.501331018517</v>
      </c>
      <c r="M280" s="21">
        <f>LEN(ProjTextTable[[#This Row],[text]])</f>
        <v>2638</v>
      </c>
      <c r="N280" s="21">
        <f>LEN(TRIM(CLEAN(SUBSTITUTE(ProjTextTable[[#This Row],[text]],CHAR(10)," "))))+1 - LEN(SUBSTITUTE(CLEAN(SUBSTITUTE(ProjTextTable[[#This Row],[text]],CHAR(10)," "))," ",""))</f>
        <v>388</v>
      </c>
      <c r="O280" t="s">
        <v>13</v>
      </c>
      <c r="P280" t="s">
        <v>1063</v>
      </c>
    </row>
    <row r="281" spans="1:16">
      <c r="A281">
        <f t="shared" si="4"/>
        <v>44</v>
      </c>
      <c r="B281" t="s">
        <v>1060</v>
      </c>
      <c r="C281" t="s">
        <v>575</v>
      </c>
      <c r="D281" t="s">
        <v>196</v>
      </c>
      <c r="E281" t="s">
        <v>705</v>
      </c>
      <c r="F281" t="s">
        <v>1017</v>
      </c>
      <c r="G281" t="s">
        <v>1018</v>
      </c>
      <c r="H281" t="s">
        <v>1019</v>
      </c>
      <c r="I281" t="s">
        <v>259</v>
      </c>
      <c r="J281" t="s">
        <v>176</v>
      </c>
      <c r="K281" s="30">
        <v>43035</v>
      </c>
      <c r="L281" s="8">
        <v>43034.644386574073</v>
      </c>
      <c r="M281" s="21">
        <f>LEN(ProjTextTable[[#This Row],[text]])</f>
        <v>1562</v>
      </c>
      <c r="N281" s="21">
        <f>LEN(TRIM(CLEAN(SUBSTITUTE(ProjTextTable[[#This Row],[text]],CHAR(10)," "))))+1 - LEN(SUBSTITUTE(CLEAN(SUBSTITUTE(ProjTextTable[[#This Row],[text]],CHAR(10)," "))," ",""))</f>
        <v>249</v>
      </c>
      <c r="O281" t="s">
        <v>203</v>
      </c>
      <c r="P281" t="s">
        <v>1064</v>
      </c>
    </row>
    <row r="282" spans="1:16">
      <c r="A282">
        <f t="shared" si="4"/>
        <v>44</v>
      </c>
      <c r="B282" t="s">
        <v>1060</v>
      </c>
      <c r="C282" t="s">
        <v>575</v>
      </c>
      <c r="D282" t="s">
        <v>196</v>
      </c>
      <c r="E282" t="s">
        <v>705</v>
      </c>
      <c r="F282" t="s">
        <v>992</v>
      </c>
      <c r="G282" t="s">
        <v>993</v>
      </c>
      <c r="H282" t="s">
        <v>994</v>
      </c>
      <c r="I282" t="s">
        <v>259</v>
      </c>
      <c r="J282" t="s">
        <v>176</v>
      </c>
      <c r="K282" s="30">
        <v>43035</v>
      </c>
      <c r="L282" s="8">
        <v>43028.655717592592</v>
      </c>
      <c r="M282" s="21">
        <f>LEN(ProjTextTable[[#This Row],[text]])</f>
        <v>4061</v>
      </c>
      <c r="N282" s="21">
        <f>LEN(TRIM(CLEAN(SUBSTITUTE(ProjTextTable[[#This Row],[text]],CHAR(10)," "))))+1 - LEN(SUBSTITUTE(CLEAN(SUBSTITUTE(ProjTextTable[[#This Row],[text]],CHAR(10)," "))," ",""))</f>
        <v>612</v>
      </c>
      <c r="O282" t="s">
        <v>212</v>
      </c>
      <c r="P282" t="s">
        <v>1065</v>
      </c>
    </row>
    <row r="283" spans="1:16">
      <c r="A283">
        <f t="shared" si="4"/>
        <v>44</v>
      </c>
      <c r="B283" t="s">
        <v>1060</v>
      </c>
      <c r="C283" t="s">
        <v>575</v>
      </c>
      <c r="D283" t="s">
        <v>196</v>
      </c>
      <c r="E283" t="s">
        <v>705</v>
      </c>
      <c r="F283" t="s">
        <v>1008</v>
      </c>
      <c r="G283" t="s">
        <v>1009</v>
      </c>
      <c r="H283" t="s">
        <v>1010</v>
      </c>
      <c r="I283" t="s">
        <v>259</v>
      </c>
      <c r="J283" t="s">
        <v>176</v>
      </c>
      <c r="K283" s="30">
        <v>43035</v>
      </c>
      <c r="L283" s="8">
        <v>43033.931018518517</v>
      </c>
      <c r="M283" s="21">
        <f>LEN(ProjTextTable[[#This Row],[text]])</f>
        <v>5437</v>
      </c>
      <c r="N283" s="21">
        <f>LEN(TRIM(CLEAN(SUBSTITUTE(ProjTextTable[[#This Row],[text]],CHAR(10)," "))))+1 - LEN(SUBSTITUTE(CLEAN(SUBSTITUTE(ProjTextTable[[#This Row],[text]],CHAR(10)," "))," ",""))</f>
        <v>784</v>
      </c>
      <c r="O283" t="s">
        <v>205</v>
      </c>
      <c r="P283" t="s">
        <v>1066</v>
      </c>
    </row>
    <row r="284" spans="1:16">
      <c r="A284">
        <f t="shared" si="4"/>
        <v>44</v>
      </c>
      <c r="B284" t="s">
        <v>1060</v>
      </c>
      <c r="C284" t="s">
        <v>575</v>
      </c>
      <c r="D284" t="s">
        <v>196</v>
      </c>
      <c r="E284" t="s">
        <v>705</v>
      </c>
      <c r="F284" t="s">
        <v>1023</v>
      </c>
      <c r="G284" t="s">
        <v>1024</v>
      </c>
      <c r="H284" t="s">
        <v>1025</v>
      </c>
      <c r="I284" t="s">
        <v>259</v>
      </c>
      <c r="J284" t="s">
        <v>176</v>
      </c>
      <c r="K284" s="30">
        <v>43035</v>
      </c>
      <c r="L284" s="8">
        <v>43035.398368055554</v>
      </c>
      <c r="M284" s="21">
        <f>LEN(ProjTextTable[[#This Row],[text]])</f>
        <v>8866</v>
      </c>
      <c r="N284" s="21">
        <f>LEN(TRIM(CLEAN(SUBSTITUTE(ProjTextTable[[#This Row],[text]],CHAR(10)," "))))+1 - LEN(SUBSTITUTE(CLEAN(SUBSTITUTE(ProjTextTable[[#This Row],[text]],CHAR(10)," "))," ",""))</f>
        <v>1411</v>
      </c>
      <c r="O284" t="s">
        <v>212</v>
      </c>
      <c r="P284" t="s">
        <v>1067</v>
      </c>
    </row>
    <row r="285" spans="1:16">
      <c r="A285">
        <f t="shared" si="4"/>
        <v>44</v>
      </c>
      <c r="B285" t="s">
        <v>1060</v>
      </c>
      <c r="C285" t="s">
        <v>575</v>
      </c>
      <c r="D285" t="s">
        <v>198</v>
      </c>
      <c r="E285" t="s">
        <v>705</v>
      </c>
      <c r="F285" t="s">
        <v>13</v>
      </c>
      <c r="G285" t="s">
        <v>13</v>
      </c>
      <c r="H285" t="s">
        <v>13</v>
      </c>
      <c r="K285" s="30"/>
      <c r="L285" s="8">
        <v>42971.043078703704</v>
      </c>
      <c r="M285" s="21">
        <f>LEN(ProjTextTable[[#This Row],[text]])</f>
        <v>3547</v>
      </c>
      <c r="N285" s="21">
        <f>LEN(TRIM(CLEAN(SUBSTITUTE(ProjTextTable[[#This Row],[text]],CHAR(10)," "))))+1 - LEN(SUBSTITUTE(CLEAN(SUBSTITUTE(ProjTextTable[[#This Row],[text]],CHAR(10)," "))," ",""))</f>
        <v>473</v>
      </c>
      <c r="O285" t="s">
        <v>13</v>
      </c>
      <c r="P285" t="s">
        <v>1068</v>
      </c>
    </row>
    <row r="286" spans="1:16">
      <c r="A286">
        <f t="shared" si="4"/>
        <v>45</v>
      </c>
      <c r="B286" t="s">
        <v>1069</v>
      </c>
      <c r="C286" t="s">
        <v>562</v>
      </c>
      <c r="D286" t="s">
        <v>207</v>
      </c>
      <c r="E286" t="s">
        <v>705</v>
      </c>
      <c r="F286" t="s">
        <v>998</v>
      </c>
      <c r="G286" t="s">
        <v>978</v>
      </c>
      <c r="H286" t="s">
        <v>251</v>
      </c>
      <c r="I286" t="s">
        <v>95</v>
      </c>
      <c r="K286" s="30">
        <v>43034</v>
      </c>
      <c r="L286" s="8">
        <v>43075.620104166665</v>
      </c>
      <c r="M286" s="21">
        <f>LEN(ProjTextTable[[#This Row],[text]])</f>
        <v>2936</v>
      </c>
      <c r="N286" s="21">
        <f>LEN(TRIM(CLEAN(SUBSTITUTE(ProjTextTable[[#This Row],[text]],CHAR(10)," "))))+1 - LEN(SUBSTITUTE(CLEAN(SUBSTITUTE(ProjTextTable[[#This Row],[text]],CHAR(10)," "))," ",""))</f>
        <v>442</v>
      </c>
      <c r="O286" t="s">
        <v>249</v>
      </c>
      <c r="P286" t="s">
        <v>1070</v>
      </c>
    </row>
    <row r="287" spans="1:16">
      <c r="A287">
        <f t="shared" si="4"/>
        <v>45</v>
      </c>
      <c r="B287" t="s">
        <v>1069</v>
      </c>
      <c r="C287" t="s">
        <v>562</v>
      </c>
      <c r="D287" t="s">
        <v>196</v>
      </c>
      <c r="E287" t="s">
        <v>705</v>
      </c>
      <c r="F287" t="s">
        <v>984</v>
      </c>
      <c r="G287" t="s">
        <v>985</v>
      </c>
      <c r="H287" t="s">
        <v>986</v>
      </c>
      <c r="I287" t="s">
        <v>259</v>
      </c>
      <c r="J287" t="s">
        <v>176</v>
      </c>
      <c r="K287" s="30">
        <v>43035</v>
      </c>
      <c r="L287" s="8">
        <v>43034.674074074072</v>
      </c>
      <c r="M287" s="21">
        <f>LEN(ProjTextTable[[#This Row],[text]])</f>
        <v>4129</v>
      </c>
      <c r="N287" s="21">
        <f>LEN(TRIM(CLEAN(SUBSTITUTE(ProjTextTable[[#This Row],[text]],CHAR(10)," "))))+1 - LEN(SUBSTITUTE(CLEAN(SUBSTITUTE(ProjTextTable[[#This Row],[text]],CHAR(10)," "))," ",""))</f>
        <v>633</v>
      </c>
      <c r="O287" t="s">
        <v>257</v>
      </c>
      <c r="P287" t="s">
        <v>1071</v>
      </c>
    </row>
    <row r="288" spans="1:16">
      <c r="A288">
        <f t="shared" si="4"/>
        <v>45</v>
      </c>
      <c r="B288" t="s">
        <v>1069</v>
      </c>
      <c r="C288" t="s">
        <v>562</v>
      </c>
      <c r="D288" t="s">
        <v>196</v>
      </c>
      <c r="E288" t="s">
        <v>705</v>
      </c>
      <c r="F288" t="s">
        <v>988</v>
      </c>
      <c r="G288" t="s">
        <v>989</v>
      </c>
      <c r="H288" t="s">
        <v>990</v>
      </c>
      <c r="I288" t="s">
        <v>259</v>
      </c>
      <c r="J288" t="s">
        <v>176</v>
      </c>
      <c r="K288" s="30">
        <v>43035</v>
      </c>
      <c r="L288" s="8">
        <v>43031.650763888887</v>
      </c>
      <c r="M288" s="21">
        <f>LEN(ProjTextTable[[#This Row],[text]])</f>
        <v>4306</v>
      </c>
      <c r="N288" s="21">
        <f>LEN(TRIM(CLEAN(SUBSTITUTE(ProjTextTable[[#This Row],[text]],CHAR(10)," "))))+1 - LEN(SUBSTITUTE(CLEAN(SUBSTITUTE(ProjTextTable[[#This Row],[text]],CHAR(10)," "))," ",""))</f>
        <v>613</v>
      </c>
      <c r="O288" t="s">
        <v>257</v>
      </c>
      <c r="P288" t="s">
        <v>1072</v>
      </c>
    </row>
    <row r="289" spans="1:16">
      <c r="A289">
        <f t="shared" si="4"/>
        <v>45</v>
      </c>
      <c r="B289" t="s">
        <v>1069</v>
      </c>
      <c r="C289" t="s">
        <v>562</v>
      </c>
      <c r="D289" t="s">
        <v>196</v>
      </c>
      <c r="E289" t="s">
        <v>705</v>
      </c>
      <c r="F289" t="s">
        <v>1008</v>
      </c>
      <c r="G289" t="s">
        <v>1009</v>
      </c>
      <c r="H289" t="s">
        <v>1010</v>
      </c>
      <c r="I289" t="s">
        <v>259</v>
      </c>
      <c r="J289" t="s">
        <v>176</v>
      </c>
      <c r="K289" s="30">
        <v>43035</v>
      </c>
      <c r="L289" s="8">
        <v>43034.030995370369</v>
      </c>
      <c r="M289" s="21">
        <f>LEN(ProjTextTable[[#This Row],[text]])</f>
        <v>4227</v>
      </c>
      <c r="N289" s="21">
        <f>LEN(TRIM(CLEAN(SUBSTITUTE(ProjTextTable[[#This Row],[text]],CHAR(10)," "))))+1 - LEN(SUBSTITUTE(CLEAN(SUBSTITUTE(ProjTextTable[[#This Row],[text]],CHAR(10)," "))," ",""))</f>
        <v>554</v>
      </c>
      <c r="O289" t="s">
        <v>257</v>
      </c>
      <c r="P289" t="s">
        <v>1073</v>
      </c>
    </row>
    <row r="290" spans="1:16">
      <c r="A290">
        <f t="shared" si="4"/>
        <v>45</v>
      </c>
      <c r="B290" t="s">
        <v>1069</v>
      </c>
      <c r="C290" t="s">
        <v>562</v>
      </c>
      <c r="D290" t="s">
        <v>196</v>
      </c>
      <c r="E290" t="s">
        <v>705</v>
      </c>
      <c r="F290" t="s">
        <v>1023</v>
      </c>
      <c r="G290" t="s">
        <v>1024</v>
      </c>
      <c r="H290" t="s">
        <v>1025</v>
      </c>
      <c r="I290" t="s">
        <v>259</v>
      </c>
      <c r="J290" t="s">
        <v>176</v>
      </c>
      <c r="K290" s="30">
        <v>43035</v>
      </c>
      <c r="L290" s="8">
        <v>43034.988310185188</v>
      </c>
      <c r="M290" s="21">
        <f>LEN(ProjTextTable[[#This Row],[text]])</f>
        <v>3758</v>
      </c>
      <c r="N290" s="21">
        <f>LEN(TRIM(CLEAN(SUBSTITUTE(ProjTextTable[[#This Row],[text]],CHAR(10)," "))))+1 - LEN(SUBSTITUTE(CLEAN(SUBSTITUTE(ProjTextTable[[#This Row],[text]],CHAR(10)," "))," ",""))</f>
        <v>581</v>
      </c>
      <c r="O290" t="s">
        <v>257</v>
      </c>
      <c r="P290" t="s">
        <v>1074</v>
      </c>
    </row>
    <row r="291" spans="1:16">
      <c r="A291">
        <f t="shared" si="4"/>
        <v>45</v>
      </c>
      <c r="B291" t="s">
        <v>1069</v>
      </c>
      <c r="C291" t="s">
        <v>562</v>
      </c>
      <c r="D291" t="s">
        <v>198</v>
      </c>
      <c r="E291" t="s">
        <v>705</v>
      </c>
      <c r="F291" t="s">
        <v>13</v>
      </c>
      <c r="G291" t="s">
        <v>13</v>
      </c>
      <c r="H291" t="s">
        <v>13</v>
      </c>
      <c r="K291" s="30"/>
      <c r="L291" s="8">
        <v>42971.043113425927</v>
      </c>
      <c r="M291" s="21">
        <f>LEN(ProjTextTable[[#This Row],[text]])</f>
        <v>3455</v>
      </c>
      <c r="N291" s="21">
        <f>LEN(TRIM(CLEAN(SUBSTITUTE(ProjTextTable[[#This Row],[text]],CHAR(10)," "))))+1 - LEN(SUBSTITUTE(CLEAN(SUBSTITUTE(ProjTextTable[[#This Row],[text]],CHAR(10)," "))," ",""))</f>
        <v>470</v>
      </c>
      <c r="O291" t="s">
        <v>13</v>
      </c>
      <c r="P291" t="s">
        <v>1075</v>
      </c>
    </row>
    <row r="292" spans="1:16">
      <c r="A292">
        <f t="shared" si="4"/>
        <v>46</v>
      </c>
      <c r="B292" t="s">
        <v>1076</v>
      </c>
      <c r="C292" t="s">
        <v>1077</v>
      </c>
      <c r="D292" t="s">
        <v>207</v>
      </c>
      <c r="E292" t="s">
        <v>705</v>
      </c>
      <c r="F292" t="s">
        <v>998</v>
      </c>
      <c r="G292" t="s">
        <v>978</v>
      </c>
      <c r="H292" t="s">
        <v>255</v>
      </c>
      <c r="I292" t="s">
        <v>195</v>
      </c>
      <c r="K292" s="30">
        <v>43034</v>
      </c>
      <c r="L292" s="8">
        <v>43059.662928240738</v>
      </c>
      <c r="M292" s="21">
        <f>LEN(ProjTextTable[[#This Row],[text]])</f>
        <v>4550</v>
      </c>
      <c r="N292" s="21">
        <f>LEN(TRIM(CLEAN(SUBSTITUTE(ProjTextTable[[#This Row],[text]],CHAR(10)," "))))+1 - LEN(SUBSTITUTE(CLEAN(SUBSTITUTE(ProjTextTable[[#This Row],[text]],CHAR(10)," "))," ",""))</f>
        <v>660</v>
      </c>
      <c r="O292" t="s">
        <v>254</v>
      </c>
      <c r="P292" t="s">
        <v>1078</v>
      </c>
    </row>
    <row r="293" spans="1:16">
      <c r="A293">
        <f t="shared" si="4"/>
        <v>46</v>
      </c>
      <c r="B293" t="s">
        <v>1076</v>
      </c>
      <c r="C293" t="s">
        <v>1077</v>
      </c>
      <c r="D293" t="s">
        <v>2</v>
      </c>
      <c r="E293" t="s">
        <v>705</v>
      </c>
      <c r="F293" t="s">
        <v>13</v>
      </c>
      <c r="G293" t="s">
        <v>487</v>
      </c>
      <c r="H293" t="s">
        <v>13</v>
      </c>
      <c r="I293" t="s">
        <v>13</v>
      </c>
      <c r="K293" s="30"/>
      <c r="L293" s="8">
        <v>43048.50240740741</v>
      </c>
      <c r="M293" s="21">
        <f>LEN(ProjTextTable[[#This Row],[text]])</f>
        <v>2638</v>
      </c>
      <c r="N293" s="21">
        <f>LEN(TRIM(CLEAN(SUBSTITUTE(ProjTextTable[[#This Row],[text]],CHAR(10)," "))))+1 - LEN(SUBSTITUTE(CLEAN(SUBSTITUTE(ProjTextTable[[#This Row],[text]],CHAR(10)," "))," ",""))</f>
        <v>388</v>
      </c>
      <c r="O293" t="s">
        <v>13</v>
      </c>
      <c r="P293" t="s">
        <v>1063</v>
      </c>
    </row>
    <row r="294" spans="1:16">
      <c r="A294">
        <f t="shared" si="4"/>
        <v>46</v>
      </c>
      <c r="B294" t="s">
        <v>1076</v>
      </c>
      <c r="C294" t="s">
        <v>1077</v>
      </c>
      <c r="D294" t="s">
        <v>196</v>
      </c>
      <c r="E294" t="s">
        <v>705</v>
      </c>
      <c r="F294" t="s">
        <v>984</v>
      </c>
      <c r="G294" t="s">
        <v>985</v>
      </c>
      <c r="H294" t="s">
        <v>986</v>
      </c>
      <c r="I294" t="s">
        <v>259</v>
      </c>
      <c r="J294" t="s">
        <v>176</v>
      </c>
      <c r="K294" s="30">
        <v>43035</v>
      </c>
      <c r="L294" s="8">
        <v>43034.677546296298</v>
      </c>
      <c r="M294" s="21">
        <f>LEN(ProjTextTable[[#This Row],[text]])</f>
        <v>3345</v>
      </c>
      <c r="N294" s="21">
        <f>LEN(TRIM(CLEAN(SUBSTITUTE(ProjTextTable[[#This Row],[text]],CHAR(10)," "))))+1 - LEN(SUBSTITUTE(CLEAN(SUBSTITUTE(ProjTextTable[[#This Row],[text]],CHAR(10)," "))," ",""))</f>
        <v>502</v>
      </c>
      <c r="O294" t="s">
        <v>201</v>
      </c>
      <c r="P294" t="s">
        <v>1079</v>
      </c>
    </row>
    <row r="295" spans="1:16">
      <c r="A295">
        <f t="shared" si="4"/>
        <v>46</v>
      </c>
      <c r="B295" t="s">
        <v>1076</v>
      </c>
      <c r="C295" t="s">
        <v>1077</v>
      </c>
      <c r="D295" t="s">
        <v>196</v>
      </c>
      <c r="E295" t="s">
        <v>705</v>
      </c>
      <c r="F295" t="s">
        <v>1005</v>
      </c>
      <c r="G295" t="s">
        <v>976</v>
      </c>
      <c r="H295" t="s">
        <v>1006</v>
      </c>
      <c r="I295" t="s">
        <v>259</v>
      </c>
      <c r="J295" t="s">
        <v>176</v>
      </c>
      <c r="K295" s="30">
        <v>43035</v>
      </c>
      <c r="L295" s="8">
        <v>43034.580451388887</v>
      </c>
      <c r="M295" s="21">
        <f>LEN(ProjTextTable[[#This Row],[text]])</f>
        <v>3173</v>
      </c>
      <c r="N295" s="21">
        <f>LEN(TRIM(CLEAN(SUBSTITUTE(ProjTextTable[[#This Row],[text]],CHAR(10)," "))))+1 - LEN(SUBSTITUTE(CLEAN(SUBSTITUTE(ProjTextTable[[#This Row],[text]],CHAR(10)," "))," ",""))</f>
        <v>471</v>
      </c>
      <c r="O295" t="s">
        <v>201</v>
      </c>
      <c r="P295" t="s">
        <v>1080</v>
      </c>
    </row>
    <row r="296" spans="1:16">
      <c r="A296">
        <f t="shared" si="4"/>
        <v>46</v>
      </c>
      <c r="B296" t="s">
        <v>1076</v>
      </c>
      <c r="C296" t="s">
        <v>1077</v>
      </c>
      <c r="D296" t="s">
        <v>196</v>
      </c>
      <c r="E296" t="s">
        <v>705</v>
      </c>
      <c r="F296" t="s">
        <v>988</v>
      </c>
      <c r="G296" t="s">
        <v>989</v>
      </c>
      <c r="H296" t="s">
        <v>990</v>
      </c>
      <c r="I296" t="s">
        <v>259</v>
      </c>
      <c r="J296" t="s">
        <v>176</v>
      </c>
      <c r="K296" s="30">
        <v>43035</v>
      </c>
      <c r="L296" s="8">
        <v>43032.718136574076</v>
      </c>
      <c r="M296" s="21">
        <f>LEN(ProjTextTable[[#This Row],[text]])</f>
        <v>6920</v>
      </c>
      <c r="N296" s="21">
        <f>LEN(TRIM(CLEAN(SUBSTITUTE(ProjTextTable[[#This Row],[text]],CHAR(10)," "))))+1 - LEN(SUBSTITUTE(CLEAN(SUBSTITUTE(ProjTextTable[[#This Row],[text]],CHAR(10)," "))," ",""))</f>
        <v>1012</v>
      </c>
      <c r="O296" t="s">
        <v>205</v>
      </c>
      <c r="P296" t="s">
        <v>1081</v>
      </c>
    </row>
    <row r="297" spans="1:16">
      <c r="A297">
        <f t="shared" si="4"/>
        <v>46</v>
      </c>
      <c r="B297" t="s">
        <v>1076</v>
      </c>
      <c r="C297" t="s">
        <v>1077</v>
      </c>
      <c r="D297" t="s">
        <v>196</v>
      </c>
      <c r="E297" t="s">
        <v>705</v>
      </c>
      <c r="F297" t="s">
        <v>1008</v>
      </c>
      <c r="G297" t="s">
        <v>1009</v>
      </c>
      <c r="H297" t="s">
        <v>1010</v>
      </c>
      <c r="I297" t="s">
        <v>259</v>
      </c>
      <c r="J297" t="s">
        <v>176</v>
      </c>
      <c r="K297" s="30">
        <v>43035</v>
      </c>
      <c r="L297" s="8">
        <v>43034.061886574076</v>
      </c>
      <c r="M297" s="21">
        <f>LEN(ProjTextTable[[#This Row],[text]])</f>
        <v>3826</v>
      </c>
      <c r="N297" s="21">
        <f>LEN(TRIM(CLEAN(SUBSTITUTE(ProjTextTable[[#This Row],[text]],CHAR(10)," "))))+1 - LEN(SUBSTITUTE(CLEAN(SUBSTITUTE(ProjTextTable[[#This Row],[text]],CHAR(10)," "))," ",""))</f>
        <v>533</v>
      </c>
      <c r="O297" t="s">
        <v>204</v>
      </c>
      <c r="P297" t="s">
        <v>1082</v>
      </c>
    </row>
    <row r="298" spans="1:16">
      <c r="A298">
        <f t="shared" si="4"/>
        <v>47</v>
      </c>
      <c r="B298" t="s">
        <v>1083</v>
      </c>
      <c r="C298" t="s">
        <v>1084</v>
      </c>
      <c r="D298" t="s">
        <v>207</v>
      </c>
      <c r="E298" t="s">
        <v>705</v>
      </c>
      <c r="F298" t="s">
        <v>998</v>
      </c>
      <c r="G298" t="s">
        <v>978</v>
      </c>
      <c r="H298" t="s">
        <v>210</v>
      </c>
      <c r="I298" t="s">
        <v>199</v>
      </c>
      <c r="K298" s="30">
        <v>43034</v>
      </c>
      <c r="L298" s="8"/>
      <c r="M298" s="21">
        <f>LEN(ProjTextTable[[#This Row],[text]])</f>
        <v>3955</v>
      </c>
      <c r="N298" s="21">
        <f>LEN(TRIM(CLEAN(SUBSTITUTE(ProjTextTable[[#This Row],[text]],CHAR(10)," "))))+1 - LEN(SUBSTITUTE(CLEAN(SUBSTITUTE(ProjTextTable[[#This Row],[text]],CHAR(10)," "))," ",""))</f>
        <v>589</v>
      </c>
      <c r="O298" t="s">
        <v>211</v>
      </c>
      <c r="P298" t="s">
        <v>1085</v>
      </c>
    </row>
    <row r="299" spans="1:16">
      <c r="A299">
        <f t="shared" si="4"/>
        <v>47</v>
      </c>
      <c r="B299" t="s">
        <v>1083</v>
      </c>
      <c r="C299" t="s">
        <v>1084</v>
      </c>
      <c r="D299" t="s">
        <v>196</v>
      </c>
      <c r="E299" t="s">
        <v>705</v>
      </c>
      <c r="F299" t="s">
        <v>981</v>
      </c>
      <c r="G299" t="s">
        <v>601</v>
      </c>
      <c r="H299" t="s">
        <v>982</v>
      </c>
      <c r="I299" t="s">
        <v>259</v>
      </c>
      <c r="J299" t="s">
        <v>176</v>
      </c>
      <c r="K299" s="30">
        <v>43035</v>
      </c>
      <c r="L299" s="8">
        <v>43032.570243055554</v>
      </c>
      <c r="M299" s="21">
        <f>LEN(ProjTextTable[[#This Row],[text]])</f>
        <v>1960</v>
      </c>
      <c r="N299" s="21">
        <f>LEN(TRIM(CLEAN(SUBSTITUTE(ProjTextTable[[#This Row],[text]],CHAR(10)," "))))+1 - LEN(SUBSTITUTE(CLEAN(SUBSTITUTE(ProjTextTable[[#This Row],[text]],CHAR(10)," "))," ",""))</f>
        <v>281</v>
      </c>
      <c r="O299" t="s">
        <v>201</v>
      </c>
      <c r="P299" t="s">
        <v>1086</v>
      </c>
    </row>
    <row r="300" spans="1:16">
      <c r="A300">
        <f t="shared" si="4"/>
        <v>47</v>
      </c>
      <c r="B300" t="s">
        <v>1083</v>
      </c>
      <c r="C300" t="s">
        <v>1084</v>
      </c>
      <c r="D300" t="s">
        <v>196</v>
      </c>
      <c r="E300" t="s">
        <v>705</v>
      </c>
      <c r="F300" t="s">
        <v>984</v>
      </c>
      <c r="G300" t="s">
        <v>985</v>
      </c>
      <c r="H300" t="s">
        <v>986</v>
      </c>
      <c r="I300" t="s">
        <v>259</v>
      </c>
      <c r="J300" t="s">
        <v>176</v>
      </c>
      <c r="K300" s="30">
        <v>43035</v>
      </c>
      <c r="L300" s="8">
        <v>43034.679618055554</v>
      </c>
      <c r="M300" s="21">
        <f>LEN(ProjTextTable[[#This Row],[text]])</f>
        <v>3342</v>
      </c>
      <c r="N300" s="21">
        <f>LEN(TRIM(CLEAN(SUBSTITUTE(ProjTextTable[[#This Row],[text]],CHAR(10)," "))))+1 - LEN(SUBSTITUTE(CLEAN(SUBSTITUTE(ProjTextTable[[#This Row],[text]],CHAR(10)," "))," ",""))</f>
        <v>500</v>
      </c>
      <c r="O300" t="s">
        <v>201</v>
      </c>
      <c r="P300" t="s">
        <v>1087</v>
      </c>
    </row>
    <row r="301" spans="1:16">
      <c r="A301">
        <f t="shared" si="4"/>
        <v>47</v>
      </c>
      <c r="B301" t="s">
        <v>1083</v>
      </c>
      <c r="C301" t="s">
        <v>1084</v>
      </c>
      <c r="D301" t="s">
        <v>196</v>
      </c>
      <c r="E301" t="s">
        <v>705</v>
      </c>
      <c r="F301" t="s">
        <v>1005</v>
      </c>
      <c r="G301" t="s">
        <v>976</v>
      </c>
      <c r="H301" t="s">
        <v>1006</v>
      </c>
      <c r="I301" t="s">
        <v>259</v>
      </c>
      <c r="J301" t="s">
        <v>176</v>
      </c>
      <c r="K301" s="30">
        <v>43035</v>
      </c>
      <c r="L301" s="8">
        <v>43034.567974537036</v>
      </c>
      <c r="M301" s="21">
        <f>LEN(ProjTextTable[[#This Row],[text]])</f>
        <v>3190</v>
      </c>
      <c r="N301" s="21">
        <f>LEN(TRIM(CLEAN(SUBSTITUTE(ProjTextTable[[#This Row],[text]],CHAR(10)," "))))+1 - LEN(SUBSTITUTE(CLEAN(SUBSTITUTE(ProjTextTable[[#This Row],[text]],CHAR(10)," "))," ",""))</f>
        <v>471</v>
      </c>
      <c r="O301" t="s">
        <v>201</v>
      </c>
      <c r="P301" t="s">
        <v>1088</v>
      </c>
    </row>
    <row r="302" spans="1:16">
      <c r="A302">
        <f t="shared" si="4"/>
        <v>47</v>
      </c>
      <c r="B302" t="s">
        <v>1083</v>
      </c>
      <c r="C302" t="s">
        <v>1084</v>
      </c>
      <c r="D302" t="s">
        <v>196</v>
      </c>
      <c r="E302" t="s">
        <v>705</v>
      </c>
      <c r="F302" t="s">
        <v>1023</v>
      </c>
      <c r="G302" t="s">
        <v>1024</v>
      </c>
      <c r="H302" t="s">
        <v>1025</v>
      </c>
      <c r="I302" t="s">
        <v>259</v>
      </c>
      <c r="J302" t="s">
        <v>176</v>
      </c>
      <c r="K302" s="30">
        <v>43035</v>
      </c>
      <c r="L302" s="8">
        <v>43033.749108796299</v>
      </c>
      <c r="M302" s="21">
        <f>LEN(ProjTextTable[[#This Row],[text]])</f>
        <v>5074</v>
      </c>
      <c r="N302" s="21">
        <f>LEN(TRIM(CLEAN(SUBSTITUTE(ProjTextTable[[#This Row],[text]],CHAR(10)," "))))+1 - LEN(SUBSTITUTE(CLEAN(SUBSTITUTE(ProjTextTable[[#This Row],[text]],CHAR(10)," "))," ",""))</f>
        <v>794</v>
      </c>
      <c r="O302" t="s">
        <v>197</v>
      </c>
      <c r="P302" t="s">
        <v>1089</v>
      </c>
    </row>
    <row r="303" spans="1:16">
      <c r="A303">
        <f t="shared" si="4"/>
        <v>47</v>
      </c>
      <c r="B303" t="s">
        <v>1083</v>
      </c>
      <c r="C303" t="s">
        <v>1084</v>
      </c>
      <c r="D303" t="s">
        <v>198</v>
      </c>
      <c r="E303" t="s">
        <v>705</v>
      </c>
      <c r="F303" t="s">
        <v>13</v>
      </c>
      <c r="G303" t="s">
        <v>13</v>
      </c>
      <c r="H303" t="s">
        <v>13</v>
      </c>
      <c r="K303" s="30"/>
      <c r="L303" s="8">
        <v>42971.04315972222</v>
      </c>
      <c r="M303" s="21">
        <f>LEN(ProjTextTable[[#This Row],[text]])</f>
        <v>3684</v>
      </c>
      <c r="N303" s="21">
        <f>LEN(TRIM(CLEAN(SUBSTITUTE(ProjTextTable[[#This Row],[text]],CHAR(10)," "))))+1 - LEN(SUBSTITUTE(CLEAN(SUBSTITUTE(ProjTextTable[[#This Row],[text]],CHAR(10)," "))," ",""))</f>
        <v>503</v>
      </c>
      <c r="O303" t="s">
        <v>13</v>
      </c>
      <c r="P303" t="s">
        <v>1090</v>
      </c>
    </row>
    <row r="304" spans="1:16">
      <c r="A304">
        <f t="shared" si="4"/>
        <v>48</v>
      </c>
      <c r="B304" t="s">
        <v>1091</v>
      </c>
      <c r="C304" t="s">
        <v>1092</v>
      </c>
      <c r="D304" t="s">
        <v>207</v>
      </c>
      <c r="E304" t="s">
        <v>705</v>
      </c>
      <c r="F304" t="s">
        <v>998</v>
      </c>
      <c r="G304" t="s">
        <v>978</v>
      </c>
      <c r="H304" t="s">
        <v>255</v>
      </c>
      <c r="I304" t="s">
        <v>195</v>
      </c>
      <c r="K304" s="30">
        <v>43034</v>
      </c>
      <c r="L304" s="8">
        <v>43059.740659722222</v>
      </c>
      <c r="M304" s="21">
        <f>LEN(ProjTextTable[[#This Row],[text]])</f>
        <v>7052</v>
      </c>
      <c r="N304" s="21">
        <f>LEN(TRIM(CLEAN(SUBSTITUTE(ProjTextTable[[#This Row],[text]],CHAR(10)," "))))+1 - LEN(SUBSTITUTE(CLEAN(SUBSTITUTE(ProjTextTable[[#This Row],[text]],CHAR(10)," "))," ",""))</f>
        <v>1082</v>
      </c>
      <c r="O304" t="s">
        <v>254</v>
      </c>
      <c r="P304" t="s">
        <v>1093</v>
      </c>
    </row>
    <row r="305" spans="1:16">
      <c r="A305">
        <f t="shared" si="4"/>
        <v>48</v>
      </c>
      <c r="B305" t="s">
        <v>1091</v>
      </c>
      <c r="C305" t="s">
        <v>1092</v>
      </c>
      <c r="D305" t="s">
        <v>2</v>
      </c>
      <c r="E305" t="s">
        <v>705</v>
      </c>
      <c r="F305" t="s">
        <v>13</v>
      </c>
      <c r="G305" t="s">
        <v>487</v>
      </c>
      <c r="H305" t="s">
        <v>13</v>
      </c>
      <c r="I305" t="s">
        <v>13</v>
      </c>
      <c r="K305" s="30"/>
      <c r="L305" s="8">
        <v>43048.502071759256</v>
      </c>
      <c r="M305" s="21">
        <f>LEN(ProjTextTable[[#This Row],[text]])</f>
        <v>2638</v>
      </c>
      <c r="N305" s="21">
        <f>LEN(TRIM(CLEAN(SUBSTITUTE(ProjTextTable[[#This Row],[text]],CHAR(10)," "))))+1 - LEN(SUBSTITUTE(CLEAN(SUBSTITUTE(ProjTextTable[[#This Row],[text]],CHAR(10)," "))," ",""))</f>
        <v>388</v>
      </c>
      <c r="O305" t="s">
        <v>13</v>
      </c>
      <c r="P305" t="s">
        <v>1063</v>
      </c>
    </row>
    <row r="306" spans="1:16">
      <c r="A306">
        <f t="shared" si="4"/>
        <v>48</v>
      </c>
      <c r="B306" t="s">
        <v>1091</v>
      </c>
      <c r="C306" t="s">
        <v>1092</v>
      </c>
      <c r="D306" t="s">
        <v>196</v>
      </c>
      <c r="E306" t="s">
        <v>705</v>
      </c>
      <c r="F306" t="s">
        <v>984</v>
      </c>
      <c r="G306" t="s">
        <v>985</v>
      </c>
      <c r="H306" t="s">
        <v>986</v>
      </c>
      <c r="I306" t="s">
        <v>259</v>
      </c>
      <c r="J306" t="s">
        <v>176</v>
      </c>
      <c r="K306" s="30">
        <v>43035</v>
      </c>
      <c r="L306" s="8">
        <v>43034.672106481485</v>
      </c>
      <c r="M306" s="21">
        <f>LEN(ProjTextTable[[#This Row],[text]])</f>
        <v>3992</v>
      </c>
      <c r="N306" s="21">
        <f>LEN(TRIM(CLEAN(SUBSTITUTE(ProjTextTable[[#This Row],[text]],CHAR(10)," "))))+1 - LEN(SUBSTITUTE(CLEAN(SUBSTITUTE(ProjTextTable[[#This Row],[text]],CHAR(10)," "))," ",""))</f>
        <v>619</v>
      </c>
      <c r="O306" t="s">
        <v>204</v>
      </c>
      <c r="P306" t="s">
        <v>1094</v>
      </c>
    </row>
    <row r="307" spans="1:16">
      <c r="A307">
        <f t="shared" si="4"/>
        <v>48</v>
      </c>
      <c r="B307" t="s">
        <v>1091</v>
      </c>
      <c r="C307" t="s">
        <v>1092</v>
      </c>
      <c r="D307" t="s">
        <v>196</v>
      </c>
      <c r="E307" t="s">
        <v>705</v>
      </c>
      <c r="F307" t="s">
        <v>1005</v>
      </c>
      <c r="G307" t="s">
        <v>976</v>
      </c>
      <c r="H307" t="s">
        <v>1006</v>
      </c>
      <c r="I307" t="s">
        <v>259</v>
      </c>
      <c r="J307" t="s">
        <v>176</v>
      </c>
      <c r="K307" s="30">
        <v>43035</v>
      </c>
      <c r="L307" s="8">
        <v>43034.588263888887</v>
      </c>
      <c r="M307" s="21">
        <f>LEN(ProjTextTable[[#This Row],[text]])</f>
        <v>2372</v>
      </c>
      <c r="N307" s="21">
        <f>LEN(TRIM(CLEAN(SUBSTITUTE(ProjTextTable[[#This Row],[text]],CHAR(10)," "))))+1 - LEN(SUBSTITUTE(CLEAN(SUBSTITUTE(ProjTextTable[[#This Row],[text]],CHAR(10)," "))," ",""))</f>
        <v>363</v>
      </c>
      <c r="O307" t="s">
        <v>197</v>
      </c>
      <c r="P307" t="s">
        <v>1095</v>
      </c>
    </row>
    <row r="308" spans="1:16">
      <c r="A308">
        <f t="shared" si="4"/>
        <v>48</v>
      </c>
      <c r="B308" t="s">
        <v>1091</v>
      </c>
      <c r="C308" t="s">
        <v>1092</v>
      </c>
      <c r="D308" t="s">
        <v>196</v>
      </c>
      <c r="E308" t="s">
        <v>705</v>
      </c>
      <c r="F308" t="s">
        <v>1008</v>
      </c>
      <c r="G308" t="s">
        <v>1009</v>
      </c>
      <c r="H308" t="s">
        <v>1010</v>
      </c>
      <c r="I308" t="s">
        <v>259</v>
      </c>
      <c r="J308" t="s">
        <v>176</v>
      </c>
      <c r="K308" s="30">
        <v>43035</v>
      </c>
      <c r="L308" s="8">
        <v>43035.396817129629</v>
      </c>
      <c r="M308" s="21">
        <f>LEN(ProjTextTable[[#This Row],[text]])</f>
        <v>4741</v>
      </c>
      <c r="N308" s="21">
        <f>LEN(TRIM(CLEAN(SUBSTITUTE(ProjTextTable[[#This Row],[text]],CHAR(10)," "))))+1 - LEN(SUBSTITUTE(CLEAN(SUBSTITUTE(ProjTextTable[[#This Row],[text]],CHAR(10)," "))," ",""))</f>
        <v>645</v>
      </c>
      <c r="O308" t="s">
        <v>205</v>
      </c>
      <c r="P308" t="s">
        <v>1096</v>
      </c>
    </row>
    <row r="309" spans="1:16">
      <c r="A309">
        <f t="shared" si="4"/>
        <v>48</v>
      </c>
      <c r="B309" t="s">
        <v>1091</v>
      </c>
      <c r="C309" t="s">
        <v>1092</v>
      </c>
      <c r="D309" t="s">
        <v>196</v>
      </c>
      <c r="E309" t="s">
        <v>705</v>
      </c>
      <c r="F309" t="s">
        <v>1023</v>
      </c>
      <c r="G309" t="s">
        <v>1024</v>
      </c>
      <c r="H309" t="s">
        <v>1025</v>
      </c>
      <c r="I309" t="s">
        <v>259</v>
      </c>
      <c r="J309" t="s">
        <v>176</v>
      </c>
      <c r="K309" s="30">
        <v>43035</v>
      </c>
      <c r="L309" s="8">
        <v>43032.786412037036</v>
      </c>
      <c r="M309" s="21">
        <f>LEN(ProjTextTable[[#This Row],[text]])</f>
        <v>3112</v>
      </c>
      <c r="N309" s="21">
        <f>LEN(TRIM(CLEAN(SUBSTITUTE(ProjTextTable[[#This Row],[text]],CHAR(10)," "))))+1 - LEN(SUBSTITUTE(CLEAN(SUBSTITUTE(ProjTextTable[[#This Row],[text]],CHAR(10)," "))," ",""))</f>
        <v>497</v>
      </c>
      <c r="O309" t="s">
        <v>197</v>
      </c>
      <c r="P309" t="s">
        <v>1097</v>
      </c>
    </row>
    <row r="310" spans="1:16">
      <c r="A310">
        <f t="shared" si="4"/>
        <v>48</v>
      </c>
      <c r="B310" t="s">
        <v>1091</v>
      </c>
      <c r="C310" t="s">
        <v>1092</v>
      </c>
      <c r="D310" t="s">
        <v>198</v>
      </c>
      <c r="E310" t="s">
        <v>705</v>
      </c>
      <c r="F310" t="s">
        <v>13</v>
      </c>
      <c r="G310" t="s">
        <v>13</v>
      </c>
      <c r="H310" t="s">
        <v>13</v>
      </c>
      <c r="K310" s="30"/>
      <c r="L310" s="8">
        <v>42971.043182870373</v>
      </c>
      <c r="M310" s="21">
        <f>LEN(ProjTextTable[[#This Row],[text]])</f>
        <v>3927</v>
      </c>
      <c r="N310" s="21">
        <f>LEN(TRIM(CLEAN(SUBSTITUTE(ProjTextTable[[#This Row],[text]],CHAR(10)," "))))+1 - LEN(SUBSTITUTE(CLEAN(SUBSTITUTE(ProjTextTable[[#This Row],[text]],CHAR(10)," "))," ",""))</f>
        <v>558</v>
      </c>
      <c r="O310" t="s">
        <v>13</v>
      </c>
      <c r="P310" t="s">
        <v>1098</v>
      </c>
    </row>
    <row r="311" spans="1:16">
      <c r="A311">
        <f t="shared" si="4"/>
        <v>49</v>
      </c>
      <c r="B311" t="s">
        <v>1099</v>
      </c>
      <c r="C311" t="s">
        <v>1100</v>
      </c>
      <c r="D311" t="s">
        <v>207</v>
      </c>
      <c r="E311" t="s">
        <v>705</v>
      </c>
      <c r="F311" t="s">
        <v>998</v>
      </c>
      <c r="G311" t="s">
        <v>978</v>
      </c>
      <c r="H311" t="s">
        <v>255</v>
      </c>
      <c r="I311" t="s">
        <v>195</v>
      </c>
      <c r="K311" s="30">
        <v>43034</v>
      </c>
      <c r="L311" s="8">
        <v>43059.444965277777</v>
      </c>
      <c r="M311" s="21">
        <f>LEN(ProjTextTable[[#This Row],[text]])</f>
        <v>5341</v>
      </c>
      <c r="N311" s="21">
        <f>LEN(TRIM(CLEAN(SUBSTITUTE(ProjTextTable[[#This Row],[text]],CHAR(10)," "))))+1 - LEN(SUBSTITUTE(CLEAN(SUBSTITUTE(ProjTextTable[[#This Row],[text]],CHAR(10)," "))," ",""))</f>
        <v>763</v>
      </c>
      <c r="O311" t="s">
        <v>254</v>
      </c>
      <c r="P311" t="s">
        <v>1101</v>
      </c>
    </row>
    <row r="312" spans="1:16">
      <c r="A312">
        <f t="shared" si="4"/>
        <v>49</v>
      </c>
      <c r="B312" t="s">
        <v>1099</v>
      </c>
      <c r="C312" t="s">
        <v>1100</v>
      </c>
      <c r="D312" t="s">
        <v>2</v>
      </c>
      <c r="E312" t="s">
        <v>705</v>
      </c>
      <c r="F312" t="s">
        <v>13</v>
      </c>
      <c r="G312" t="s">
        <v>487</v>
      </c>
      <c r="H312" t="s">
        <v>13</v>
      </c>
      <c r="I312" t="s">
        <v>13</v>
      </c>
      <c r="K312" s="30"/>
      <c r="L312" s="8">
        <v>43048.504432870373</v>
      </c>
      <c r="M312" s="21">
        <f>LEN(ProjTextTable[[#This Row],[text]])</f>
        <v>2639</v>
      </c>
      <c r="N312" s="21">
        <f>LEN(TRIM(CLEAN(SUBSTITUTE(ProjTextTable[[#This Row],[text]],CHAR(10)," "))))+1 - LEN(SUBSTITUTE(CLEAN(SUBSTITUTE(ProjTextTable[[#This Row],[text]],CHAR(10)," "))," ",""))</f>
        <v>388</v>
      </c>
      <c r="O312" t="s">
        <v>13</v>
      </c>
      <c r="P312" t="s">
        <v>980</v>
      </c>
    </row>
    <row r="313" spans="1:16">
      <c r="A313">
        <f t="shared" si="4"/>
        <v>49</v>
      </c>
      <c r="B313" t="s">
        <v>1099</v>
      </c>
      <c r="C313" t="s">
        <v>1100</v>
      </c>
      <c r="D313" t="s">
        <v>196</v>
      </c>
      <c r="E313" t="s">
        <v>705</v>
      </c>
      <c r="F313" t="s">
        <v>1005</v>
      </c>
      <c r="G313" t="s">
        <v>976</v>
      </c>
      <c r="H313" t="s">
        <v>1006</v>
      </c>
      <c r="I313" t="s">
        <v>259</v>
      </c>
      <c r="J313" t="s">
        <v>176</v>
      </c>
      <c r="K313" s="30">
        <v>43035</v>
      </c>
      <c r="L313" s="8">
        <v>43034.573136574072</v>
      </c>
      <c r="M313" s="21">
        <f>LEN(ProjTextTable[[#This Row],[text]])</f>
        <v>3603</v>
      </c>
      <c r="N313" s="21">
        <f>LEN(TRIM(CLEAN(SUBSTITUTE(ProjTextTable[[#This Row],[text]],CHAR(10)," "))))+1 - LEN(SUBSTITUTE(CLEAN(SUBSTITUTE(ProjTextTable[[#This Row],[text]],CHAR(10)," "))," ",""))</f>
        <v>544</v>
      </c>
      <c r="O313" t="s">
        <v>201</v>
      </c>
      <c r="P313" t="s">
        <v>1102</v>
      </c>
    </row>
    <row r="314" spans="1:16">
      <c r="A314">
        <f t="shared" si="4"/>
        <v>49</v>
      </c>
      <c r="B314" t="s">
        <v>1099</v>
      </c>
      <c r="C314" t="s">
        <v>1100</v>
      </c>
      <c r="D314" t="s">
        <v>196</v>
      </c>
      <c r="E314" t="s">
        <v>705</v>
      </c>
      <c r="F314" t="s">
        <v>988</v>
      </c>
      <c r="G314" t="s">
        <v>989</v>
      </c>
      <c r="H314" t="s">
        <v>990</v>
      </c>
      <c r="I314" t="s">
        <v>259</v>
      </c>
      <c r="J314" t="s">
        <v>176</v>
      </c>
      <c r="K314" s="30">
        <v>43035</v>
      </c>
      <c r="L314" s="8">
        <v>43031.630023148151</v>
      </c>
      <c r="M314" s="21">
        <f>LEN(ProjTextTable[[#This Row],[text]])</f>
        <v>5253</v>
      </c>
      <c r="N314" s="21">
        <f>LEN(TRIM(CLEAN(SUBSTITUTE(ProjTextTable[[#This Row],[text]],CHAR(10)," "))))+1 - LEN(SUBSTITUTE(CLEAN(SUBSTITUTE(ProjTextTable[[#This Row],[text]],CHAR(10)," "))," ",""))</f>
        <v>783</v>
      </c>
      <c r="O314" t="s">
        <v>203</v>
      </c>
      <c r="P314" t="s">
        <v>1103</v>
      </c>
    </row>
    <row r="315" spans="1:16">
      <c r="A315">
        <f t="shared" si="4"/>
        <v>49</v>
      </c>
      <c r="B315" t="s">
        <v>1099</v>
      </c>
      <c r="C315" t="s">
        <v>1100</v>
      </c>
      <c r="D315" t="s">
        <v>196</v>
      </c>
      <c r="E315" t="s">
        <v>705</v>
      </c>
      <c r="F315" t="s">
        <v>992</v>
      </c>
      <c r="G315" t="s">
        <v>993</v>
      </c>
      <c r="H315" t="s">
        <v>994</v>
      </c>
      <c r="I315" t="s">
        <v>259</v>
      </c>
      <c r="J315" t="s">
        <v>176</v>
      </c>
      <c r="K315" s="30">
        <v>43035</v>
      </c>
      <c r="L315" s="8">
        <v>43028.657789351855</v>
      </c>
      <c r="M315" s="21">
        <f>LEN(ProjTextTable[[#This Row],[text]])</f>
        <v>2950</v>
      </c>
      <c r="N315" s="21">
        <f>LEN(TRIM(CLEAN(SUBSTITUTE(ProjTextTable[[#This Row],[text]],CHAR(10)," "))))+1 - LEN(SUBSTITUTE(CLEAN(SUBSTITUTE(ProjTextTable[[#This Row],[text]],CHAR(10)," "))," ",""))</f>
        <v>448</v>
      </c>
      <c r="O315" t="s">
        <v>203</v>
      </c>
      <c r="P315" t="s">
        <v>1104</v>
      </c>
    </row>
    <row r="316" spans="1:16">
      <c r="A316">
        <f t="shared" si="4"/>
        <v>49</v>
      </c>
      <c r="B316" t="s">
        <v>1099</v>
      </c>
      <c r="C316" t="s">
        <v>1100</v>
      </c>
      <c r="D316" t="s">
        <v>196</v>
      </c>
      <c r="E316" t="s">
        <v>705</v>
      </c>
      <c r="F316" t="s">
        <v>1008</v>
      </c>
      <c r="G316" t="s">
        <v>1009</v>
      </c>
      <c r="H316" t="s">
        <v>1010</v>
      </c>
      <c r="I316" t="s">
        <v>259</v>
      </c>
      <c r="J316" t="s">
        <v>176</v>
      </c>
      <c r="K316" s="30">
        <v>43035</v>
      </c>
      <c r="L316" s="8">
        <v>43035.420034722221</v>
      </c>
      <c r="M316" s="21">
        <f>LEN(ProjTextTable[[#This Row],[text]])</f>
        <v>3599</v>
      </c>
      <c r="N316" s="21">
        <f>LEN(TRIM(CLEAN(SUBSTITUTE(ProjTextTable[[#This Row],[text]],CHAR(10)," "))))+1 - LEN(SUBSTITUTE(CLEAN(SUBSTITUTE(ProjTextTable[[#This Row],[text]],CHAR(10)," "))," ",""))</f>
        <v>506</v>
      </c>
      <c r="O316" t="s">
        <v>197</v>
      </c>
      <c r="P316" t="s">
        <v>1105</v>
      </c>
    </row>
    <row r="317" spans="1:16">
      <c r="A317">
        <f t="shared" si="4"/>
        <v>49</v>
      </c>
      <c r="B317" t="s">
        <v>1099</v>
      </c>
      <c r="C317" t="s">
        <v>1100</v>
      </c>
      <c r="D317" t="s">
        <v>198</v>
      </c>
      <c r="E317" t="s">
        <v>705</v>
      </c>
      <c r="F317" t="s">
        <v>13</v>
      </c>
      <c r="G317" t="s">
        <v>13</v>
      </c>
      <c r="H317" t="s">
        <v>13</v>
      </c>
      <c r="K317" s="30"/>
      <c r="L317" s="8">
        <v>42971.043194444443</v>
      </c>
      <c r="M317" s="21">
        <f>LEN(ProjTextTable[[#This Row],[text]])</f>
        <v>3737</v>
      </c>
      <c r="N317" s="21">
        <f>LEN(TRIM(CLEAN(SUBSTITUTE(ProjTextTable[[#This Row],[text]],CHAR(10)," "))))+1 - LEN(SUBSTITUTE(CLEAN(SUBSTITUTE(ProjTextTable[[#This Row],[text]],CHAR(10)," "))," ",""))</f>
        <v>540</v>
      </c>
      <c r="O317" t="s">
        <v>13</v>
      </c>
      <c r="P317" t="s">
        <v>1106</v>
      </c>
    </row>
    <row r="318" spans="1:16">
      <c r="A318">
        <f t="shared" si="4"/>
        <v>50</v>
      </c>
      <c r="B318" t="s">
        <v>1107</v>
      </c>
      <c r="C318" t="s">
        <v>1108</v>
      </c>
      <c r="D318" t="s">
        <v>207</v>
      </c>
      <c r="E318" t="s">
        <v>705</v>
      </c>
      <c r="F318" t="s">
        <v>998</v>
      </c>
      <c r="G318" t="s">
        <v>978</v>
      </c>
      <c r="H318" t="s">
        <v>251</v>
      </c>
      <c r="I318" t="s">
        <v>95</v>
      </c>
      <c r="K318" s="30">
        <v>43034</v>
      </c>
      <c r="L318" s="8"/>
      <c r="M318" s="21">
        <f>LEN(ProjTextTable[[#This Row],[text]])</f>
        <v>2802</v>
      </c>
      <c r="N318" s="21">
        <f>LEN(TRIM(CLEAN(SUBSTITUTE(ProjTextTable[[#This Row],[text]],CHAR(10)," "))))+1 - LEN(SUBSTITUTE(CLEAN(SUBSTITUTE(ProjTextTable[[#This Row],[text]],CHAR(10)," "))," ",""))</f>
        <v>406</v>
      </c>
      <c r="O318" t="s">
        <v>249</v>
      </c>
      <c r="P318" t="s">
        <v>1109</v>
      </c>
    </row>
    <row r="319" spans="1:16">
      <c r="A319">
        <f t="shared" si="4"/>
        <v>50</v>
      </c>
      <c r="B319" t="s">
        <v>1107</v>
      </c>
      <c r="C319" t="s">
        <v>1108</v>
      </c>
      <c r="D319" t="s">
        <v>196</v>
      </c>
      <c r="E319" t="s">
        <v>705</v>
      </c>
      <c r="F319" t="s">
        <v>981</v>
      </c>
      <c r="G319" t="s">
        <v>601</v>
      </c>
      <c r="H319" t="s">
        <v>982</v>
      </c>
      <c r="I319" t="s">
        <v>259</v>
      </c>
      <c r="J319" t="s">
        <v>176</v>
      </c>
      <c r="K319" s="30">
        <v>43035</v>
      </c>
      <c r="L319" s="8">
        <v>43032.68068287037</v>
      </c>
      <c r="M319" s="21">
        <f>LEN(ProjTextTable[[#This Row],[text]])</f>
        <v>2383</v>
      </c>
      <c r="N319" s="21">
        <f>LEN(TRIM(CLEAN(SUBSTITUTE(ProjTextTable[[#This Row],[text]],CHAR(10)," "))))+1 - LEN(SUBSTITUTE(CLEAN(SUBSTITUTE(ProjTextTable[[#This Row],[text]],CHAR(10)," "))," ",""))</f>
        <v>335</v>
      </c>
      <c r="O319" t="s">
        <v>201</v>
      </c>
      <c r="P319" t="s">
        <v>1110</v>
      </c>
    </row>
    <row r="320" spans="1:16">
      <c r="A320">
        <f t="shared" si="4"/>
        <v>50</v>
      </c>
      <c r="B320" t="s">
        <v>1107</v>
      </c>
      <c r="C320" t="s">
        <v>1108</v>
      </c>
      <c r="D320" t="s">
        <v>196</v>
      </c>
      <c r="E320" t="s">
        <v>705</v>
      </c>
      <c r="F320" t="s">
        <v>984</v>
      </c>
      <c r="G320" t="s">
        <v>985</v>
      </c>
      <c r="H320" t="s">
        <v>986</v>
      </c>
      <c r="I320" t="s">
        <v>259</v>
      </c>
      <c r="J320" t="s">
        <v>176</v>
      </c>
      <c r="K320" s="30">
        <v>43035</v>
      </c>
      <c r="L320" s="8">
        <v>43034.675439814811</v>
      </c>
      <c r="M320" s="21">
        <f>LEN(ProjTextTable[[#This Row],[text]])</f>
        <v>3830</v>
      </c>
      <c r="N320" s="21">
        <f>LEN(TRIM(CLEAN(SUBSTITUTE(ProjTextTable[[#This Row],[text]],CHAR(10)," "))))+1 - LEN(SUBSTITUTE(CLEAN(SUBSTITUTE(ProjTextTable[[#This Row],[text]],CHAR(10)," "))," ",""))</f>
        <v>570</v>
      </c>
      <c r="O320" t="s">
        <v>201</v>
      </c>
      <c r="P320" t="s">
        <v>1111</v>
      </c>
    </row>
    <row r="321" spans="1:16">
      <c r="A321">
        <f t="shared" si="4"/>
        <v>50</v>
      </c>
      <c r="B321" t="s">
        <v>1107</v>
      </c>
      <c r="C321" t="s">
        <v>1108</v>
      </c>
      <c r="D321" t="s">
        <v>196</v>
      </c>
      <c r="E321" t="s">
        <v>705</v>
      </c>
      <c r="F321" t="s">
        <v>1005</v>
      </c>
      <c r="G321" t="s">
        <v>976</v>
      </c>
      <c r="H321" t="s">
        <v>1006</v>
      </c>
      <c r="I321" t="s">
        <v>259</v>
      </c>
      <c r="J321" t="s">
        <v>176</v>
      </c>
      <c r="K321" s="30">
        <v>43035</v>
      </c>
      <c r="L321" s="8">
        <v>43031.960486111115</v>
      </c>
      <c r="M321" s="21">
        <f>LEN(ProjTextTable[[#This Row],[text]])</f>
        <v>4194</v>
      </c>
      <c r="N321" s="21">
        <f>LEN(TRIM(CLEAN(SUBSTITUTE(ProjTextTable[[#This Row],[text]],CHAR(10)," "))))+1 - LEN(SUBSTITUTE(CLEAN(SUBSTITUTE(ProjTextTable[[#This Row],[text]],CHAR(10)," "))," ",""))</f>
        <v>632</v>
      </c>
      <c r="O321" t="s">
        <v>201</v>
      </c>
      <c r="P321" t="s">
        <v>1112</v>
      </c>
    </row>
    <row r="322" spans="1:16">
      <c r="A322">
        <f t="shared" ref="A322:A385" si="5">A321+(B322&lt;&gt;B321)</f>
        <v>50</v>
      </c>
      <c r="B322" t="s">
        <v>1107</v>
      </c>
      <c r="C322" t="s">
        <v>1108</v>
      </c>
      <c r="D322" t="s">
        <v>196</v>
      </c>
      <c r="E322" t="s">
        <v>705</v>
      </c>
      <c r="F322" t="s">
        <v>1017</v>
      </c>
      <c r="G322" t="s">
        <v>1018</v>
      </c>
      <c r="H322" t="s">
        <v>1019</v>
      </c>
      <c r="I322" t="s">
        <v>259</v>
      </c>
      <c r="J322" t="s">
        <v>176</v>
      </c>
      <c r="K322" s="30">
        <v>43035</v>
      </c>
      <c r="L322" s="8">
        <v>43032.921423611115</v>
      </c>
      <c r="M322" s="21">
        <f>LEN(ProjTextTable[[#This Row],[text]])</f>
        <v>1562</v>
      </c>
      <c r="N322" s="21">
        <f>LEN(TRIM(CLEAN(SUBSTITUTE(ProjTextTable[[#This Row],[text]],CHAR(10)," "))))+1 - LEN(SUBSTITUTE(CLEAN(SUBSTITUTE(ProjTextTable[[#This Row],[text]],CHAR(10)," "))," ",""))</f>
        <v>240</v>
      </c>
      <c r="O322" t="s">
        <v>197</v>
      </c>
      <c r="P322" t="s">
        <v>1113</v>
      </c>
    </row>
    <row r="323" spans="1:16">
      <c r="A323">
        <f t="shared" si="5"/>
        <v>50</v>
      </c>
      <c r="B323" t="s">
        <v>1107</v>
      </c>
      <c r="C323" t="s">
        <v>1108</v>
      </c>
      <c r="D323" t="s">
        <v>198</v>
      </c>
      <c r="E323" t="s">
        <v>705</v>
      </c>
      <c r="F323" t="s">
        <v>13</v>
      </c>
      <c r="G323" t="s">
        <v>13</v>
      </c>
      <c r="H323" t="s">
        <v>13</v>
      </c>
      <c r="K323" s="30"/>
      <c r="L323" s="8">
        <v>42971.043229166666</v>
      </c>
      <c r="M323" s="21">
        <f>LEN(ProjTextTable[[#This Row],[text]])</f>
        <v>3943</v>
      </c>
      <c r="N323" s="21">
        <f>LEN(TRIM(CLEAN(SUBSTITUTE(ProjTextTable[[#This Row],[text]],CHAR(10)," "))))+1 - LEN(SUBSTITUTE(CLEAN(SUBSTITUTE(ProjTextTable[[#This Row],[text]],CHAR(10)," "))," ",""))</f>
        <v>561</v>
      </c>
      <c r="O323" t="s">
        <v>13</v>
      </c>
      <c r="P323" t="s">
        <v>1114</v>
      </c>
    </row>
    <row r="324" spans="1:16">
      <c r="A324">
        <f t="shared" si="5"/>
        <v>51</v>
      </c>
      <c r="B324" t="s">
        <v>1115</v>
      </c>
      <c r="C324" t="s">
        <v>1116</v>
      </c>
      <c r="D324" t="s">
        <v>207</v>
      </c>
      <c r="E324" t="s">
        <v>705</v>
      </c>
      <c r="F324" t="s">
        <v>998</v>
      </c>
      <c r="G324" t="s">
        <v>978</v>
      </c>
      <c r="H324" t="s">
        <v>255</v>
      </c>
      <c r="I324" t="s">
        <v>195</v>
      </c>
      <c r="K324" s="30">
        <v>43034</v>
      </c>
      <c r="L324" s="8">
        <v>43059.451296296298</v>
      </c>
      <c r="M324" s="21">
        <f>LEN(ProjTextTable[[#This Row],[text]])</f>
        <v>4578</v>
      </c>
      <c r="N324" s="21">
        <f>LEN(TRIM(CLEAN(SUBSTITUTE(ProjTextTable[[#This Row],[text]],CHAR(10)," "))))+1 - LEN(SUBSTITUTE(CLEAN(SUBSTITUTE(ProjTextTable[[#This Row],[text]],CHAR(10)," "))," ",""))</f>
        <v>698</v>
      </c>
      <c r="O324" t="s">
        <v>254</v>
      </c>
      <c r="P324" t="s">
        <v>1117</v>
      </c>
    </row>
    <row r="325" spans="1:16">
      <c r="A325">
        <f t="shared" si="5"/>
        <v>51</v>
      </c>
      <c r="B325" t="s">
        <v>1115</v>
      </c>
      <c r="C325" t="s">
        <v>1116</v>
      </c>
      <c r="D325" t="s">
        <v>2</v>
      </c>
      <c r="E325" t="s">
        <v>705</v>
      </c>
      <c r="F325" t="s">
        <v>13</v>
      </c>
      <c r="G325" t="s">
        <v>487</v>
      </c>
      <c r="H325" t="s">
        <v>13</v>
      </c>
      <c r="I325" t="s">
        <v>13</v>
      </c>
      <c r="K325" s="30"/>
      <c r="L325" s="8">
        <v>43048.504155092596</v>
      </c>
      <c r="M325" s="21">
        <f>LEN(ProjTextTable[[#This Row],[text]])</f>
        <v>2638</v>
      </c>
      <c r="N325" s="21">
        <f>LEN(TRIM(CLEAN(SUBSTITUTE(ProjTextTable[[#This Row],[text]],CHAR(10)," "))))+1 - LEN(SUBSTITUTE(CLEAN(SUBSTITUTE(ProjTextTable[[#This Row],[text]],CHAR(10)," "))," ",""))</f>
        <v>388</v>
      </c>
      <c r="O325" t="s">
        <v>13</v>
      </c>
      <c r="P325" t="s">
        <v>1063</v>
      </c>
    </row>
    <row r="326" spans="1:16">
      <c r="A326">
        <f t="shared" si="5"/>
        <v>51</v>
      </c>
      <c r="B326" t="s">
        <v>1115</v>
      </c>
      <c r="C326" t="s">
        <v>1116</v>
      </c>
      <c r="D326" t="s">
        <v>196</v>
      </c>
      <c r="E326" t="s">
        <v>705</v>
      </c>
      <c r="F326" t="s">
        <v>981</v>
      </c>
      <c r="G326" t="s">
        <v>601</v>
      </c>
      <c r="H326" t="s">
        <v>982</v>
      </c>
      <c r="I326" t="s">
        <v>259</v>
      </c>
      <c r="J326" t="s">
        <v>176</v>
      </c>
      <c r="K326" s="30">
        <v>43035</v>
      </c>
      <c r="L326" s="8">
        <v>43032.635659722226</v>
      </c>
      <c r="M326" s="21">
        <f>LEN(ProjTextTable[[#This Row],[text]])</f>
        <v>1721</v>
      </c>
      <c r="N326" s="21">
        <f>LEN(TRIM(CLEAN(SUBSTITUTE(ProjTextTable[[#This Row],[text]],CHAR(10)," "))))+1 - LEN(SUBSTITUTE(CLEAN(SUBSTITUTE(ProjTextTable[[#This Row],[text]],CHAR(10)," "))," ",""))</f>
        <v>245</v>
      </c>
      <c r="O326" t="s">
        <v>203</v>
      </c>
      <c r="P326" t="s">
        <v>1118</v>
      </c>
    </row>
    <row r="327" spans="1:16">
      <c r="A327">
        <f t="shared" si="5"/>
        <v>51</v>
      </c>
      <c r="B327" t="s">
        <v>1115</v>
      </c>
      <c r="C327" t="s">
        <v>1116</v>
      </c>
      <c r="D327" t="s">
        <v>196</v>
      </c>
      <c r="E327" t="s">
        <v>705</v>
      </c>
      <c r="F327" t="s">
        <v>1017</v>
      </c>
      <c r="G327" t="s">
        <v>1018</v>
      </c>
      <c r="H327" t="s">
        <v>1019</v>
      </c>
      <c r="I327" t="s">
        <v>259</v>
      </c>
      <c r="J327" t="s">
        <v>176</v>
      </c>
      <c r="K327" s="30">
        <v>43035</v>
      </c>
      <c r="L327" s="8">
        <v>43035.435034722221</v>
      </c>
      <c r="M327" s="21">
        <f>LEN(ProjTextTable[[#This Row],[text]])</f>
        <v>1424</v>
      </c>
      <c r="N327" s="21">
        <f>LEN(TRIM(CLEAN(SUBSTITUTE(ProjTextTable[[#This Row],[text]],CHAR(10)," "))))+1 - LEN(SUBSTITUTE(CLEAN(SUBSTITUTE(ProjTextTable[[#This Row],[text]],CHAR(10)," "))," ",""))</f>
        <v>214</v>
      </c>
      <c r="O327" t="s">
        <v>203</v>
      </c>
      <c r="P327" t="s">
        <v>1119</v>
      </c>
    </row>
    <row r="328" spans="1:16">
      <c r="A328">
        <f t="shared" si="5"/>
        <v>51</v>
      </c>
      <c r="B328" t="s">
        <v>1115</v>
      </c>
      <c r="C328" t="s">
        <v>1116</v>
      </c>
      <c r="D328" t="s">
        <v>196</v>
      </c>
      <c r="E328" t="s">
        <v>705</v>
      </c>
      <c r="F328" t="s">
        <v>988</v>
      </c>
      <c r="G328" t="s">
        <v>989</v>
      </c>
      <c r="H328" t="s">
        <v>990</v>
      </c>
      <c r="I328" t="s">
        <v>259</v>
      </c>
      <c r="J328" t="s">
        <v>176</v>
      </c>
      <c r="K328" s="30">
        <v>43035</v>
      </c>
      <c r="L328" s="8">
        <v>43030.536921296298</v>
      </c>
      <c r="M328" s="21">
        <f>LEN(ProjTextTable[[#This Row],[text]])</f>
        <v>5381</v>
      </c>
      <c r="N328" s="21">
        <f>LEN(TRIM(CLEAN(SUBSTITUTE(ProjTextTable[[#This Row],[text]],CHAR(10)," "))))+1 - LEN(SUBSTITUTE(CLEAN(SUBSTITUTE(ProjTextTable[[#This Row],[text]],CHAR(10)," "))," ",""))</f>
        <v>782</v>
      </c>
      <c r="O328" t="s">
        <v>203</v>
      </c>
      <c r="P328" t="s">
        <v>1120</v>
      </c>
    </row>
    <row r="329" spans="1:16">
      <c r="A329">
        <f t="shared" si="5"/>
        <v>51</v>
      </c>
      <c r="B329" t="s">
        <v>1115</v>
      </c>
      <c r="C329" t="s">
        <v>1116</v>
      </c>
      <c r="D329" t="s">
        <v>196</v>
      </c>
      <c r="E329" t="s">
        <v>705</v>
      </c>
      <c r="F329" t="s">
        <v>1023</v>
      </c>
      <c r="G329" t="s">
        <v>1024</v>
      </c>
      <c r="H329" t="s">
        <v>1025</v>
      </c>
      <c r="I329" t="s">
        <v>259</v>
      </c>
      <c r="J329" t="s">
        <v>176</v>
      </c>
      <c r="K329" s="30">
        <v>43035</v>
      </c>
      <c r="L329" s="8">
        <v>43035.016504629632</v>
      </c>
      <c r="M329" s="21">
        <f>LEN(ProjTextTable[[#This Row],[text]])</f>
        <v>4225</v>
      </c>
      <c r="N329" s="21">
        <f>LEN(TRIM(CLEAN(SUBSTITUTE(ProjTextTable[[#This Row],[text]],CHAR(10)," "))))+1 - LEN(SUBSTITUTE(CLEAN(SUBSTITUTE(ProjTextTable[[#This Row],[text]],CHAR(10)," "))," ",""))</f>
        <v>657</v>
      </c>
      <c r="O329" t="s">
        <v>218</v>
      </c>
      <c r="P329" t="s">
        <v>1121</v>
      </c>
    </row>
    <row r="330" spans="1:16">
      <c r="A330">
        <f t="shared" si="5"/>
        <v>51</v>
      </c>
      <c r="B330" t="s">
        <v>1115</v>
      </c>
      <c r="C330" t="s">
        <v>1116</v>
      </c>
      <c r="D330" t="s">
        <v>198</v>
      </c>
      <c r="E330" t="s">
        <v>705</v>
      </c>
      <c r="F330" t="s">
        <v>13</v>
      </c>
      <c r="G330" t="s">
        <v>13</v>
      </c>
      <c r="H330" t="s">
        <v>13</v>
      </c>
      <c r="K330" s="30"/>
      <c r="L330" s="8">
        <v>42971.043263888889</v>
      </c>
      <c r="M330" s="21">
        <f>LEN(ProjTextTable[[#This Row],[text]])</f>
        <v>3494</v>
      </c>
      <c r="N330" s="21">
        <f>LEN(TRIM(CLEAN(SUBSTITUTE(ProjTextTable[[#This Row],[text]],CHAR(10)," "))))+1 - LEN(SUBSTITUTE(CLEAN(SUBSTITUTE(ProjTextTable[[#This Row],[text]],CHAR(10)," "))," ",""))</f>
        <v>469</v>
      </c>
      <c r="O330" t="s">
        <v>13</v>
      </c>
      <c r="P330" t="s">
        <v>1122</v>
      </c>
    </row>
    <row r="331" spans="1:16">
      <c r="B331" t="s">
        <v>206</v>
      </c>
      <c r="K331" s="30"/>
      <c r="M331"/>
      <c r="N331"/>
      <c r="P331">
        <f>SUBTOTAL(103,ProjTextTable[text])</f>
        <v>329</v>
      </c>
    </row>
  </sheetData>
  <conditionalFormatting sqref="A2:P330">
    <cfRule type="expression" dxfId="6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B6" sqref="B6"/>
    </sheetView>
  </sheetViews>
  <sheetFormatPr defaultRowHeight="15"/>
  <cols>
    <col min="1" max="1" width="6.7109375" customWidth="1"/>
    <col min="2" max="2" width="38.42578125" customWidth="1"/>
    <col min="3" max="3" width="11.42578125" customWidth="1"/>
    <col min="4" max="4" width="6.7109375" customWidth="1"/>
    <col min="5" max="5" width="41.85546875" customWidth="1"/>
    <col min="6" max="6" width="7.28515625" customWidth="1"/>
    <col min="7" max="7" width="41" customWidth="1"/>
    <col min="8" max="10" width="5.85546875" style="30" customWidth="1"/>
    <col min="11" max="11" width="3.28515625" style="30" customWidth="1"/>
    <col min="12" max="12" width="3.5703125" style="30" customWidth="1"/>
    <col min="13" max="13" width="13.5703125" customWidth="1"/>
    <col min="14" max="14" width="3.85546875" customWidth="1"/>
    <col min="15" max="16" width="7.42578125" hidden="1" customWidth="1"/>
    <col min="17" max="17" width="5.42578125" customWidth="1"/>
    <col min="18" max="18" width="11" customWidth="1"/>
    <col min="19" max="19" width="14.28515625" style="22" customWidth="1"/>
    <col min="20" max="20" width="5.28515625" style="39" customWidth="1"/>
    <col min="21" max="21" width="4.5703125" style="39" customWidth="1"/>
    <col min="22" max="22" width="11.85546875" customWidth="1"/>
    <col min="23" max="23" width="4.42578125" customWidth="1"/>
    <col min="24" max="24" width="3.7109375" customWidth="1"/>
    <col min="25" max="25" width="8.7109375" style="30" customWidth="1"/>
    <col min="26" max="26" width="3.7109375" customWidth="1"/>
    <col min="27" max="27" width="9.28515625" style="30"/>
    <col min="28" max="28" width="9.5703125" style="30" customWidth="1"/>
    <col min="29" max="29" width="11.5703125" customWidth="1"/>
    <col min="30" max="30" width="12.140625" customWidth="1"/>
    <col min="31" max="31" width="9.85546875" customWidth="1"/>
    <col min="32" max="32" width="10.140625" customWidth="1"/>
    <col min="33" max="33" width="4.42578125" customWidth="1"/>
    <col min="34" max="39" width="3" customWidth="1"/>
    <col min="40" max="40" width="9.28515625" style="1"/>
    <col min="42" max="42" width="85.5703125" customWidth="1"/>
    <col min="43" max="43" width="10.42578125" customWidth="1"/>
    <col min="44" max="44" width="9.5703125" style="13" customWidth="1"/>
    <col min="45" max="45" width="10.42578125" customWidth="1"/>
    <col min="46" max="46" width="15.42578125" customWidth="1"/>
    <col min="47" max="47" width="11.7109375" customWidth="1"/>
    <col min="48" max="48" width="9.28515625" hidden="1" customWidth="1"/>
    <col min="49" max="49" width="11" hidden="1" customWidth="1"/>
    <col min="50" max="53" width="4.28515625" customWidth="1"/>
  </cols>
  <sheetData>
    <row r="1" spans="1:50" ht="33.950000000000003" customHeight="1">
      <c r="A1" s="64" t="s">
        <v>321</v>
      </c>
      <c r="D1" s="64" t="s">
        <v>1588</v>
      </c>
      <c r="V1" s="40" t="s">
        <v>245</v>
      </c>
      <c r="AH1" s="40" t="s">
        <v>239</v>
      </c>
      <c r="AI1" s="40"/>
      <c r="AJ1" s="40"/>
      <c r="AK1" s="40"/>
      <c r="AL1" s="40"/>
      <c r="AM1" s="40"/>
      <c r="AN1" s="41" t="s">
        <v>240</v>
      </c>
      <c r="AO1" s="40"/>
      <c r="AP1" s="40"/>
      <c r="AQ1" s="40"/>
      <c r="AR1" s="42" t="s">
        <v>238</v>
      </c>
      <c r="AS1" s="40"/>
      <c r="AT1" s="40"/>
      <c r="AU1" s="40"/>
      <c r="AV1" s="40"/>
      <c r="AW1" s="40"/>
      <c r="AX1" s="40" t="s">
        <v>241</v>
      </c>
    </row>
    <row r="2" spans="1:50">
      <c r="A2" s="25" t="s">
        <v>323</v>
      </c>
      <c r="B2" t="s">
        <v>324</v>
      </c>
      <c r="D2" s="6" t="s">
        <v>434</v>
      </c>
      <c r="E2" s="6" t="s">
        <v>1589</v>
      </c>
      <c r="H2"/>
      <c r="I2"/>
      <c r="J2"/>
      <c r="K2"/>
      <c r="L2"/>
      <c r="S2"/>
      <c r="T2"/>
      <c r="U2"/>
      <c r="Y2"/>
      <c r="AA2"/>
      <c r="AB2"/>
      <c r="AN2"/>
      <c r="AR2"/>
    </row>
    <row r="3" spans="1:50">
      <c r="A3" s="107" t="s">
        <v>256</v>
      </c>
      <c r="B3" t="s">
        <v>325</v>
      </c>
      <c r="D3" s="107" t="s">
        <v>1377</v>
      </c>
      <c r="E3" t="s">
        <v>1531</v>
      </c>
      <c r="H3"/>
      <c r="I3"/>
      <c r="J3"/>
      <c r="K3"/>
      <c r="L3"/>
      <c r="S3"/>
      <c r="T3"/>
      <c r="U3"/>
      <c r="Y3"/>
      <c r="AA3"/>
      <c r="AB3"/>
      <c r="AN3"/>
      <c r="AR3"/>
    </row>
    <row r="4" spans="1:50">
      <c r="A4" s="107" t="s">
        <v>586</v>
      </c>
      <c r="B4" t="s">
        <v>587</v>
      </c>
      <c r="D4" s="107" t="s">
        <v>1125</v>
      </c>
      <c r="E4" t="s">
        <v>1452</v>
      </c>
      <c r="H4"/>
      <c r="I4"/>
      <c r="J4"/>
      <c r="K4"/>
      <c r="L4"/>
      <c r="S4"/>
      <c r="T4"/>
      <c r="U4"/>
      <c r="Y4"/>
      <c r="AA4"/>
      <c r="AB4"/>
      <c r="AN4"/>
      <c r="AR4"/>
    </row>
    <row r="5" spans="1:50">
      <c r="A5" s="107" t="s">
        <v>572</v>
      </c>
      <c r="B5" t="s">
        <v>573</v>
      </c>
      <c r="H5"/>
      <c r="I5"/>
      <c r="J5"/>
      <c r="K5"/>
      <c r="L5"/>
      <c r="S5"/>
      <c r="T5"/>
      <c r="U5"/>
      <c r="Y5"/>
      <c r="AA5"/>
      <c r="AB5"/>
      <c r="AN5"/>
      <c r="AR5"/>
    </row>
    <row r="6" spans="1:50">
      <c r="A6" s="107" t="s">
        <v>588</v>
      </c>
      <c r="B6" t="s">
        <v>589</v>
      </c>
      <c r="H6"/>
      <c r="I6"/>
      <c r="J6"/>
      <c r="K6"/>
      <c r="L6"/>
      <c r="S6"/>
      <c r="T6"/>
      <c r="U6"/>
      <c r="Y6"/>
      <c r="AA6"/>
      <c r="AB6"/>
      <c r="AN6"/>
      <c r="AR6"/>
    </row>
    <row r="7" spans="1:50">
      <c r="A7" s="107" t="s">
        <v>326</v>
      </c>
      <c r="B7" t="s">
        <v>327</v>
      </c>
      <c r="H7"/>
      <c r="I7"/>
      <c r="J7"/>
      <c r="K7"/>
      <c r="L7"/>
      <c r="S7"/>
      <c r="T7"/>
      <c r="U7"/>
      <c r="Y7"/>
      <c r="AA7"/>
      <c r="AB7"/>
      <c r="AN7"/>
      <c r="AR7"/>
    </row>
    <row r="8" spans="1:50">
      <c r="A8" s="107" t="s">
        <v>590</v>
      </c>
      <c r="B8" t="s">
        <v>591</v>
      </c>
      <c r="H8"/>
      <c r="I8"/>
      <c r="J8"/>
      <c r="K8"/>
      <c r="L8"/>
      <c r="S8"/>
      <c r="T8"/>
      <c r="U8"/>
      <c r="Y8"/>
      <c r="AA8"/>
      <c r="AB8"/>
      <c r="AN8"/>
      <c r="AR8"/>
    </row>
    <row r="9" spans="1:50">
      <c r="A9" s="107" t="s">
        <v>592</v>
      </c>
      <c r="B9" t="s">
        <v>593</v>
      </c>
      <c r="H9"/>
      <c r="I9"/>
      <c r="J9"/>
      <c r="K9"/>
      <c r="L9"/>
      <c r="S9"/>
      <c r="T9"/>
      <c r="U9"/>
      <c r="Y9"/>
      <c r="AA9"/>
      <c r="AB9"/>
      <c r="AN9"/>
      <c r="AR9"/>
    </row>
    <row r="10" spans="1:50">
      <c r="K10"/>
      <c r="L10"/>
      <c r="S10"/>
      <c r="T10"/>
      <c r="U10"/>
      <c r="Y10"/>
      <c r="AA10"/>
      <c r="AB10"/>
      <c r="AN10"/>
      <c r="AR10"/>
    </row>
    <row r="11" spans="1:50">
      <c r="K11"/>
      <c r="L11"/>
      <c r="S11"/>
      <c r="T11"/>
      <c r="U11"/>
      <c r="Y11"/>
      <c r="AA11"/>
      <c r="AB11"/>
      <c r="AN11"/>
      <c r="AR11"/>
    </row>
    <row r="12" spans="1:50">
      <c r="K12"/>
      <c r="L12"/>
      <c r="S12"/>
      <c r="T12"/>
      <c r="U12"/>
      <c r="Y12"/>
      <c r="AA12"/>
      <c r="AB12"/>
      <c r="AN12"/>
      <c r="AR12"/>
    </row>
    <row r="13" spans="1:50">
      <c r="K13"/>
      <c r="L13"/>
      <c r="S13"/>
      <c r="T13"/>
      <c r="U13"/>
      <c r="Y13"/>
      <c r="AA13"/>
      <c r="AB13"/>
      <c r="AN13"/>
      <c r="AR13"/>
    </row>
    <row r="14" spans="1:50">
      <c r="K14"/>
      <c r="L14"/>
      <c r="S14"/>
      <c r="T14"/>
      <c r="U14"/>
      <c r="Y14"/>
      <c r="AA14"/>
      <c r="AB14"/>
      <c r="AN14"/>
      <c r="AR14"/>
    </row>
    <row r="15" spans="1:50">
      <c r="K15"/>
      <c r="L15"/>
      <c r="S15"/>
      <c r="T15"/>
      <c r="U15"/>
      <c r="Y15"/>
      <c r="AA15"/>
      <c r="AB15"/>
      <c r="AN15"/>
      <c r="AR15"/>
    </row>
    <row r="16" spans="1:50">
      <c r="K16"/>
      <c r="L16"/>
      <c r="S16"/>
      <c r="T16"/>
      <c r="U16"/>
      <c r="Y16"/>
      <c r="AA16"/>
      <c r="AB16"/>
      <c r="AN16"/>
      <c r="AR16"/>
    </row>
    <row r="17" spans="11:44">
      <c r="K17"/>
      <c r="L17"/>
      <c r="S17"/>
      <c r="T17"/>
      <c r="U17"/>
      <c r="Y17"/>
      <c r="AA17"/>
      <c r="AB17"/>
      <c r="AN17"/>
      <c r="AR17"/>
    </row>
    <row r="18" spans="11:4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workbookViewId="0"/>
  </sheetViews>
  <sheetFormatPr defaultRowHeight="15"/>
  <cols>
    <col min="1" max="1" width="10.42578125" style="6" customWidth="1"/>
    <col min="2" max="2" width="16.28515625" customWidth="1"/>
    <col min="3" max="3" width="3.28515625" style="5" customWidth="1"/>
    <col min="4" max="4" width="15.7109375" style="23" customWidth="1"/>
    <col min="5" max="5" width="14.42578125" customWidth="1"/>
    <col min="6" max="6" width="10.7109375" customWidth="1"/>
    <col min="7" max="7" width="8.140625" customWidth="1"/>
    <col min="8" max="8" width="2.85546875" customWidth="1"/>
    <col min="9" max="9" width="24.7109375" customWidth="1"/>
    <col min="10" max="10" width="6.85546875" customWidth="1"/>
    <col min="11" max="11" width="9.85546875" customWidth="1"/>
    <col min="12" max="12" width="10.28515625" customWidth="1"/>
    <col min="13" max="13" width="12.5703125" style="6" customWidth="1"/>
    <col min="14" max="14" width="10.140625" customWidth="1"/>
    <col min="15" max="15" width="23.42578125" customWidth="1"/>
    <col min="16" max="16" width="12" customWidth="1"/>
    <col min="17" max="17" width="9.42578125" customWidth="1"/>
    <col min="18" max="18" width="10" customWidth="1"/>
    <col min="19" max="19" width="14" customWidth="1"/>
    <col min="20" max="21" width="11.140625" customWidth="1"/>
    <col min="22" max="22" width="81.140625" bestFit="1" customWidth="1"/>
    <col min="23" max="23" width="20.5703125" bestFit="1" customWidth="1"/>
    <col min="24" max="24" width="18.28515625" bestFit="1" customWidth="1"/>
    <col min="25" max="25" width="45.85546875" bestFit="1" customWidth="1"/>
    <col min="26" max="26" width="36.7109375" bestFit="1" customWidth="1"/>
    <col min="27" max="27" width="10.5703125" bestFit="1" customWidth="1"/>
    <col min="28" max="28" width="9.85546875" bestFit="1" customWidth="1"/>
    <col min="29" max="29" width="20.5703125" customWidth="1"/>
    <col min="30" max="30" width="37.140625" customWidth="1"/>
    <col min="31" max="31" width="19" customWidth="1"/>
    <col min="32" max="32" width="19.140625" bestFit="1" customWidth="1"/>
    <col min="33" max="33" width="14.5703125" bestFit="1" customWidth="1"/>
    <col min="34" max="34" width="10" bestFit="1" customWidth="1"/>
  </cols>
  <sheetData>
    <row r="1" spans="1:13" ht="15.95" customHeight="1">
      <c r="A1" s="61" t="s">
        <v>296</v>
      </c>
      <c r="H1" s="3" t="s">
        <v>243</v>
      </c>
      <c r="M1" s="20" t="s">
        <v>103</v>
      </c>
    </row>
    <row r="2" spans="1:13" ht="15.95" customHeight="1">
      <c r="A2" s="9"/>
      <c r="H2" s="3" t="s">
        <v>140</v>
      </c>
      <c r="J2" s="29"/>
      <c r="M2" s="19" t="s">
        <v>104</v>
      </c>
    </row>
    <row r="3" spans="1:13" ht="15.95" customHeight="1">
      <c r="H3" s="3" t="s">
        <v>141</v>
      </c>
      <c r="J3" s="29"/>
      <c r="M3" s="19" t="s">
        <v>99</v>
      </c>
    </row>
    <row r="4" spans="1:13" ht="15.95" customHeight="1">
      <c r="B4" s="4"/>
      <c r="C4" s="16"/>
      <c r="E4" s="4"/>
      <c r="F4" s="29"/>
      <c r="H4" s="3" t="s">
        <v>242</v>
      </c>
      <c r="J4" s="29"/>
      <c r="M4" s="19" t="s">
        <v>105</v>
      </c>
    </row>
    <row r="5" spans="1:13" ht="15.95" customHeight="1">
      <c r="E5" s="4"/>
      <c r="F5" s="29"/>
      <c r="J5" s="29"/>
      <c r="M5" s="19" t="s">
        <v>100</v>
      </c>
    </row>
    <row r="6" spans="1:13" ht="15.95" customHeight="1">
      <c r="E6" s="4"/>
      <c r="F6" s="29"/>
      <c r="H6" t="s">
        <v>246</v>
      </c>
      <c r="J6" s="30"/>
      <c r="M6" s="19" t="s">
        <v>106</v>
      </c>
    </row>
    <row r="7" spans="1:13" ht="15.95" customHeight="1">
      <c r="E7" s="4"/>
      <c r="F7" s="29"/>
      <c r="I7" s="24" t="s">
        <v>247</v>
      </c>
      <c r="J7" s="24"/>
      <c r="K7" s="7" t="s">
        <v>208</v>
      </c>
      <c r="M7" s="19" t="s">
        <v>107</v>
      </c>
    </row>
    <row r="8" spans="1:13" ht="15.95" customHeight="1">
      <c r="E8" s="4"/>
      <c r="F8" s="43"/>
      <c r="I8" s="24" t="s">
        <v>547</v>
      </c>
      <c r="J8" s="24"/>
      <c r="K8" s="7" t="s">
        <v>209</v>
      </c>
      <c r="M8" s="19" t="s">
        <v>101</v>
      </c>
    </row>
    <row r="9" spans="1:13" ht="15.95" customHeight="1">
      <c r="E9" s="4"/>
      <c r="F9" s="30"/>
      <c r="M9" s="19" t="s">
        <v>108</v>
      </c>
    </row>
    <row r="10" spans="1:13" ht="18.75">
      <c r="A10" s="47"/>
      <c r="B10" s="106" t="s">
        <v>295</v>
      </c>
      <c r="C10" s="106"/>
      <c r="D10" s="106"/>
      <c r="E10" s="48"/>
      <c r="I10" s="25" t="s">
        <v>139</v>
      </c>
      <c r="K10" s="6"/>
      <c r="M10" s="19" t="s">
        <v>109</v>
      </c>
    </row>
    <row r="11" spans="1:13" ht="15.75">
      <c r="A11" s="49"/>
      <c r="B11" s="50" t="s">
        <v>269</v>
      </c>
      <c r="C11" s="50"/>
      <c r="D11" s="50" t="s">
        <v>270</v>
      </c>
      <c r="E11" s="50"/>
      <c r="I11" s="25" t="s">
        <v>174</v>
      </c>
      <c r="K11" s="6"/>
      <c r="M11" s="19" t="s">
        <v>97</v>
      </c>
    </row>
    <row r="12" spans="1:13" ht="20.100000000000001" customHeight="1">
      <c r="B12" s="51" t="s">
        <v>271</v>
      </c>
      <c r="C12" s="51"/>
      <c r="D12" s="60" t="s">
        <v>287</v>
      </c>
      <c r="E12" s="52" t="s">
        <v>288</v>
      </c>
      <c r="I12" s="25" t="s">
        <v>213</v>
      </c>
      <c r="K12" s="6"/>
      <c r="M12" s="19" t="s">
        <v>110</v>
      </c>
    </row>
    <row r="13" spans="1:13" ht="20.100000000000001" customHeight="1">
      <c r="B13" s="51" t="s">
        <v>282</v>
      </c>
      <c r="C13" s="51"/>
      <c r="D13" s="53" t="s">
        <v>585</v>
      </c>
      <c r="E13" s="54"/>
      <c r="I13" s="25" t="s">
        <v>214</v>
      </c>
      <c r="K13" s="6"/>
      <c r="M13" s="19" t="s">
        <v>111</v>
      </c>
    </row>
    <row r="14" spans="1:13" ht="20.100000000000001" customHeight="1">
      <c r="B14" s="51" t="s">
        <v>276</v>
      </c>
      <c r="C14" s="51"/>
      <c r="D14" s="53" t="s">
        <v>277</v>
      </c>
      <c r="E14" s="54"/>
      <c r="I14" s="25" t="s">
        <v>175</v>
      </c>
      <c r="K14" s="6"/>
      <c r="M14" s="19" t="s">
        <v>112</v>
      </c>
    </row>
    <row r="15" spans="1:13" ht="20.100000000000001" customHeight="1">
      <c r="B15" s="51" t="s">
        <v>272</v>
      </c>
      <c r="C15" s="51"/>
      <c r="D15" s="53" t="s">
        <v>291</v>
      </c>
      <c r="E15" s="54"/>
      <c r="G15" s="21"/>
      <c r="I15" s="25" t="s">
        <v>178</v>
      </c>
      <c r="K15" s="6"/>
      <c r="M15" s="19" t="s">
        <v>1584</v>
      </c>
    </row>
    <row r="16" spans="1:13" ht="20.100000000000001" customHeight="1">
      <c r="B16" s="51" t="s">
        <v>273</v>
      </c>
      <c r="C16" s="51"/>
      <c r="D16" s="55" t="s">
        <v>290</v>
      </c>
      <c r="E16" s="56"/>
      <c r="G16" s="21"/>
      <c r="I16" s="25" t="s">
        <v>177</v>
      </c>
      <c r="K16" s="6"/>
      <c r="M16" s="19" t="s">
        <v>113</v>
      </c>
    </row>
    <row r="17" spans="2:13" ht="20.100000000000001" customHeight="1">
      <c r="B17" s="51" t="s">
        <v>274</v>
      </c>
      <c r="C17" s="51"/>
      <c r="D17" s="53" t="s">
        <v>289</v>
      </c>
      <c r="E17" s="54"/>
      <c r="G17" s="21"/>
      <c r="I17" s="25" t="s">
        <v>181</v>
      </c>
      <c r="K17" s="6"/>
      <c r="M17" s="19" t="s">
        <v>114</v>
      </c>
    </row>
    <row r="18" spans="2:13" ht="20.100000000000001" customHeight="1">
      <c r="B18" s="51" t="s">
        <v>275</v>
      </c>
      <c r="C18" s="51"/>
      <c r="D18" s="53" t="s">
        <v>293</v>
      </c>
      <c r="E18" s="54"/>
      <c r="K18" s="6"/>
      <c r="M18" s="19" t="s">
        <v>115</v>
      </c>
    </row>
    <row r="19" spans="2:13" ht="20.100000000000001" customHeight="1">
      <c r="B19" s="51" t="s">
        <v>278</v>
      </c>
      <c r="C19" s="51"/>
      <c r="D19" s="53" t="s">
        <v>172</v>
      </c>
      <c r="E19" s="54"/>
      <c r="K19" s="6"/>
      <c r="M19" s="19" t="s">
        <v>116</v>
      </c>
    </row>
    <row r="20" spans="2:13" ht="20.100000000000001" customHeight="1">
      <c r="B20" s="51" t="s">
        <v>279</v>
      </c>
      <c r="C20" s="51"/>
      <c r="D20" s="53" t="s">
        <v>294</v>
      </c>
      <c r="E20" s="54"/>
      <c r="K20" s="6"/>
      <c r="M20" s="19" t="s">
        <v>117</v>
      </c>
    </row>
    <row r="21" spans="2:13" ht="20.100000000000001" customHeight="1">
      <c r="B21" s="51" t="s">
        <v>280</v>
      </c>
      <c r="C21" s="51"/>
      <c r="D21" s="53" t="s">
        <v>281</v>
      </c>
      <c r="E21" s="54"/>
      <c r="K21" s="6"/>
      <c r="M21" s="19" t="s">
        <v>118</v>
      </c>
    </row>
    <row r="22" spans="2:13" ht="20.100000000000001" customHeight="1">
      <c r="B22" s="51" t="s">
        <v>283</v>
      </c>
      <c r="C22" s="51"/>
      <c r="D22" s="53" t="s">
        <v>284</v>
      </c>
      <c r="E22" s="54"/>
      <c r="K22" s="6"/>
      <c r="M22" s="19" t="s">
        <v>119</v>
      </c>
    </row>
    <row r="23" spans="2:13" ht="20.100000000000001" customHeight="1">
      <c r="B23" s="51" t="s">
        <v>285</v>
      </c>
      <c r="C23" s="51"/>
      <c r="D23" s="53" t="s">
        <v>286</v>
      </c>
      <c r="E23" s="54"/>
      <c r="M23" s="19" t="s">
        <v>98</v>
      </c>
    </row>
    <row r="24" spans="2:13" ht="20.100000000000001" customHeight="1">
      <c r="B24" s="57"/>
      <c r="C24" s="57"/>
      <c r="D24" s="58"/>
      <c r="E24" s="59"/>
      <c r="M24" s="19" t="s">
        <v>120</v>
      </c>
    </row>
    <row r="25" spans="2:13" ht="20.100000000000001" customHeight="1">
      <c r="B25" s="3"/>
      <c r="C25" s="3"/>
      <c r="D25" s="3"/>
      <c r="E25" s="3"/>
      <c r="M25" s="19" t="s">
        <v>121</v>
      </c>
    </row>
    <row r="26" spans="2:13" ht="19.7" customHeight="1">
      <c r="C26"/>
      <c r="D26"/>
      <c r="M26" s="19" t="s">
        <v>122</v>
      </c>
    </row>
    <row r="27" spans="2:13">
      <c r="C27"/>
      <c r="D27"/>
      <c r="H27" s="5"/>
      <c r="I27" s="23"/>
      <c r="M27" s="19" t="s">
        <v>123</v>
      </c>
    </row>
    <row r="28" spans="2:13">
      <c r="B28" s="25"/>
      <c r="C28"/>
      <c r="D28" s="25"/>
      <c r="E28" s="25"/>
      <c r="H28" s="5"/>
      <c r="I28" s="23"/>
      <c r="M28" s="19" t="s">
        <v>124</v>
      </c>
    </row>
    <row r="29" spans="2:13">
      <c r="B29" s="25"/>
      <c r="C29"/>
      <c r="D29" s="25"/>
      <c r="E29" s="25"/>
      <c r="G29" s="12"/>
      <c r="H29" s="5"/>
      <c r="I29" s="23"/>
      <c r="M29" s="19" t="s">
        <v>125</v>
      </c>
    </row>
    <row r="30" spans="2:13">
      <c r="B30" s="25"/>
      <c r="C30"/>
      <c r="D30" s="25"/>
      <c r="G30" s="12"/>
      <c r="H30" s="5"/>
      <c r="I30" s="23"/>
    </row>
    <row r="31" spans="2:13">
      <c r="B31" s="25"/>
      <c r="C31"/>
      <c r="D31" s="25"/>
    </row>
    <row r="32" spans="2:13" ht="15.95" customHeight="1">
      <c r="B32" s="25"/>
      <c r="C32"/>
      <c r="D32" s="25"/>
    </row>
    <row r="33" spans="2:4">
      <c r="B33" s="25"/>
      <c r="C33"/>
      <c r="D33" s="25"/>
    </row>
    <row r="34" spans="2:4">
      <c r="B34" s="25"/>
      <c r="C34"/>
      <c r="D34" s="25"/>
    </row>
    <row r="35" spans="2:4">
      <c r="B35" s="25"/>
      <c r="C35"/>
      <c r="D35" s="25"/>
    </row>
    <row r="36" spans="2:4">
      <c r="B36" s="25"/>
      <c r="C36" s="43"/>
      <c r="D36" s="25"/>
    </row>
    <row r="37" spans="2:4">
      <c r="B37" s="25"/>
      <c r="C37"/>
      <c r="D37" s="25"/>
    </row>
    <row r="38" spans="2:4">
      <c r="B38" s="25"/>
      <c r="C38"/>
      <c r="D38" s="25"/>
    </row>
    <row r="39" spans="2:4">
      <c r="B39" s="25"/>
      <c r="C39"/>
      <c r="D39" s="25"/>
    </row>
    <row r="40" spans="2:4">
      <c r="B40" s="25"/>
      <c r="C40"/>
      <c r="D40" s="25"/>
    </row>
    <row r="41" spans="2:4">
      <c r="B41" s="25"/>
      <c r="C41"/>
      <c r="D41" s="25"/>
    </row>
    <row r="42" spans="2:4">
      <c r="B42" s="25"/>
      <c r="C42"/>
      <c r="D42" s="25"/>
    </row>
    <row r="43" spans="2:4">
      <c r="B43" s="25"/>
      <c r="C43"/>
      <c r="D43" s="25"/>
    </row>
    <row r="44" spans="2:4">
      <c r="B44" s="25"/>
      <c r="C44"/>
      <c r="D44" s="25"/>
    </row>
    <row r="45" spans="2:4">
      <c r="B45" s="25"/>
      <c r="C45"/>
      <c r="D45" s="25"/>
    </row>
    <row r="46" spans="2:4">
      <c r="B46" s="25"/>
      <c r="C46"/>
      <c r="D46" s="25"/>
    </row>
    <row r="47" spans="2:4">
      <c r="D47" s="25"/>
    </row>
  </sheetData>
  <mergeCells count="1">
    <mergeCell ref="B10:D10"/>
  </mergeCells>
  <conditionalFormatting sqref="D12:E23">
    <cfRule type="expression" dxfId="59" priority="1">
      <formula>SEARCH("eg:",D12)=1</formula>
    </cfRule>
  </conditionalFormatting>
  <dataValidations count="1">
    <dataValidation type="list" allowBlank="1" showInputMessage="1" showErrorMessage="1" sqref="B26 D26: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19050</xdr:colOff>
                    <xdr:row>6</xdr:row>
                    <xdr:rowOff>19050</xdr:rowOff>
                  </from>
                  <to>
                    <xdr:col>9</xdr:col>
                    <xdr:colOff>466725</xdr:colOff>
                    <xdr:row>6</xdr:row>
                    <xdr:rowOff>180975</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19050</xdr:colOff>
                    <xdr:row>7</xdr:row>
                    <xdr:rowOff>9525</xdr:rowOff>
                  </from>
                  <to>
                    <xdr:col>10</xdr:col>
                    <xdr:colOff>9525</xdr:colOff>
                    <xdr:row>7</xdr:row>
                    <xdr:rowOff>171450</xdr:rowOff>
                  </to>
                </anchor>
              </controlPr>
            </control>
          </mc:Choice>
        </mc:AlternateContent>
      </controls>
    </mc:Choice>
  </mc:AlternateContent>
  <tableParts count="2">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53"/>
  <sheetViews>
    <sheetView workbookViewId="0">
      <selection activeCell="Q10" sqref="Q10"/>
    </sheetView>
  </sheetViews>
  <sheetFormatPr defaultRowHeight="15"/>
  <cols>
    <col min="1" max="1" width="8.42578125" customWidth="1"/>
    <col min="2" max="2" width="13.85546875" style="22" customWidth="1"/>
    <col min="3" max="3" width="11.42578125" style="22" customWidth="1"/>
    <col min="4" max="4" width="8.5703125" customWidth="1"/>
    <col min="5" max="5" width="4.7109375" style="5" customWidth="1"/>
    <col min="6" max="6" width="4.5703125" customWidth="1"/>
    <col min="7" max="7" width="4.7109375" customWidth="1"/>
    <col min="8" max="8" width="4.85546875" customWidth="1"/>
    <col min="9" max="9" width="10.5703125" customWidth="1"/>
    <col min="10" max="10" width="9.28515625" bestFit="1" customWidth="1"/>
    <col min="11" max="11" width="13.42578125" style="22" bestFit="1" customWidth="1"/>
    <col min="12" max="12" width="3.28515625" customWidth="1"/>
    <col min="13" max="13" width="5.140625" style="26" customWidth="1"/>
    <col min="14" max="16" width="4.140625" customWidth="1"/>
    <col min="17" max="17" width="19.42578125" style="29" customWidth="1"/>
    <col min="18" max="18" width="20.5703125" style="29" customWidth="1"/>
    <col min="19" max="19" width="8.85546875" style="29" customWidth="1"/>
    <col min="20" max="22" width="7.28515625" style="29" customWidth="1"/>
    <col min="23" max="23" width="2.85546875" style="21" customWidth="1"/>
    <col min="24" max="24" width="7.28515625" style="21" customWidth="1"/>
    <col min="25" max="25" width="5.42578125" style="21" customWidth="1"/>
    <col min="26" max="26" width="5.28515625" customWidth="1"/>
    <col min="27" max="27" width="7.85546875" bestFit="1" customWidth="1"/>
    <col min="28" max="29" width="3.5703125" customWidth="1"/>
    <col min="30" max="30" width="3.5703125" style="21" customWidth="1"/>
    <col min="31" max="31" width="2.42578125" style="21" customWidth="1"/>
    <col min="32" max="32" width="3.28515625" style="26" customWidth="1"/>
    <col min="33" max="33" width="4.42578125" customWidth="1"/>
    <col min="34" max="34" width="3.42578125" customWidth="1"/>
    <col min="35" max="35" width="13.7109375" style="30" customWidth="1"/>
    <col min="36" max="36" width="9.28515625" customWidth="1"/>
    <col min="37" max="38" width="12.7109375" style="13" customWidth="1"/>
    <col min="39" max="39" width="4.5703125" style="5" customWidth="1"/>
    <col min="40" max="40" width="9.28515625" customWidth="1"/>
    <col min="41" max="41" width="4.42578125" style="21" customWidth="1"/>
    <col min="42" max="42" width="72" style="21" bestFit="1" customWidth="1"/>
    <col min="43" max="43" width="3.28515625" customWidth="1"/>
    <col min="44" max="44" width="7.7109375" customWidth="1"/>
    <col min="45" max="45" width="8.7109375" style="26" bestFit="1" customWidth="1"/>
    <col min="46" max="46" width="9.140625" customWidth="1"/>
    <col min="47" max="47" width="13.42578125" style="21" customWidth="1"/>
    <col min="48" max="48" width="4.140625" style="21" customWidth="1"/>
    <col min="49" max="49" width="17.5703125" style="21" customWidth="1"/>
    <col min="50" max="50" width="8.7109375" style="26" customWidth="1"/>
    <col min="51" max="51" width="11.5703125" style="21" customWidth="1"/>
    <col min="52" max="52" width="34.140625" style="21" customWidth="1"/>
    <col min="53" max="53" width="4.42578125" style="21" customWidth="1"/>
    <col min="54" max="54" width="3.5703125" style="21" customWidth="1"/>
    <col min="55" max="58" width="2.85546875" style="21" customWidth="1"/>
    <col min="59" max="59" width="2.85546875" customWidth="1"/>
    <col min="60" max="67" width="2.85546875" style="21" customWidth="1"/>
    <col min="68" max="68" width="2.85546875" style="27" customWidth="1"/>
    <col min="69" max="72" width="2.85546875" style="21" customWidth="1"/>
    <col min="73" max="73" width="10.5703125" bestFit="1" customWidth="1"/>
    <col min="74" max="74" width="14.42578125" style="21" customWidth="1"/>
    <col min="75" max="75" width="11.42578125" style="21" customWidth="1"/>
    <col min="76" max="76" width="24.5703125" style="21" bestFit="1" customWidth="1"/>
    <col min="77" max="77" width="12" bestFit="1" customWidth="1"/>
    <col min="78" max="78" width="12" customWidth="1"/>
    <col min="79" max="79" width="18.42578125" customWidth="1"/>
    <col min="80" max="83" width="2.7109375" style="21" customWidth="1"/>
    <col min="84" max="86" width="2.7109375" customWidth="1"/>
    <col min="87" max="90" width="2.7109375" style="21" customWidth="1"/>
    <col min="91" max="93" width="2.7109375" customWidth="1"/>
    <col min="94" max="97" width="2.7109375" style="21" customWidth="1"/>
    <col min="98" max="100" width="2.7109375" customWidth="1"/>
    <col min="101" max="104" width="2.7109375" style="21" customWidth="1"/>
    <col min="105" max="107" width="2.7109375" customWidth="1"/>
    <col min="108" max="111" width="2.7109375" style="21" customWidth="1"/>
    <col min="112" max="114" width="2.7109375" customWidth="1"/>
    <col min="115" max="118" width="2.7109375" style="21" customWidth="1"/>
    <col min="119" max="121" width="2.7109375" customWidth="1"/>
    <col min="122" max="122" width="36.5703125" customWidth="1"/>
    <col min="123" max="123" width="45.7109375" customWidth="1"/>
    <col min="124" max="124" width="27.140625" customWidth="1"/>
    <col min="125" max="125" width="15.28515625" customWidth="1"/>
    <col min="126" max="126" width="30" bestFit="1" customWidth="1"/>
    <col min="127" max="127" width="11.7109375" customWidth="1"/>
    <col min="128" max="128" width="27.28515625" bestFit="1" customWidth="1"/>
    <col min="129" max="129" width="5.42578125" bestFit="1" customWidth="1"/>
    <col min="130" max="130" width="35.140625" customWidth="1"/>
    <col min="131" max="131" width="13.42578125" style="22" bestFit="1" customWidth="1"/>
    <col min="132" max="132" width="29.28515625" hidden="1" customWidth="1"/>
    <col min="133" max="133" width="72" hidden="1" customWidth="1"/>
  </cols>
  <sheetData>
    <row r="1" spans="1:133" ht="41.65" customHeight="1">
      <c r="A1" s="5" t="s">
        <v>87</v>
      </c>
      <c r="B1" s="22" t="s">
        <v>7</v>
      </c>
      <c r="C1" s="22" t="s">
        <v>8</v>
      </c>
      <c r="D1" s="30" t="s">
        <v>5</v>
      </c>
      <c r="E1" t="s">
        <v>4</v>
      </c>
      <c r="F1" t="s">
        <v>164</v>
      </c>
      <c r="G1" s="2" t="s">
        <v>166</v>
      </c>
      <c r="H1" t="s">
        <v>92</v>
      </c>
      <c r="I1" t="s">
        <v>17</v>
      </c>
      <c r="J1" t="s">
        <v>91</v>
      </c>
      <c r="K1" s="22" t="s">
        <v>16</v>
      </c>
      <c r="L1" t="s">
        <v>152</v>
      </c>
      <c r="M1" s="46" t="s">
        <v>180</v>
      </c>
      <c r="N1" t="s">
        <v>370</v>
      </c>
      <c r="O1" s="6" t="s">
        <v>371</v>
      </c>
      <c r="P1" s="6" t="s">
        <v>372</v>
      </c>
      <c r="Q1" s="93" t="s">
        <v>514</v>
      </c>
      <c r="R1" s="93" t="s">
        <v>515</v>
      </c>
      <c r="S1" s="93" t="s">
        <v>143</v>
      </c>
      <c r="T1" s="93" t="s">
        <v>582</v>
      </c>
      <c r="U1" s="93" t="s">
        <v>142</v>
      </c>
      <c r="V1" s="93" t="s">
        <v>516</v>
      </c>
      <c r="W1" s="94" t="s">
        <v>518</v>
      </c>
      <c r="X1" s="95" t="s">
        <v>216</v>
      </c>
      <c r="Y1" s="95" t="s">
        <v>520</v>
      </c>
      <c r="Z1" s="6" t="s">
        <v>144</v>
      </c>
      <c r="AA1" s="6" t="s">
        <v>9</v>
      </c>
      <c r="AB1" t="s">
        <v>138</v>
      </c>
      <c r="AC1" s="14" t="s">
        <v>147</v>
      </c>
      <c r="AD1" s="14" t="s">
        <v>333</v>
      </c>
      <c r="AE1" s="14" t="s">
        <v>583</v>
      </c>
      <c r="AF1" s="21" t="s">
        <v>373</v>
      </c>
      <c r="AG1" s="92" t="s">
        <v>23</v>
      </c>
      <c r="AH1" s="14" t="s">
        <v>374</v>
      </c>
      <c r="AI1" s="14" t="s">
        <v>332</v>
      </c>
      <c r="AJ1" s="96" t="s">
        <v>148</v>
      </c>
      <c r="AK1" s="97" t="s">
        <v>21</v>
      </c>
      <c r="AL1" s="13" t="s">
        <v>22</v>
      </c>
      <c r="AM1" t="s">
        <v>160</v>
      </c>
      <c r="AN1" s="96" t="s">
        <v>19</v>
      </c>
      <c r="AO1" s="21" t="s">
        <v>20</v>
      </c>
      <c r="AP1" s="21" t="s">
        <v>36</v>
      </c>
      <c r="AQ1" s="21" t="s">
        <v>149</v>
      </c>
      <c r="AR1" s="21" t="s">
        <v>150</v>
      </c>
      <c r="AS1" s="30" t="s">
        <v>151</v>
      </c>
      <c r="AT1" s="21" t="s">
        <v>24</v>
      </c>
      <c r="AU1" s="21" t="s">
        <v>27</v>
      </c>
      <c r="AV1" s="21" t="s">
        <v>25</v>
      </c>
      <c r="AW1" s="21" t="s">
        <v>26</v>
      </c>
      <c r="AX1" s="30" t="s">
        <v>154</v>
      </c>
      <c r="AY1" s="21" t="s">
        <v>155</v>
      </c>
      <c r="AZ1" s="21" t="s">
        <v>375</v>
      </c>
      <c r="BA1" s="98" t="s">
        <v>376</v>
      </c>
      <c r="BB1" s="21" t="s">
        <v>377</v>
      </c>
      <c r="BC1" s="21" t="s">
        <v>28</v>
      </c>
      <c r="BD1" s="21" t="s">
        <v>31</v>
      </c>
      <c r="BE1" s="21" t="s">
        <v>29</v>
      </c>
      <c r="BF1" s="21" t="s">
        <v>30</v>
      </c>
      <c r="BG1" s="27" t="s">
        <v>156</v>
      </c>
      <c r="BH1" s="21" t="s">
        <v>157</v>
      </c>
      <c r="BI1" s="21" t="s">
        <v>378</v>
      </c>
      <c r="BJ1" s="21" t="s">
        <v>379</v>
      </c>
      <c r="BK1" s="21" t="s">
        <v>380</v>
      </c>
      <c r="BL1" s="21" t="s">
        <v>32</v>
      </c>
      <c r="BM1" s="21" t="s">
        <v>35</v>
      </c>
      <c r="BN1" s="21" t="s">
        <v>33</v>
      </c>
      <c r="BO1" s="21" t="s">
        <v>34</v>
      </c>
      <c r="BP1" s="30" t="s">
        <v>158</v>
      </c>
      <c r="BQ1" s="21" t="s">
        <v>159</v>
      </c>
      <c r="BR1" s="21" t="s">
        <v>381</v>
      </c>
      <c r="BS1" s="21" t="s">
        <v>382</v>
      </c>
      <c r="BT1" s="21" t="s">
        <v>383</v>
      </c>
      <c r="BU1" t="s">
        <v>37</v>
      </c>
      <c r="BV1" s="21" t="s">
        <v>38</v>
      </c>
      <c r="BW1" s="21" t="s">
        <v>39</v>
      </c>
      <c r="BX1" s="21" t="s">
        <v>40</v>
      </c>
      <c r="BY1" s="13" t="s">
        <v>41</v>
      </c>
      <c r="BZ1" s="13" t="s">
        <v>42</v>
      </c>
      <c r="CA1" t="s">
        <v>43</v>
      </c>
      <c r="CB1" s="21" t="s">
        <v>44</v>
      </c>
      <c r="CC1" s="21" t="s">
        <v>45</v>
      </c>
      <c r="CD1" s="98" t="s">
        <v>46</v>
      </c>
      <c r="CE1" s="98" t="s">
        <v>47</v>
      </c>
      <c r="CF1" s="13" t="s">
        <v>48</v>
      </c>
      <c r="CG1" s="13" t="s">
        <v>49</v>
      </c>
      <c r="CH1" t="s">
        <v>50</v>
      </c>
      <c r="CI1" s="21" t="s">
        <v>51</v>
      </c>
      <c r="CJ1" s="21" t="s">
        <v>52</v>
      </c>
      <c r="CK1" s="98" t="s">
        <v>53</v>
      </c>
      <c r="CL1" s="98" t="s">
        <v>54</v>
      </c>
      <c r="CM1" s="13" t="s">
        <v>55</v>
      </c>
      <c r="CN1" s="13" t="s">
        <v>56</v>
      </c>
      <c r="CO1" t="s">
        <v>57</v>
      </c>
      <c r="CP1" s="21" t="s">
        <v>58</v>
      </c>
      <c r="CQ1" s="21" t="s">
        <v>59</v>
      </c>
      <c r="CR1" s="98" t="s">
        <v>60</v>
      </c>
      <c r="CS1" s="98" t="s">
        <v>61</v>
      </c>
      <c r="CT1" s="13" t="s">
        <v>62</v>
      </c>
      <c r="CU1" s="13" t="s">
        <v>63</v>
      </c>
      <c r="CV1" t="s">
        <v>64</v>
      </c>
      <c r="CW1" s="21" t="s">
        <v>65</v>
      </c>
      <c r="CX1" s="21" t="s">
        <v>66</v>
      </c>
      <c r="CY1" s="98" t="s">
        <v>67</v>
      </c>
      <c r="CZ1" s="98" t="s">
        <v>68</v>
      </c>
      <c r="DA1" s="13" t="s">
        <v>69</v>
      </c>
      <c r="DB1" s="13" t="s">
        <v>70</v>
      </c>
      <c r="DC1" t="s">
        <v>71</v>
      </c>
      <c r="DD1" s="21" t="s">
        <v>72</v>
      </c>
      <c r="DE1" s="21" t="s">
        <v>73</v>
      </c>
      <c r="DF1" s="98" t="s">
        <v>74</v>
      </c>
      <c r="DG1" s="98" t="s">
        <v>75</v>
      </c>
      <c r="DH1" s="13" t="s">
        <v>76</v>
      </c>
      <c r="DI1" s="13" t="s">
        <v>77</v>
      </c>
      <c r="DJ1" t="s">
        <v>78</v>
      </c>
      <c r="DK1" s="21" t="s">
        <v>79</v>
      </c>
      <c r="DL1" s="21" t="s">
        <v>80</v>
      </c>
      <c r="DM1" s="98" t="s">
        <v>81</v>
      </c>
      <c r="DN1" s="98" t="s">
        <v>82</v>
      </c>
      <c r="DO1" s="13" t="s">
        <v>83</v>
      </c>
      <c r="DP1" s="13" t="s">
        <v>84</v>
      </c>
      <c r="DQ1" t="s">
        <v>85</v>
      </c>
      <c r="DR1" t="s">
        <v>3</v>
      </c>
      <c r="DS1" t="s">
        <v>384</v>
      </c>
      <c r="DT1" t="s">
        <v>163</v>
      </c>
      <c r="DU1" t="s">
        <v>179</v>
      </c>
      <c r="DV1" t="s">
        <v>167</v>
      </c>
      <c r="DW1" t="s">
        <v>385</v>
      </c>
      <c r="DX1" t="s">
        <v>165</v>
      </c>
      <c r="DY1" t="s">
        <v>161</v>
      </c>
      <c r="DZ1" t="s">
        <v>162</v>
      </c>
      <c r="EA1" s="22" t="s">
        <v>145</v>
      </c>
      <c r="EB1" t="s">
        <v>146</v>
      </c>
      <c r="EC1" t="s">
        <v>86</v>
      </c>
    </row>
    <row r="2" spans="1:133" hidden="1">
      <c r="A2" s="30">
        <v>36526</v>
      </c>
      <c r="B2" s="22">
        <v>36526</v>
      </c>
      <c r="C2" s="22" t="s">
        <v>492</v>
      </c>
      <c r="D2" s="30" t="s">
        <v>553</v>
      </c>
      <c r="E2" s="30" t="s">
        <v>493</v>
      </c>
      <c r="F2" s="30" t="s">
        <v>554</v>
      </c>
      <c r="G2" s="30" t="s">
        <v>494</v>
      </c>
      <c r="H2" t="s">
        <v>495</v>
      </c>
      <c r="I2" t="s">
        <v>555</v>
      </c>
      <c r="J2" t="s">
        <v>556</v>
      </c>
      <c r="K2" s="22">
        <v>36526</v>
      </c>
      <c r="L2">
        <v>0</v>
      </c>
      <c r="M2" s="26">
        <v>-0.99999998999999995</v>
      </c>
      <c r="N2" t="s">
        <v>394</v>
      </c>
      <c r="O2" t="s">
        <v>394</v>
      </c>
      <c r="P2" t="s">
        <v>394</v>
      </c>
      <c r="Q2" s="29" t="s">
        <v>557</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signer2</f>
        <v>Cognisant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496</v>
      </c>
      <c r="AA2" t="s">
        <v>395</v>
      </c>
      <c r="AB2">
        <v>0</v>
      </c>
      <c r="AC2">
        <v>0</v>
      </c>
      <c r="AD2">
        <v>0</v>
      </c>
      <c r="AE2" t="str">
        <f>IF(RADataTable[[#This Row],[maxScore]]-RADataTable[[#This Row],[minScore]]&gt;4,"Y","")</f>
        <v>Y</v>
      </c>
      <c r="AF2" s="21">
        <v>1</v>
      </c>
      <c r="AG2" s="26">
        <v>4.5</v>
      </c>
      <c r="AH2">
        <v>9</v>
      </c>
      <c r="AI2" t="s">
        <v>396</v>
      </c>
      <c r="AJ2" s="30">
        <v>36526</v>
      </c>
      <c r="AK2" s="13">
        <v>99999999</v>
      </c>
      <c r="AL2" s="13">
        <v>99999999</v>
      </c>
      <c r="AM2">
        <v>0</v>
      </c>
      <c r="AN2" s="30">
        <v>36526</v>
      </c>
      <c r="AO2" s="21">
        <v>36</v>
      </c>
      <c r="AP2" s="21" t="s">
        <v>397</v>
      </c>
      <c r="AQ2">
        <v>0</v>
      </c>
      <c r="AR2" t="s">
        <v>215</v>
      </c>
      <c r="AS2" s="30">
        <v>36526</v>
      </c>
      <c r="AT2" t="s">
        <v>558</v>
      </c>
      <c r="AU2" s="21" t="s">
        <v>398</v>
      </c>
      <c r="AV2" s="21">
        <v>99</v>
      </c>
      <c r="AW2" s="21" t="s">
        <v>399</v>
      </c>
      <c r="AX2" s="30">
        <v>36526</v>
      </c>
      <c r="AY2" s="21" t="s">
        <v>396</v>
      </c>
      <c r="AZ2" s="21" t="s">
        <v>400</v>
      </c>
      <c r="BA2" s="21">
        <v>0</v>
      </c>
      <c r="BB2" s="21">
        <v>0</v>
      </c>
      <c r="BC2" s="21" t="s">
        <v>558</v>
      </c>
      <c r="BD2" s="21" t="s">
        <v>398</v>
      </c>
      <c r="BE2" s="21">
        <v>99</v>
      </c>
      <c r="BF2" s="21" t="s">
        <v>399</v>
      </c>
      <c r="BG2" s="30">
        <v>36526</v>
      </c>
      <c r="BH2" s="21" t="s">
        <v>396</v>
      </c>
      <c r="BI2" s="21" t="s">
        <v>400</v>
      </c>
      <c r="BJ2" s="21">
        <v>0</v>
      </c>
      <c r="BK2" s="21">
        <v>0</v>
      </c>
      <c r="BL2" s="21" t="s">
        <v>558</v>
      </c>
      <c r="BM2" s="21" t="s">
        <v>398</v>
      </c>
      <c r="BN2" s="21">
        <v>99</v>
      </c>
      <c r="BO2" s="21" t="s">
        <v>399</v>
      </c>
      <c r="BP2" s="30">
        <v>36526</v>
      </c>
      <c r="BQ2" s="21" t="s">
        <v>396</v>
      </c>
      <c r="BR2" s="21" t="s">
        <v>400</v>
      </c>
      <c r="BS2" s="21">
        <v>0</v>
      </c>
      <c r="BT2" s="21">
        <v>0</v>
      </c>
      <c r="BU2" t="s">
        <v>395</v>
      </c>
      <c r="BV2" s="21" t="s">
        <v>401</v>
      </c>
      <c r="BW2" s="21" t="s">
        <v>402</v>
      </c>
      <c r="BX2" s="21" t="s">
        <v>403</v>
      </c>
      <c r="BY2" s="31">
        <v>99999999</v>
      </c>
      <c r="BZ2" s="31">
        <v>99999999</v>
      </c>
      <c r="CA2" t="s">
        <v>404</v>
      </c>
      <c r="CB2" s="21" t="s">
        <v>395</v>
      </c>
      <c r="CC2" s="21" t="s">
        <v>401</v>
      </c>
      <c r="CD2" s="21" t="s">
        <v>402</v>
      </c>
      <c r="CE2" s="21" t="s">
        <v>403</v>
      </c>
      <c r="CF2" s="31">
        <v>99999999</v>
      </c>
      <c r="CG2" s="31">
        <v>99999999</v>
      </c>
      <c r="CH2" t="s">
        <v>404</v>
      </c>
      <c r="CI2" s="21" t="s">
        <v>395</v>
      </c>
      <c r="CJ2" s="21" t="s">
        <v>401</v>
      </c>
      <c r="CK2" s="21" t="s">
        <v>402</v>
      </c>
      <c r="CL2" s="21" t="s">
        <v>403</v>
      </c>
      <c r="CM2" s="31">
        <v>99999999</v>
      </c>
      <c r="CN2" s="31">
        <v>99999999</v>
      </c>
      <c r="CO2" t="s">
        <v>404</v>
      </c>
      <c r="CP2" s="21" t="s">
        <v>395</v>
      </c>
      <c r="CQ2" s="21" t="s">
        <v>401</v>
      </c>
      <c r="CR2" s="21" t="s">
        <v>402</v>
      </c>
      <c r="CS2" s="21" t="s">
        <v>403</v>
      </c>
      <c r="CT2" s="31">
        <v>99999999</v>
      </c>
      <c r="CU2" s="31">
        <v>99999999</v>
      </c>
      <c r="CV2" t="s">
        <v>404</v>
      </c>
      <c r="CW2" s="21" t="s">
        <v>395</v>
      </c>
      <c r="CX2" s="21" t="s">
        <v>401</v>
      </c>
      <c r="CY2" s="21" t="s">
        <v>402</v>
      </c>
      <c r="CZ2" s="21" t="s">
        <v>403</v>
      </c>
      <c r="DA2" s="31">
        <v>99999999</v>
      </c>
      <c r="DB2" s="31">
        <v>99999999</v>
      </c>
      <c r="DC2" t="s">
        <v>404</v>
      </c>
      <c r="DD2" s="21" t="s">
        <v>395</v>
      </c>
      <c r="DE2" s="21" t="s">
        <v>401</v>
      </c>
      <c r="DF2" s="21" t="s">
        <v>402</v>
      </c>
      <c r="DG2" s="21" t="s">
        <v>403</v>
      </c>
      <c r="DH2" s="31">
        <v>99999999</v>
      </c>
      <c r="DI2" s="31">
        <v>99999999</v>
      </c>
      <c r="DJ2" t="s">
        <v>404</v>
      </c>
      <c r="DK2" s="21" t="s">
        <v>395</v>
      </c>
      <c r="DL2" s="21" t="s">
        <v>401</v>
      </c>
      <c r="DM2" s="21" t="s">
        <v>402</v>
      </c>
      <c r="DN2" s="21" t="s">
        <v>403</v>
      </c>
      <c r="DO2" s="31">
        <v>99999999</v>
      </c>
      <c r="DP2" s="31">
        <v>99999999</v>
      </c>
      <c r="DQ2" t="s">
        <v>404</v>
      </c>
      <c r="DR2" t="s">
        <v>405</v>
      </c>
      <c r="DS2" t="s">
        <v>406</v>
      </c>
      <c r="DT2" t="s">
        <v>407</v>
      </c>
      <c r="DU2" s="29" t="s">
        <v>497</v>
      </c>
      <c r="DV2" t="s">
        <v>408</v>
      </c>
      <c r="DW2" t="s">
        <v>409</v>
      </c>
      <c r="DX2" t="s">
        <v>410</v>
      </c>
      <c r="DY2" t="s">
        <v>411</v>
      </c>
      <c r="DZ2" t="s">
        <v>412</v>
      </c>
      <c r="EA2" s="22">
        <v>36526</v>
      </c>
      <c r="EB2" t="s">
        <v>413</v>
      </c>
      <c r="EC2" t="s">
        <v>414</v>
      </c>
    </row>
    <row r="3" spans="1:133">
      <c r="A3" s="30"/>
      <c r="B3" s="22">
        <v>42935.465277777781</v>
      </c>
      <c r="C3" s="22" t="s">
        <v>248</v>
      </c>
      <c r="D3" s="30" t="s">
        <v>1124</v>
      </c>
      <c r="E3" s="30" t="s">
        <v>1125</v>
      </c>
      <c r="F3" s="30" t="s">
        <v>170</v>
      </c>
      <c r="G3" s="30" t="s">
        <v>172</v>
      </c>
      <c r="H3" t="s">
        <v>94</v>
      </c>
      <c r="I3" t="s">
        <v>1271</v>
      </c>
      <c r="J3" t="s">
        <v>596</v>
      </c>
      <c r="K3" s="22">
        <v>43048.618194444447</v>
      </c>
      <c r="L3">
        <v>2</v>
      </c>
      <c r="M3" s="26">
        <v>0</v>
      </c>
      <c r="O3" t="s">
        <v>359</v>
      </c>
      <c r="Q3" s="29" t="s">
        <v>13</v>
      </c>
      <c r="R3" s="29" t="str">
        <f>IFERROR(MID(RADataTable[[#This Row],[RAtemplate]],1,LEN(RADataTable[[#This Row],[RAtemplate]])-8),"RA") &amp; " " &amp; RADataTable[[#This Row],[prop_id0]] &amp; " " &amp; RADataTable[[#This Row],[last0]]</f>
        <v>RA 1750279 Jin</v>
      </c>
      <c r="U3" s="21" t="str">
        <f>IF(signer1="PD",IF(ISBLANK(RADataTable[[#This Row],[sign_blck_name]]),"",RADataTable[[#This Row],[sign_blck_name]]),IF(ISBLANK(signer1),"",signer1))</f>
        <v>David Corman</v>
      </c>
      <c r="V3" s="29" t="str">
        <f>signer2</f>
        <v>Cognisant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jran5@vt.edu</v>
      </c>
      <c r="Y3" s="15" t="str">
        <f>HYPERLINK("mailto:"&amp;RADataTable[[#This Row],[allPIemail]]&amp;"&amp;subject=NSF Proposal:  "&amp;RADataTable[[#This Row],[Div]]&amp;" "&amp;RADataTable[[#This Row],[prop_id0]], "PIs@")</f>
        <v>PIs@</v>
      </c>
      <c r="Z3" t="s">
        <v>1127</v>
      </c>
      <c r="AA3" t="s">
        <v>765</v>
      </c>
      <c r="AB3">
        <v>8</v>
      </c>
      <c r="AC3">
        <v>8</v>
      </c>
      <c r="AD3"/>
      <c r="AE3" t="str">
        <f>IF(RADataTable[[#This Row],[maxScore]]-RADataTable[[#This Row],[minScore]]&gt;4,"Y","")</f>
        <v/>
      </c>
      <c r="AF3" s="21">
        <v>3</v>
      </c>
      <c r="AG3" s="26">
        <v>4.25</v>
      </c>
      <c r="AH3">
        <v>7</v>
      </c>
      <c r="AI3" t="s">
        <v>1289</v>
      </c>
      <c r="AJ3" s="30">
        <v>43041.009722222225</v>
      </c>
      <c r="AK3" s="13">
        <v>500000</v>
      </c>
      <c r="AL3" s="13">
        <v>500000</v>
      </c>
      <c r="AM3">
        <v>0</v>
      </c>
      <c r="AN3" s="30">
        <v>43235</v>
      </c>
      <c r="AO3" s="21">
        <v>60</v>
      </c>
      <c r="AP3" s="21" t="s">
        <v>1290</v>
      </c>
      <c r="AS3" s="30"/>
      <c r="AT3" t="s">
        <v>1481</v>
      </c>
      <c r="AW3" s="21" t="s">
        <v>1482</v>
      </c>
      <c r="AX3" s="30">
        <v>43019</v>
      </c>
      <c r="AY3" s="21" t="s">
        <v>1483</v>
      </c>
      <c r="AZ3" s="21" t="s">
        <v>1484</v>
      </c>
      <c r="BA3" s="21">
        <v>5</v>
      </c>
      <c r="BB3" s="21">
        <v>1</v>
      </c>
      <c r="BC3" s="21" t="s">
        <v>706</v>
      </c>
      <c r="BD3" s="21" t="s">
        <v>386</v>
      </c>
      <c r="BF3" s="21" t="s">
        <v>1472</v>
      </c>
      <c r="BG3" s="30">
        <v>43042</v>
      </c>
      <c r="BH3" s="21" t="s">
        <v>1485</v>
      </c>
      <c r="BI3" s="21" t="s">
        <v>1474</v>
      </c>
      <c r="BJ3" s="21">
        <v>13</v>
      </c>
      <c r="BK3" s="21">
        <v>0</v>
      </c>
      <c r="BP3" s="30"/>
      <c r="BU3" t="s">
        <v>765</v>
      </c>
      <c r="BV3" s="21" t="s">
        <v>766</v>
      </c>
      <c r="BW3" s="21" t="s">
        <v>1288</v>
      </c>
      <c r="BX3" s="21" t="s">
        <v>361</v>
      </c>
      <c r="BY3" s="31">
        <v>500000</v>
      </c>
      <c r="BZ3" s="31">
        <v>500000</v>
      </c>
      <c r="CA3" t="s">
        <v>256</v>
      </c>
      <c r="CF3" s="31"/>
      <c r="CG3" s="31"/>
      <c r="CM3" s="31"/>
      <c r="CN3" s="31"/>
      <c r="CT3" s="31"/>
      <c r="CU3" s="31"/>
      <c r="CV3" s="31"/>
      <c r="DA3" s="31"/>
      <c r="DB3" s="31"/>
      <c r="DC3" s="31"/>
      <c r="DH3" s="31"/>
      <c r="DI3" s="31"/>
      <c r="DO3" s="31"/>
      <c r="DP3" s="31"/>
      <c r="DR3" t="s">
        <v>252</v>
      </c>
      <c r="DS3" t="s">
        <v>1451</v>
      </c>
      <c r="DT3" t="s">
        <v>1452</v>
      </c>
      <c r="DU3" s="29" t="s">
        <v>1453</v>
      </c>
      <c r="DV3" t="s">
        <v>173</v>
      </c>
      <c r="DW3" t="s">
        <v>387</v>
      </c>
      <c r="DX3" t="s">
        <v>171</v>
      </c>
      <c r="DY3" t="s">
        <v>168</v>
      </c>
      <c r="DZ3" t="s">
        <v>169</v>
      </c>
      <c r="EA3" s="22">
        <v>43075.751620370371</v>
      </c>
      <c r="EB3" t="s">
        <v>1291</v>
      </c>
      <c r="EC3" t="s">
        <v>1486</v>
      </c>
    </row>
    <row r="4" spans="1:133">
      <c r="A4" s="30"/>
      <c r="B4" s="22">
        <v>42936.376388888886</v>
      </c>
      <c r="C4" s="22" t="s">
        <v>248</v>
      </c>
      <c r="D4" s="30" t="s">
        <v>1124</v>
      </c>
      <c r="E4" s="30" t="s">
        <v>1125</v>
      </c>
      <c r="F4" s="30" t="s">
        <v>170</v>
      </c>
      <c r="G4" s="30" t="s">
        <v>172</v>
      </c>
      <c r="H4" t="s">
        <v>94</v>
      </c>
      <c r="I4" t="s">
        <v>1365</v>
      </c>
      <c r="J4" t="s">
        <v>596</v>
      </c>
      <c r="L4">
        <v>3</v>
      </c>
      <c r="M4" s="26">
        <v>0.01</v>
      </c>
      <c r="P4" t="s">
        <v>249</v>
      </c>
      <c r="Q4" s="29" t="s">
        <v>13</v>
      </c>
      <c r="R4" s="29" t="str">
        <f>IFERROR(MID(RADataTable[[#This Row],[RAtemplate]],1,LEN(RADataTable[[#This Row],[RAtemplate]])-8),"RA") &amp; " " &amp; RADataTable[[#This Row],[prop_id0]] &amp; " " &amp; RADataTable[[#This Row],[last0]]</f>
        <v>RA 1751454 Sun</v>
      </c>
      <c r="U4" s="21" t="str">
        <f>IF(signer1="PD",IF(ISBLANK(RADataTable[[#This Row],[sign_blck_name]]),"",RADataTable[[#This Row],[sign_blck_name]]),IF(ISBLANK(signer1),"",signer1))</f>
        <v>David Corman</v>
      </c>
      <c r="V4" s="29" t="str">
        <f>signer2</f>
        <v>Cognisant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yes@mtu.edu</v>
      </c>
      <c r="Y4" s="15" t="str">
        <f>HYPERLINK("mailto:"&amp;RADataTable[[#This Row],[allPIemail]]&amp;"&amp;subject=NSF Proposal:  "&amp;RADataTable[[#This Row],[Div]]&amp;" "&amp;RADataTable[[#This Row],[prop_id0]], "PIs@")</f>
        <v>PIs@</v>
      </c>
      <c r="Z4" t="s">
        <v>1127</v>
      </c>
      <c r="AA4" t="s">
        <v>940</v>
      </c>
      <c r="AB4">
        <v>11</v>
      </c>
      <c r="AC4">
        <v>11</v>
      </c>
      <c r="AD4"/>
      <c r="AE4" t="str">
        <f>IF(RADataTable[[#This Row],[maxScore]]-RADataTable[[#This Row],[minScore]]&gt;4,"Y","")</f>
        <v>Y</v>
      </c>
      <c r="AF4" s="21">
        <v>3</v>
      </c>
      <c r="AG4" s="26">
        <v>6</v>
      </c>
      <c r="AH4">
        <v>9</v>
      </c>
      <c r="AI4" t="s">
        <v>1368</v>
      </c>
      <c r="AJ4" s="30">
        <v>43041.425000000003</v>
      </c>
      <c r="AK4" s="13">
        <v>508934</v>
      </c>
      <c r="AL4" s="13">
        <v>508934</v>
      </c>
      <c r="AM4">
        <v>0</v>
      </c>
      <c r="AN4" s="30">
        <v>43221</v>
      </c>
      <c r="AO4" s="21">
        <v>60</v>
      </c>
      <c r="AP4" s="21" t="s">
        <v>1369</v>
      </c>
      <c r="AS4" s="30"/>
      <c r="AT4" t="s">
        <v>1519</v>
      </c>
      <c r="AW4" s="21" t="s">
        <v>1520</v>
      </c>
      <c r="AX4" s="30">
        <v>42996</v>
      </c>
      <c r="AY4" s="21" t="s">
        <v>1521</v>
      </c>
      <c r="AZ4" s="21" t="s">
        <v>1522</v>
      </c>
      <c r="BA4" s="21">
        <v>7</v>
      </c>
      <c r="BB4" s="21">
        <v>0</v>
      </c>
      <c r="BC4" s="21" t="s">
        <v>1481</v>
      </c>
      <c r="BF4" s="21" t="s">
        <v>1482</v>
      </c>
      <c r="BG4" s="30">
        <v>43019</v>
      </c>
      <c r="BH4" s="21" t="s">
        <v>1523</v>
      </c>
      <c r="BI4" s="21" t="s">
        <v>1484</v>
      </c>
      <c r="BJ4" s="21">
        <v>5</v>
      </c>
      <c r="BK4" s="21">
        <v>0</v>
      </c>
      <c r="BL4" s="21" t="s">
        <v>706</v>
      </c>
      <c r="BM4" s="21" t="s">
        <v>251</v>
      </c>
      <c r="BN4" s="21">
        <v>1</v>
      </c>
      <c r="BO4" s="21" t="s">
        <v>1472</v>
      </c>
      <c r="BP4" s="30">
        <v>43042</v>
      </c>
      <c r="BQ4" s="21" t="s">
        <v>1524</v>
      </c>
      <c r="BR4" s="21" t="s">
        <v>1474</v>
      </c>
      <c r="BS4" s="21">
        <v>13</v>
      </c>
      <c r="BT4" s="21">
        <v>0</v>
      </c>
      <c r="BU4" t="s">
        <v>940</v>
      </c>
      <c r="BV4" s="21" t="s">
        <v>369</v>
      </c>
      <c r="BW4" s="21" t="s">
        <v>1366</v>
      </c>
      <c r="BX4" s="21" t="s">
        <v>1367</v>
      </c>
      <c r="BY4" s="31">
        <v>508934</v>
      </c>
      <c r="BZ4" s="31">
        <v>508934</v>
      </c>
      <c r="CA4" t="s">
        <v>256</v>
      </c>
      <c r="CF4" s="31"/>
      <c r="CG4" s="31"/>
      <c r="CM4" s="31"/>
      <c r="CN4" s="31"/>
      <c r="CT4" s="31"/>
      <c r="CU4" s="31"/>
      <c r="CV4" s="31"/>
      <c r="DA4" s="31"/>
      <c r="DB4" s="31"/>
      <c r="DC4" s="31"/>
      <c r="DH4" s="31"/>
      <c r="DI4" s="31"/>
      <c r="DO4" s="31"/>
      <c r="DP4" s="31"/>
      <c r="DR4" t="s">
        <v>252</v>
      </c>
      <c r="DS4" t="s">
        <v>1451</v>
      </c>
      <c r="DT4" t="s">
        <v>1452</v>
      </c>
      <c r="DU4" s="29" t="s">
        <v>1453</v>
      </c>
      <c r="DV4" t="s">
        <v>173</v>
      </c>
      <c r="DW4" t="s">
        <v>387</v>
      </c>
      <c r="DX4" t="s">
        <v>171</v>
      </c>
      <c r="DY4" t="s">
        <v>168</v>
      </c>
      <c r="DZ4" t="s">
        <v>169</v>
      </c>
      <c r="EA4" s="22">
        <v>43075.751620370371</v>
      </c>
      <c r="EB4" t="s">
        <v>1370</v>
      </c>
      <c r="EC4" t="s">
        <v>1525</v>
      </c>
    </row>
    <row r="5" spans="1:133">
      <c r="A5" s="30"/>
      <c r="B5" s="22">
        <v>42970.65</v>
      </c>
      <c r="C5" s="22" t="s">
        <v>1376</v>
      </c>
      <c r="D5" s="30" t="s">
        <v>1124</v>
      </c>
      <c r="E5" s="30" t="s">
        <v>1377</v>
      </c>
      <c r="F5" s="30" t="s">
        <v>170</v>
      </c>
      <c r="G5" s="30" t="s">
        <v>172</v>
      </c>
      <c r="H5" t="s">
        <v>94</v>
      </c>
      <c r="I5" t="s">
        <v>1378</v>
      </c>
      <c r="J5" t="s">
        <v>705</v>
      </c>
      <c r="K5" s="22">
        <v>43075.643761574072</v>
      </c>
      <c r="L5">
        <v>1</v>
      </c>
      <c r="M5" s="26">
        <v>1</v>
      </c>
      <c r="N5" t="s">
        <v>249</v>
      </c>
      <c r="Q5" s="29" t="s">
        <v>13</v>
      </c>
      <c r="R5" s="29" t="str">
        <f>IFERROR(MID(RADataTable[[#This Row],[RAtemplate]],1,LEN(RADataTable[[#This Row],[RAtemplate]])-8),"RA") &amp; " " &amp; RADataTable[[#This Row],[prop_id0]] &amp; " " &amp; RADataTable[[#This Row],[last0]]</f>
        <v>RA 1757781 Yuan</v>
      </c>
      <c r="U5" s="21" t="str">
        <f>IF(signer1="PD",IF(ISBLANK(RADataTable[[#This Row],[sign_blck_name]]),"",RADataTable[[#This Row],[sign_blck_name]]),IF(ISBLANK(signer1),"",signer1))</f>
        <v>Jonathan Sprinkle</v>
      </c>
      <c r="V5" s="29" t="str">
        <f>signer2</f>
        <v>Cognisant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yuanj@erau.edu</v>
      </c>
      <c r="Y5" s="15" t="str">
        <f>HYPERLINK("mailto:"&amp;RADataTable[[#This Row],[allPIemail]]&amp;"&amp;subject=NSF Proposal:  "&amp;RADataTable[[#This Row],[Div]]&amp;" "&amp;RADataTable[[#This Row],[prop_id0]], "PIs@")</f>
        <v>PIs@</v>
      </c>
      <c r="Z5" t="s">
        <v>1127</v>
      </c>
      <c r="AA5" t="s">
        <v>1036</v>
      </c>
      <c r="AB5">
        <v>4</v>
      </c>
      <c r="AD5"/>
      <c r="AE5" t="str">
        <f>IF(RADataTable[[#This Row],[maxScore]]-RADataTable[[#This Row],[minScore]]&gt;4,"Y","")</f>
        <v/>
      </c>
      <c r="AF5" s="21">
        <v>7</v>
      </c>
      <c r="AG5" s="26">
        <v>7</v>
      </c>
      <c r="AH5">
        <v>7</v>
      </c>
      <c r="AI5" t="s">
        <v>1400</v>
      </c>
      <c r="AJ5" s="30">
        <v>43034.3125</v>
      </c>
      <c r="AK5" s="13">
        <v>357969</v>
      </c>
      <c r="AL5" s="13">
        <v>287959</v>
      </c>
      <c r="AM5">
        <v>1</v>
      </c>
      <c r="AN5" s="30">
        <v>43252</v>
      </c>
      <c r="AO5" s="21">
        <v>36</v>
      </c>
      <c r="AP5" s="21" t="s">
        <v>1401</v>
      </c>
      <c r="AS5" s="30"/>
      <c r="AT5" t="s">
        <v>998</v>
      </c>
      <c r="AU5" s="21" t="s">
        <v>251</v>
      </c>
      <c r="AW5" s="21" t="s">
        <v>1528</v>
      </c>
      <c r="AX5" s="30">
        <v>43035</v>
      </c>
      <c r="AY5" s="21" t="s">
        <v>1539</v>
      </c>
      <c r="AZ5" s="21" t="s">
        <v>1529</v>
      </c>
      <c r="BA5" s="21">
        <v>8</v>
      </c>
      <c r="BB5" s="21">
        <v>0</v>
      </c>
      <c r="BG5" s="30"/>
      <c r="BP5" s="30"/>
      <c r="BU5" t="s">
        <v>1036</v>
      </c>
      <c r="BV5" s="21" t="s">
        <v>579</v>
      </c>
      <c r="BW5" s="21" t="s">
        <v>1398</v>
      </c>
      <c r="BX5" s="21" t="s">
        <v>1399</v>
      </c>
      <c r="BY5" s="31">
        <v>357969</v>
      </c>
      <c r="BZ5" s="31">
        <v>287959</v>
      </c>
      <c r="CA5" t="s">
        <v>592</v>
      </c>
      <c r="CF5" s="31"/>
      <c r="CG5" s="31"/>
      <c r="CM5" s="31"/>
      <c r="CN5" s="31"/>
      <c r="CT5" s="31"/>
      <c r="CU5" s="31"/>
      <c r="CV5" s="31"/>
      <c r="DA5" s="31"/>
      <c r="DB5" s="31"/>
      <c r="DC5" s="31"/>
      <c r="DH5" s="31"/>
      <c r="DI5" s="31"/>
      <c r="DO5" s="31"/>
      <c r="DP5" s="31"/>
      <c r="DR5" t="s">
        <v>1530</v>
      </c>
      <c r="DS5" t="s">
        <v>1451</v>
      </c>
      <c r="DT5" t="s">
        <v>1531</v>
      </c>
      <c r="DU5" s="29" t="s">
        <v>1504</v>
      </c>
      <c r="DV5" t="s">
        <v>173</v>
      </c>
      <c r="DW5" t="s">
        <v>387</v>
      </c>
      <c r="DX5" t="s">
        <v>171</v>
      </c>
      <c r="DY5" t="s">
        <v>168</v>
      </c>
      <c r="DZ5" t="s">
        <v>169</v>
      </c>
      <c r="EA5" s="22">
        <v>43075.751620370371</v>
      </c>
      <c r="EB5" t="s">
        <v>1402</v>
      </c>
      <c r="EC5" t="s">
        <v>1540</v>
      </c>
    </row>
    <row r="6" spans="1:133">
      <c r="A6" s="30"/>
      <c r="B6" s="22">
        <v>42970.690972222219</v>
      </c>
      <c r="C6" s="22" t="s">
        <v>1376</v>
      </c>
      <c r="D6" s="30" t="s">
        <v>1124</v>
      </c>
      <c r="E6" s="30" t="s">
        <v>1377</v>
      </c>
      <c r="F6" s="30" t="s">
        <v>170</v>
      </c>
      <c r="G6" s="30" t="s">
        <v>172</v>
      </c>
      <c r="H6" t="s">
        <v>94</v>
      </c>
      <c r="I6" t="s">
        <v>1378</v>
      </c>
      <c r="J6" t="s">
        <v>705</v>
      </c>
      <c r="L6">
        <v>1</v>
      </c>
      <c r="M6" s="26">
        <v>1</v>
      </c>
      <c r="N6" t="s">
        <v>249</v>
      </c>
      <c r="Q6" s="29" t="s">
        <v>13</v>
      </c>
      <c r="R6" s="29" t="str">
        <f>IFERROR(MID(RADataTable[[#This Row],[RAtemplate]],1,LEN(RADataTable[[#This Row],[RAtemplate]])-8),"RA") &amp; " " &amp; RADataTable[[#This Row],[prop_id0]] &amp; " " &amp; RADataTable[[#This Row],[last0]]</f>
        <v>RA 1757884 Wilson</v>
      </c>
      <c r="U6" s="21" t="str">
        <f>IF(signer1="PD",IF(ISBLANK(RADataTable[[#This Row],[sign_blck_name]]),"",RADataTable[[#This Row],[sign_blck_name]]),IF(ISBLANK(signer1),"",signer1))</f>
        <v>Jonathan Sprinkle</v>
      </c>
      <c r="V6" s="29" t="str">
        <f>signer2</f>
        <v>Cognisant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davils@uncc.edu</v>
      </c>
      <c r="Y6" s="15" t="str">
        <f>HYPERLINK("mailto:"&amp;RADataTable[[#This Row],[allPIemail]]&amp;"&amp;subject=NSF Proposal:  "&amp;RADataTable[[#This Row],[Div]]&amp;" "&amp;RADataTable[[#This Row],[prop_id0]], "PIs@")</f>
        <v>PIs@</v>
      </c>
      <c r="Z6" t="s">
        <v>1127</v>
      </c>
      <c r="AA6" t="s">
        <v>1069</v>
      </c>
      <c r="AB6">
        <v>4</v>
      </c>
      <c r="AD6"/>
      <c r="AE6" t="str">
        <f>IF(RADataTable[[#This Row],[maxScore]]-RADataTable[[#This Row],[minScore]]&gt;4,"Y","")</f>
        <v/>
      </c>
      <c r="AF6" s="21">
        <v>9</v>
      </c>
      <c r="AG6" s="26">
        <v>9</v>
      </c>
      <c r="AH6">
        <v>9</v>
      </c>
      <c r="AI6" t="s">
        <v>1416</v>
      </c>
      <c r="AJ6" s="30">
        <v>43034.988194444442</v>
      </c>
      <c r="AK6" s="13">
        <v>360182</v>
      </c>
      <c r="AL6" s="13">
        <v>360182</v>
      </c>
      <c r="AM6">
        <v>0</v>
      </c>
      <c r="AN6" s="30">
        <v>43132</v>
      </c>
      <c r="AO6" s="21">
        <v>36</v>
      </c>
      <c r="AP6" s="21" t="s">
        <v>1417</v>
      </c>
      <c r="AS6" s="30"/>
      <c r="AT6" t="s">
        <v>998</v>
      </c>
      <c r="AU6" s="21" t="s">
        <v>251</v>
      </c>
      <c r="AW6" s="21" t="s">
        <v>1528</v>
      </c>
      <c r="AX6" s="30">
        <v>43035</v>
      </c>
      <c r="AY6" s="21" t="s">
        <v>1546</v>
      </c>
      <c r="AZ6" s="21" t="s">
        <v>1529</v>
      </c>
      <c r="BA6" s="21">
        <v>8</v>
      </c>
      <c r="BB6" s="21">
        <v>1</v>
      </c>
      <c r="BG6" s="30"/>
      <c r="BP6" s="30"/>
      <c r="BU6" t="s">
        <v>1069</v>
      </c>
      <c r="BV6" s="21" t="s">
        <v>562</v>
      </c>
      <c r="BW6" s="21" t="s">
        <v>1415</v>
      </c>
      <c r="BX6" s="21" t="s">
        <v>1212</v>
      </c>
      <c r="BY6" s="31">
        <v>360182</v>
      </c>
      <c r="BZ6" s="31">
        <v>360182</v>
      </c>
      <c r="CA6" t="s">
        <v>592</v>
      </c>
      <c r="CF6" s="31"/>
      <c r="CG6" s="31"/>
      <c r="CM6" s="31"/>
      <c r="CN6" s="31"/>
      <c r="CT6" s="31"/>
      <c r="CU6" s="31"/>
      <c r="CV6" s="31"/>
      <c r="DA6" s="31"/>
      <c r="DB6" s="31"/>
      <c r="DC6" s="31"/>
      <c r="DH6" s="31"/>
      <c r="DI6" s="31"/>
      <c r="DO6" s="31"/>
      <c r="DP6" s="31"/>
      <c r="DR6" t="s">
        <v>1530</v>
      </c>
      <c r="DS6" t="s">
        <v>1451</v>
      </c>
      <c r="DT6" t="s">
        <v>1531</v>
      </c>
      <c r="DU6" s="29" t="s">
        <v>1504</v>
      </c>
      <c r="DV6" t="s">
        <v>173</v>
      </c>
      <c r="DW6" t="s">
        <v>387</v>
      </c>
      <c r="DX6" t="s">
        <v>171</v>
      </c>
      <c r="DY6" t="s">
        <v>168</v>
      </c>
      <c r="DZ6" t="s">
        <v>169</v>
      </c>
      <c r="EA6" s="22">
        <v>43075.751620370371</v>
      </c>
      <c r="EB6" t="s">
        <v>1418</v>
      </c>
      <c r="EC6" t="s">
        <v>1547</v>
      </c>
    </row>
    <row r="7" spans="1:133">
      <c r="A7" s="30"/>
      <c r="B7" s="22">
        <v>42970.709722222222</v>
      </c>
      <c r="C7" s="22" t="s">
        <v>1376</v>
      </c>
      <c r="D7" s="30" t="s">
        <v>1124</v>
      </c>
      <c r="E7" s="30" t="s">
        <v>1377</v>
      </c>
      <c r="F7" s="30" t="s">
        <v>170</v>
      </c>
      <c r="G7" s="30" t="s">
        <v>172</v>
      </c>
      <c r="H7" t="s">
        <v>94</v>
      </c>
      <c r="I7" t="s">
        <v>1378</v>
      </c>
      <c r="J7" t="s">
        <v>705</v>
      </c>
      <c r="L7">
        <v>1</v>
      </c>
      <c r="M7" s="26">
        <v>1</v>
      </c>
      <c r="N7" t="s">
        <v>249</v>
      </c>
      <c r="Q7" s="29" t="s">
        <v>13</v>
      </c>
      <c r="R7" s="29" t="str">
        <f>IFERROR(MID(RADataTable[[#This Row],[RAtemplate]],1,LEN(RADataTable[[#This Row],[RAtemplate]])-8),"RA") &amp; " " &amp; RADataTable[[#This Row],[prop_id0]] &amp; " " &amp; RADataTable[[#This Row],[last0]]</f>
        <v>RA 1757940 Kar</v>
      </c>
      <c r="U7" s="21" t="str">
        <f>IF(signer1="PD",IF(ISBLANK(RADataTable[[#This Row],[sign_blck_name]]),"",RADataTable[[#This Row],[sign_blck_name]]),IF(ISBLANK(signer1),"",signer1))</f>
        <v>Jonathan Sprinkle</v>
      </c>
      <c r="V7" s="29" t="str">
        <f>signer2</f>
        <v>Cognisant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dulal.kar@tamucc.edu</v>
      </c>
      <c r="Y7" s="15" t="str">
        <f>HYPERLINK("mailto:"&amp;RADataTable[[#This Row],[allPIemail]]&amp;"&amp;subject=NSF Proposal:  "&amp;RADataTable[[#This Row],[Div]]&amp;" "&amp;RADataTable[[#This Row],[prop_id0]], "PIs@")</f>
        <v>PIs@</v>
      </c>
      <c r="Z7" t="s">
        <v>1127</v>
      </c>
      <c r="AA7" t="s">
        <v>1107</v>
      </c>
      <c r="AB7">
        <v>4</v>
      </c>
      <c r="AC7">
        <v>4</v>
      </c>
      <c r="AD7"/>
      <c r="AE7" t="str">
        <f>IF(RADataTable[[#This Row],[maxScore]]-RADataTable[[#This Row],[minScore]]&gt;4,"Y","")</f>
        <v/>
      </c>
      <c r="AF7" s="21">
        <v>5</v>
      </c>
      <c r="AG7" s="26">
        <v>6.5</v>
      </c>
      <c r="AH7">
        <v>7</v>
      </c>
      <c r="AI7" t="s">
        <v>350</v>
      </c>
      <c r="AJ7" s="30">
        <v>43034.675000000003</v>
      </c>
      <c r="AK7" s="13">
        <v>357018</v>
      </c>
      <c r="AL7" s="13">
        <v>357018</v>
      </c>
      <c r="AM7">
        <v>0</v>
      </c>
      <c r="AN7" s="30">
        <v>43252</v>
      </c>
      <c r="AO7" s="21">
        <v>36</v>
      </c>
      <c r="AP7" s="21" t="s">
        <v>1440</v>
      </c>
      <c r="AS7" s="30"/>
      <c r="AT7" t="s">
        <v>998</v>
      </c>
      <c r="AU7" s="21" t="s">
        <v>251</v>
      </c>
      <c r="AW7" s="21" t="s">
        <v>1528</v>
      </c>
      <c r="AX7" s="30">
        <v>43035</v>
      </c>
      <c r="AY7" s="21" t="s">
        <v>388</v>
      </c>
      <c r="AZ7" s="21" t="s">
        <v>1529</v>
      </c>
      <c r="BA7" s="21">
        <v>8</v>
      </c>
      <c r="BB7" s="21">
        <v>0</v>
      </c>
      <c r="BG7" s="30"/>
      <c r="BP7" s="30"/>
      <c r="BU7" t="s">
        <v>1107</v>
      </c>
      <c r="BV7" s="21" t="s">
        <v>1108</v>
      </c>
      <c r="BW7" s="21" t="s">
        <v>1438</v>
      </c>
      <c r="BX7" s="21" t="s">
        <v>1439</v>
      </c>
      <c r="BY7" s="31">
        <v>357018</v>
      </c>
      <c r="BZ7" s="31">
        <v>357018</v>
      </c>
      <c r="CA7" t="s">
        <v>592</v>
      </c>
      <c r="CF7" s="31"/>
      <c r="CG7" s="31"/>
      <c r="CM7" s="31"/>
      <c r="CN7" s="31"/>
      <c r="CT7" s="31"/>
      <c r="CU7" s="31"/>
      <c r="CV7" s="31"/>
      <c r="DA7" s="31"/>
      <c r="DB7" s="31"/>
      <c r="DC7" s="31"/>
      <c r="DH7" s="31"/>
      <c r="DI7" s="31"/>
      <c r="DO7" s="31"/>
      <c r="DP7" s="31"/>
      <c r="DR7" t="s">
        <v>1530</v>
      </c>
      <c r="DS7" t="s">
        <v>1451</v>
      </c>
      <c r="DT7" t="s">
        <v>1531</v>
      </c>
      <c r="DU7" s="29" t="s">
        <v>1504</v>
      </c>
      <c r="DV7" t="s">
        <v>173</v>
      </c>
      <c r="DW7" t="s">
        <v>387</v>
      </c>
      <c r="DX7" t="s">
        <v>171</v>
      </c>
      <c r="DY7" t="s">
        <v>168</v>
      </c>
      <c r="DZ7" t="s">
        <v>169</v>
      </c>
      <c r="EA7" s="22">
        <v>43075.751620370371</v>
      </c>
      <c r="EB7" t="s">
        <v>1441</v>
      </c>
      <c r="EC7" t="s">
        <v>1555</v>
      </c>
    </row>
    <row r="8" spans="1:133">
      <c r="A8" s="30"/>
      <c r="B8" s="22">
        <v>42797.679166666669</v>
      </c>
      <c r="C8" s="22" t="s">
        <v>1123</v>
      </c>
      <c r="D8" s="30" t="s">
        <v>1124</v>
      </c>
      <c r="E8" s="30" t="s">
        <v>1125</v>
      </c>
      <c r="F8" s="30" t="s">
        <v>170</v>
      </c>
      <c r="G8" s="30" t="s">
        <v>172</v>
      </c>
      <c r="H8" t="s">
        <v>94</v>
      </c>
      <c r="I8" t="s">
        <v>1126</v>
      </c>
      <c r="J8" t="s">
        <v>596</v>
      </c>
      <c r="L8">
        <v>1</v>
      </c>
      <c r="M8" s="26">
        <v>2</v>
      </c>
      <c r="N8" t="s">
        <v>211</v>
      </c>
      <c r="Q8" s="29" t="s">
        <v>13</v>
      </c>
      <c r="R8" s="29" t="str">
        <f>IFERROR(MID(RADataTable[[#This Row],[RAtemplate]],1,LEN(RADataTable[[#This Row],[RAtemplate]])-8),"RA") &amp; " " &amp; RADataTable[[#This Row],[prop_id0]] &amp; " " &amp; RADataTable[[#This Row],[last0]]</f>
        <v>RA 1739204 Stojanovic</v>
      </c>
      <c r="U8" s="21" t="str">
        <f>IF(signer1="PD",IF(ISBLANK(RADataTable[[#This Row],[sign_blck_name]]),"",RADataTable[[#This Row],[sign_blck_name]]),IF(ISBLANK(signer1),"",signer1))</f>
        <v>David Corman</v>
      </c>
      <c r="V8" s="29" t="str">
        <f>signer2</f>
        <v>Cognisant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mns18@columbia.edu</v>
      </c>
      <c r="Y8" s="15" t="str">
        <f>HYPERLINK("mailto:"&amp;RADataTable[[#This Row],[allPIemail]]&amp;"&amp;subject=NSF Proposal:  "&amp;RADataTable[[#This Row],[Div]]&amp;" "&amp;RADataTable[[#This Row],[prop_id0]], "PIs@")</f>
        <v>PIs@</v>
      </c>
      <c r="Z8" t="s">
        <v>1127</v>
      </c>
      <c r="AA8" t="s">
        <v>594</v>
      </c>
      <c r="AB8">
        <v>4</v>
      </c>
      <c r="AC8">
        <v>4</v>
      </c>
      <c r="AD8"/>
      <c r="AE8" t="str">
        <f>IF(RADataTable[[#This Row],[maxScore]]-RADataTable[[#This Row],[minScore]]&gt;4,"Y","")</f>
        <v/>
      </c>
      <c r="AF8" s="21">
        <v>6</v>
      </c>
      <c r="AG8" s="26">
        <v>6.5</v>
      </c>
      <c r="AH8">
        <v>8</v>
      </c>
      <c r="AI8" t="s">
        <v>1129</v>
      </c>
      <c r="AJ8" s="30">
        <v>43028.356944444444</v>
      </c>
      <c r="AK8" s="13">
        <v>6646096</v>
      </c>
      <c r="AL8" s="13">
        <v>6646096</v>
      </c>
      <c r="AM8">
        <v>0</v>
      </c>
      <c r="AN8" s="30">
        <v>43101</v>
      </c>
      <c r="AO8" s="21">
        <v>60</v>
      </c>
      <c r="AP8" s="21" t="s">
        <v>1130</v>
      </c>
      <c r="AS8" s="30"/>
      <c r="AT8" t="s">
        <v>597</v>
      </c>
      <c r="AU8" s="21" t="s">
        <v>210</v>
      </c>
      <c r="AW8" s="21" t="s">
        <v>1447</v>
      </c>
      <c r="AX8" s="30">
        <v>43028</v>
      </c>
      <c r="AY8" s="21" t="s">
        <v>1448</v>
      </c>
      <c r="AZ8" s="21" t="s">
        <v>1449</v>
      </c>
      <c r="BA8" s="21">
        <v>8</v>
      </c>
      <c r="BB8" s="21">
        <v>0</v>
      </c>
      <c r="BG8" s="30"/>
      <c r="BP8" s="30"/>
      <c r="BU8" t="s">
        <v>594</v>
      </c>
      <c r="BV8" s="21" t="s">
        <v>595</v>
      </c>
      <c r="BW8" s="21" t="s">
        <v>1128</v>
      </c>
      <c r="BX8" s="21" t="s">
        <v>468</v>
      </c>
      <c r="BY8" s="31">
        <v>4613676</v>
      </c>
      <c r="BZ8" s="31">
        <v>4613676</v>
      </c>
      <c r="CA8" t="s">
        <v>588</v>
      </c>
      <c r="CB8" s="21" t="s">
        <v>1132</v>
      </c>
      <c r="CC8" s="21" t="s">
        <v>1133</v>
      </c>
      <c r="CD8" s="21" t="s">
        <v>1134</v>
      </c>
      <c r="CE8" s="21" t="s">
        <v>1135</v>
      </c>
      <c r="CF8" s="31">
        <v>1028304</v>
      </c>
      <c r="CG8" s="31">
        <v>1028304</v>
      </c>
      <c r="CH8" t="s">
        <v>588</v>
      </c>
      <c r="CI8" s="21" t="s">
        <v>1137</v>
      </c>
      <c r="CJ8" s="21" t="s">
        <v>1138</v>
      </c>
      <c r="CK8" s="21" t="s">
        <v>1139</v>
      </c>
      <c r="CL8" s="21" t="s">
        <v>1140</v>
      </c>
      <c r="CM8" s="31">
        <v>1004116</v>
      </c>
      <c r="CN8" s="31">
        <v>1004116</v>
      </c>
      <c r="CO8" t="s">
        <v>588</v>
      </c>
      <c r="CT8" s="31"/>
      <c r="CU8" s="31"/>
      <c r="CV8" s="31"/>
      <c r="DA8" s="31"/>
      <c r="DB8" s="31"/>
      <c r="DC8" s="31"/>
      <c r="DH8" s="31"/>
      <c r="DI8" s="31"/>
      <c r="DO8" s="31"/>
      <c r="DP8" s="31"/>
      <c r="DR8" t="s">
        <v>1450</v>
      </c>
      <c r="DS8" t="s">
        <v>1451</v>
      </c>
      <c r="DT8" t="s">
        <v>1452</v>
      </c>
      <c r="DU8" s="29" t="s">
        <v>1453</v>
      </c>
      <c r="DV8" t="s">
        <v>173</v>
      </c>
      <c r="DW8" t="s">
        <v>387</v>
      </c>
      <c r="DX8" t="s">
        <v>171</v>
      </c>
      <c r="DY8" t="s">
        <v>168</v>
      </c>
      <c r="DZ8" t="s">
        <v>169</v>
      </c>
      <c r="EA8" s="22">
        <v>43075.751620370371</v>
      </c>
      <c r="EB8" t="s">
        <v>1131</v>
      </c>
      <c r="EC8" t="s">
        <v>1454</v>
      </c>
    </row>
    <row r="9" spans="1:133">
      <c r="A9" s="30"/>
      <c r="B9" s="22">
        <v>42800.618055555555</v>
      </c>
      <c r="C9" s="22" t="s">
        <v>1123</v>
      </c>
      <c r="D9" s="30" t="s">
        <v>1124</v>
      </c>
      <c r="E9" s="30" t="s">
        <v>1125</v>
      </c>
      <c r="F9" s="30" t="s">
        <v>170</v>
      </c>
      <c r="G9" s="30" t="s">
        <v>172</v>
      </c>
      <c r="H9" t="s">
        <v>94</v>
      </c>
      <c r="I9" t="s">
        <v>1126</v>
      </c>
      <c r="J9" t="s">
        <v>596</v>
      </c>
      <c r="L9">
        <v>1</v>
      </c>
      <c r="M9" s="26">
        <v>2</v>
      </c>
      <c r="N9" t="s">
        <v>211</v>
      </c>
      <c r="Q9" s="29" t="s">
        <v>13</v>
      </c>
      <c r="R9" s="29" t="str">
        <f>IFERROR(MID(RADataTable[[#This Row],[RAtemplate]],1,LEN(RADataTable[[#This Row],[RAtemplate]])-8),"RA") &amp; " " &amp; RADataTable[[#This Row],[prop_id0]] &amp; " " &amp; RADataTable[[#This Row],[last0]]</f>
        <v>RA 1739570 Sanyal</v>
      </c>
      <c r="U9" s="21" t="str">
        <f>IF(signer1="PD",IF(ISBLANK(RADataTable[[#This Row],[sign_blck_name]]),"",RADataTable[[#This Row],[sign_blck_name]]),IF(ISBLANK(signer1),"",signer1))</f>
        <v>David Corman</v>
      </c>
      <c r="V9" s="29" t="str">
        <f>signer2</f>
        <v>Cognisant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aksanyal@syr.edu</v>
      </c>
      <c r="Y9" s="15" t="str">
        <f>HYPERLINK("mailto:"&amp;RADataTable[[#This Row],[allPIemail]]&amp;"&amp;subject=NSF Proposal:  "&amp;RADataTable[[#This Row],[Div]]&amp;" "&amp;RADataTable[[#This Row],[prop_id0]], "PIs@")</f>
        <v>PIs@</v>
      </c>
      <c r="Z9" t="s">
        <v>1127</v>
      </c>
      <c r="AA9" t="s">
        <v>615</v>
      </c>
      <c r="AB9">
        <v>4</v>
      </c>
      <c r="AC9">
        <v>4</v>
      </c>
      <c r="AD9"/>
      <c r="AE9" t="str">
        <f>IF(RADataTable[[#This Row],[maxScore]]-RADataTable[[#This Row],[minScore]]&gt;4,"Y","")</f>
        <v/>
      </c>
      <c r="AF9" s="21">
        <v>5</v>
      </c>
      <c r="AG9" s="26">
        <v>6.25</v>
      </c>
      <c r="AH9">
        <v>7</v>
      </c>
      <c r="AI9" t="s">
        <v>1144</v>
      </c>
      <c r="AJ9" s="30">
        <v>43028.50277777778</v>
      </c>
      <c r="AK9" s="13">
        <v>5940800</v>
      </c>
      <c r="AL9" s="13">
        <v>5940800</v>
      </c>
      <c r="AM9">
        <v>0</v>
      </c>
      <c r="AN9" s="30">
        <v>42979</v>
      </c>
      <c r="AO9" s="21">
        <v>48</v>
      </c>
      <c r="AP9" s="21" t="s">
        <v>1145</v>
      </c>
      <c r="AS9" s="30"/>
      <c r="AT9" t="s">
        <v>597</v>
      </c>
      <c r="AU9" s="21" t="s">
        <v>210</v>
      </c>
      <c r="AW9" s="21" t="s">
        <v>1447</v>
      </c>
      <c r="AX9" s="30">
        <v>43028</v>
      </c>
      <c r="AY9" s="21" t="s">
        <v>1455</v>
      </c>
      <c r="AZ9" s="21" t="s">
        <v>1449</v>
      </c>
      <c r="BA9" s="21">
        <v>8</v>
      </c>
      <c r="BB9" s="21">
        <v>3</v>
      </c>
      <c r="BG9" s="30"/>
      <c r="BP9" s="30"/>
      <c r="BU9" t="s">
        <v>615</v>
      </c>
      <c r="BV9" s="21" t="s">
        <v>616</v>
      </c>
      <c r="BW9" s="21" t="s">
        <v>1142</v>
      </c>
      <c r="BX9" s="21" t="s">
        <v>1143</v>
      </c>
      <c r="BY9" s="31">
        <v>2230900</v>
      </c>
      <c r="BZ9" s="31">
        <v>2230900</v>
      </c>
      <c r="CA9" t="s">
        <v>588</v>
      </c>
      <c r="CB9" s="21" t="s">
        <v>1147</v>
      </c>
      <c r="CC9" s="21" t="s">
        <v>1148</v>
      </c>
      <c r="CD9" s="21" t="s">
        <v>1149</v>
      </c>
      <c r="CE9" s="21" t="s">
        <v>358</v>
      </c>
      <c r="CF9" s="31">
        <v>800000</v>
      </c>
      <c r="CG9" s="31">
        <v>800000</v>
      </c>
      <c r="CH9" t="s">
        <v>588</v>
      </c>
      <c r="CI9" s="21" t="s">
        <v>1151</v>
      </c>
      <c r="CJ9" s="21" t="s">
        <v>576</v>
      </c>
      <c r="CK9" s="21" t="s">
        <v>467</v>
      </c>
      <c r="CL9" s="21" t="s">
        <v>1152</v>
      </c>
      <c r="CM9" s="31">
        <v>449670</v>
      </c>
      <c r="CN9" s="31">
        <v>449670</v>
      </c>
      <c r="CO9" t="s">
        <v>588</v>
      </c>
      <c r="CP9" s="21" t="s">
        <v>1154</v>
      </c>
      <c r="CQ9" s="21" t="s">
        <v>1155</v>
      </c>
      <c r="CR9" s="21" t="s">
        <v>1156</v>
      </c>
      <c r="CS9" s="21" t="s">
        <v>250</v>
      </c>
      <c r="CT9" s="31">
        <v>2000000</v>
      </c>
      <c r="CU9" s="31">
        <v>2000000</v>
      </c>
      <c r="CV9" s="31" t="s">
        <v>588</v>
      </c>
      <c r="CW9" s="21" t="s">
        <v>1159</v>
      </c>
      <c r="CX9" s="21" t="s">
        <v>1160</v>
      </c>
      <c r="CY9" s="21" t="s">
        <v>1161</v>
      </c>
      <c r="CZ9" s="21" t="s">
        <v>356</v>
      </c>
      <c r="DA9" s="31">
        <v>460230</v>
      </c>
      <c r="DB9" s="31">
        <v>460230</v>
      </c>
      <c r="DC9" s="31" t="s">
        <v>588</v>
      </c>
      <c r="DH9" s="31"/>
      <c r="DI9" s="31"/>
      <c r="DO9" s="31"/>
      <c r="DP9" s="31"/>
      <c r="DR9" t="s">
        <v>1450</v>
      </c>
      <c r="DS9" t="s">
        <v>1451</v>
      </c>
      <c r="DT9" t="s">
        <v>1452</v>
      </c>
      <c r="DU9" s="29" t="s">
        <v>1453</v>
      </c>
      <c r="DV9" t="s">
        <v>173</v>
      </c>
      <c r="DW9" t="s">
        <v>387</v>
      </c>
      <c r="DX9" t="s">
        <v>171</v>
      </c>
      <c r="DY9" t="s">
        <v>168</v>
      </c>
      <c r="DZ9" t="s">
        <v>169</v>
      </c>
      <c r="EA9" s="22">
        <v>43075.751620370371</v>
      </c>
      <c r="EB9" t="s">
        <v>1146</v>
      </c>
      <c r="EC9" t="s">
        <v>1456</v>
      </c>
    </row>
    <row r="10" spans="1:133">
      <c r="A10" s="30"/>
      <c r="B10" s="22">
        <v>42800.62222222222</v>
      </c>
      <c r="C10" s="22" t="s">
        <v>1123</v>
      </c>
      <c r="D10" s="30" t="s">
        <v>1124</v>
      </c>
      <c r="E10" s="30" t="s">
        <v>1125</v>
      </c>
      <c r="F10" s="30" t="s">
        <v>170</v>
      </c>
      <c r="G10" s="30" t="s">
        <v>172</v>
      </c>
      <c r="H10" t="s">
        <v>94</v>
      </c>
      <c r="I10" t="s">
        <v>1126</v>
      </c>
      <c r="J10" t="s">
        <v>596</v>
      </c>
      <c r="L10">
        <v>1</v>
      </c>
      <c r="M10" s="26">
        <v>2</v>
      </c>
      <c r="N10" t="s">
        <v>211</v>
      </c>
      <c r="Q10" s="29" t="s">
        <v>13</v>
      </c>
      <c r="R10" s="29" t="str">
        <f>IFERROR(MID(RADataTable[[#This Row],[RAtemplate]],1,LEN(RADataTable[[#This Row],[RAtemplate]])-8),"RA") &amp; " " &amp; RADataTable[[#This Row],[prop_id0]] &amp; " " &amp; RADataTable[[#This Row],[last0]]</f>
        <v>RA 1739586 Lee</v>
      </c>
      <c r="U10" s="21" t="str">
        <f>IF(signer1="PD",IF(ISBLANK(RADataTable[[#This Row],[sign_blck_name]]),"",RADataTable[[#This Row],[sign_blck_name]]),IF(ISBLANK(signer1),"",signer1))</f>
        <v>David Corman</v>
      </c>
      <c r="V10" s="29" t="str">
        <f>signer2</f>
        <v>Cognisant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lee@cis.upenn.edu</v>
      </c>
      <c r="Y10" s="15" t="str">
        <f>HYPERLINK("mailto:"&amp;RADataTable[[#This Row],[allPIemail]]&amp;"&amp;subject=NSF Proposal:  "&amp;RADataTable[[#This Row],[Div]]&amp;" "&amp;RADataTable[[#This Row],[prop_id0]], "PIs@")</f>
        <v>PIs@</v>
      </c>
      <c r="Z10" t="s">
        <v>1127</v>
      </c>
      <c r="AA10" t="s">
        <v>632</v>
      </c>
      <c r="AB10">
        <v>4</v>
      </c>
      <c r="AC10">
        <v>4</v>
      </c>
      <c r="AD10"/>
      <c r="AE10" t="str">
        <f>IF(RADataTable[[#This Row],[maxScore]]-RADataTable[[#This Row],[minScore]]&gt;4,"Y","")</f>
        <v/>
      </c>
      <c r="AF10" s="21">
        <v>6</v>
      </c>
      <c r="AG10" s="26">
        <v>6.75</v>
      </c>
      <c r="AH10">
        <v>8</v>
      </c>
      <c r="AI10" t="s">
        <v>360</v>
      </c>
      <c r="AJ10" s="30">
        <v>43028.5</v>
      </c>
      <c r="AK10" s="13">
        <v>6882281</v>
      </c>
      <c r="AL10" s="13">
        <v>6882281</v>
      </c>
      <c r="AM10">
        <v>0</v>
      </c>
      <c r="AN10" s="30">
        <v>42979</v>
      </c>
      <c r="AO10" s="21">
        <v>60</v>
      </c>
      <c r="AP10" s="21" t="s">
        <v>1166</v>
      </c>
      <c r="AS10" s="30"/>
      <c r="AT10" t="s">
        <v>597</v>
      </c>
      <c r="AU10" s="21" t="s">
        <v>210</v>
      </c>
      <c r="AW10" s="21" t="s">
        <v>1447</v>
      </c>
      <c r="AX10" s="30">
        <v>43028</v>
      </c>
      <c r="AY10" s="21" t="s">
        <v>390</v>
      </c>
      <c r="AZ10" s="21" t="s">
        <v>1449</v>
      </c>
      <c r="BA10" s="21">
        <v>8</v>
      </c>
      <c r="BB10" s="21">
        <v>2</v>
      </c>
      <c r="BG10" s="30"/>
      <c r="BP10" s="30"/>
      <c r="BU10" t="s">
        <v>632</v>
      </c>
      <c r="BV10" s="21" t="s">
        <v>349</v>
      </c>
      <c r="BW10" s="21" t="s">
        <v>1164</v>
      </c>
      <c r="BX10" s="21" t="s">
        <v>1165</v>
      </c>
      <c r="BY10" s="31">
        <v>4667281</v>
      </c>
      <c r="BZ10" s="31">
        <v>4667281</v>
      </c>
      <c r="CB10" s="21" t="s">
        <v>1168</v>
      </c>
      <c r="CC10" s="21" t="s">
        <v>1169</v>
      </c>
      <c r="CD10" s="21" t="s">
        <v>1170</v>
      </c>
      <c r="CE10" s="21" t="s">
        <v>358</v>
      </c>
      <c r="CF10" s="31">
        <v>1000000</v>
      </c>
      <c r="CG10" s="31">
        <v>1000000</v>
      </c>
      <c r="CI10" s="21" t="s">
        <v>1172</v>
      </c>
      <c r="CJ10" s="21" t="s">
        <v>704</v>
      </c>
      <c r="CK10" s="21" t="s">
        <v>1173</v>
      </c>
      <c r="CL10" s="21" t="s">
        <v>475</v>
      </c>
      <c r="CM10" s="31">
        <v>765000</v>
      </c>
      <c r="CN10" s="31">
        <v>765000</v>
      </c>
      <c r="CP10" s="21" t="s">
        <v>1175</v>
      </c>
      <c r="CQ10" s="21" t="s">
        <v>1176</v>
      </c>
      <c r="CR10" s="21" t="s">
        <v>1177</v>
      </c>
      <c r="CS10" s="21" t="s">
        <v>476</v>
      </c>
      <c r="CT10" s="31">
        <v>450000</v>
      </c>
      <c r="CU10" s="31">
        <v>450000</v>
      </c>
      <c r="CV10" s="31"/>
      <c r="DA10" s="31"/>
      <c r="DB10" s="31"/>
      <c r="DC10" s="31"/>
      <c r="DH10" s="31"/>
      <c r="DI10" s="31"/>
      <c r="DO10" s="31"/>
      <c r="DP10" s="31"/>
      <c r="DR10" t="s">
        <v>1450</v>
      </c>
      <c r="DS10" t="s">
        <v>1451</v>
      </c>
      <c r="DT10" t="s">
        <v>1452</v>
      </c>
      <c r="DU10" s="29" t="s">
        <v>1453</v>
      </c>
      <c r="DV10" t="s">
        <v>173</v>
      </c>
      <c r="DW10" t="s">
        <v>387</v>
      </c>
      <c r="DX10" t="s">
        <v>171</v>
      </c>
      <c r="DY10" t="s">
        <v>168</v>
      </c>
      <c r="DZ10" t="s">
        <v>169</v>
      </c>
      <c r="EA10" s="22">
        <v>43075.751620370371</v>
      </c>
      <c r="EB10" t="s">
        <v>1167</v>
      </c>
      <c r="EC10" t="s">
        <v>1457</v>
      </c>
    </row>
    <row r="11" spans="1:133">
      <c r="A11" s="30"/>
      <c r="B11" s="22">
        <v>42970.536111111112</v>
      </c>
      <c r="C11" s="22" t="s">
        <v>1376</v>
      </c>
      <c r="D11" s="30" t="s">
        <v>1124</v>
      </c>
      <c r="E11" s="30" t="s">
        <v>1377</v>
      </c>
      <c r="F11" s="30" t="s">
        <v>1393</v>
      </c>
      <c r="G11" s="30" t="s">
        <v>172</v>
      </c>
      <c r="H11" t="s">
        <v>94</v>
      </c>
      <c r="I11" t="s">
        <v>1378</v>
      </c>
      <c r="J11" t="s">
        <v>705</v>
      </c>
      <c r="L11">
        <v>1</v>
      </c>
      <c r="M11" s="26">
        <v>2</v>
      </c>
      <c r="N11" t="s">
        <v>211</v>
      </c>
      <c r="Q11" s="29" t="s">
        <v>13</v>
      </c>
      <c r="R11" s="29" t="str">
        <f>IFERROR(MID(RADataTable[[#This Row],[RAtemplate]],1,LEN(RADataTable[[#This Row],[RAtemplate]])-8),"RA") &amp; " " &amp; RADataTable[[#This Row],[prop_id0]] &amp; " " &amp; RADataTable[[#This Row],[last0]]</f>
        <v>RA 1757632 Holder</v>
      </c>
      <c r="U11" s="21" t="str">
        <f>IF(signer1="PD",IF(ISBLANK(RADataTable[[#This Row],[sign_blck_name]]),"",RADataTable[[#This Row],[sign_blck_name]]),IF(ISBLANK(signer1),"",signer1))</f>
        <v>Jonathan Sprinkle</v>
      </c>
      <c r="V11" s="29" t="str">
        <f>signer2</f>
        <v>Cognisant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holder@eecs.wsu.edu</v>
      </c>
      <c r="Y11" s="15" t="str">
        <f>HYPERLINK("mailto:"&amp;RADataTable[[#This Row],[allPIemail]]&amp;"&amp;subject=NSF Proposal:  "&amp;RADataTable[[#This Row],[Div]]&amp;" "&amp;RADataTable[[#This Row],[prop_id0]], "PIs@")</f>
        <v>PIs@</v>
      </c>
      <c r="Z11" t="s">
        <v>1127</v>
      </c>
      <c r="AA11" t="s">
        <v>1028</v>
      </c>
      <c r="AB11">
        <v>4</v>
      </c>
      <c r="AC11">
        <v>4</v>
      </c>
      <c r="AD11"/>
      <c r="AE11" t="str">
        <f>IF(RADataTable[[#This Row],[maxScore]]-RADataTable[[#This Row],[minScore]]&gt;4,"Y","")</f>
        <v>Y</v>
      </c>
      <c r="AF11" s="21">
        <v>4</v>
      </c>
      <c r="AG11" s="26">
        <v>6.75</v>
      </c>
      <c r="AH11">
        <v>9</v>
      </c>
      <c r="AI11" t="s">
        <v>1395</v>
      </c>
      <c r="AJ11" s="30">
        <v>43033.994444444441</v>
      </c>
      <c r="AK11" s="13">
        <v>410400</v>
      </c>
      <c r="AL11" s="13">
        <v>410400</v>
      </c>
      <c r="AM11">
        <v>0</v>
      </c>
      <c r="AN11" s="30">
        <v>43160</v>
      </c>
      <c r="AO11" s="21">
        <v>36</v>
      </c>
      <c r="AP11" s="21" t="s">
        <v>1396</v>
      </c>
      <c r="AS11" s="30"/>
      <c r="AT11" t="s">
        <v>998</v>
      </c>
      <c r="AU11" s="21" t="s">
        <v>210</v>
      </c>
      <c r="AW11" s="21" t="s">
        <v>1528</v>
      </c>
      <c r="AX11" s="30">
        <v>43035</v>
      </c>
      <c r="AY11" s="21" t="s">
        <v>1536</v>
      </c>
      <c r="AZ11" s="21" t="s">
        <v>1529</v>
      </c>
      <c r="BA11" s="21">
        <v>8</v>
      </c>
      <c r="BB11" s="21">
        <v>0</v>
      </c>
      <c r="BG11" s="30"/>
      <c r="BP11" s="30"/>
      <c r="BU11" t="s">
        <v>1028</v>
      </c>
      <c r="BV11" s="21" t="s">
        <v>1029</v>
      </c>
      <c r="BW11" s="21" t="s">
        <v>1394</v>
      </c>
      <c r="BX11" s="21" t="s">
        <v>1227</v>
      </c>
      <c r="BY11" s="31">
        <v>410400</v>
      </c>
      <c r="BZ11" s="31">
        <v>410400</v>
      </c>
      <c r="CA11" t="s">
        <v>592</v>
      </c>
      <c r="CF11" s="31"/>
      <c r="CG11" s="31"/>
      <c r="CM11" s="31"/>
      <c r="CN11" s="31"/>
      <c r="CT11" s="31"/>
      <c r="CU11" s="31"/>
      <c r="CV11" s="31"/>
      <c r="DA11" s="31"/>
      <c r="DB11" s="31"/>
      <c r="DC11" s="31"/>
      <c r="DH11" s="31"/>
      <c r="DI11" s="31"/>
      <c r="DO11" s="31"/>
      <c r="DP11" s="31"/>
      <c r="DR11" t="s">
        <v>1530</v>
      </c>
      <c r="DS11" t="s">
        <v>1451</v>
      </c>
      <c r="DT11" t="s">
        <v>1531</v>
      </c>
      <c r="DU11" s="29" t="s">
        <v>1504</v>
      </c>
      <c r="DV11" t="s">
        <v>173</v>
      </c>
      <c r="DW11" t="s">
        <v>1537</v>
      </c>
      <c r="DX11" t="s">
        <v>171</v>
      </c>
      <c r="DY11" t="s">
        <v>168</v>
      </c>
      <c r="DZ11" t="s">
        <v>169</v>
      </c>
      <c r="EA11" s="22">
        <v>43075.751620370371</v>
      </c>
      <c r="EB11" t="s">
        <v>1397</v>
      </c>
      <c r="EC11" t="s">
        <v>1538</v>
      </c>
    </row>
    <row r="12" spans="1:133">
      <c r="A12" s="30"/>
      <c r="B12" s="22">
        <v>42970.652083333334</v>
      </c>
      <c r="C12" s="22" t="s">
        <v>1376</v>
      </c>
      <c r="D12" s="30" t="s">
        <v>1124</v>
      </c>
      <c r="E12" s="30" t="s">
        <v>1377</v>
      </c>
      <c r="F12" s="30" t="s">
        <v>170</v>
      </c>
      <c r="G12" s="30" t="s">
        <v>172</v>
      </c>
      <c r="H12" t="s">
        <v>94</v>
      </c>
      <c r="I12" t="s">
        <v>1378</v>
      </c>
      <c r="J12" t="s">
        <v>705</v>
      </c>
      <c r="L12">
        <v>1</v>
      </c>
      <c r="M12" s="26">
        <v>2</v>
      </c>
      <c r="N12" t="s">
        <v>211</v>
      </c>
      <c r="Q12" s="29" t="s">
        <v>13</v>
      </c>
      <c r="R12" s="29" t="str">
        <f>IFERROR(MID(RADataTable[[#This Row],[RAtemplate]],1,LEN(RADataTable[[#This Row],[RAtemplate]])-8),"RA") &amp; " " &amp; RADataTable[[#This Row],[prop_id0]] &amp; " " &amp; RADataTable[[#This Row],[last0]]</f>
        <v>RA 1757787 Davison</v>
      </c>
      <c r="U12" s="21" t="str">
        <f>IF(signer1="PD",IF(ISBLANK(RADataTable[[#This Row],[sign_blck_name]]),"",RADataTable[[#This Row],[sign_blck_name]]),IF(ISBLANK(signer1),"",signer1))</f>
        <v>Jonathan Sprinkle</v>
      </c>
      <c r="V12" s="29" t="str">
        <f>signer2</f>
        <v>Cognisant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brian@cse.lehigh.edu</v>
      </c>
      <c r="Y12" s="15" t="str">
        <f>HYPERLINK("mailto:"&amp;RADataTable[[#This Row],[allPIemail]]&amp;"&amp;subject=NSF Proposal:  "&amp;RADataTable[[#This Row],[Div]]&amp;" "&amp;RADataTable[[#This Row],[prop_id0]], "PIs@")</f>
        <v>PIs@</v>
      </c>
      <c r="Z12" t="s">
        <v>1127</v>
      </c>
      <c r="AA12" t="s">
        <v>1043</v>
      </c>
      <c r="AB12">
        <v>5</v>
      </c>
      <c r="AC12">
        <v>5</v>
      </c>
      <c r="AD12"/>
      <c r="AE12" t="str">
        <f>IF(RADataTable[[#This Row],[maxScore]]-RADataTable[[#This Row],[minScore]]&gt;4,"Y","")</f>
        <v/>
      </c>
      <c r="AF12" s="21">
        <v>4</v>
      </c>
      <c r="AG12" s="26">
        <v>5.6</v>
      </c>
      <c r="AH12">
        <v>7</v>
      </c>
      <c r="AI12" t="s">
        <v>1403</v>
      </c>
      <c r="AJ12" s="30">
        <v>43035.36041666667</v>
      </c>
      <c r="AK12" s="13">
        <v>359969</v>
      </c>
      <c r="AL12" s="13">
        <v>359969</v>
      </c>
      <c r="AM12">
        <v>0</v>
      </c>
      <c r="AN12" s="30">
        <v>43221</v>
      </c>
      <c r="AO12" s="21">
        <v>36</v>
      </c>
      <c r="AP12" s="21" t="s">
        <v>1404</v>
      </c>
      <c r="AS12" s="30"/>
      <c r="AT12" t="s">
        <v>998</v>
      </c>
      <c r="AU12" s="21" t="s">
        <v>210</v>
      </c>
      <c r="AW12" s="21" t="s">
        <v>1528</v>
      </c>
      <c r="AX12" s="30">
        <v>43035</v>
      </c>
      <c r="AY12" s="21" t="s">
        <v>1541</v>
      </c>
      <c r="AZ12" s="21" t="s">
        <v>1529</v>
      </c>
      <c r="BA12" s="21">
        <v>8</v>
      </c>
      <c r="BB12" s="21">
        <v>0</v>
      </c>
      <c r="BG12" s="30"/>
      <c r="BP12" s="30"/>
      <c r="BU12" t="s">
        <v>1043</v>
      </c>
      <c r="BV12" s="21" t="s">
        <v>469</v>
      </c>
      <c r="BW12" s="21" t="s">
        <v>470</v>
      </c>
      <c r="BX12" s="21" t="s">
        <v>471</v>
      </c>
      <c r="BY12" s="31">
        <v>359969</v>
      </c>
      <c r="BZ12" s="31">
        <v>359969</v>
      </c>
      <c r="CA12" t="s">
        <v>592</v>
      </c>
      <c r="CF12" s="31"/>
      <c r="CG12" s="31"/>
      <c r="CM12" s="31"/>
      <c r="CN12" s="31"/>
      <c r="CT12" s="31"/>
      <c r="CU12" s="31"/>
      <c r="CV12" s="31"/>
      <c r="DA12" s="31"/>
      <c r="DB12" s="31"/>
      <c r="DC12" s="31"/>
      <c r="DH12" s="31"/>
      <c r="DI12" s="31"/>
      <c r="DO12" s="31"/>
      <c r="DP12" s="31"/>
      <c r="DR12" t="s">
        <v>1530</v>
      </c>
      <c r="DS12" t="s">
        <v>1451</v>
      </c>
      <c r="DT12" t="s">
        <v>1531</v>
      </c>
      <c r="DU12" s="29" t="s">
        <v>1504</v>
      </c>
      <c r="DV12" t="s">
        <v>173</v>
      </c>
      <c r="DW12" t="s">
        <v>387</v>
      </c>
      <c r="DX12" t="s">
        <v>171</v>
      </c>
      <c r="DY12" t="s">
        <v>168</v>
      </c>
      <c r="DZ12" t="s">
        <v>169</v>
      </c>
      <c r="EA12" s="22">
        <v>43075.751620370371</v>
      </c>
      <c r="EB12" t="s">
        <v>472</v>
      </c>
      <c r="EC12" t="s">
        <v>491</v>
      </c>
    </row>
    <row r="13" spans="1:133">
      <c r="A13" s="30"/>
      <c r="B13" s="22">
        <v>42970.698611111111</v>
      </c>
      <c r="C13" s="22" t="s">
        <v>1376</v>
      </c>
      <c r="D13" s="30" t="s">
        <v>1124</v>
      </c>
      <c r="E13" s="30" t="s">
        <v>1377</v>
      </c>
      <c r="F13" s="30" t="s">
        <v>170</v>
      </c>
      <c r="G13" s="30" t="s">
        <v>172</v>
      </c>
      <c r="H13" t="s">
        <v>94</v>
      </c>
      <c r="I13" t="s">
        <v>1378</v>
      </c>
      <c r="J13" t="s">
        <v>705</v>
      </c>
      <c r="L13">
        <v>1</v>
      </c>
      <c r="M13" s="26">
        <v>2</v>
      </c>
      <c r="N13" t="s">
        <v>211</v>
      </c>
      <c r="Q13" s="29" t="s">
        <v>13</v>
      </c>
      <c r="R13" s="29" t="str">
        <f>IFERROR(MID(RADataTable[[#This Row],[RAtemplate]],1,LEN(RADataTable[[#This Row],[RAtemplate]])-8),"RA") &amp; " " &amp; RADataTable[[#This Row],[prop_id0]] &amp; " " &amp; RADataTable[[#This Row],[last0]]</f>
        <v>RA 1757908 Elbaum</v>
      </c>
      <c r="U13" s="21" t="str">
        <f>IF(signer1="PD",IF(ISBLANK(RADataTable[[#This Row],[sign_blck_name]]),"",RADataTable[[#This Row],[sign_blck_name]]),IF(ISBLANK(signer1),"",signer1))</f>
        <v>Jonathan Sprinkle</v>
      </c>
      <c r="V13" s="29" t="str">
        <f>signer2</f>
        <v>Cognisant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elbaum@cse.unl.edu</v>
      </c>
      <c r="Y13" s="15" t="str">
        <f>HYPERLINK("mailto:"&amp;RADataTable[[#This Row],[allPIemail]]&amp;"&amp;subject=NSF Proposal:  "&amp;RADataTable[[#This Row],[Div]]&amp;" "&amp;RADataTable[[#This Row],[prop_id0]], "PIs@")</f>
        <v>PIs@</v>
      </c>
      <c r="Z13" t="s">
        <v>1127</v>
      </c>
      <c r="AA13" t="s">
        <v>1083</v>
      </c>
      <c r="AB13">
        <v>4</v>
      </c>
      <c r="AC13">
        <v>4</v>
      </c>
      <c r="AD13"/>
      <c r="AE13" t="str">
        <f>IF(RADataTable[[#This Row],[maxScore]]-RADataTable[[#This Row],[minScore]]&gt;4,"Y","")</f>
        <v/>
      </c>
      <c r="AF13" s="21">
        <v>5</v>
      </c>
      <c r="AG13" s="26">
        <v>6.5</v>
      </c>
      <c r="AH13">
        <v>7</v>
      </c>
      <c r="AI13" t="s">
        <v>350</v>
      </c>
      <c r="AJ13" s="30">
        <v>43034.679166666669</v>
      </c>
      <c r="AK13" s="13">
        <v>344650</v>
      </c>
      <c r="AL13" s="13">
        <v>344650</v>
      </c>
      <c r="AM13">
        <v>0</v>
      </c>
      <c r="AN13" s="30">
        <v>43160</v>
      </c>
      <c r="AO13" s="21">
        <v>36</v>
      </c>
      <c r="AP13" s="21" t="s">
        <v>1426</v>
      </c>
      <c r="AS13" s="30"/>
      <c r="AT13" t="s">
        <v>998</v>
      </c>
      <c r="AU13" s="21" t="s">
        <v>210</v>
      </c>
      <c r="AW13" s="21" t="s">
        <v>1528</v>
      </c>
      <c r="AX13" s="30">
        <v>43035</v>
      </c>
      <c r="AY13" s="21" t="s">
        <v>388</v>
      </c>
      <c r="AZ13" s="21" t="s">
        <v>1529</v>
      </c>
      <c r="BA13" s="21">
        <v>8</v>
      </c>
      <c r="BB13" s="21">
        <v>0</v>
      </c>
      <c r="BG13" s="30"/>
      <c r="BP13" s="30"/>
      <c r="BU13" t="s">
        <v>1083</v>
      </c>
      <c r="BV13" s="21" t="s">
        <v>1084</v>
      </c>
      <c r="BW13" s="21" t="s">
        <v>1425</v>
      </c>
      <c r="BX13" s="21" t="s">
        <v>569</v>
      </c>
      <c r="BY13" s="31">
        <v>344650</v>
      </c>
      <c r="BZ13" s="31">
        <v>344650</v>
      </c>
      <c r="CA13" t="s">
        <v>1424</v>
      </c>
      <c r="CF13" s="31"/>
      <c r="CG13" s="31"/>
      <c r="CM13" s="31"/>
      <c r="CN13" s="31"/>
      <c r="CT13" s="31"/>
      <c r="CU13" s="31"/>
      <c r="CV13" s="31"/>
      <c r="DA13" s="31"/>
      <c r="DB13" s="31"/>
      <c r="DC13" s="31"/>
      <c r="DH13" s="31"/>
      <c r="DI13" s="31"/>
      <c r="DO13" s="31"/>
      <c r="DP13" s="31"/>
      <c r="DR13" t="s">
        <v>1530</v>
      </c>
      <c r="DS13" t="s">
        <v>1451</v>
      </c>
      <c r="DT13" t="s">
        <v>1531</v>
      </c>
      <c r="DU13" s="29" t="s">
        <v>1504</v>
      </c>
      <c r="DV13" t="s">
        <v>173</v>
      </c>
      <c r="DW13" t="s">
        <v>387</v>
      </c>
      <c r="DX13" t="s">
        <v>171</v>
      </c>
      <c r="DY13" t="s">
        <v>168</v>
      </c>
      <c r="DZ13" t="s">
        <v>169</v>
      </c>
      <c r="EA13" s="22">
        <v>43075.751620370371</v>
      </c>
      <c r="EB13" t="s">
        <v>1427</v>
      </c>
      <c r="EC13" t="s">
        <v>1550</v>
      </c>
    </row>
    <row r="14" spans="1:133">
      <c r="A14" s="30"/>
      <c r="B14" s="22">
        <v>42935.324999999997</v>
      </c>
      <c r="C14" s="22" t="s">
        <v>248</v>
      </c>
      <c r="D14" s="30" t="s">
        <v>1124</v>
      </c>
      <c r="E14" s="30" t="s">
        <v>1125</v>
      </c>
      <c r="F14" s="30" t="s">
        <v>170</v>
      </c>
      <c r="G14" s="30" t="s">
        <v>172</v>
      </c>
      <c r="H14" t="s">
        <v>94</v>
      </c>
      <c r="I14" t="s">
        <v>1271</v>
      </c>
      <c r="J14" t="s">
        <v>596</v>
      </c>
      <c r="L14">
        <v>1</v>
      </c>
      <c r="M14" s="26">
        <v>2.02</v>
      </c>
      <c r="N14" t="s">
        <v>211</v>
      </c>
      <c r="Q14" s="29" t="s">
        <v>13</v>
      </c>
      <c r="R14" s="29" t="str">
        <f>IFERROR(MID(RADataTable[[#This Row],[RAtemplate]],1,LEN(RADataTable[[#This Row],[RAtemplate]])-8),"RA") &amp; " " &amp; RADataTable[[#This Row],[prop_id0]] &amp; " " &amp; RADataTable[[#This Row],[last0]]</f>
        <v>RA 1750102 Frias-Martinez</v>
      </c>
      <c r="U14" s="21" t="str">
        <f>IF(signer1="PD",IF(ISBLANK(RADataTable[[#This Row],[sign_blck_name]]),"",RADataTable[[#This Row],[sign_blck_name]]),IF(ISBLANK(signer1),"",signer1))</f>
        <v>David Corman</v>
      </c>
      <c r="V14" s="29" t="str">
        <f>signer2</f>
        <v>Cognisant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vfrias@umd.edu</v>
      </c>
      <c r="Y14" s="15" t="str">
        <f>HYPERLINK("mailto:"&amp;RADataTable[[#This Row],[allPIemail]]&amp;"&amp;subject=NSF Proposal:  "&amp;RADataTable[[#This Row],[Div]]&amp;" "&amp;RADataTable[[#This Row],[prop_id0]], "PIs@")</f>
        <v>PIs@</v>
      </c>
      <c r="Z14" t="s">
        <v>1127</v>
      </c>
      <c r="AA14" t="s">
        <v>741</v>
      </c>
      <c r="AB14">
        <v>4</v>
      </c>
      <c r="AC14">
        <v>4</v>
      </c>
      <c r="AD14"/>
      <c r="AE14" t="str">
        <f>IF(RADataTable[[#This Row],[maxScore]]-RADataTable[[#This Row],[minScore]]&gt;4,"Y","")</f>
        <v/>
      </c>
      <c r="AF14" s="21">
        <v>5</v>
      </c>
      <c r="AG14" s="26">
        <v>6</v>
      </c>
      <c r="AH14">
        <v>8</v>
      </c>
      <c r="AI14" t="s">
        <v>1280</v>
      </c>
      <c r="AJ14" s="30">
        <v>43042.363888888889</v>
      </c>
      <c r="AK14" s="13">
        <v>634696</v>
      </c>
      <c r="AL14" s="13">
        <v>634696</v>
      </c>
      <c r="AM14">
        <v>0</v>
      </c>
      <c r="AN14" s="30">
        <v>43344</v>
      </c>
      <c r="AO14" s="21">
        <v>60</v>
      </c>
      <c r="AP14" s="21" t="s">
        <v>1281</v>
      </c>
      <c r="AS14" s="30"/>
      <c r="AT14" t="s">
        <v>706</v>
      </c>
      <c r="AU14" s="21" t="s">
        <v>210</v>
      </c>
      <c r="AV14" s="21">
        <v>2</v>
      </c>
      <c r="AW14" s="21" t="s">
        <v>1472</v>
      </c>
      <c r="AX14" s="30">
        <v>43042</v>
      </c>
      <c r="AY14" s="21" t="s">
        <v>1477</v>
      </c>
      <c r="AZ14" s="21" t="s">
        <v>1474</v>
      </c>
      <c r="BA14" s="21">
        <v>13</v>
      </c>
      <c r="BB14" s="21">
        <v>0</v>
      </c>
      <c r="BG14" s="30"/>
      <c r="BP14" s="30"/>
      <c r="BU14" t="s">
        <v>741</v>
      </c>
      <c r="BV14" s="21" t="s">
        <v>742</v>
      </c>
      <c r="BW14" s="21" t="s">
        <v>1279</v>
      </c>
      <c r="BX14" s="21" t="s">
        <v>475</v>
      </c>
      <c r="BY14" s="31">
        <v>634696</v>
      </c>
      <c r="BZ14" s="31">
        <v>634696</v>
      </c>
      <c r="CA14" t="s">
        <v>256</v>
      </c>
      <c r="CF14" s="31"/>
      <c r="CG14" s="31"/>
      <c r="CM14" s="31"/>
      <c r="CN14" s="31"/>
      <c r="CT14" s="31"/>
      <c r="CU14" s="31"/>
      <c r="CV14" s="31"/>
      <c r="DA14" s="31"/>
      <c r="DB14" s="31"/>
      <c r="DC14" s="31"/>
      <c r="DH14" s="31"/>
      <c r="DI14" s="31"/>
      <c r="DO14" s="31"/>
      <c r="DP14" s="31"/>
      <c r="DR14" t="s">
        <v>252</v>
      </c>
      <c r="DS14" t="s">
        <v>1451</v>
      </c>
      <c r="DT14" t="s">
        <v>1452</v>
      </c>
      <c r="DU14" s="29" t="s">
        <v>1453</v>
      </c>
      <c r="DV14" t="s">
        <v>173</v>
      </c>
      <c r="DW14" t="s">
        <v>387</v>
      </c>
      <c r="DX14" t="s">
        <v>171</v>
      </c>
      <c r="DY14" t="s">
        <v>168</v>
      </c>
      <c r="DZ14" t="s">
        <v>169</v>
      </c>
      <c r="EA14" s="22">
        <v>43075.751620370371</v>
      </c>
      <c r="EB14" t="s">
        <v>1282</v>
      </c>
      <c r="EC14" t="s">
        <v>1478</v>
      </c>
    </row>
    <row r="15" spans="1:133">
      <c r="A15" s="30"/>
      <c r="B15" s="22">
        <v>42935.634722222225</v>
      </c>
      <c r="C15" s="22" t="s">
        <v>248</v>
      </c>
      <c r="D15" s="30" t="s">
        <v>1124</v>
      </c>
      <c r="E15" s="30" t="s">
        <v>1125</v>
      </c>
      <c r="F15" s="30" t="s">
        <v>170</v>
      </c>
      <c r="G15" s="30" t="s">
        <v>172</v>
      </c>
      <c r="H15" t="s">
        <v>94</v>
      </c>
      <c r="I15" t="s">
        <v>1271</v>
      </c>
      <c r="J15" t="s">
        <v>596</v>
      </c>
      <c r="L15">
        <v>1</v>
      </c>
      <c r="M15" s="26">
        <v>2.0299999999999998</v>
      </c>
      <c r="N15" t="s">
        <v>211</v>
      </c>
      <c r="Q15" s="29" t="s">
        <v>13</v>
      </c>
      <c r="R15" s="29" t="str">
        <f>IFERROR(MID(RADataTable[[#This Row],[RAtemplate]],1,LEN(RADataTable[[#This Row],[RAtemplate]])-8),"RA") &amp; " " &amp; RADataTable[[#This Row],[prop_id0]] &amp; " " &amp; RADataTable[[#This Row],[last0]]</f>
        <v>RA 1750789 Vamvoudakis</v>
      </c>
      <c r="U15" s="21" t="str">
        <f>IF(signer1="PD",IF(ISBLANK(RADataTable[[#This Row],[sign_blck_name]]),"",RADataTable[[#This Row],[sign_blck_name]]),IF(ISBLANK(signer1),"",signer1))</f>
        <v>David Corman</v>
      </c>
      <c r="V15" s="29" t="str">
        <f>signer2</f>
        <v>Cognisant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kyriakos@vt.edu</v>
      </c>
      <c r="Y15" s="15" t="str">
        <f>HYPERLINK("mailto:"&amp;RADataTable[[#This Row],[allPIemail]]&amp;"&amp;subject=NSF Proposal:  "&amp;RADataTable[[#This Row],[Div]]&amp;" "&amp;RADataTable[[#This Row],[prop_id0]], "PIs@")</f>
        <v>PIs@</v>
      </c>
      <c r="Z15" t="s">
        <v>1127</v>
      </c>
      <c r="AA15" t="s">
        <v>852</v>
      </c>
      <c r="AB15">
        <v>4</v>
      </c>
      <c r="AC15">
        <v>4</v>
      </c>
      <c r="AD15"/>
      <c r="AE15" t="str">
        <f>IF(RADataTable[[#This Row],[maxScore]]-RADataTable[[#This Row],[minScore]]&gt;4,"Y","")</f>
        <v/>
      </c>
      <c r="AF15" s="21">
        <v>5</v>
      </c>
      <c r="AG15" s="26">
        <v>6.25</v>
      </c>
      <c r="AH15">
        <v>8</v>
      </c>
      <c r="AI15" t="s">
        <v>1320</v>
      </c>
      <c r="AJ15" s="30">
        <v>43041.695833333331</v>
      </c>
      <c r="AK15" s="13">
        <v>645910</v>
      </c>
      <c r="AL15" s="13">
        <v>645910</v>
      </c>
      <c r="AM15">
        <v>0</v>
      </c>
      <c r="AN15" s="30">
        <v>43101</v>
      </c>
      <c r="AO15" s="21">
        <v>60</v>
      </c>
      <c r="AP15" s="21" t="s">
        <v>1321</v>
      </c>
      <c r="AS15" s="30"/>
      <c r="AT15" t="s">
        <v>706</v>
      </c>
      <c r="AU15" s="21" t="s">
        <v>210</v>
      </c>
      <c r="AV15" s="21">
        <v>3</v>
      </c>
      <c r="AW15" s="21" t="s">
        <v>1472</v>
      </c>
      <c r="AX15" s="30">
        <v>43042</v>
      </c>
      <c r="AY15" s="21" t="s">
        <v>1498</v>
      </c>
      <c r="AZ15" s="21" t="s">
        <v>1474</v>
      </c>
      <c r="BA15" s="21">
        <v>13</v>
      </c>
      <c r="BB15" s="21">
        <v>1</v>
      </c>
      <c r="BG15" s="30"/>
      <c r="BP15" s="30"/>
      <c r="BU15" t="s">
        <v>852</v>
      </c>
      <c r="BV15" s="21" t="s">
        <v>853</v>
      </c>
      <c r="BW15" s="21" t="s">
        <v>1319</v>
      </c>
      <c r="BX15" s="21" t="s">
        <v>361</v>
      </c>
      <c r="BY15" s="31">
        <v>645910</v>
      </c>
      <c r="BZ15" s="31">
        <v>645910</v>
      </c>
      <c r="CA15" t="s">
        <v>256</v>
      </c>
      <c r="CF15" s="31"/>
      <c r="CG15" s="31"/>
      <c r="CM15" s="31"/>
      <c r="CN15" s="31"/>
      <c r="CT15" s="31"/>
      <c r="CU15" s="31"/>
      <c r="CV15" s="31"/>
      <c r="DA15" s="31"/>
      <c r="DB15" s="31"/>
      <c r="DC15" s="31"/>
      <c r="DH15" s="31"/>
      <c r="DI15" s="31"/>
      <c r="DO15" s="31"/>
      <c r="DP15" s="31"/>
      <c r="DR15" t="s">
        <v>252</v>
      </c>
      <c r="DS15" t="s">
        <v>1451</v>
      </c>
      <c r="DT15" t="s">
        <v>1452</v>
      </c>
      <c r="DU15" s="29" t="s">
        <v>1453</v>
      </c>
      <c r="DV15" t="s">
        <v>173</v>
      </c>
      <c r="DW15" t="s">
        <v>387</v>
      </c>
      <c r="DX15" t="s">
        <v>171</v>
      </c>
      <c r="DY15" t="s">
        <v>168</v>
      </c>
      <c r="DZ15" t="s">
        <v>169</v>
      </c>
      <c r="EA15" s="22">
        <v>43075.751620370371</v>
      </c>
      <c r="EB15" t="s">
        <v>1322</v>
      </c>
      <c r="EC15" t="s">
        <v>1499</v>
      </c>
    </row>
    <row r="16" spans="1:133">
      <c r="A16" s="30"/>
      <c r="B16" s="22">
        <v>42935.570138888892</v>
      </c>
      <c r="C16" s="22" t="s">
        <v>248</v>
      </c>
      <c r="D16" s="30" t="s">
        <v>1124</v>
      </c>
      <c r="E16" s="30" t="s">
        <v>1125</v>
      </c>
      <c r="F16" s="30" t="s">
        <v>170</v>
      </c>
      <c r="G16" s="30" t="s">
        <v>172</v>
      </c>
      <c r="H16" t="s">
        <v>94</v>
      </c>
      <c r="I16" t="s">
        <v>1271</v>
      </c>
      <c r="J16" t="s">
        <v>596</v>
      </c>
      <c r="L16">
        <v>1</v>
      </c>
      <c r="M16" s="26">
        <v>2.04</v>
      </c>
      <c r="N16" t="s">
        <v>211</v>
      </c>
      <c r="Q16" s="29" t="s">
        <v>13</v>
      </c>
      <c r="R16" s="29" t="str">
        <f>IFERROR(MID(RADataTable[[#This Row],[RAtemplate]],1,LEN(RADataTable[[#This Row],[RAtemplate]])-8),"RA") &amp; " " &amp; RADataTable[[#This Row],[prop_id0]] &amp; " " &amp; RADataTable[[#This Row],[last0]]</f>
        <v>RA 1750533 Wang</v>
      </c>
      <c r="U16" s="21" t="str">
        <f>IF(signer1="PD",IF(ISBLANK(RADataTable[[#This Row],[sign_blck_name]]),"",RADataTable[[#This Row],[sign_blck_name]]),IF(ISBLANK(signer1),"",signer1))</f>
        <v>David Corman</v>
      </c>
      <c r="V16" s="29" t="str">
        <f>signer2</f>
        <v>Cognisant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dwang5@nd.edu</v>
      </c>
      <c r="Y16" s="15" t="str">
        <f>HYPERLINK("mailto:"&amp;RADataTable[[#This Row],[allPIemail]]&amp;"&amp;subject=NSF Proposal:  "&amp;RADataTable[[#This Row],[Div]]&amp;" "&amp;RADataTable[[#This Row],[prop_id0]], "PIs@")</f>
        <v>PIs@</v>
      </c>
      <c r="Z16" t="s">
        <v>1127</v>
      </c>
      <c r="AA16" t="s">
        <v>830</v>
      </c>
      <c r="AB16">
        <v>4</v>
      </c>
      <c r="AC16">
        <v>4</v>
      </c>
      <c r="AD16"/>
      <c r="AE16" t="str">
        <f>IF(RADataTable[[#This Row],[maxScore]]-RADataTable[[#This Row],[minScore]]&gt;4,"Y","")</f>
        <v/>
      </c>
      <c r="AF16" s="21">
        <v>5</v>
      </c>
      <c r="AG16" s="26">
        <v>5.75</v>
      </c>
      <c r="AH16">
        <v>7</v>
      </c>
      <c r="AI16" t="s">
        <v>1308</v>
      </c>
      <c r="AJ16" s="30">
        <v>43042.371527777781</v>
      </c>
      <c r="AK16" s="13">
        <v>533683</v>
      </c>
      <c r="AL16" s="13">
        <v>533683</v>
      </c>
      <c r="AM16">
        <v>0</v>
      </c>
      <c r="AN16" s="30">
        <v>43344</v>
      </c>
      <c r="AO16" s="21">
        <v>60</v>
      </c>
      <c r="AP16" s="21" t="s">
        <v>1309</v>
      </c>
      <c r="AS16" s="30"/>
      <c r="AT16" t="s">
        <v>706</v>
      </c>
      <c r="AU16" s="21" t="s">
        <v>210</v>
      </c>
      <c r="AV16" s="21">
        <v>4</v>
      </c>
      <c r="AW16" s="21" t="s">
        <v>1472</v>
      </c>
      <c r="AX16" s="30">
        <v>43042</v>
      </c>
      <c r="AY16" s="21" t="s">
        <v>1493</v>
      </c>
      <c r="AZ16" s="21" t="s">
        <v>1474</v>
      </c>
      <c r="BA16" s="21">
        <v>13</v>
      </c>
      <c r="BB16" s="21">
        <v>0</v>
      </c>
      <c r="BG16" s="30"/>
      <c r="BP16" s="30"/>
      <c r="BU16" t="s">
        <v>830</v>
      </c>
      <c r="BV16" s="21" t="s">
        <v>347</v>
      </c>
      <c r="BW16" s="21" t="s">
        <v>1306</v>
      </c>
      <c r="BX16" s="21" t="s">
        <v>1307</v>
      </c>
      <c r="BY16" s="31">
        <v>533683</v>
      </c>
      <c r="BZ16" s="31">
        <v>533683</v>
      </c>
      <c r="CA16" t="s">
        <v>256</v>
      </c>
      <c r="CF16" s="31"/>
      <c r="CG16" s="31"/>
      <c r="CM16" s="31"/>
      <c r="CN16" s="31"/>
      <c r="CT16" s="31"/>
      <c r="CU16" s="31"/>
      <c r="CV16" s="31"/>
      <c r="DA16" s="31"/>
      <c r="DB16" s="31"/>
      <c r="DC16" s="31"/>
      <c r="DH16" s="31"/>
      <c r="DI16" s="31"/>
      <c r="DO16" s="31"/>
      <c r="DP16" s="31"/>
      <c r="DR16" t="s">
        <v>252</v>
      </c>
      <c r="DS16" t="s">
        <v>1451</v>
      </c>
      <c r="DT16" t="s">
        <v>1452</v>
      </c>
      <c r="DU16" s="29" t="s">
        <v>1453</v>
      </c>
      <c r="DV16" t="s">
        <v>173</v>
      </c>
      <c r="DW16" t="s">
        <v>387</v>
      </c>
      <c r="DX16" t="s">
        <v>171</v>
      </c>
      <c r="DY16" t="s">
        <v>168</v>
      </c>
      <c r="DZ16" t="s">
        <v>169</v>
      </c>
      <c r="EA16" s="22">
        <v>43075.751620370371</v>
      </c>
      <c r="EB16" t="s">
        <v>1310</v>
      </c>
      <c r="EC16" t="s">
        <v>1494</v>
      </c>
    </row>
    <row r="17" spans="1:133">
      <c r="A17" s="30"/>
      <c r="B17" s="22">
        <v>42935.647916666669</v>
      </c>
      <c r="C17" s="22" t="s">
        <v>248</v>
      </c>
      <c r="D17" s="30" t="s">
        <v>1124</v>
      </c>
      <c r="E17" s="30" t="s">
        <v>1125</v>
      </c>
      <c r="F17" s="30" t="s">
        <v>170</v>
      </c>
      <c r="G17" s="30" t="s">
        <v>172</v>
      </c>
      <c r="H17" t="s">
        <v>94</v>
      </c>
      <c r="I17" t="s">
        <v>1271</v>
      </c>
      <c r="J17" t="s">
        <v>596</v>
      </c>
      <c r="L17">
        <v>1</v>
      </c>
      <c r="M17" s="26">
        <v>2.0499999999999998</v>
      </c>
      <c r="N17" t="s">
        <v>211</v>
      </c>
      <c r="Q17" s="29" t="s">
        <v>13</v>
      </c>
      <c r="R17" s="29" t="str">
        <f>IFERROR(MID(RADataTable[[#This Row],[RAtemplate]],1,LEN(RADataTable[[#This Row],[RAtemplate]])-8),"RA") &amp; " " &amp; RADataTable[[#This Row],[prop_id0]] &amp; " " &amp; RADataTable[[#This Row],[last0]]</f>
        <v>RA 1750864 Gao</v>
      </c>
      <c r="U17" s="21" t="str">
        <f>IF(signer1="PD",IF(ISBLANK(RADataTable[[#This Row],[sign_blck_name]]),"",RADataTable[[#This Row],[sign_blck_name]]),IF(ISBLANK(signer1),"",signer1))</f>
        <v>David Corman</v>
      </c>
      <c r="V17" s="29" t="str">
        <f>signer2</f>
        <v>Cognisant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gracegao@illinois.edu</v>
      </c>
      <c r="Y17" s="15" t="str">
        <f>HYPERLINK("mailto:"&amp;RADataTable[[#This Row],[allPIemail]]&amp;"&amp;subject=NSF Proposal:  "&amp;RADataTable[[#This Row],[Div]]&amp;" "&amp;RADataTable[[#This Row],[prop_id0]], "PIs@")</f>
        <v>PIs@</v>
      </c>
      <c r="Z17" t="s">
        <v>1127</v>
      </c>
      <c r="AA17" t="s">
        <v>867</v>
      </c>
      <c r="AB17">
        <v>4</v>
      </c>
      <c r="AC17">
        <v>4</v>
      </c>
      <c r="AD17"/>
      <c r="AE17" t="str">
        <f>IF(RADataTable[[#This Row],[maxScore]]-RADataTable[[#This Row],[minScore]]&gt;4,"Y","")</f>
        <v/>
      </c>
      <c r="AF17" s="21">
        <v>5</v>
      </c>
      <c r="AG17" s="26">
        <v>6.5</v>
      </c>
      <c r="AH17">
        <v>9</v>
      </c>
      <c r="AI17" t="s">
        <v>1327</v>
      </c>
      <c r="AJ17" s="30">
        <v>43042.373611111114</v>
      </c>
      <c r="AK17" s="13">
        <v>517473</v>
      </c>
      <c r="AL17" s="13">
        <v>517473</v>
      </c>
      <c r="AM17">
        <v>0</v>
      </c>
      <c r="AN17" s="30">
        <v>43236</v>
      </c>
      <c r="AO17" s="21">
        <v>60</v>
      </c>
      <c r="AP17" s="21" t="s">
        <v>1328</v>
      </c>
      <c r="AS17" s="30"/>
      <c r="AT17" t="s">
        <v>706</v>
      </c>
      <c r="AU17" s="21" t="s">
        <v>210</v>
      </c>
      <c r="AV17" s="21">
        <v>5</v>
      </c>
      <c r="AW17" s="21" t="s">
        <v>1472</v>
      </c>
      <c r="AX17" s="30">
        <v>43042</v>
      </c>
      <c r="AY17" s="21" t="s">
        <v>1501</v>
      </c>
      <c r="AZ17" s="21" t="s">
        <v>1474</v>
      </c>
      <c r="BA17" s="21">
        <v>13</v>
      </c>
      <c r="BB17" s="21">
        <v>1</v>
      </c>
      <c r="BG17" s="30"/>
      <c r="BP17" s="30"/>
      <c r="BU17" t="s">
        <v>867</v>
      </c>
      <c r="BV17" s="21" t="s">
        <v>561</v>
      </c>
      <c r="BW17" s="21" t="s">
        <v>1326</v>
      </c>
      <c r="BX17" s="21" t="s">
        <v>351</v>
      </c>
      <c r="BY17" s="31">
        <v>517473</v>
      </c>
      <c r="BZ17" s="31">
        <v>517473</v>
      </c>
      <c r="CA17" t="s">
        <v>256</v>
      </c>
      <c r="CF17" s="31"/>
      <c r="CG17" s="31"/>
      <c r="CM17" s="31"/>
      <c r="CN17" s="31"/>
      <c r="CT17" s="31"/>
      <c r="CU17" s="31"/>
      <c r="CV17" s="31"/>
      <c r="DA17" s="31"/>
      <c r="DB17" s="31"/>
      <c r="DC17" s="31"/>
      <c r="DH17" s="31"/>
      <c r="DI17" s="31"/>
      <c r="DO17" s="31"/>
      <c r="DP17" s="31"/>
      <c r="DR17" t="s">
        <v>252</v>
      </c>
      <c r="DS17" t="s">
        <v>1451</v>
      </c>
      <c r="DT17" t="s">
        <v>1452</v>
      </c>
      <c r="DU17" s="29" t="s">
        <v>1453</v>
      </c>
      <c r="DV17" t="s">
        <v>173</v>
      </c>
      <c r="DW17" t="s">
        <v>387</v>
      </c>
      <c r="DX17" t="s">
        <v>171</v>
      </c>
      <c r="DY17" t="s">
        <v>168</v>
      </c>
      <c r="DZ17" t="s">
        <v>169</v>
      </c>
      <c r="EA17" s="22">
        <v>43075.751620370371</v>
      </c>
      <c r="EB17" t="s">
        <v>1329</v>
      </c>
      <c r="EC17" t="s">
        <v>1502</v>
      </c>
    </row>
    <row r="18" spans="1:133">
      <c r="A18" s="30"/>
      <c r="B18" s="22">
        <v>42926.695833333331</v>
      </c>
      <c r="C18" s="22" t="s">
        <v>248</v>
      </c>
      <c r="D18" s="30" t="s">
        <v>1124</v>
      </c>
      <c r="E18" s="30" t="s">
        <v>1125</v>
      </c>
      <c r="F18" s="30" t="s">
        <v>170</v>
      </c>
      <c r="G18" s="30" t="s">
        <v>172</v>
      </c>
      <c r="H18" t="s">
        <v>94</v>
      </c>
      <c r="I18" t="s">
        <v>1271</v>
      </c>
      <c r="J18" t="s">
        <v>596</v>
      </c>
      <c r="L18">
        <v>1</v>
      </c>
      <c r="M18" s="26">
        <v>2.06</v>
      </c>
      <c r="N18" t="s">
        <v>211</v>
      </c>
      <c r="Q18" s="29" t="s">
        <v>13</v>
      </c>
      <c r="R18" s="29" t="str">
        <f>IFERROR(MID(RADataTable[[#This Row],[RAtemplate]],1,LEN(RADataTable[[#This Row],[RAtemplate]])-8),"RA") &amp; " " &amp; RADataTable[[#This Row],[prop_id0]] &amp; " " &amp; RADataTable[[#This Row],[last0]]</f>
        <v>RA 1748762 Hahn</v>
      </c>
      <c r="U18" s="21" t="str">
        <f>IF(signer1="PD",IF(ISBLANK(RADataTable[[#This Row],[sign_blck_name]]),"",RADataTable[[#This Row],[sign_blck_name]]),IF(ISBLANK(signer1),"",signer1))</f>
        <v>David Corman</v>
      </c>
      <c r="V18" s="29" t="str">
        <f>signer2</f>
        <v>Cognisant Program Director</v>
      </c>
      <c r="W18" s="15" t="str">
        <f>HYPERLINK("https://www.ejacket.nsf.gov/ej/showProposal.do?Continue=Y&amp;ID="&amp;RADataTable[[#This Row],[prop_id0]],"eJ")</f>
        <v>eJ</v>
      </c>
      <c r="X18" s="15" t="str">
        <f>HYPERLINK("mailto:"&amp;RADataTable[[#This Row],[email]]&amp;"&amp;subject=Your NSF Proposal:  "&amp;RADataTable[[#This Row],[Div]]&amp;" "&amp;RADataTable[[#This Row],[prop_id0]], RADataTable[[#This Row],[email]])</f>
        <v>jhahn12@umd.edu</v>
      </c>
      <c r="Y18" s="15" t="str">
        <f>HYPERLINK("mailto:"&amp;RADataTable[[#This Row],[allPIemail]]&amp;"&amp;subject=NSF Proposal:  "&amp;RADataTable[[#This Row],[Div]]&amp;" "&amp;RADataTable[[#This Row],[prop_id0]], "PIs@")</f>
        <v>PIs@</v>
      </c>
      <c r="Z18" t="s">
        <v>1127</v>
      </c>
      <c r="AA18" t="s">
        <v>703</v>
      </c>
      <c r="AB18">
        <v>4</v>
      </c>
      <c r="AC18">
        <v>4</v>
      </c>
      <c r="AD18"/>
      <c r="AE18" t="str">
        <f>IF(RADataTable[[#This Row],[maxScore]]-RADataTable[[#This Row],[minScore]]&gt;4,"Y","")</f>
        <v/>
      </c>
      <c r="AF18" s="21">
        <v>4</v>
      </c>
      <c r="AG18" s="26">
        <v>5.75</v>
      </c>
      <c r="AH18">
        <v>7</v>
      </c>
      <c r="AI18" t="s">
        <v>1272</v>
      </c>
      <c r="AJ18" s="30">
        <v>43041.734027777777</v>
      </c>
      <c r="AK18" s="13">
        <v>500409</v>
      </c>
      <c r="AL18" s="13">
        <v>500409</v>
      </c>
      <c r="AM18">
        <v>0</v>
      </c>
      <c r="AN18" s="30">
        <v>43101</v>
      </c>
      <c r="AO18" s="21">
        <v>60</v>
      </c>
      <c r="AP18" s="21" t="s">
        <v>1273</v>
      </c>
      <c r="AS18" s="30"/>
      <c r="AT18" t="s">
        <v>706</v>
      </c>
      <c r="AU18" s="21" t="s">
        <v>210</v>
      </c>
      <c r="AV18" s="21">
        <v>6</v>
      </c>
      <c r="AW18" s="21" t="s">
        <v>1472</v>
      </c>
      <c r="AX18" s="30">
        <v>43042</v>
      </c>
      <c r="AY18" s="21" t="s">
        <v>1473</v>
      </c>
      <c r="AZ18" s="21" t="s">
        <v>1474</v>
      </c>
      <c r="BA18" s="21">
        <v>13</v>
      </c>
      <c r="BB18" s="21">
        <v>0</v>
      </c>
      <c r="BG18" s="30"/>
      <c r="BP18" s="30"/>
      <c r="BU18" t="s">
        <v>703</v>
      </c>
      <c r="BV18" s="21" t="s">
        <v>704</v>
      </c>
      <c r="BW18" s="21" t="s">
        <v>1173</v>
      </c>
      <c r="BX18" s="21" t="s">
        <v>475</v>
      </c>
      <c r="BY18" s="31">
        <v>500409</v>
      </c>
      <c r="BZ18" s="31">
        <v>500409</v>
      </c>
      <c r="CA18" t="s">
        <v>256</v>
      </c>
      <c r="CF18" s="31"/>
      <c r="CG18" s="31"/>
      <c r="CM18" s="31"/>
      <c r="CN18" s="31"/>
      <c r="CT18" s="31"/>
      <c r="CU18" s="31"/>
      <c r="CV18" s="31"/>
      <c r="DA18" s="31"/>
      <c r="DB18" s="31"/>
      <c r="DC18" s="31"/>
      <c r="DH18" s="31"/>
      <c r="DI18" s="31"/>
      <c r="DO18" s="31"/>
      <c r="DP18" s="31"/>
      <c r="DR18" t="s">
        <v>252</v>
      </c>
      <c r="DS18" t="s">
        <v>1451</v>
      </c>
      <c r="DT18" t="s">
        <v>1452</v>
      </c>
      <c r="DU18" s="29" t="s">
        <v>1453</v>
      </c>
      <c r="DV18" t="s">
        <v>173</v>
      </c>
      <c r="DW18" t="s">
        <v>387</v>
      </c>
      <c r="DX18" t="s">
        <v>171</v>
      </c>
      <c r="DY18" t="s">
        <v>168</v>
      </c>
      <c r="DZ18" t="s">
        <v>169</v>
      </c>
      <c r="EA18" s="22">
        <v>43075.751620370371</v>
      </c>
      <c r="EB18" t="s">
        <v>1174</v>
      </c>
      <c r="EC18" t="s">
        <v>1475</v>
      </c>
    </row>
    <row r="19" spans="1:133">
      <c r="A19" s="30"/>
      <c r="B19" s="22">
        <v>42935.620833333334</v>
      </c>
      <c r="C19" s="22" t="s">
        <v>248</v>
      </c>
      <c r="D19" s="30" t="s">
        <v>1124</v>
      </c>
      <c r="E19" s="30" t="s">
        <v>1125</v>
      </c>
      <c r="F19" s="30" t="s">
        <v>170</v>
      </c>
      <c r="G19" s="30" t="s">
        <v>172</v>
      </c>
      <c r="H19" t="s">
        <v>94</v>
      </c>
      <c r="I19" t="s">
        <v>1271</v>
      </c>
      <c r="J19" t="s">
        <v>596</v>
      </c>
      <c r="L19">
        <v>1</v>
      </c>
      <c r="M19" s="26">
        <v>2.06</v>
      </c>
      <c r="N19" t="s">
        <v>211</v>
      </c>
      <c r="Q19" s="29" t="s">
        <v>13</v>
      </c>
      <c r="R19" s="29" t="str">
        <f>IFERROR(MID(RADataTable[[#This Row],[RAtemplate]],1,LEN(RADataTable[[#This Row],[RAtemplate]])-8),"RA") &amp; " " &amp; RADataTable[[#This Row],[prop_id0]] &amp; " " &amp; RADataTable[[#This Row],[last0]]</f>
        <v>RA 1750722 Liu</v>
      </c>
      <c r="U19" s="21" t="str">
        <f>IF(signer1="PD",IF(ISBLANK(RADataTable[[#This Row],[sign_blck_name]]),"",RADataTable[[#This Row],[sign_blck_name]]),IF(ISBLANK(signer1),"",signer1))</f>
        <v>David Corman</v>
      </c>
      <c r="V19" s="29" t="str">
        <f>signer2</f>
        <v>Cognisant Program Director</v>
      </c>
      <c r="W19" s="15" t="str">
        <f>HYPERLINK("https://www.ejacket.nsf.gov/ej/showProposal.do?Continue=Y&amp;ID="&amp;RADataTable[[#This Row],[prop_id0]],"eJ")</f>
        <v>eJ</v>
      </c>
      <c r="X19" s="15" t="str">
        <f>HYPERLINK("mailto:"&amp;RADataTable[[#This Row],[email]]&amp;"&amp;subject=Your NSF Proposal:  "&amp;RADataTable[[#This Row],[Div]]&amp;" "&amp;RADataTable[[#This Row],[prop_id0]], RADataTable[[#This Row],[email]])</f>
        <v>kaikai.liu@sjsu.edu</v>
      </c>
      <c r="Y19" s="15" t="str">
        <f>HYPERLINK("mailto:"&amp;RADataTable[[#This Row],[allPIemail]]&amp;"&amp;subject=NSF Proposal:  "&amp;RADataTable[[#This Row],[Div]]&amp;" "&amp;RADataTable[[#This Row],[prop_id0]], "PIs@")</f>
        <v>PIs@</v>
      </c>
      <c r="Z19" t="s">
        <v>1127</v>
      </c>
      <c r="AA19" t="s">
        <v>845</v>
      </c>
      <c r="AB19">
        <v>4</v>
      </c>
      <c r="AC19">
        <v>4</v>
      </c>
      <c r="AD19"/>
      <c r="AE19" t="str">
        <f>IF(RADataTable[[#This Row],[maxScore]]-RADataTable[[#This Row],[minScore]]&gt;4,"Y","")</f>
        <v>Y</v>
      </c>
      <c r="AF19" s="21">
        <v>4</v>
      </c>
      <c r="AG19" s="26">
        <v>6</v>
      </c>
      <c r="AH19">
        <v>9</v>
      </c>
      <c r="AI19" t="s">
        <v>1316</v>
      </c>
      <c r="AJ19" s="30">
        <v>43041.699305555558</v>
      </c>
      <c r="AK19" s="13">
        <v>486820</v>
      </c>
      <c r="AL19" s="13">
        <v>486820</v>
      </c>
      <c r="AM19">
        <v>0</v>
      </c>
      <c r="AN19" s="30">
        <v>43160</v>
      </c>
      <c r="AO19" s="21">
        <v>60</v>
      </c>
      <c r="AP19" s="21" t="s">
        <v>1317</v>
      </c>
      <c r="AS19" s="30"/>
      <c r="AT19" t="s">
        <v>706</v>
      </c>
      <c r="AU19" s="21" t="s">
        <v>210</v>
      </c>
      <c r="AV19" s="21">
        <v>6</v>
      </c>
      <c r="AW19" s="21" t="s">
        <v>1472</v>
      </c>
      <c r="AX19" s="30">
        <v>43042</v>
      </c>
      <c r="AY19" s="21" t="s">
        <v>1496</v>
      </c>
      <c r="AZ19" s="21" t="s">
        <v>1474</v>
      </c>
      <c r="BA19" s="21">
        <v>13</v>
      </c>
      <c r="BB19" s="21">
        <v>1</v>
      </c>
      <c r="BG19" s="30"/>
      <c r="BP19" s="30"/>
      <c r="BU19" t="s">
        <v>845</v>
      </c>
      <c r="BV19" s="21" t="s">
        <v>473</v>
      </c>
      <c r="BW19" s="21" t="s">
        <v>1314</v>
      </c>
      <c r="BX19" s="21" t="s">
        <v>1315</v>
      </c>
      <c r="BY19" s="31">
        <v>486820</v>
      </c>
      <c r="BZ19" s="31">
        <v>486820</v>
      </c>
      <c r="CA19" t="s">
        <v>256</v>
      </c>
      <c r="CF19" s="31"/>
      <c r="CG19" s="31"/>
      <c r="CM19" s="31"/>
      <c r="CN19" s="31"/>
      <c r="CT19" s="31"/>
      <c r="CU19" s="31"/>
      <c r="CV19" s="31"/>
      <c r="DA19" s="31"/>
      <c r="DB19" s="31"/>
      <c r="DC19" s="31"/>
      <c r="DH19" s="31"/>
      <c r="DI19" s="31"/>
      <c r="DO19" s="31"/>
      <c r="DP19" s="31"/>
      <c r="DR19" t="s">
        <v>252</v>
      </c>
      <c r="DS19" t="s">
        <v>1451</v>
      </c>
      <c r="DT19" t="s">
        <v>1452</v>
      </c>
      <c r="DU19" s="29" t="s">
        <v>1453</v>
      </c>
      <c r="DV19" t="s">
        <v>173</v>
      </c>
      <c r="DW19" t="s">
        <v>387</v>
      </c>
      <c r="DX19" t="s">
        <v>171</v>
      </c>
      <c r="DY19" t="s">
        <v>168</v>
      </c>
      <c r="DZ19" t="s">
        <v>169</v>
      </c>
      <c r="EA19" s="22">
        <v>43075.751620370371</v>
      </c>
      <c r="EB19" t="s">
        <v>1318</v>
      </c>
      <c r="EC19" t="s">
        <v>1497</v>
      </c>
    </row>
    <row r="20" spans="1:133">
      <c r="A20" s="30"/>
      <c r="B20" s="22">
        <v>42800.660416666666</v>
      </c>
      <c r="C20" s="22" t="s">
        <v>1123</v>
      </c>
      <c r="D20" s="30" t="s">
        <v>1124</v>
      </c>
      <c r="E20" s="30" t="s">
        <v>1125</v>
      </c>
      <c r="F20" s="30" t="s">
        <v>170</v>
      </c>
      <c r="G20" s="30" t="s">
        <v>172</v>
      </c>
      <c r="H20" t="s">
        <v>94</v>
      </c>
      <c r="I20" t="s">
        <v>1126</v>
      </c>
      <c r="J20" t="s">
        <v>596</v>
      </c>
      <c r="L20">
        <v>1</v>
      </c>
      <c r="M20" s="26">
        <v>3</v>
      </c>
      <c r="N20" t="s">
        <v>254</v>
      </c>
      <c r="Q20" s="29" t="s">
        <v>13</v>
      </c>
      <c r="R20" s="29" t="str">
        <f>IFERROR(MID(RADataTable[[#This Row],[RAtemplate]],1,LEN(RADataTable[[#This Row],[RAtemplate]])-8),"RA") &amp; " " &amp; RADataTable[[#This Row],[prop_id0]] &amp; " " &amp; RADataTable[[#This Row],[last0]]</f>
        <v>RA 1739733 Sztipanovits</v>
      </c>
      <c r="U20" s="21" t="str">
        <f>IF(signer1="PD",IF(ISBLANK(RADataTable[[#This Row],[sign_blck_name]]),"",RADataTable[[#This Row],[sign_blck_name]]),IF(ISBLANK(signer1),"",signer1))</f>
        <v>David Corman</v>
      </c>
      <c r="V20" s="29" t="str">
        <f>signer2</f>
        <v>Cognisant Program Director</v>
      </c>
      <c r="W20" s="15" t="str">
        <f>HYPERLINK("https://www.ejacket.nsf.gov/ej/showProposal.do?Continue=Y&amp;ID="&amp;RADataTable[[#This Row],[prop_id0]],"eJ")</f>
        <v>eJ</v>
      </c>
      <c r="X20" s="15" t="str">
        <f>HYPERLINK("mailto:"&amp;RADataTable[[#This Row],[email]]&amp;"&amp;subject=Your NSF Proposal:  "&amp;RADataTable[[#This Row],[Div]]&amp;" "&amp;RADataTable[[#This Row],[prop_id0]], RADataTable[[#This Row],[email]])</f>
        <v>Janos.Sztipanovits@Vanderbilt.edu</v>
      </c>
      <c r="Y20" s="15" t="str">
        <f>HYPERLINK("mailto:"&amp;RADataTable[[#This Row],[allPIemail]]&amp;"&amp;subject=NSF Proposal:  "&amp;RADataTable[[#This Row],[Div]]&amp;" "&amp;RADataTable[[#This Row],[prop_id0]], "PIs@")</f>
        <v>PIs@</v>
      </c>
      <c r="Z20" t="s">
        <v>1127</v>
      </c>
      <c r="AA20" t="s">
        <v>647</v>
      </c>
      <c r="AB20">
        <v>4</v>
      </c>
      <c r="AC20">
        <v>4</v>
      </c>
      <c r="AD20"/>
      <c r="AE20" t="str">
        <f>IF(RADataTable[[#This Row],[maxScore]]-RADataTable[[#This Row],[minScore]]&gt;4,"Y","")</f>
        <v/>
      </c>
      <c r="AF20" s="21">
        <v>3</v>
      </c>
      <c r="AG20" s="26">
        <v>4.25</v>
      </c>
      <c r="AH20">
        <v>6</v>
      </c>
      <c r="AI20" t="s">
        <v>1184</v>
      </c>
      <c r="AJ20" s="30">
        <v>43028.601388888892</v>
      </c>
      <c r="AK20" s="13">
        <v>6999505</v>
      </c>
      <c r="AL20" s="13">
        <v>6999505</v>
      </c>
      <c r="AM20">
        <v>0</v>
      </c>
      <c r="AN20" s="30">
        <v>43009</v>
      </c>
      <c r="AO20" s="21">
        <v>60</v>
      </c>
      <c r="AP20" s="21" t="s">
        <v>1185</v>
      </c>
      <c r="AS20" s="30"/>
      <c r="AT20" t="s">
        <v>597</v>
      </c>
      <c r="AU20" s="21" t="s">
        <v>255</v>
      </c>
      <c r="AW20" s="21" t="s">
        <v>1447</v>
      </c>
      <c r="AX20" s="30">
        <v>43028</v>
      </c>
      <c r="AY20" s="21" t="s">
        <v>1459</v>
      </c>
      <c r="AZ20" s="21" t="s">
        <v>1449</v>
      </c>
      <c r="BA20" s="21">
        <v>8</v>
      </c>
      <c r="BB20" s="21">
        <v>2</v>
      </c>
      <c r="BG20" s="30"/>
      <c r="BP20" s="30"/>
      <c r="BU20" t="s">
        <v>647</v>
      </c>
      <c r="BV20" s="21" t="s">
        <v>648</v>
      </c>
      <c r="BW20" s="21" t="s">
        <v>1182</v>
      </c>
      <c r="BX20" s="21" t="s">
        <v>1183</v>
      </c>
      <c r="BY20" s="31">
        <v>3499505</v>
      </c>
      <c r="BZ20" s="31">
        <v>3499505</v>
      </c>
      <c r="CB20" s="21" t="s">
        <v>1187</v>
      </c>
      <c r="CC20" s="21" t="s">
        <v>1188</v>
      </c>
      <c r="CD20" s="21" t="s">
        <v>464</v>
      </c>
      <c r="CE20" s="21" t="s">
        <v>571</v>
      </c>
      <c r="CF20" s="31">
        <v>3500000</v>
      </c>
      <c r="CG20" s="31">
        <v>3500000</v>
      </c>
      <c r="CM20" s="31"/>
      <c r="CN20" s="31"/>
      <c r="CT20" s="31"/>
      <c r="CU20" s="31"/>
      <c r="CV20" s="31"/>
      <c r="DA20" s="31"/>
      <c r="DB20" s="31"/>
      <c r="DC20" s="31"/>
      <c r="DH20" s="31"/>
      <c r="DI20" s="31"/>
      <c r="DO20" s="31"/>
      <c r="DP20" s="31"/>
      <c r="DR20" t="s">
        <v>1450</v>
      </c>
      <c r="DS20" t="s">
        <v>1451</v>
      </c>
      <c r="DT20" t="s">
        <v>1452</v>
      </c>
      <c r="DU20" s="29" t="s">
        <v>1453</v>
      </c>
      <c r="DV20" t="s">
        <v>173</v>
      </c>
      <c r="DW20" t="s">
        <v>387</v>
      </c>
      <c r="DX20" t="s">
        <v>171</v>
      </c>
      <c r="DY20" t="s">
        <v>168</v>
      </c>
      <c r="DZ20" t="s">
        <v>169</v>
      </c>
      <c r="EA20" s="22">
        <v>43075.751620370371</v>
      </c>
      <c r="EB20" t="s">
        <v>1186</v>
      </c>
      <c r="EC20" t="s">
        <v>1460</v>
      </c>
    </row>
    <row r="21" spans="1:133">
      <c r="A21" s="30"/>
      <c r="B21" s="22">
        <v>42800.684027777781</v>
      </c>
      <c r="C21" s="22" t="s">
        <v>1123</v>
      </c>
      <c r="D21" s="30" t="s">
        <v>1124</v>
      </c>
      <c r="E21" s="30" t="s">
        <v>1125</v>
      </c>
      <c r="F21" s="30" t="s">
        <v>170</v>
      </c>
      <c r="G21" s="30" t="s">
        <v>172</v>
      </c>
      <c r="H21" t="s">
        <v>94</v>
      </c>
      <c r="I21" t="s">
        <v>1126</v>
      </c>
      <c r="J21" t="s">
        <v>596</v>
      </c>
      <c r="L21">
        <v>1</v>
      </c>
      <c r="M21" s="26">
        <v>3</v>
      </c>
      <c r="N21" t="s">
        <v>254</v>
      </c>
      <c r="Q21" s="29" t="s">
        <v>13</v>
      </c>
      <c r="R21" s="29" t="str">
        <f>IFERROR(MID(RADataTable[[#This Row],[RAtemplate]],1,LEN(RADataTable[[#This Row],[RAtemplate]])-8),"RA") &amp; " " &amp; RADataTable[[#This Row],[prop_id0]] &amp; " " &amp; RADataTable[[#This Row],[last0]]</f>
        <v>RA 1739830 Guvenc</v>
      </c>
      <c r="U21" s="21" t="str">
        <f>IF(signer1="PD",IF(ISBLANK(RADataTable[[#This Row],[sign_blck_name]]),"",RADataTable[[#This Row],[sign_blck_name]]),IF(ISBLANK(signer1),"",signer1))</f>
        <v>David Corman</v>
      </c>
      <c r="V21" s="29" t="str">
        <f>signer2</f>
        <v>Cognisant Program Director</v>
      </c>
      <c r="W21" s="15" t="str">
        <f>HYPERLINK("https://www.ejacket.nsf.gov/ej/showProposal.do?Continue=Y&amp;ID="&amp;RADataTable[[#This Row],[prop_id0]],"eJ")</f>
        <v>eJ</v>
      </c>
      <c r="X21" s="15" t="str">
        <f>HYPERLINK("mailto:"&amp;RADataTable[[#This Row],[email]]&amp;"&amp;subject=Your NSF Proposal:  "&amp;RADataTable[[#This Row],[Div]]&amp;" "&amp;RADataTable[[#This Row],[prop_id0]], RADataTable[[#This Row],[email]])</f>
        <v>iguvenc@ncsu.edu</v>
      </c>
      <c r="Y21" s="15" t="str">
        <f>HYPERLINK("mailto:"&amp;RADataTable[[#This Row],[allPIemail]]&amp;"&amp;subject=NSF Proposal:  "&amp;RADataTable[[#This Row],[Div]]&amp;" "&amp;RADataTable[[#This Row],[prop_id0]], "PIs@")</f>
        <v>PIs@</v>
      </c>
      <c r="Z21" t="s">
        <v>1127</v>
      </c>
      <c r="AA21" t="s">
        <v>666</v>
      </c>
      <c r="AB21">
        <v>4</v>
      </c>
      <c r="AC21">
        <v>4</v>
      </c>
      <c r="AD21"/>
      <c r="AE21" t="str">
        <f>IF(RADataTable[[#This Row],[maxScore]]-RADataTable[[#This Row],[minScore]]&gt;4,"Y","")</f>
        <v/>
      </c>
      <c r="AF21" s="21">
        <v>5</v>
      </c>
      <c r="AG21" s="26">
        <v>5.25</v>
      </c>
      <c r="AH21">
        <v>6</v>
      </c>
      <c r="AI21" t="s">
        <v>1202</v>
      </c>
      <c r="AJ21" s="30">
        <v>43028.496527777781</v>
      </c>
      <c r="AK21" s="13">
        <v>5127095</v>
      </c>
      <c r="AL21" s="13">
        <v>5127095</v>
      </c>
      <c r="AM21">
        <v>0</v>
      </c>
      <c r="AN21" s="30">
        <v>43084</v>
      </c>
      <c r="AO21" s="21">
        <v>60</v>
      </c>
      <c r="AP21" s="21" t="s">
        <v>1203</v>
      </c>
      <c r="AS21" s="30"/>
      <c r="AT21" t="s">
        <v>597</v>
      </c>
      <c r="AU21" s="21" t="s">
        <v>255</v>
      </c>
      <c r="AW21" s="21" t="s">
        <v>1447</v>
      </c>
      <c r="AX21" s="30">
        <v>43028</v>
      </c>
      <c r="AY21" s="21" t="s">
        <v>1463</v>
      </c>
      <c r="AZ21" s="21" t="s">
        <v>1449</v>
      </c>
      <c r="BA21" s="21">
        <v>8</v>
      </c>
      <c r="BB21" s="21">
        <v>1</v>
      </c>
      <c r="BG21" s="30"/>
      <c r="BP21" s="30"/>
      <c r="BU21" t="s">
        <v>666</v>
      </c>
      <c r="BV21" s="21" t="s">
        <v>667</v>
      </c>
      <c r="BW21" s="21" t="s">
        <v>1201</v>
      </c>
      <c r="BX21" s="21" t="s">
        <v>563</v>
      </c>
      <c r="BY21" s="31">
        <v>1817030</v>
      </c>
      <c r="BZ21" s="31">
        <v>1817030</v>
      </c>
      <c r="CB21" s="21" t="s">
        <v>1205</v>
      </c>
      <c r="CC21" s="21" t="s">
        <v>1206</v>
      </c>
      <c r="CD21" s="21" t="s">
        <v>1207</v>
      </c>
      <c r="CE21" s="21" t="s">
        <v>565</v>
      </c>
      <c r="CF21" s="31">
        <v>604262</v>
      </c>
      <c r="CG21" s="31">
        <v>604262</v>
      </c>
      <c r="CI21" s="21" t="s">
        <v>1209</v>
      </c>
      <c r="CJ21" s="21" t="s">
        <v>1210</v>
      </c>
      <c r="CK21" s="21" t="s">
        <v>1211</v>
      </c>
      <c r="CL21" s="21" t="s">
        <v>1212</v>
      </c>
      <c r="CM21" s="31">
        <v>1298699</v>
      </c>
      <c r="CN21" s="31">
        <v>1298699</v>
      </c>
      <c r="CP21" s="21" t="s">
        <v>1214</v>
      </c>
      <c r="CQ21" s="21" t="s">
        <v>1215</v>
      </c>
      <c r="CR21" s="21" t="s">
        <v>1216</v>
      </c>
      <c r="CS21" s="21" t="s">
        <v>361</v>
      </c>
      <c r="CT21" s="31">
        <v>1407104</v>
      </c>
      <c r="CU21" s="31">
        <v>1407104</v>
      </c>
      <c r="CV21" s="31"/>
      <c r="DA21" s="31"/>
      <c r="DB21" s="31"/>
      <c r="DC21" s="31"/>
      <c r="DH21" s="31"/>
      <c r="DI21" s="31"/>
      <c r="DO21" s="31"/>
      <c r="DP21" s="31"/>
      <c r="DR21" t="s">
        <v>1450</v>
      </c>
      <c r="DS21" t="s">
        <v>1451</v>
      </c>
      <c r="DT21" t="s">
        <v>1452</v>
      </c>
      <c r="DU21" s="29" t="s">
        <v>1453</v>
      </c>
      <c r="DV21" t="s">
        <v>173</v>
      </c>
      <c r="DW21" t="s">
        <v>387</v>
      </c>
      <c r="DX21" t="s">
        <v>171</v>
      </c>
      <c r="DY21" t="s">
        <v>168</v>
      </c>
      <c r="DZ21" t="s">
        <v>169</v>
      </c>
      <c r="EA21" s="22">
        <v>43075.751620370371</v>
      </c>
      <c r="EB21" t="s">
        <v>1204</v>
      </c>
      <c r="EC21" t="s">
        <v>1464</v>
      </c>
    </row>
    <row r="22" spans="1:133">
      <c r="A22" s="30"/>
      <c r="B22" s="22">
        <v>42800.697222222225</v>
      </c>
      <c r="C22" s="22" t="s">
        <v>1123</v>
      </c>
      <c r="D22" s="30" t="s">
        <v>1124</v>
      </c>
      <c r="E22" s="30" t="s">
        <v>1125</v>
      </c>
      <c r="F22" s="30" t="s">
        <v>170</v>
      </c>
      <c r="G22" s="30" t="s">
        <v>172</v>
      </c>
      <c r="H22" t="s">
        <v>94</v>
      </c>
      <c r="I22" t="s">
        <v>1126</v>
      </c>
      <c r="J22" t="s">
        <v>596</v>
      </c>
      <c r="L22">
        <v>1</v>
      </c>
      <c r="M22" s="26">
        <v>3</v>
      </c>
      <c r="N22" t="s">
        <v>254</v>
      </c>
      <c r="Q22" s="29" t="s">
        <v>13</v>
      </c>
      <c r="R22" s="29" t="str">
        <f>IFERROR(MID(RADataTable[[#This Row],[RAtemplate]],1,LEN(RADataTable[[#This Row],[RAtemplate]])-8),"RA") &amp; " " &amp; RADataTable[[#This Row],[prop_id0]] &amp; " " &amp; RADataTable[[#This Row],[last0]]</f>
        <v>RA 1739887 Baras</v>
      </c>
      <c r="U22" s="21" t="str">
        <f>IF(signer1="PD",IF(ISBLANK(RADataTable[[#This Row],[sign_blck_name]]),"",RADataTable[[#This Row],[sign_blck_name]]),IF(ISBLANK(signer1),"",signer1))</f>
        <v>David Corman</v>
      </c>
      <c r="V22" s="29" t="str">
        <f>signer2</f>
        <v>Cognisant Program Director</v>
      </c>
      <c r="W22" s="15" t="str">
        <f>HYPERLINK("https://www.ejacket.nsf.gov/ej/showProposal.do?Continue=Y&amp;ID="&amp;RADataTable[[#This Row],[prop_id0]],"eJ")</f>
        <v>eJ</v>
      </c>
      <c r="X22" s="15" t="str">
        <f>HYPERLINK("mailto:"&amp;RADataTable[[#This Row],[email]]&amp;"&amp;subject=Your NSF Proposal:  "&amp;RADataTable[[#This Row],[Div]]&amp;" "&amp;RADataTable[[#This Row],[prop_id0]], RADataTable[[#This Row],[email]])</f>
        <v>baras@umd.edu</v>
      </c>
      <c r="Y22" s="15" t="str">
        <f>HYPERLINK("mailto:"&amp;RADataTable[[#This Row],[allPIemail]]&amp;"&amp;subject=NSF Proposal:  "&amp;RADataTable[[#This Row],[Div]]&amp;" "&amp;RADataTable[[#This Row],[prop_id0]], "PIs@")</f>
        <v>PIs@</v>
      </c>
      <c r="Z22" t="s">
        <v>1127</v>
      </c>
      <c r="AA22" t="s">
        <v>673</v>
      </c>
      <c r="AB22">
        <v>4</v>
      </c>
      <c r="AC22">
        <v>4</v>
      </c>
      <c r="AD22"/>
      <c r="AE22" t="str">
        <f>IF(RADataTable[[#This Row],[maxScore]]-RADataTable[[#This Row],[minScore]]&gt;4,"Y","")</f>
        <v/>
      </c>
      <c r="AF22" s="21">
        <v>4</v>
      </c>
      <c r="AG22" s="26">
        <v>4.75</v>
      </c>
      <c r="AH22">
        <v>5</v>
      </c>
      <c r="AI22" t="s">
        <v>1218</v>
      </c>
      <c r="AJ22" s="30">
        <v>43028.414583333331</v>
      </c>
      <c r="AK22" s="13">
        <v>6999568</v>
      </c>
      <c r="AL22" s="13">
        <v>6999568</v>
      </c>
      <c r="AM22">
        <v>0</v>
      </c>
      <c r="AN22" s="30">
        <v>42979</v>
      </c>
      <c r="AO22" s="21">
        <v>60</v>
      </c>
      <c r="AP22" s="21" t="s">
        <v>1219</v>
      </c>
      <c r="AS22" s="30"/>
      <c r="AT22" t="s">
        <v>597</v>
      </c>
      <c r="AU22" s="21" t="s">
        <v>255</v>
      </c>
      <c r="AW22" s="21" t="s">
        <v>1447</v>
      </c>
      <c r="AX22" s="30">
        <v>43028</v>
      </c>
      <c r="AY22" s="21" t="s">
        <v>1465</v>
      </c>
      <c r="AZ22" s="21" t="s">
        <v>1449</v>
      </c>
      <c r="BA22" s="21">
        <v>8</v>
      </c>
      <c r="BB22" s="21">
        <v>1</v>
      </c>
      <c r="BG22" s="30"/>
      <c r="BP22" s="30"/>
      <c r="BU22" t="s">
        <v>673</v>
      </c>
      <c r="BV22" s="21" t="s">
        <v>674</v>
      </c>
      <c r="BW22" s="21" t="s">
        <v>466</v>
      </c>
      <c r="BX22" s="21" t="s">
        <v>475</v>
      </c>
      <c r="BY22" s="31">
        <v>5999568</v>
      </c>
      <c r="BZ22" s="31">
        <v>5999568</v>
      </c>
      <c r="CB22" s="21" t="s">
        <v>1221</v>
      </c>
      <c r="CC22" s="21" t="s">
        <v>574</v>
      </c>
      <c r="CD22" s="21" t="s">
        <v>1222</v>
      </c>
      <c r="CE22" s="21" t="s">
        <v>1223</v>
      </c>
      <c r="CF22" s="31">
        <v>1000000</v>
      </c>
      <c r="CG22" s="31">
        <v>1000000</v>
      </c>
      <c r="CM22" s="31"/>
      <c r="CN22" s="31"/>
      <c r="CT22" s="31"/>
      <c r="CU22" s="31"/>
      <c r="CV22" s="31"/>
      <c r="DA22" s="31"/>
      <c r="DB22" s="31"/>
      <c r="DC22" s="31"/>
      <c r="DH22" s="31"/>
      <c r="DI22" s="31"/>
      <c r="DO22" s="31"/>
      <c r="DP22" s="31"/>
      <c r="DR22" t="s">
        <v>1450</v>
      </c>
      <c r="DS22" t="s">
        <v>1451</v>
      </c>
      <c r="DT22" t="s">
        <v>1452</v>
      </c>
      <c r="DU22" s="29" t="s">
        <v>1453</v>
      </c>
      <c r="DV22" t="s">
        <v>173</v>
      </c>
      <c r="DW22" t="s">
        <v>387</v>
      </c>
      <c r="DX22" t="s">
        <v>171</v>
      </c>
      <c r="DY22" t="s">
        <v>168</v>
      </c>
      <c r="DZ22" t="s">
        <v>169</v>
      </c>
      <c r="EA22" s="22">
        <v>43075.751620370371</v>
      </c>
      <c r="EB22" t="s">
        <v>1220</v>
      </c>
      <c r="EC22" t="s">
        <v>1466</v>
      </c>
    </row>
    <row r="23" spans="1:133">
      <c r="A23" s="30"/>
      <c r="B23" s="22">
        <v>42800.70416666667</v>
      </c>
      <c r="C23" s="22" t="s">
        <v>1123</v>
      </c>
      <c r="D23" s="30" t="s">
        <v>1124</v>
      </c>
      <c r="E23" s="30" t="s">
        <v>1125</v>
      </c>
      <c r="F23" s="30" t="s">
        <v>170</v>
      </c>
      <c r="G23" s="30" t="s">
        <v>172</v>
      </c>
      <c r="H23" t="s">
        <v>94</v>
      </c>
      <c r="I23" t="s">
        <v>1126</v>
      </c>
      <c r="J23" t="s">
        <v>596</v>
      </c>
      <c r="L23">
        <v>1</v>
      </c>
      <c r="M23" s="26">
        <v>3</v>
      </c>
      <c r="N23" t="s">
        <v>254</v>
      </c>
      <c r="Q23" s="29" t="s">
        <v>13</v>
      </c>
      <c r="R23" s="29" t="str">
        <f>IFERROR(MID(RADataTable[[#This Row],[RAtemplate]],1,LEN(RADataTable[[#This Row],[RAtemplate]])-8),"RA") &amp; " " &amp; RADataTable[[#This Row],[prop_id0]] &amp; " " &amp; RADataTable[[#This Row],[last0]]</f>
        <v>RA 1739922 Roy</v>
      </c>
      <c r="U23" s="21" t="str">
        <f>IF(signer1="PD",IF(ISBLANK(RADataTable[[#This Row],[sign_blck_name]]),"",RADataTable[[#This Row],[sign_blck_name]]),IF(ISBLANK(signer1),"",signer1))</f>
        <v>David Corman</v>
      </c>
      <c r="V23" s="29" t="str">
        <f>signer2</f>
        <v>Cognisant Program Director</v>
      </c>
      <c r="W23" s="15" t="str">
        <f>HYPERLINK("https://www.ejacket.nsf.gov/ej/showProposal.do?Continue=Y&amp;ID="&amp;RADataTable[[#This Row],[prop_id0]],"eJ")</f>
        <v>eJ</v>
      </c>
      <c r="X23" s="15" t="str">
        <f>HYPERLINK("mailto:"&amp;RADataTable[[#This Row],[email]]&amp;"&amp;subject=Your NSF Proposal:  "&amp;RADataTable[[#This Row],[Div]]&amp;" "&amp;RADataTable[[#This Row],[prop_id0]], RADataTable[[#This Row],[email]])</f>
        <v>sroy@eecs.wsu.edu</v>
      </c>
      <c r="Y23" s="15" t="str">
        <f>HYPERLINK("mailto:"&amp;RADataTable[[#This Row],[allPIemail]]&amp;"&amp;subject=NSF Proposal:  "&amp;RADataTable[[#This Row],[Div]]&amp;" "&amp;RADataTable[[#This Row],[prop_id0]], "PIs@")</f>
        <v>PIs@</v>
      </c>
      <c r="Z23" t="s">
        <v>1127</v>
      </c>
      <c r="AA23" t="s">
        <v>681</v>
      </c>
      <c r="AB23">
        <v>4</v>
      </c>
      <c r="AC23">
        <v>4</v>
      </c>
      <c r="AD23"/>
      <c r="AE23" t="str">
        <f>IF(RADataTable[[#This Row],[maxScore]]-RADataTable[[#This Row],[minScore]]&gt;4,"Y","")</f>
        <v/>
      </c>
      <c r="AF23" s="21">
        <v>3</v>
      </c>
      <c r="AG23" s="26">
        <v>5.25</v>
      </c>
      <c r="AH23">
        <v>7</v>
      </c>
      <c r="AI23" t="s">
        <v>1228</v>
      </c>
      <c r="AJ23" s="30">
        <v>43028.602777777778</v>
      </c>
      <c r="AK23" s="13">
        <v>6099131</v>
      </c>
      <c r="AL23" s="13">
        <v>6099131</v>
      </c>
      <c r="AM23">
        <v>0</v>
      </c>
      <c r="AN23" s="30">
        <v>43101</v>
      </c>
      <c r="AO23" s="21">
        <v>60</v>
      </c>
      <c r="AP23" s="21" t="s">
        <v>1229</v>
      </c>
      <c r="AS23" s="30"/>
      <c r="AT23" t="s">
        <v>597</v>
      </c>
      <c r="AU23" s="21" t="s">
        <v>255</v>
      </c>
      <c r="AW23" s="21" t="s">
        <v>1447</v>
      </c>
      <c r="AX23" s="30">
        <v>43028</v>
      </c>
      <c r="AY23" s="21" t="s">
        <v>1467</v>
      </c>
      <c r="AZ23" s="21" t="s">
        <v>1449</v>
      </c>
      <c r="BA23" s="21">
        <v>8</v>
      </c>
      <c r="BB23" s="21">
        <v>1</v>
      </c>
      <c r="BG23" s="30"/>
      <c r="BP23" s="30"/>
      <c r="BU23" t="s">
        <v>681</v>
      </c>
      <c r="BV23" s="21" t="s">
        <v>682</v>
      </c>
      <c r="BW23" s="21" t="s">
        <v>1226</v>
      </c>
      <c r="BX23" s="21" t="s">
        <v>1227</v>
      </c>
      <c r="BY23" s="31">
        <v>2414634</v>
      </c>
      <c r="BZ23" s="31">
        <v>2414634</v>
      </c>
      <c r="CB23" s="21" t="s">
        <v>1231</v>
      </c>
      <c r="CC23" s="21" t="s">
        <v>1232</v>
      </c>
      <c r="CD23" s="21" t="s">
        <v>1233</v>
      </c>
      <c r="CE23" s="21" t="s">
        <v>1165</v>
      </c>
      <c r="CF23" s="31">
        <v>1500000</v>
      </c>
      <c r="CG23" s="31">
        <v>1500000</v>
      </c>
      <c r="CI23" s="21" t="s">
        <v>1235</v>
      </c>
      <c r="CJ23" s="21" t="s">
        <v>1236</v>
      </c>
      <c r="CK23" s="21" t="s">
        <v>1237</v>
      </c>
      <c r="CL23" s="21" t="s">
        <v>253</v>
      </c>
      <c r="CM23" s="31">
        <v>1267898</v>
      </c>
      <c r="CN23" s="31">
        <v>1267898</v>
      </c>
      <c r="CP23" s="21" t="s">
        <v>1239</v>
      </c>
      <c r="CQ23" s="21" t="s">
        <v>1240</v>
      </c>
      <c r="CR23" s="21" t="s">
        <v>1241</v>
      </c>
      <c r="CS23" s="21" t="s">
        <v>353</v>
      </c>
      <c r="CT23" s="31">
        <v>916599</v>
      </c>
      <c r="CU23" s="31">
        <v>916599</v>
      </c>
      <c r="CV23" s="31"/>
      <c r="DA23" s="31"/>
      <c r="DB23" s="31"/>
      <c r="DC23" s="31"/>
      <c r="DH23" s="31"/>
      <c r="DI23" s="31"/>
      <c r="DO23" s="31"/>
      <c r="DP23" s="31"/>
      <c r="DR23" t="s">
        <v>1450</v>
      </c>
      <c r="DS23" t="s">
        <v>1451</v>
      </c>
      <c r="DT23" t="s">
        <v>1452</v>
      </c>
      <c r="DU23" s="29" t="s">
        <v>1453</v>
      </c>
      <c r="DV23" t="s">
        <v>173</v>
      </c>
      <c r="DW23" t="s">
        <v>387</v>
      </c>
      <c r="DX23" t="s">
        <v>171</v>
      </c>
      <c r="DY23" t="s">
        <v>168</v>
      </c>
      <c r="DZ23" t="s">
        <v>169</v>
      </c>
      <c r="EA23" s="22">
        <v>43075.751620370371</v>
      </c>
      <c r="EB23" t="s">
        <v>1230</v>
      </c>
      <c r="EC23" t="s">
        <v>1468</v>
      </c>
    </row>
    <row r="24" spans="1:133">
      <c r="A24" s="30"/>
      <c r="B24" s="22">
        <v>42800.704861111109</v>
      </c>
      <c r="C24" s="22" t="s">
        <v>1123</v>
      </c>
      <c r="D24" s="30" t="s">
        <v>1124</v>
      </c>
      <c r="E24" s="30" t="s">
        <v>1125</v>
      </c>
      <c r="F24" s="30" t="s">
        <v>170</v>
      </c>
      <c r="G24" s="30" t="s">
        <v>172</v>
      </c>
      <c r="H24" t="s">
        <v>94</v>
      </c>
      <c r="I24" t="s">
        <v>1126</v>
      </c>
      <c r="J24" t="s">
        <v>596</v>
      </c>
      <c r="L24">
        <v>1</v>
      </c>
      <c r="M24" s="26">
        <v>3</v>
      </c>
      <c r="N24" t="s">
        <v>254</v>
      </c>
      <c r="Q24" s="29" t="s">
        <v>13</v>
      </c>
      <c r="R24" s="29" t="str">
        <f>IFERROR(MID(RADataTable[[#This Row],[RAtemplate]],1,LEN(RADataTable[[#This Row],[RAtemplate]])-8),"RA") &amp; " " &amp; RADataTable[[#This Row],[prop_id0]] &amp; " " &amp; RADataTable[[#This Row],[last0]]</f>
        <v>RA 1739927 Gerdes</v>
      </c>
      <c r="U24" s="21" t="str">
        <f>IF(signer1="PD",IF(ISBLANK(RADataTable[[#This Row],[sign_blck_name]]),"",RADataTable[[#This Row],[sign_blck_name]]),IF(ISBLANK(signer1),"",signer1))</f>
        <v>David Corman</v>
      </c>
      <c r="V24" s="29" t="str">
        <f>signer2</f>
        <v>Cognisant Program Director</v>
      </c>
      <c r="W24" s="15" t="str">
        <f>HYPERLINK("https://www.ejacket.nsf.gov/ej/showProposal.do?Continue=Y&amp;ID="&amp;RADataTable[[#This Row],[prop_id0]],"eJ")</f>
        <v>eJ</v>
      </c>
      <c r="X24" s="15" t="str">
        <f>HYPERLINK("mailto:"&amp;RADataTable[[#This Row],[email]]&amp;"&amp;subject=Your NSF Proposal:  "&amp;RADataTable[[#This Row],[Div]]&amp;" "&amp;RADataTable[[#This Row],[prop_id0]], RADataTable[[#This Row],[email]])</f>
        <v>rgerdes@vt.edu</v>
      </c>
      <c r="Y24" s="15" t="str">
        <f>HYPERLINK("mailto:"&amp;RADataTable[[#This Row],[allPIemail]]&amp;"&amp;subject=NSF Proposal:  "&amp;RADataTable[[#This Row],[Div]]&amp;" "&amp;RADataTable[[#This Row],[prop_id0]], "PIs@")</f>
        <v>PIs@</v>
      </c>
      <c r="Z24" t="s">
        <v>1127</v>
      </c>
      <c r="AA24" t="s">
        <v>689</v>
      </c>
      <c r="AB24">
        <v>4</v>
      </c>
      <c r="AC24">
        <v>4</v>
      </c>
      <c r="AD24"/>
      <c r="AE24" s="21" t="str">
        <f>IF(RADataTable[[#This Row],[maxScore]]-RADataTable[[#This Row],[minScore]]&gt;4,"Y","")</f>
        <v/>
      </c>
      <c r="AF24" s="21">
        <v>3</v>
      </c>
      <c r="AG24" s="26">
        <v>5</v>
      </c>
      <c r="AH24">
        <v>7</v>
      </c>
      <c r="AI24" t="s">
        <v>1244</v>
      </c>
      <c r="AJ24" s="30">
        <v>43027.59652777778</v>
      </c>
      <c r="AK24" s="13">
        <v>4974830</v>
      </c>
      <c r="AL24" s="13">
        <v>4974830</v>
      </c>
      <c r="AM24">
        <v>0</v>
      </c>
      <c r="AN24" s="30">
        <v>42917</v>
      </c>
      <c r="AO24" s="21">
        <v>60</v>
      </c>
      <c r="AP24" s="21" t="s">
        <v>1245</v>
      </c>
      <c r="AS24" s="30"/>
      <c r="AT24" t="s">
        <v>597</v>
      </c>
      <c r="AU24" s="21" t="s">
        <v>255</v>
      </c>
      <c r="AW24" s="21" t="s">
        <v>1447</v>
      </c>
      <c r="AX24" s="30">
        <v>43028</v>
      </c>
      <c r="AY24" s="21" t="s">
        <v>1469</v>
      </c>
      <c r="AZ24" s="21" t="s">
        <v>1449</v>
      </c>
      <c r="BA24" s="21">
        <v>8</v>
      </c>
      <c r="BB24" s="21">
        <v>1</v>
      </c>
      <c r="BG24" s="30"/>
      <c r="BP24" s="30"/>
      <c r="BU24" t="s">
        <v>689</v>
      </c>
      <c r="BV24" s="21" t="s">
        <v>690</v>
      </c>
      <c r="BW24" s="21" t="s">
        <v>1243</v>
      </c>
      <c r="BX24" s="21" t="s">
        <v>361</v>
      </c>
      <c r="BY24" s="31">
        <v>2296997</v>
      </c>
      <c r="BZ24" s="31">
        <v>2296997</v>
      </c>
      <c r="CB24" s="21" t="s">
        <v>1247</v>
      </c>
      <c r="CC24" s="21" t="s">
        <v>1248</v>
      </c>
      <c r="CD24" s="21" t="s">
        <v>1249</v>
      </c>
      <c r="CE24" s="21" t="s">
        <v>250</v>
      </c>
      <c r="CF24" s="31">
        <v>1000000</v>
      </c>
      <c r="CG24" s="31">
        <v>1000000</v>
      </c>
      <c r="CI24" s="21" t="s">
        <v>1251</v>
      </c>
      <c r="CJ24" s="21" t="s">
        <v>347</v>
      </c>
      <c r="CK24" s="21" t="s">
        <v>916</v>
      </c>
      <c r="CL24" s="21" t="s">
        <v>462</v>
      </c>
      <c r="CM24" s="31">
        <v>200189</v>
      </c>
      <c r="CN24" s="31">
        <v>200189</v>
      </c>
      <c r="CP24" s="21" t="s">
        <v>1254</v>
      </c>
      <c r="CQ24" s="21" t="s">
        <v>1255</v>
      </c>
      <c r="CR24" s="21" t="s">
        <v>1256</v>
      </c>
      <c r="CS24" s="21" t="s">
        <v>1257</v>
      </c>
      <c r="CT24" s="31">
        <v>1477644</v>
      </c>
      <c r="CU24" s="31">
        <v>1477644</v>
      </c>
      <c r="CV24" s="31"/>
      <c r="DA24" s="31"/>
      <c r="DB24" s="31"/>
      <c r="DC24" s="31"/>
      <c r="DH24" s="31"/>
      <c r="DI24" s="31"/>
      <c r="DO24" s="31"/>
      <c r="DP24" s="31"/>
      <c r="DR24" t="s">
        <v>1450</v>
      </c>
      <c r="DS24" t="s">
        <v>1451</v>
      </c>
      <c r="DT24" t="s">
        <v>1452</v>
      </c>
      <c r="DU24" s="29" t="s">
        <v>1453</v>
      </c>
      <c r="DV24" t="s">
        <v>173</v>
      </c>
      <c r="DW24" t="s">
        <v>387</v>
      </c>
      <c r="DX24" t="s">
        <v>171</v>
      </c>
      <c r="DY24" t="s">
        <v>168</v>
      </c>
      <c r="DZ24" t="s">
        <v>169</v>
      </c>
      <c r="EA24" s="22">
        <v>43075.751620370371</v>
      </c>
      <c r="EB24" t="s">
        <v>1246</v>
      </c>
      <c r="EC24" t="s">
        <v>1470</v>
      </c>
    </row>
    <row r="25" spans="1:133">
      <c r="A25" s="30"/>
      <c r="B25" s="22">
        <v>42800.832638888889</v>
      </c>
      <c r="C25" s="22" t="s">
        <v>1123</v>
      </c>
      <c r="D25" s="30" t="s">
        <v>1124</v>
      </c>
      <c r="E25" s="30" t="s">
        <v>1125</v>
      </c>
      <c r="F25" s="30" t="s">
        <v>170</v>
      </c>
      <c r="G25" s="30" t="s">
        <v>172</v>
      </c>
      <c r="H25" t="s">
        <v>94</v>
      </c>
      <c r="I25" t="s">
        <v>1126</v>
      </c>
      <c r="J25" t="s">
        <v>596</v>
      </c>
      <c r="L25">
        <v>1</v>
      </c>
      <c r="M25" s="26">
        <v>3</v>
      </c>
      <c r="N25" t="s">
        <v>254</v>
      </c>
      <c r="Q25" s="29" t="s">
        <v>13</v>
      </c>
      <c r="R25" s="29" t="str">
        <f>IFERROR(MID(RADataTable[[#This Row],[RAtemplate]],1,LEN(RADataTable[[#This Row],[RAtemplate]])-8),"RA") &amp; " " &amp; RADataTable[[#This Row],[prop_id0]] &amp; " " &amp; RADataTable[[#This Row],[last0]]</f>
        <v>RA 1740088 Venkatasubramanian</v>
      </c>
      <c r="U25" s="21" t="str">
        <f>IF(signer1="PD",IF(ISBLANK(RADataTable[[#This Row],[sign_blck_name]]),"",RADataTable[[#This Row],[sign_blck_name]]),IF(ISBLANK(signer1),"",signer1))</f>
        <v>David Corman</v>
      </c>
      <c r="V25" s="29" t="str">
        <f>signer2</f>
        <v>Cognisant Program Director</v>
      </c>
      <c r="W25" s="15" t="str">
        <f>HYPERLINK("https://www.ejacket.nsf.gov/ej/showProposal.do?Continue=Y&amp;ID="&amp;RADataTable[[#This Row],[prop_id0]],"eJ")</f>
        <v>eJ</v>
      </c>
      <c r="X25" s="15" t="str">
        <f>HYPERLINK("mailto:"&amp;RADataTable[[#This Row],[email]]&amp;"&amp;subject=Your NSF Proposal:  "&amp;RADataTable[[#This Row],[Div]]&amp;" "&amp;RADataTable[[#This Row],[prop_id0]], RADataTable[[#This Row],[email]])</f>
        <v>nalini@ics.uci.edu</v>
      </c>
      <c r="Y25" s="15" t="str">
        <f>HYPERLINK("mailto:"&amp;RADataTable[[#This Row],[allPIemail]]&amp;"&amp;subject=NSF Proposal:  "&amp;RADataTable[[#This Row],[Div]]&amp;" "&amp;RADataTable[[#This Row],[prop_id0]], "PIs@")</f>
        <v>PIs@</v>
      </c>
      <c r="Z25" t="s">
        <v>1127</v>
      </c>
      <c r="AA25" t="s">
        <v>696</v>
      </c>
      <c r="AB25">
        <v>4</v>
      </c>
      <c r="AC25">
        <v>4</v>
      </c>
      <c r="AD25"/>
      <c r="AE25" s="21" t="str">
        <f>IF(RADataTable[[#This Row],[maxScore]]-RADataTable[[#This Row],[minScore]]&gt;4,"Y","")</f>
        <v/>
      </c>
      <c r="AF25" s="21">
        <v>4</v>
      </c>
      <c r="AG25" s="26">
        <v>4.75</v>
      </c>
      <c r="AH25">
        <v>5</v>
      </c>
      <c r="AI25" t="s">
        <v>1218</v>
      </c>
      <c r="AJ25" s="30">
        <v>43028.537499999999</v>
      </c>
      <c r="AK25" s="13">
        <v>6995030</v>
      </c>
      <c r="AL25" s="13">
        <v>6995030</v>
      </c>
      <c r="AM25">
        <v>0</v>
      </c>
      <c r="AN25" s="30">
        <v>43009</v>
      </c>
      <c r="AO25" s="21">
        <v>48</v>
      </c>
      <c r="AP25" s="21" t="s">
        <v>1259</v>
      </c>
      <c r="AS25" s="30"/>
      <c r="AT25" t="s">
        <v>597</v>
      </c>
      <c r="AU25" s="21" t="s">
        <v>255</v>
      </c>
      <c r="AW25" s="21" t="s">
        <v>1447</v>
      </c>
      <c r="AX25" s="30">
        <v>43028</v>
      </c>
      <c r="AY25" s="21" t="s">
        <v>1465</v>
      </c>
      <c r="AZ25" s="21" t="s">
        <v>1449</v>
      </c>
      <c r="BA25" s="21">
        <v>8</v>
      </c>
      <c r="BB25" s="21">
        <v>0</v>
      </c>
      <c r="BG25" s="30"/>
      <c r="BP25" s="30"/>
      <c r="BU25" t="s">
        <v>696</v>
      </c>
      <c r="BV25" s="21" t="s">
        <v>697</v>
      </c>
      <c r="BW25" s="21" t="s">
        <v>465</v>
      </c>
      <c r="BX25" s="21" t="s">
        <v>570</v>
      </c>
      <c r="BY25" s="31">
        <v>5296730</v>
      </c>
      <c r="BZ25" s="31">
        <v>5296730</v>
      </c>
      <c r="CB25" s="21" t="s">
        <v>1261</v>
      </c>
      <c r="CC25" s="21" t="s">
        <v>1262</v>
      </c>
      <c r="CD25" s="21" t="s">
        <v>1263</v>
      </c>
      <c r="CE25" s="21" t="s">
        <v>1264</v>
      </c>
      <c r="CF25" s="31">
        <v>900000</v>
      </c>
      <c r="CG25" s="31">
        <v>900000</v>
      </c>
      <c r="CI25" s="21" t="s">
        <v>1266</v>
      </c>
      <c r="CJ25" s="21" t="s">
        <v>1267</v>
      </c>
      <c r="CK25" s="21" t="s">
        <v>1268</v>
      </c>
      <c r="CL25" s="21" t="s">
        <v>1269</v>
      </c>
      <c r="CM25" s="31">
        <v>798300</v>
      </c>
      <c r="CN25" s="31">
        <v>798300</v>
      </c>
      <c r="CT25" s="31"/>
      <c r="CU25" s="31"/>
      <c r="CV25" s="31"/>
      <c r="DA25" s="31"/>
      <c r="DB25" s="31"/>
      <c r="DC25" s="31"/>
      <c r="DH25" s="31"/>
      <c r="DI25" s="31"/>
      <c r="DO25" s="31"/>
      <c r="DP25" s="31"/>
      <c r="DR25" t="s">
        <v>1450</v>
      </c>
      <c r="DS25" t="s">
        <v>1451</v>
      </c>
      <c r="DT25" t="s">
        <v>1452</v>
      </c>
      <c r="DU25" s="29" t="s">
        <v>1453</v>
      </c>
      <c r="DV25" t="s">
        <v>173</v>
      </c>
      <c r="DW25" t="s">
        <v>387</v>
      </c>
      <c r="DX25" t="s">
        <v>171</v>
      </c>
      <c r="DY25" t="s">
        <v>168</v>
      </c>
      <c r="DZ25" t="s">
        <v>169</v>
      </c>
      <c r="EA25" s="22">
        <v>43075.751620370371</v>
      </c>
      <c r="EB25" t="s">
        <v>1260</v>
      </c>
      <c r="EC25" t="s">
        <v>1471</v>
      </c>
    </row>
    <row r="26" spans="1:133">
      <c r="A26" s="30"/>
      <c r="B26" s="22">
        <v>42930.439583333333</v>
      </c>
      <c r="C26" s="22" t="s">
        <v>248</v>
      </c>
      <c r="D26" s="30" t="s">
        <v>1124</v>
      </c>
      <c r="E26" s="30" t="s">
        <v>1125</v>
      </c>
      <c r="F26" s="30" t="s">
        <v>170</v>
      </c>
      <c r="G26" s="30" t="s">
        <v>172</v>
      </c>
      <c r="H26" t="s">
        <v>94</v>
      </c>
      <c r="I26" t="s">
        <v>1271</v>
      </c>
      <c r="J26" t="s">
        <v>596</v>
      </c>
      <c r="L26">
        <v>1</v>
      </c>
      <c r="M26" s="26">
        <v>3</v>
      </c>
      <c r="N26" t="s">
        <v>254</v>
      </c>
      <c r="Q26" s="29" t="s">
        <v>13</v>
      </c>
      <c r="R26" s="29" t="str">
        <f>IFERROR(MID(RADataTable[[#This Row],[RAtemplate]],1,LEN(RADataTable[[#This Row],[RAtemplate]])-8),"RA") &amp; " " &amp; RADataTable[[#This Row],[prop_id0]] &amp; " " &amp; RADataTable[[#This Row],[last0]]</f>
        <v>RA 1749118 Dawn</v>
      </c>
      <c r="U26" s="21" t="str">
        <f>IF(signer1="PD",IF(ISBLANK(RADataTable[[#This Row],[sign_blck_name]]),"",RADataTable[[#This Row],[sign_blck_name]]),IF(ISBLANK(signer1),"",signer1))</f>
        <v>David Corman</v>
      </c>
      <c r="V26" s="29" t="str">
        <f>signer2</f>
        <v>Cognisant Program Director</v>
      </c>
      <c r="W26" s="15" t="str">
        <f>HYPERLINK("https://www.ejacket.nsf.gov/ej/showProposal.do?Continue=Y&amp;ID="&amp;RADataTable[[#This Row],[prop_id0]],"eJ")</f>
        <v>eJ</v>
      </c>
      <c r="X26" s="15" t="str">
        <f>HYPERLINK("mailto:"&amp;RADataTable[[#This Row],[email]]&amp;"&amp;subject=Your NSF Proposal:  "&amp;RADataTable[[#This Row],[Div]]&amp;" "&amp;RADataTable[[#This Row],[prop_id0]], RADataTable[[#This Row],[email]])</f>
        <v>debasis.dawn@ndsu.edu</v>
      </c>
      <c r="Y26" s="15" t="str">
        <f>HYPERLINK("mailto:"&amp;RADataTable[[#This Row],[allPIemail]]&amp;"&amp;subject=NSF Proposal:  "&amp;RADataTable[[#This Row],[Div]]&amp;" "&amp;RADataTable[[#This Row],[prop_id0]], "PIs@")</f>
        <v>PIs@</v>
      </c>
      <c r="Z26" t="s">
        <v>1127</v>
      </c>
      <c r="AA26" t="s">
        <v>728</v>
      </c>
      <c r="AB26">
        <v>4</v>
      </c>
      <c r="AC26">
        <v>4</v>
      </c>
      <c r="AD26"/>
      <c r="AE26" s="21" t="str">
        <f>IF(RADataTable[[#This Row],[maxScore]]-RADataTable[[#This Row],[minScore]]&gt;4,"Y","")</f>
        <v/>
      </c>
      <c r="AF26" s="21">
        <v>4</v>
      </c>
      <c r="AG26" s="26">
        <v>5.5</v>
      </c>
      <c r="AH26">
        <v>7</v>
      </c>
      <c r="AI26" t="s">
        <v>366</v>
      </c>
      <c r="AJ26" s="30">
        <v>43041.597916666666</v>
      </c>
      <c r="AK26" s="13">
        <v>504542</v>
      </c>
      <c r="AL26" s="13">
        <v>504542</v>
      </c>
      <c r="AM26">
        <v>0</v>
      </c>
      <c r="AN26" s="30">
        <v>43132</v>
      </c>
      <c r="AO26" s="21">
        <v>60</v>
      </c>
      <c r="AP26" s="21" t="s">
        <v>1277</v>
      </c>
      <c r="AS26" s="30"/>
      <c r="AT26" t="s">
        <v>706</v>
      </c>
      <c r="AU26" s="21" t="s">
        <v>255</v>
      </c>
      <c r="AW26" s="21" t="s">
        <v>1472</v>
      </c>
      <c r="AX26" s="30">
        <v>43042</v>
      </c>
      <c r="AY26" s="21" t="s">
        <v>392</v>
      </c>
      <c r="AZ26" s="21" t="s">
        <v>1474</v>
      </c>
      <c r="BA26" s="21">
        <v>13</v>
      </c>
      <c r="BB26" s="21">
        <v>0</v>
      </c>
      <c r="BG26" s="30"/>
      <c r="BP26" s="30"/>
      <c r="BU26" t="s">
        <v>728</v>
      </c>
      <c r="BV26" s="21" t="s">
        <v>729</v>
      </c>
      <c r="BW26" s="21" t="s">
        <v>1275</v>
      </c>
      <c r="BX26" s="21" t="s">
        <v>1276</v>
      </c>
      <c r="BY26" s="31">
        <v>504542</v>
      </c>
      <c r="BZ26" s="31">
        <v>504542</v>
      </c>
      <c r="CA26" t="s">
        <v>1274</v>
      </c>
      <c r="CF26" s="31"/>
      <c r="CG26" s="31"/>
      <c r="CM26" s="31"/>
      <c r="CN26" s="31"/>
      <c r="CT26" s="31"/>
      <c r="CU26" s="31"/>
      <c r="CV26" s="31"/>
      <c r="DA26" s="31"/>
      <c r="DB26" s="31"/>
      <c r="DC26" s="31"/>
      <c r="DH26" s="31"/>
      <c r="DI26" s="31"/>
      <c r="DO26" s="31"/>
      <c r="DP26" s="31"/>
      <c r="DR26" t="s">
        <v>252</v>
      </c>
      <c r="DS26" t="s">
        <v>1451</v>
      </c>
      <c r="DT26" t="s">
        <v>1452</v>
      </c>
      <c r="DU26" s="29" t="s">
        <v>1453</v>
      </c>
      <c r="DV26" t="s">
        <v>173</v>
      </c>
      <c r="DW26" t="s">
        <v>387</v>
      </c>
      <c r="DX26" t="s">
        <v>171</v>
      </c>
      <c r="DY26" t="s">
        <v>168</v>
      </c>
      <c r="DZ26" t="s">
        <v>169</v>
      </c>
      <c r="EA26" s="22">
        <v>43075.751620370371</v>
      </c>
      <c r="EB26" t="s">
        <v>1278</v>
      </c>
      <c r="EC26" t="s">
        <v>1476</v>
      </c>
    </row>
    <row r="27" spans="1:133">
      <c r="A27" s="30"/>
      <c r="B27" s="22">
        <v>42935.527777777781</v>
      </c>
      <c r="C27" s="22" t="s">
        <v>248</v>
      </c>
      <c r="D27" s="30" t="s">
        <v>1124</v>
      </c>
      <c r="E27" s="30" t="s">
        <v>1125</v>
      </c>
      <c r="F27" s="30" t="s">
        <v>170</v>
      </c>
      <c r="G27" s="30" t="s">
        <v>172</v>
      </c>
      <c r="H27" t="s">
        <v>94</v>
      </c>
      <c r="I27" t="s">
        <v>1271</v>
      </c>
      <c r="J27" t="s">
        <v>596</v>
      </c>
      <c r="L27">
        <v>1</v>
      </c>
      <c r="M27" s="26">
        <v>3</v>
      </c>
      <c r="N27" t="s">
        <v>254</v>
      </c>
      <c r="Q27" s="29" t="s">
        <v>13</v>
      </c>
      <c r="R27" s="29" t="str">
        <f>IFERROR(MID(RADataTable[[#This Row],[RAtemplate]],1,LEN(RADataTable[[#This Row],[RAtemplate]])-8),"RA") &amp; " " &amp; RADataTable[[#This Row],[prop_id0]] &amp; " " &amp; RADataTable[[#This Row],[last0]]</f>
        <v>RA 1750414 Zeng</v>
      </c>
      <c r="U27" s="21" t="str">
        <f>IF(signer1="PD",IF(ISBLANK(RADataTable[[#This Row],[sign_blck_name]]),"",RADataTable[[#This Row],[sign_blck_name]]),IF(ISBLANK(signer1),"",signer1))</f>
        <v>David Corman</v>
      </c>
      <c r="V27" s="29" t="str">
        <f>signer2</f>
        <v>Cognisant Program Director</v>
      </c>
      <c r="W27" s="15" t="str">
        <f>HYPERLINK("https://www.ejacket.nsf.gov/ej/showProposal.do?Continue=Y&amp;ID="&amp;RADataTable[[#This Row],[prop_id0]],"eJ")</f>
        <v>eJ</v>
      </c>
      <c r="X27" s="15" t="str">
        <f>HYPERLINK("mailto:"&amp;RADataTable[[#This Row],[email]]&amp;"&amp;subject=Your NSF Proposal:  "&amp;RADataTable[[#This Row],[Div]]&amp;" "&amp;RADataTable[[#This Row],[prop_id0]], RADataTable[[#This Row],[email]])</f>
        <v>hbzeng@vt.edu</v>
      </c>
      <c r="Y27" s="15" t="str">
        <f>HYPERLINK("mailto:"&amp;RADataTable[[#This Row],[allPIemail]]&amp;"&amp;subject=NSF Proposal:  "&amp;RADataTable[[#This Row],[Div]]&amp;" "&amp;RADataTable[[#This Row],[prop_id0]], "PIs@")</f>
        <v>PIs@</v>
      </c>
      <c r="Z27" t="s">
        <v>1127</v>
      </c>
      <c r="AA27" t="s">
        <v>793</v>
      </c>
      <c r="AB27">
        <v>4</v>
      </c>
      <c r="AC27">
        <v>4</v>
      </c>
      <c r="AD27"/>
      <c r="AE27" s="21" t="str">
        <f>IF(RADataTable[[#This Row],[maxScore]]-RADataTable[[#This Row],[minScore]]&gt;4,"Y","")</f>
        <v/>
      </c>
      <c r="AF27" s="21">
        <v>3</v>
      </c>
      <c r="AG27" s="26">
        <v>4.75</v>
      </c>
      <c r="AH27">
        <v>7</v>
      </c>
      <c r="AI27" t="s">
        <v>364</v>
      </c>
      <c r="AJ27" s="30">
        <v>43042.438194444447</v>
      </c>
      <c r="AK27" s="13">
        <v>499449</v>
      </c>
      <c r="AL27" s="13">
        <v>499449</v>
      </c>
      <c r="AM27">
        <v>0</v>
      </c>
      <c r="AN27" s="30">
        <v>43101</v>
      </c>
      <c r="AO27" s="21">
        <v>60</v>
      </c>
      <c r="AP27" s="21" t="s">
        <v>1293</v>
      </c>
      <c r="AS27" s="30"/>
      <c r="AT27" t="s">
        <v>706</v>
      </c>
      <c r="AU27" s="21" t="s">
        <v>255</v>
      </c>
      <c r="AW27" s="21" t="s">
        <v>1472</v>
      </c>
      <c r="AX27" s="30">
        <v>43042</v>
      </c>
      <c r="AY27" s="21" t="s">
        <v>391</v>
      </c>
      <c r="AZ27" s="21" t="s">
        <v>1474</v>
      </c>
      <c r="BA27" s="21">
        <v>13</v>
      </c>
      <c r="BB27" s="21">
        <v>0</v>
      </c>
      <c r="BG27" s="30"/>
      <c r="BP27" s="30"/>
      <c r="BU27" t="s">
        <v>793</v>
      </c>
      <c r="BV27" s="21" t="s">
        <v>794</v>
      </c>
      <c r="BW27" s="21" t="s">
        <v>1292</v>
      </c>
      <c r="BX27" s="21" t="s">
        <v>361</v>
      </c>
      <c r="BY27" s="31">
        <v>499449</v>
      </c>
      <c r="BZ27" s="31">
        <v>499449</v>
      </c>
      <c r="CA27" t="s">
        <v>256</v>
      </c>
      <c r="CF27" s="31"/>
      <c r="CG27" s="31"/>
      <c r="CM27" s="31"/>
      <c r="CN27" s="31"/>
      <c r="CT27" s="31"/>
      <c r="CU27" s="31"/>
      <c r="CV27" s="31"/>
      <c r="DA27" s="31"/>
      <c r="DB27" s="31"/>
      <c r="DC27" s="31"/>
      <c r="DH27" s="31"/>
      <c r="DI27" s="31"/>
      <c r="DO27" s="31"/>
      <c r="DP27" s="31"/>
      <c r="DR27" t="s">
        <v>252</v>
      </c>
      <c r="DS27" t="s">
        <v>1451</v>
      </c>
      <c r="DT27" t="s">
        <v>1452</v>
      </c>
      <c r="DU27" s="29" t="s">
        <v>1453</v>
      </c>
      <c r="DV27" t="s">
        <v>173</v>
      </c>
      <c r="DW27" t="s">
        <v>387</v>
      </c>
      <c r="DX27" t="s">
        <v>171</v>
      </c>
      <c r="DY27" t="s">
        <v>168</v>
      </c>
      <c r="DZ27" t="s">
        <v>169</v>
      </c>
      <c r="EA27" s="22">
        <v>43075.751620370371</v>
      </c>
      <c r="EB27" t="s">
        <v>1294</v>
      </c>
      <c r="EC27" t="s">
        <v>1487</v>
      </c>
    </row>
    <row r="28" spans="1:133">
      <c r="A28" s="30"/>
      <c r="B28" s="22">
        <v>42935.531944444447</v>
      </c>
      <c r="C28" s="22" t="s">
        <v>248</v>
      </c>
      <c r="D28" s="30" t="s">
        <v>1124</v>
      </c>
      <c r="E28" s="30" t="s">
        <v>1125</v>
      </c>
      <c r="F28" s="30" t="s">
        <v>170</v>
      </c>
      <c r="G28" s="30" t="s">
        <v>172</v>
      </c>
      <c r="H28" t="s">
        <v>94</v>
      </c>
      <c r="I28" t="s">
        <v>1271</v>
      </c>
      <c r="J28" t="s">
        <v>596</v>
      </c>
      <c r="L28">
        <v>1</v>
      </c>
      <c r="M28" s="26">
        <v>3</v>
      </c>
      <c r="N28" t="s">
        <v>254</v>
      </c>
      <c r="Q28" s="29" t="s">
        <v>13</v>
      </c>
      <c r="R28" s="29" t="str">
        <f>IFERROR(MID(RADataTable[[#This Row],[RAtemplate]],1,LEN(RADataTable[[#This Row],[RAtemplate]])-8),"RA") &amp; " " &amp; RADataTable[[#This Row],[prop_id0]] &amp; " " &amp; RADataTable[[#This Row],[last0]]</f>
        <v>RA 1750426 Li</v>
      </c>
      <c r="U28" s="21" t="str">
        <f>IF(signer1="PD",IF(ISBLANK(RADataTable[[#This Row],[sign_blck_name]]),"",RADataTable[[#This Row],[sign_blck_name]]),IF(ISBLANK(signer1),"",signer1))</f>
        <v>David Corman</v>
      </c>
      <c r="V28" s="29" t="str">
        <f>signer2</f>
        <v>Cognisant Program Director</v>
      </c>
      <c r="W28" s="15" t="str">
        <f>HYPERLINK("https://www.ejacket.nsf.gov/ej/showProposal.do?Continue=Y&amp;ID="&amp;RADataTable[[#This Row],[prop_id0]],"eJ")</f>
        <v>eJ</v>
      </c>
      <c r="X28" s="15" t="str">
        <f>HYPERLINK("mailto:"&amp;RADataTable[[#This Row],[email]]&amp;"&amp;subject=Your NSF Proposal:  "&amp;RADataTable[[#This Row],[Div]]&amp;" "&amp;RADataTable[[#This Row],[prop_id0]], RADataTable[[#This Row],[email]])</f>
        <v>yli15@wpi.edu</v>
      </c>
      <c r="Y28" s="15" t="str">
        <f>HYPERLINK("mailto:"&amp;RADataTable[[#This Row],[allPIemail]]&amp;"&amp;subject=NSF Proposal:  "&amp;RADataTable[[#This Row],[Div]]&amp;" "&amp;RADataTable[[#This Row],[prop_id0]], "PIs@")</f>
        <v>PIs@</v>
      </c>
      <c r="Z28" t="s">
        <v>1127</v>
      </c>
      <c r="AA28" t="s">
        <v>800</v>
      </c>
      <c r="AB28">
        <v>4</v>
      </c>
      <c r="AC28">
        <v>4</v>
      </c>
      <c r="AD28"/>
      <c r="AE28" s="21" t="str">
        <f>IF(RADataTable[[#This Row],[maxScore]]-RADataTable[[#This Row],[minScore]]&gt;4,"Y","")</f>
        <v/>
      </c>
      <c r="AF28" s="21">
        <v>4</v>
      </c>
      <c r="AG28" s="26">
        <v>5.25</v>
      </c>
      <c r="AH28">
        <v>7</v>
      </c>
      <c r="AI28" t="s">
        <v>355</v>
      </c>
      <c r="AJ28" s="30">
        <v>43041.432638888888</v>
      </c>
      <c r="AK28" s="13">
        <v>499714</v>
      </c>
      <c r="AL28" s="13">
        <v>499714</v>
      </c>
      <c r="AM28">
        <v>0</v>
      </c>
      <c r="AN28" s="30">
        <v>43282</v>
      </c>
      <c r="AO28" s="21">
        <v>60</v>
      </c>
      <c r="AP28" s="21" t="s">
        <v>1296</v>
      </c>
      <c r="AS28" s="30"/>
      <c r="AT28" t="s">
        <v>706</v>
      </c>
      <c r="AU28" s="21" t="s">
        <v>255</v>
      </c>
      <c r="AW28" s="21" t="s">
        <v>1472</v>
      </c>
      <c r="AX28" s="30">
        <v>43042</v>
      </c>
      <c r="AY28" s="21" t="s">
        <v>389</v>
      </c>
      <c r="AZ28" s="21" t="s">
        <v>1474</v>
      </c>
      <c r="BA28" s="21">
        <v>13</v>
      </c>
      <c r="BB28" s="21">
        <v>0</v>
      </c>
      <c r="BG28" s="30"/>
      <c r="BP28" s="30"/>
      <c r="BU28" t="s">
        <v>800</v>
      </c>
      <c r="BV28" s="21" t="s">
        <v>354</v>
      </c>
      <c r="BW28" s="21" t="s">
        <v>1295</v>
      </c>
      <c r="BX28" s="21" t="s">
        <v>1152</v>
      </c>
      <c r="BY28" s="31">
        <v>499714</v>
      </c>
      <c r="BZ28" s="31">
        <v>499714</v>
      </c>
      <c r="CA28" t="s">
        <v>256</v>
      </c>
      <c r="CF28" s="31"/>
      <c r="CG28" s="31"/>
      <c r="CM28" s="31"/>
      <c r="CN28" s="31"/>
      <c r="CT28" s="31"/>
      <c r="CU28" s="31"/>
      <c r="CV28" s="31"/>
      <c r="DA28" s="31"/>
      <c r="DB28" s="31"/>
      <c r="DC28" s="31"/>
      <c r="DH28" s="31"/>
      <c r="DI28" s="31"/>
      <c r="DO28" s="31"/>
      <c r="DP28" s="31"/>
      <c r="DR28" t="s">
        <v>252</v>
      </c>
      <c r="DS28" t="s">
        <v>1451</v>
      </c>
      <c r="DT28" t="s">
        <v>1452</v>
      </c>
      <c r="DU28" s="29" t="s">
        <v>1453</v>
      </c>
      <c r="DV28" t="s">
        <v>173</v>
      </c>
      <c r="DW28" t="s">
        <v>387</v>
      </c>
      <c r="DX28" t="s">
        <v>171</v>
      </c>
      <c r="DY28" t="s">
        <v>168</v>
      </c>
      <c r="DZ28" t="s">
        <v>169</v>
      </c>
      <c r="EA28" s="22">
        <v>43075.751620370371</v>
      </c>
      <c r="EB28" t="s">
        <v>1297</v>
      </c>
      <c r="EC28" t="s">
        <v>1488</v>
      </c>
    </row>
    <row r="29" spans="1:133">
      <c r="A29" s="30"/>
      <c r="B29" s="22">
        <v>42935.549305555556</v>
      </c>
      <c r="C29" s="22" t="s">
        <v>248</v>
      </c>
      <c r="D29" s="30" t="s">
        <v>1124</v>
      </c>
      <c r="E29" s="30" t="s">
        <v>1125</v>
      </c>
      <c r="F29" s="30" t="s">
        <v>170</v>
      </c>
      <c r="G29" s="30" t="s">
        <v>172</v>
      </c>
      <c r="H29" t="s">
        <v>94</v>
      </c>
      <c r="I29" t="s">
        <v>1271</v>
      </c>
      <c r="J29" t="s">
        <v>596</v>
      </c>
      <c r="L29">
        <v>1</v>
      </c>
      <c r="M29" s="26">
        <v>3</v>
      </c>
      <c r="N29" t="s">
        <v>254</v>
      </c>
      <c r="Q29" s="29" t="s">
        <v>13</v>
      </c>
      <c r="R29" s="29" t="str">
        <f>IFERROR(MID(RADataTable[[#This Row],[RAtemplate]],1,LEN(RADataTable[[#This Row],[RAtemplate]])-8),"RA") &amp; " " &amp; RADataTable[[#This Row],[prop_id0]] &amp; " " &amp; RADataTable[[#This Row],[last0]]</f>
        <v>RA 1750477 Xu</v>
      </c>
      <c r="U29" s="21" t="str">
        <f>IF(signer1="PD",IF(ISBLANK(RADataTable[[#This Row],[sign_blck_name]]),"",RADataTable[[#This Row],[sign_blck_name]]),IF(ISBLANK(signer1),"",signer1))</f>
        <v>David Corman</v>
      </c>
      <c r="V29" s="29" t="str">
        <f>signer2</f>
        <v>Cognisant Program Director</v>
      </c>
      <c r="W29" s="15" t="str">
        <f>HYPERLINK("https://www.ejacket.nsf.gov/ej/showProposal.do?Continue=Y&amp;ID="&amp;RADataTable[[#This Row],[prop_id0]],"eJ")</f>
        <v>eJ</v>
      </c>
      <c r="X29" s="15" t="str">
        <f>HYPERLINK("mailto:"&amp;RADataTable[[#This Row],[email]]&amp;"&amp;subject=Your NSF Proposal:  "&amp;RADataTable[[#This Row],[Div]]&amp;" "&amp;RADataTable[[#This Row],[prop_id0]], RADataTable[[#This Row],[email]])</f>
        <v>mumu@umd.edu</v>
      </c>
      <c r="Y29" s="15" t="str">
        <f>HYPERLINK("mailto:"&amp;RADataTable[[#This Row],[allPIemail]]&amp;"&amp;subject=NSF Proposal:  "&amp;RADataTable[[#This Row],[Div]]&amp;" "&amp;RADataTable[[#This Row],[prop_id0]], "PIs@")</f>
        <v>PIs@</v>
      </c>
      <c r="Z29" t="s">
        <v>1127</v>
      </c>
      <c r="AA29" t="s">
        <v>820</v>
      </c>
      <c r="AB29">
        <v>4</v>
      </c>
      <c r="AC29">
        <v>4</v>
      </c>
      <c r="AD29"/>
      <c r="AE29" s="21" t="str">
        <f>IF(RADataTable[[#This Row],[maxScore]]-RADataTable[[#This Row],[minScore]]&gt;4,"Y","")</f>
        <v/>
      </c>
      <c r="AF29" s="21">
        <v>3</v>
      </c>
      <c r="AG29" s="26">
        <v>4.25</v>
      </c>
      <c r="AH29">
        <v>5</v>
      </c>
      <c r="AI29" t="s">
        <v>1303</v>
      </c>
      <c r="AJ29" s="30">
        <v>43042.431944444441</v>
      </c>
      <c r="AK29" s="13">
        <v>500000</v>
      </c>
      <c r="AL29" s="13">
        <v>500000</v>
      </c>
      <c r="AM29">
        <v>0</v>
      </c>
      <c r="AN29" s="30">
        <v>43101</v>
      </c>
      <c r="AO29" s="21">
        <v>60</v>
      </c>
      <c r="AP29" s="21" t="s">
        <v>1304</v>
      </c>
      <c r="AS29" s="30"/>
      <c r="AT29" t="s">
        <v>706</v>
      </c>
      <c r="AU29" s="21" t="s">
        <v>255</v>
      </c>
      <c r="AW29" s="21" t="s">
        <v>1472</v>
      </c>
      <c r="AX29" s="30">
        <v>43042</v>
      </c>
      <c r="AY29" s="21" t="s">
        <v>1491</v>
      </c>
      <c r="AZ29" s="21" t="s">
        <v>1474</v>
      </c>
      <c r="BA29" s="21">
        <v>13</v>
      </c>
      <c r="BB29" s="21">
        <v>0</v>
      </c>
      <c r="BG29" s="30"/>
      <c r="BP29" s="30"/>
      <c r="BU29" t="s">
        <v>820</v>
      </c>
      <c r="BV29" s="21" t="s">
        <v>489</v>
      </c>
      <c r="BW29" s="21" t="s">
        <v>1302</v>
      </c>
      <c r="BX29" s="21" t="s">
        <v>475</v>
      </c>
      <c r="BY29" s="31">
        <v>500000</v>
      </c>
      <c r="BZ29" s="31">
        <v>500000</v>
      </c>
      <c r="CA29" t="s">
        <v>256</v>
      </c>
      <c r="CF29" s="31"/>
      <c r="CG29" s="31"/>
      <c r="CM29" s="31"/>
      <c r="CN29" s="31"/>
      <c r="CT29" s="31"/>
      <c r="CU29" s="31"/>
      <c r="CV29" s="31"/>
      <c r="DA29" s="31"/>
      <c r="DB29" s="31"/>
      <c r="DC29" s="31"/>
      <c r="DH29" s="31"/>
      <c r="DI29" s="31"/>
      <c r="DO29" s="31"/>
      <c r="DP29" s="31"/>
      <c r="DR29" t="s">
        <v>252</v>
      </c>
      <c r="DS29" t="s">
        <v>1451</v>
      </c>
      <c r="DT29" t="s">
        <v>1452</v>
      </c>
      <c r="DU29" s="29" t="s">
        <v>1453</v>
      </c>
      <c r="DV29" t="s">
        <v>173</v>
      </c>
      <c r="DW29" t="s">
        <v>387</v>
      </c>
      <c r="DX29" t="s">
        <v>171</v>
      </c>
      <c r="DY29" t="s">
        <v>168</v>
      </c>
      <c r="DZ29" t="s">
        <v>169</v>
      </c>
      <c r="EA29" s="22">
        <v>43075.751620370371</v>
      </c>
      <c r="EB29" t="s">
        <v>1305</v>
      </c>
      <c r="EC29" t="s">
        <v>1492</v>
      </c>
    </row>
    <row r="30" spans="1:133">
      <c r="A30" s="30"/>
      <c r="B30" s="22">
        <v>42935.572222222225</v>
      </c>
      <c r="C30" s="22" t="s">
        <v>248</v>
      </c>
      <c r="D30" s="30" t="s">
        <v>1124</v>
      </c>
      <c r="E30" s="30" t="s">
        <v>1125</v>
      </c>
      <c r="F30" s="30" t="s">
        <v>170</v>
      </c>
      <c r="G30" s="30" t="s">
        <v>172</v>
      </c>
      <c r="H30" t="s">
        <v>94</v>
      </c>
      <c r="I30" t="s">
        <v>1271</v>
      </c>
      <c r="J30" t="s">
        <v>596</v>
      </c>
      <c r="L30">
        <v>1</v>
      </c>
      <c r="M30" s="26">
        <v>3</v>
      </c>
      <c r="N30" t="s">
        <v>254</v>
      </c>
      <c r="Q30" s="29" t="s">
        <v>13</v>
      </c>
      <c r="R30" s="29" t="str">
        <f>IFERROR(MID(RADataTable[[#This Row],[RAtemplate]],1,LEN(RADataTable[[#This Row],[RAtemplate]])-8),"RA") &amp; " " &amp; RADataTable[[#This Row],[prop_id0]] &amp; " " &amp; RADataTable[[#This Row],[last0]]</f>
        <v>RA 1750541 Kong</v>
      </c>
      <c r="U30" s="21" t="str">
        <f>IF(signer1="PD",IF(ISBLANK(RADataTable[[#This Row],[sign_blck_name]]),"",RADataTable[[#This Row],[sign_blck_name]]),IF(ISBLANK(signer1),"",signer1))</f>
        <v>David Corman</v>
      </c>
      <c r="V30" s="29" t="str">
        <f>signer2</f>
        <v>Cognisant Program Director</v>
      </c>
      <c r="W30" s="15" t="str">
        <f>HYPERLINK("https://www.ejacket.nsf.gov/ej/showProposal.do?Continue=Y&amp;ID="&amp;RADataTable[[#This Row],[prop_id0]],"eJ")</f>
        <v>eJ</v>
      </c>
      <c r="X30" s="15" t="str">
        <f>HYPERLINK("mailto:"&amp;RADataTable[[#This Row],[email]]&amp;"&amp;subject=Your NSF Proposal:  "&amp;RADataTable[[#This Row],[Div]]&amp;" "&amp;RADataTable[[#This Row],[prop_id0]], RADataTable[[#This Row],[email]])</f>
        <v>zdkong@ucdavis.edu</v>
      </c>
      <c r="Y30" s="15" t="str">
        <f>HYPERLINK("mailto:"&amp;RADataTable[[#This Row],[allPIemail]]&amp;"&amp;subject=NSF Proposal:  "&amp;RADataTable[[#This Row],[Div]]&amp;" "&amp;RADataTable[[#This Row],[prop_id0]], "PIs@")</f>
        <v>PIs@</v>
      </c>
      <c r="Z30" t="s">
        <v>1127</v>
      </c>
      <c r="AA30" t="s">
        <v>837</v>
      </c>
      <c r="AB30">
        <v>4</v>
      </c>
      <c r="AC30">
        <v>4</v>
      </c>
      <c r="AD30"/>
      <c r="AE30" s="21" t="str">
        <f>IF(RADataTable[[#This Row],[maxScore]]-RADataTable[[#This Row],[minScore]]&gt;4,"Y","")</f>
        <v/>
      </c>
      <c r="AF30" s="21">
        <v>4</v>
      </c>
      <c r="AG30" s="26">
        <v>4.75</v>
      </c>
      <c r="AH30">
        <v>5</v>
      </c>
      <c r="AI30" t="s">
        <v>1218</v>
      </c>
      <c r="AJ30" s="30">
        <v>43041.372916666667</v>
      </c>
      <c r="AK30" s="13">
        <v>588632</v>
      </c>
      <c r="AL30" s="13">
        <v>588632</v>
      </c>
      <c r="AM30">
        <v>0</v>
      </c>
      <c r="AN30" s="30">
        <v>43160</v>
      </c>
      <c r="AO30" s="21">
        <v>60</v>
      </c>
      <c r="AP30" s="21" t="s">
        <v>1312</v>
      </c>
      <c r="AS30" s="30"/>
      <c r="AT30" t="s">
        <v>706</v>
      </c>
      <c r="AU30" s="21" t="s">
        <v>255</v>
      </c>
      <c r="AW30" s="21" t="s">
        <v>1472</v>
      </c>
      <c r="AX30" s="30">
        <v>43042</v>
      </c>
      <c r="AY30" s="21" t="s">
        <v>1465</v>
      </c>
      <c r="AZ30" s="21" t="s">
        <v>1474</v>
      </c>
      <c r="BA30" s="21">
        <v>13</v>
      </c>
      <c r="BB30" s="21">
        <v>1</v>
      </c>
      <c r="BG30" s="30"/>
      <c r="BP30" s="30"/>
      <c r="BU30" t="s">
        <v>837</v>
      </c>
      <c r="BV30" s="21" t="s">
        <v>838</v>
      </c>
      <c r="BW30" s="21" t="s">
        <v>1311</v>
      </c>
      <c r="BX30" s="21" t="s">
        <v>567</v>
      </c>
      <c r="BY30" s="31">
        <v>588632</v>
      </c>
      <c r="BZ30" s="31">
        <v>588632</v>
      </c>
      <c r="CA30" t="s">
        <v>256</v>
      </c>
      <c r="CF30" s="31"/>
      <c r="CG30" s="31"/>
      <c r="CM30" s="31"/>
      <c r="CN30" s="31"/>
      <c r="CT30" s="31"/>
      <c r="CU30" s="31"/>
      <c r="CV30" s="31"/>
      <c r="DA30" s="31"/>
      <c r="DB30" s="31"/>
      <c r="DC30" s="31"/>
      <c r="DH30" s="31"/>
      <c r="DI30" s="31"/>
      <c r="DO30" s="31"/>
      <c r="DP30" s="31"/>
      <c r="DR30" t="s">
        <v>252</v>
      </c>
      <c r="DS30" t="s">
        <v>1451</v>
      </c>
      <c r="DT30" t="s">
        <v>1452</v>
      </c>
      <c r="DU30" s="29" t="s">
        <v>1453</v>
      </c>
      <c r="DV30" t="s">
        <v>173</v>
      </c>
      <c r="DW30" t="s">
        <v>387</v>
      </c>
      <c r="DX30" t="s">
        <v>171</v>
      </c>
      <c r="DY30" t="s">
        <v>168</v>
      </c>
      <c r="DZ30" t="s">
        <v>169</v>
      </c>
      <c r="EA30" s="22">
        <v>43075.751620370371</v>
      </c>
      <c r="EB30" t="s">
        <v>1313</v>
      </c>
      <c r="EC30" t="s">
        <v>1495</v>
      </c>
    </row>
    <row r="31" spans="1:133">
      <c r="A31" s="30"/>
      <c r="B31" s="22">
        <v>42935.63958333333</v>
      </c>
      <c r="C31" s="22" t="s">
        <v>248</v>
      </c>
      <c r="D31" s="30" t="s">
        <v>1124</v>
      </c>
      <c r="E31" s="30" t="s">
        <v>1125</v>
      </c>
      <c r="F31" s="30" t="s">
        <v>170</v>
      </c>
      <c r="G31" s="30" t="s">
        <v>172</v>
      </c>
      <c r="H31" t="s">
        <v>94</v>
      </c>
      <c r="I31" t="s">
        <v>1271</v>
      </c>
      <c r="J31" t="s">
        <v>596</v>
      </c>
      <c r="L31">
        <v>1</v>
      </c>
      <c r="M31" s="26">
        <v>3</v>
      </c>
      <c r="N31" t="s">
        <v>254</v>
      </c>
      <c r="Q31" s="29" t="s">
        <v>13</v>
      </c>
      <c r="R31" s="29" t="str">
        <f>IFERROR(MID(RADataTable[[#This Row],[RAtemplate]],1,LEN(RADataTable[[#This Row],[RAtemplate]])-8),"RA") &amp; " " &amp; RADataTable[[#This Row],[prop_id0]] &amp; " " &amp; RADataTable[[#This Row],[last0]]</f>
        <v>RA 1750811 Duggirala</v>
      </c>
      <c r="U31" s="21" t="str">
        <f>IF(signer1="PD",IF(ISBLANK(RADataTable[[#This Row],[sign_blck_name]]),"",RADataTable[[#This Row],[sign_blck_name]]),IF(ISBLANK(signer1),"",signer1))</f>
        <v>David Corman</v>
      </c>
      <c r="V31" s="29" t="str">
        <f>signer2</f>
        <v>Cognisant Program Director</v>
      </c>
      <c r="W31" s="15" t="str">
        <f>HYPERLINK("https://www.ejacket.nsf.gov/ej/showProposal.do?Continue=Y&amp;ID="&amp;RADataTable[[#This Row],[prop_id0]],"eJ")</f>
        <v>eJ</v>
      </c>
      <c r="X31" s="15" t="str">
        <f>HYPERLINK("mailto:"&amp;RADataTable[[#This Row],[email]]&amp;"&amp;subject=Your NSF Proposal:  "&amp;RADataTable[[#This Row],[Div]]&amp;" "&amp;RADataTable[[#This Row],[prop_id0]], RADataTable[[#This Row],[email]])</f>
        <v>psd@engr.uconn.edu</v>
      </c>
      <c r="Y31" s="15" t="str">
        <f>HYPERLINK("mailto:"&amp;RADataTable[[#This Row],[allPIemail]]&amp;"&amp;subject=NSF Proposal:  "&amp;RADataTable[[#This Row],[Div]]&amp;" "&amp;RADataTable[[#This Row],[prop_id0]], "PIs@")</f>
        <v>PIs@</v>
      </c>
      <c r="Z31" t="s">
        <v>1127</v>
      </c>
      <c r="AA31" t="s">
        <v>859</v>
      </c>
      <c r="AB31">
        <v>4</v>
      </c>
      <c r="AC31">
        <v>4</v>
      </c>
      <c r="AD31"/>
      <c r="AE31" s="21" t="str">
        <f>IF(RADataTable[[#This Row],[maxScore]]-RADataTable[[#This Row],[minScore]]&gt;4,"Y","")</f>
        <v/>
      </c>
      <c r="AF31" s="21">
        <v>5</v>
      </c>
      <c r="AG31" s="26">
        <v>5.5</v>
      </c>
      <c r="AH31">
        <v>7</v>
      </c>
      <c r="AI31" t="s">
        <v>578</v>
      </c>
      <c r="AJ31" s="30">
        <v>43041.633333333331</v>
      </c>
      <c r="AK31" s="13">
        <v>508393</v>
      </c>
      <c r="AL31" s="13">
        <v>508393</v>
      </c>
      <c r="AM31">
        <v>0</v>
      </c>
      <c r="AN31" s="30">
        <v>43101</v>
      </c>
      <c r="AO31" s="21">
        <v>60</v>
      </c>
      <c r="AP31" s="21" t="s">
        <v>1324</v>
      </c>
      <c r="AS31" s="30"/>
      <c r="AT31" t="s">
        <v>706</v>
      </c>
      <c r="AU31" s="21" t="s">
        <v>255</v>
      </c>
      <c r="AW31" s="21" t="s">
        <v>1472</v>
      </c>
      <c r="AX31" s="30">
        <v>43042</v>
      </c>
      <c r="AY31" s="21" t="s">
        <v>580</v>
      </c>
      <c r="AZ31" s="21" t="s">
        <v>1474</v>
      </c>
      <c r="BA31" s="21">
        <v>13</v>
      </c>
      <c r="BB31" s="21">
        <v>1</v>
      </c>
      <c r="BG31" s="30"/>
      <c r="BP31" s="30"/>
      <c r="BU31" t="s">
        <v>859</v>
      </c>
      <c r="BV31" s="21" t="s">
        <v>860</v>
      </c>
      <c r="BW31" s="21" t="s">
        <v>1323</v>
      </c>
      <c r="BX31" s="21" t="s">
        <v>460</v>
      </c>
      <c r="BY31" s="31">
        <v>508393</v>
      </c>
      <c r="BZ31" s="31">
        <v>508393</v>
      </c>
      <c r="CA31" t="s">
        <v>256</v>
      </c>
      <c r="CF31" s="31"/>
      <c r="CG31" s="31"/>
      <c r="CM31" s="31"/>
      <c r="CN31" s="31"/>
      <c r="CT31" s="31"/>
      <c r="CU31" s="31"/>
      <c r="CV31" s="31"/>
      <c r="DA31" s="31"/>
      <c r="DB31" s="31"/>
      <c r="DC31" s="31"/>
      <c r="DH31" s="31"/>
      <c r="DI31" s="31"/>
      <c r="DO31" s="31"/>
      <c r="DP31" s="31"/>
      <c r="DR31" t="s">
        <v>252</v>
      </c>
      <c r="DS31" t="s">
        <v>1451</v>
      </c>
      <c r="DT31" t="s">
        <v>1452</v>
      </c>
      <c r="DU31" s="29" t="s">
        <v>1453</v>
      </c>
      <c r="DV31" t="s">
        <v>173</v>
      </c>
      <c r="DW31" t="s">
        <v>387</v>
      </c>
      <c r="DX31" t="s">
        <v>171</v>
      </c>
      <c r="DY31" t="s">
        <v>168</v>
      </c>
      <c r="DZ31" t="s">
        <v>169</v>
      </c>
      <c r="EA31" s="22">
        <v>43075.751620370371</v>
      </c>
      <c r="EB31" t="s">
        <v>1325</v>
      </c>
      <c r="EC31" t="s">
        <v>1500</v>
      </c>
    </row>
    <row r="32" spans="1:133">
      <c r="A32" s="30"/>
      <c r="B32" s="22">
        <v>42935.683333333334</v>
      </c>
      <c r="C32" s="22" t="s">
        <v>248</v>
      </c>
      <c r="D32" s="30" t="s">
        <v>1124</v>
      </c>
      <c r="E32" s="30" t="s">
        <v>1125</v>
      </c>
      <c r="F32" s="30" t="s">
        <v>170</v>
      </c>
      <c r="G32" s="30" t="s">
        <v>172</v>
      </c>
      <c r="H32" t="s">
        <v>94</v>
      </c>
      <c r="I32" t="s">
        <v>1271</v>
      </c>
      <c r="J32" t="s">
        <v>596</v>
      </c>
      <c r="L32">
        <v>1</v>
      </c>
      <c r="M32" s="26">
        <v>3</v>
      </c>
      <c r="N32" t="s">
        <v>254</v>
      </c>
      <c r="Q32" s="29" t="s">
        <v>13</v>
      </c>
      <c r="R32" s="29" t="str">
        <f>IFERROR(MID(RADataTable[[#This Row],[RAtemplate]],1,LEN(RADataTable[[#This Row],[RAtemplate]])-8),"RA") &amp; " " &amp; RADataTable[[#This Row],[prop_id0]] &amp; " " &amp; RADataTable[[#This Row],[last0]]</f>
        <v>RA 1751068 Lauf</v>
      </c>
      <c r="U32" s="21" t="str">
        <f>IF(signer1="PD",IF(ISBLANK(RADataTable[[#This Row],[sign_blck_name]]),"",RADataTable[[#This Row],[sign_blck_name]]),IF(ISBLANK(signer1),"",signer1))</f>
        <v>David Corman</v>
      </c>
      <c r="V32" s="29" t="str">
        <f>signer2</f>
        <v>Cognisant Program Director</v>
      </c>
      <c r="W32" s="15" t="str">
        <f>HYPERLINK("https://www.ejacket.nsf.gov/ej/showProposal.do?Continue=Y&amp;ID="&amp;RADataTable[[#This Row],[prop_id0]],"eJ")</f>
        <v>eJ</v>
      </c>
      <c r="X32" s="15" t="str">
        <f>HYPERLINK("mailto:"&amp;RADataTable[[#This Row],[email]]&amp;"&amp;subject=Your NSF Proposal:  "&amp;RADataTable[[#This Row],[Div]]&amp;" "&amp;RADataTable[[#This Row],[prop_id0]], RADataTable[[#This Row],[email]])</f>
        <v>adrian.lauf@louisville.edu</v>
      </c>
      <c r="Y32" s="15" t="str">
        <f>HYPERLINK("mailto:"&amp;RADataTable[[#This Row],[allPIemail]]&amp;"&amp;subject=NSF Proposal:  "&amp;RADataTable[[#This Row],[Div]]&amp;" "&amp;RADataTable[[#This Row],[prop_id0]], "PIs@")</f>
        <v>PIs@</v>
      </c>
      <c r="Z32" t="s">
        <v>1127</v>
      </c>
      <c r="AA32" t="s">
        <v>883</v>
      </c>
      <c r="AB32">
        <v>4</v>
      </c>
      <c r="AC32">
        <v>4</v>
      </c>
      <c r="AD32"/>
      <c r="AE32" s="21" t="str">
        <f>IF(RADataTable[[#This Row],[maxScore]]-RADataTable[[#This Row],[minScore]]&gt;4,"Y","")</f>
        <v/>
      </c>
      <c r="AF32" s="21">
        <v>4</v>
      </c>
      <c r="AG32" s="26">
        <v>5.25</v>
      </c>
      <c r="AH32">
        <v>7</v>
      </c>
      <c r="AI32" t="s">
        <v>1336</v>
      </c>
      <c r="AJ32" s="30">
        <v>43042.363888888889</v>
      </c>
      <c r="AK32" s="13">
        <v>519006</v>
      </c>
      <c r="AL32" s="13">
        <v>519006</v>
      </c>
      <c r="AM32">
        <v>0</v>
      </c>
      <c r="AN32" s="30">
        <v>43101</v>
      </c>
      <c r="AO32" s="21">
        <v>60</v>
      </c>
      <c r="AP32" s="21" t="s">
        <v>1337</v>
      </c>
      <c r="AS32" s="30"/>
      <c r="AT32" t="s">
        <v>706</v>
      </c>
      <c r="AU32" s="21" t="s">
        <v>255</v>
      </c>
      <c r="AW32" s="21" t="s">
        <v>1472</v>
      </c>
      <c r="AX32" s="30">
        <v>43042</v>
      </c>
      <c r="AY32" s="21" t="s">
        <v>1506</v>
      </c>
      <c r="AZ32" s="21" t="s">
        <v>1474</v>
      </c>
      <c r="BA32" s="21">
        <v>13</v>
      </c>
      <c r="BB32" s="21">
        <v>0</v>
      </c>
      <c r="BG32" s="30"/>
      <c r="BP32" s="30"/>
      <c r="BU32" t="s">
        <v>883</v>
      </c>
      <c r="BV32" s="21" t="s">
        <v>884</v>
      </c>
      <c r="BW32" s="21" t="s">
        <v>1334</v>
      </c>
      <c r="BX32" s="21" t="s">
        <v>1335</v>
      </c>
      <c r="BY32" s="31">
        <v>519006</v>
      </c>
      <c r="BZ32" s="31">
        <v>519006</v>
      </c>
      <c r="CA32" t="s">
        <v>1274</v>
      </c>
      <c r="CF32" s="31"/>
      <c r="CG32" s="31"/>
      <c r="CM32" s="31"/>
      <c r="CN32" s="31"/>
      <c r="CT32" s="31"/>
      <c r="CU32" s="31"/>
      <c r="CV32" s="31"/>
      <c r="DA32" s="31"/>
      <c r="DB32" s="31"/>
      <c r="DC32" s="31"/>
      <c r="DH32" s="31"/>
      <c r="DI32" s="31"/>
      <c r="DO32" s="31"/>
      <c r="DP32" s="31"/>
      <c r="DR32" t="s">
        <v>252</v>
      </c>
      <c r="DS32" t="s">
        <v>1451</v>
      </c>
      <c r="DT32" t="s">
        <v>1452</v>
      </c>
      <c r="DU32" s="29" t="s">
        <v>1453</v>
      </c>
      <c r="DV32" t="s">
        <v>173</v>
      </c>
      <c r="DW32" t="s">
        <v>387</v>
      </c>
      <c r="DX32" t="s">
        <v>171</v>
      </c>
      <c r="DY32" t="s">
        <v>168</v>
      </c>
      <c r="DZ32" t="s">
        <v>169</v>
      </c>
      <c r="EA32" s="22">
        <v>43075.751620370371</v>
      </c>
      <c r="EB32" t="s">
        <v>1338</v>
      </c>
      <c r="EC32" t="s">
        <v>1507</v>
      </c>
    </row>
    <row r="33" spans="1:133">
      <c r="A33" s="30"/>
      <c r="B33" s="22">
        <v>42935.708333333336</v>
      </c>
      <c r="C33" s="22" t="s">
        <v>248</v>
      </c>
      <c r="D33" s="30" t="s">
        <v>1124</v>
      </c>
      <c r="E33" s="30" t="s">
        <v>1125</v>
      </c>
      <c r="F33" s="30" t="s">
        <v>170</v>
      </c>
      <c r="G33" s="30" t="s">
        <v>172</v>
      </c>
      <c r="H33" t="s">
        <v>94</v>
      </c>
      <c r="I33" t="s">
        <v>1271</v>
      </c>
      <c r="J33" t="s">
        <v>596</v>
      </c>
      <c r="L33">
        <v>1</v>
      </c>
      <c r="M33" s="26">
        <v>3</v>
      </c>
      <c r="N33" t="s">
        <v>254</v>
      </c>
      <c r="Q33" s="29" t="s">
        <v>13</v>
      </c>
      <c r="R33" s="29" t="str">
        <f>IFERROR(MID(RADataTable[[#This Row],[RAtemplate]],1,LEN(RADataTable[[#This Row],[RAtemplate]])-8),"RA") &amp; " " &amp; RADataTable[[#This Row],[prop_id0]] &amp; " " &amp; RADataTable[[#This Row],[last0]]</f>
        <v>RA 1751205 Kassas</v>
      </c>
      <c r="U33" s="21" t="str">
        <f>IF(signer1="PD",IF(ISBLANK(RADataTable[[#This Row],[sign_blck_name]]),"",RADataTable[[#This Row],[sign_blck_name]]),IF(ISBLANK(signer1),"",signer1))</f>
        <v>David Corman</v>
      </c>
      <c r="V33" s="29" t="str">
        <f>signer2</f>
        <v>Cognisant Program Director</v>
      </c>
      <c r="W33" s="15" t="str">
        <f>HYPERLINK("https://www.ejacket.nsf.gov/ej/showProposal.do?Continue=Y&amp;ID="&amp;RADataTable[[#This Row],[prop_id0]],"eJ")</f>
        <v>eJ</v>
      </c>
      <c r="X33" s="15" t="str">
        <f>HYPERLINK("mailto:"&amp;RADataTable[[#This Row],[email]]&amp;"&amp;subject=Your NSF Proposal:  "&amp;RADataTable[[#This Row],[Div]]&amp;" "&amp;RADataTable[[#This Row],[prop_id0]], RADataTable[[#This Row],[email]])</f>
        <v>zak.kassas@ucr.edu</v>
      </c>
      <c r="Y33" s="15" t="str">
        <f>HYPERLINK("mailto:"&amp;RADataTable[[#This Row],[allPIemail]]&amp;"&amp;subject=NSF Proposal:  "&amp;RADataTable[[#This Row],[Div]]&amp;" "&amp;RADataTable[[#This Row],[prop_id0]], "PIs@")</f>
        <v>PIs@</v>
      </c>
      <c r="Z33" t="s">
        <v>1127</v>
      </c>
      <c r="AA33" t="s">
        <v>891</v>
      </c>
      <c r="AB33">
        <v>4</v>
      </c>
      <c r="AC33">
        <v>4</v>
      </c>
      <c r="AD33"/>
      <c r="AE33" s="21" t="str">
        <f>IF(RADataTable[[#This Row],[maxScore]]-RADataTable[[#This Row],[minScore]]&gt;4,"Y","")</f>
        <v/>
      </c>
      <c r="AF33" s="21">
        <v>5</v>
      </c>
      <c r="AG33" s="26">
        <v>6</v>
      </c>
      <c r="AH33">
        <v>7</v>
      </c>
      <c r="AI33" t="s">
        <v>1340</v>
      </c>
      <c r="AJ33" s="30">
        <v>43042.509722222225</v>
      </c>
      <c r="AK33" s="13">
        <v>500000</v>
      </c>
      <c r="AL33" s="13">
        <v>500000</v>
      </c>
      <c r="AM33">
        <v>0</v>
      </c>
      <c r="AN33" s="30">
        <v>43191</v>
      </c>
      <c r="AO33" s="21">
        <v>60</v>
      </c>
      <c r="AP33" s="21" t="s">
        <v>1341</v>
      </c>
      <c r="AS33" s="30"/>
      <c r="AT33" t="s">
        <v>706</v>
      </c>
      <c r="AU33" s="21" t="s">
        <v>255</v>
      </c>
      <c r="AW33" s="21" t="s">
        <v>1472</v>
      </c>
      <c r="AX33" s="30">
        <v>43042</v>
      </c>
      <c r="AY33" s="21" t="s">
        <v>1508</v>
      </c>
      <c r="AZ33" s="21" t="s">
        <v>1474</v>
      </c>
      <c r="BA33" s="21">
        <v>13</v>
      </c>
      <c r="BB33" s="21">
        <v>0</v>
      </c>
      <c r="BG33" s="30"/>
      <c r="BP33" s="30"/>
      <c r="BU33" t="s">
        <v>891</v>
      </c>
      <c r="BV33" s="21" t="s">
        <v>892</v>
      </c>
      <c r="BW33" s="21" t="s">
        <v>1339</v>
      </c>
      <c r="BX33" s="21" t="s">
        <v>353</v>
      </c>
      <c r="BY33" s="31">
        <v>500000</v>
      </c>
      <c r="BZ33" s="31">
        <v>500000</v>
      </c>
      <c r="CA33" t="s">
        <v>256</v>
      </c>
      <c r="CF33" s="31"/>
      <c r="CG33" s="31"/>
      <c r="CM33" s="31"/>
      <c r="CN33" s="31"/>
      <c r="CT33" s="31"/>
      <c r="CU33" s="31"/>
      <c r="CV33" s="31"/>
      <c r="DA33" s="31"/>
      <c r="DB33" s="31"/>
      <c r="DC33" s="31"/>
      <c r="DH33" s="31"/>
      <c r="DI33" s="31"/>
      <c r="DO33" s="31"/>
      <c r="DP33" s="31"/>
      <c r="DR33" t="s">
        <v>252</v>
      </c>
      <c r="DS33" t="s">
        <v>1451</v>
      </c>
      <c r="DT33" t="s">
        <v>1452</v>
      </c>
      <c r="DU33" s="29" t="s">
        <v>1453</v>
      </c>
      <c r="DV33" t="s">
        <v>173</v>
      </c>
      <c r="DW33" t="s">
        <v>387</v>
      </c>
      <c r="DX33" t="s">
        <v>171</v>
      </c>
      <c r="DY33" t="s">
        <v>168</v>
      </c>
      <c r="DZ33" t="s">
        <v>169</v>
      </c>
      <c r="EA33" s="22">
        <v>43075.751620370371</v>
      </c>
      <c r="EB33" t="s">
        <v>1342</v>
      </c>
      <c r="EC33" t="s">
        <v>1509</v>
      </c>
    </row>
    <row r="34" spans="1:133">
      <c r="A34" s="30"/>
      <c r="B34" s="22">
        <v>42935.732638888891</v>
      </c>
      <c r="C34" s="22" t="s">
        <v>248</v>
      </c>
      <c r="D34" s="30" t="s">
        <v>1124</v>
      </c>
      <c r="E34" s="30" t="s">
        <v>1125</v>
      </c>
      <c r="F34" s="30" t="s">
        <v>170</v>
      </c>
      <c r="G34" s="30" t="s">
        <v>172</v>
      </c>
      <c r="H34" t="s">
        <v>94</v>
      </c>
      <c r="I34" t="s">
        <v>1271</v>
      </c>
      <c r="J34" t="s">
        <v>596</v>
      </c>
      <c r="L34">
        <v>1</v>
      </c>
      <c r="M34" s="26">
        <v>3</v>
      </c>
      <c r="N34" t="s">
        <v>254</v>
      </c>
      <c r="Q34" s="29" t="s">
        <v>13</v>
      </c>
      <c r="R34" s="29" t="str">
        <f>IFERROR(MID(RADataTable[[#This Row],[RAtemplate]],1,LEN(RADataTable[[#This Row],[RAtemplate]])-8),"RA") &amp; " " &amp; RADataTable[[#This Row],[prop_id0]] &amp; " " &amp; RADataTable[[#This Row],[last0]]</f>
        <v>RA 1751276 Johnson</v>
      </c>
      <c r="U34" s="21" t="str">
        <f>IF(signer1="PD",IF(ISBLANK(RADataTable[[#This Row],[sign_blck_name]]),"",RADataTable[[#This Row],[sign_blck_name]]),IF(ISBLANK(signer1),"",signer1))</f>
        <v>David Corman</v>
      </c>
      <c r="V34" s="29" t="str">
        <f>signer2</f>
        <v>Cognisant Program Director</v>
      </c>
      <c r="W34" s="15" t="str">
        <f>HYPERLINK("https://www.ejacket.nsf.gov/ej/showProposal.do?Continue=Y&amp;ID="&amp;RADataTable[[#This Row],[prop_id0]],"eJ")</f>
        <v>eJ</v>
      </c>
      <c r="X34" s="15" t="str">
        <f>HYPERLINK("mailto:"&amp;RADataTable[[#This Row],[email]]&amp;"&amp;subject=Your NSF Proposal:  "&amp;RADataTable[[#This Row],[Div]]&amp;" "&amp;RADataTable[[#This Row],[prop_id0]], RADataTable[[#This Row],[email]])</f>
        <v>taylor.johnson@gmail.com</v>
      </c>
      <c r="Y34" s="15" t="str">
        <f>HYPERLINK("mailto:"&amp;RADataTable[[#This Row],[allPIemail]]&amp;"&amp;subject=NSF Proposal:  "&amp;RADataTable[[#This Row],[Div]]&amp;" "&amp;RADataTable[[#This Row],[prop_id0]], "PIs@")</f>
        <v>PIs@</v>
      </c>
      <c r="Z34" t="s">
        <v>1127</v>
      </c>
      <c r="AA34" t="s">
        <v>907</v>
      </c>
      <c r="AB34">
        <v>4</v>
      </c>
      <c r="AC34">
        <v>4</v>
      </c>
      <c r="AD34"/>
      <c r="AE34" s="21" t="str">
        <f>IF(RADataTable[[#This Row],[maxScore]]-RADataTable[[#This Row],[minScore]]&gt;4,"Y","")</f>
        <v/>
      </c>
      <c r="AF34" s="21">
        <v>3</v>
      </c>
      <c r="AG34" s="26">
        <v>5.25</v>
      </c>
      <c r="AH34">
        <v>7</v>
      </c>
      <c r="AI34" t="s">
        <v>1228</v>
      </c>
      <c r="AJ34" s="30">
        <v>43042.375</v>
      </c>
      <c r="AK34" s="13">
        <v>557308</v>
      </c>
      <c r="AL34" s="13">
        <v>557308</v>
      </c>
      <c r="AM34">
        <v>0</v>
      </c>
      <c r="AN34" s="30">
        <v>43101</v>
      </c>
      <c r="AO34" s="21">
        <v>60</v>
      </c>
      <c r="AP34" s="21" t="s">
        <v>1349</v>
      </c>
      <c r="AS34" s="30"/>
      <c r="AT34" t="s">
        <v>706</v>
      </c>
      <c r="AU34" s="21" t="s">
        <v>255</v>
      </c>
      <c r="AW34" s="21" t="s">
        <v>1472</v>
      </c>
      <c r="AX34" s="30">
        <v>43042</v>
      </c>
      <c r="AY34" s="21" t="s">
        <v>1467</v>
      </c>
      <c r="AZ34" s="21" t="s">
        <v>1474</v>
      </c>
      <c r="BA34" s="21">
        <v>13</v>
      </c>
      <c r="BB34" s="21">
        <v>2</v>
      </c>
      <c r="BG34" s="30"/>
      <c r="BP34" s="30"/>
      <c r="BU34" t="s">
        <v>907</v>
      </c>
      <c r="BV34" s="21" t="s">
        <v>908</v>
      </c>
      <c r="BW34" s="21" t="s">
        <v>1348</v>
      </c>
      <c r="BX34" s="21" t="s">
        <v>1183</v>
      </c>
      <c r="BY34" s="31">
        <v>557308</v>
      </c>
      <c r="BZ34" s="31">
        <v>557308</v>
      </c>
      <c r="CA34" t="s">
        <v>256</v>
      </c>
      <c r="CF34" s="31"/>
      <c r="CG34" s="31"/>
      <c r="CM34" s="31"/>
      <c r="CN34" s="31"/>
      <c r="CT34" s="31"/>
      <c r="CU34" s="31"/>
      <c r="CV34" s="31"/>
      <c r="DA34" s="31"/>
      <c r="DB34" s="31"/>
      <c r="DC34" s="31"/>
      <c r="DH34" s="31"/>
      <c r="DI34" s="31"/>
      <c r="DO34" s="31"/>
      <c r="DP34" s="31"/>
      <c r="DR34" t="s">
        <v>252</v>
      </c>
      <c r="DS34" t="s">
        <v>1451</v>
      </c>
      <c r="DT34" t="s">
        <v>1452</v>
      </c>
      <c r="DU34" s="29" t="s">
        <v>1453</v>
      </c>
      <c r="DV34" t="s">
        <v>173</v>
      </c>
      <c r="DW34" t="s">
        <v>387</v>
      </c>
      <c r="DX34" t="s">
        <v>171</v>
      </c>
      <c r="DY34" t="s">
        <v>168</v>
      </c>
      <c r="DZ34" t="s">
        <v>169</v>
      </c>
      <c r="EA34" s="22">
        <v>43075.751620370371</v>
      </c>
      <c r="EB34" t="s">
        <v>1350</v>
      </c>
      <c r="EC34" t="s">
        <v>1512</v>
      </c>
    </row>
    <row r="35" spans="1:133">
      <c r="A35" s="30"/>
      <c r="B35" s="22">
        <v>42935.743750000001</v>
      </c>
      <c r="C35" s="22" t="s">
        <v>248</v>
      </c>
      <c r="D35" s="30" t="s">
        <v>1124</v>
      </c>
      <c r="E35" s="30" t="s">
        <v>1125</v>
      </c>
      <c r="F35" s="30" t="s">
        <v>170</v>
      </c>
      <c r="G35" s="30" t="s">
        <v>172</v>
      </c>
      <c r="H35" t="s">
        <v>94</v>
      </c>
      <c r="I35" t="s">
        <v>1271</v>
      </c>
      <c r="J35" t="s">
        <v>596</v>
      </c>
      <c r="L35">
        <v>1</v>
      </c>
      <c r="M35" s="26">
        <v>3</v>
      </c>
      <c r="N35" t="s">
        <v>254</v>
      </c>
      <c r="Q35" s="29" t="s">
        <v>13</v>
      </c>
      <c r="R35" s="29" t="str">
        <f>IFERROR(MID(RADataTable[[#This Row],[RAtemplate]],1,LEN(RADataTable[[#This Row],[RAtemplate]])-8),"RA") &amp; " " &amp; RADataTable[[#This Row],[prop_id0]] &amp; " " &amp; RADataTable[[#This Row],[last0]]</f>
        <v>RA 1751307 Chao</v>
      </c>
      <c r="U35" s="21" t="str">
        <f>IF(signer1="PD",IF(ISBLANK(RADataTable[[#This Row],[sign_blck_name]]),"",RADataTable[[#This Row],[sign_blck_name]]),IF(ISBLANK(signer1),"",signer1))</f>
        <v>David Corman</v>
      </c>
      <c r="V35" s="29" t="str">
        <f>signer2</f>
        <v>Cognisant Program Director</v>
      </c>
      <c r="W35" s="15" t="str">
        <f>HYPERLINK("https://www.ejacket.nsf.gov/ej/showProposal.do?Continue=Y&amp;ID="&amp;RADataTable[[#This Row],[prop_id0]],"eJ")</f>
        <v>eJ</v>
      </c>
      <c r="X35" s="15" t="str">
        <f>HYPERLINK("mailto:"&amp;RADataTable[[#This Row],[email]]&amp;"&amp;subject=Your NSF Proposal:  "&amp;RADataTable[[#This Row],[Div]]&amp;" "&amp;RADataTable[[#This Row],[prop_id0]], RADataTable[[#This Row],[email]])</f>
        <v>chaohaiyang@ku.edu</v>
      </c>
      <c r="Y35" s="15" t="str">
        <f>HYPERLINK("mailto:"&amp;RADataTable[[#This Row],[allPIemail]]&amp;"&amp;subject=NSF Proposal:  "&amp;RADataTable[[#This Row],[Div]]&amp;" "&amp;RADataTable[[#This Row],[prop_id0]], "PIs@")</f>
        <v>PIs@</v>
      </c>
      <c r="Z35" t="s">
        <v>1127</v>
      </c>
      <c r="AA35" t="s">
        <v>915</v>
      </c>
      <c r="AB35">
        <v>4</v>
      </c>
      <c r="AC35">
        <v>4</v>
      </c>
      <c r="AD35"/>
      <c r="AE35" s="21" t="str">
        <f>IF(RADataTable[[#This Row],[maxScore]]-RADataTable[[#This Row],[minScore]]&gt;4,"Y","")</f>
        <v/>
      </c>
      <c r="AF35" s="21">
        <v>3</v>
      </c>
      <c r="AG35" s="26">
        <v>4</v>
      </c>
      <c r="AH35">
        <v>5</v>
      </c>
      <c r="AI35" t="s">
        <v>1353</v>
      </c>
      <c r="AJ35" s="30">
        <v>43041.750694444447</v>
      </c>
      <c r="AK35" s="13">
        <v>500000</v>
      </c>
      <c r="AL35" s="13">
        <v>500000</v>
      </c>
      <c r="AM35">
        <v>0</v>
      </c>
      <c r="AN35" s="30">
        <v>43101</v>
      </c>
      <c r="AO35" s="21">
        <v>60</v>
      </c>
      <c r="AP35" s="21" t="s">
        <v>1354</v>
      </c>
      <c r="AS35" s="30"/>
      <c r="AT35" t="s">
        <v>706</v>
      </c>
      <c r="AU35" s="21" t="s">
        <v>255</v>
      </c>
      <c r="AW35" s="21" t="s">
        <v>1472</v>
      </c>
      <c r="AX35" s="30">
        <v>43042</v>
      </c>
      <c r="AY35" s="21" t="s">
        <v>1513</v>
      </c>
      <c r="AZ35" s="21" t="s">
        <v>1474</v>
      </c>
      <c r="BA35" s="21">
        <v>13</v>
      </c>
      <c r="BB35" s="21">
        <v>0</v>
      </c>
      <c r="BG35" s="30"/>
      <c r="BP35" s="30"/>
      <c r="BU35" t="s">
        <v>915</v>
      </c>
      <c r="BV35" s="21" t="s">
        <v>916</v>
      </c>
      <c r="BW35" s="21" t="s">
        <v>1351</v>
      </c>
      <c r="BX35" s="21" t="s">
        <v>1352</v>
      </c>
      <c r="BY35" s="31">
        <v>500000</v>
      </c>
      <c r="BZ35" s="31">
        <v>500000</v>
      </c>
      <c r="CA35" t="s">
        <v>1274</v>
      </c>
      <c r="CF35" s="31"/>
      <c r="CG35" s="31"/>
      <c r="CM35" s="31"/>
      <c r="CN35" s="31"/>
      <c r="CT35" s="31"/>
      <c r="CU35" s="31"/>
      <c r="CV35" s="31"/>
      <c r="DA35" s="31"/>
      <c r="DB35" s="31"/>
      <c r="DC35" s="31"/>
      <c r="DH35" s="31"/>
      <c r="DI35" s="31"/>
      <c r="DO35" s="31"/>
      <c r="DP35" s="31"/>
      <c r="DR35" t="s">
        <v>252</v>
      </c>
      <c r="DS35" t="s">
        <v>1451</v>
      </c>
      <c r="DT35" t="s">
        <v>1452</v>
      </c>
      <c r="DU35" s="29" t="s">
        <v>1453</v>
      </c>
      <c r="DV35" t="s">
        <v>173</v>
      </c>
      <c r="DW35" t="s">
        <v>387</v>
      </c>
      <c r="DX35" t="s">
        <v>171</v>
      </c>
      <c r="DY35" t="s">
        <v>168</v>
      </c>
      <c r="DZ35" t="s">
        <v>169</v>
      </c>
      <c r="EA35" s="22">
        <v>43075.751620370371</v>
      </c>
      <c r="EB35" t="s">
        <v>1355</v>
      </c>
      <c r="EC35" t="s">
        <v>1514</v>
      </c>
    </row>
    <row r="36" spans="1:133">
      <c r="A36" s="30"/>
      <c r="B36" s="22">
        <v>42935.765972222223</v>
      </c>
      <c r="C36" s="22" t="s">
        <v>248</v>
      </c>
      <c r="D36" s="30" t="s">
        <v>1124</v>
      </c>
      <c r="E36" s="30" t="s">
        <v>1125</v>
      </c>
      <c r="F36" s="30" t="s">
        <v>170</v>
      </c>
      <c r="G36" s="30" t="s">
        <v>172</v>
      </c>
      <c r="H36" t="s">
        <v>94</v>
      </c>
      <c r="I36" t="s">
        <v>1271</v>
      </c>
      <c r="J36" t="s">
        <v>596</v>
      </c>
      <c r="L36">
        <v>1</v>
      </c>
      <c r="M36" s="26">
        <v>3</v>
      </c>
      <c r="N36" t="s">
        <v>254</v>
      </c>
      <c r="Q36" s="29" t="s">
        <v>13</v>
      </c>
      <c r="R36" s="29" t="str">
        <f>IFERROR(MID(RADataTable[[#This Row],[RAtemplate]],1,LEN(RADataTable[[#This Row],[RAtemplate]])-8),"RA") &amp; " " &amp; RADataTable[[#This Row],[prop_id0]] &amp; " " &amp; RADataTable[[#This Row],[last0]]</f>
        <v>RA 1751346 Rrushi</v>
      </c>
      <c r="U36" s="21" t="str">
        <f>IF(signer1="PD",IF(ISBLANK(RADataTable[[#This Row],[sign_blck_name]]),"",RADataTable[[#This Row],[sign_blck_name]]),IF(ISBLANK(signer1),"",signer1))</f>
        <v>David Corman</v>
      </c>
      <c r="V36" s="29" t="str">
        <f>signer2</f>
        <v>Cognisant Program Director</v>
      </c>
      <c r="W36" s="15" t="str">
        <f>HYPERLINK("https://www.ejacket.nsf.gov/ej/showProposal.do?Continue=Y&amp;ID="&amp;RADataTable[[#This Row],[prop_id0]],"eJ")</f>
        <v>eJ</v>
      </c>
      <c r="X36" s="15" t="str">
        <f>HYPERLINK("mailto:"&amp;RADataTable[[#This Row],[email]]&amp;"&amp;subject=Your NSF Proposal:  "&amp;RADataTable[[#This Row],[Div]]&amp;" "&amp;RADataTable[[#This Row],[prop_id0]], RADataTable[[#This Row],[email]])</f>
        <v>julian.rrushi@wwu.edu</v>
      </c>
      <c r="Y36" s="15" t="str">
        <f>HYPERLINK("mailto:"&amp;RADataTable[[#This Row],[allPIemail]]&amp;"&amp;subject=NSF Proposal:  "&amp;RADataTable[[#This Row],[Div]]&amp;" "&amp;RADataTable[[#This Row],[prop_id0]], "PIs@")</f>
        <v>PIs@</v>
      </c>
      <c r="Z36" t="s">
        <v>1127</v>
      </c>
      <c r="AA36" t="s">
        <v>923</v>
      </c>
      <c r="AB36">
        <v>4</v>
      </c>
      <c r="AC36">
        <v>4</v>
      </c>
      <c r="AD36"/>
      <c r="AE36" s="21" t="str">
        <f>IF(RADataTable[[#This Row],[maxScore]]-RADataTable[[#This Row],[minScore]]&gt;4,"Y","")</f>
        <v/>
      </c>
      <c r="AF36" s="21">
        <v>3</v>
      </c>
      <c r="AG36" s="26">
        <v>3.5</v>
      </c>
      <c r="AH36">
        <v>4</v>
      </c>
      <c r="AI36" t="s">
        <v>1358</v>
      </c>
      <c r="AJ36" s="30">
        <v>43042.334027777775</v>
      </c>
      <c r="AK36" s="13">
        <v>630787</v>
      </c>
      <c r="AL36" s="13">
        <v>630787</v>
      </c>
      <c r="AM36">
        <v>0</v>
      </c>
      <c r="AN36" s="30">
        <v>43358</v>
      </c>
      <c r="AO36" s="21">
        <v>60</v>
      </c>
      <c r="AP36" s="21" t="s">
        <v>1359</v>
      </c>
      <c r="AS36" s="30"/>
      <c r="AT36" t="s">
        <v>706</v>
      </c>
      <c r="AU36" s="21" t="s">
        <v>255</v>
      </c>
      <c r="AW36" s="21" t="s">
        <v>1472</v>
      </c>
      <c r="AX36" s="30">
        <v>43042</v>
      </c>
      <c r="AY36" s="21" t="s">
        <v>1515</v>
      </c>
      <c r="AZ36" s="21" t="s">
        <v>1474</v>
      </c>
      <c r="BA36" s="21">
        <v>13</v>
      </c>
      <c r="BB36" s="21">
        <v>1</v>
      </c>
      <c r="BG36" s="30"/>
      <c r="BP36" s="30"/>
      <c r="BU36" t="s">
        <v>923</v>
      </c>
      <c r="BV36" s="21" t="s">
        <v>924</v>
      </c>
      <c r="BW36" s="21" t="s">
        <v>1356</v>
      </c>
      <c r="BX36" s="21" t="s">
        <v>1357</v>
      </c>
      <c r="BY36" s="31">
        <v>630787</v>
      </c>
      <c r="BZ36" s="31">
        <v>630787</v>
      </c>
      <c r="CA36" t="s">
        <v>256</v>
      </c>
      <c r="CF36" s="31"/>
      <c r="CG36" s="31"/>
      <c r="CM36" s="31"/>
      <c r="CN36" s="31"/>
      <c r="CT36" s="31"/>
      <c r="CU36" s="31"/>
      <c r="CV36" s="31"/>
      <c r="DA36" s="31"/>
      <c r="DB36" s="31"/>
      <c r="DC36" s="31"/>
      <c r="DH36" s="31"/>
      <c r="DI36" s="31"/>
      <c r="DO36" s="31"/>
      <c r="DP36" s="31"/>
      <c r="DR36" t="s">
        <v>252</v>
      </c>
      <c r="DS36" t="s">
        <v>1451</v>
      </c>
      <c r="DT36" t="s">
        <v>1452</v>
      </c>
      <c r="DU36" s="29" t="s">
        <v>1453</v>
      </c>
      <c r="DV36" t="s">
        <v>173</v>
      </c>
      <c r="DW36" t="s">
        <v>387</v>
      </c>
      <c r="DX36" t="s">
        <v>171</v>
      </c>
      <c r="DY36" t="s">
        <v>168</v>
      </c>
      <c r="DZ36" t="s">
        <v>169</v>
      </c>
      <c r="EA36" s="22">
        <v>43075.751620370371</v>
      </c>
      <c r="EB36" t="s">
        <v>1360</v>
      </c>
      <c r="EC36" t="s">
        <v>1516</v>
      </c>
    </row>
    <row r="37" spans="1:133">
      <c r="A37" s="30"/>
      <c r="B37" s="22">
        <v>42968.718055555553</v>
      </c>
      <c r="C37" s="22" t="s">
        <v>1376</v>
      </c>
      <c r="D37" s="30" t="s">
        <v>1124</v>
      </c>
      <c r="E37" s="30" t="s">
        <v>1377</v>
      </c>
      <c r="F37" s="30" t="s">
        <v>170</v>
      </c>
      <c r="G37" s="30" t="s">
        <v>172</v>
      </c>
      <c r="H37" t="s">
        <v>94</v>
      </c>
      <c r="I37" t="s">
        <v>1378</v>
      </c>
      <c r="J37" t="s">
        <v>705</v>
      </c>
      <c r="K37" s="22">
        <v>43048.503634259258</v>
      </c>
      <c r="L37">
        <v>1</v>
      </c>
      <c r="M37" s="26">
        <v>3</v>
      </c>
      <c r="N37" t="s">
        <v>254</v>
      </c>
      <c r="Q37" s="29" t="s">
        <v>13</v>
      </c>
      <c r="R37" s="29" t="str">
        <f>IFERROR(MID(RADataTable[[#This Row],[RAtemplate]],1,LEN(RADataTable[[#This Row],[RAtemplate]])-8),"RA") &amp; " " &amp; RADataTable[[#This Row],[prop_id0]] &amp; " " &amp; RADataTable[[#This Row],[last0]]</f>
        <v>RA 1757384 Fu</v>
      </c>
      <c r="U37" s="21" t="str">
        <f>IF(signer1="PD",IF(ISBLANK(RADataTable[[#This Row],[sign_blck_name]]),"",RADataTable[[#This Row],[sign_blck_name]]),IF(ISBLANK(signer1),"",signer1))</f>
        <v>Jonathan Sprinkle</v>
      </c>
      <c r="V37" s="29" t="str">
        <f>signer2</f>
        <v>Cognisant Program Director</v>
      </c>
      <c r="W37" s="15" t="str">
        <f>HYPERLINK("https://www.ejacket.nsf.gov/ej/showProposal.do?Continue=Y&amp;ID="&amp;RADataTable[[#This Row],[prop_id0]],"eJ")</f>
        <v>eJ</v>
      </c>
      <c r="X37" s="15" t="str">
        <f>HYPERLINK("mailto:"&amp;RADataTable[[#This Row],[email]]&amp;"&amp;subject=Your NSF Proposal:  "&amp;RADataTable[[#This Row],[Div]]&amp;" "&amp;RADataTable[[#This Row],[prop_id0]], RADataTable[[#This Row],[email]])</f>
        <v>song.fu@unt.edu</v>
      </c>
      <c r="Y37" s="15" t="str">
        <f>HYPERLINK("mailto:"&amp;RADataTable[[#This Row],[allPIemail]]&amp;"&amp;subject=NSF Proposal:  "&amp;RADataTable[[#This Row],[Div]]&amp;" "&amp;RADataTable[[#This Row],[prop_id0]], "PIs@")</f>
        <v>PIs@</v>
      </c>
      <c r="Z37" t="s">
        <v>1127</v>
      </c>
      <c r="AA37" t="s">
        <v>975</v>
      </c>
      <c r="AB37">
        <v>4</v>
      </c>
      <c r="AD37"/>
      <c r="AE37" s="21" t="str">
        <f>IF(RADataTable[[#This Row],[maxScore]]-RADataTable[[#This Row],[minScore]]&gt;4,"Y","")</f>
        <v/>
      </c>
      <c r="AF37" s="21">
        <v>3</v>
      </c>
      <c r="AG37" s="26">
        <v>5</v>
      </c>
      <c r="AH37">
        <v>7</v>
      </c>
      <c r="AI37" t="s">
        <v>1244</v>
      </c>
      <c r="AJ37" s="30">
        <v>43034.654861111114</v>
      </c>
      <c r="AK37" s="13">
        <v>365510</v>
      </c>
      <c r="AL37" s="13">
        <v>357120</v>
      </c>
      <c r="AM37">
        <v>0</v>
      </c>
      <c r="AN37" s="30">
        <v>43160</v>
      </c>
      <c r="AO37" s="21">
        <v>36</v>
      </c>
      <c r="AP37" s="21" t="s">
        <v>1382</v>
      </c>
      <c r="AS37" s="30"/>
      <c r="AT37" t="s">
        <v>998</v>
      </c>
      <c r="AU37" s="21" t="s">
        <v>255</v>
      </c>
      <c r="AW37" s="21" t="s">
        <v>1528</v>
      </c>
      <c r="AX37" s="30">
        <v>43035</v>
      </c>
      <c r="AY37" s="21" t="s">
        <v>1469</v>
      </c>
      <c r="AZ37" s="21" t="s">
        <v>1529</v>
      </c>
      <c r="BA37" s="21">
        <v>8</v>
      </c>
      <c r="BB37" s="21">
        <v>0</v>
      </c>
      <c r="BG37" s="30"/>
      <c r="BP37" s="30"/>
      <c r="BU37" t="s">
        <v>975</v>
      </c>
      <c r="BV37" s="21" t="s">
        <v>976</v>
      </c>
      <c r="BW37" s="21" t="s">
        <v>1379</v>
      </c>
      <c r="BX37" s="21" t="s">
        <v>1380</v>
      </c>
      <c r="BY37" s="31">
        <v>365510</v>
      </c>
      <c r="BZ37" s="31">
        <v>357120</v>
      </c>
      <c r="CA37" t="s">
        <v>592</v>
      </c>
      <c r="CF37" s="31"/>
      <c r="CG37" s="31"/>
      <c r="CM37" s="31"/>
      <c r="CN37" s="31"/>
      <c r="CT37" s="31"/>
      <c r="CU37" s="31"/>
      <c r="CV37" s="31"/>
      <c r="DA37" s="31"/>
      <c r="DB37" s="31"/>
      <c r="DC37" s="31"/>
      <c r="DH37" s="31"/>
      <c r="DI37" s="31"/>
      <c r="DO37" s="31"/>
      <c r="DP37" s="31"/>
      <c r="DR37" t="s">
        <v>1530</v>
      </c>
      <c r="DS37" t="s">
        <v>1451</v>
      </c>
      <c r="DT37" t="s">
        <v>1531</v>
      </c>
      <c r="DU37" s="29" t="s">
        <v>1504</v>
      </c>
      <c r="DV37" t="s">
        <v>1381</v>
      </c>
      <c r="DW37" t="s">
        <v>387</v>
      </c>
      <c r="DX37" t="s">
        <v>171</v>
      </c>
      <c r="DY37" t="s">
        <v>168</v>
      </c>
      <c r="DZ37" t="s">
        <v>169</v>
      </c>
      <c r="EA37" s="22">
        <v>43075.751620370371</v>
      </c>
      <c r="EB37" t="s">
        <v>1383</v>
      </c>
      <c r="EC37" t="s">
        <v>1532</v>
      </c>
    </row>
    <row r="38" spans="1:133" hidden="1">
      <c r="A38" s="30">
        <v>43063.973275462966</v>
      </c>
      <c r="B38" s="22">
        <v>42970.378472222219</v>
      </c>
      <c r="C38" s="22" t="s">
        <v>1376</v>
      </c>
      <c r="D38" s="30" t="s">
        <v>1124</v>
      </c>
      <c r="E38" s="30" t="s">
        <v>1377</v>
      </c>
      <c r="F38" s="30" t="s">
        <v>170</v>
      </c>
      <c r="G38" s="30" t="s">
        <v>456</v>
      </c>
      <c r="H38" t="s">
        <v>94</v>
      </c>
      <c r="I38" t="s">
        <v>1378</v>
      </c>
      <c r="J38" t="s">
        <v>705</v>
      </c>
      <c r="K38" s="22">
        <v>43041.475706018522</v>
      </c>
      <c r="L38">
        <v>1</v>
      </c>
      <c r="M38" s="26">
        <v>3</v>
      </c>
      <c r="N38" t="s">
        <v>254</v>
      </c>
      <c r="Q38" s="29" t="s">
        <v>13</v>
      </c>
      <c r="R38" s="29" t="str">
        <f>IFERROR(MID(RADataTable[[#This Row],[RAtemplate]],1,LEN(RADataTable[[#This Row],[RAtemplate]])-8),"RA") &amp; " " &amp; RADataTable[[#This Row],[prop_id0]] &amp; " " &amp; RADataTable[[#This Row],[last0]]</f>
        <v>RA 1757535 Zhang</v>
      </c>
      <c r="U38" s="21" t="str">
        <f>IF(signer1="PD",IF(ISBLANK(RADataTable[[#This Row],[sign_blck_name]]),"",RADataTable[[#This Row],[sign_blck_name]]),IF(ISBLANK(signer1),"",signer1))</f>
        <v>Jonathan Sprinkle</v>
      </c>
      <c r="V38" s="29" t="str">
        <f>signer2</f>
        <v>Cognisant Program Director</v>
      </c>
      <c r="W38" s="15" t="str">
        <f>HYPERLINK("https://www.ejacket.nsf.gov/ej/showProposal.do?Continue=Y&amp;ID="&amp;RADataTable[[#This Row],[prop_id0]],"eJ")</f>
        <v>eJ</v>
      </c>
      <c r="X38" s="15" t="str">
        <f>HYPERLINK("mailto:"&amp;RADataTable[[#This Row],[email]]&amp;"&amp;subject=Your NSF Proposal:  "&amp;RADataTable[[#This Row],[Div]]&amp;" "&amp;RADataTable[[#This Row],[prop_id0]], RADataTable[[#This Row],[email]])</f>
        <v>wzhang4@vcu.edu</v>
      </c>
      <c r="Y38" s="15" t="str">
        <f>HYPERLINK("mailto:"&amp;RADataTable[[#This Row],[allPIemail]]&amp;"&amp;subject=NSF Proposal:  "&amp;RADataTable[[#This Row],[Div]]&amp;" "&amp;RADataTable[[#This Row],[prop_id0]], "PIs@")</f>
        <v>PIs@</v>
      </c>
      <c r="Z38" t="s">
        <v>1127</v>
      </c>
      <c r="AA38" t="s">
        <v>1013</v>
      </c>
      <c r="AB38">
        <v>5</v>
      </c>
      <c r="AD38"/>
      <c r="AE38" s="21" t="str">
        <f>IF(RADataTable[[#This Row],[maxScore]]-RADataTable[[#This Row],[minScore]]&gt;4,"Y","")</f>
        <v/>
      </c>
      <c r="AF38" s="21">
        <v>3</v>
      </c>
      <c r="AG38" s="26">
        <v>3.6</v>
      </c>
      <c r="AH38">
        <v>5</v>
      </c>
      <c r="AI38" t="s">
        <v>1390</v>
      </c>
      <c r="AJ38" s="30">
        <v>43035.513194444444</v>
      </c>
      <c r="AK38" s="13">
        <v>447942</v>
      </c>
      <c r="AL38" s="13">
        <v>447942</v>
      </c>
      <c r="AM38">
        <v>0</v>
      </c>
      <c r="AN38" s="30">
        <v>43160</v>
      </c>
      <c r="AO38" s="21">
        <v>36</v>
      </c>
      <c r="AP38" s="21" t="s">
        <v>1391</v>
      </c>
      <c r="AS38" s="30"/>
      <c r="AT38" t="s">
        <v>998</v>
      </c>
      <c r="AU38" s="21" t="s">
        <v>255</v>
      </c>
      <c r="AW38" s="21" t="s">
        <v>1528</v>
      </c>
      <c r="AX38" s="30">
        <v>43035</v>
      </c>
      <c r="AY38" s="21" t="s">
        <v>1534</v>
      </c>
      <c r="AZ38" s="21" t="s">
        <v>1529</v>
      </c>
      <c r="BA38" s="21">
        <v>8</v>
      </c>
      <c r="BB38" s="21">
        <v>0</v>
      </c>
      <c r="BG38" s="30"/>
      <c r="BP38" s="30"/>
      <c r="BU38" t="s">
        <v>1013</v>
      </c>
      <c r="BV38" s="21" t="s">
        <v>457</v>
      </c>
      <c r="BW38" s="21" t="s">
        <v>1388</v>
      </c>
      <c r="BX38" s="21" t="s">
        <v>1389</v>
      </c>
      <c r="BY38" s="31">
        <v>447942</v>
      </c>
      <c r="BZ38" s="31">
        <v>447942</v>
      </c>
      <c r="CA38" t="s">
        <v>592</v>
      </c>
      <c r="CF38" s="31"/>
      <c r="CG38" s="31"/>
      <c r="CM38" s="31"/>
      <c r="CN38" s="31"/>
      <c r="CT38" s="31"/>
      <c r="CU38" s="31"/>
      <c r="CV38" s="31"/>
      <c r="DA38" s="31"/>
      <c r="DB38" s="31"/>
      <c r="DC38" s="31"/>
      <c r="DH38" s="31"/>
      <c r="DI38" s="31"/>
      <c r="DO38" s="31"/>
      <c r="DP38" s="31"/>
      <c r="DR38" t="s">
        <v>1530</v>
      </c>
      <c r="DS38" t="s">
        <v>1451</v>
      </c>
      <c r="DT38" t="s">
        <v>1531</v>
      </c>
      <c r="DU38" s="29" t="s">
        <v>1504</v>
      </c>
      <c r="DV38" t="s">
        <v>455</v>
      </c>
      <c r="DW38" t="s">
        <v>387</v>
      </c>
      <c r="DX38" t="s">
        <v>171</v>
      </c>
      <c r="DY38" t="s">
        <v>168</v>
      </c>
      <c r="DZ38" t="s">
        <v>169</v>
      </c>
      <c r="EA38" s="22">
        <v>43075.751620370371</v>
      </c>
      <c r="EB38" t="s">
        <v>1392</v>
      </c>
      <c r="EC38" t="s">
        <v>1535</v>
      </c>
    </row>
    <row r="39" spans="1:133" hidden="1">
      <c r="A39" s="30">
        <v>43066.349340277775</v>
      </c>
      <c r="B39" s="22">
        <v>42970.680555555555</v>
      </c>
      <c r="C39" s="22" t="s">
        <v>1376</v>
      </c>
      <c r="D39" s="30" t="s">
        <v>1124</v>
      </c>
      <c r="E39" s="30" t="s">
        <v>1377</v>
      </c>
      <c r="F39" s="30" t="s">
        <v>170</v>
      </c>
      <c r="G39" s="30" t="s">
        <v>456</v>
      </c>
      <c r="H39" t="s">
        <v>94</v>
      </c>
      <c r="I39" t="s">
        <v>1378</v>
      </c>
      <c r="J39" t="s">
        <v>705</v>
      </c>
      <c r="K39" s="22">
        <v>43048.503240740742</v>
      </c>
      <c r="L39">
        <v>1</v>
      </c>
      <c r="M39" s="26">
        <v>3</v>
      </c>
      <c r="N39" t="s">
        <v>254</v>
      </c>
      <c r="Q39" s="29" t="s">
        <v>13</v>
      </c>
      <c r="R39" s="29" t="str">
        <f>IFERROR(MID(RADataTable[[#This Row],[RAtemplate]],1,LEN(RADataTable[[#This Row],[RAtemplate]])-8),"RA") &amp; " " &amp; RADataTable[[#This Row],[prop_id0]] &amp; " " &amp; RADataTable[[#This Row],[last0]]</f>
        <v>RA 1757853 Jung</v>
      </c>
      <c r="U39" s="21" t="str">
        <f>IF(signer1="PD",IF(ISBLANK(RADataTable[[#This Row],[sign_blck_name]]),"",RADataTable[[#This Row],[sign_blck_name]]),IF(ISBLANK(signer1),"",signer1))</f>
        <v>Jonathan Sprinkle</v>
      </c>
      <c r="V39" s="29" t="str">
        <f>signer2</f>
        <v>Cognisant Program Director</v>
      </c>
      <c r="W39" s="15" t="str">
        <f>HYPERLINK("https://www.ejacket.nsf.gov/ej/showProposal.do?Continue=Y&amp;ID="&amp;RADataTable[[#This Row],[prop_id0]],"eJ")</f>
        <v>eJ</v>
      </c>
      <c r="X39" s="15" t="str">
        <f>HYPERLINK("mailto:"&amp;RADataTable[[#This Row],[email]]&amp;"&amp;subject=Your NSF Proposal:  "&amp;RADataTable[[#This Row],[Div]]&amp;" "&amp;RADataTable[[#This Row],[prop_id0]], RADataTable[[#This Row],[email]])</f>
        <v>jung@uta.edu</v>
      </c>
      <c r="Y39" s="15" t="str">
        <f>HYPERLINK("mailto:"&amp;RADataTable[[#This Row],[allPIemail]]&amp;"&amp;subject=NSF Proposal:  "&amp;RADataTable[[#This Row],[Div]]&amp;" "&amp;RADataTable[[#This Row],[prop_id0]], "PIs@")</f>
        <v>PIs@</v>
      </c>
      <c r="Z39" t="s">
        <v>1127</v>
      </c>
      <c r="AA39" t="s">
        <v>1051</v>
      </c>
      <c r="AB39">
        <v>4</v>
      </c>
      <c r="AD39"/>
      <c r="AE39" s="21" t="str">
        <f>IF(RADataTable[[#This Row],[maxScore]]-RADataTable[[#This Row],[minScore]]&gt;4,"Y","")</f>
        <v/>
      </c>
      <c r="AF39" s="21">
        <v>3</v>
      </c>
      <c r="AG39" s="26">
        <v>3</v>
      </c>
      <c r="AH39">
        <v>3</v>
      </c>
      <c r="AI39" t="s">
        <v>1407</v>
      </c>
      <c r="AJ39" s="30">
        <v>43034.634027777778</v>
      </c>
      <c r="AK39" s="13">
        <v>339491</v>
      </c>
      <c r="AL39" s="13">
        <v>339491</v>
      </c>
      <c r="AM39">
        <v>0</v>
      </c>
      <c r="AN39" s="30">
        <v>43101</v>
      </c>
      <c r="AO39" s="21">
        <v>36</v>
      </c>
      <c r="AP39" s="21" t="s">
        <v>1408</v>
      </c>
      <c r="AS39" s="30"/>
      <c r="AT39" t="s">
        <v>998</v>
      </c>
      <c r="AU39" s="21" t="s">
        <v>255</v>
      </c>
      <c r="AW39" s="21" t="s">
        <v>1528</v>
      </c>
      <c r="AX39" s="30">
        <v>43035</v>
      </c>
      <c r="AY39" s="21" t="s">
        <v>1542</v>
      </c>
      <c r="AZ39" s="21" t="s">
        <v>1529</v>
      </c>
      <c r="BA39" s="21">
        <v>8</v>
      </c>
      <c r="BB39" s="21">
        <v>0</v>
      </c>
      <c r="BG39" s="30"/>
      <c r="BP39" s="30"/>
      <c r="BU39" t="s">
        <v>1051</v>
      </c>
      <c r="BV39" s="21" t="s">
        <v>1052</v>
      </c>
      <c r="BW39" s="21" t="s">
        <v>1405</v>
      </c>
      <c r="BX39" s="21" t="s">
        <v>1406</v>
      </c>
      <c r="BY39" s="31">
        <v>339491</v>
      </c>
      <c r="BZ39" s="31">
        <v>339491</v>
      </c>
      <c r="CA39" t="s">
        <v>592</v>
      </c>
      <c r="CF39" s="31"/>
      <c r="CG39" s="31"/>
      <c r="CM39" s="31"/>
      <c r="CN39" s="31"/>
      <c r="CT39" s="31"/>
      <c r="CU39" s="31"/>
      <c r="CV39" s="31"/>
      <c r="DA39" s="31"/>
      <c r="DB39" s="31"/>
      <c r="DC39" s="31"/>
      <c r="DH39" s="31"/>
      <c r="DI39" s="31"/>
      <c r="DO39" s="31"/>
      <c r="DP39" s="31"/>
      <c r="DR39" t="s">
        <v>1530</v>
      </c>
      <c r="DS39" t="s">
        <v>1451</v>
      </c>
      <c r="DT39" t="s">
        <v>1531</v>
      </c>
      <c r="DU39" s="29" t="s">
        <v>1504</v>
      </c>
      <c r="DV39" t="s">
        <v>455</v>
      </c>
      <c r="DW39" t="s">
        <v>387</v>
      </c>
      <c r="DX39" t="s">
        <v>171</v>
      </c>
      <c r="DY39" t="s">
        <v>168</v>
      </c>
      <c r="DZ39" t="s">
        <v>169</v>
      </c>
      <c r="EA39" s="22">
        <v>43075.751620370371</v>
      </c>
      <c r="EB39" t="s">
        <v>1409</v>
      </c>
      <c r="EC39" t="s">
        <v>1543</v>
      </c>
    </row>
    <row r="40" spans="1:133">
      <c r="A40" s="30"/>
      <c r="B40" s="22">
        <v>42970.693055555559</v>
      </c>
      <c r="C40" s="22" t="s">
        <v>1376</v>
      </c>
      <c r="D40" s="30" t="s">
        <v>1124</v>
      </c>
      <c r="E40" s="30" t="s">
        <v>1377</v>
      </c>
      <c r="F40" s="30" t="s">
        <v>170</v>
      </c>
      <c r="G40" s="30" t="s">
        <v>172</v>
      </c>
      <c r="H40" t="s">
        <v>94</v>
      </c>
      <c r="I40" t="s">
        <v>1378</v>
      </c>
      <c r="J40" t="s">
        <v>705</v>
      </c>
      <c r="K40" s="22">
        <v>43048.50240740741</v>
      </c>
      <c r="L40">
        <v>1</v>
      </c>
      <c r="M40" s="26">
        <v>3</v>
      </c>
      <c r="N40" t="s">
        <v>254</v>
      </c>
      <c r="Q40" s="29" t="s">
        <v>13</v>
      </c>
      <c r="R40" s="29" t="str">
        <f>IFERROR(MID(RADataTable[[#This Row],[RAtemplate]],1,LEN(RADataTable[[#This Row],[RAtemplate]])-8),"RA") &amp; " " &amp; RADataTable[[#This Row],[prop_id0]] &amp; " " &amp; RADataTable[[#This Row],[last0]]</f>
        <v>RA 1757893 Metsis</v>
      </c>
      <c r="U40" s="21" t="str">
        <f>IF(signer1="PD",IF(ISBLANK(RADataTable[[#This Row],[sign_blck_name]]),"",RADataTable[[#This Row],[sign_blck_name]]),IF(ISBLANK(signer1),"",signer1))</f>
        <v>Jonathan Sprinkle</v>
      </c>
      <c r="V40" s="29" t="str">
        <f>signer2</f>
        <v>Cognisant Program Director</v>
      </c>
      <c r="W40" s="15" t="str">
        <f>HYPERLINK("https://www.ejacket.nsf.gov/ej/showProposal.do?Continue=Y&amp;ID="&amp;RADataTable[[#This Row],[prop_id0]],"eJ")</f>
        <v>eJ</v>
      </c>
      <c r="X40" s="15" t="str">
        <f>HYPERLINK("mailto:"&amp;RADataTable[[#This Row],[email]]&amp;"&amp;subject=Your NSF Proposal:  "&amp;RADataTable[[#This Row],[Div]]&amp;" "&amp;RADataTable[[#This Row],[prop_id0]], RADataTable[[#This Row],[email]])</f>
        <v>vmetsis@txstate.edu</v>
      </c>
      <c r="Y40" s="15" t="str">
        <f>HYPERLINK("mailto:"&amp;RADataTable[[#This Row],[allPIemail]]&amp;"&amp;subject=NSF Proposal:  "&amp;RADataTable[[#This Row],[Div]]&amp;" "&amp;RADataTable[[#This Row],[prop_id0]], "PIs@")</f>
        <v>PIs@</v>
      </c>
      <c r="Z40" t="s">
        <v>1127</v>
      </c>
      <c r="AA40" t="s">
        <v>1076</v>
      </c>
      <c r="AB40">
        <v>4</v>
      </c>
      <c r="AD40"/>
      <c r="AE40" s="21" t="str">
        <f>IF(RADataTable[[#This Row],[maxScore]]-RADataTable[[#This Row],[minScore]]&gt;4,"Y","")</f>
        <v/>
      </c>
      <c r="AF40" s="21">
        <v>4</v>
      </c>
      <c r="AG40" s="26">
        <v>6</v>
      </c>
      <c r="AH40">
        <v>7</v>
      </c>
      <c r="AI40" t="s">
        <v>1421</v>
      </c>
      <c r="AJ40" s="30">
        <v>43034.677083333336</v>
      </c>
      <c r="AK40" s="13">
        <v>359812</v>
      </c>
      <c r="AL40" s="13">
        <v>359812</v>
      </c>
      <c r="AM40">
        <v>0</v>
      </c>
      <c r="AN40" s="30">
        <v>43101</v>
      </c>
      <c r="AO40" s="21">
        <v>36</v>
      </c>
      <c r="AP40" s="21" t="s">
        <v>1422</v>
      </c>
      <c r="AS40" s="30"/>
      <c r="AT40" t="s">
        <v>998</v>
      </c>
      <c r="AU40" s="21" t="s">
        <v>255</v>
      </c>
      <c r="AW40" s="21" t="s">
        <v>1528</v>
      </c>
      <c r="AX40" s="30">
        <v>43035</v>
      </c>
      <c r="AY40" s="21" t="s">
        <v>1548</v>
      </c>
      <c r="AZ40" s="21" t="s">
        <v>1529</v>
      </c>
      <c r="BA40" s="21">
        <v>8</v>
      </c>
      <c r="BB40" s="21">
        <v>0</v>
      </c>
      <c r="BG40" s="30"/>
      <c r="BP40" s="30"/>
      <c r="BU40" t="s">
        <v>1076</v>
      </c>
      <c r="BV40" s="21" t="s">
        <v>1077</v>
      </c>
      <c r="BW40" s="21" t="s">
        <v>1419</v>
      </c>
      <c r="BX40" s="21" t="s">
        <v>1420</v>
      </c>
      <c r="BY40" s="31">
        <v>359812</v>
      </c>
      <c r="BZ40" s="31">
        <v>359812</v>
      </c>
      <c r="CA40" t="s">
        <v>592</v>
      </c>
      <c r="CF40" s="31"/>
      <c r="CG40" s="31"/>
      <c r="CM40" s="31"/>
      <c r="CN40" s="31"/>
      <c r="CT40" s="31"/>
      <c r="CU40" s="31"/>
      <c r="CV40" s="31"/>
      <c r="DA40" s="31"/>
      <c r="DB40" s="31"/>
      <c r="DC40" s="31"/>
      <c r="DH40" s="31"/>
      <c r="DI40" s="31"/>
      <c r="DO40" s="31"/>
      <c r="DP40" s="31"/>
      <c r="DR40" t="s">
        <v>1530</v>
      </c>
      <c r="DS40" t="s">
        <v>1451</v>
      </c>
      <c r="DT40" t="s">
        <v>1531</v>
      </c>
      <c r="DU40" s="29" t="s">
        <v>1504</v>
      </c>
      <c r="DV40" t="s">
        <v>173</v>
      </c>
      <c r="DW40" t="s">
        <v>387</v>
      </c>
      <c r="DX40" t="s">
        <v>171</v>
      </c>
      <c r="DY40" t="s">
        <v>168</v>
      </c>
      <c r="DZ40" t="s">
        <v>169</v>
      </c>
      <c r="EA40" s="22">
        <v>43075.751620370371</v>
      </c>
      <c r="EB40" t="s">
        <v>1423</v>
      </c>
      <c r="EC40" t="s">
        <v>1549</v>
      </c>
    </row>
    <row r="41" spans="1:133">
      <c r="A41" s="30"/>
      <c r="B41" s="22">
        <v>42970.70208333333</v>
      </c>
      <c r="C41" s="22" t="s">
        <v>1376</v>
      </c>
      <c r="D41" s="30" t="s">
        <v>1124</v>
      </c>
      <c r="E41" s="30" t="s">
        <v>1377</v>
      </c>
      <c r="F41" s="30" t="s">
        <v>170</v>
      </c>
      <c r="G41" s="30" t="s">
        <v>172</v>
      </c>
      <c r="H41" t="s">
        <v>94</v>
      </c>
      <c r="I41" t="s">
        <v>1378</v>
      </c>
      <c r="J41" t="s">
        <v>705</v>
      </c>
      <c r="K41" s="22">
        <v>43048.502071759256</v>
      </c>
      <c r="L41">
        <v>1</v>
      </c>
      <c r="M41" s="26">
        <v>3</v>
      </c>
      <c r="N41" t="s">
        <v>254</v>
      </c>
      <c r="Q41" s="29" t="s">
        <v>13</v>
      </c>
      <c r="R41" s="29" t="str">
        <f>IFERROR(MID(RADataTable[[#This Row],[RAtemplate]],1,LEN(RADataTable[[#This Row],[RAtemplate]])-8),"RA") &amp; " " &amp; RADataTable[[#This Row],[prop_id0]] &amp; " " &amp; RADataTable[[#This Row],[last0]]</f>
        <v>RA 1757919 Odumosu</v>
      </c>
      <c r="U41" s="21" t="str">
        <f>IF(signer1="PD",IF(ISBLANK(RADataTable[[#This Row],[sign_blck_name]]),"",RADataTable[[#This Row],[sign_blck_name]]),IF(ISBLANK(signer1),"",signer1))</f>
        <v>Jonathan Sprinkle</v>
      </c>
      <c r="V41" s="29" t="str">
        <f>signer2</f>
        <v>Cognisant Program Director</v>
      </c>
      <c r="W41" s="15" t="str">
        <f>HYPERLINK("https://www.ejacket.nsf.gov/ej/showProposal.do?Continue=Y&amp;ID="&amp;RADataTable[[#This Row],[prop_id0]],"eJ")</f>
        <v>eJ</v>
      </c>
      <c r="X41" s="15" t="str">
        <f>HYPERLINK("mailto:"&amp;RADataTable[[#This Row],[email]]&amp;"&amp;subject=Your NSF Proposal:  "&amp;RADataTable[[#This Row],[Div]]&amp;" "&amp;RADataTable[[#This Row],[prop_id0]], RADataTable[[#This Row],[email]])</f>
        <v>tbo4z@virginia.edu</v>
      </c>
      <c r="Y41" s="15" t="str">
        <f>HYPERLINK("mailto:"&amp;RADataTable[[#This Row],[allPIemail]]&amp;"&amp;subject=NSF Proposal:  "&amp;RADataTable[[#This Row],[Div]]&amp;" "&amp;RADataTable[[#This Row],[prop_id0]], "PIs@")</f>
        <v>PIs@</v>
      </c>
      <c r="Z41" t="s">
        <v>1127</v>
      </c>
      <c r="AA41" t="s">
        <v>1091</v>
      </c>
      <c r="AB41">
        <v>4</v>
      </c>
      <c r="AD41"/>
      <c r="AE41" s="21" t="str">
        <f>IF(RADataTable[[#This Row],[maxScore]]-RADataTable[[#This Row],[minScore]]&gt;4,"Y","")</f>
        <v/>
      </c>
      <c r="AF41" s="21">
        <v>4</v>
      </c>
      <c r="AG41" s="26">
        <v>5</v>
      </c>
      <c r="AH41">
        <v>6</v>
      </c>
      <c r="AI41" t="s">
        <v>1429</v>
      </c>
      <c r="AJ41" s="30">
        <v>43035.396527777775</v>
      </c>
      <c r="AK41" s="13">
        <v>299333</v>
      </c>
      <c r="AL41" s="13">
        <v>299333</v>
      </c>
      <c r="AM41">
        <v>0</v>
      </c>
      <c r="AN41" s="30">
        <v>43252</v>
      </c>
      <c r="AO41" s="21">
        <v>36</v>
      </c>
      <c r="AP41" s="21" t="s">
        <v>1431</v>
      </c>
      <c r="AS41" s="30"/>
      <c r="AT41" t="s">
        <v>998</v>
      </c>
      <c r="AU41" s="21" t="s">
        <v>255</v>
      </c>
      <c r="AW41" s="21" t="s">
        <v>1528</v>
      </c>
      <c r="AX41" s="30">
        <v>43035</v>
      </c>
      <c r="AY41" s="21" t="s">
        <v>1551</v>
      </c>
      <c r="AZ41" s="21" t="s">
        <v>1529</v>
      </c>
      <c r="BA41" s="21">
        <v>8</v>
      </c>
      <c r="BB41" s="21">
        <v>0</v>
      </c>
      <c r="BG41" s="30"/>
      <c r="BP41" s="30"/>
      <c r="BU41" t="s">
        <v>1091</v>
      </c>
      <c r="BV41" s="21" t="s">
        <v>1092</v>
      </c>
      <c r="BW41" s="21" t="s">
        <v>1428</v>
      </c>
      <c r="BX41" s="21" t="s">
        <v>476</v>
      </c>
      <c r="BY41" s="31">
        <v>299333</v>
      </c>
      <c r="BZ41" s="31">
        <v>299333</v>
      </c>
      <c r="CA41" t="s">
        <v>592</v>
      </c>
      <c r="CF41" s="31"/>
      <c r="CG41" s="31"/>
      <c r="CM41" s="31"/>
      <c r="CN41" s="31"/>
      <c r="CT41" s="31"/>
      <c r="CU41" s="31"/>
      <c r="CV41" s="31"/>
      <c r="DA41" s="31"/>
      <c r="DB41" s="31"/>
      <c r="DC41" s="31"/>
      <c r="DH41" s="31"/>
      <c r="DI41" s="31"/>
      <c r="DO41" s="31"/>
      <c r="DP41" s="31"/>
      <c r="DR41" t="s">
        <v>1530</v>
      </c>
      <c r="DS41" t="s">
        <v>1451</v>
      </c>
      <c r="DT41" t="s">
        <v>1531</v>
      </c>
      <c r="DU41" s="29" t="s">
        <v>1504</v>
      </c>
      <c r="DV41" t="s">
        <v>1430</v>
      </c>
      <c r="DW41" t="s">
        <v>387</v>
      </c>
      <c r="DX41" t="s">
        <v>171</v>
      </c>
      <c r="DY41" t="s">
        <v>168</v>
      </c>
      <c r="DZ41" t="s">
        <v>169</v>
      </c>
      <c r="EA41" s="22">
        <v>43075.751620370371</v>
      </c>
      <c r="EB41" t="s">
        <v>1432</v>
      </c>
      <c r="EC41" t="s">
        <v>1552</v>
      </c>
    </row>
    <row r="42" spans="1:133" hidden="1">
      <c r="A42" s="30">
        <v>43063.975752314815</v>
      </c>
      <c r="B42" s="22">
        <v>42970.70208333333</v>
      </c>
      <c r="C42" s="22" t="s">
        <v>1376</v>
      </c>
      <c r="D42" s="30" t="s">
        <v>1124</v>
      </c>
      <c r="E42" s="30" t="s">
        <v>1377</v>
      </c>
      <c r="F42" s="30" t="s">
        <v>170</v>
      </c>
      <c r="G42" s="30" t="s">
        <v>456</v>
      </c>
      <c r="H42" t="s">
        <v>94</v>
      </c>
      <c r="I42" t="s">
        <v>1378</v>
      </c>
      <c r="J42" t="s">
        <v>705</v>
      </c>
      <c r="K42" s="22">
        <v>43048.504432870373</v>
      </c>
      <c r="L42">
        <v>1</v>
      </c>
      <c r="M42" s="26">
        <v>3</v>
      </c>
      <c r="N42" t="s">
        <v>254</v>
      </c>
      <c r="Q42" s="29" t="s">
        <v>13</v>
      </c>
      <c r="R42" s="29" t="str">
        <f>IFERROR(MID(RADataTable[[#This Row],[RAtemplate]],1,LEN(RADataTable[[#This Row],[RAtemplate]])-8),"RA") &amp; " " &amp; RADataTable[[#This Row],[prop_id0]] &amp; " " &amp; RADataTable[[#This Row],[last0]]</f>
        <v>RA 1757921 Ashok</v>
      </c>
      <c r="U42" s="21" t="str">
        <f>IF(signer1="PD",IF(ISBLANK(RADataTable[[#This Row],[sign_blck_name]]),"",RADataTable[[#This Row],[sign_blck_name]]),IF(ISBLANK(signer1),"",signer1))</f>
        <v>Jonathan Sprinkle</v>
      </c>
      <c r="V42" s="29" t="str">
        <f>signer2</f>
        <v>Cognisant Program Director</v>
      </c>
      <c r="W42" s="15" t="str">
        <f>HYPERLINK("https://www.ejacket.nsf.gov/ej/showProposal.do?Continue=Y&amp;ID="&amp;RADataTable[[#This Row],[prop_id0]],"eJ")</f>
        <v>eJ</v>
      </c>
      <c r="X42" s="15" t="str">
        <f>HYPERLINK("mailto:"&amp;RADataTable[[#This Row],[email]]&amp;"&amp;subject=Your NSF Proposal:  "&amp;RADataTable[[#This Row],[Div]]&amp;" "&amp;RADataTable[[#This Row],[prop_id0]], RADataTable[[#This Row],[email]])</f>
        <v>aashok@gsu.edu</v>
      </c>
      <c r="Y42" s="15" t="str">
        <f>HYPERLINK("mailto:"&amp;RADataTable[[#This Row],[allPIemail]]&amp;"&amp;subject=NSF Proposal:  "&amp;RADataTable[[#This Row],[Div]]&amp;" "&amp;RADataTable[[#This Row],[prop_id0]], "PIs@")</f>
        <v>PIs@</v>
      </c>
      <c r="Z42" t="s">
        <v>1127</v>
      </c>
      <c r="AA42" t="s">
        <v>1099</v>
      </c>
      <c r="AB42">
        <v>4</v>
      </c>
      <c r="AD42"/>
      <c r="AE42" s="21" t="str">
        <f>IF(RADataTable[[#This Row],[maxScore]]-RADataTable[[#This Row],[minScore]]&gt;4,"Y","")</f>
        <v/>
      </c>
      <c r="AF42" s="21">
        <v>3</v>
      </c>
      <c r="AG42" s="26">
        <v>4.5</v>
      </c>
      <c r="AH42">
        <v>7</v>
      </c>
      <c r="AI42" t="s">
        <v>1435</v>
      </c>
      <c r="AJ42" s="30">
        <v>43035.419444444444</v>
      </c>
      <c r="AK42" s="13">
        <v>358313</v>
      </c>
      <c r="AL42" s="13">
        <v>358313</v>
      </c>
      <c r="AM42">
        <v>0</v>
      </c>
      <c r="AN42" s="30">
        <v>43130</v>
      </c>
      <c r="AO42" s="21">
        <v>36</v>
      </c>
      <c r="AP42" s="21" t="s">
        <v>1436</v>
      </c>
      <c r="AS42" s="30"/>
      <c r="AT42" t="s">
        <v>998</v>
      </c>
      <c r="AU42" s="21" t="s">
        <v>255</v>
      </c>
      <c r="AW42" s="21" t="s">
        <v>1528</v>
      </c>
      <c r="AX42" s="30">
        <v>43035</v>
      </c>
      <c r="AY42" s="21" t="s">
        <v>1553</v>
      </c>
      <c r="AZ42" s="21" t="s">
        <v>1529</v>
      </c>
      <c r="BA42" s="21">
        <v>8</v>
      </c>
      <c r="BB42" s="21">
        <v>0</v>
      </c>
      <c r="BG42" s="30"/>
      <c r="BP42" s="30"/>
      <c r="BU42" t="s">
        <v>1099</v>
      </c>
      <c r="BV42" s="21" t="s">
        <v>1100</v>
      </c>
      <c r="BW42" s="21" t="s">
        <v>1433</v>
      </c>
      <c r="BX42" s="21" t="s">
        <v>1434</v>
      </c>
      <c r="BY42" s="31">
        <v>358313</v>
      </c>
      <c r="BZ42" s="31">
        <v>358313</v>
      </c>
      <c r="CA42" t="s">
        <v>592</v>
      </c>
      <c r="CF42" s="31"/>
      <c r="CG42" s="31"/>
      <c r="CM42" s="31"/>
      <c r="CN42" s="31"/>
      <c r="CT42" s="31"/>
      <c r="CU42" s="31"/>
      <c r="CV42" s="31"/>
      <c r="DA42" s="31"/>
      <c r="DB42" s="31"/>
      <c r="DC42" s="31"/>
      <c r="DH42" s="31"/>
      <c r="DI42" s="31"/>
      <c r="DO42" s="31"/>
      <c r="DP42" s="31"/>
      <c r="DR42" t="s">
        <v>1530</v>
      </c>
      <c r="DS42" t="s">
        <v>1451</v>
      </c>
      <c r="DT42" t="s">
        <v>1531</v>
      </c>
      <c r="DU42" s="29" t="s">
        <v>1504</v>
      </c>
      <c r="DV42" t="s">
        <v>455</v>
      </c>
      <c r="DW42" t="s">
        <v>387</v>
      </c>
      <c r="DX42" t="s">
        <v>171</v>
      </c>
      <c r="DY42" t="s">
        <v>168</v>
      </c>
      <c r="DZ42" t="s">
        <v>169</v>
      </c>
      <c r="EA42" s="22">
        <v>43075.751620370371</v>
      </c>
      <c r="EB42" t="s">
        <v>1437</v>
      </c>
      <c r="EC42" t="s">
        <v>1554</v>
      </c>
    </row>
    <row r="43" spans="1:133" hidden="1">
      <c r="A43" s="30">
        <v>43066.356249999997</v>
      </c>
      <c r="B43" s="22">
        <v>42970.728472222225</v>
      </c>
      <c r="C43" s="22" t="s">
        <v>1376</v>
      </c>
      <c r="D43" s="30" t="s">
        <v>1124</v>
      </c>
      <c r="E43" s="30" t="s">
        <v>1377</v>
      </c>
      <c r="F43" s="30" t="s">
        <v>170</v>
      </c>
      <c r="G43" s="30" t="s">
        <v>456</v>
      </c>
      <c r="H43" t="s">
        <v>94</v>
      </c>
      <c r="I43" t="s">
        <v>1378</v>
      </c>
      <c r="J43" t="s">
        <v>705</v>
      </c>
      <c r="K43" s="22">
        <v>43048.504155092596</v>
      </c>
      <c r="L43">
        <v>1</v>
      </c>
      <c r="M43" s="26">
        <v>3</v>
      </c>
      <c r="N43" t="s">
        <v>254</v>
      </c>
      <c r="Q43" s="29" t="s">
        <v>13</v>
      </c>
      <c r="R43" s="29" t="str">
        <f>IFERROR(MID(RADataTable[[#This Row],[RAtemplate]],1,LEN(RADataTable[[#This Row],[RAtemplate]])-8),"RA") &amp; " " &amp; RADataTable[[#This Row],[prop_id0]] &amp; " " &amp; RADataTable[[#This Row],[last0]]</f>
        <v>RA 1757956 Bobda</v>
      </c>
      <c r="U43" s="21" t="str">
        <f>IF(signer1="PD",IF(ISBLANK(RADataTable[[#This Row],[sign_blck_name]]),"",RADataTable[[#This Row],[sign_blck_name]]),IF(ISBLANK(signer1),"",signer1))</f>
        <v>Jonathan Sprinkle</v>
      </c>
      <c r="V43" s="29" t="str">
        <f>signer2</f>
        <v>Cognisant Program Director</v>
      </c>
      <c r="W43" s="15" t="str">
        <f>HYPERLINK("https://www.ejacket.nsf.gov/ej/showProposal.do?Continue=Y&amp;ID="&amp;RADataTable[[#This Row],[prop_id0]],"eJ")</f>
        <v>eJ</v>
      </c>
      <c r="X43" s="15" t="str">
        <f>HYPERLINK("mailto:"&amp;RADataTable[[#This Row],[email]]&amp;"&amp;subject=Your NSF Proposal:  "&amp;RADataTable[[#This Row],[Div]]&amp;" "&amp;RADataTable[[#This Row],[prop_id0]], RADataTable[[#This Row],[email]])</f>
        <v>cbobda@uark.edu</v>
      </c>
      <c r="Y43" s="15" t="str">
        <f>HYPERLINK("mailto:"&amp;RADataTable[[#This Row],[allPIemail]]&amp;"&amp;subject=NSF Proposal:  "&amp;RADataTable[[#This Row],[Div]]&amp;" "&amp;RADataTable[[#This Row],[prop_id0]], "PIs@")</f>
        <v>PIs@</v>
      </c>
      <c r="Z43" t="s">
        <v>1127</v>
      </c>
      <c r="AA43" t="s">
        <v>1115</v>
      </c>
      <c r="AB43">
        <v>4</v>
      </c>
      <c r="AD43"/>
      <c r="AE43" s="21" t="str">
        <f>IF(RADataTable[[#This Row],[maxScore]]-RADataTable[[#This Row],[minScore]]&gt;4,"Y","")</f>
        <v/>
      </c>
      <c r="AF43" s="21">
        <v>2</v>
      </c>
      <c r="AG43" s="26">
        <v>2.75</v>
      </c>
      <c r="AH43">
        <v>3</v>
      </c>
      <c r="AI43" t="s">
        <v>1444</v>
      </c>
      <c r="AJ43" s="30">
        <v>43035.43472222222</v>
      </c>
      <c r="AK43" s="13">
        <v>399415</v>
      </c>
      <c r="AL43" s="13">
        <v>399415</v>
      </c>
      <c r="AM43">
        <v>0</v>
      </c>
      <c r="AN43" s="30">
        <v>43101</v>
      </c>
      <c r="AO43" s="21">
        <v>36</v>
      </c>
      <c r="AP43" s="21" t="s">
        <v>1445</v>
      </c>
      <c r="AS43" s="30"/>
      <c r="AT43" t="s">
        <v>998</v>
      </c>
      <c r="AU43" s="21" t="s">
        <v>255</v>
      </c>
      <c r="AW43" s="21" t="s">
        <v>1528</v>
      </c>
      <c r="AX43" s="30">
        <v>43035</v>
      </c>
      <c r="AY43" s="21" t="s">
        <v>1556</v>
      </c>
      <c r="AZ43" s="21" t="s">
        <v>1529</v>
      </c>
      <c r="BA43" s="21">
        <v>8</v>
      </c>
      <c r="BB43" s="21">
        <v>0</v>
      </c>
      <c r="BG43" s="30"/>
      <c r="BP43" s="30"/>
      <c r="BU43" t="s">
        <v>1115</v>
      </c>
      <c r="BV43" s="21" t="s">
        <v>1116</v>
      </c>
      <c r="BW43" s="21" t="s">
        <v>1442</v>
      </c>
      <c r="BX43" s="21" t="s">
        <v>1443</v>
      </c>
      <c r="BY43" s="31">
        <v>399415</v>
      </c>
      <c r="BZ43" s="31">
        <v>399415</v>
      </c>
      <c r="CA43" t="s">
        <v>1424</v>
      </c>
      <c r="CF43" s="31"/>
      <c r="CG43" s="31"/>
      <c r="CM43" s="31"/>
      <c r="CN43" s="31"/>
      <c r="CT43" s="31"/>
      <c r="CU43" s="31"/>
      <c r="CV43" s="31"/>
      <c r="DA43" s="31"/>
      <c r="DB43" s="31"/>
      <c r="DC43" s="31"/>
      <c r="DH43" s="31"/>
      <c r="DI43" s="31"/>
      <c r="DO43" s="31"/>
      <c r="DP43" s="31"/>
      <c r="DR43" t="s">
        <v>1530</v>
      </c>
      <c r="DS43" t="s">
        <v>1451</v>
      </c>
      <c r="DT43" t="s">
        <v>1531</v>
      </c>
      <c r="DU43" s="29" t="s">
        <v>1504</v>
      </c>
      <c r="DV43" t="s">
        <v>455</v>
      </c>
      <c r="DW43" t="s">
        <v>387</v>
      </c>
      <c r="DX43" t="s">
        <v>171</v>
      </c>
      <c r="DY43" t="s">
        <v>168</v>
      </c>
      <c r="DZ43" t="s">
        <v>169</v>
      </c>
      <c r="EA43" s="22">
        <v>43075.751620370371</v>
      </c>
      <c r="EB43" t="s">
        <v>1446</v>
      </c>
      <c r="EC43" t="s">
        <v>1557</v>
      </c>
    </row>
    <row r="44" spans="1:133">
      <c r="A44" s="30"/>
      <c r="B44" s="22">
        <v>42800.65347222222</v>
      </c>
      <c r="C44" s="22" t="s">
        <v>1123</v>
      </c>
      <c r="D44" s="30" t="s">
        <v>1124</v>
      </c>
      <c r="E44" s="30" t="s">
        <v>1125</v>
      </c>
      <c r="F44" s="30" t="s">
        <v>170</v>
      </c>
      <c r="G44" s="30" t="s">
        <v>172</v>
      </c>
      <c r="H44" t="s">
        <v>94</v>
      </c>
      <c r="I44" t="s">
        <v>1126</v>
      </c>
      <c r="J44" t="s">
        <v>596</v>
      </c>
      <c r="L44">
        <v>1</v>
      </c>
      <c r="M44" s="26">
        <v>4</v>
      </c>
      <c r="N44" t="s">
        <v>359</v>
      </c>
      <c r="Q44" s="29" t="s">
        <v>13</v>
      </c>
      <c r="R44" s="29" t="str">
        <f>IFERROR(MID(RADataTable[[#This Row],[RAtemplate]],1,LEN(RADataTable[[#This Row],[RAtemplate]])-8),"RA") &amp; " " &amp; RADataTable[[#This Row],[prop_id0]] &amp; " " &amp; RADataTable[[#This Row],[last0]]</f>
        <v>RA 1739710 Mankoff</v>
      </c>
      <c r="U44" s="21" t="str">
        <f>IF(signer1="PD",IF(ISBLANK(RADataTable[[#This Row],[sign_blck_name]]),"",RADataTable[[#This Row],[sign_blck_name]]),IF(ISBLANK(signer1),"",signer1))</f>
        <v>David Corman</v>
      </c>
      <c r="V44" s="29" t="str">
        <f>signer2</f>
        <v>Cognisant Program Director</v>
      </c>
      <c r="W44" s="15" t="str">
        <f>HYPERLINK("https://www.ejacket.nsf.gov/ej/showProposal.do?Continue=Y&amp;ID="&amp;RADataTable[[#This Row],[prop_id0]],"eJ")</f>
        <v>eJ</v>
      </c>
      <c r="X44" s="15" t="str">
        <f>HYPERLINK("mailto:"&amp;RADataTable[[#This Row],[email]]&amp;"&amp;subject=Your NSF Proposal:  "&amp;RADataTable[[#This Row],[Div]]&amp;" "&amp;RADataTable[[#This Row],[prop_id0]], RADataTable[[#This Row],[email]])</f>
        <v>jmanoff@uw.edu</v>
      </c>
      <c r="Y44" s="15" t="str">
        <f>HYPERLINK("mailto:"&amp;RADataTable[[#This Row],[allPIemail]]&amp;"&amp;subject=NSF Proposal:  "&amp;RADataTable[[#This Row],[Div]]&amp;" "&amp;RADataTable[[#This Row],[prop_id0]], "PIs@")</f>
        <v>PIs@</v>
      </c>
      <c r="Z44" t="s">
        <v>1127</v>
      </c>
      <c r="AA44" t="s">
        <v>639</v>
      </c>
      <c r="AB44">
        <v>4</v>
      </c>
      <c r="AC44">
        <v>4</v>
      </c>
      <c r="AD44"/>
      <c r="AE44" s="21" t="str">
        <f>IF(RADataTable[[#This Row],[maxScore]]-RADataTable[[#This Row],[minScore]]&gt;4,"Y","")</f>
        <v/>
      </c>
      <c r="AF44" s="21">
        <v>3</v>
      </c>
      <c r="AG44" s="26">
        <v>3.25</v>
      </c>
      <c r="AH44">
        <v>4</v>
      </c>
      <c r="AI44" t="s">
        <v>367</v>
      </c>
      <c r="AJ44" s="30">
        <v>43028.479861111111</v>
      </c>
      <c r="AK44" s="13">
        <v>7000000</v>
      </c>
      <c r="AL44" s="13">
        <v>7000000</v>
      </c>
      <c r="AM44">
        <v>0</v>
      </c>
      <c r="AN44" s="30">
        <v>43101</v>
      </c>
      <c r="AO44" s="21">
        <v>60</v>
      </c>
      <c r="AP44" s="21" t="s">
        <v>1179</v>
      </c>
      <c r="AS44" s="30"/>
      <c r="AT44" t="s">
        <v>597</v>
      </c>
      <c r="AU44" s="21" t="s">
        <v>386</v>
      </c>
      <c r="AW44" s="21" t="s">
        <v>1447</v>
      </c>
      <c r="AX44" s="30">
        <v>43028</v>
      </c>
      <c r="AY44" s="21" t="s">
        <v>393</v>
      </c>
      <c r="AZ44" s="21" t="s">
        <v>1449</v>
      </c>
      <c r="BA44" s="21">
        <v>8</v>
      </c>
      <c r="BB44" s="21">
        <v>1</v>
      </c>
      <c r="BG44" s="30"/>
      <c r="BP44" s="30"/>
      <c r="BU44" t="s">
        <v>639</v>
      </c>
      <c r="BV44" s="21" t="s">
        <v>640</v>
      </c>
      <c r="BW44" s="21" t="s">
        <v>568</v>
      </c>
      <c r="BX44" s="21" t="s">
        <v>348</v>
      </c>
      <c r="BY44" s="31">
        <v>7000000</v>
      </c>
      <c r="BZ44" s="31">
        <v>7000000</v>
      </c>
      <c r="CF44" s="31"/>
      <c r="CG44" s="31"/>
      <c r="CM44" s="31"/>
      <c r="CN44" s="31"/>
      <c r="CT44" s="31"/>
      <c r="CU44" s="31"/>
      <c r="CV44" s="31"/>
      <c r="DA44" s="31"/>
      <c r="DB44" s="31"/>
      <c r="DC44" s="31"/>
      <c r="DH44" s="31"/>
      <c r="DI44" s="31"/>
      <c r="DO44" s="31"/>
      <c r="DP44" s="31"/>
      <c r="DR44" t="s">
        <v>1450</v>
      </c>
      <c r="DS44" t="s">
        <v>1451</v>
      </c>
      <c r="DT44" t="s">
        <v>1452</v>
      </c>
      <c r="DU44" s="29" t="s">
        <v>1453</v>
      </c>
      <c r="DV44" t="s">
        <v>173</v>
      </c>
      <c r="DW44" t="s">
        <v>387</v>
      </c>
      <c r="DX44" t="s">
        <v>171</v>
      </c>
      <c r="DY44" t="s">
        <v>168</v>
      </c>
      <c r="DZ44" t="s">
        <v>169</v>
      </c>
      <c r="EA44" s="22">
        <v>43075.751620370371</v>
      </c>
      <c r="EB44" t="s">
        <v>1180</v>
      </c>
      <c r="EC44" t="s">
        <v>1458</v>
      </c>
    </row>
    <row r="45" spans="1:133">
      <c r="A45" s="30"/>
      <c r="B45" s="22">
        <v>42800.671527777777</v>
      </c>
      <c r="C45" s="22" t="s">
        <v>1123</v>
      </c>
      <c r="D45" s="30" t="s">
        <v>1124</v>
      </c>
      <c r="E45" s="30" t="s">
        <v>1125</v>
      </c>
      <c r="F45" s="30" t="s">
        <v>170</v>
      </c>
      <c r="G45" s="30" t="s">
        <v>172</v>
      </c>
      <c r="H45" t="s">
        <v>94</v>
      </c>
      <c r="I45" t="s">
        <v>1126</v>
      </c>
      <c r="J45" t="s">
        <v>596</v>
      </c>
      <c r="L45">
        <v>1</v>
      </c>
      <c r="M45" s="26">
        <v>4</v>
      </c>
      <c r="N45" t="s">
        <v>359</v>
      </c>
      <c r="Q45" s="29" t="s">
        <v>13</v>
      </c>
      <c r="R45" s="29" t="str">
        <f>IFERROR(MID(RADataTable[[#This Row],[RAtemplate]],1,LEN(RADataTable[[#This Row],[RAtemplate]])-8),"RA") &amp; " " &amp; RADataTable[[#This Row],[prop_id0]] &amp; " " &amp; RADataTable[[#This Row],[last0]]</f>
        <v>RA 1739782 Akyildiz</v>
      </c>
      <c r="U45" s="21" t="str">
        <f>IF(signer1="PD",IF(ISBLANK(RADataTable[[#This Row],[sign_blck_name]]),"",RADataTable[[#This Row],[sign_blck_name]]),IF(ISBLANK(signer1),"",signer1))</f>
        <v>David Corman</v>
      </c>
      <c r="V45" s="29" t="str">
        <f>signer2</f>
        <v>Cognisant Program Director</v>
      </c>
      <c r="W45" s="15" t="str">
        <f>HYPERLINK("https://www.ejacket.nsf.gov/ej/showProposal.do?Continue=Y&amp;ID="&amp;RADataTable[[#This Row],[prop_id0]],"eJ")</f>
        <v>eJ</v>
      </c>
      <c r="X45" s="15" t="str">
        <f>HYPERLINK("mailto:"&amp;RADataTable[[#This Row],[email]]&amp;"&amp;subject=Your NSF Proposal:  "&amp;RADataTable[[#This Row],[Div]]&amp;" "&amp;RADataTable[[#This Row],[prop_id0]], RADataTable[[#This Row],[email]])</f>
        <v>ian@ece.gatech.edu</v>
      </c>
      <c r="Y45" s="15" t="str">
        <f>HYPERLINK("mailto:"&amp;RADataTable[[#This Row],[allPIemail]]&amp;"&amp;subject=NSF Proposal:  "&amp;RADataTable[[#This Row],[Div]]&amp;" "&amp;RADataTable[[#This Row],[prop_id0]], "PIs@")</f>
        <v>PIs@</v>
      </c>
      <c r="Z45" t="s">
        <v>1127</v>
      </c>
      <c r="AA45" t="s">
        <v>658</v>
      </c>
      <c r="AB45">
        <v>4</v>
      </c>
      <c r="AC45">
        <v>4</v>
      </c>
      <c r="AD45"/>
      <c r="AE45" s="21" t="str">
        <f>IF(RADataTable[[#This Row],[maxScore]]-RADataTable[[#This Row],[minScore]]&gt;4,"Y","")</f>
        <v>Y</v>
      </c>
      <c r="AF45" s="21">
        <v>1</v>
      </c>
      <c r="AG45" s="26">
        <v>4</v>
      </c>
      <c r="AH45">
        <v>7</v>
      </c>
      <c r="AI45" t="s">
        <v>1192</v>
      </c>
      <c r="AJ45" s="30">
        <v>43027.085416666669</v>
      </c>
      <c r="AK45" s="13">
        <v>7000000</v>
      </c>
      <c r="AL45" s="13">
        <v>7000000</v>
      </c>
      <c r="AM45">
        <v>0</v>
      </c>
      <c r="AN45" s="30">
        <v>43009</v>
      </c>
      <c r="AO45" s="21">
        <v>60</v>
      </c>
      <c r="AP45" s="21" t="s">
        <v>1193</v>
      </c>
      <c r="AS45" s="30"/>
      <c r="AT45" t="s">
        <v>597</v>
      </c>
      <c r="AU45" s="21" t="s">
        <v>386</v>
      </c>
      <c r="AW45" s="21" t="s">
        <v>1447</v>
      </c>
      <c r="AX45" s="30">
        <v>43028</v>
      </c>
      <c r="AY45" s="21" t="s">
        <v>1461</v>
      </c>
      <c r="AZ45" s="21" t="s">
        <v>1449</v>
      </c>
      <c r="BA45" s="21">
        <v>8</v>
      </c>
      <c r="BB45" s="21">
        <v>0</v>
      </c>
      <c r="BG45" s="30"/>
      <c r="BP45" s="30"/>
      <c r="BU45" t="s">
        <v>658</v>
      </c>
      <c r="BV45" s="21" t="s">
        <v>659</v>
      </c>
      <c r="BW45" s="21" t="s">
        <v>1191</v>
      </c>
      <c r="BX45" s="21" t="s">
        <v>459</v>
      </c>
      <c r="BY45" s="31">
        <v>3883266</v>
      </c>
      <c r="BZ45" s="31">
        <v>3883266</v>
      </c>
      <c r="CB45" s="21" t="s">
        <v>1195</v>
      </c>
      <c r="CC45" s="21" t="s">
        <v>1196</v>
      </c>
      <c r="CD45" s="21" t="s">
        <v>1197</v>
      </c>
      <c r="CE45" s="21" t="s">
        <v>1198</v>
      </c>
      <c r="CF45" s="31">
        <v>3116734</v>
      </c>
      <c r="CG45" s="31">
        <v>3116734</v>
      </c>
      <c r="CM45" s="31"/>
      <c r="CN45" s="31"/>
      <c r="CT45" s="31"/>
      <c r="CU45" s="31"/>
      <c r="CV45" s="31"/>
      <c r="DA45" s="31"/>
      <c r="DB45" s="31"/>
      <c r="DC45" s="31"/>
      <c r="DH45" s="31"/>
      <c r="DI45" s="31"/>
      <c r="DO45" s="31"/>
      <c r="DP45" s="31"/>
      <c r="DR45" t="s">
        <v>1450</v>
      </c>
      <c r="DS45" t="s">
        <v>1451</v>
      </c>
      <c r="DT45" t="s">
        <v>1452</v>
      </c>
      <c r="DU45" s="29" t="s">
        <v>1453</v>
      </c>
      <c r="DV45" t="s">
        <v>173</v>
      </c>
      <c r="DW45" t="s">
        <v>387</v>
      </c>
      <c r="DX45" t="s">
        <v>171</v>
      </c>
      <c r="DY45" t="s">
        <v>168</v>
      </c>
      <c r="DZ45" t="s">
        <v>169</v>
      </c>
      <c r="EA45" s="22">
        <v>43075.751620370371</v>
      </c>
      <c r="EB45" t="s">
        <v>1194</v>
      </c>
      <c r="EC45" t="s">
        <v>1462</v>
      </c>
    </row>
    <row r="46" spans="1:133">
      <c r="A46" s="30"/>
      <c r="B46" s="22">
        <v>42935.45</v>
      </c>
      <c r="C46" s="22" t="s">
        <v>248</v>
      </c>
      <c r="D46" s="30" t="s">
        <v>1124</v>
      </c>
      <c r="E46" s="30" t="s">
        <v>1125</v>
      </c>
      <c r="F46" s="30" t="s">
        <v>170</v>
      </c>
      <c r="G46" s="30" t="s">
        <v>172</v>
      </c>
      <c r="H46" t="s">
        <v>94</v>
      </c>
      <c r="I46" t="s">
        <v>1271</v>
      </c>
      <c r="J46" t="s">
        <v>596</v>
      </c>
      <c r="L46">
        <v>1</v>
      </c>
      <c r="M46" s="26">
        <v>4</v>
      </c>
      <c r="N46" t="s">
        <v>359</v>
      </c>
      <c r="Q46" s="29" t="s">
        <v>13</v>
      </c>
      <c r="R46" s="29" t="str">
        <f>IFERROR(MID(RADataTable[[#This Row],[RAtemplate]],1,LEN(RADataTable[[#This Row],[RAtemplate]])-8),"RA") &amp; " " &amp; RADataTable[[#This Row],[prop_id0]] &amp; " " &amp; RADataTable[[#This Row],[last0]]</f>
        <v>RA 1750246 Zhang</v>
      </c>
      <c r="U46" s="21" t="str">
        <f>IF(signer1="PD",IF(ISBLANK(RADataTable[[#This Row],[sign_blck_name]]),"",RADataTable[[#This Row],[sign_blck_name]]),IF(ISBLANK(signer1),"",signer1))</f>
        <v>David Corman</v>
      </c>
      <c r="V46" s="29" t="str">
        <f>signer2</f>
        <v>Cognisant Program Director</v>
      </c>
      <c r="W46" s="15" t="str">
        <f>HYPERLINK("https://www.ejacket.nsf.gov/ej/showProposal.do?Continue=Y&amp;ID="&amp;RADataTable[[#This Row],[prop_id0]],"eJ")</f>
        <v>eJ</v>
      </c>
      <c r="X46" s="15" t="str">
        <f>HYPERLINK("mailto:"&amp;RADataTable[[#This Row],[email]]&amp;"&amp;subject=Your NSF Proposal:  "&amp;RADataTable[[#This Row],[Div]]&amp;" "&amp;RADataTable[[#This Row],[prop_id0]], RADataTable[[#This Row],[email]])</f>
        <v>zhangs@cs.fit.edu</v>
      </c>
      <c r="Y46" s="15" t="str">
        <f>HYPERLINK("mailto:"&amp;RADataTable[[#This Row],[allPIemail]]&amp;"&amp;subject=NSF Proposal:  "&amp;RADataTable[[#This Row],[Div]]&amp;" "&amp;RADataTable[[#This Row],[prop_id0]], "PIs@")</f>
        <v>PIs@</v>
      </c>
      <c r="Z46" t="s">
        <v>1127</v>
      </c>
      <c r="AA46" t="s">
        <v>758</v>
      </c>
      <c r="AB46">
        <v>4</v>
      </c>
      <c r="AC46">
        <v>4</v>
      </c>
      <c r="AD46"/>
      <c r="AE46" s="21" t="str">
        <f>IF(RADataTable[[#This Row],[maxScore]]-RADataTable[[#This Row],[minScore]]&gt;4,"Y","")</f>
        <v/>
      </c>
      <c r="AF46" s="21">
        <v>1</v>
      </c>
      <c r="AG46" s="26">
        <v>2.5</v>
      </c>
      <c r="AH46">
        <v>3</v>
      </c>
      <c r="AI46" t="s">
        <v>1285</v>
      </c>
      <c r="AJ46" s="30">
        <v>43041.461111111108</v>
      </c>
      <c r="AK46" s="13">
        <v>792792</v>
      </c>
      <c r="AL46" s="13">
        <v>792792</v>
      </c>
      <c r="AM46">
        <v>0</v>
      </c>
      <c r="AN46" s="30">
        <v>43101</v>
      </c>
      <c r="AO46" s="21">
        <v>60</v>
      </c>
      <c r="AP46" s="21" t="s">
        <v>1286</v>
      </c>
      <c r="AS46" s="30"/>
      <c r="AT46" t="s">
        <v>706</v>
      </c>
      <c r="AU46" s="21" t="s">
        <v>386</v>
      </c>
      <c r="AW46" s="21" t="s">
        <v>1472</v>
      </c>
      <c r="AX46" s="30">
        <v>43042</v>
      </c>
      <c r="AY46" s="21" t="s">
        <v>1479</v>
      </c>
      <c r="AZ46" s="21" t="s">
        <v>1474</v>
      </c>
      <c r="BA46" s="21">
        <v>13</v>
      </c>
      <c r="BB46" s="21">
        <v>0</v>
      </c>
      <c r="BG46" s="30"/>
      <c r="BP46" s="30"/>
      <c r="BU46" t="s">
        <v>758</v>
      </c>
      <c r="BV46" s="21" t="s">
        <v>457</v>
      </c>
      <c r="BW46" s="21" t="s">
        <v>1283</v>
      </c>
      <c r="BX46" s="21" t="s">
        <v>1284</v>
      </c>
      <c r="BY46" s="31">
        <v>792792</v>
      </c>
      <c r="BZ46" s="31">
        <v>792792</v>
      </c>
      <c r="CA46" t="s">
        <v>256</v>
      </c>
      <c r="CF46" s="31"/>
      <c r="CG46" s="31"/>
      <c r="CM46" s="31"/>
      <c r="CN46" s="31"/>
      <c r="CT46" s="31"/>
      <c r="CU46" s="31"/>
      <c r="CV46" s="31"/>
      <c r="DA46" s="31"/>
      <c r="DB46" s="31"/>
      <c r="DC46" s="31"/>
      <c r="DH46" s="31"/>
      <c r="DI46" s="31"/>
      <c r="DO46" s="31"/>
      <c r="DP46" s="31"/>
      <c r="DR46" t="s">
        <v>252</v>
      </c>
      <c r="DS46" t="s">
        <v>1451</v>
      </c>
      <c r="DT46" t="s">
        <v>1452</v>
      </c>
      <c r="DU46" s="29" t="s">
        <v>1453</v>
      </c>
      <c r="DV46" t="s">
        <v>173</v>
      </c>
      <c r="DW46" t="s">
        <v>387</v>
      </c>
      <c r="DX46" t="s">
        <v>171</v>
      </c>
      <c r="DY46" t="s">
        <v>168</v>
      </c>
      <c r="DZ46" t="s">
        <v>169</v>
      </c>
      <c r="EA46" s="22">
        <v>43075.751620370371</v>
      </c>
      <c r="EB46" t="s">
        <v>1287</v>
      </c>
      <c r="EC46" t="s">
        <v>1480</v>
      </c>
    </row>
    <row r="47" spans="1:133">
      <c r="A47" s="30"/>
      <c r="B47" s="22">
        <v>42935.546527777777</v>
      </c>
      <c r="C47" s="22" t="s">
        <v>248</v>
      </c>
      <c r="D47" s="30" t="s">
        <v>1124</v>
      </c>
      <c r="E47" s="30" t="s">
        <v>1125</v>
      </c>
      <c r="F47" s="30" t="s">
        <v>170</v>
      </c>
      <c r="G47" s="30" t="s">
        <v>172</v>
      </c>
      <c r="H47" t="s">
        <v>94</v>
      </c>
      <c r="I47" t="s">
        <v>1271</v>
      </c>
      <c r="J47" t="s">
        <v>596</v>
      </c>
      <c r="L47">
        <v>1</v>
      </c>
      <c r="M47" s="26">
        <v>4</v>
      </c>
      <c r="N47" t="s">
        <v>359</v>
      </c>
      <c r="Q47" s="29" t="s">
        <v>13</v>
      </c>
      <c r="R47" s="29" t="str">
        <f>IFERROR(MID(RADataTable[[#This Row],[RAtemplate]],1,LEN(RADataTable[[#This Row],[RAtemplate]])-8),"RA") &amp; " " &amp; RADataTable[[#This Row],[prop_id0]] &amp; " " &amp; RADataTable[[#This Row],[last0]]</f>
        <v>RA 1750466 Zhu</v>
      </c>
      <c r="U47" s="21" t="str">
        <f>IF(signer1="PD",IF(ISBLANK(RADataTable[[#This Row],[sign_blck_name]]),"",RADataTable[[#This Row],[sign_blck_name]]),IF(ISBLANK(signer1),"",signer1))</f>
        <v>David Corman</v>
      </c>
      <c r="V47" s="29" t="str">
        <f>signer2</f>
        <v>Cognisant Program Director</v>
      </c>
      <c r="W47" s="15" t="str">
        <f>HYPERLINK("https://www.ejacket.nsf.gov/ej/showProposal.do?Continue=Y&amp;ID="&amp;RADataTable[[#This Row],[prop_id0]],"eJ")</f>
        <v>eJ</v>
      </c>
      <c r="X47" s="15" t="str">
        <f>HYPERLINK("mailto:"&amp;RADataTable[[#This Row],[email]]&amp;"&amp;subject=Your NSF Proposal:  "&amp;RADataTable[[#This Row],[Div]]&amp;" "&amp;RADataTable[[#This Row],[prop_id0]], RADataTable[[#This Row],[email]])</f>
        <v>quanyan.zhu@nyu.edu</v>
      </c>
      <c r="Y47" s="15" t="str">
        <f>HYPERLINK("mailto:"&amp;RADataTable[[#This Row],[allPIemail]]&amp;"&amp;subject=NSF Proposal:  "&amp;RADataTable[[#This Row],[Div]]&amp;" "&amp;RADataTable[[#This Row],[prop_id0]], "PIs@")</f>
        <v>PIs@</v>
      </c>
      <c r="Z47" t="s">
        <v>1127</v>
      </c>
      <c r="AA47" t="s">
        <v>810</v>
      </c>
      <c r="AB47">
        <v>4</v>
      </c>
      <c r="AC47">
        <v>4</v>
      </c>
      <c r="AD47"/>
      <c r="AE47" s="21" t="str">
        <f>IF(RADataTable[[#This Row],[maxScore]]-RADataTable[[#This Row],[minScore]]&gt;4,"Y","")</f>
        <v/>
      </c>
      <c r="AF47" s="21">
        <v>2</v>
      </c>
      <c r="AG47" s="26">
        <v>3.5</v>
      </c>
      <c r="AH47">
        <v>5</v>
      </c>
      <c r="AI47" t="s">
        <v>1299</v>
      </c>
      <c r="AJ47" s="30">
        <v>43042.375</v>
      </c>
      <c r="AK47" s="13">
        <v>499953</v>
      </c>
      <c r="AL47" s="13">
        <v>499953</v>
      </c>
      <c r="AM47">
        <v>0</v>
      </c>
      <c r="AN47" s="30">
        <v>43344</v>
      </c>
      <c r="AO47" s="21">
        <v>60</v>
      </c>
      <c r="AP47" s="21" t="s">
        <v>1300</v>
      </c>
      <c r="AS47" s="30"/>
      <c r="AT47" t="s">
        <v>706</v>
      </c>
      <c r="AU47" s="21" t="s">
        <v>386</v>
      </c>
      <c r="AW47" s="21" t="s">
        <v>1472</v>
      </c>
      <c r="AX47" s="30">
        <v>43042</v>
      </c>
      <c r="AY47" s="21" t="s">
        <v>1489</v>
      </c>
      <c r="AZ47" s="21" t="s">
        <v>1474</v>
      </c>
      <c r="BA47" s="21">
        <v>13</v>
      </c>
      <c r="BB47" s="21">
        <v>0</v>
      </c>
      <c r="BG47" s="30"/>
      <c r="BP47" s="30"/>
      <c r="BU47" t="s">
        <v>810</v>
      </c>
      <c r="BV47" s="21" t="s">
        <v>811</v>
      </c>
      <c r="BW47" s="21" t="s">
        <v>1298</v>
      </c>
      <c r="BX47" s="21" t="s">
        <v>474</v>
      </c>
      <c r="BY47" s="31">
        <v>499953</v>
      </c>
      <c r="BZ47" s="31">
        <v>499953</v>
      </c>
      <c r="CA47" t="s">
        <v>256</v>
      </c>
      <c r="CF47" s="31"/>
      <c r="CG47" s="31"/>
      <c r="CM47" s="31"/>
      <c r="CN47" s="31"/>
      <c r="CT47" s="31"/>
      <c r="CU47" s="31"/>
      <c r="CV47" s="31"/>
      <c r="DA47" s="31"/>
      <c r="DB47" s="31"/>
      <c r="DC47" s="31"/>
      <c r="DH47" s="31"/>
      <c r="DI47" s="31"/>
      <c r="DO47" s="31"/>
      <c r="DP47" s="31"/>
      <c r="DR47" t="s">
        <v>252</v>
      </c>
      <c r="DS47" t="s">
        <v>1451</v>
      </c>
      <c r="DT47" t="s">
        <v>1452</v>
      </c>
      <c r="DU47" s="29" t="s">
        <v>1453</v>
      </c>
      <c r="DV47" t="s">
        <v>173</v>
      </c>
      <c r="DW47" t="s">
        <v>387</v>
      </c>
      <c r="DX47" t="s">
        <v>171</v>
      </c>
      <c r="DY47" t="s">
        <v>168</v>
      </c>
      <c r="DZ47" t="s">
        <v>169</v>
      </c>
      <c r="EA47" s="22">
        <v>43075.751620370371</v>
      </c>
      <c r="EB47" t="s">
        <v>1301</v>
      </c>
      <c r="EC47" t="s">
        <v>1490</v>
      </c>
    </row>
    <row r="48" spans="1:133">
      <c r="A48" s="30"/>
      <c r="B48" s="22">
        <v>42935.674305555556</v>
      </c>
      <c r="C48" s="22" t="s">
        <v>248</v>
      </c>
      <c r="D48" s="30" t="s">
        <v>1124</v>
      </c>
      <c r="E48" s="30" t="s">
        <v>1125</v>
      </c>
      <c r="F48" s="30" t="s">
        <v>170</v>
      </c>
      <c r="G48" s="30" t="s">
        <v>172</v>
      </c>
      <c r="H48" t="s">
        <v>94</v>
      </c>
      <c r="I48" t="s">
        <v>1271</v>
      </c>
      <c r="J48" t="s">
        <v>705</v>
      </c>
      <c r="L48">
        <v>1</v>
      </c>
      <c r="M48" s="26">
        <v>4</v>
      </c>
      <c r="N48" t="s">
        <v>359</v>
      </c>
      <c r="Q48" s="29" t="s">
        <v>13</v>
      </c>
      <c r="R48" s="29" t="str">
        <f>IFERROR(MID(RADataTable[[#This Row],[RAtemplate]],1,LEN(RADataTable[[#This Row],[RAtemplate]])-8),"RA") &amp; " " &amp; RADataTable[[#This Row],[prop_id0]] &amp; " " &amp; RADataTable[[#This Row],[last0]]</f>
        <v>RA 1751021 Dantu</v>
      </c>
      <c r="U48" s="21" t="str">
        <f>IF(signer1="PD",IF(ISBLANK(RADataTable[[#This Row],[sign_blck_name]]),"",RADataTable[[#This Row],[sign_blck_name]]),IF(ISBLANK(signer1),"",signer1))</f>
        <v>Jonathan Sprinkle</v>
      </c>
      <c r="V48" s="29" t="str">
        <f>signer2</f>
        <v>Cognisant Program Director</v>
      </c>
      <c r="W48" s="15" t="str">
        <f>HYPERLINK("https://www.ejacket.nsf.gov/ej/showProposal.do?Continue=Y&amp;ID="&amp;RADataTable[[#This Row],[prop_id0]],"eJ")</f>
        <v>eJ</v>
      </c>
      <c r="X48" s="15" t="str">
        <f>HYPERLINK("mailto:"&amp;RADataTable[[#This Row],[email]]&amp;"&amp;subject=Your NSF Proposal:  "&amp;RADataTable[[#This Row],[Div]]&amp;" "&amp;RADataTable[[#This Row],[prop_id0]], RADataTable[[#This Row],[email]])</f>
        <v>kdantu@buffalo.edu</v>
      </c>
      <c r="Y48" s="15" t="str">
        <f>HYPERLINK("mailto:"&amp;RADataTable[[#This Row],[allPIemail]]&amp;"&amp;subject=NSF Proposal:  "&amp;RADataTable[[#This Row],[Div]]&amp;" "&amp;RADataTable[[#This Row],[prop_id0]], "PIs@")</f>
        <v>PIs@</v>
      </c>
      <c r="Z48" t="s">
        <v>1127</v>
      </c>
      <c r="AA48" t="s">
        <v>874</v>
      </c>
      <c r="AB48">
        <v>4</v>
      </c>
      <c r="AC48">
        <v>4</v>
      </c>
      <c r="AD48"/>
      <c r="AE48" s="21" t="str">
        <f>IF(RADataTable[[#This Row],[maxScore]]-RADataTable[[#This Row],[minScore]]&gt;4,"Y","")</f>
        <v/>
      </c>
      <c r="AF48" s="21">
        <v>1</v>
      </c>
      <c r="AG48" s="26">
        <v>3.5</v>
      </c>
      <c r="AH48">
        <v>5</v>
      </c>
      <c r="AI48" t="s">
        <v>1331</v>
      </c>
      <c r="AJ48" s="30">
        <v>43041.729861111111</v>
      </c>
      <c r="AK48" s="13">
        <v>651679</v>
      </c>
      <c r="AL48" s="13">
        <v>651679</v>
      </c>
      <c r="AM48">
        <v>0</v>
      </c>
      <c r="AN48" s="30">
        <v>43221</v>
      </c>
      <c r="AO48" s="21">
        <v>60</v>
      </c>
      <c r="AP48" s="21" t="s">
        <v>1332</v>
      </c>
      <c r="AS48" s="30"/>
      <c r="AT48" t="s">
        <v>706</v>
      </c>
      <c r="AU48" s="21" t="s">
        <v>386</v>
      </c>
      <c r="AW48" s="21" t="s">
        <v>1472</v>
      </c>
      <c r="AX48" s="30">
        <v>43042</v>
      </c>
      <c r="AY48" s="21" t="s">
        <v>1503</v>
      </c>
      <c r="AZ48" s="21" t="s">
        <v>1474</v>
      </c>
      <c r="BA48" s="21">
        <v>13</v>
      </c>
      <c r="BB48" s="21">
        <v>0</v>
      </c>
      <c r="BG48" s="30"/>
      <c r="BP48" s="30"/>
      <c r="BU48" t="s">
        <v>874</v>
      </c>
      <c r="BV48" s="21" t="s">
        <v>875</v>
      </c>
      <c r="BW48" s="21" t="s">
        <v>1330</v>
      </c>
      <c r="BX48" s="21" t="s">
        <v>217</v>
      </c>
      <c r="BY48" s="31">
        <v>651679</v>
      </c>
      <c r="BZ48" s="31">
        <v>651679</v>
      </c>
      <c r="CA48" t="s">
        <v>577</v>
      </c>
      <c r="CF48" s="31"/>
      <c r="CG48" s="31"/>
      <c r="CM48" s="31"/>
      <c r="CN48" s="31"/>
      <c r="CT48" s="31"/>
      <c r="CU48" s="31"/>
      <c r="CV48" s="31"/>
      <c r="DA48" s="31"/>
      <c r="DB48" s="31"/>
      <c r="DC48" s="31"/>
      <c r="DH48" s="31"/>
      <c r="DI48" s="31"/>
      <c r="DO48" s="31"/>
      <c r="DP48" s="31"/>
      <c r="DR48" t="s">
        <v>252</v>
      </c>
      <c r="DS48" t="s">
        <v>1451</v>
      </c>
      <c r="DT48" t="s">
        <v>1452</v>
      </c>
      <c r="DU48" s="29" t="s">
        <v>1504</v>
      </c>
      <c r="DV48" t="s">
        <v>173</v>
      </c>
      <c r="DW48" t="s">
        <v>387</v>
      </c>
      <c r="DX48" t="s">
        <v>171</v>
      </c>
      <c r="DY48" t="s">
        <v>168</v>
      </c>
      <c r="DZ48" t="s">
        <v>169</v>
      </c>
      <c r="EA48" s="22">
        <v>43075.751620370371</v>
      </c>
      <c r="EB48" t="s">
        <v>1333</v>
      </c>
      <c r="EC48" t="s">
        <v>1505</v>
      </c>
    </row>
    <row r="49" spans="1:133">
      <c r="A49" s="30"/>
      <c r="B49" s="22">
        <v>42935.712500000001</v>
      </c>
      <c r="C49" s="22" t="s">
        <v>248</v>
      </c>
      <c r="D49" s="30" t="s">
        <v>1124</v>
      </c>
      <c r="E49" s="30" t="s">
        <v>1125</v>
      </c>
      <c r="F49" s="30" t="s">
        <v>170</v>
      </c>
      <c r="G49" s="30" t="s">
        <v>172</v>
      </c>
      <c r="H49" t="s">
        <v>94</v>
      </c>
      <c r="I49" t="s">
        <v>1271</v>
      </c>
      <c r="J49" t="s">
        <v>596</v>
      </c>
      <c r="L49">
        <v>1</v>
      </c>
      <c r="M49" s="26">
        <v>4</v>
      </c>
      <c r="N49" t="s">
        <v>359</v>
      </c>
      <c r="Q49" s="29" t="s">
        <v>13</v>
      </c>
      <c r="R49" s="29" t="str">
        <f>IFERROR(MID(RADataTable[[#This Row],[RAtemplate]],1,LEN(RADataTable[[#This Row],[RAtemplate]])-8),"RA") &amp; " " &amp; RADataTable[[#This Row],[prop_id0]] &amp; " " &amp; RADataTable[[#This Row],[last0]]</f>
        <v>RA 1751219 Atkison</v>
      </c>
      <c r="U49" s="21" t="str">
        <f>IF(signer1="PD",IF(ISBLANK(RADataTable[[#This Row],[sign_blck_name]]),"",RADataTable[[#This Row],[sign_blck_name]]),IF(ISBLANK(signer1),"",signer1))</f>
        <v>David Corman</v>
      </c>
      <c r="V49" s="29" t="str">
        <f>signer2</f>
        <v>Cognisant Program Director</v>
      </c>
      <c r="W49" s="15" t="str">
        <f>HYPERLINK("https://www.ejacket.nsf.gov/ej/showProposal.do?Continue=Y&amp;ID="&amp;RADataTable[[#This Row],[prop_id0]],"eJ")</f>
        <v>eJ</v>
      </c>
      <c r="X49" s="15" t="str">
        <f>HYPERLINK("mailto:"&amp;RADataTable[[#This Row],[email]]&amp;"&amp;subject=Your NSF Proposal:  "&amp;RADataTable[[#This Row],[Div]]&amp;" "&amp;RADataTable[[#This Row],[prop_id0]], RADataTable[[#This Row],[email]])</f>
        <v>atkison@cs.ua.edu</v>
      </c>
      <c r="Y49" s="15" t="str">
        <f>HYPERLINK("mailto:"&amp;RADataTable[[#This Row],[allPIemail]]&amp;"&amp;subject=NSF Proposal:  "&amp;RADataTable[[#This Row],[Div]]&amp;" "&amp;RADataTable[[#This Row],[prop_id0]], "PIs@")</f>
        <v>PIs@</v>
      </c>
      <c r="Z49" t="s">
        <v>1127</v>
      </c>
      <c r="AA49" t="s">
        <v>899</v>
      </c>
      <c r="AB49">
        <v>4</v>
      </c>
      <c r="AC49">
        <v>4</v>
      </c>
      <c r="AD49"/>
      <c r="AE49" s="21" t="str">
        <f>IF(RADataTable[[#This Row],[maxScore]]-RADataTable[[#This Row],[minScore]]&gt;4,"Y","")</f>
        <v/>
      </c>
      <c r="AF49" s="21">
        <v>1</v>
      </c>
      <c r="AG49" s="26">
        <v>2</v>
      </c>
      <c r="AH49">
        <v>3</v>
      </c>
      <c r="AI49" t="s">
        <v>1345</v>
      </c>
      <c r="AJ49" s="30">
        <v>43041.644444444442</v>
      </c>
      <c r="AK49" s="13">
        <v>662136</v>
      </c>
      <c r="AL49" s="13">
        <v>662136</v>
      </c>
      <c r="AM49">
        <v>0</v>
      </c>
      <c r="AN49" s="30">
        <v>43327</v>
      </c>
      <c r="AO49" s="21">
        <v>60</v>
      </c>
      <c r="AP49" s="21" t="s">
        <v>1346</v>
      </c>
      <c r="AS49" s="30"/>
      <c r="AT49" t="s">
        <v>706</v>
      </c>
      <c r="AU49" s="21" t="s">
        <v>386</v>
      </c>
      <c r="AW49" s="21" t="s">
        <v>1472</v>
      </c>
      <c r="AX49" s="30">
        <v>43042</v>
      </c>
      <c r="AY49" s="21" t="s">
        <v>1510</v>
      </c>
      <c r="AZ49" s="21" t="s">
        <v>1474</v>
      </c>
      <c r="BA49" s="21">
        <v>13</v>
      </c>
      <c r="BB49" s="21">
        <v>0</v>
      </c>
      <c r="BG49" s="30"/>
      <c r="BP49" s="30"/>
      <c r="BU49" t="s">
        <v>899</v>
      </c>
      <c r="BV49" s="21" t="s">
        <v>900</v>
      </c>
      <c r="BW49" s="21" t="s">
        <v>1343</v>
      </c>
      <c r="BX49" s="21" t="s">
        <v>1344</v>
      </c>
      <c r="BY49" s="31">
        <v>662136</v>
      </c>
      <c r="BZ49" s="31">
        <v>662136</v>
      </c>
      <c r="CA49" t="s">
        <v>1274</v>
      </c>
      <c r="CF49" s="31"/>
      <c r="CG49" s="31"/>
      <c r="CM49" s="31"/>
      <c r="CN49" s="31"/>
      <c r="CT49" s="31"/>
      <c r="CU49" s="31"/>
      <c r="CV49" s="31"/>
      <c r="DA49" s="31"/>
      <c r="DB49" s="31"/>
      <c r="DC49" s="31"/>
      <c r="DH49" s="31"/>
      <c r="DI49" s="31"/>
      <c r="DO49" s="31"/>
      <c r="DP49" s="31"/>
      <c r="DR49" t="s">
        <v>252</v>
      </c>
      <c r="DS49" t="s">
        <v>1451</v>
      </c>
      <c r="DT49" t="s">
        <v>1452</v>
      </c>
      <c r="DU49" s="29" t="s">
        <v>1453</v>
      </c>
      <c r="DV49" t="s">
        <v>173</v>
      </c>
      <c r="DW49" t="s">
        <v>387</v>
      </c>
      <c r="DX49" t="s">
        <v>171</v>
      </c>
      <c r="DY49" t="s">
        <v>168</v>
      </c>
      <c r="DZ49" t="s">
        <v>169</v>
      </c>
      <c r="EA49" s="22">
        <v>43075.751620370371</v>
      </c>
      <c r="EB49" t="s">
        <v>1347</v>
      </c>
      <c r="EC49" t="s">
        <v>1511</v>
      </c>
    </row>
    <row r="50" spans="1:133">
      <c r="A50" s="30"/>
      <c r="B50" s="22">
        <v>42935.916666666664</v>
      </c>
      <c r="C50" s="22" t="s">
        <v>248</v>
      </c>
      <c r="D50" s="30" t="s">
        <v>1124</v>
      </c>
      <c r="E50" s="30" t="s">
        <v>1125</v>
      </c>
      <c r="F50" s="30" t="s">
        <v>170</v>
      </c>
      <c r="G50" s="30" t="s">
        <v>172</v>
      </c>
      <c r="H50" t="s">
        <v>94</v>
      </c>
      <c r="I50" t="s">
        <v>1271</v>
      </c>
      <c r="J50" t="s">
        <v>596</v>
      </c>
      <c r="L50">
        <v>1</v>
      </c>
      <c r="M50" s="26">
        <v>4</v>
      </c>
      <c r="N50" t="s">
        <v>359</v>
      </c>
      <c r="Q50" s="29" t="s">
        <v>13</v>
      </c>
      <c r="R50" s="29" t="str">
        <f>IFERROR(MID(RADataTable[[#This Row],[RAtemplate]],1,LEN(RADataTable[[#This Row],[RAtemplate]])-8),"RA") &amp; " " &amp; RADataTable[[#This Row],[prop_id0]] &amp; " " &amp; RADataTable[[#This Row],[last0]]</f>
        <v>RA 1751420 Li</v>
      </c>
      <c r="U50" s="21" t="str">
        <f>IF(signer1="PD",IF(ISBLANK(RADataTable[[#This Row],[sign_blck_name]]),"",RADataTable[[#This Row],[sign_blck_name]]),IF(ISBLANK(signer1),"",signer1))</f>
        <v>David Corman</v>
      </c>
      <c r="V50" s="29" t="str">
        <f>signer2</f>
        <v>Cognisant Program Director</v>
      </c>
      <c r="W50" s="15" t="str">
        <f>HYPERLINK("https://www.ejacket.nsf.gov/ej/showProposal.do?Continue=Y&amp;ID="&amp;RADataTable[[#This Row],[prop_id0]],"eJ")</f>
        <v>eJ</v>
      </c>
      <c r="X50" s="15" t="str">
        <f>HYPERLINK("mailto:"&amp;RADataTable[[#This Row],[email]]&amp;"&amp;subject=Your NSF Proposal:  "&amp;RADataTable[[#This Row],[Div]]&amp;" "&amp;RADataTable[[#This Row],[prop_id0]], RADataTable[[#This Row],[email]])</f>
        <v>depengli@hawaii.edu</v>
      </c>
      <c r="Y50" s="15" t="str">
        <f>HYPERLINK("mailto:"&amp;RADataTable[[#This Row],[allPIemail]]&amp;"&amp;subject=NSF Proposal:  "&amp;RADataTable[[#This Row],[Div]]&amp;" "&amp;RADataTable[[#This Row],[prop_id0]], "PIs@")</f>
        <v>PIs@</v>
      </c>
      <c r="Z50" t="s">
        <v>1127</v>
      </c>
      <c r="AA50" t="s">
        <v>931</v>
      </c>
      <c r="AB50">
        <v>4</v>
      </c>
      <c r="AC50">
        <v>4</v>
      </c>
      <c r="AD50"/>
      <c r="AE50" s="21" t="str">
        <f>IF(RADataTable[[#This Row],[maxScore]]-RADataTable[[#This Row],[minScore]]&gt;4,"Y","")</f>
        <v/>
      </c>
      <c r="AF50" s="21">
        <v>1</v>
      </c>
      <c r="AG50" s="26">
        <v>2.75</v>
      </c>
      <c r="AH50">
        <v>4</v>
      </c>
      <c r="AI50" t="s">
        <v>1362</v>
      </c>
      <c r="AJ50" s="30">
        <v>43041.422222222223</v>
      </c>
      <c r="AK50" s="13">
        <v>400188</v>
      </c>
      <c r="AL50" s="13">
        <v>400188</v>
      </c>
      <c r="AM50">
        <v>0</v>
      </c>
      <c r="AN50" s="30">
        <v>42979</v>
      </c>
      <c r="AO50" s="21">
        <v>60</v>
      </c>
      <c r="AP50" s="21" t="s">
        <v>1363</v>
      </c>
      <c r="AS50" s="30"/>
      <c r="AT50" t="s">
        <v>706</v>
      </c>
      <c r="AU50" s="21" t="s">
        <v>386</v>
      </c>
      <c r="AW50" s="21" t="s">
        <v>1472</v>
      </c>
      <c r="AX50" s="30">
        <v>43042</v>
      </c>
      <c r="AY50" s="21" t="s">
        <v>1517</v>
      </c>
      <c r="AZ50" s="21" t="s">
        <v>1474</v>
      </c>
      <c r="BA50" s="21">
        <v>13</v>
      </c>
      <c r="BB50" s="21">
        <v>0</v>
      </c>
      <c r="BG50" s="30"/>
      <c r="BP50" s="30"/>
      <c r="BU50" t="s">
        <v>931</v>
      </c>
      <c r="BV50" s="21" t="s">
        <v>354</v>
      </c>
      <c r="BW50" s="21" t="s">
        <v>1361</v>
      </c>
      <c r="BX50" s="21" t="s">
        <v>365</v>
      </c>
      <c r="BY50" s="31">
        <v>400188</v>
      </c>
      <c r="BZ50" s="31">
        <v>400188</v>
      </c>
      <c r="CA50" t="s">
        <v>1274</v>
      </c>
      <c r="CF50" s="31"/>
      <c r="CG50" s="31"/>
      <c r="CM50" s="31"/>
      <c r="CN50" s="31"/>
      <c r="CT50" s="31"/>
      <c r="CU50" s="31"/>
      <c r="CV50" s="31"/>
      <c r="DA50" s="31"/>
      <c r="DB50" s="31"/>
      <c r="DC50" s="31"/>
      <c r="DH50" s="31"/>
      <c r="DI50" s="31"/>
      <c r="DO50" s="31"/>
      <c r="DP50" s="31"/>
      <c r="DR50" t="s">
        <v>252</v>
      </c>
      <c r="DS50" t="s">
        <v>1451</v>
      </c>
      <c r="DT50" t="s">
        <v>1452</v>
      </c>
      <c r="DU50" s="29" t="s">
        <v>1453</v>
      </c>
      <c r="DV50" t="s">
        <v>173</v>
      </c>
      <c r="DW50" t="s">
        <v>387</v>
      </c>
      <c r="DX50" t="s">
        <v>171</v>
      </c>
      <c r="DY50" t="s">
        <v>168</v>
      </c>
      <c r="DZ50" t="s">
        <v>169</v>
      </c>
      <c r="EA50" s="22">
        <v>43075.751620370371</v>
      </c>
      <c r="EB50" t="s">
        <v>1364</v>
      </c>
      <c r="EC50" t="s">
        <v>1518</v>
      </c>
    </row>
    <row r="51" spans="1:133">
      <c r="A51" s="30"/>
      <c r="B51" s="22">
        <v>42936.688194444447</v>
      </c>
      <c r="C51" s="22" t="s">
        <v>248</v>
      </c>
      <c r="D51" s="30" t="s">
        <v>1124</v>
      </c>
      <c r="E51" s="30" t="s">
        <v>1125</v>
      </c>
      <c r="F51" s="30" t="s">
        <v>170</v>
      </c>
      <c r="G51" s="30" t="s">
        <v>172</v>
      </c>
      <c r="H51" t="s">
        <v>94</v>
      </c>
      <c r="I51" t="s">
        <v>1271</v>
      </c>
      <c r="J51" t="s">
        <v>596</v>
      </c>
      <c r="L51">
        <v>1</v>
      </c>
      <c r="M51" s="26">
        <v>4</v>
      </c>
      <c r="N51" t="s">
        <v>359</v>
      </c>
      <c r="Q51" s="29" t="s">
        <v>13</v>
      </c>
      <c r="R51" s="29" t="str">
        <f>IFERROR(MID(RADataTable[[#This Row],[RAtemplate]],1,LEN(RADataTable[[#This Row],[RAtemplate]])-8),"RA") &amp; " " &amp; RADataTable[[#This Row],[prop_id0]] &amp; " " &amp; RADataTable[[#This Row],[last0]]</f>
        <v>RA 1752310 Karimoddini</v>
      </c>
      <c r="U51" s="21" t="str">
        <f>IF(signer1="PD",IF(ISBLANK(RADataTable[[#This Row],[sign_blck_name]]),"",RADataTable[[#This Row],[sign_blck_name]]),IF(ISBLANK(signer1),"",signer1))</f>
        <v>David Corman</v>
      </c>
      <c r="V51" s="29" t="str">
        <f>signer2</f>
        <v>Cognisant Program Director</v>
      </c>
      <c r="W51" s="15" t="str">
        <f>HYPERLINK("https://www.ejacket.nsf.gov/ej/showProposal.do?Continue=Y&amp;ID="&amp;RADataTable[[#This Row],[prop_id0]],"eJ")</f>
        <v>eJ</v>
      </c>
      <c r="X51" s="15" t="str">
        <f>HYPERLINK("mailto:"&amp;RADataTable[[#This Row],[email]]&amp;"&amp;subject=Your NSF Proposal:  "&amp;RADataTable[[#This Row],[Div]]&amp;" "&amp;RADataTable[[#This Row],[prop_id0]], RADataTable[[#This Row],[email]])</f>
        <v>akarimod@ncat.edu</v>
      </c>
      <c r="Y51" s="15" t="str">
        <f>HYPERLINK("mailto:"&amp;RADataTable[[#This Row],[allPIemail]]&amp;"&amp;subject=NSF Proposal:  "&amp;RADataTable[[#This Row],[Div]]&amp;" "&amp;RADataTable[[#This Row],[prop_id0]], "PIs@")</f>
        <v>PIs@</v>
      </c>
      <c r="Z51" t="s">
        <v>1127</v>
      </c>
      <c r="AA51" t="s">
        <v>966</v>
      </c>
      <c r="AB51">
        <v>4</v>
      </c>
      <c r="AC51">
        <v>4</v>
      </c>
      <c r="AD51"/>
      <c r="AE51" s="21" t="str">
        <f>IF(RADataTable[[#This Row],[maxScore]]-RADataTable[[#This Row],[minScore]]&gt;4,"Y","")</f>
        <v>Y</v>
      </c>
      <c r="AF51" s="21">
        <v>1</v>
      </c>
      <c r="AG51" s="26">
        <v>4.25</v>
      </c>
      <c r="AH51">
        <v>6</v>
      </c>
      <c r="AI51" t="s">
        <v>1373</v>
      </c>
      <c r="AJ51" s="30">
        <v>43041.696527777778</v>
      </c>
      <c r="AK51" s="13">
        <v>500000</v>
      </c>
      <c r="AL51" s="13">
        <v>500000</v>
      </c>
      <c r="AM51">
        <v>0</v>
      </c>
      <c r="AN51" s="30">
        <v>43115</v>
      </c>
      <c r="AO51" s="21">
        <v>60</v>
      </c>
      <c r="AP51" s="21" t="s">
        <v>1374</v>
      </c>
      <c r="AS51" s="30"/>
      <c r="AT51" t="s">
        <v>706</v>
      </c>
      <c r="AU51" s="21" t="s">
        <v>386</v>
      </c>
      <c r="AW51" s="21" t="s">
        <v>1472</v>
      </c>
      <c r="AX51" s="30">
        <v>43042</v>
      </c>
      <c r="AY51" s="21" t="s">
        <v>1526</v>
      </c>
      <c r="AZ51" s="21" t="s">
        <v>1474</v>
      </c>
      <c r="BA51" s="21">
        <v>13</v>
      </c>
      <c r="BB51" s="21">
        <v>1</v>
      </c>
      <c r="BG51" s="30"/>
      <c r="BP51" s="30"/>
      <c r="BU51" t="s">
        <v>966</v>
      </c>
      <c r="BV51" s="21" t="s">
        <v>967</v>
      </c>
      <c r="BW51" s="21" t="s">
        <v>1371</v>
      </c>
      <c r="BX51" s="21" t="s">
        <v>1372</v>
      </c>
      <c r="BY51" s="31">
        <v>500000</v>
      </c>
      <c r="BZ51" s="31">
        <v>500000</v>
      </c>
      <c r="CA51" t="s">
        <v>256</v>
      </c>
      <c r="CF51" s="31"/>
      <c r="CG51" s="31"/>
      <c r="CM51" s="31"/>
      <c r="CN51" s="31"/>
      <c r="CT51" s="31"/>
      <c r="CU51" s="31"/>
      <c r="CV51" s="31"/>
      <c r="DA51" s="31"/>
      <c r="DB51" s="31"/>
      <c r="DC51" s="31"/>
      <c r="DH51" s="31"/>
      <c r="DI51" s="31"/>
      <c r="DO51" s="31"/>
      <c r="DP51" s="31"/>
      <c r="DR51" t="s">
        <v>252</v>
      </c>
      <c r="DS51" t="s">
        <v>1451</v>
      </c>
      <c r="DT51" t="s">
        <v>1452</v>
      </c>
      <c r="DU51" s="29" t="s">
        <v>1453</v>
      </c>
      <c r="DV51" t="s">
        <v>173</v>
      </c>
      <c r="DW51" t="s">
        <v>387</v>
      </c>
      <c r="DX51" t="s">
        <v>171</v>
      </c>
      <c r="DY51" t="s">
        <v>168</v>
      </c>
      <c r="DZ51" t="s">
        <v>169</v>
      </c>
      <c r="EA51" s="22">
        <v>43075.751620370371</v>
      </c>
      <c r="EB51" t="s">
        <v>1375</v>
      </c>
      <c r="EC51" t="s">
        <v>1527</v>
      </c>
    </row>
    <row r="52" spans="1:133" hidden="1">
      <c r="A52" s="30">
        <v>43060.397106481483</v>
      </c>
      <c r="B52" s="22">
        <v>42969.449305555558</v>
      </c>
      <c r="C52" s="22" t="s">
        <v>1376</v>
      </c>
      <c r="D52" s="30" t="s">
        <v>1124</v>
      </c>
      <c r="E52" s="30" t="s">
        <v>1377</v>
      </c>
      <c r="F52" s="30" t="s">
        <v>170</v>
      </c>
      <c r="G52" s="30" t="s">
        <v>456</v>
      </c>
      <c r="H52" t="s">
        <v>94</v>
      </c>
      <c r="I52" t="s">
        <v>1378</v>
      </c>
      <c r="J52" t="s">
        <v>705</v>
      </c>
      <c r="K52" s="22">
        <v>43048.501631944448</v>
      </c>
      <c r="L52">
        <v>1</v>
      </c>
      <c r="M52" s="26">
        <v>4</v>
      </c>
      <c r="N52" t="s">
        <v>359</v>
      </c>
      <c r="Q52" s="29" t="s">
        <v>13</v>
      </c>
      <c r="R52" s="29" t="str">
        <f>IFERROR(MID(RADataTable[[#This Row],[RAtemplate]],1,LEN(RADataTable[[#This Row],[RAtemplate]])-8),"RA") &amp; " " &amp; RADataTable[[#This Row],[prop_id0]] &amp; " " &amp; RADataTable[[#This Row],[last0]]</f>
        <v>RA 1757414 Shen</v>
      </c>
      <c r="U52" s="21" t="str">
        <f>IF(signer1="PD",IF(ISBLANK(RADataTable[[#This Row],[sign_blck_name]]),"",RADataTable[[#This Row],[sign_blck_name]]),IF(ISBLANK(signer1),"",signer1))</f>
        <v>Jonathan Sprinkle</v>
      </c>
      <c r="V52" s="29" t="str">
        <f>signer2</f>
        <v>Cognisant Program Director</v>
      </c>
      <c r="W52" s="15" t="str">
        <f>HYPERLINK("https://www.ejacket.nsf.gov/ej/showProposal.do?Continue=Y&amp;ID="&amp;RADataTable[[#This Row],[prop_id0]],"eJ")</f>
        <v>eJ</v>
      </c>
      <c r="X52" s="15" t="str">
        <f>HYPERLINK("mailto:"&amp;RADataTable[[#This Row],[email]]&amp;"&amp;subject=Your NSF Proposal:  "&amp;RADataTable[[#This Row],[Div]]&amp;" "&amp;RADataTable[[#This Row],[prop_id0]], RADataTable[[#This Row],[email]])</f>
        <v>shen@umich.edu</v>
      </c>
      <c r="Y52" s="15" t="str">
        <f>HYPERLINK("mailto:"&amp;RADataTable[[#This Row],[allPIemail]]&amp;"&amp;subject=NSF Proposal:  "&amp;RADataTable[[#This Row],[Div]]&amp;" "&amp;RADataTable[[#This Row],[prop_id0]], "PIs@")</f>
        <v>PIs@</v>
      </c>
      <c r="Z52" t="s">
        <v>1127</v>
      </c>
      <c r="AA52" t="s">
        <v>996</v>
      </c>
      <c r="AB52">
        <v>4</v>
      </c>
      <c r="AD52"/>
      <c r="AE52" s="21" t="str">
        <f>IF(RADataTable[[#This Row],[maxScore]]-RADataTable[[#This Row],[minScore]]&gt;4,"Y","")</f>
        <v/>
      </c>
      <c r="AF52" s="21">
        <v>3</v>
      </c>
      <c r="AG52" s="26">
        <v>4.25</v>
      </c>
      <c r="AH52">
        <v>5</v>
      </c>
      <c r="AI52" t="s">
        <v>1303</v>
      </c>
      <c r="AJ52" s="30">
        <v>43034.668749999997</v>
      </c>
      <c r="AK52" s="13">
        <v>269021</v>
      </c>
      <c r="AL52" s="13">
        <v>269021</v>
      </c>
      <c r="AM52">
        <v>0</v>
      </c>
      <c r="AN52" s="30">
        <v>43174</v>
      </c>
      <c r="AO52" s="21">
        <v>36</v>
      </c>
      <c r="AP52" s="21" t="s">
        <v>1386</v>
      </c>
      <c r="AS52" s="30"/>
      <c r="AT52" t="s">
        <v>998</v>
      </c>
      <c r="AU52" s="21" t="s">
        <v>999</v>
      </c>
      <c r="AW52" s="21" t="s">
        <v>1528</v>
      </c>
      <c r="AX52" s="30">
        <v>43035</v>
      </c>
      <c r="AY52" s="21" t="s">
        <v>1491</v>
      </c>
      <c r="AZ52" s="21" t="s">
        <v>1529</v>
      </c>
      <c r="BA52" s="21">
        <v>8</v>
      </c>
      <c r="BB52" s="21">
        <v>0</v>
      </c>
      <c r="BG52" s="30"/>
      <c r="BP52" s="30"/>
      <c r="BU52" t="s">
        <v>996</v>
      </c>
      <c r="BV52" s="21" t="s">
        <v>997</v>
      </c>
      <c r="BW52" s="21" t="s">
        <v>1385</v>
      </c>
      <c r="BX52" s="21" t="s">
        <v>356</v>
      </c>
      <c r="BY52" s="31">
        <v>269021</v>
      </c>
      <c r="BZ52" s="31">
        <v>269021</v>
      </c>
      <c r="CA52" t="s">
        <v>1384</v>
      </c>
      <c r="CF52" s="31"/>
      <c r="CG52" s="31"/>
      <c r="CM52" s="31"/>
      <c r="CN52" s="31"/>
      <c r="CT52" s="31"/>
      <c r="CU52" s="31"/>
      <c r="CV52" s="31"/>
      <c r="DA52" s="31"/>
      <c r="DB52" s="31"/>
      <c r="DC52" s="31"/>
      <c r="DH52" s="31"/>
      <c r="DI52" s="31"/>
      <c r="DO52" s="31"/>
      <c r="DP52" s="31"/>
      <c r="DR52" t="s">
        <v>1530</v>
      </c>
      <c r="DS52" t="s">
        <v>1451</v>
      </c>
      <c r="DT52" t="s">
        <v>1531</v>
      </c>
      <c r="DU52" s="29" t="s">
        <v>1504</v>
      </c>
      <c r="DV52" t="s">
        <v>455</v>
      </c>
      <c r="DW52" t="s">
        <v>387</v>
      </c>
      <c r="DX52" t="s">
        <v>171</v>
      </c>
      <c r="DY52" t="s">
        <v>168</v>
      </c>
      <c r="DZ52" t="s">
        <v>169</v>
      </c>
      <c r="EA52" s="22">
        <v>43075.751620370371</v>
      </c>
      <c r="EB52" t="s">
        <v>1387</v>
      </c>
      <c r="EC52" t="s">
        <v>1533</v>
      </c>
    </row>
    <row r="53" spans="1:133" hidden="1">
      <c r="A53" s="30">
        <v>43066.352777777778</v>
      </c>
      <c r="B53" s="22">
        <v>42970.688194444447</v>
      </c>
      <c r="C53" s="22" t="s">
        <v>1376</v>
      </c>
      <c r="D53" s="30" t="s">
        <v>1124</v>
      </c>
      <c r="E53" s="30" t="s">
        <v>1377</v>
      </c>
      <c r="F53" s="30" t="s">
        <v>170</v>
      </c>
      <c r="G53" s="30" t="s">
        <v>456</v>
      </c>
      <c r="H53" t="s">
        <v>94</v>
      </c>
      <c r="I53" t="s">
        <v>1378</v>
      </c>
      <c r="J53" t="s">
        <v>705</v>
      </c>
      <c r="K53" s="22">
        <v>43048.501331018517</v>
      </c>
      <c r="L53">
        <v>1</v>
      </c>
      <c r="M53" s="26">
        <v>4</v>
      </c>
      <c r="N53" t="s">
        <v>359</v>
      </c>
      <c r="Q53" s="29" t="s">
        <v>13</v>
      </c>
      <c r="R53" s="29" t="str">
        <f>IFERROR(MID(RADataTable[[#This Row],[RAtemplate]],1,LEN(RADataTable[[#This Row],[RAtemplate]])-8),"RA") &amp; " " &amp; RADataTable[[#This Row],[prop_id0]] &amp; " " &amp; RADataTable[[#This Row],[last0]]</f>
        <v>RA 1757870 Xie</v>
      </c>
      <c r="U53" s="21" t="str">
        <f>IF(signer1="PD",IF(ISBLANK(RADataTable[[#This Row],[sign_blck_name]]),"",RADataTable[[#This Row],[sign_blck_name]]),IF(ISBLANK(signer1),"",signer1))</f>
        <v>Jonathan Sprinkle</v>
      </c>
      <c r="V53" s="29" t="str">
        <f>signer2</f>
        <v>Cognisant Program Director</v>
      </c>
      <c r="W53" s="15" t="str">
        <f>HYPERLINK("https://www.ejacket.nsf.gov/ej/showProposal.do?Continue=Y&amp;ID="&amp;RADataTable[[#This Row],[prop_id0]],"eJ")</f>
        <v>eJ</v>
      </c>
      <c r="X53" s="15" t="str">
        <f>HYPERLINK("mailto:"&amp;RADataTable[[#This Row],[email]]&amp;"&amp;subject=Your NSF Proposal:  "&amp;RADataTable[[#This Row],[Div]]&amp;" "&amp;RADataTable[[#This Row],[prop_id0]], RADataTable[[#This Row],[email]])</f>
        <v>jiafeng.xie@wright.edu</v>
      </c>
      <c r="Y53" s="15" t="str">
        <f>HYPERLINK("mailto:"&amp;RADataTable[[#This Row],[allPIemail]]&amp;"&amp;subject=NSF Proposal:  "&amp;RADataTable[[#This Row],[Div]]&amp;" "&amp;RADataTable[[#This Row],[prop_id0]], "PIs@")</f>
        <v>PIs@</v>
      </c>
      <c r="Z53" t="s">
        <v>1127</v>
      </c>
      <c r="AA53" t="s">
        <v>1060</v>
      </c>
      <c r="AB53">
        <v>4</v>
      </c>
      <c r="AD53"/>
      <c r="AE53" s="21" t="str">
        <f>IF(RADataTable[[#This Row],[maxScore]]-RADataTable[[#This Row],[minScore]]&gt;4,"Y","")</f>
        <v/>
      </c>
      <c r="AF53" s="21">
        <v>1</v>
      </c>
      <c r="AG53" s="26">
        <v>2.25</v>
      </c>
      <c r="AH53">
        <v>4</v>
      </c>
      <c r="AI53" t="s">
        <v>1412</v>
      </c>
      <c r="AJ53" s="30">
        <v>43035.397916666669</v>
      </c>
      <c r="AK53" s="13">
        <v>353763</v>
      </c>
      <c r="AL53" s="13">
        <v>353763</v>
      </c>
      <c r="AM53">
        <v>0</v>
      </c>
      <c r="AN53" s="30">
        <v>43132</v>
      </c>
      <c r="AO53" s="21">
        <v>36</v>
      </c>
      <c r="AP53" s="21" t="s">
        <v>1413</v>
      </c>
      <c r="AS53" s="30"/>
      <c r="AT53" t="s">
        <v>998</v>
      </c>
      <c r="AU53" s="21" t="s">
        <v>999</v>
      </c>
      <c r="AW53" s="21" t="s">
        <v>1528</v>
      </c>
      <c r="AX53" s="30">
        <v>43035</v>
      </c>
      <c r="AY53" s="21" t="s">
        <v>1544</v>
      </c>
      <c r="AZ53" s="21" t="s">
        <v>1529</v>
      </c>
      <c r="BA53" s="21">
        <v>8</v>
      </c>
      <c r="BB53" s="21">
        <v>0</v>
      </c>
      <c r="BG53" s="30"/>
      <c r="BP53" s="30"/>
      <c r="BU53" t="s">
        <v>1060</v>
      </c>
      <c r="BV53" s="21" t="s">
        <v>575</v>
      </c>
      <c r="BW53" s="21" t="s">
        <v>1410</v>
      </c>
      <c r="BX53" s="21" t="s">
        <v>1411</v>
      </c>
      <c r="BY53" s="31">
        <v>353763</v>
      </c>
      <c r="BZ53" s="31">
        <v>353763</v>
      </c>
      <c r="CA53" t="s">
        <v>592</v>
      </c>
      <c r="CF53" s="31"/>
      <c r="CG53" s="31"/>
      <c r="CM53" s="31"/>
      <c r="CN53" s="31"/>
      <c r="CT53" s="31"/>
      <c r="CU53" s="31"/>
      <c r="CV53" s="31"/>
      <c r="DA53" s="31"/>
      <c r="DB53" s="31"/>
      <c r="DC53" s="31"/>
      <c r="DH53" s="31"/>
      <c r="DI53" s="31"/>
      <c r="DO53" s="31"/>
      <c r="DP53" s="31"/>
      <c r="DR53" t="s">
        <v>1530</v>
      </c>
      <c r="DS53" t="s">
        <v>1451</v>
      </c>
      <c r="DT53" t="s">
        <v>1531</v>
      </c>
      <c r="DU53" s="29" t="s">
        <v>1504</v>
      </c>
      <c r="DV53" t="s">
        <v>455</v>
      </c>
      <c r="DW53" t="s">
        <v>387</v>
      </c>
      <c r="DX53" t="s">
        <v>171</v>
      </c>
      <c r="DY53" t="s">
        <v>168</v>
      </c>
      <c r="DZ53" t="s">
        <v>169</v>
      </c>
      <c r="EA53" s="22">
        <v>43075.751620370371</v>
      </c>
      <c r="EB53" t="s">
        <v>1414</v>
      </c>
      <c r="EC53" t="s">
        <v>1545</v>
      </c>
    </row>
  </sheetData>
  <conditionalFormatting sqref="Z2:Z53">
    <cfRule type="expression" dxfId="58" priority="2">
      <formula>LEFT(#REF!,1)="E"</formula>
    </cfRule>
  </conditionalFormatting>
  <conditionalFormatting sqref="Q2:Q53">
    <cfRule type="expression" dxfId="57" priority="1">
      <formula>LEFT($AI2,1)="E"</formula>
    </cfRule>
  </conditionalFormatting>
  <dataValidations count="1">
    <dataValidation type="list" allowBlank="1" showInputMessage="1" showErrorMessage="1" sqref="O2:O53 Q2:Q53">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161925</xdr:colOff>
                    <xdr:row>0</xdr:row>
                    <xdr:rowOff>66675</xdr:rowOff>
                  </from>
                  <to>
                    <xdr:col>16</xdr:col>
                    <xdr:colOff>895350</xdr:colOff>
                    <xdr:row>0</xdr:row>
                    <xdr:rowOff>323850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AG2:AG53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0"/>
  <sheetViews>
    <sheetView topLeftCell="A36" workbookViewId="0">
      <selection activeCell="C38" sqref="C38"/>
    </sheetView>
  </sheetViews>
  <sheetFormatPr defaultColWidth="9.28515625" defaultRowHeight="15"/>
  <cols>
    <col min="1" max="1" width="16.7109375" style="65" customWidth="1"/>
    <col min="2" max="2" width="16.5703125" style="65" customWidth="1"/>
    <col min="3" max="3" width="98.5703125" style="84" customWidth="1"/>
    <col min="4" max="4" width="23.42578125" style="63" bestFit="1" customWidth="1"/>
    <col min="5" max="5" width="12" style="63" bestFit="1" customWidth="1"/>
    <col min="6" max="16384" width="9.28515625" style="63"/>
  </cols>
  <sheetData>
    <row r="1" spans="1:5">
      <c r="A1" s="65" t="s">
        <v>301</v>
      </c>
    </row>
    <row r="2" spans="1:5">
      <c r="A2" s="66" t="s">
        <v>302</v>
      </c>
      <c r="B2" s="67" t="s">
        <v>303</v>
      </c>
    </row>
    <row r="3" spans="1:5">
      <c r="A3" s="66" t="s">
        <v>304</v>
      </c>
      <c r="B3" s="68" t="s">
        <v>322</v>
      </c>
    </row>
    <row r="4" spans="1:5">
      <c r="A4" s="65" t="s">
        <v>305</v>
      </c>
      <c r="B4" s="67" t="s">
        <v>306</v>
      </c>
    </row>
    <row r="5" spans="1:5">
      <c r="A5" s="65" t="s">
        <v>307</v>
      </c>
      <c r="B5" s="67" t="s">
        <v>308</v>
      </c>
    </row>
    <row r="6" spans="1:5">
      <c r="D6" s="89" t="s">
        <v>509</v>
      </c>
      <c r="E6" t="s">
        <v>550</v>
      </c>
    </row>
    <row r="7" spans="1:5">
      <c r="A7" s="69" t="s">
        <v>287</v>
      </c>
      <c r="B7" s="70" t="s">
        <v>288</v>
      </c>
      <c r="D7" s="25" t="s">
        <v>13</v>
      </c>
      <c r="E7" s="21">
        <v>45</v>
      </c>
    </row>
    <row r="8" spans="1:5">
      <c r="A8" s="71" t="s">
        <v>292</v>
      </c>
      <c r="B8" s="72"/>
      <c r="D8" s="25" t="s">
        <v>174</v>
      </c>
      <c r="E8" s="21">
        <v>2</v>
      </c>
    </row>
    <row r="9" spans="1:5">
      <c r="A9" s="71" t="s">
        <v>277</v>
      </c>
      <c r="B9" s="72"/>
      <c r="D9" s="25" t="s">
        <v>175</v>
      </c>
      <c r="E9" s="21">
        <v>3</v>
      </c>
    </row>
    <row r="10" spans="1:5">
      <c r="A10" s="71" t="s">
        <v>291</v>
      </c>
      <c r="B10" s="72"/>
      <c r="D10" s="25" t="s">
        <v>177</v>
      </c>
      <c r="E10" s="21">
        <v>1</v>
      </c>
    </row>
    <row r="11" spans="1:5">
      <c r="A11" s="71" t="s">
        <v>290</v>
      </c>
      <c r="B11" s="72"/>
      <c r="D11" s="25" t="s">
        <v>557</v>
      </c>
      <c r="E11" s="21">
        <v>1</v>
      </c>
    </row>
    <row r="12" spans="1:5">
      <c r="A12" s="71" t="s">
        <v>289</v>
      </c>
      <c r="B12" s="72"/>
      <c r="D12" s="25" t="s">
        <v>507</v>
      </c>
      <c r="E12" s="21">
        <v>52</v>
      </c>
    </row>
    <row r="13" spans="1:5">
      <c r="A13" s="71" t="s">
        <v>293</v>
      </c>
      <c r="B13" s="72"/>
    </row>
    <row r="14" spans="1:5">
      <c r="A14" s="71" t="s">
        <v>172</v>
      </c>
      <c r="B14" s="72"/>
    </row>
    <row r="15" spans="1:5">
      <c r="A15" s="71" t="s">
        <v>294</v>
      </c>
      <c r="B15" s="72"/>
    </row>
    <row r="16" spans="1:5">
      <c r="A16" s="71" t="s">
        <v>281</v>
      </c>
      <c r="B16" s="72"/>
    </row>
    <row r="17" spans="1:3">
      <c r="A17" s="71" t="s">
        <v>284</v>
      </c>
      <c r="B17" s="72"/>
    </row>
    <row r="18" spans="1:3">
      <c r="A18" s="73" t="s">
        <v>286</v>
      </c>
      <c r="B18" s="74"/>
    </row>
    <row r="24" spans="1:3">
      <c r="A24" s="75" t="s">
        <v>185</v>
      </c>
      <c r="B24" s="76" t="s">
        <v>309</v>
      </c>
      <c r="C24" s="85" t="s">
        <v>310</v>
      </c>
    </row>
    <row r="25" spans="1:3" ht="35.65" customHeight="1">
      <c r="A25" s="65" t="s">
        <v>311</v>
      </c>
      <c r="B25" s="77">
        <v>43074.533634259256</v>
      </c>
      <c r="C25" s="86" t="s">
        <v>419</v>
      </c>
    </row>
    <row r="26" spans="1:3" ht="35.65" customHeight="1">
      <c r="A26" s="65" t="s">
        <v>312</v>
      </c>
      <c r="B26" s="77">
        <v>43074.533634259256</v>
      </c>
      <c r="C26" s="86" t="s">
        <v>478</v>
      </c>
    </row>
    <row r="27" spans="1:3" ht="35.65" customHeight="1">
      <c r="A27" s="65" t="s">
        <v>313</v>
      </c>
      <c r="B27" s="77">
        <v>43074.533634259256</v>
      </c>
      <c r="C27" s="86" t="s">
        <v>479</v>
      </c>
    </row>
    <row r="28" spans="1:3" ht="35.65" customHeight="1">
      <c r="A28" s="65" t="s">
        <v>314</v>
      </c>
      <c r="B28" s="77">
        <v>43074.533634259256</v>
      </c>
      <c r="C28" s="86" t="s">
        <v>480</v>
      </c>
    </row>
    <row r="29" spans="1:3" ht="35.65" customHeight="1">
      <c r="A29" s="65" t="s">
        <v>315</v>
      </c>
      <c r="B29" s="77">
        <v>43074.533634259256</v>
      </c>
      <c r="C29" s="86" t="s">
        <v>481</v>
      </c>
    </row>
    <row r="30" spans="1:3" ht="35.65" customHeight="1">
      <c r="A30" s="65" t="s">
        <v>316</v>
      </c>
      <c r="B30" s="77">
        <v>43074.533634259256</v>
      </c>
      <c r="C30" s="86" t="s">
        <v>418</v>
      </c>
    </row>
    <row r="31" spans="1:3" ht="35.65" customHeight="1">
      <c r="A31" s="65" t="s">
        <v>317</v>
      </c>
      <c r="B31" s="77">
        <v>43074.533634259256</v>
      </c>
      <c r="C31" s="86" t="s">
        <v>551</v>
      </c>
    </row>
    <row r="32" spans="1:3" ht="35.65" customHeight="1">
      <c r="A32" s="65" t="s">
        <v>318</v>
      </c>
      <c r="B32" s="77">
        <v>43074.533634259256</v>
      </c>
      <c r="C32" s="86" t="s">
        <v>420</v>
      </c>
    </row>
    <row r="33" spans="1:3" ht="35.65" customHeight="1">
      <c r="A33" s="65" t="s">
        <v>319</v>
      </c>
      <c r="B33" s="77">
        <v>43074.533634259256</v>
      </c>
      <c r="C33" s="86" t="s">
        <v>485</v>
      </c>
    </row>
    <row r="34" spans="1:3" ht="35.65" customHeight="1">
      <c r="A34" s="65" t="s">
        <v>320</v>
      </c>
      <c r="B34" s="77">
        <v>43074.533634259256</v>
      </c>
      <c r="C34" s="86" t="s">
        <v>484</v>
      </c>
    </row>
    <row r="35" spans="1:3" ht="35.65" customHeight="1">
      <c r="A35" s="65" t="s">
        <v>415</v>
      </c>
      <c r="B35" s="77">
        <v>43074.533634259256</v>
      </c>
      <c r="C35" s="86" t="s">
        <v>482</v>
      </c>
    </row>
    <row r="36" spans="1:3" ht="35.65" customHeight="1">
      <c r="A36" s="65" t="s">
        <v>417</v>
      </c>
      <c r="B36" s="77">
        <v>43074.533634259256</v>
      </c>
      <c r="C36" s="86" t="s">
        <v>552</v>
      </c>
    </row>
    <row r="37" spans="1:3" ht="36" customHeight="1">
      <c r="A37" s="65" t="s">
        <v>416</v>
      </c>
      <c r="B37" s="77">
        <v>43074.533634259256</v>
      </c>
      <c r="C37" s="86" t="s">
        <v>504</v>
      </c>
    </row>
    <row r="38" spans="1:3" ht="36" customHeight="1">
      <c r="A38" s="65" t="s">
        <v>483</v>
      </c>
      <c r="B38" s="77">
        <v>43074.533634259256</v>
      </c>
      <c r="C38" s="86" t="s">
        <v>1593</v>
      </c>
    </row>
    <row r="39" spans="1:3" ht="30">
      <c r="A39" s="65" t="s">
        <v>421</v>
      </c>
      <c r="B39" s="77">
        <v>43074.533634259256</v>
      </c>
      <c r="C39" s="86" t="s">
        <v>477</v>
      </c>
    </row>
    <row r="40" spans="1:3" ht="105">
      <c r="A40" s="65" t="s">
        <v>1591</v>
      </c>
      <c r="B40" s="77">
        <v>43075.728217592594</v>
      </c>
      <c r="C40" s="86" t="s">
        <v>1592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45</vt:i4>
      </vt:variant>
    </vt:vector>
  </HeadingPairs>
  <TitlesOfParts>
    <vt:vector size="55"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2017-12-06T23:03:48Z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