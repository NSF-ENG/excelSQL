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https://collaboration.inside.nsf.gov/eng/meritreview/SiteAssets/ENG Tools Websites and Best Practices/RoboRA/"/>
    </mc:Choice>
  </mc:AlternateContent>
  <bookViews>
    <workbookView xWindow="0" yWindow="0" windowWidth="7335" windowHeight="519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state="hidden" r:id="rId12"/>
  </sheets>
  <functionGroups builtInGroupCount="18"/>
  <definedNames>
    <definedName name="AwdTemplate">RoboRA!$B$16</definedName>
    <definedName name="codes_prop_stts">HiddenSettings!$E$7:$E$11</definedName>
    <definedName name="DeclTemplate">RoboRA!$D$16</definedName>
    <definedName name="delaytime">Prefs!$C$54</definedName>
    <definedName name="dir_div_abbr">Advanced!$E$12</definedName>
    <definedName name="dirRAoutput">Prefs!$D$66</definedName>
    <definedName name="dirRAtemplate">Prefs!$D$25</definedName>
    <definedName name="dirRoboRA">Prefs!$D$37</definedName>
    <definedName name="dirSharedRAtemplate">Prefs!$D$19</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ckAwd!$A$1:$BD$2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RAData!$A$1:$EG$3</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Prefs!$A$72:$A$90</definedName>
  </definedNames>
  <calcPr calcId="152511" calcMode="manual" concurrentCalc="0"/>
  <pivotCaches>
    <pivotCache cacheId="0" r:id="rId13"/>
    <pivotCache cacheId="1"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 i="2" l="1"/>
  <c r="R2" i="2"/>
  <c r="U3" i="2"/>
  <c r="U2" i="2"/>
  <c r="V3" i="2"/>
  <c r="V2" i="2"/>
  <c r="W3" i="2"/>
  <c r="W2" i="2"/>
  <c r="X3" i="2"/>
  <c r="X2" i="2"/>
  <c r="Y3" i="2"/>
  <c r="Y2" i="2"/>
  <c r="Z3" i="2"/>
  <c r="Z2" i="2"/>
  <c r="AF3" i="2"/>
  <c r="AF2" i="2"/>
  <c r="AK3" i="2"/>
  <c r="AK2" i="2"/>
  <c r="P3" i="6"/>
  <c r="L2" i="13"/>
  <c r="D5" i="7"/>
  <c r="C3" i="1"/>
  <c r="I68"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BB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pdoc_tot,b.part_tot_dol,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PE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5" name="PR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6" name="PRCGlossaryQuery1"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7" name="ProjTextQuery" type="1" refreshedVersion="6"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nullif(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<sst xmlns="http://schemas.openxmlformats.org/spreadsheetml/2006/main" count="770" uniqueCount="591">
  <si>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</si>
  <si>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</si>
  <si>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</si>
  <si>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</si>
  <si>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</si>
  <si>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</si>
  <si>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</si>
  <si>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</si>
  <si>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</si>
  <si>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</si>
  <si>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</si>
  <si>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</si>
  <si>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</si>
  <si>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</si>
  <si>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</si>
  <si>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</si>
  <si>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</si>
  <si>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</si>
  <si>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</si>
  <si>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</si>
  <si>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</si>
  <si>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</si>
  <si>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</si>
  <si>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</si>
  <si>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</si>
  <si>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</si>
  <si>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</si>
  <si>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</si>
  <si>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</si>
  <si>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</si>
  <si>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</si>
  <si>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</si>
  <si>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</si>
  <si>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</si>
  <si>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</si>
  <si>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</si>
  <si>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</si>
  <si>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</si>
  <si>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</si>
  <si>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</si>
  <si>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</si>
  <si>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</si>
  <si>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</si>
  <si>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</si>
  <si>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</si>
  <si>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</si>
  <si>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</si>
  <si>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</si>
  <si>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</si>
  <si>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</si>
  <si>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</si>
  <si>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</si>
  <si>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</si>
  <si>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</si>
  <si>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</si>
  <si>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</si>
  <si>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</si>
  <si>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</si>
  <si>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</si>
  <si>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</si>
  <si>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</si>
  <si>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</si>
  <si>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</si>
  <si>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</si>
  <si>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</si>
  <si>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</si>
  <si>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</si>
  <si>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</si>
  <si>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</si>
  <si>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</si>
  <si>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</si>
  <si>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</si>
  <si>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</si>
  <si>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</si>
  <si>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</si>
  <si>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</si>
  <si>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</si>
  <si>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</si>
  <si>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</si>
  <si>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</si>
  <si>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</si>
  <si>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</si>
  <si>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</si>
  <si>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</si>
  <si>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</si>
  <si>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</si>
  <si>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</si>
  <si>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</si>
  <si>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</si>
  <si>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</si>
  <si>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</si>
  <si>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</si>
  <si>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</si>
  <si>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</si>
  <si>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</si>
  <si>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</si>
  <si>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</si>
  <si>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</si>
  <si>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</si>
  <si>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</si>
  <si>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</si>
  <si>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</si>
  <si>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</si>
  <si>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</si>
  <si>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</si>
  <si>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</si>
  <si>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</si>
  <si>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</si>
  <si>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</si>
  <si>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</si>
  <si>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</si>
  <si>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</si>
  <si>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</si>
  <si>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</si>
  <si>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</si>
  <si>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</si>
  <si>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</si>
  <si>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</si>
  <si>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</si>
  <si>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</si>
  <si>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</si>
  <si>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</si>
  <si>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</si>
  <si>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</si>
  <si>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</si>
  <si>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</si>
  <si>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</si>
  <si>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</si>
  <si>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</si>
  <si>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</si>
  <si>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</si>
  <si>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</si>
  <si>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</si>
  <si>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</si>
  <si>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</si>
  <si>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</si>
  <si>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</si>
  <si>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</si>
  <si>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</si>
  <si>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</si>
  <si>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</si>
  <si>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</si>
  <si>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</si>
  <si>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</si>
  <si>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</si>
  <si>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</si>
  <si>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</si>
  <si>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</si>
  <si>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</si>
  <si>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</si>
  <si>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</si>
  <si>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</si>
  <si>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</si>
  <si>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</si>
  <si>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</si>
  <si>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</si>
  <si>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</si>
  <si>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</si>
  <si>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</si>
  <si>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</si>
  <si>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</si>
  <si>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</si>
  <si>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</si>
  <si>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</si>
  <si>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</si>
  <si>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</si>
  <si>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</si>
  <si>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</si>
  <si>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</si>
  <si>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</si>
  <si>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</si>
  <si>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</si>
  <si>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</si>
  <si>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</si>
  <si>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</si>
  <si>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</si>
  <si>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</si>
  <si>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</si>
  <si>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</si>
  <si>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</si>
  <si>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</si>
  <si>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</si>
  <si>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</si>
  <si>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</si>
  <si>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</si>
  <si>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</si>
  <si>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</si>
  <si>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</si>
  <si>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</si>
  <si>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</si>
  <si>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</si>
  <si>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</si>
  <si>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</si>
  <si>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</si>
  <si>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</si>
  <si>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</si>
  <si>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</si>
  <si>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</si>
  <si>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</si>
  <si>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</si>
  <si>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</si>
  <si>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</si>
  <si>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</si>
  <si>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</si>
  <si>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</si>
  <si>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</si>
  <si>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</si>
  <si>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</si>
  <si>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</si>
  <si>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</si>
  <si>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</si>
  <si>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</si>
  <si>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</si>
  <si>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</si>
  <si>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</si>
  <si>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</si>
  <si>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</si>
  <si>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</si>
  <si>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</si>
  <si>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</si>
  <si>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</si>
  <si>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</si>
  <si>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</si>
  <si>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</si>
  <si>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</si>
  <si>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</si>
  <si>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</si>
  <si>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</si>
  <si>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</si>
  <si>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</si>
  <si>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</si>
  <si>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</si>
  <si>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</si>
  <si>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</si>
  <si>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</si>
  <si>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</si>
  <si>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</si>
  <si>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</si>
  <si>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</si>
  <si>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</si>
  <si>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</si>
  <si>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</si>
  <si>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</si>
  <si>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</si>
  <si>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</si>
  <si>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</si>
  <si>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</si>
  <si>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</si>
  <si>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</si>
  <si>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</si>
  <si>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</si>
  <si>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</si>
  <si>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</si>
  <si>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</si>
  <si>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</si>
  <si>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</si>
  <si>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</si>
  <si>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</si>
  <si>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</si>
  <si>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</si>
  <si>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</si>
  <si>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</si>
  <si>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</si>
  <si>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</si>
  <si>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</si>
  <si>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</si>
  <si>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</si>
  <si>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</si>
  <si>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</si>
  <si>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</si>
  <si>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</si>
  <si>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</si>
  <si>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</si>
  <si>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</si>
  <si>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</si>
  <si>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</si>
  <si>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</si>
  <si>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</si>
  <si>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</si>
  <si>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</si>
  <si>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</si>
  <si>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</si>
  <si>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</si>
  <si>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</si>
  <si>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</si>
  <si>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</si>
  <si>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</si>
  <si>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</si>
  <si>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</si>
  <si>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</si>
  <si>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</si>
  <si>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</si>
  <si>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</si>
  <si>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</si>
  <si>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</si>
  <si>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</si>
  <si>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</si>
  <si>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</si>
  <si>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</si>
  <si>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</si>
  <si>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</si>
  <si>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</si>
  <si>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</si>
  <si>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</si>
  <si>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</si>
  <si>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</si>
  <si>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</si>
  <si>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</si>
  <si>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</si>
  <si>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</si>
  <si>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</si>
  <si>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</si>
  <si>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</si>
  <si>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</si>
  <si>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</si>
  <si>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</si>
  <si>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</si>
  <si>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</si>
  <si>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</si>
  <si>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</si>
  <si>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</si>
  <si>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</si>
  <si>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</si>
  <si>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</si>
  <si>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</si>
  <si>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</si>
  <si>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</si>
  <si>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</si>
  <si>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</si>
  <si>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</si>
  <si>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</si>
  <si>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</si>
  <si>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</si>
  <si>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</si>
  <si>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</si>
  <si>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</si>
  <si>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</si>
  <si>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</si>
  <si>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</si>
  <si>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</si>
  <si>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</si>
  <si>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</si>
  <si>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</si>
  <si>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</si>
  <si>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</si>
  <si>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</si>
  <si>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</si>
  <si>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</si>
  <si>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</si>
  <si>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</si>
  <si>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</si>
  <si>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</si>
  <si>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</si>
  <si>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</si>
  <si>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</si>
  <si>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</si>
  <si>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</si>
  <si>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</si>
  <si>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</si>
  <si>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</si>
  <si>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</si>
  <si>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</si>
  <si>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</si>
  <si>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</si>
  <si>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</si>
  <si>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</si>
  <si>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</si>
  <si>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</si>
  <si>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</si>
  <si>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</si>
  <si>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</si>
  <si>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</si>
  <si>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</si>
  <si>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</si>
  <si>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</si>
  <si>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</si>
  <si>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</si>
  <si>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</si>
  <si>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</si>
  <si>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</si>
  <si>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</si>
  <si>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</si>
  <si>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</si>
  <si>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</si>
  <si>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</si>
  <si>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</si>
  <si>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</si>
  <si>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</si>
  <si>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</si>
  <si>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</si>
  <si>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</si>
  <si>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</si>
  <si>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</si>
  <si>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</si>
  <si>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</si>
  <si>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</si>
  <si>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</si>
  <si>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</si>
  <si>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</si>
  <si>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</si>
  <si>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NC-LC RAt.docx</t>
  </si>
  <si>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</si>
  <si>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</si>
  <si>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</si>
  <si>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</si>
  <si>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</si>
  <si>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</si>
  <si>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</si>
  <si>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</si>
  <si>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</si>
  <si>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</si>
  <si>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</si>
  <si>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div/pgm</t>
  </si>
  <si>
    <t>default RAtemplate folder</t>
  </si>
  <si>
    <t>CISE</t>
  </si>
  <si>
    <t>ENG CBET</t>
  </si>
  <si>
    <t>any</t>
  </si>
  <si>
    <t>\\collaboration.inside.nsf.gov@SSL\DavWWWRoot\eng\meritreview\SiteAssets\ENG Tools Websites and Best Practices\RoboRA\RAtemplates\</t>
  </si>
  <si>
    <t>\\collaboration.inside.nsf.gov@SSL\DavWWWRoot\eng\meritreview\SiteAssets\ENG Tools Websites and Best Practices\RoboRA\CISE RAtemplates\</t>
  </si>
  <si>
    <t>\\collaboration.inside.nsf.gov@SSL\DavWWWRoot\eng\meritreview\SiteAssets\ENG Tools Websites and Best Practices\RoboRA\CBET RAtemplates\</t>
  </si>
  <si>
    <t xml:space="preserve">           &lt;-- Have reportserver password ready; check "Remember Me" to save it.</t>
  </si>
  <si>
    <t>2. Specify folders for RA templates: base (required) and customized (optional)</t>
  </si>
  <si>
    <t xml:space="preserve">The folder of base RA templates may come from your div/pgm/solicitation. </t>
  </si>
  <si>
    <t>b. Click Change and locate a folder shared with you, or</t>
  </si>
  <si>
    <t>c. Use the general RAtemplate folder ("any") already selected below.</t>
  </si>
  <si>
    <t xml:space="preserve">Either:  </t>
  </si>
  <si>
    <t>for Mac:</t>
  </si>
  <si>
    <t>for PC:</t>
  </si>
  <si>
    <t>for both</t>
  </si>
  <si>
    <t>Base templates will be copied for you to edit.</t>
  </si>
  <si>
    <t>If you want to customize the base RA templates, select a personal RA templates folder</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</si>
  <si>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</si>
  <si>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</si>
  <si>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</si>
  <si>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</si>
  <si>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</si>
  <si>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</si>
  <si>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 xml:space="preserve">You can ignore this now, because it is on both the RoboRA &amp; Advanced interface tabs, </t>
  </si>
  <si>
    <t>Choose/create a folder on VDI R: drive, which is your Mac's personal drive.</t>
  </si>
  <si>
    <t xml:space="preserve">but if you know where you want the output folder, you can choose or create it:  </t>
  </si>
  <si>
    <t>I suggest trying the Word RA drafts, since they can upload themselves,</t>
  </si>
  <si>
    <t>but if you prefer to complete RAs in the eJacket browser, check this box.</t>
  </si>
  <si>
    <t>Choose R:\RAtemplates and you can edit on your Mac's personal drive.</t>
  </si>
  <si>
    <t xml:space="preserve">R: for backup, or a local drive or USB stick for off-line, shared drive for others... </t>
  </si>
  <si>
    <t>Start in RoboRA if you have prop_ids for Awd, Decline, Std Decline, etc.</t>
  </si>
  <si>
    <t>Start in Advanced to select props by panels, PDs, programs, solicitations, etc.</t>
  </si>
  <si>
    <t xml:space="preserve">             &lt;-- click button to select where RAs drafts should be stored</t>
  </si>
  <si>
    <t>If eJacket can't keep up, increase delay number.</t>
  </si>
  <si>
    <r>
      <t>delay</t>
    </r>
    <r>
      <rPr>
        <sz val="10"/>
        <color theme="5" tint="-0.499984740745262"/>
        <rFont val="Calibri"/>
        <family val="2"/>
        <scheme val="minor"/>
      </rPr>
      <t xml:space="preserve"> (Might need to increase on a slow VDI/Citrix connection.)</t>
    </r>
  </si>
  <si>
    <r>
      <t xml:space="preserve">4. Who is signing these RA drafts? </t>
    </r>
    <r>
      <rPr>
        <sz val="11"/>
        <color theme="5" tint="-0.499984740745262"/>
        <rFont val="Palatino Linotype"/>
        <family val="1"/>
      </rPr>
      <t>(Probably leave as PD = managing pgm. dir.)</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</si>
  <si>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</si>
  <si>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</si>
  <si>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</si>
  <si>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</si>
  <si>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 Needs: RA_lead(#myProp)_x000D_
--DROP TABLE #myBudg_x000D_
SELECT p.lead, p.prop_id, eb.revn_num, eb.budg_seq_yr, eb.budg_tot_dol,_x000D_
sub_ctr_dol, frgn_trav_dol, pdoc_grnt_dol, part_dol,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</si>
  <si>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nullif(SUM(frgn_trav_dol),0) AS frgn_trav_tot, nullif(SUM(pdoc_grnt_dol),0) AS pdoc_tot,nullif(SUM(part_dol),0)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</si>
  <si>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b.pdoc_tot,b.part_tot_dol,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</si>
  <si>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</si>
  <si>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</si>
  <si>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6. Optional: specify folder to save filled-in RA drafts and project review documents.</t>
  </si>
  <si>
    <r>
      <t xml:space="preserve">3. Where to install your personal copy of RoboRA </t>
    </r>
    <r>
      <rPr>
        <sz val="11"/>
        <color theme="5" tint="-0.499984740745262"/>
        <rFont val="Palatino Linotype"/>
        <family val="1"/>
      </rPr>
      <t>(or just Save As...)</t>
    </r>
  </si>
  <si>
    <r>
      <t>and</t>
    </r>
    <r>
      <rPr>
        <b/>
        <sz val="11"/>
        <color rgb="FF002060"/>
        <rFont val="Calibri"/>
        <family val="2"/>
        <scheme val="minor"/>
      </rPr>
      <t xml:space="preserve"> not</t>
    </r>
    <r>
      <rPr>
        <sz val="11"/>
        <color rgb="FF002060"/>
        <rFont val="Calibri"/>
        <family val="2"/>
        <scheme val="minor"/>
      </rPr>
      <t xml:space="preserve"> on Sharepoint or OneDrive, which are accessed by http:</t>
    </r>
  </si>
  <si>
    <t>(MS support)</t>
  </si>
  <si>
    <t>Choose what to do if there is already text in the eJacket RA:</t>
  </si>
  <si>
    <r>
      <t xml:space="preserve">Welcome to </t>
    </r>
    <r>
      <rPr>
        <b/>
        <sz val="18"/>
        <color theme="1"/>
        <rFont val="Palatino Linotype"/>
        <family val="1"/>
      </rPr>
      <t>RoboRA on a Mac</t>
    </r>
  </si>
  <si>
    <t>http://remote.nsf.gov</t>
  </si>
  <si>
    <t xml:space="preserve"> R:, local, or shared drives all OK. (Templates are used when connected.)</t>
  </si>
  <si>
    <t>a. If yours is listed in the table above-right, click there, or</t>
  </si>
  <si>
    <r>
      <t xml:space="preserve">Here are the steps: </t>
    </r>
    <r>
      <rPr>
        <sz val="11"/>
        <color theme="5" tint="-0.499984740745262"/>
        <rFont val="Palatino Linotype"/>
        <family val="1"/>
      </rPr>
      <t>(As of Dec'17, there are PIV card oddities as they switch from RSA tokens...)</t>
    </r>
  </si>
  <si>
    <t>1. Click here:</t>
  </si>
  <si>
    <r>
      <t>You are seeing this because you are on a Mac and this RoboRA has no data yet</t>
    </r>
    <r>
      <rPr>
        <sz val="11"/>
        <color theme="5" tint="-0.499984740745262"/>
        <rFont val="Palatino Linotype"/>
        <family val="1"/>
      </rPr>
      <t xml:space="preserve"> (or you scrolled down farther than necessary.)</t>
    </r>
  </si>
  <si>
    <t xml:space="preserve">  so I'd like to port the PD-3PO family of tools in Jan '18.</t>
  </si>
  <si>
    <t xml:space="preserve">  if you have it, &amp; time to be a Mac tester, contact Jack Snoeyink.)</t>
  </si>
  <si>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</si>
  <si>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</si>
  <si>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</si>
  <si>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</si>
  <si>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</si>
  <si>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</si>
  <si>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</si>
  <si>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</si>
  <si>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</si>
  <si>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</si>
  <si>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</si>
  <si>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</si>
  <si>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</si>
  <si>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</si>
  <si>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</si>
  <si>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</si>
  <si>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</si>
  <si>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</si>
  <si>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</si>
  <si>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</si>
  <si>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</si>
  <si>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</si>
  <si>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</si>
  <si>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</si>
  <si>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above, Advanced, or Prefs</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</si>
  <si>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</si>
  <si>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</si>
  <si>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</si>
  <si>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</si>
  <si>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</si>
  <si>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</si>
  <si>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</si>
  <si>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</si>
  <si>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</si>
  <si>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</si>
  <si>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</si>
  <si>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</si>
  <si>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</si>
  <si>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</si>
  <si>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</si>
  <si>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</si>
  <si>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ENG CMMI</t>
  </si>
  <si>
    <t>\\collaboration.inside.nsf.gov@SSL\DavWWWRoot\eng\meritreview\SiteAssets\ENG Tools Websites and Best Practices\RoboRA\CMMI RAtemplates\</t>
  </si>
  <si>
    <t>Note: RA templates &amp; output can be anywhere; only the spreadsheet must be on a drive.</t>
  </si>
  <si>
    <r>
      <rPr>
        <b/>
        <sz val="11"/>
        <color rgb="FF002060"/>
        <rFont val="Calibri"/>
        <family val="2"/>
        <scheme val="minor"/>
      </rPr>
      <t>Important:</t>
    </r>
    <r>
      <rPr>
        <sz val="11"/>
        <color rgb="FF002060"/>
        <rFont val="Calibri"/>
        <family val="2"/>
        <scheme val="minor"/>
      </rPr>
      <t xml:space="preserve"> use R: or local drive.  As a mailmerge DataSource, RoboRA </t>
    </r>
    <r>
      <rPr>
        <b/>
        <sz val="11"/>
        <color rgb="FF002060"/>
        <rFont val="Calibri"/>
        <family val="2"/>
        <scheme val="minor"/>
      </rPr>
      <t>must</t>
    </r>
    <r>
      <rPr>
        <sz val="11"/>
        <color rgb="FF002060"/>
        <rFont val="Calibri"/>
        <family val="2"/>
        <scheme val="minor"/>
      </rPr>
      <t xml:space="preserve"> be on a drive</t>
    </r>
  </si>
  <si>
    <t>&lt;-- Click Refresh if you've made new templates that do not appear at right.</t>
  </si>
  <si>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</si>
  <si>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</si>
  <si>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</si>
  <si>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</si>
  <si>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</si>
  <si>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           &lt;-- click only if you want to customize the base RA templates</t>
  </si>
  <si>
    <t xml:space="preserve">            &lt;-- click to select where to save your copy of RoboRA</t>
  </si>
  <si>
    <t xml:space="preserve">SELECT DISTINCT prop.lead_prop_id, prop.prop_id, prop.pi_id, prop.inst_id, prop.pm_ibm_logn_id as PO, _x000D_
</t>
  </si>
  <si>
    <t>7796</t>
  </si>
  <si>
    <t>ALGORITHMIC FOUNDATIONS</t>
  </si>
  <si>
    <t>JSNOEYI</t>
  </si>
  <si>
    <t xml:space="preserve"> </t>
  </si>
  <si>
    <t>1807311</t>
  </si>
  <si>
    <t>Stein</t>
  </si>
  <si>
    <t>05010000</t>
  </si>
  <si>
    <t>PEND</t>
  </si>
  <si>
    <t>NEW</t>
  </si>
  <si>
    <t>CCF</t>
  </si>
  <si>
    <t>NSF 17-1</t>
  </si>
  <si>
    <t>4160</t>
  </si>
  <si>
    <t/>
  </si>
  <si>
    <t>7556 7926</t>
  </si>
  <si>
    <t>Clifford</t>
  </si>
  <si>
    <t>Columbia University</t>
  </si>
  <si>
    <t>Pending, Assigned to PM</t>
  </si>
  <si>
    <t>SODA 2018 Travel Grant</t>
  </si>
  <si>
    <t>cliff@ieor.columbia.edu</t>
  </si>
  <si>
    <t>RAtemplate</t>
  </si>
  <si>
    <t>Division of Computing and Communication Foundations</t>
  </si>
  <si>
    <t>Jack Snoeyink</t>
  </si>
  <si>
    <t>New Project</t>
  </si>
  <si>
    <t>CSE</t>
  </si>
  <si>
    <t>Direct For Computer &amp; Info Scie &amp; Enginr</t>
  </si>
  <si>
    <t>Proposal &amp; Award Policies &amp; Procedures Guide - PAPPG</t>
  </si>
  <si>
    <t xml:space="preserve">cliff@ieor.columbia.edu      </t>
  </si>
  <si>
    <t>.first line.</t>
  </si>
  <si>
    <t>..please</t>
  </si>
  <si>
    <t>keep</t>
  </si>
  <si>
    <t>for</t>
  </si>
  <si>
    <t>mail</t>
  </si>
  <si>
    <t>merge</t>
  </si>
  <si>
    <t>formatting.</t>
  </si>
  <si>
    <t>thx.</t>
  </si>
  <si>
    <t>NRFP</t>
  </si>
  <si>
    <t>zztemplateFname RAt.docx</t>
  </si>
  <si>
    <t>Divn</t>
  </si>
  <si>
    <t>1234567</t>
  </si>
  <si>
    <t>E,E/V,V,V/G,G,G/F,F,F/P,P</t>
  </si>
  <si>
    <t>This first row is needed so that mail merge formatting will be correct. Please do not remove it.  Mail merge takes its formatting from the first rows of the table............</t>
  </si>
  <si>
    <t>E,V,G,F,P</t>
  </si>
  <si>
    <t>P123456</t>
  </si>
  <si>
    <t>Dont remove this line for panel rec formatting....</t>
  </si>
  <si>
    <t>Panel name spelled out; keep this line for formatting.......</t>
  </si>
  <si>
    <t>Reports rank &amp; all recs (HC, etc.) from Interactive Panel System (IPS).  I suggest Standard competition rank  (wikipedia) .</t>
  </si>
  <si>
    <t>List of conflicted panelists separated by semicolons. Not everyone will need this list, but some divisions request this information, so I am seeing if we can provide it. There is a limit of seven names returned, though all will be counted.</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</si>
  <si>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</si>
  <si>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</si>
  <si>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</si>
  <si>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</si>
  <si>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</si>
  <si>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</si>
  <si>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</si>
  <si>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Name for PO signature</t>
  </si>
  <si>
    <t>Proposal status details</t>
  </si>
  <si>
    <t>Nature of request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</si>
  <si>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</si>
  <si>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</si>
  <si>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</si>
  <si>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</si>
  <si>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Email all PIs or just lead PI</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</si>
  <si>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isnull(RecRkMin,99)+(9-nullif(avg_score,0))/2000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</si>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</sst>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rgb="FF002060"/>
      <name val="Palatino Linotype"/>
      <family val="1"/>
    </font>
    <font>
      <b/>
      <u/>
      <sz val="11"/>
      <color theme="1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25">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5" fillId="0" borderId="0" xfId="0" applyFont="1" applyProtection="1">
      <protection locked="0"/>
    </xf>
    <xf numFmtId="49" fontId="45" fillId="0" borderId="0" xfId="0" quotePrefix="1" applyNumberFormat="1" applyFont="1" applyProtection="1">
      <protection locked="0"/>
    </xf>
    <xf numFmtId="49" fontId="45" fillId="0" borderId="0" xfId="0" applyNumberFormat="1" applyFont="1" applyProtection="1">
      <protection locked="0"/>
    </xf>
    <xf numFmtId="0" fontId="46"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17" xfId="0" applyNumberFormat="1" applyFill="1" applyBorder="1"/>
    <xf numFmtId="0" fontId="0" fillId="5" borderId="18" xfId="0"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applyAlignment="1">
      <alignment horizontal="left" vertical="center"/>
    </xf>
    <xf numFmtId="0" fontId="41" fillId="6" borderId="0" xfId="0" applyFont="1" applyFill="1" applyBorder="1"/>
    <xf numFmtId="0" fontId="41" fillId="6" borderId="0" xfId="0" applyFont="1" applyFill="1" applyBorder="1" applyAlignment="1"/>
    <xf numFmtId="0" fontId="41" fillId="6" borderId="0" xfId="0" applyFont="1" applyFill="1" applyBorder="1" applyAlignment="1">
      <alignment horizontal="right" vertical="center"/>
    </xf>
    <xf numFmtId="0" fontId="42" fillId="6" borderId="0" xfId="0" applyFont="1" applyFill="1" applyBorder="1"/>
    <xf numFmtId="0" fontId="1" fillId="6" borderId="0" xfId="0" quotePrefix="1" applyFont="1" applyFill="1" applyBorder="1" applyAlignment="1">
      <alignment horizontal="left" vertical="center"/>
    </xf>
    <xf numFmtId="0" fontId="1" fillId="6" borderId="0" xfId="0" applyFont="1" applyFill="1" applyBorder="1" applyAlignment="1">
      <alignment horizontal="right" vertical="center"/>
    </xf>
    <xf numFmtId="0" fontId="39" fillId="6" borderId="13" xfId="1" quotePrefix="1" applyFont="1" applyFill="1" applyBorder="1"/>
    <xf numFmtId="0" fontId="4" fillId="6" borderId="14" xfId="1" applyFill="1" applyBorder="1"/>
    <xf numFmtId="0" fontId="4" fillId="6" borderId="15" xfId="1" applyFill="1" applyBorder="1"/>
    <xf numFmtId="0" fontId="4" fillId="6" borderId="0" xfId="1" applyFill="1" applyBorder="1"/>
    <xf numFmtId="0" fontId="41" fillId="6" borderId="0" xfId="1" quotePrefix="1" applyFont="1" applyFill="1" applyBorder="1"/>
    <xf numFmtId="0" fontId="41" fillId="6" borderId="0" xfId="0" applyFont="1" applyFill="1" applyBorder="1" applyAlignment="1">
      <alignment horizontal="right"/>
    </xf>
    <xf numFmtId="0" fontId="0" fillId="6" borderId="0" xfId="0" applyNumberFormat="1" applyFill="1" applyBorder="1"/>
    <xf numFmtId="0" fontId="1" fillId="6" borderId="0" xfId="0" applyFont="1" applyFill="1" applyBorder="1"/>
    <xf numFmtId="0" fontId="0" fillId="6" borderId="16" xfId="0" applyFill="1" applyBorder="1"/>
    <xf numFmtId="0" fontId="36" fillId="6" borderId="17" xfId="0" applyFont="1" applyFill="1" applyBorder="1"/>
    <xf numFmtId="0" fontId="0" fillId="6" borderId="17" xfId="0" applyFill="1" applyBorder="1"/>
    <xf numFmtId="0" fontId="0" fillId="6" borderId="18" xfId="0"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0" fontId="0" fillId="0" borderId="0" xfId="0" applyBorder="1" applyAlignment="1">
      <alignment horizontal="center"/>
    </xf>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0" fillId="0" borderId="21" xfId="0" applyFill="1" applyBorder="1"/>
    <xf numFmtId="0" fontId="47" fillId="0" borderId="0" xfId="0" applyFont="1" applyFill="1" applyAlignment="1">
      <alignment vertical="top"/>
    </xf>
    <xf numFmtId="0" fontId="36" fillId="0" borderId="0" xfId="0" applyFont="1" applyFill="1" applyBorder="1"/>
    <xf numFmtId="0" fontId="41" fillId="0" borderId="0" xfId="0" applyFont="1" applyFill="1" applyBorder="1" applyAlignment="1">
      <alignment horizontal="left" vertical="center"/>
    </xf>
    <xf numFmtId="0" fontId="41" fillId="0" borderId="0" xfId="0" applyFont="1" applyFill="1" applyBorder="1"/>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3" fillId="0" borderId="13" xfId="1" applyFont="1" applyFill="1" applyBorder="1" applyAlignment="1">
      <alignment horizontal="left"/>
    </xf>
    <xf numFmtId="0" fontId="4" fillId="0" borderId="15" xfId="1" applyFill="1" applyBorder="1" applyAlignment="1">
      <alignment horizontal="left" vertical="center"/>
    </xf>
    <xf numFmtId="0" fontId="0" fillId="0" borderId="20" xfId="0" applyFill="1" applyBorder="1"/>
    <xf numFmtId="0" fontId="0" fillId="5" borderId="0" xfId="0" applyFill="1" applyBorder="1" applyAlignment="1">
      <alignment horizontal="left" vertical="center"/>
    </xf>
    <xf numFmtId="0" fontId="0" fillId="5" borderId="0" xfId="0" applyFill="1" applyBorder="1" applyAlignment="1"/>
    <xf numFmtId="0" fontId="0" fillId="5" borderId="0" xfId="0" applyFill="1" applyBorder="1" applyAlignment="1">
      <alignment vertical="top"/>
    </xf>
    <xf numFmtId="0" fontId="1" fillId="5" borderId="0" xfId="0" quotePrefix="1" applyFont="1" applyFill="1" applyBorder="1" applyAlignment="1">
      <alignment horizontal="left" vertical="center"/>
    </xf>
    <xf numFmtId="0" fontId="0" fillId="5" borderId="13" xfId="1" quotePrefix="1" applyFont="1" applyFill="1" applyBorder="1"/>
    <xf numFmtId="0" fontId="4" fillId="5" borderId="14" xfId="1" applyFill="1" applyBorder="1"/>
    <xf numFmtId="0" fontId="4" fillId="5" borderId="15" xfId="1" applyFill="1" applyBorder="1"/>
    <xf numFmtId="0" fontId="4" fillId="5" borderId="0" xfId="1" applyFill="1" applyBorder="1"/>
    <xf numFmtId="0" fontId="44" fillId="0" borderId="0" xfId="0" applyFont="1"/>
    <xf numFmtId="164" fontId="0" fillId="0" borderId="1" xfId="0" applyNumberFormat="1" applyBorder="1"/>
    <xf numFmtId="166" fontId="0" fillId="0" borderId="1" xfId="2" applyNumberFormat="1" applyFont="1"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4" xfId="0" applyBorder="1"/>
    <xf numFmtId="0" fontId="0" fillId="0" borderId="14" xfId="0" applyBorder="1" applyAlignment="1">
      <alignment wrapText="1"/>
    </xf>
    <xf numFmtId="0" fontId="0" fillId="0" borderId="15" xfId="0" applyBorder="1"/>
    <xf numFmtId="0" fontId="22" fillId="3" borderId="0" xfId="0" applyFont="1" applyFill="1" applyAlignment="1">
      <alignment horizontal="center" vertical="center"/>
    </xf>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39" fillId="6" borderId="13" xfId="1" quotePrefix="1" applyFont="1" applyFill="1" applyBorder="1" applyAlignment="1">
      <alignment horizontal="right"/>
    </xf>
    <xf numFmtId="0" fontId="39" fillId="6" borderId="14" xfId="1" quotePrefix="1" applyFont="1" applyFill="1" applyBorder="1" applyAlignment="1">
      <alignment horizontal="right"/>
    </xf>
    <xf numFmtId="0" fontId="39" fillId="6" borderId="15" xfId="1" quotePrefix="1" applyFont="1" applyFill="1" applyBorder="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6">
    <dxf>
      <numFmt numFmtId="30" formatCode="@"/>
      <alignment horizontal="righ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fill>
        <patternFill>
          <bgColor rgb="FFFEEFE2"/>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fill>
        <patternFill>
          <fgColor indexed="64"/>
          <bgColor rgb="FFEBF5CD"/>
        </patternFill>
      </fill>
    </dxf>
    <dxf>
      <border>
        <top style="thin">
          <color auto="1"/>
        </top>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strike val="0"/>
        <color theme="0" tint="-0.34998626667073579"/>
      </font>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bgColor theme="6" tint="0.79998168889431442"/>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REF!"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20Install.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xmlns=""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xmlns=""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xmlns=""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xmlns="" id="{00000000-0008-0000-0000-000006000000}"/>
            </a:ext>
          </a:extLst>
        </xdr:cNvPr>
        <xdr:cNvGrpSpPr>
          <a:grpSpLocks noChangeAspect="1"/>
        </xdr:cNvGrpSpPr>
      </xdr:nvGrpSpPr>
      <xdr:grpSpPr>
        <a:xfrm>
          <a:off x="6534580" y="0"/>
          <a:ext cx="2199962" cy="1798169"/>
          <a:chOff x="3107785" y="0"/>
          <a:chExt cx="2764544" cy="2054967"/>
        </a:xfrm>
      </xdr:grpSpPr>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9525</xdr:colOff>
          <xdr:row>6</xdr:row>
          <xdr:rowOff>47625</xdr:rowOff>
        </xdr:from>
        <xdr:to>
          <xdr:col>6</xdr:col>
          <xdr:colOff>247650</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xmlns=""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12</xdr:row>
          <xdr:rowOff>28575</xdr:rowOff>
        </xdr:from>
        <xdr:to>
          <xdr:col>3</xdr:col>
          <xdr:colOff>314325</xdr:colOff>
          <xdr:row>13</xdr:row>
          <xdr:rowOff>19050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xmlns=""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542925</xdr:colOff>
          <xdr:row>4</xdr:row>
          <xdr:rowOff>9525</xdr:rowOff>
        </xdr:from>
        <xdr:to>
          <xdr:col>2</xdr:col>
          <xdr:colOff>361950</xdr:colOff>
          <xdr:row>4</xdr:row>
          <xdr:rowOff>219075</xdr:rowOff>
        </xdr:to>
        <xdr:sp macro="" textlink="">
          <xdr:nvSpPr>
            <xdr:cNvPr id="16410" name="Button 26" hidden="1">
              <a:extLst>
                <a:ext uri="{63B3BB69-23CF-44E3-9099-C40C66FF867C}">
                  <a14:compatExt spid="_x0000_s16410"/>
                </a:ext>
                <a:ext uri="{FF2B5EF4-FFF2-40B4-BE49-F238E27FC236}">
                  <a16:creationId xmlns:a16="http://schemas.microsoft.com/office/drawing/2014/main" xmlns=""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xmlns=""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IndicatedRAs">
      <xdr:nvPicPr>
        <xdr:cNvPr id="8" name="Picture 7">
          <a:extLst>
            <a:ext uri="{FF2B5EF4-FFF2-40B4-BE49-F238E27FC236}">
              <a16:creationId xmlns:a16="http://schemas.microsoft.com/office/drawing/2014/main" xmlns=""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xmlns=""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33</xdr:col>
      <xdr:colOff>0</xdr:colOff>
      <xdr:row>0</xdr:row>
      <xdr:rowOff>38876</xdr:rowOff>
    </xdr:from>
    <xdr:to>
      <xdr:col>46</xdr:col>
      <xdr:colOff>155510</xdr:colOff>
      <xdr:row>0</xdr:row>
      <xdr:rowOff>216603</xdr:rowOff>
    </xdr:to>
    <xdr:sp macro="" textlink="">
      <xdr:nvSpPr>
        <xdr:cNvPr id="4" name="TextBox 3">
          <a:extLst>
            <a:ext uri="{FF2B5EF4-FFF2-40B4-BE49-F238E27FC236}">
              <a16:creationId xmlns:a16="http://schemas.microsoft.com/office/drawing/2014/main" xmlns="" id="{00000000-0008-0000-0200-000004000000}"/>
            </a:ext>
          </a:extLst>
        </xdr:cNvPr>
        <xdr:cNvSpPr txBox="1"/>
      </xdr:nvSpPr>
      <xdr:spPr>
        <a:xfrm>
          <a:off x="19011122" y="38876"/>
          <a:ext cx="8669694" cy="1777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xmlns=""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xmlns=""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407356</xdr:colOff>
      <xdr:row>0</xdr:row>
      <xdr:rowOff>97398</xdr:rowOff>
    </xdr:from>
    <xdr:to>
      <xdr:col>19</xdr:col>
      <xdr:colOff>229173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xmlns=""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981075</xdr:colOff>
          <xdr:row>0</xdr:row>
          <xdr:rowOff>66675</xdr:rowOff>
        </xdr:from>
        <xdr:to>
          <xdr:col>18</xdr:col>
          <xdr:colOff>28575</xdr:colOff>
          <xdr:row>0</xdr:row>
          <xdr:rowOff>323850</xdr:rowOff>
        </xdr:to>
        <xdr:sp macro="" textlink="">
          <xdr:nvSpPr>
            <xdr:cNvPr id="10289" name="Button 49" hidden="1">
              <a:extLst>
                <a:ext uri="{63B3BB69-23CF-44E3-9099-C40C66FF867C}">
                  <a14:compatExt spid="_x0000_s10289"/>
                </a:ext>
                <a:ext uri="{FF2B5EF4-FFF2-40B4-BE49-F238E27FC236}">
                  <a16:creationId xmlns:a16="http://schemas.microsoft.com/office/drawing/2014/main" xmlns=""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500-000008000000}"/>
            </a:ext>
          </a:extLst>
        </xdr:cNvPr>
        <xdr:cNvGrpSpPr>
          <a:grpSpLocks noChangeAspect="1"/>
        </xdr:cNvGrpSpPr>
      </xdr:nvGrpSpPr>
      <xdr:grpSpPr>
        <a:xfrm>
          <a:off x="4969761" y="30240"/>
          <a:ext cx="2105199" cy="1648882"/>
          <a:chOff x="3257550" y="0"/>
          <a:chExt cx="2500655" cy="2054967"/>
        </a:xfrm>
      </xdr:grpSpPr>
      <xdr:pic>
        <xdr:nvPicPr>
          <xdr:cNvPr id="9" name="Picture 8">
            <a:extLst>
              <a:ext uri="{FF2B5EF4-FFF2-40B4-BE49-F238E27FC236}">
                <a16:creationId xmlns:a16="http://schemas.microsoft.com/office/drawing/2014/main" xmlns=""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xmlns=""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xmlns=""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xmlns=""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xmlns=""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209550</xdr:colOff>
          <xdr:row>17</xdr:row>
          <xdr:rowOff>0</xdr:rowOff>
        </xdr:from>
        <xdr:to>
          <xdr:col>6</xdr:col>
          <xdr:colOff>247650</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xmlns=""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xmlns=""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xmlns=""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628650</xdr:colOff>
          <xdr:row>1</xdr:row>
          <xdr:rowOff>228600</xdr:rowOff>
        </xdr:from>
        <xdr:to>
          <xdr:col>1</xdr:col>
          <xdr:colOff>581025</xdr:colOff>
          <xdr:row>3</xdr:row>
          <xdr:rowOff>9525</xdr:rowOff>
        </xdr:to>
        <xdr:sp macro="" textlink="">
          <xdr:nvSpPr>
            <xdr:cNvPr id="1060" name="Button 36" hidden="1">
              <a:extLst>
                <a:ext uri="{63B3BB69-23CF-44E3-9099-C40C66FF867C}">
                  <a14:compatExt spid="_x0000_s1060"/>
                </a:ext>
                <a:ext uri="{FF2B5EF4-FFF2-40B4-BE49-F238E27FC236}">
                  <a16:creationId xmlns:a16="http://schemas.microsoft.com/office/drawing/2014/main" xmlns=""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xmlns=""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xmlns=""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xmlns=""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xmlns=""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xmlns=""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xmlns=""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xmlns=""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8</xdr:col>
      <xdr:colOff>289355</xdr:colOff>
      <xdr:row>0</xdr:row>
      <xdr:rowOff>0</xdr:rowOff>
    </xdr:from>
    <xdr:to>
      <xdr:col>9</xdr:col>
      <xdr:colOff>1741042</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xmlns="" id="{00000000-0008-0000-0A00-000005000000}"/>
            </a:ext>
          </a:extLst>
        </xdr:cNvPr>
        <xdr:cNvGrpSpPr>
          <a:grpSpLocks noChangeAspect="1"/>
        </xdr:cNvGrpSpPr>
      </xdr:nvGrpSpPr>
      <xdr:grpSpPr>
        <a:xfrm>
          <a:off x="5499530" y="0"/>
          <a:ext cx="2127962" cy="1715770"/>
          <a:chOff x="3257550" y="0"/>
          <a:chExt cx="2500655" cy="2054967"/>
        </a:xfrm>
      </xdr:grpSpPr>
      <xdr:pic>
        <xdr:nvPicPr>
          <xdr:cNvPr id="6" name="Picture 5">
            <a:extLst>
              <a:ext uri="{FF2B5EF4-FFF2-40B4-BE49-F238E27FC236}">
                <a16:creationId xmlns:a16="http://schemas.microsoft.com/office/drawing/2014/main" xmlns=""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xmlns=""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200025</xdr:colOff>
          <xdr:row>57</xdr:row>
          <xdr:rowOff>0</xdr:rowOff>
        </xdr:from>
        <xdr:to>
          <xdr:col>3</xdr:col>
          <xdr:colOff>1647825</xdr:colOff>
          <xdr:row>58</xdr:row>
          <xdr:rowOff>85725</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xmlns=""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48</xdr:row>
          <xdr:rowOff>19050</xdr:rowOff>
        </xdr:from>
        <xdr:to>
          <xdr:col>4</xdr:col>
          <xdr:colOff>209550</xdr:colOff>
          <xdr:row>49</xdr:row>
          <xdr:rowOff>19050</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xmlns=""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49</xdr:row>
          <xdr:rowOff>47625</xdr:rowOff>
        </xdr:from>
        <xdr:to>
          <xdr:col>4</xdr:col>
          <xdr:colOff>285750</xdr:colOff>
          <xdr:row>50</xdr:row>
          <xdr:rowOff>19050</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xmlns=""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50</xdr:row>
          <xdr:rowOff>28575</xdr:rowOff>
        </xdr:from>
        <xdr:to>
          <xdr:col>4</xdr:col>
          <xdr:colOff>133350</xdr:colOff>
          <xdr:row>51</xdr:row>
          <xdr:rowOff>47625</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xmlns=""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Always overwrite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64</xdr:row>
          <xdr:rowOff>161925</xdr:rowOff>
        </xdr:from>
        <xdr:to>
          <xdr:col>2</xdr:col>
          <xdr:colOff>333375</xdr:colOff>
          <xdr:row>66</xdr:row>
          <xdr:rowOff>9525</xdr:rowOff>
        </xdr:to>
        <xdr:sp macro="" textlink="">
          <xdr:nvSpPr>
            <xdr:cNvPr id="46085" name="Button 5" hidden="1">
              <a:extLst>
                <a:ext uri="{63B3BB69-23CF-44E3-9099-C40C66FF867C}">
                  <a14:compatExt spid="_x0000_s46085"/>
                </a:ext>
                <a:ext uri="{FF2B5EF4-FFF2-40B4-BE49-F238E27FC236}">
                  <a16:creationId xmlns:a16="http://schemas.microsoft.com/office/drawing/2014/main" xmlns="" id="{00000000-0008-0000-0A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oneCell">
    <xdr:from>
      <xdr:col>5</xdr:col>
      <xdr:colOff>714539</xdr:colOff>
      <xdr:row>0</xdr:row>
      <xdr:rowOff>53812</xdr:rowOff>
    </xdr:from>
    <xdr:to>
      <xdr:col>8</xdr:col>
      <xdr:colOff>263400</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257175</xdr:colOff>
          <xdr:row>24</xdr:row>
          <xdr:rowOff>0</xdr:rowOff>
        </xdr:from>
        <xdr:to>
          <xdr:col>2</xdr:col>
          <xdr:colOff>333375</xdr:colOff>
          <xdr:row>25</xdr:row>
          <xdr:rowOff>9525</xdr:rowOff>
        </xdr:to>
        <xdr:sp macro="" textlink="">
          <xdr:nvSpPr>
            <xdr:cNvPr id="46086" name="Button 6" hidden="1">
              <a:extLst>
                <a:ext uri="{63B3BB69-23CF-44E3-9099-C40C66FF867C}">
                  <a14:compatExt spid="_x0000_s46086"/>
                </a:ext>
                <a:ext uri="{FF2B5EF4-FFF2-40B4-BE49-F238E27FC236}">
                  <a16:creationId xmlns:a16="http://schemas.microsoft.com/office/drawing/2014/main" xmlns="" id="{00000000-0008-0000-0A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xdr:twoCellAnchor editAs="oneCell">
    <xdr:from>
      <xdr:col>4</xdr:col>
      <xdr:colOff>410987</xdr:colOff>
      <xdr:row>3</xdr:row>
      <xdr:rowOff>45319</xdr:rowOff>
    </xdr:from>
    <xdr:to>
      <xdr:col>5</xdr:col>
      <xdr:colOff>686467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xmlns=""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257175</xdr:colOff>
          <xdr:row>17</xdr:row>
          <xdr:rowOff>190500</xdr:rowOff>
        </xdr:from>
        <xdr:to>
          <xdr:col>2</xdr:col>
          <xdr:colOff>333375</xdr:colOff>
          <xdr:row>19</xdr:row>
          <xdr:rowOff>0</xdr:rowOff>
        </xdr:to>
        <xdr:sp macro="" textlink="">
          <xdr:nvSpPr>
            <xdr:cNvPr id="46088" name="Button 8" hidden="1">
              <a:extLst>
                <a:ext uri="{63B3BB69-23CF-44E3-9099-C40C66FF867C}">
                  <a14:compatExt spid="_x0000_s46088"/>
                </a:ext>
                <a:ext uri="{FF2B5EF4-FFF2-40B4-BE49-F238E27FC236}">
                  <a16:creationId xmlns:a16="http://schemas.microsoft.com/office/drawing/2014/main" xmlns="" id="{00000000-0008-0000-0A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3</xdr:col>
          <xdr:colOff>0</xdr:colOff>
          <xdr:row>37</xdr:row>
          <xdr:rowOff>9525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xmlns="" id="{00000000-0008-0000-0A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10</xdr:row>
          <xdr:rowOff>19050</xdr:rowOff>
        </xdr:from>
        <xdr:to>
          <xdr:col>2</xdr:col>
          <xdr:colOff>333375</xdr:colOff>
          <xdr:row>11</xdr:row>
          <xdr:rowOff>9525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xmlns=""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28</xdr:row>
          <xdr:rowOff>180975</xdr:rowOff>
        </xdr:from>
        <xdr:to>
          <xdr:col>2</xdr:col>
          <xdr:colOff>333375</xdr:colOff>
          <xdr:row>30</xdr:row>
          <xdr:rowOff>9525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xmlns=""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xdr:twoCellAnchor>
    </mc:Choice>
    <mc:Fallback/>
  </mc:AlternateContent>
  <xdr:twoCellAnchor editAs="oneCell">
    <xdr:from>
      <xdr:col>1</xdr:col>
      <xdr:colOff>274117</xdr:colOff>
      <xdr:row>3</xdr:row>
      <xdr:rowOff>51367</xdr:rowOff>
    </xdr:from>
    <xdr:to>
      <xdr:col>4</xdr:col>
      <xdr:colOff>128381</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xmlns="" id="{00000000-0008-0000-0A00-000014000000}"/>
            </a:ext>
          </a:extLst>
        </xdr:cNvPr>
        <xdr:cNvSpPr>
          <a:spLocks noChangeAspect="1"/>
        </xdr:cNvSpPr>
      </xdr:nvSpPr>
      <xdr:spPr>
        <a:xfrm flipH="1">
          <a:off x="425307" y="940367"/>
          <a:ext cx="2521264" cy="457200"/>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9</xdr:col>
      <xdr:colOff>71658</xdr:colOff>
      <xdr:row>74</xdr:row>
      <xdr:rowOff>133048</xdr:rowOff>
    </xdr:from>
    <xdr:to>
      <xdr:col>9</xdr:col>
      <xdr:colOff>1842197</xdr:colOff>
      <xdr:row>83</xdr:row>
      <xdr:rowOff>195439</xdr:rowOff>
    </xdr:to>
    <xdr:pic>
      <xdr:nvPicPr>
        <xdr:cNvPr id="3" name="Picture 2">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52325" y="14580810"/>
          <a:ext cx="1770539" cy="1858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180975</xdr:colOff>
          <xdr:row>88</xdr:row>
          <xdr:rowOff>19050</xdr:rowOff>
        </xdr:from>
        <xdr:to>
          <xdr:col>4</xdr:col>
          <xdr:colOff>180975</xdr:colOff>
          <xdr:row>89</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xmlns=""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Copy RoboRA location &amp; close it for now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02.355379398148"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02.355379513887" missingItemsLimit="0" createdVersion="6" refreshedVersion="6" minRefreshableVersion="3" recordCount="2">
  <cacheSource type="worksheet">
    <worksheetSource name="RADataQTable"/>
  </cacheSource>
  <cacheFields count="137">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10-27T15:40: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SemiMixedTypes="0" containsNonDate="0" containsDate="1" containsString="0" minDate="2000-01-01T00:00:00" maxDate="2017-12-29T13:11:12"/>
    </cacheField>
    <cacheField name="nPanl" numFmtId="0">
      <sharedItems containsString="0" containsBlank="1" containsNumber="1" containsInteger="1" minValue="0" maxValue="0"/>
    </cacheField>
    <cacheField name="RecRkMin" numFmtId="2">
      <sharedItems containsString="0" containsBlank="1" containsNumber="1" minValue="-0.99999998999999995" maxValue="-0.99999998999999995"/>
    </cacheField>
    <cacheField name="rec0" numFmtId="0">
      <sharedItems containsBlank="1"/>
    </cacheField>
    <cacheField name="rec1" numFmtId="0">
      <sharedItems containsBlank="1"/>
    </cacheField>
    <cacheField name="rec2" numFmtId="0">
      <sharedItems containsBlank="1"/>
    </cacheField>
    <cacheField name="RAtemplate" numFmtId="49">
      <sharedItems count="2">
        <s v="zztemplateFname RAt.docx"/>
        <s v=" "/>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fisc_yr" numFmtId="168">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tring="0" containsBlank="1" containsNumber="1" containsInteger="1" minValue="0" maxValue="0"/>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tring="0" containsBlank="1" containsNumber="1" containsInteger="1" minValue="1" maxValue="1"/>
    </cacheField>
    <cacheField name="avg_score" numFmtId="2">
      <sharedItems containsString="0" containsBlank="1" containsNumber="1" minValue="4.5" maxValue="4.5"/>
    </cacheField>
    <cacheField name="maxScore" numFmtId="0">
      <sharedItems containsString="0" containsBlank="1" containsNumber="1" containsInteger="1" minValue="9" maxValue="9"/>
    </cacheField>
    <cacheField name="allReviews" numFmtId="0">
      <sharedItems containsBlank="1"/>
    </cacheField>
    <cacheField name="hasE" numFmtId="0">
      <sharedItems/>
    </cacheField>
    <cacheField name="last_rev_date" numFmtId="165">
      <sharedItems containsNonDate="0" containsDate="1" containsString="0" containsBlank="1" minDate="2000-01-01T00:00:00" maxDate="2000-01-02T00:00:00"/>
    </cacheField>
    <cacheField name="rqst_tot" numFmtId="166">
      <sharedItems containsSemiMixedTypes="0" containsString="0" containsNumber="1" containsInteger="1" minValue="15000" maxValue="99999999"/>
    </cacheField>
    <cacheField name="budg_tot" numFmtId="166">
      <sharedItems containsSemiMixedTypes="0" containsString="0" containsNumber="1" containsInteger="1" minValue="15000"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7-11-02T00:00:00"/>
    </cacheField>
    <cacheField name="rqst_mnth_cnt" numFmtId="0">
      <sharedItems containsSemiMixedTypes="0" containsString="0" containsNumber="1" containsInteger="1" minValue="12" maxValue="36"/>
    </cacheField>
    <cacheField name="prop_titl_txt" numFmtId="0">
      <sharedItems/>
    </cacheField>
    <cacheField name="AhNrev" numFmtId="0">
      <sharedItems containsString="0" containsBlank="1" containsNumber="1" containsInteger="1" minValue="0" maxValue="0"/>
    </cacheField>
    <cacheField name="AhRevs" numFmtId="0">
      <sharedItems containsBlank="1"/>
    </cacheField>
    <cacheField name="AhLast" numFmtId="165">
      <sharedItems containsNonDate="0" containsDate="1" containsString="0" containsBlank="1" minDate="2000-01-01T00:00:00" maxDate="2000-01-02T00:00:00"/>
    </cacheField>
    <cacheField name="panl_id0" numFmtId="0">
      <sharedItems containsBlank="1"/>
    </cacheField>
    <cacheField name="RCOM_TXT0" numFmtId="0">
      <sharedItems containsBlank="1"/>
    </cacheField>
    <cacheField name="rank0" numFmtId="0">
      <sharedItems containsString="0" containsBlank="1" containsNumber="1" containsInteger="1" minValue="99" maxValue="99"/>
    </cacheField>
    <cacheField name="panl_name0" numFmtId="0">
      <sharedItems containsBlank="1"/>
    </cacheField>
    <cacheField name="panl_end0" numFmtId="165">
      <sharedItems containsNonDate="0" containsDate="1" containsString="0" containsBlank="1" minDate="2000-01-01T00:00:00" maxDate="2000-01-02T00:00:00"/>
    </cacheField>
    <cacheField name="revs0" numFmtId="0">
      <sharedItems containsBlank="1"/>
    </cacheField>
    <cacheField name="PanlString0" numFmtId="0">
      <sharedItems containsBlank="1"/>
    </cacheField>
    <cacheField name="pnlst0" numFmtId="0">
      <sharedItems containsString="0" containsBlank="1" containsNumber="1" containsInteger="1" minValue="0" maxValue="0"/>
    </cacheField>
    <cacheField name="confl0" numFmtId="0">
      <sharedItems containsString="0" containsBlank="1" containsNumber="1" containsInteger="1" minValue="0" maxValue="0"/>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15000" maxValue="99999999"/>
    </cacheField>
    <cacheField name="b0tot" numFmtId="166">
      <sharedItems containsSemiMixedTypes="0" containsString="0" containsNumber="1" containsInteger="1" minValue="15000"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99999999" maxValue="99999999"/>
    </cacheField>
    <cacheField name="b1tot" numFmtId="166">
      <sharedItems containsString="0" containsBlank="1" containsNumber="1" containsInteger="1" minValue="99999999"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99999999" maxValue="99999999"/>
    </cacheField>
    <cacheField name="b2tot" numFmtId="166">
      <sharedItems containsString="0" containsBlank="1" containsNumber="1" containsInteger="1" minValue="99999999"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8-01-01T20:09:02"/>
    </cacheField>
    <cacheField name="email" numFmtId="0">
      <sharedItems/>
    </cacheField>
    <cacheField name="allPIemail" numFmtId="0">
      <sharedItems/>
    </cacheField>
    <cacheField name="conflrev0" numFmtId="0">
      <sharedItems containsBlank="1"/>
    </cacheField>
    <cacheField name="conflrev1" numFmtId="0">
      <sharedItems containsBlank="1"/>
    </cacheField>
    <cacheField name="conflrev2"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FY18"/>
    <s v="eJ"/>
    <s v="Email of lead PI on the project"/>
    <s v="PIs@"/>
    <s v="Divn"/>
    <s v="1234567"/>
    <n v="0"/>
    <n v="0"/>
    <n v="0"/>
    <s v="Y"/>
    <n v="1"/>
    <n v="4.5"/>
    <n v="9"/>
    <s v="E,E/V,V,V/G,G,G/F,F,F/P,P"/>
    <b v="1"/>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s v="List of conflicted panelists separated by semicolons. Not everyone will need this list, but some divisions request this information, so I am seeing if we can provide it. There is a limit of seven names returned, though all will be counted."/>
  </r>
  <r>
    <m/>
    <d v="2017-10-27T15:40:00"/>
    <s v="NSF 17-1"/>
    <s v="05010000"/>
    <s v="7796"/>
    <s v="NEW"/>
    <s v="PEND"/>
    <s v="4160"/>
    <s v=""/>
    <s v="JSNOEYI"/>
    <d v="2017-12-29T13:11:12"/>
    <m/>
    <m/>
    <m/>
    <m/>
    <m/>
    <x v="1"/>
    <s v="RA 1807311 Stein"/>
    <m/>
    <m/>
    <s v="Jack Snoeyink"/>
    <s v="Cognizant Program Director"/>
    <s v="FY18"/>
    <s v="eJ"/>
    <s v="cliff@ieor.columbia.edu"/>
    <s v="PIs@"/>
    <s v="CCF"/>
    <s v="1807311"/>
    <m/>
    <m/>
    <m/>
    <s v=""/>
    <m/>
    <m/>
    <m/>
    <m/>
    <b v="0"/>
    <m/>
    <n v="15000"/>
    <n v="15000"/>
    <n v="0"/>
    <d v="2017-11-01T00:00:00"/>
    <n v="12"/>
    <s v="SODA 2018 Travel Grant"/>
    <m/>
    <m/>
    <m/>
    <m/>
    <m/>
    <m/>
    <m/>
    <m/>
    <m/>
    <m/>
    <m/>
    <m/>
    <m/>
    <m/>
    <m/>
    <m/>
    <m/>
    <m/>
    <m/>
    <m/>
    <m/>
    <m/>
    <m/>
    <m/>
    <m/>
    <m/>
    <m/>
    <m/>
    <m/>
    <m/>
    <s v="1807311"/>
    <s v="Stein"/>
    <s v="Clifford"/>
    <s v="Columbia University"/>
    <n v="15000"/>
    <n v="15000"/>
    <s v="7556 7926"/>
    <m/>
    <m/>
    <m/>
    <m/>
    <m/>
    <m/>
    <m/>
    <m/>
    <m/>
    <m/>
    <m/>
    <m/>
    <m/>
    <m/>
    <m/>
    <m/>
    <m/>
    <m/>
    <m/>
    <m/>
    <m/>
    <m/>
    <m/>
    <m/>
    <m/>
    <m/>
    <m/>
    <m/>
    <m/>
    <m/>
    <m/>
    <m/>
    <m/>
    <m/>
    <m/>
    <m/>
    <m/>
    <m/>
    <m/>
    <m/>
    <m/>
    <m/>
    <s v="Proposal &amp; Award Policies &amp; Procedures Guide - PAPPG"/>
    <s v="Division of Computing and Communication Foundations"/>
    <s v="ALGORITHMIC FOUNDATIONS"/>
    <s v="Jack Snoeyink"/>
    <s v="Pending, Assigned to PM"/>
    <s v="New Project"/>
    <s v="CSE"/>
    <s v="Direct For Computer &amp; Info Scie &amp; Enginr"/>
    <d v="2018-01-01T20:09:02"/>
    <s v="cliff@ieor.columbia.edu"/>
    <s v="cliff@ieor.columbia.edu      "/>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42">
      <pivotArea outline="0" collapsedLevelsAreSubtotals="1" fieldPosition="0"/>
    </format>
    <format dxfId="41">
      <pivotArea outline="0" collapsedLevelsAreSubtotals="1" fieldPosition="0"/>
    </format>
    <format dxfId="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8"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3">
        <item x="0"/>
        <item x="1"/>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3">
    <i>
      <x/>
    </i>
    <i>
      <x v="1"/>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39">
    <queryTableFields count="56">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56">
  <autoFilter ref="B17:B18"/>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54">
  <autoFilter ref="D17:D18"/>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2">
  <autoFilter ref="F17:F18"/>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0">
  <autoFilter ref="H17:H18"/>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48">
  <tableColumns count="2">
    <tableColumn id="1" name="Where to find:" dataDxfId="247"/>
    <tableColumn id="2" name="link" dataCellStyle="Hyper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tableColumns count="53">
    <tableColumn id="123" uniqueName="123" name="dd_rcom_date" queryTableFieldId="1" dataDxfId="240"/>
    <tableColumn id="124" uniqueName="124" name="nsf_rcvd_date" queryTableFieldId="2" dataDxfId="239"/>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38"/>
    <tableColumn id="131" uniqueName="131" name="bas_rsch_pct" queryTableFieldId="9" dataDxfId="237"/>
    <tableColumn id="132" uniqueName="132" name="other_pct" queryTableFieldId="10" dataDxfId="236"/>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35">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34"/>
    <tableColumn id="186" uniqueName="186" name="0" queryTableFieldId="65" dataDxfId="233">
      <calculatedColumnFormula>S1+(ckCodingQTable[[#This Row],[ILN]]&lt;"M")</calculatedColumnFormula>
    </tableColumn>
    <tableColumn id="139" uniqueName="139" name="ILN" queryTableFieldId="17" dataDxfId="232"/>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1"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30"/>
    <tableColumn id="146" uniqueName="146" name="rqst_mnth_cnt" queryTableFieldId="24"/>
    <tableColumn id="147" uniqueName="147" name="nPanl" queryTableFieldId="25"/>
    <tableColumn id="149" uniqueName="149" name="nPSunrls" queryTableFieldId="27"/>
    <tableColumn id="148" uniqueName="148" name="nPSunmrkd" queryTableFieldId="26" dataDxfId="229"/>
    <tableColumn id="152" uniqueName="152" name="allReviews" queryTableFieldId="30"/>
    <tableColumn id="153" uniqueName="153" name="avg_score" queryTableFieldId="31" dataDxfId="228"/>
    <tableColumn id="154" uniqueName="154" name="last_rev_date" queryTableFieldId="32" dataDxfId="227"/>
    <tableColumn id="156" uniqueName="156" name="Nconfl" queryTableFieldId="34" dataDxfId="226"/>
    <tableColumn id="151" uniqueName="151" name="nRev" queryTableFieldId="29"/>
    <tableColumn id="157" uniqueName="157" name="Nunrlsbl" queryTableFieldId="35"/>
    <tableColumn id="155" uniqueName="155" name="Nunmkd" queryTableFieldId="33" dataDxfId="225"/>
    <tableColumn id="158" uniqueName="158" name="NrlsdCDNPS" queryTableFieldId="36" dataDxfId="224"/>
    <tableColumn id="159" uniqueName="159" name="NpendSlct" queryTableFieldId="37" dataDxfId="223"/>
    <tableColumn id="160" uniqueName="160" name="NdiffFLeJ" queryTableFieldId="38" dataDxfId="222"/>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21"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D2" tableType="queryTable" insertRow="1" totalsRowShown="0">
  <autoFilter ref="A1:BD2"/>
  <tableColumns count="56">
    <tableColumn id="1" uniqueName="1" name="dd_rcom_date" queryTableFieldId="214" dataDxfId="216"/>
    <tableColumn id="4" uniqueName="4" name="nsf_rcvd_date" queryTableFieldId="4" dataDxfId="21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14"/>
    <tableColumn id="39" uniqueName="39" name="natr_rqst_abbr" queryTableFieldId="280" dataDxfId="213"/>
    <tableColumn id="49" uniqueName="49" name="rcom_istr_abbr" queryTableFieldId="281" dataDxfId="212"/>
    <tableColumn id="19" uniqueName="19" name="obj_clas_code" queryTableFieldId="221"/>
    <tableColumn id="11" uniqueName="11" name="cntx_stmt_id" queryTableFieldId="11"/>
    <tableColumn id="32" uniqueName="32" name="RAupdate" queryTableFieldId="254" dataDxfId="211"/>
    <tableColumn id="25" uniqueName="25" name="0" queryTableFieldId="230" dataDxfId="210">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09" dataCellStyle="Hyperlink">
      <calculatedColumnFormula>HYPERLINK("https://www.ejacket.nsf.gov/ej/showProposal.do?ID="&amp;ckAwdQTable[[#This Row],[prop_id]],"eJ")</calculatedColumnFormula>
    </tableColumn>
    <tableColumn id="27" uniqueName="27" name="Div" queryTableFieldId="282" dataDxfId="208"/>
    <tableColumn id="12" uniqueName="12" name="prop_id" queryTableFieldId="12"/>
    <tableColumn id="13" uniqueName="13" name="pi_last_name" queryTableFieldId="13"/>
    <tableColumn id="14" uniqueName="14" name="pi_frst_name" queryTableFieldId="14"/>
    <tableColumn id="24" uniqueName="24" name="inst" queryTableFieldId="283" dataDxfId="207"/>
    <tableColumn id="23" uniqueName="23" name="st_code" queryTableFieldId="225"/>
    <tableColumn id="206" uniqueName="206" name="@pi email" queryTableFieldId="212" dataDxfId="206"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05"/>
    <tableColumn id="17" uniqueName="17" name="rqst_mnth_cnt" queryTableFieldId="17"/>
    <tableColumn id="9" uniqueName="9" name="humn_date" queryTableFieldId="218"/>
    <tableColumn id="28" uniqueName="28" name="hum_asur" queryTableFieldId="301" dataDxfId="204"/>
    <tableColumn id="29" uniqueName="29" name="HUM_EXPT" queryTableFieldId="302" dataDxfId="203"/>
    <tableColumn id="10" uniqueName="10" name="vrtb_date" queryTableFieldId="219"/>
    <tableColumn id="37" uniqueName="37" name="vrtb_asur" queryTableFieldId="303" dataDxfId="202"/>
    <tableColumn id="30" uniqueName="30" name="Country" queryTableFieldId="250" dataDxfId="201"/>
    <tableColumn id="50" uniqueName="50" name="frgn_trav_tot" queryTableFieldId="293" dataDxfId="200"/>
    <tableColumn id="34" uniqueName="34" name="rqst_tot" queryTableFieldId="288" dataDxfId="199" dataCellStyle="Currency"/>
    <tableColumn id="35" uniqueName="35" name="brevn" queryTableFieldId="289" dataDxfId="198"/>
    <tableColumn id="36" uniqueName="36" name="budg_tot" queryTableFieldId="290" dataDxfId="197"/>
    <tableColumn id="55" uniqueName="55" name="y1_tot" queryTableFieldId="326" dataDxfId="196"/>
    <tableColumn id="56" uniqueName="56" name="y2_tot" queryTableFieldId="327" dataDxfId="195"/>
    <tableColumn id="57" uniqueName="57" name="y3_tot" queryTableFieldId="328" dataDxfId="194"/>
    <tableColumn id="58" uniqueName="58" name="y4_tot" queryTableFieldId="329" dataDxfId="193"/>
    <tableColumn id="59" uniqueName="59" name="y5_tot" queryTableFieldId="330" dataDxfId="192"/>
    <tableColumn id="60" uniqueName="60" name="y6_tot" queryTableFieldId="331" dataDxfId="191"/>
    <tableColumn id="40" uniqueName="40" name="sub_ctr_tot" queryTableFieldId="292" dataDxfId="190"/>
    <tableColumn id="42" uniqueName="42" name="pdoc_tot" queryTableFieldId="294" dataDxfId="189"/>
    <tableColumn id="43" uniqueName="43" name="part_tot_dol" queryTableFieldId="295" dataDxfId="188"/>
    <tableColumn id="44" uniqueName="44" name="grad_tot_cnt" queryTableFieldId="296" dataDxfId="187"/>
    <tableColumn id="45" uniqueName="45" name="sr_tot_cnt" queryTableFieldId="297" dataDxfId="186"/>
    <tableColumn id="46" uniqueName="46" name="sr_sumr_mnths" queryTableFieldId="298" dataDxfId="185"/>
    <tableColumn id="47" uniqueName="47" name="sr_acad_mnths" queryTableFieldId="299" dataDxfId="184"/>
    <tableColumn id="48" uniqueName="48" name="sr_cal_mnths" queryTableFieldId="300" dataDxfId="183"/>
    <tableColumn id="8" uniqueName="8" name="prop_stts_txt" queryTableFieldId="278" dataDxfId="182"/>
    <tableColumn id="54" uniqueName="54" name="OTH_AGCY_SUBM_FLAG" queryTableFieldId="287" dataDxfId="181"/>
    <tableColumn id="53" uniqueName="53" name="Abstr?marks" queryTableFieldId="320" dataDxfId="180">
      <calculatedColumnFormula>SummarizeQuestMarks(ckAwdQTable[[#This Row],[abst_narr_txt]])</calculatedColumnFormula>
    </tableColumn>
    <tableColumn id="51" uniqueName="51" name="abst_narr_txt" queryTableFieldId="251" dataDxfId="179"/>
    <tableColumn id="83" uniqueName="83" name="prop_titl_txt" queryTableFieldId="83"/>
    <tableColumn id="52" uniqueName="52" name="titl_ck" queryTableFieldId="322">
      <calculatedColumnFormula>AND(ckAwdQTable[[#This Row],[ILN]]&gt;"M", SUBSTITUTE(ckAwdQTable[[#This Row],[prop_titl_txt]]," ","")&lt;&gt;SUBSTITUTE(BB1," ",""))</calculatedColumnFormula>
    </tableColumn>
    <tableColumn id="26" uniqueName="26" name="email" queryTableFieldId="284" dataDxfId="178"/>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74">
  <autoFilter ref="A3:AC4"/>
  <tableColumns count="29">
    <tableColumn id="10" uniqueName="10" name="prop_id" queryTableFieldId="10" dataDxfId="173"/>
    <tableColumn id="9" uniqueName="9" name="ILN" queryTableFieldId="89" dataDxfId="172" dataCellStyle="Hyperlink"/>
    <tableColumn id="31" uniqueName="31" name="10" queryTableFieldId="98" dataDxfId="171" dataCellStyle="Hyperlink">
      <calculatedColumnFormula>C3+(BudgetsQTable[[#This Row],[lead]]&lt;&gt;K3)</calculatedColumnFormula>
    </tableColumn>
    <tableColumn id="32" uniqueName="32" name="0" queryTableFieldId="97" dataDxfId="170" dataCellStyle="Hyperlink">
      <calculatedColumnFormula>D3*(BudgetsQTable[[#This Row],[lead]]=K3)+(BudgetsQTable[[#This Row],[prop_id]]&lt;&gt;A3)</calculatedColumnFormula>
    </tableColumn>
    <tableColumn id="3" uniqueName="3" name="nsf_rcvd_date" queryTableFieldId="63" dataDxfId="169" dataCellStyle="Hyperlink"/>
    <tableColumn id="4" uniqueName="4" name="pgm_annc_id" queryTableFieldId="64" dataDxfId="168" dataCellStyle="Hyperlink"/>
    <tableColumn id="5" uniqueName="5" name="org_code" queryTableFieldId="65" dataDxfId="167" dataCellStyle="Hyperlink"/>
    <tableColumn id="6" uniqueName="6" name="pgm_ele_code" queryTableFieldId="66" dataDxfId="166" dataCellStyle="Hyperlink"/>
    <tableColumn id="27" uniqueName="27" name="PO" queryTableFieldId="91" dataDxfId="165" dataCellStyle="Hyperlink"/>
    <tableColumn id="28" uniqueName="28" name="pi_email" queryTableFieldId="92" dataDxfId="164" dataCellStyle="Hyperlink"/>
    <tableColumn id="8" uniqueName="8" name="lead" queryTableFieldId="68" dataDxfId="163"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62"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61" dataCellStyle="Hyperlink"/>
    <tableColumn id="14" uniqueName="14" name="sr_pers_cnt" queryTableFieldId="73" dataDxfId="160" dataCellStyle="Hyperlink"/>
    <tableColumn id="15" uniqueName="15" name="sr_summ_mnth_cnt" queryTableFieldId="74" dataDxfId="159" dataCellStyle="Hyperlink"/>
    <tableColumn id="16" uniqueName="16" name="pdoc_grnt_dol" queryTableFieldId="75" dataDxfId="158" dataCellStyle="Currency"/>
    <tableColumn id="17" uniqueName="17" name="frgn_trav_dol" queryTableFieldId="76" dataDxfId="157" dataCellStyle="Currency"/>
    <tableColumn id="18" uniqueName="18" name="part_dol" queryTableFieldId="77" dataDxfId="156" dataCellStyle="Currency"/>
    <tableColumn id="19" uniqueName="19" name="budg_tot_dol" queryTableFieldId="78" dataDxfId="155" dataCellStyle="Currency"/>
    <tableColumn id="20" uniqueName="20" name="revn_num" queryTableFieldId="79" dataDxfId="154" dataCellStyle="Hyperlink"/>
    <tableColumn id="21" uniqueName="21" name="budg_seq_yr" queryTableFieldId="80" dataDxfId="153" dataCellStyle="Hyperlink"/>
    <tableColumn id="26" uniqueName="26" name="Column1" queryTableFieldId="85" dataDxfId="152" dataCellStyle="Hyperlink">
      <calculatedColumnFormula>IF(ISBLANK(BudgetsQTable[[#This Row],[budg_seq_yr]]),"FY"&amp;fiscalyear,"FY"&amp;fiscalyear-1+BudgetsQTable[[#This Row],[budg_seq_yr]])</calculatedColumnFormula>
    </tableColumn>
    <tableColumn id="22" uniqueName="22" name="dol" queryTableFieldId="81" dataDxfId="151" dataCellStyle="Currency"/>
    <tableColumn id="23" uniqueName="23" name="org_code2" queryTableFieldId="82" dataDxfId="150" dataCellStyle="Hyperlink"/>
    <tableColumn id="24" uniqueName="24" name="PEC" queryTableFieldId="83" dataDxfId="149" dataCellStyle="Hyperlink"/>
    <tableColumn id="7" uniqueName="7" name="Obj" queryTableFieldId="99" dataDxfId="148" dataCellStyle="Hyperlink"/>
    <tableColumn id="25" uniqueName="25" name="PRCs" queryTableFieldId="84" dataDxfId="147"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3" tableType="queryTable" totalsRowShown="0">
  <autoFilter ref="A1:EG3">
    <filterColumn colId="12">
      <customFilters>
        <customFilter operator="greaterThan" val="0"/>
      </customFilters>
    </filterColumn>
  </autoFilter>
  <sortState ref="A2:EG3">
    <sortCondition ref="M1:M3"/>
  </sortState>
  <tableColumns count="137">
    <tableColumn id="1" uniqueName="1" name="dd_rcom_date" queryTableFieldId="1" dataDxfId="145"/>
    <tableColumn id="2" uniqueName="2" name="nsf_rcvd_date" queryTableFieldId="2" dataDxfId="144"/>
    <tableColumn id="3" uniqueName="3" name="pgm_annc_id" queryTableFieldId="3" dataDxfId="143"/>
    <tableColumn id="4" uniqueName="4" name="org_code" queryTableFieldId="4" dataDxfId="142"/>
    <tableColumn id="5" uniqueName="5" name="pgm_ele_code" queryTableFieldId="5" dataDxfId="141"/>
    <tableColumn id="6" uniqueName="6" name="natr_rqst_abbr" queryTableFieldId="6" dataDxfId="140"/>
    <tableColumn id="7" uniqueName="7" name="prop_stts_abbr" queryTableFieldId="7" dataDxfId="139"/>
    <tableColumn id="8" uniqueName="8" name="obj_clas_code" queryTableFieldId="8"/>
    <tableColumn id="9" uniqueName="9" name="cntx_stmt_id" queryTableFieldId="9"/>
    <tableColumn id="10" uniqueName="10" name="PO" queryTableFieldId="10"/>
    <tableColumn id="11" uniqueName="11" name="RAupdate" queryTableFieldId="11" dataDxfId="138"/>
    <tableColumn id="12" uniqueName="12" name="nPanl" queryTableFieldId="12"/>
    <tableColumn id="13" uniqueName="13" name="RecRkMin" queryTableFieldId="13" dataDxfId="137"/>
    <tableColumn id="14" uniqueName="14" name="rec0" queryTableFieldId="14"/>
    <tableColumn id="15" uniqueName="15" name="rec1" queryTableFieldId="15"/>
    <tableColumn id="16" uniqueName="16" name="rec2" queryTableFieldId="16"/>
    <tableColumn id="17" uniqueName="17" name="RAtemplate" queryTableFieldId="17" dataDxfId="136"/>
    <tableColumn id="133" uniqueName="133" name="RAdraft_filename" queryTableFieldId="135" dataDxfId="135">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34"/>
    <tableColumn id="137" uniqueName="137" name="RAps_note" queryTableFieldId="136" dataDxfId="133"/>
    <tableColumn id="134" uniqueName="134" name="RAsigner" queryTableFieldId="134" dataDxfId="132">
      <calculatedColumnFormula>IF(signer1="PD",IF(ISBLANK(RADataQTable[[#This Row],[sign_blck_name]]),"",RADataQTable[[#This Row],[sign_blck_name]]),IF(ISBLANK(signer1),"",signer1))</calculatedColumnFormula>
    </tableColumn>
    <tableColumn id="135" uniqueName="135" name="RAsigner2" queryTableFieldId="133" dataDxfId="131">
      <calculatedColumnFormula>signer2</calculatedColumnFormula>
    </tableColumn>
    <tableColumn id="130" uniqueName="130" name="fisc_yr" queryTableFieldId="148" dataDxfId="130">
      <calculatedColumnFormula>"FY" &amp; (YEAR(NOW())+(MONTH(NOW())&gt;8)-2000)</calculatedColumnFormula>
    </tableColumn>
    <tableColumn id="138" uniqueName="138" name="ej" queryTableFieldId="142" dataDxfId="129" dataCellStyle="Hyperlink">
      <calculatedColumnFormula>HYPERLINK("https://www.ejacket.nsf.gov/ej/showProposal.do?Continue=Y&amp;ID="&amp;RADataQTable[[#This Row],[prop_id0]],"eJ")</calculatedColumnFormula>
    </tableColumn>
    <tableColumn id="139" uniqueName="139" name="@PI" queryTableFieldId="141" dataDxfId="128"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27"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26"/>
    <tableColumn id="23" uniqueName="23" name="avg_score" queryTableFieldId="23" dataDxfId="125"/>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24"/>
    <tableColumn id="28" uniqueName="28" name="rqst_tot" queryTableFieldId="28" dataDxfId="123" dataCellStyle="Currency"/>
    <tableColumn id="29" uniqueName="29" name="budg_tot" queryTableFieldId="29" dataDxfId="122" dataCellStyle="Currency"/>
    <tableColumn id="30" uniqueName="30" name="budRevnMax" queryTableFieldId="30"/>
    <tableColumn id="31" uniqueName="31" name="rqst_eff_date" queryTableFieldId="31" dataDxfId="121"/>
    <tableColumn id="32" uniqueName="32" name="rqst_mnth_cnt" queryTableFieldId="32" dataDxfId="120"/>
    <tableColumn id="33" uniqueName="33" name="prop_titl_txt" queryTableFieldId="33" dataDxfId="119"/>
    <tableColumn id="34" uniqueName="34" name="AhNrev" queryTableFieldId="34"/>
    <tableColumn id="35" uniqueName="35" name="AhRevs" queryTableFieldId="35"/>
    <tableColumn id="36" uniqueName="36" name="AhLast" queryTableFieldId="36" dataDxfId="118"/>
    <tableColumn id="37" uniqueName="37" name="panl_id0" queryTableFieldId="37"/>
    <tableColumn id="38" uniqueName="38" name="RCOM_TXT0" queryTableFieldId="38" dataDxfId="117"/>
    <tableColumn id="39" uniqueName="39" name="rank0" queryTableFieldId="39" dataDxfId="116"/>
    <tableColumn id="40" uniqueName="40" name="panl_name0" queryTableFieldId="40" dataDxfId="115"/>
    <tableColumn id="41" uniqueName="41" name="panl_end0" queryTableFieldId="41" dataDxfId="114"/>
    <tableColumn id="42" uniqueName="42" name="revs0" queryTableFieldId="42" dataDxfId="113"/>
    <tableColumn id="43" uniqueName="43" name="PanlString0" queryTableFieldId="43" dataDxfId="112"/>
    <tableColumn id="44" uniqueName="44" name="pnlst0" queryTableFieldId="44" dataDxfId="111"/>
    <tableColumn id="45" uniqueName="45" name="confl0" queryTableFieldId="45" dataDxfId="110"/>
    <tableColumn id="46" uniqueName="46" name="panl_id1" queryTableFieldId="46" dataDxfId="109"/>
    <tableColumn id="47" uniqueName="47" name="RCOM_TXT1" queryTableFieldId="47" dataDxfId="108"/>
    <tableColumn id="48" uniqueName="48" name="rank1" queryTableFieldId="48" dataDxfId="107"/>
    <tableColumn id="49" uniqueName="49" name="panl_name1" queryTableFieldId="49" dataDxfId="106"/>
    <tableColumn id="50" uniqueName="50" name="panl_end1" queryTableFieldId="50" dataDxfId="105"/>
    <tableColumn id="51" uniqueName="51" name="revs1" queryTableFieldId="51" dataDxfId="104"/>
    <tableColumn id="52" uniqueName="52" name="PanlString1" queryTableFieldId="52" dataDxfId="103"/>
    <tableColumn id="53" uniqueName="53" name="pnlst1" queryTableFieldId="53" dataDxfId="102"/>
    <tableColumn id="54" uniqueName="54" name="confl1" queryTableFieldId="54" dataDxfId="101"/>
    <tableColumn id="55" uniqueName="55" name="panl_id2" queryTableFieldId="55" dataDxfId="100"/>
    <tableColumn id="56" uniqueName="56" name="RCOM_TXT2" queryTableFieldId="56" dataDxfId="99"/>
    <tableColumn id="57" uniqueName="57" name="rank2" queryTableFieldId="57" dataDxfId="98"/>
    <tableColumn id="58" uniqueName="58" name="panl_name2" queryTableFieldId="58" dataDxfId="97"/>
    <tableColumn id="59" uniqueName="59" name="panl_end2" queryTableFieldId="59" dataDxfId="96"/>
    <tableColumn id="60" uniqueName="60" name="revs2" queryTableFieldId="60" dataDxfId="95"/>
    <tableColumn id="61" uniqueName="61" name="PanlString2" queryTableFieldId="61" dataDxfId="94"/>
    <tableColumn id="62" uniqueName="62" name="pnlst2" queryTableFieldId="62" dataDxfId="93"/>
    <tableColumn id="63" uniqueName="63" name="confl2" queryTableFieldId="63" dataDxfId="92"/>
    <tableColumn id="64" uniqueName="64" name="prop_id0" queryTableFieldId="64"/>
    <tableColumn id="65" uniqueName="65" name="last0" queryTableFieldId="65" dataDxfId="91"/>
    <tableColumn id="66" uniqueName="66" name="frst0" queryTableFieldId="66" dataDxfId="90"/>
    <tableColumn id="67" uniqueName="67" name="inst0" queryTableFieldId="67" dataDxfId="89"/>
    <tableColumn id="68" uniqueName="68" name="rqst0" queryTableFieldId="68" dataDxfId="88"/>
    <tableColumn id="69" uniqueName="69" name="b0tot" queryTableFieldId="69" dataDxfId="87"/>
    <tableColumn id="70" uniqueName="70" name="PRC0" queryTableFieldId="70"/>
    <tableColumn id="71" uniqueName="71" name="prop_id1" queryTableFieldId="71" dataDxfId="86"/>
    <tableColumn id="72" uniqueName="72" name="last1" queryTableFieldId="72" dataDxfId="85"/>
    <tableColumn id="73" uniqueName="73" name="frst1" queryTableFieldId="73" dataDxfId="84"/>
    <tableColumn id="74" uniqueName="74" name="inst1" queryTableFieldId="74" dataDxfId="83"/>
    <tableColumn id="75" uniqueName="75" name="rqst1" queryTableFieldId="75" dataDxfId="82"/>
    <tableColumn id="76" uniqueName="76" name="b1tot" queryTableFieldId="76" dataDxfId="81"/>
    <tableColumn id="77" uniqueName="77" name="PRC1" queryTableFieldId="77"/>
    <tableColumn id="78" uniqueName="78" name="prop_id2" queryTableFieldId="78" dataDxfId="80"/>
    <tableColumn id="79" uniqueName="79" name="last2" queryTableFieldId="79" dataDxfId="79"/>
    <tableColumn id="80" uniqueName="80" name="frst2" queryTableFieldId="80" dataDxfId="78"/>
    <tableColumn id="81" uniqueName="81" name="inst2" queryTableFieldId="81" dataDxfId="77"/>
    <tableColumn id="82" uniqueName="82" name="rqst2" queryTableFieldId="82" dataDxfId="76"/>
    <tableColumn id="83" uniqueName="83" name="b2tot" queryTableFieldId="83" dataDxfId="75"/>
    <tableColumn id="84" uniqueName="84" name="PRC2" queryTableFieldId="84"/>
    <tableColumn id="85" uniqueName="85" name="prop_id3" queryTableFieldId="85" dataDxfId="74"/>
    <tableColumn id="86" uniqueName="86" name="last3" queryTableFieldId="86" dataDxfId="73"/>
    <tableColumn id="87" uniqueName="87" name="frst3" queryTableFieldId="87" dataDxfId="72"/>
    <tableColumn id="88" uniqueName="88" name="inst3" queryTableFieldId="88" dataDxfId="71"/>
    <tableColumn id="89" uniqueName="89" name="rqst3" queryTableFieldId="89" dataDxfId="70"/>
    <tableColumn id="90" uniqueName="90" name="b3tot" queryTableFieldId="90" dataDxfId="69"/>
    <tableColumn id="91" uniqueName="91" name="PRC3" queryTableFieldId="91"/>
    <tableColumn id="92" uniqueName="92" name="prop_id4" queryTableFieldId="92" dataDxfId="68"/>
    <tableColumn id="93" uniqueName="93" name="last4" queryTableFieldId="93" dataDxfId="67"/>
    <tableColumn id="94" uniqueName="94" name="frst4" queryTableFieldId="94" dataDxfId="66"/>
    <tableColumn id="95" uniqueName="95" name="inst4" queryTableFieldId="95" dataDxfId="65"/>
    <tableColumn id="96" uniqueName="96" name="rqst4" queryTableFieldId="96" dataDxfId="64"/>
    <tableColumn id="97" uniqueName="97" name="b4tot" queryTableFieldId="97" dataDxfId="63"/>
    <tableColumn id="98" uniqueName="98" name="PRC4" queryTableFieldId="98"/>
    <tableColumn id="99" uniqueName="99" name="prop_id5" queryTableFieldId="99" dataDxfId="62"/>
    <tableColumn id="100" uniqueName="100" name="last5" queryTableFieldId="100" dataDxfId="61"/>
    <tableColumn id="101" uniqueName="101" name="frst5" queryTableFieldId="101" dataDxfId="60"/>
    <tableColumn id="102" uniqueName="102" name="inst5" queryTableFieldId="102" dataDxfId="59"/>
    <tableColumn id="103" uniqueName="103" name="rqst5" queryTableFieldId="103" dataDxfId="58"/>
    <tableColumn id="104" uniqueName="104" name="b5tot" queryTableFieldId="104" dataDxfId="57"/>
    <tableColumn id="105" uniqueName="105" name="PRC5" queryTableFieldId="105"/>
    <tableColumn id="106" uniqueName="106" name="prop_id6" queryTableFieldId="106" dataDxfId="56"/>
    <tableColumn id="107" uniqueName="107" name="last6" queryTableFieldId="107" dataDxfId="55"/>
    <tableColumn id="108" uniqueName="108" name="frst6" queryTableFieldId="108" dataDxfId="54"/>
    <tableColumn id="109" uniqueName="109" name="inst6" queryTableFieldId="109" dataDxfId="53"/>
    <tableColumn id="110" uniqueName="110" name="rqst6" queryTableFieldId="110" dataDxfId="52"/>
    <tableColumn id="111" uniqueName="111" name="b6tot" queryTableFieldId="111" dataDxfId="51"/>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50"/>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49"/>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headerRowCellStyle="Normal" dataCellStyle="Normal">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headerRowCellStyle="Normal" dataCellStyle="Normal">
  <autoFilter ref="A2:B3"/>
  <tableColumns count="2">
    <tableColumn id="1" uniqueName="1" name="PRC" queryTableFieldId="278" dataDxfId="47"/>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headerRowCellStyle="Normal" dataCellStyle="Normal">
  <autoFilter ref="D2:E3"/>
  <tableColumns count="2">
    <tableColumn id="1" uniqueName="1" name="PEC" queryTableFieldId="280" dataDxfId="46"/>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39"/>
    <tableColumn id="22" uniqueName="22" name="nsf_rcvd_date" queryTableFieldId="2" dataDxfId="38"/>
    <tableColumn id="23" uniqueName="23" name="cntx_stmt_id" queryTableFieldId="3"/>
    <tableColumn id="24" uniqueName="24" name="pgm_annc_id" queryTableFieldId="4"/>
    <tableColumn id="60" uniqueName="60" name="pObj" queryTableFieldId="13" dataDxfId="37"/>
    <tableColumn id="61" uniqueName="61" name="bObj" queryTableFieldId="14" dataDxfId="36"/>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35"/>
    <tableColumn id="35" uniqueName="35" name="rcom_istr_abbr" queryTableFieldId="15" dataDxfId="34"/>
    <tableColumn id="57" uniqueName="57" name="budg_yr" queryTableFieldId="27" dataDxfId="33"/>
    <tableColumn id="58" uniqueName="58" name="splt_id" queryTableFieldId="28" dataDxfId="32"/>
    <tableColumn id="59" uniqueName="59" name="budg_splt_tot_dol" queryTableFieldId="29" dataDxfId="31"/>
    <tableColumn id="54" uniqueName="54" name="0" queryTableFieldId="35" dataDxfId="30">
      <calculatedColumnFormula>S1+(X2&lt;&gt;X1)</calculatedColumnFormula>
    </tableColumn>
    <tableColumn id="37" uniqueName="37" name="ILN" queryTableFieldId="17" dataDxfId="29"/>
    <tableColumn id="36" uniqueName="36" name="lead" queryTableFieldId="16" dataDxfId="28"/>
    <tableColumn id="55" uniqueName="55" name="eJ" queryTableFieldId="36" dataDxfId="27" dataCellStyle="Hyperlink">
      <calculatedColumnFormula>HYPERLINK("https://www.ejacket.nsf.gov/ej/showProposal.do?ID="&amp;ckSplitsQTable[[#This Row],[prop_id]],"eJ")</calculatedColumnFormula>
    </tableColumn>
    <tableColumn id="38" uniqueName="38" name="Div" queryTableFieldId="18" dataDxfId="26"/>
    <tableColumn id="39" uniqueName="39" name="prop_id" queryTableFieldId="19" dataDxfId="25"/>
    <tableColumn id="40" uniqueName="40" name="pi_last_name" queryTableFieldId="20" dataDxfId="24"/>
    <tableColumn id="41" uniqueName="41" name="pi_frst_name" queryTableFieldId="21" dataDxfId="23"/>
    <tableColumn id="42" uniqueName="42" name="inst" queryTableFieldId="22" dataDxfId="22"/>
    <tableColumn id="56" uniqueName="56" name="@ pi" queryTableFieldId="37" dataDxfId="21"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20"/>
    <tableColumn id="44" uniqueName="44" name="propPRCs" queryTableFieldId="24" dataDxfId="19"/>
    <tableColumn id="45" uniqueName="45" name="bPRCs" queryTableFieldId="25" dataDxfId="18"/>
    <tableColumn id="46" uniqueName="46" name="awd_id" queryTableFieldId="26" dataDxfId="17"/>
    <tableColumn id="50" uniqueName="50" name="prop_stts_txt" queryTableFieldId="30" dataDxfId="16"/>
    <tableColumn id="51" uniqueName="51" name="prop_titl_txt" queryTableFieldId="31" dataDxfId="15"/>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13" totalsRowDxfId="12"/>
    <tableColumn id="11" uniqueName="11" name="returned" queryTableFieldId="11" dataDxfId="11"/>
    <tableColumn id="14" uniqueName="14" name="nchars" queryTableFieldId="15" dataDxfId="10">
      <calculatedColumnFormula>LEN(ProjTextQTable[[#This Row],[text]])</calculatedColumnFormula>
    </tableColumn>
    <tableColumn id="15" uniqueName="15" name="nwords" queryTableFieldId="14" dataDxfId="9">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J24:J29" totalsRowShown="0" headerRowDxfId="8" dataDxfId="7">
  <autoFilter ref="J24:J29"/>
  <tableColumns count="1">
    <tableColumn id="1" name="Available templates:" dataDxfId="6"/>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I40:I68" totalsRowCount="1" headerRowDxfId="5" dataDxfId="4">
  <autoFilter ref="I40:I67"/>
  <tableColumns count="1">
    <tableColumn id="1" name="Epscor" totalsRowFunction="count" dataDxfId="3" totalsRowDxfId="2"/>
  </tableColumns>
  <tableStyleInfo name="TableFall" showFirstColumn="0" showLastColumn="0" showRowStripes="1" showColumnStripes="0"/>
</table>
</file>

<file path=xl/tables/table17.xml><?xml version="1.0" encoding="utf-8"?>
<table xmlns="http://schemas.openxmlformats.org/spreadsheetml/2006/main" id="17" name="SharedRATemplateTable" displayName="SharedRATemplateTable" ref="I10:J14" totalsRowShown="0">
  <autoFilter ref="I10:J14"/>
  <tableColumns count="2">
    <tableColumn id="1" name="div/pgm" dataDxfId="1"/>
    <tableColumn id="2" name="default RAtemplate folder" dataDxfId="0"/>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table" Target="../tables/table15.xml"/><Relationship Id="rId3" Type="http://schemas.openxmlformats.org/officeDocument/2006/relationships/hyperlink" Target="http://remote.nsf.gov/" TargetMode="Externa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hyperlink" Target="https://support.office.com/en-ie/article/Data-sources-you-can-use-for-a-mail-merge-9de322a6-f0f9-448d-a113-5fab317d9ef4" TargetMode="External"/><Relationship Id="rId16" Type="http://schemas.openxmlformats.org/officeDocument/2006/relationships/ctrlProp" Target="../ctrlProps/ctrlProp18.xml"/><Relationship Id="rId20" Type="http://schemas.openxmlformats.org/officeDocument/2006/relationships/table" Target="../tables/table17.xml"/><Relationship Id="rId1" Type="http://schemas.openxmlformats.org/officeDocument/2006/relationships/hyperlink" Target="http://www.epscorideacoalition.org/legislative-action/nsf-epscor-fy-2017" TargetMode="External"/><Relationship Id="rId6" Type="http://schemas.openxmlformats.org/officeDocument/2006/relationships/vmlDrawing" Target="../drawings/vmlDrawing9.vml"/><Relationship Id="rId11" Type="http://schemas.openxmlformats.org/officeDocument/2006/relationships/ctrlProp" Target="../ctrlProps/ctrlProp13.xml"/><Relationship Id="rId5" Type="http://schemas.openxmlformats.org/officeDocument/2006/relationships/drawing" Target="../drawings/drawing11.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table" Target="../tables/table16.xml"/><Relationship Id="rId4" Type="http://schemas.openxmlformats.org/officeDocument/2006/relationships/printerSettings" Target="../printerSettings/printerSettings11.bin"/><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tabSelected="1" zoomScaleNormal="100" workbookViewId="0"/>
  </sheetViews>
  <sheetFormatPr defaultRowHeight="15" x14ac:dyDescent="0.25"/>
  <cols>
    <col min="1" max="1" width="2" customWidth="1"/>
    <col min="2" max="2" width="10.7109375" customWidth="1"/>
    <col min="3" max="3" width="5.7109375" customWidth="1"/>
    <col min="4" max="4" width="10.7109375" customWidth="1"/>
    <col min="5" max="5" width="5.7109375" customWidth="1"/>
    <col min="6" max="6" width="10.7109375" customWidth="1"/>
    <col min="7" max="7" width="5.7109375" customWidth="1"/>
    <col min="8" max="8" width="10.7109375" customWidth="1"/>
    <col min="9" max="9" width="8.85546875" customWidth="1"/>
    <col min="10" max="10" width="8.42578125" customWidth="1"/>
    <col min="11" max="11" width="26.85546875" customWidth="1"/>
    <col min="12" max="12" width="23.5703125" customWidth="1"/>
  </cols>
  <sheetData>
    <row r="1" spans="2:12" ht="18" customHeight="1" x14ac:dyDescent="0.25">
      <c r="B1" s="116" t="s">
        <v>399</v>
      </c>
      <c r="C1" s="116"/>
      <c r="D1" s="116"/>
      <c r="E1" s="116"/>
      <c r="F1" s="116"/>
      <c r="G1" s="116"/>
      <c r="H1" s="116"/>
    </row>
    <row r="2" spans="2:12" ht="18" customHeight="1" x14ac:dyDescent="0.25">
      <c r="B2" s="117" t="s">
        <v>502</v>
      </c>
      <c r="C2" s="116"/>
      <c r="D2" s="116"/>
      <c r="E2" s="116"/>
      <c r="F2" s="116"/>
      <c r="G2" s="118"/>
      <c r="H2" s="116"/>
    </row>
    <row r="3" spans="2:12" ht="18" customHeight="1" x14ac:dyDescent="0.25">
      <c r="B3" s="3"/>
      <c r="C3" s="33" t="s">
        <v>379</v>
      </c>
      <c r="D3" s="116" t="s">
        <v>503</v>
      </c>
      <c r="E3" s="116"/>
      <c r="F3" s="116"/>
      <c r="G3" s="32"/>
    </row>
    <row r="4" spans="2:12" ht="18" customHeight="1" x14ac:dyDescent="0.25">
      <c r="B4" s="3"/>
      <c r="C4" s="33" t="s">
        <v>394</v>
      </c>
      <c r="D4" s="24" t="s">
        <v>521</v>
      </c>
      <c r="E4" s="29"/>
      <c r="F4" s="119"/>
      <c r="G4" s="32"/>
    </row>
    <row r="5" spans="2:12" ht="18.399999999999999" customHeight="1" x14ac:dyDescent="0.25">
      <c r="B5" s="3"/>
      <c r="C5" s="33"/>
      <c r="D5" s="213" t="str">
        <f>IF(ISBLANK(dirRAoutput),"&lt;-- click button to select where RAs drafts should be stored",dirRAoutput)</f>
        <v>&lt;-- click button to select where RAs drafts should be stored</v>
      </c>
      <c r="E5" s="214"/>
      <c r="F5" s="215"/>
      <c r="G5" s="216"/>
      <c r="H5" s="215"/>
      <c r="I5" s="217"/>
    </row>
    <row r="6" spans="2:12" ht="20.25" customHeight="1" x14ac:dyDescent="0.25">
      <c r="B6" s="3"/>
      <c r="C6" s="33" t="s">
        <v>395</v>
      </c>
      <c r="D6" s="116" t="s">
        <v>504</v>
      </c>
      <c r="E6" s="116"/>
      <c r="F6" s="116"/>
      <c r="G6" s="32"/>
    </row>
    <row r="7" spans="2:12" ht="20.25" customHeight="1" x14ac:dyDescent="0.25">
      <c r="B7" s="3"/>
      <c r="C7" s="33" t="s">
        <v>380</v>
      </c>
      <c r="D7" s="34"/>
    </row>
    <row r="8" spans="2:12" ht="20.25" customHeight="1" x14ac:dyDescent="0.25">
      <c r="B8" s="3"/>
      <c r="C8" s="33" t="s">
        <v>505</v>
      </c>
      <c r="D8" s="34" t="s">
        <v>508</v>
      </c>
    </row>
    <row r="9" spans="2:12" ht="20.25" customHeight="1" x14ac:dyDescent="0.25">
      <c r="B9" s="3"/>
      <c r="C9" s="33"/>
      <c r="D9" s="34"/>
      <c r="F9" t="s">
        <v>509</v>
      </c>
      <c r="K9" s="55" t="s">
        <v>326</v>
      </c>
      <c r="L9" s="114" t="s">
        <v>377</v>
      </c>
    </row>
    <row r="10" spans="2:12" ht="20.25" customHeight="1" x14ac:dyDescent="0.25">
      <c r="B10" s="3"/>
      <c r="C10" s="33"/>
      <c r="D10" s="116"/>
      <c r="E10" s="116"/>
      <c r="F10" s="116"/>
      <c r="H10" t="s">
        <v>510</v>
      </c>
      <c r="K10" s="3" t="s">
        <v>332</v>
      </c>
      <c r="L10" s="7" t="s">
        <v>331</v>
      </c>
    </row>
    <row r="11" spans="2:12" ht="19.7" customHeight="1" x14ac:dyDescent="0.25">
      <c r="C11" s="33"/>
      <c r="D11" s="34"/>
      <c r="K11" s="3" t="s">
        <v>397</v>
      </c>
      <c r="L11" s="7" t="s">
        <v>324</v>
      </c>
    </row>
    <row r="12" spans="2:12" ht="18" customHeight="1" x14ac:dyDescent="0.25">
      <c r="B12" s="3"/>
      <c r="C12" s="33"/>
      <c r="D12" s="34"/>
      <c r="K12" s="3" t="s">
        <v>588</v>
      </c>
      <c r="L12" s="7" t="s">
        <v>324</v>
      </c>
    </row>
    <row r="13" spans="2:12" ht="18" customHeight="1" x14ac:dyDescent="0.25">
      <c r="B13" s="3"/>
      <c r="C13" s="33"/>
      <c r="D13" s="34"/>
      <c r="K13" s="3" t="s">
        <v>334</v>
      </c>
      <c r="L13" s="7" t="s">
        <v>322</v>
      </c>
    </row>
    <row r="14" spans="2:12" ht="18" customHeight="1" x14ac:dyDescent="0.25">
      <c r="B14" s="3" t="s">
        <v>511</v>
      </c>
      <c r="C14" s="33"/>
      <c r="D14" s="34"/>
      <c r="K14" s="3" t="s">
        <v>330</v>
      </c>
      <c r="L14" s="7" t="s">
        <v>322</v>
      </c>
    </row>
    <row r="15" spans="2:12" ht="18" customHeight="1" x14ac:dyDescent="0.25">
      <c r="B15" s="3" t="s">
        <v>506</v>
      </c>
      <c r="C15" s="3"/>
      <c r="D15" s="3" t="s">
        <v>507</v>
      </c>
      <c r="E15" s="3"/>
      <c r="F15" s="3" t="s">
        <v>179</v>
      </c>
      <c r="K15" s="3" t="s">
        <v>323</v>
      </c>
      <c r="L15" s="7" t="s">
        <v>322</v>
      </c>
    </row>
    <row r="16" spans="2:12" ht="18" customHeight="1" x14ac:dyDescent="0.25">
      <c r="B16" t="s">
        <v>160</v>
      </c>
      <c r="D16" t="s">
        <v>161</v>
      </c>
      <c r="F16" t="s">
        <v>401</v>
      </c>
      <c r="H16" t="s">
        <v>371</v>
      </c>
      <c r="K16" s="3" t="s">
        <v>376</v>
      </c>
      <c r="L16" s="7" t="s">
        <v>322</v>
      </c>
    </row>
    <row r="17" spans="2:12" ht="18" customHeight="1" x14ac:dyDescent="0.25">
      <c r="B17" t="s">
        <v>0</v>
      </c>
      <c r="D17" t="s">
        <v>0</v>
      </c>
      <c r="F17" t="s">
        <v>0</v>
      </c>
      <c r="H17" t="s">
        <v>0</v>
      </c>
      <c r="K17" s="3" t="s">
        <v>368</v>
      </c>
      <c r="L17" s="7" t="s">
        <v>322</v>
      </c>
    </row>
    <row r="18" spans="2:12" ht="18" customHeight="1" x14ac:dyDescent="0.25">
      <c r="B18" s="24"/>
      <c r="D18" s="24"/>
      <c r="F18" s="24"/>
      <c r="H18" s="24"/>
      <c r="K18" s="3" t="s">
        <v>375</v>
      </c>
      <c r="L18" s="7" t="s">
        <v>321</v>
      </c>
    </row>
    <row r="19" spans="2:12" ht="18" customHeight="1" x14ac:dyDescent="0.25">
      <c r="K19" s="3" t="s">
        <v>367</v>
      </c>
      <c r="L19" s="7" t="s">
        <v>321</v>
      </c>
    </row>
    <row r="20" spans="2:12" ht="18" customHeight="1" x14ac:dyDescent="0.25">
      <c r="K20" s="3" t="s">
        <v>333</v>
      </c>
      <c r="L20" s="7" t="s">
        <v>321</v>
      </c>
    </row>
    <row r="21" spans="2:12" ht="18" customHeight="1" x14ac:dyDescent="0.25">
      <c r="K21" s="3" t="s">
        <v>346</v>
      </c>
      <c r="L21" s="7" t="s">
        <v>495</v>
      </c>
    </row>
    <row r="22" spans="2:12" ht="18" customHeight="1" x14ac:dyDescent="0.25">
      <c r="K22" s="3" t="s">
        <v>341</v>
      </c>
      <c r="L22" s="7" t="s">
        <v>340</v>
      </c>
    </row>
    <row r="23" spans="2:12" ht="18" customHeight="1" x14ac:dyDescent="0.25">
      <c r="K23" s="3" t="s">
        <v>328</v>
      </c>
      <c r="L23" s="7" t="s">
        <v>329</v>
      </c>
    </row>
    <row r="24" spans="2:12" ht="18" customHeight="1" x14ac:dyDescent="0.25">
      <c r="K24" s="3" t="s">
        <v>349</v>
      </c>
      <c r="L24" s="7" t="s">
        <v>11</v>
      </c>
    </row>
    <row r="25" spans="2:12" ht="18" customHeight="1" x14ac:dyDescent="0.25">
      <c r="K25" s="3" t="s">
        <v>398</v>
      </c>
      <c r="L25" s="7" t="s">
        <v>396</v>
      </c>
    </row>
    <row r="26" spans="2:12" ht="18" customHeight="1" x14ac:dyDescent="0.25">
      <c r="C26" s="39"/>
      <c r="K26" s="3" t="s">
        <v>338</v>
      </c>
      <c r="L26" s="7" t="s">
        <v>339</v>
      </c>
    </row>
    <row r="27" spans="2:12" ht="18" customHeight="1" x14ac:dyDescent="0.25">
      <c r="K27" s="3" t="s">
        <v>337</v>
      </c>
      <c r="L27" s="7" t="s">
        <v>498</v>
      </c>
    </row>
    <row r="28" spans="2:12" ht="18" customHeight="1" x14ac:dyDescent="0.25">
      <c r="K28" s="3" t="s">
        <v>336</v>
      </c>
      <c r="L28" s="7" t="s">
        <v>498</v>
      </c>
    </row>
    <row r="29" spans="2:12" ht="18" customHeight="1" x14ac:dyDescent="0.25">
      <c r="K29" s="3" t="s">
        <v>327</v>
      </c>
      <c r="L29" s="7" t="s">
        <v>496</v>
      </c>
    </row>
    <row r="30" spans="2:12" ht="18" customHeight="1" x14ac:dyDescent="0.25">
      <c r="K30" s="3" t="s">
        <v>369</v>
      </c>
      <c r="L30" s="7" t="s">
        <v>497</v>
      </c>
    </row>
    <row r="31" spans="2:12" ht="18" customHeight="1" x14ac:dyDescent="0.25"/>
  </sheetData>
  <dataValidations count="1">
    <dataValidation type="list" allowBlank="1" showInputMessage="1" showErrorMessage="1" sqref="B16 D16 F16 H16">
      <formula1>INDIRECT("AvailableTemplates[Available templates:]")</formula1>
    </dataValidation>
  </dataValidations>
  <hyperlinks>
    <hyperlink ref="L13" location="ckCoding!I1" tooltip="Highlighed when total &lt; 100%" display="ckCoding"/>
    <hyperlink ref="L26" location="ProjText!A1" tooltip="see step 5 above-left; Makes a bookmarked pdf with these documents.  Not only good for quoting while writing RAs, but also to review/search during a panel, or for bulk DD concur." display="pdf from ProjText"/>
    <hyperlink ref="L10" location="RAData!T1" tooltip="Text in RAps_note is added to RA drafts after signature without modifying the template" display="RAData, or edit template"/>
    <hyperlink ref="L29" location="RAData!R1" tooltip="to change all, set above and 'Pull Data'; set individually in RAdata, or leave blank for Word to fill in." display="above, or RAData"/>
    <hyperlink ref="L23" location="ckSplits!AM1" tooltip="Feel free to edit pivot table" display="Pivot table on ckSplits"/>
    <hyperlink ref="L21" location="Budgets!L1" tooltip="Latest budget revisions shown" display="Budgets"/>
    <hyperlink ref="L27" location="Prefs!H18:H30" tooltip="See Prefs #2." display="Prefs"/>
    <hyperlink ref="L30" location="dirRAoutput" tooltip="Pick a folder on your R drive for archiving, your local drive to work while offline, or a shared drive to share with others." display="above or Advanced"/>
    <hyperlink ref="L28" location="Prefs!J30" tooltip="Add/remove state abbreviations here" display="Prefs"/>
    <hyperlink ref="L24" location="PRCs!A1" tooltip="Shows only those in use by projects" display="PRCs"/>
    <hyperlink ref="L19" location="ckAwd!AT1" tooltip="Shows question marks except those after a letter &amp; before a space.  Non-lead abstracts highlighted if they differ from lead." display="ckAwd"/>
    <hyperlink ref="L20" location="ckAwd!AE1" tooltip="See countries from cover and total frgn_trav bugdet" display="ckAwd"/>
    <hyperlink ref="L18" location="ckAwd!Z1" tooltip="Information from the cover pages." display="ckAwd"/>
    <hyperlink ref="L12" location="RAData!X1" tooltip="Links create outlook email to just the project lead, or to all PIs &amp; co-PIs on project." display="RAData"/>
    <hyperlink ref="L22" location="ckSplits!A1" tooltip="Mostly for IAS use; compare budget and proposal codes &amp; PRCs." display="ckSplits"/>
    <hyperlink ref="L14" location="ckCoding!M1" tooltip="Highlights state when epscor code is wrong and WMD when cover has women, minority, or disabled. " display="ckCoding"/>
    <hyperlink ref="L15" location="ckCoding!C1" tooltip="Highlights mismatches (coding, title, ...) throughout tab" display="ckCoding"/>
    <hyperlink ref="L17" location="ckCoding!AE1" tooltip="Black numbers (of panels, conflicts, reviews, unreleasable) are information.  Red numbers (unreleased, released conflicts, received reviews marked pending) should be checked out." display="ckCoding"/>
    <hyperlink ref="L16" location="ckCoding!C1" tooltip="Highlights when there aren't at least three releasable reviews." display="ckCoding"/>
    <hyperlink ref="L25" location="Conflict!A1" tooltip="You'll want to check the affiliations for reviewers that have registered conflicts, because they may be out of date in PARS." display="Conflict"/>
    <hyperlink ref="L11"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9525</xdr:colOff>
                    <xdr:row>6</xdr:row>
                    <xdr:rowOff>47625</xdr:rowOff>
                  </from>
                  <to>
                    <xdr:col>6</xdr:col>
                    <xdr:colOff>247650</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381000</xdr:colOff>
                    <xdr:row>12</xdr:row>
                    <xdr:rowOff>28575</xdr:rowOff>
                  </from>
                  <to>
                    <xdr:col>3</xdr:col>
                    <xdr:colOff>314325</xdr:colOff>
                    <xdr:row>13</xdr:row>
                    <xdr:rowOff>19050</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542925</xdr:colOff>
                    <xdr:row>4</xdr:row>
                    <xdr:rowOff>9525</xdr:rowOff>
                  </from>
                  <to>
                    <xdr:col>2</xdr:col>
                    <xdr:colOff>361950</xdr:colOff>
                    <xdr:row>4</xdr:row>
                    <xdr:rowOff>219075</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Normal="100" workbookViewId="0">
      <selection activeCell="A4" sqref="A4"/>
    </sheetView>
  </sheetViews>
  <sheetFormatPr defaultRowHeight="15" x14ac:dyDescent="0.25"/>
  <cols>
    <col min="1" max="1" width="8.7109375" style="16" customWidth="1"/>
    <col min="2" max="2" width="8.7109375" style="29" customWidth="1"/>
    <col min="3" max="3" width="11.28515625" customWidth="1"/>
    <col min="4" max="4" width="9.85546875" customWidth="1"/>
    <col min="5" max="5" width="5.42578125" customWidth="1"/>
    <col min="6" max="6" width="5.7109375" style="17" customWidth="1"/>
    <col min="7" max="7" width="5.5703125" style="17" customWidth="1"/>
    <col min="8" max="8" width="5.28515625" style="20" customWidth="1"/>
    <col min="9" max="9" width="5.7109375" customWidth="1"/>
    <col min="10" max="10" width="5.140625" customWidth="1"/>
    <col min="11" max="11" width="11.5703125" customWidth="1"/>
    <col min="12" max="12" width="9.28515625" hidden="1" customWidth="1"/>
    <col min="13" max="13" width="4.28515625" customWidth="1"/>
    <col min="14" max="14" width="3.85546875" customWidth="1"/>
    <col min="15" max="15" width="5.5703125" hidden="1" customWidth="1"/>
    <col min="16" max="16" width="6.5703125" style="20" hidden="1" customWidth="1"/>
    <col min="17" max="17" width="14.140625" customWidth="1"/>
    <col min="18" max="18" width="14.28515625" style="21" customWidth="1"/>
    <col min="19" max="19" width="4.140625" style="101" customWidth="1"/>
    <col min="20" max="20" width="2.140625" style="84" customWidth="1"/>
    <col min="21" max="21" width="8.140625" style="35" customWidth="1"/>
    <col min="22" max="22" width="2.7109375" style="35" customWidth="1"/>
    <col min="23" max="23" width="3.7109375" customWidth="1"/>
    <col min="24" max="24" width="8.140625" customWidth="1"/>
    <col min="25" max="25" width="11.140625" customWidth="1"/>
    <col min="26" max="26" width="9.5703125" style="16" customWidth="1"/>
    <col min="27" max="27" width="18.42578125" customWidth="1"/>
    <col min="28" max="28" width="8.140625" style="102" customWidth="1"/>
    <col min="29" max="29" width="8.7109375" style="29" customWidth="1"/>
    <col min="30" max="30" width="3.5703125" style="17" customWidth="1"/>
    <col min="31" max="33" width="2.140625" customWidth="1"/>
    <col min="34" max="34" width="24.42578125" customWidth="1"/>
    <col min="35" max="35" width="4.5703125" customWidth="1"/>
    <col min="36" max="36" width="14.42578125" style="25" customWidth="1"/>
    <col min="37" max="37" width="2.140625" style="20" customWidth="1"/>
    <col min="38" max="44" width="2.85546875" customWidth="1"/>
    <col min="45" max="45" width="23" customWidth="1"/>
    <col min="46" max="46" width="80.5703125" bestFit="1" customWidth="1"/>
    <col min="47" max="47" width="7.85546875" hidden="1" customWidth="1"/>
    <col min="48" max="48" width="11.7109375" customWidth="1"/>
    <col min="49" max="52" width="4.28515625" customWidth="1"/>
    <col min="53" max="53" width="18.28515625" customWidth="1"/>
  </cols>
  <sheetData>
    <row r="1" spans="1:53" ht="53.1" customHeight="1" x14ac:dyDescent="0.25">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25">
      <c r="A2" s="29"/>
      <c r="F2"/>
      <c r="G2"/>
      <c r="I2" s="80"/>
      <c r="J2" s="80"/>
      <c r="T2" s="20"/>
      <c r="U2"/>
      <c r="V2" s="7"/>
      <c r="Z2"/>
      <c r="AB2" s="104"/>
      <c r="AD2"/>
      <c r="AG2" s="105"/>
      <c r="AI2" s="25"/>
      <c r="AJ2" s="21"/>
      <c r="AN2" s="105"/>
      <c r="AO2" s="105"/>
      <c r="AP2" s="105"/>
      <c r="AQ2" s="105"/>
      <c r="AR2" s="7"/>
      <c r="AV2" s="12"/>
    </row>
  </sheetData>
  <conditionalFormatting sqref="A2:BA2">
    <cfRule type="expression" dxfId="246" priority="6">
      <formula>MOD($S2,2)</formula>
    </cfRule>
  </conditionalFormatting>
  <conditionalFormatting sqref="AL2:AM2">
    <cfRule type="expression" dxfId="245" priority="5">
      <formula>AND($T2&lt;"M",$AL2&lt;$AM2+3)</formula>
    </cfRule>
  </conditionalFormatting>
  <conditionalFormatting sqref="C2:L2">
    <cfRule type="expression" dxfId="244" priority="4">
      <formula>AND($T2="N", C2&lt;&gt;C1)</formula>
    </cfRule>
  </conditionalFormatting>
  <conditionalFormatting sqref="AT2">
    <cfRule type="expression" dxfId="243" priority="3">
      <formula>$AU2</formula>
    </cfRule>
  </conditionalFormatting>
  <conditionalFormatting sqref="I2:J2">
    <cfRule type="expression" dxfId="242" priority="2">
      <formula>($J2+$I2)&lt;&gt;1</formula>
    </cfRule>
  </conditionalFormatting>
  <conditionalFormatting sqref="M2:N2">
    <cfRule type="expression" dxfId="241"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D2"/>
  <sheetViews>
    <sheetView zoomScaleNormal="100" workbookViewId="0">
      <selection activeCell="A3" sqref="A3"/>
    </sheetView>
  </sheetViews>
  <sheetFormatPr defaultRowHeight="15" customHeight="1" x14ac:dyDescent="0.25"/>
  <cols>
    <col min="1" max="1" width="8.7109375" style="29" customWidth="1"/>
    <col min="2" max="2" width="8.5703125" customWidth="1"/>
    <col min="3" max="3" width="10.42578125" customWidth="1"/>
    <col min="4" max="4" width="8.85546875" customWidth="1"/>
    <col min="5" max="5" width="5.5703125" customWidth="1"/>
    <col min="6" max="6" width="7.7109375" style="29" customWidth="1"/>
    <col min="7" max="8" width="5.85546875" style="29" customWidth="1"/>
    <col min="9" max="9" width="5.85546875" style="20" customWidth="1"/>
    <col min="10" max="10" width="5.28515625" style="29" customWidth="1"/>
    <col min="11" max="11" width="8.5703125" customWidth="1"/>
    <col min="12" max="12" width="14.28515625" customWidth="1"/>
    <col min="13" max="13" width="4.42578125" style="102" customWidth="1"/>
    <col min="14" max="14" width="1.85546875" customWidth="1"/>
    <col min="15" max="15" width="8.42578125" style="21" customWidth="1"/>
    <col min="16" max="16" width="2.85546875" style="35" customWidth="1"/>
    <col min="17" max="17" width="3.5703125" style="35" customWidth="1"/>
    <col min="18" max="18" width="8.42578125" style="35" customWidth="1"/>
    <col min="19" max="19" width="10.85546875" customWidth="1"/>
    <col min="20" max="20" width="10.28515625" customWidth="1"/>
    <col min="21" max="21" width="13.7109375" customWidth="1"/>
    <col min="22" max="22" width="3.7109375" style="29" customWidth="1"/>
    <col min="23" max="23" width="9.5703125" style="102" customWidth="1"/>
    <col min="24" max="24" width="9.28515625" style="29"/>
    <col min="25" max="25" width="4.28515625" style="29" customWidth="1"/>
    <col min="26" max="26" width="9" customWidth="1"/>
    <col min="27" max="27" width="10" customWidth="1"/>
    <col min="28" max="28" width="8.85546875" style="76" customWidth="1"/>
    <col min="29" max="30" width="8.85546875" style="20" customWidth="1"/>
    <col min="31" max="31" width="17.42578125" style="20" customWidth="1"/>
    <col min="32" max="32" width="7.5703125" customWidth="1"/>
    <col min="33" max="33" width="11.7109375" customWidth="1"/>
    <col min="34" max="34" width="3.5703125" style="111" customWidth="1"/>
    <col min="35" max="41" width="10.7109375" customWidth="1"/>
    <col min="42" max="42" width="11.42578125" style="212" customWidth="1"/>
    <col min="43" max="44" width="10.42578125" style="1" customWidth="1"/>
    <col min="45" max="47" width="4.85546875" style="1" customWidth="1"/>
    <col min="48" max="49" width="4.85546875" style="76" customWidth="1"/>
    <col min="50" max="50" width="22.140625" style="111" customWidth="1"/>
    <col min="51" max="51" width="3.5703125" customWidth="1"/>
    <col min="52" max="52" width="18.5703125" customWidth="1"/>
    <col min="53" max="53" width="5.28515625" style="28" customWidth="1"/>
    <col min="54" max="54" width="90" customWidth="1"/>
    <col min="55" max="55" width="7.28515625" hidden="1" customWidth="1"/>
    <col min="56" max="56" width="29.42578125" hidden="1" customWidth="1"/>
  </cols>
  <sheetData>
    <row r="1" spans="1:56" ht="37.700000000000003" customHeight="1" x14ac:dyDescent="0.25">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477</v>
      </c>
      <c r="AK1" s="1" t="s">
        <v>478</v>
      </c>
      <c r="AL1" s="1" t="s">
        <v>479</v>
      </c>
      <c r="AM1" s="1" t="s">
        <v>480</v>
      </c>
      <c r="AN1" s="1" t="s">
        <v>481</v>
      </c>
      <c r="AO1" s="1" t="s">
        <v>482</v>
      </c>
      <c r="AP1" s="211" t="s">
        <v>247</v>
      </c>
      <c r="AQ1" s="1" t="s">
        <v>249</v>
      </c>
      <c r="AR1" s="1" t="s">
        <v>250</v>
      </c>
      <c r="AS1" s="20" t="s">
        <v>251</v>
      </c>
      <c r="AT1" s="20" t="s">
        <v>252</v>
      </c>
      <c r="AU1" s="20" t="s">
        <v>253</v>
      </c>
      <c r="AV1" s="20" t="s">
        <v>254</v>
      </c>
      <c r="AW1" s="20" t="s">
        <v>255</v>
      </c>
      <c r="AX1" s="111" t="s">
        <v>159</v>
      </c>
      <c r="AY1" s="20" t="s">
        <v>301</v>
      </c>
      <c r="AZ1" s="20" t="s">
        <v>325</v>
      </c>
      <c r="BA1" s="28" t="s">
        <v>128</v>
      </c>
      <c r="BB1" t="s">
        <v>34</v>
      </c>
      <c r="BC1" t="s">
        <v>316</v>
      </c>
      <c r="BD1" t="s">
        <v>139</v>
      </c>
    </row>
    <row r="2" spans="1:56" ht="15" customHeight="1" x14ac:dyDescent="0.25">
      <c r="B2" s="29"/>
      <c r="F2"/>
      <c r="G2" s="8"/>
      <c r="H2" s="8"/>
      <c r="J2"/>
      <c r="L2" s="21"/>
      <c r="O2"/>
      <c r="P2" s="14"/>
      <c r="Q2" s="8"/>
      <c r="R2"/>
      <c r="U2" s="8"/>
      <c r="V2"/>
      <c r="W2" s="106"/>
      <c r="Y2"/>
      <c r="AA2" s="20"/>
      <c r="AB2" s="20"/>
      <c r="AC2"/>
      <c r="AF2" s="1"/>
      <c r="AG2" s="12"/>
      <c r="AH2" s="110"/>
      <c r="AI2" s="1"/>
      <c r="AJ2" s="1"/>
      <c r="AK2" s="1"/>
      <c r="AL2" s="1"/>
      <c r="AM2" s="1"/>
      <c r="AN2" s="1"/>
      <c r="AO2" s="1"/>
      <c r="AP2" s="211"/>
      <c r="AS2" s="20"/>
      <c r="AT2" s="20"/>
      <c r="AU2" s="20"/>
      <c r="AV2" s="20"/>
      <c r="AW2" s="20"/>
      <c r="AX2" s="112"/>
      <c r="AY2" s="20"/>
      <c r="AZ2" s="20"/>
      <c r="BA2" s="113"/>
      <c r="BD2" s="8"/>
    </row>
  </sheetData>
  <conditionalFormatting sqref="A2:BD2">
    <cfRule type="expression" dxfId="220" priority="4">
      <formula>MOD($M2,2)</formula>
    </cfRule>
  </conditionalFormatting>
  <conditionalFormatting sqref="C2:K2">
    <cfRule type="expression" dxfId="219" priority="3">
      <formula>AND($N2="N",C2&lt;&gt;C1)</formula>
    </cfRule>
  </conditionalFormatting>
  <conditionalFormatting sqref="X2:AE2">
    <cfRule type="expression" dxfId="218" priority="2">
      <formula>AND($N2="N",TRIM(X2)&lt;&gt;TRIM(X1))</formula>
    </cfRule>
  </conditionalFormatting>
  <conditionalFormatting sqref="BB2">
    <cfRule type="expression" dxfId="217" priority="1">
      <formula>$BC2</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I5" sqref="I5"/>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29" customWidth="1"/>
    <col min="8" max="8" width="5.85546875" customWidth="1"/>
    <col min="9" max="9" width="6.7109375" customWidth="1"/>
    <col min="10" max="10" width="5.85546875" hidden="1" customWidth="1"/>
    <col min="11" max="11" width="8.42578125" customWidth="1"/>
    <col min="12" max="12" width="8.7109375" customWidth="1"/>
    <col min="13" max="13" width="7.85546875" customWidth="1"/>
    <col min="14" max="14" width="7.28515625" customWidth="1"/>
    <col min="15" max="15" width="4.7109375" customWidth="1"/>
    <col min="16" max="16" width="3.28515625" customWidth="1"/>
    <col min="17" max="17" width="2.42578125" customWidth="1"/>
    <col min="18" max="18" width="10.28515625" style="12" customWidth="1"/>
    <col min="19" max="20" width="10.28515625" customWidth="1"/>
    <col min="21" max="21" width="10.5703125" customWidth="1"/>
    <col min="22" max="22" width="3.7109375" customWidth="1"/>
    <col min="23" max="23" width="3.7109375" style="6" customWidth="1"/>
    <col min="24" max="24" width="4.28515625" customWidth="1"/>
    <col min="25" max="25" width="11.140625" customWidth="1"/>
    <col min="26" max="26" width="9.140625" customWidth="1"/>
    <col min="27" max="27" width="6.140625" customWidth="1"/>
    <col min="28" max="28" width="6.42578125" customWidth="1"/>
    <col min="29" max="29" width="19.5703125" customWidth="1"/>
  </cols>
  <sheetData>
    <row r="1" spans="1:29" x14ac:dyDescent="0.25">
      <c r="A1" s="6" t="s">
        <v>125</v>
      </c>
      <c r="P1" s="3"/>
    </row>
    <row r="2" spans="1:29" s="93" customFormat="1" x14ac:dyDescent="0.25">
      <c r="A2" s="92"/>
      <c r="F2" s="94" t="s">
        <v>13</v>
      </c>
      <c r="G2" s="94"/>
      <c r="I2" s="95"/>
      <c r="K2" s="95" t="s">
        <v>12</v>
      </c>
      <c r="L2" s="93">
        <f ca="1">YEAR(NOW())+(MONTH(NOW())&gt;9)-2000</f>
        <v>18</v>
      </c>
      <c r="P2" s="94" t="s">
        <v>123</v>
      </c>
      <c r="Q2" s="94"/>
      <c r="R2" s="96"/>
      <c r="T2" s="93" t="s">
        <v>124</v>
      </c>
      <c r="X2" s="93" t="s">
        <v>335</v>
      </c>
    </row>
    <row r="3" spans="1:29" ht="33" customHeight="1" x14ac:dyDescent="0.25">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25">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4:AC4">
    <cfRule type="expression" dxfId="177" priority="1689">
      <formula>MOD($C4,2)</formula>
    </cfRule>
  </conditionalFormatting>
  <conditionalFormatting sqref="L4:AC4">
    <cfRule type="expression" dxfId="176" priority="1684">
      <formula>MOD($D4+1,2)</formula>
    </cfRule>
    <cfRule type="expression" dxfId="175" priority="1690">
      <formula>ISBLANK($W4)</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3"/>
  <sheetViews>
    <sheetView topLeftCell="I1" zoomScaleNormal="100" workbookViewId="0">
      <selection activeCell="AB24" sqref="AB24"/>
    </sheetView>
  </sheetViews>
  <sheetFormatPr defaultRowHeight="15" x14ac:dyDescent="0.25"/>
  <cols>
    <col min="1" max="1" width="8.42578125" customWidth="1"/>
    <col min="2" max="2" width="13.85546875" style="21" customWidth="1"/>
    <col min="3" max="3" width="11.42578125" style="21"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28515625" style="21" customWidth="1"/>
    <col min="12" max="12" width="3.28515625" customWidth="1"/>
    <col min="13" max="13" width="6" style="25" customWidth="1"/>
    <col min="14" max="16" width="4.140625" customWidth="1"/>
    <col min="17" max="17" width="19.42578125" style="28" customWidth="1"/>
    <col min="18" max="18" width="20.5703125" style="28" customWidth="1"/>
    <col min="19" max="19" width="8.85546875" style="28" customWidth="1"/>
    <col min="20" max="22" width="7.28515625" style="28" customWidth="1"/>
    <col min="23" max="23" width="5.42578125" style="28" customWidth="1"/>
    <col min="24" max="24" width="2.85546875" style="20" customWidth="1"/>
    <col min="25" max="25" width="7.28515625" style="20" customWidth="1"/>
    <col min="26" max="26" width="5.42578125" style="20" customWidth="1"/>
    <col min="27" max="27" width="5.28515625" customWidth="1"/>
    <col min="28" max="28" width="7.85546875" bestFit="1" customWidth="1"/>
    <col min="29" max="30" width="3.5703125" customWidth="1"/>
    <col min="31" max="31" width="3.5703125" style="20" customWidth="1"/>
    <col min="32" max="32" width="2.42578125" style="20" customWidth="1"/>
    <col min="33" max="33" width="3.28515625" style="25" customWidth="1"/>
    <col min="34" max="34" width="4.42578125" customWidth="1"/>
    <col min="35" max="35" width="3.42578125" customWidth="1"/>
    <col min="36" max="36" width="13.7109375" style="29" customWidth="1"/>
    <col min="37" max="37" width="5.42578125" style="29" customWidth="1"/>
    <col min="38" max="38" width="9.28515625" customWidth="1"/>
    <col min="39" max="40" width="12.7109375" style="12" customWidth="1"/>
    <col min="41" max="41" width="4.5703125" style="5" customWidth="1"/>
    <col min="42" max="42" width="9.28515625" customWidth="1"/>
    <col min="43" max="43" width="4.42578125" style="20" customWidth="1"/>
    <col min="44" max="44" width="72" style="20" bestFit="1" customWidth="1"/>
    <col min="45" max="45" width="3.28515625" customWidth="1"/>
    <col min="46" max="46" width="7.7109375" customWidth="1"/>
    <col min="47" max="47" width="8.7109375" style="25" bestFit="1" customWidth="1"/>
    <col min="48" max="48" width="9.140625" customWidth="1"/>
    <col min="49" max="49" width="13.42578125" style="20" customWidth="1"/>
    <col min="50" max="50" width="4.140625" style="20" customWidth="1"/>
    <col min="51" max="51" width="17.5703125" style="20" customWidth="1"/>
    <col min="52" max="52" width="8.7109375" style="25" customWidth="1"/>
    <col min="53" max="53" width="11.5703125" style="20" customWidth="1"/>
    <col min="54" max="54" width="34.140625" style="20" customWidth="1"/>
    <col min="55" max="55" width="4.42578125" style="20" customWidth="1"/>
    <col min="56" max="56" width="3.5703125" style="20" customWidth="1"/>
    <col min="57" max="60" width="2.85546875" style="20" customWidth="1"/>
    <col min="61" max="61" width="2.85546875" customWidth="1"/>
    <col min="62" max="69" width="2.85546875" style="20" customWidth="1"/>
    <col min="70" max="70" width="2.85546875" style="26" customWidth="1"/>
    <col min="71" max="74" width="2.85546875" style="20" customWidth="1"/>
    <col min="75" max="75" width="10.5703125" bestFit="1" customWidth="1"/>
    <col min="76" max="76" width="14.42578125" style="20" customWidth="1"/>
    <col min="77" max="77" width="11.42578125" style="20" customWidth="1"/>
    <col min="78" max="78" width="24.5703125" style="20" bestFit="1" customWidth="1"/>
    <col min="79" max="79" width="12" bestFit="1" customWidth="1"/>
    <col min="80" max="80" width="12" customWidth="1"/>
    <col min="81" max="81" width="18.42578125" customWidth="1"/>
    <col min="82" max="85" width="2.7109375" style="20" customWidth="1"/>
    <col min="86" max="88" width="2.7109375" customWidth="1"/>
    <col min="89" max="92" width="2.7109375" style="20" customWidth="1"/>
    <col min="93" max="95" width="2.7109375" customWidth="1"/>
    <col min="96" max="99" width="2.7109375" style="20" customWidth="1"/>
    <col min="100" max="102" width="2.7109375" customWidth="1"/>
    <col min="103" max="106" width="2.7109375" style="20" customWidth="1"/>
    <col min="107" max="109" width="2.7109375" customWidth="1"/>
    <col min="110" max="113" width="2.7109375" style="20" customWidth="1"/>
    <col min="114" max="116" width="2.7109375" customWidth="1"/>
    <col min="117" max="120" width="2.7109375" style="20" customWidth="1"/>
    <col min="121" max="123" width="2.7109375" customWidth="1"/>
    <col min="124" max="124" width="36.5703125" customWidth="1"/>
    <col min="125" max="125" width="45.7109375" customWidth="1"/>
    <col min="126" max="126" width="27.140625" customWidth="1"/>
    <col min="127" max="127" width="15.28515625" customWidth="1"/>
    <col min="128" max="128" width="30" bestFit="1" customWidth="1"/>
    <col min="129" max="129" width="11.7109375" customWidth="1"/>
    <col min="130" max="130" width="5.42578125" bestFit="1" customWidth="1"/>
    <col min="131" max="131" width="35.140625" customWidth="1"/>
    <col min="132" max="132" width="13.42578125" style="21" bestFit="1" customWidth="1"/>
    <col min="133" max="133" width="29.28515625" hidden="1" customWidth="1"/>
    <col min="134" max="134" width="72" hidden="1" customWidth="1"/>
    <col min="135" max="137" width="72" customWidth="1"/>
  </cols>
  <sheetData>
    <row r="1" spans="1:137" ht="41.65" customHeight="1" x14ac:dyDescent="0.25">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546</v>
      </c>
      <c r="R1" s="86" t="s">
        <v>523</v>
      </c>
      <c r="S1" s="86" t="s">
        <v>136</v>
      </c>
      <c r="T1" s="86" t="s">
        <v>344</v>
      </c>
      <c r="U1" s="86" t="s">
        <v>135</v>
      </c>
      <c r="V1" s="86" t="s">
        <v>317</v>
      </c>
      <c r="W1" s="86" t="s">
        <v>494</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522</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391</v>
      </c>
      <c r="EF1" t="s">
        <v>392</v>
      </c>
      <c r="EG1" t="s">
        <v>393</v>
      </c>
    </row>
    <row r="2" spans="1:137" hidden="1" x14ac:dyDescent="0.25">
      <c r="A2" s="29">
        <v>36526</v>
      </c>
      <c r="B2" s="21">
        <v>36526</v>
      </c>
      <c r="C2" s="21" t="s">
        <v>554</v>
      </c>
      <c r="D2" s="29" t="s">
        <v>555</v>
      </c>
      <c r="E2" s="29" t="s">
        <v>556</v>
      </c>
      <c r="F2" s="29" t="s">
        <v>557</v>
      </c>
      <c r="G2" s="29" t="s">
        <v>558</v>
      </c>
      <c r="H2" t="s">
        <v>559</v>
      </c>
      <c r="I2" t="s">
        <v>560</v>
      </c>
      <c r="J2" t="s">
        <v>561</v>
      </c>
      <c r="K2" s="21">
        <v>36526</v>
      </c>
      <c r="L2">
        <v>0</v>
      </c>
      <c r="M2" s="25">
        <v>-0.99999998999999995</v>
      </c>
      <c r="N2" t="s">
        <v>562</v>
      </c>
      <c r="O2" t="s">
        <v>562</v>
      </c>
      <c r="P2" t="s">
        <v>562</v>
      </c>
      <c r="Q2" s="28" t="s">
        <v>563</v>
      </c>
      <c r="R2" s="28" t="str">
        <f>IFERROR(MID(RADataQTable[[#This Row],[RAtemplate]],1,LEN(RADataQTable[[#This Row],[RAtemplate]])-8),"RA") &amp; " " &amp; RADataQTable[[#This Row],[prop_id0]] &amp; " " &amp; RADataQTable[[#This Row],[last0]]</f>
        <v>zztemplateFname  1234567 PI last name for format.</v>
      </c>
      <c r="U2" s="20" t="str">
        <f>IF(signer1="PD",IF(ISBLANK(RADataQTable[[#This Row],[sign_blck_name]]),"",RADataQTable[[#This Row],[sign_blck_name]]),IF(ISBLANK(signer1),"",signer1))</f>
        <v>Name for PO signature</v>
      </c>
      <c r="V2" s="28" t="str">
        <f>signer2</f>
        <v>Cognizant Program Director</v>
      </c>
      <c r="W2" s="21" t="str">
        <f ca="1">"FY" &amp; (YEAR(NOW())+(MONTH(NOW())&gt;8)-2000)</f>
        <v>FY18</v>
      </c>
      <c r="X2" s="14" t="str">
        <f>HYPERLINK("https://www.ejacket.nsf.gov/ej/showProposal.do?Continue=Y&amp;ID="&amp;RADataQTable[[#This Row],[prop_id0]],"eJ")</f>
        <v>eJ</v>
      </c>
      <c r="Y2" s="14" t="str">
        <f>HYPERLINK("mailto:"&amp;RADataQTable[[#This Row],[email]]&amp;"&amp;subject=Your NSF Proposal:  "&amp;RADataQTable[[#This Row],[Div]]&amp;" "&amp;RADataQTable[[#This Row],[prop_id0]], RADataQTable[[#This Row],[email]])</f>
        <v>Email of lead PI on the project</v>
      </c>
      <c r="Z2" s="14" t="str">
        <f>HYPERLINK("mailto:"&amp;RADataQTable[[#This Row],[allPIemail]]&amp;"&amp;subject=NSF Proposal:  "&amp;RADataQTable[[#This Row],[Div]]&amp;" "&amp;RADataQTable[[#This Row],[prop_id0]], "PIs@")</f>
        <v>PIs@</v>
      </c>
      <c r="AA2" t="s">
        <v>564</v>
      </c>
      <c r="AB2" t="s">
        <v>565</v>
      </c>
      <c r="AC2">
        <v>0</v>
      </c>
      <c r="AD2">
        <v>0</v>
      </c>
      <c r="AE2">
        <v>0</v>
      </c>
      <c r="AF2" t="str">
        <f>IF(RADataQTable[[#This Row],[maxScore]]-RADataQTable[[#This Row],[minScore]]&gt;4,"Y","")</f>
        <v>Y</v>
      </c>
      <c r="AG2" s="20">
        <v>1</v>
      </c>
      <c r="AH2" s="25">
        <v>4.5</v>
      </c>
      <c r="AI2">
        <v>9</v>
      </c>
      <c r="AJ2" t="s">
        <v>566</v>
      </c>
      <c r="AK2" t="b">
        <f>LEFT(RADataQTable[[#This Row],[allReviews]],1)="E"</f>
        <v>1</v>
      </c>
      <c r="AL2" s="29">
        <v>36526</v>
      </c>
      <c r="AM2" s="12">
        <v>99999999</v>
      </c>
      <c r="AN2" s="12">
        <v>99999999</v>
      </c>
      <c r="AO2">
        <v>0</v>
      </c>
      <c r="AP2" s="29">
        <v>36526</v>
      </c>
      <c r="AQ2" s="20">
        <v>36</v>
      </c>
      <c r="AR2" s="20" t="s">
        <v>567</v>
      </c>
      <c r="AS2">
        <v>0</v>
      </c>
      <c r="AT2" t="s">
        <v>568</v>
      </c>
      <c r="AU2" s="29">
        <v>36526</v>
      </c>
      <c r="AV2" t="s">
        <v>569</v>
      </c>
      <c r="AW2" s="20" t="s">
        <v>570</v>
      </c>
      <c r="AX2" s="20">
        <v>99</v>
      </c>
      <c r="AY2" s="20" t="s">
        <v>571</v>
      </c>
      <c r="AZ2" s="29">
        <v>36526</v>
      </c>
      <c r="BA2" s="20" t="s">
        <v>566</v>
      </c>
      <c r="BB2" s="20" t="s">
        <v>572</v>
      </c>
      <c r="BC2" s="20">
        <v>0</v>
      </c>
      <c r="BD2" s="20">
        <v>0</v>
      </c>
      <c r="BE2" s="20" t="s">
        <v>569</v>
      </c>
      <c r="BF2" s="20" t="s">
        <v>570</v>
      </c>
      <c r="BG2" s="20">
        <v>99</v>
      </c>
      <c r="BH2" s="20" t="s">
        <v>571</v>
      </c>
      <c r="BI2" s="29">
        <v>36526</v>
      </c>
      <c r="BJ2" s="20" t="s">
        <v>566</v>
      </c>
      <c r="BK2" s="20" t="s">
        <v>572</v>
      </c>
      <c r="BL2" s="20">
        <v>0</v>
      </c>
      <c r="BM2" s="20">
        <v>0</v>
      </c>
      <c r="BN2" s="20" t="s">
        <v>569</v>
      </c>
      <c r="BO2" s="20" t="s">
        <v>570</v>
      </c>
      <c r="BP2" s="20">
        <v>99</v>
      </c>
      <c r="BQ2" s="20" t="s">
        <v>571</v>
      </c>
      <c r="BR2" s="29">
        <v>36526</v>
      </c>
      <c r="BS2" s="20" t="s">
        <v>566</v>
      </c>
      <c r="BT2" s="20" t="s">
        <v>572</v>
      </c>
      <c r="BU2" s="20">
        <v>0</v>
      </c>
      <c r="BV2" s="20">
        <v>0</v>
      </c>
      <c r="BW2" t="s">
        <v>565</v>
      </c>
      <c r="BX2" s="20" t="s">
        <v>574</v>
      </c>
      <c r="BY2" s="20" t="s">
        <v>575</v>
      </c>
      <c r="BZ2" s="20" t="s">
        <v>576</v>
      </c>
      <c r="CA2" s="30">
        <v>99999999</v>
      </c>
      <c r="CB2" s="30">
        <v>99999999</v>
      </c>
      <c r="CC2" t="s">
        <v>577</v>
      </c>
      <c r="CD2" s="20" t="s">
        <v>565</v>
      </c>
      <c r="CE2" s="20" t="s">
        <v>574</v>
      </c>
      <c r="CF2" s="20" t="s">
        <v>575</v>
      </c>
      <c r="CG2" s="20" t="s">
        <v>576</v>
      </c>
      <c r="CH2" s="30">
        <v>99999999</v>
      </c>
      <c r="CI2" s="30">
        <v>99999999</v>
      </c>
      <c r="CJ2" t="s">
        <v>577</v>
      </c>
      <c r="CK2" s="20" t="s">
        <v>565</v>
      </c>
      <c r="CL2" s="20" t="s">
        <v>574</v>
      </c>
      <c r="CM2" s="20" t="s">
        <v>575</v>
      </c>
      <c r="CN2" s="20" t="s">
        <v>576</v>
      </c>
      <c r="CO2" s="30">
        <v>99999999</v>
      </c>
      <c r="CP2" s="30">
        <v>99999999</v>
      </c>
      <c r="CQ2" t="s">
        <v>577</v>
      </c>
      <c r="CR2" s="20" t="s">
        <v>565</v>
      </c>
      <c r="CS2" s="20" t="s">
        <v>574</v>
      </c>
      <c r="CT2" s="20" t="s">
        <v>575</v>
      </c>
      <c r="CU2" s="20" t="s">
        <v>576</v>
      </c>
      <c r="CV2" s="30">
        <v>99999999</v>
      </c>
      <c r="CW2" s="30">
        <v>99999999</v>
      </c>
      <c r="CX2" t="s">
        <v>577</v>
      </c>
      <c r="CY2" s="20" t="s">
        <v>565</v>
      </c>
      <c r="CZ2" s="20" t="s">
        <v>574</v>
      </c>
      <c r="DA2" s="20" t="s">
        <v>575</v>
      </c>
      <c r="DB2" s="20" t="s">
        <v>576</v>
      </c>
      <c r="DC2" s="30">
        <v>99999999</v>
      </c>
      <c r="DD2" s="30">
        <v>99999999</v>
      </c>
      <c r="DE2" t="s">
        <v>577</v>
      </c>
      <c r="DF2" s="20" t="s">
        <v>565</v>
      </c>
      <c r="DG2" s="20" t="s">
        <v>574</v>
      </c>
      <c r="DH2" s="20" t="s">
        <v>575</v>
      </c>
      <c r="DI2" s="20" t="s">
        <v>576</v>
      </c>
      <c r="DJ2" s="30">
        <v>99999999</v>
      </c>
      <c r="DK2" s="30">
        <v>99999999</v>
      </c>
      <c r="DL2" t="s">
        <v>577</v>
      </c>
      <c r="DM2" s="20" t="s">
        <v>565</v>
      </c>
      <c r="DN2" s="20" t="s">
        <v>574</v>
      </c>
      <c r="DO2" s="20" t="s">
        <v>575</v>
      </c>
      <c r="DP2" s="20" t="s">
        <v>576</v>
      </c>
      <c r="DQ2" s="30">
        <v>99999999</v>
      </c>
      <c r="DR2" s="30">
        <v>99999999</v>
      </c>
      <c r="DS2" t="s">
        <v>577</v>
      </c>
      <c r="DT2" t="s">
        <v>578</v>
      </c>
      <c r="DU2" t="s">
        <v>579</v>
      </c>
      <c r="DV2" t="s">
        <v>580</v>
      </c>
      <c r="DW2" s="28" t="s">
        <v>581</v>
      </c>
      <c r="DX2" t="s">
        <v>582</v>
      </c>
      <c r="DY2" t="s">
        <v>583</v>
      </c>
      <c r="DZ2" t="s">
        <v>584</v>
      </c>
      <c r="EA2" t="s">
        <v>585</v>
      </c>
      <c r="EB2" s="21">
        <v>36526</v>
      </c>
      <c r="EC2" t="s">
        <v>586</v>
      </c>
      <c r="ED2" t="s">
        <v>587</v>
      </c>
      <c r="EE2" t="s">
        <v>573</v>
      </c>
      <c r="EF2" t="s">
        <v>573</v>
      </c>
      <c r="EG2" t="s">
        <v>573</v>
      </c>
    </row>
    <row r="3" spans="1:137" hidden="1" x14ac:dyDescent="0.25">
      <c r="A3" s="29"/>
      <c r="B3" s="21">
        <v>43035.652777777781</v>
      </c>
      <c r="C3" s="21" t="s">
        <v>537</v>
      </c>
      <c r="D3" s="29" t="s">
        <v>533</v>
      </c>
      <c r="E3" s="29" t="s">
        <v>527</v>
      </c>
      <c r="F3" s="29" t="s">
        <v>535</v>
      </c>
      <c r="G3" s="29" t="s">
        <v>534</v>
      </c>
      <c r="H3" t="s">
        <v>538</v>
      </c>
      <c r="I3" t="s">
        <v>539</v>
      </c>
      <c r="J3" t="s">
        <v>529</v>
      </c>
      <c r="K3" s="21">
        <v>43098.549444444441</v>
      </c>
      <c r="Q3" s="28" t="s">
        <v>530</v>
      </c>
      <c r="R3" s="28" t="str">
        <f>IFERROR(MID(RADataQTable[[#This Row],[RAtemplate]],1,LEN(RADataQTable[[#This Row],[RAtemplate]])-8),"RA") &amp; " " &amp; RADataQTable[[#This Row],[prop_id0]] &amp; " " &amp; RADataQTable[[#This Row],[last0]]</f>
        <v>RA 1807311 Stein</v>
      </c>
      <c r="U3" s="20" t="str">
        <f>IF(signer1="PD",IF(ISBLANK(RADataQTable[[#This Row],[sign_blck_name]]),"",RADataQTable[[#This Row],[sign_blck_name]]),IF(ISBLANK(signer1),"",signer1))</f>
        <v>Jack Snoeyink</v>
      </c>
      <c r="V3" s="28" t="str">
        <f>signer2</f>
        <v>Cognizant Program Director</v>
      </c>
      <c r="W3" s="21" t="str">
        <f ca="1">"FY" &amp; (YEAR(NOW())+(MONTH(NOW())&gt;8)-2000)</f>
        <v>FY18</v>
      </c>
      <c r="X3" s="14" t="str">
        <f>HYPERLINK("https://www.ejacket.nsf.gov/ej/showProposal.do?Continue=Y&amp;ID="&amp;RADataQTable[[#This Row],[prop_id0]],"eJ")</f>
        <v>eJ</v>
      </c>
      <c r="Y3" s="14" t="str">
        <f>HYPERLINK("mailto:"&amp;RADataQTable[[#This Row],[email]]&amp;"&amp;subject=Your NSF Proposal:  "&amp;RADataQTable[[#This Row],[Div]]&amp;" "&amp;RADataQTable[[#This Row],[prop_id0]], RADataQTable[[#This Row],[email]])</f>
        <v>cliff@ieor.columbia.edu</v>
      </c>
      <c r="Z3" s="14" t="str">
        <f>HYPERLINK("mailto:"&amp;RADataQTable[[#This Row],[allPIemail]]&amp;"&amp;subject=NSF Proposal:  "&amp;RADataQTable[[#This Row],[Div]]&amp;" "&amp;RADataQTable[[#This Row],[prop_id0]], "PIs@")</f>
        <v>PIs@</v>
      </c>
      <c r="AA3" t="s">
        <v>536</v>
      </c>
      <c r="AB3" t="s">
        <v>531</v>
      </c>
      <c r="AE3"/>
      <c r="AF3" t="str">
        <f>IF(RADataQTable[[#This Row],[maxScore]]-RADataQTable[[#This Row],[minScore]]&gt;4,"Y","")</f>
        <v/>
      </c>
      <c r="AG3" s="20"/>
      <c r="AH3" s="25"/>
      <c r="AJ3"/>
      <c r="AK3" t="b">
        <f>LEFT(RADataQTable[[#This Row],[allReviews]],1)="E"</f>
        <v>0</v>
      </c>
      <c r="AL3" s="29"/>
      <c r="AM3" s="12">
        <v>15000</v>
      </c>
      <c r="AN3" s="12">
        <v>15000</v>
      </c>
      <c r="AO3">
        <v>0</v>
      </c>
      <c r="AP3" s="29">
        <v>43040</v>
      </c>
      <c r="AQ3" s="20">
        <v>12</v>
      </c>
      <c r="AR3" s="20" t="s">
        <v>544</v>
      </c>
      <c r="AU3" s="29"/>
      <c r="AZ3" s="29"/>
      <c r="BI3" s="29"/>
      <c r="BR3" s="29"/>
      <c r="BW3" t="s">
        <v>531</v>
      </c>
      <c r="BX3" s="20" t="s">
        <v>532</v>
      </c>
      <c r="BY3" s="20" t="s">
        <v>541</v>
      </c>
      <c r="BZ3" s="20" t="s">
        <v>542</v>
      </c>
      <c r="CA3" s="30">
        <v>15000</v>
      </c>
      <c r="CB3" s="30">
        <v>15000</v>
      </c>
      <c r="CC3" t="s">
        <v>540</v>
      </c>
      <c r="CH3" s="30"/>
      <c r="CI3" s="30"/>
      <c r="CO3" s="30"/>
      <c r="CP3" s="30"/>
      <c r="CV3" s="30"/>
      <c r="CW3" s="30"/>
      <c r="DC3" s="30"/>
      <c r="DD3" s="30"/>
      <c r="DJ3" s="30"/>
      <c r="DK3" s="30"/>
      <c r="DQ3" s="30"/>
      <c r="DR3" s="30"/>
      <c r="DT3" t="s">
        <v>552</v>
      </c>
      <c r="DU3" t="s">
        <v>547</v>
      </c>
      <c r="DV3" t="s">
        <v>528</v>
      </c>
      <c r="DW3" s="28" t="s">
        <v>548</v>
      </c>
      <c r="DX3" t="s">
        <v>543</v>
      </c>
      <c r="DY3" t="s">
        <v>549</v>
      </c>
      <c r="DZ3" t="s">
        <v>550</v>
      </c>
      <c r="EA3" t="s">
        <v>551</v>
      </c>
      <c r="EB3" s="21">
        <v>43101.839606481481</v>
      </c>
      <c r="EC3" t="s">
        <v>545</v>
      </c>
      <c r="ED3" t="s">
        <v>553</v>
      </c>
    </row>
  </sheetData>
  <conditionalFormatting sqref="Q2:Q3">
    <cfRule type="expression" dxfId="146" priority="1691">
      <formula>$AK2</formula>
    </cfRule>
  </conditionalFormatting>
  <dataValidations count="1">
    <dataValidation type="list" allowBlank="1" showInputMessage="1" showErrorMessage="1" sqref="O2:O3 Q2:Q3">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981075</xdr:colOff>
                    <xdr:row>0</xdr:row>
                    <xdr:rowOff>66675</xdr:rowOff>
                  </from>
                  <to>
                    <xdr:col>18</xdr:col>
                    <xdr:colOff>28575</xdr:colOff>
                    <xdr:row>0</xdr:row>
                    <xdr:rowOff>323850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AH2:AH3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heetViews>
  <sheetFormatPr defaultRowHeight="15" x14ac:dyDescent="0.25"/>
  <cols>
    <col min="1" max="1" width="4" customWidth="1"/>
    <col min="2" max="2" width="8.28515625" style="6" customWidth="1"/>
    <col min="3" max="3" width="17.42578125" customWidth="1"/>
    <col min="4" max="4" width="3.28515625" style="5" customWidth="1"/>
    <col min="5" max="5" width="15.7109375" style="22" customWidth="1"/>
    <col min="6" max="6" width="14.42578125" customWidth="1"/>
    <col min="7" max="7" width="6.5703125" customWidth="1"/>
    <col min="8" max="8" width="5.140625" customWidth="1"/>
    <col min="9" max="9" width="4.5703125" customWidth="1"/>
    <col min="10" max="10" width="35.2851562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2:12" ht="34.35" customHeight="1" x14ac:dyDescent="0.25">
      <c r="B1" s="192" t="s">
        <v>458</v>
      </c>
    </row>
    <row r="2" spans="2:12" ht="15.95" customHeight="1" x14ac:dyDescent="0.25">
      <c r="B2" s="24" t="s">
        <v>512</v>
      </c>
      <c r="C2" s="23"/>
      <c r="D2" s="29"/>
      <c r="E2" s="119"/>
    </row>
    <row r="3" spans="2:12" ht="15.95" customHeight="1" x14ac:dyDescent="0.25">
      <c r="B3" s="24"/>
      <c r="C3" s="219" t="str">
        <f>IF(ISBLANK(dirRAoutput),"&lt;-- click to select where RAs drafts should be stored",dirRAoutput)</f>
        <v>&lt;-- click to select where RAs drafts should be stored</v>
      </c>
      <c r="D3" s="220"/>
      <c r="E3" s="220"/>
      <c r="F3" s="221"/>
    </row>
    <row r="4" spans="2:12" ht="15.95" customHeight="1" x14ac:dyDescent="0.25">
      <c r="B4" s="9"/>
      <c r="F4" s="4"/>
      <c r="G4" s="29"/>
    </row>
    <row r="5" spans="2:12" ht="15.95" customHeight="1" x14ac:dyDescent="0.25">
      <c r="B5" s="42"/>
      <c r="C5" s="218" t="s">
        <v>452</v>
      </c>
      <c r="D5" s="218"/>
      <c r="E5" s="218"/>
      <c r="F5" s="43"/>
    </row>
    <row r="6" spans="2:12" ht="15.95" customHeight="1" x14ac:dyDescent="0.25">
      <c r="B6" s="44"/>
      <c r="C6" s="45" t="s">
        <v>185</v>
      </c>
      <c r="D6" s="45"/>
      <c r="E6" s="45" t="s">
        <v>186</v>
      </c>
      <c r="F6" s="45"/>
    </row>
    <row r="7" spans="2:12" ht="18" customHeight="1" x14ac:dyDescent="0.25">
      <c r="C7" s="46" t="s">
        <v>187</v>
      </c>
      <c r="D7" s="46"/>
      <c r="E7" s="54" t="s">
        <v>203</v>
      </c>
      <c r="F7" s="47" t="s">
        <v>204</v>
      </c>
    </row>
    <row r="8" spans="2:12" ht="18" customHeight="1" x14ac:dyDescent="0.25">
      <c r="C8" s="46" t="s">
        <v>198</v>
      </c>
      <c r="D8" s="46"/>
      <c r="E8" s="48" t="s">
        <v>208</v>
      </c>
      <c r="F8" s="49"/>
    </row>
    <row r="9" spans="2:12" ht="18" customHeight="1" x14ac:dyDescent="0.25">
      <c r="C9" s="46" t="s">
        <v>192</v>
      </c>
      <c r="D9" s="46"/>
      <c r="E9" s="48" t="s">
        <v>193</v>
      </c>
      <c r="F9" s="49"/>
      <c r="H9" s="55" t="s">
        <v>211</v>
      </c>
      <c r="I9" s="6"/>
    </row>
    <row r="10" spans="2:12" ht="18" customHeight="1" x14ac:dyDescent="0.25">
      <c r="C10" s="46" t="s">
        <v>188</v>
      </c>
      <c r="D10" s="46"/>
      <c r="E10" s="48" t="s">
        <v>207</v>
      </c>
      <c r="F10" s="49"/>
      <c r="I10" s="9" t="s">
        <v>402</v>
      </c>
    </row>
    <row r="11" spans="2:12" ht="18" customHeight="1" x14ac:dyDescent="0.25">
      <c r="C11" s="46" t="s">
        <v>189</v>
      </c>
      <c r="D11" s="46"/>
      <c r="E11" s="50" t="s">
        <v>206</v>
      </c>
      <c r="F11" s="51"/>
      <c r="I11" s="9" t="s">
        <v>364</v>
      </c>
    </row>
    <row r="12" spans="2:12" ht="18" customHeight="1" x14ac:dyDescent="0.25">
      <c r="C12" s="46" t="s">
        <v>190</v>
      </c>
      <c r="D12" s="46"/>
      <c r="E12" s="48" t="s">
        <v>205</v>
      </c>
      <c r="F12" s="49"/>
      <c r="I12" s="9" t="s">
        <v>363</v>
      </c>
      <c r="K12" s="5"/>
      <c r="L12" s="22"/>
    </row>
    <row r="13" spans="2:12" ht="18" customHeight="1" x14ac:dyDescent="0.25">
      <c r="C13" s="46" t="s">
        <v>191</v>
      </c>
      <c r="D13" s="46"/>
      <c r="E13" s="48" t="s">
        <v>209</v>
      </c>
      <c r="F13" s="49"/>
      <c r="I13" s="9" t="s">
        <v>499</v>
      </c>
      <c r="J13" s="4"/>
      <c r="K13" s="5"/>
      <c r="L13" s="22"/>
    </row>
    <row r="14" spans="2:12" ht="18" customHeight="1" x14ac:dyDescent="0.25">
      <c r="C14" s="46" t="s">
        <v>195</v>
      </c>
      <c r="D14" s="46"/>
      <c r="E14" s="48" t="s">
        <v>210</v>
      </c>
      <c r="F14" s="49"/>
      <c r="I14" s="115" t="s">
        <v>500</v>
      </c>
      <c r="K14" s="5"/>
      <c r="L14" s="22"/>
    </row>
    <row r="15" spans="2:12" ht="18" customHeight="1" x14ac:dyDescent="0.25">
      <c r="C15" s="46" t="s">
        <v>196</v>
      </c>
      <c r="D15" s="46"/>
      <c r="E15" s="48" t="s">
        <v>197</v>
      </c>
      <c r="F15" s="49"/>
      <c r="I15" s="9" t="s">
        <v>366</v>
      </c>
      <c r="K15" s="15"/>
      <c r="L15" s="22"/>
    </row>
    <row r="16" spans="2:12" ht="18" customHeight="1" x14ac:dyDescent="0.25">
      <c r="C16" s="46" t="s">
        <v>199</v>
      </c>
      <c r="D16" s="46"/>
      <c r="E16" s="48" t="s">
        <v>200</v>
      </c>
      <c r="F16" s="49"/>
      <c r="I16" s="9" t="s">
        <v>501</v>
      </c>
      <c r="K16" s="5"/>
      <c r="L16" s="22"/>
    </row>
    <row r="17" spans="3:12" ht="18" customHeight="1" x14ac:dyDescent="0.25">
      <c r="C17" s="46" t="s">
        <v>201</v>
      </c>
      <c r="D17" s="46"/>
      <c r="E17" s="48" t="s">
        <v>202</v>
      </c>
      <c r="F17" s="49"/>
      <c r="K17" s="5"/>
      <c r="L17" s="22"/>
    </row>
    <row r="18" spans="3:12" ht="20.100000000000001" customHeight="1" x14ac:dyDescent="0.25">
      <c r="C18" s="46" t="s">
        <v>194</v>
      </c>
      <c r="D18" s="52"/>
      <c r="E18" s="107" t="str">
        <f>INDEX(codes_prop_stts,select_prop_stts)</f>
        <v>0[01289]</v>
      </c>
      <c r="F18" s="53"/>
      <c r="K18" s="5"/>
      <c r="L18" s="22"/>
    </row>
    <row r="19" spans="3:12" ht="20.100000000000001" customHeight="1" x14ac:dyDescent="0.25">
      <c r="C19" s="46"/>
      <c r="D19" s="52"/>
      <c r="E19" s="107"/>
      <c r="F19" s="53"/>
      <c r="K19" s="5"/>
      <c r="L19" s="22"/>
    </row>
    <row r="20" spans="3:12" ht="20.100000000000001" customHeight="1" x14ac:dyDescent="0.25">
      <c r="C20" s="3"/>
      <c r="D20" s="3"/>
      <c r="E20" s="3"/>
      <c r="F20" s="3"/>
    </row>
    <row r="21" spans="3:12" ht="20.100000000000001" customHeight="1" x14ac:dyDescent="0.25">
      <c r="D21"/>
      <c r="E21"/>
    </row>
    <row r="22" spans="3:12" ht="20.100000000000001" customHeight="1" x14ac:dyDescent="0.25">
      <c r="D22"/>
      <c r="E22"/>
    </row>
    <row r="23" spans="3:12" ht="20.100000000000001" customHeight="1" x14ac:dyDescent="0.25">
      <c r="C23" s="24"/>
      <c r="D23"/>
      <c r="E23" s="24"/>
      <c r="F23" s="24"/>
    </row>
    <row r="24" spans="3:12" ht="20.100000000000001" customHeight="1" x14ac:dyDescent="0.25">
      <c r="C24" s="24"/>
      <c r="D24"/>
      <c r="E24" s="24"/>
      <c r="F24" s="24"/>
    </row>
    <row r="25" spans="3:12" ht="20.100000000000001" customHeight="1" x14ac:dyDescent="0.25">
      <c r="C25" s="24"/>
      <c r="D25"/>
      <c r="E25" s="24"/>
    </row>
    <row r="26" spans="3:12" ht="19.7" customHeight="1" x14ac:dyDescent="0.25">
      <c r="E26" s="29"/>
    </row>
  </sheetData>
  <mergeCells count="2">
    <mergeCell ref="C5:E5"/>
    <mergeCell ref="C3:F3"/>
  </mergeCells>
  <conditionalFormatting sqref="E7:F17">
    <cfRule type="expression" dxfId="48"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209550</xdr:colOff>
                    <xdr:row>17</xdr:row>
                    <xdr:rowOff>0</xdr:rowOff>
                  </from>
                  <to>
                    <xdr:col>6</xdr:col>
                    <xdr:colOff>247650</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0</xdr:col>
                    <xdr:colOff>628650</xdr:colOff>
                    <xdr:row>1</xdr:row>
                    <xdr:rowOff>228600</xdr:rowOff>
                  </from>
                  <to>
                    <xdr:col>1</xdr:col>
                    <xdr:colOff>581025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5" x14ac:dyDescent="0.25"/>
  <cols>
    <col min="1" max="1" width="10.85546875" customWidth="1"/>
    <col min="2" max="2" width="23.42578125" customWidth="1"/>
    <col min="3" max="3" width="29.85546875" customWidth="1"/>
  </cols>
  <sheetData>
    <row r="1" spans="1:3" ht="33.950000000000003" customHeight="1" x14ac:dyDescent="0.25">
      <c r="A1" s="57" t="s">
        <v>381</v>
      </c>
    </row>
    <row r="2" spans="1:3" x14ac:dyDescent="0.25">
      <c r="A2" s="6" t="s">
        <v>388</v>
      </c>
      <c r="B2" s="6" t="s">
        <v>389</v>
      </c>
      <c r="C2" s="6" t="s">
        <v>390</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29" customWidth="1"/>
    <col min="11" max="11" width="3.28515625" style="29" customWidth="1"/>
    <col min="12" max="12" width="3.5703125" style="29" customWidth="1"/>
    <col min="13" max="13" width="13.5703125" customWidth="1"/>
    <col min="14" max="14" width="3.85546875" customWidth="1"/>
    <col min="15" max="16" width="7.42578125" hidden="1" customWidth="1"/>
    <col min="17" max="17" width="5.42578125" customWidth="1"/>
    <col min="18" max="18" width="11" customWidth="1"/>
    <col min="19" max="19" width="14.28515625" style="21" customWidth="1"/>
    <col min="20" max="20" width="5.28515625" style="35" customWidth="1"/>
    <col min="21" max="21" width="4.5703125" style="35" customWidth="1"/>
    <col min="22" max="22" width="11.85546875" customWidth="1"/>
    <col min="23" max="23" width="4.42578125" customWidth="1"/>
    <col min="24" max="24" width="3.7109375" customWidth="1"/>
    <col min="25" max="25" width="8.7109375" style="29" customWidth="1"/>
    <col min="26" max="26" width="3.7109375" customWidth="1"/>
    <col min="27" max="27" width="9.28515625" style="29"/>
    <col min="28" max="28" width="9.5703125" style="29"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2"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25">
      <c r="A2" s="24" t="s">
        <v>235</v>
      </c>
      <c r="B2" t="s">
        <v>236</v>
      </c>
      <c r="D2" s="6" t="s">
        <v>287</v>
      </c>
      <c r="E2" s="6" t="s">
        <v>348</v>
      </c>
      <c r="H2"/>
      <c r="I2"/>
      <c r="J2"/>
      <c r="K2"/>
      <c r="L2"/>
      <c r="S2"/>
      <c r="T2"/>
      <c r="U2"/>
      <c r="Y2"/>
      <c r="AA2"/>
      <c r="AB2"/>
      <c r="AN2"/>
      <c r="AR2"/>
    </row>
    <row r="3" spans="1:50" x14ac:dyDescent="0.25">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5" x14ac:dyDescent="0.25"/>
  <cols>
    <col min="1" max="2" width="8.7109375" style="29" customWidth="1"/>
    <col min="3" max="3" width="12.42578125" customWidth="1"/>
    <col min="4" max="4" width="12.140625" style="29" customWidth="1"/>
    <col min="5" max="5" width="5.42578125" style="29" customWidth="1"/>
    <col min="6" max="6" width="5.28515625" style="29" customWidth="1"/>
    <col min="7" max="7" width="8.85546875" style="29" bestFit="1" customWidth="1"/>
    <col min="8" max="8" width="8.85546875" bestFit="1" customWidth="1"/>
    <col min="9" max="9" width="5.28515625" customWidth="1"/>
    <col min="10" max="10" width="5.5703125" customWidth="1"/>
    <col min="11" max="12" width="9.28515625" bestFit="1" customWidth="1"/>
    <col min="13" max="13" width="6.28515625" style="21" customWidth="1"/>
    <col min="14" max="14" width="5.85546875" style="35" customWidth="1"/>
    <col min="15" max="16" width="6.140625" customWidth="1"/>
    <col min="17" max="17" width="3.42578125" customWidth="1"/>
    <col min="18" max="18" width="11.42578125" customWidth="1"/>
    <col min="19" max="19" width="4.42578125" style="20"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2.5703125" style="20" customWidth="1"/>
    <col min="38" max="38" width="14.28515625" style="76" customWidth="1"/>
    <col min="39" max="39" width="15.140625" style="76" customWidth="1"/>
    <col min="40" max="40" width="10.7109375" style="76" customWidth="1"/>
    <col min="41" max="42" width="9.5703125" style="76" customWidth="1"/>
    <col min="43" max="43" width="9.5703125" style="20" customWidth="1"/>
    <col min="44" max="44" width="11.140625" style="20" customWidth="1"/>
    <col min="45" max="47" width="5.5703125" style="20" customWidth="1"/>
    <col min="48" max="49" width="11.85546875" customWidth="1"/>
    <col min="50" max="50" width="4.42578125" customWidth="1"/>
    <col min="51" max="51" width="3.7109375" customWidth="1"/>
    <col min="52" max="52" width="8.7109375" style="29" customWidth="1"/>
    <col min="53" max="53" width="3.7109375" customWidth="1"/>
    <col min="54" max="54" width="9.28515625" style="29"/>
    <col min="55" max="55" width="9.5703125" style="29"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2"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25">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378</v>
      </c>
      <c r="AN2" t="s">
        <v>310</v>
      </c>
      <c r="AO2"/>
      <c r="AP2"/>
      <c r="AQ2"/>
      <c r="AR2"/>
      <c r="AS2"/>
      <c r="AT2"/>
      <c r="AU2"/>
      <c r="AZ2"/>
      <c r="BB2"/>
      <c r="BC2"/>
      <c r="BO2"/>
      <c r="BS2"/>
    </row>
    <row r="3" spans="1:71" x14ac:dyDescent="0.25">
      <c r="AK3" s="24" t="s">
        <v>378</v>
      </c>
      <c r="AL3" s="24" t="s">
        <v>378</v>
      </c>
      <c r="AM3" s="30"/>
      <c r="AN3" s="30"/>
      <c r="AO3"/>
      <c r="AP3"/>
      <c r="AQ3"/>
      <c r="AR3"/>
      <c r="AS3"/>
      <c r="AT3"/>
      <c r="AU3"/>
      <c r="AZ3"/>
      <c r="BB3"/>
      <c r="BC3"/>
      <c r="BO3"/>
      <c r="BS3"/>
    </row>
    <row r="4" spans="1:71" x14ac:dyDescent="0.25">
      <c r="AK4"/>
      <c r="AL4" s="83" t="s">
        <v>378</v>
      </c>
      <c r="AM4" s="30"/>
      <c r="AN4" s="30"/>
      <c r="AO4"/>
      <c r="AP4"/>
      <c r="AQ4"/>
      <c r="AR4"/>
      <c r="AS4"/>
      <c r="AT4"/>
      <c r="AU4"/>
      <c r="AZ4"/>
      <c r="BB4"/>
      <c r="BC4"/>
      <c r="BO4"/>
      <c r="BS4"/>
    </row>
    <row r="5" spans="1:71" x14ac:dyDescent="0.25">
      <c r="AK5" s="24" t="s">
        <v>310</v>
      </c>
      <c r="AL5"/>
      <c r="AM5" s="30"/>
      <c r="AN5" s="30"/>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row r="10" spans="1:71" x14ac:dyDescent="0.25">
      <c r="AK10"/>
      <c r="AL10"/>
      <c r="AM10"/>
      <c r="AN10"/>
      <c r="AO10"/>
      <c r="AP10"/>
      <c r="AQ10"/>
      <c r="AR10"/>
    </row>
  </sheetData>
  <conditionalFormatting sqref="A2:AH2">
    <cfRule type="expression" dxfId="45" priority="2">
      <formula>$U1&lt;&gt;$U2</formula>
    </cfRule>
    <cfRule type="expression" dxfId="44" priority="3">
      <formula>MOD($S2,2)</formula>
    </cfRule>
  </conditionalFormatting>
  <conditionalFormatting sqref="F2 H2 J2 L2 AE2">
    <cfRule type="expression" dxfId="43" priority="1">
      <formula>E2&lt;&gt;F2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48" sqref="P48"/>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7" customWidth="1"/>
    <col min="12" max="12" width="16.140625" customWidth="1"/>
    <col min="13" max="14" width="6.28515625" style="20" customWidth="1"/>
    <col min="15" max="15" width="5.140625" customWidth="1"/>
    <col min="16" max="16" width="80.5703125" bestFit="1" customWidth="1"/>
  </cols>
  <sheetData>
    <row r="1" spans="1:16" ht="51.4" customHeight="1" x14ac:dyDescent="0.25">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25">
      <c r="K2" s="29"/>
      <c r="L2" s="8"/>
    </row>
    <row r="3" spans="1:16" x14ac:dyDescent="0.25">
      <c r="B3" t="s">
        <v>177</v>
      </c>
      <c r="K3" s="29"/>
      <c r="M3"/>
      <c r="N3"/>
      <c r="P3">
        <f>SUBTOTAL(103,ProjTextQTable[text])</f>
        <v>0</v>
      </c>
    </row>
  </sheetData>
  <conditionalFormatting sqref="A2:P2">
    <cfRule type="expression" dxfId="14"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K90"/>
  <sheetViews>
    <sheetView showGridLines="0" zoomScaleNormal="100" workbookViewId="0"/>
  </sheetViews>
  <sheetFormatPr defaultRowHeight="15" x14ac:dyDescent="0.25"/>
  <cols>
    <col min="1" max="1" width="2.140625" customWidth="1"/>
    <col min="2" max="2" width="7.140625" customWidth="1"/>
    <col min="3" max="3" width="4.85546875" customWidth="1"/>
    <col min="4" max="4" width="25.7109375" customWidth="1"/>
    <col min="5" max="5" width="21.7109375" customWidth="1"/>
    <col min="6" max="6" width="10.140625" customWidth="1"/>
    <col min="7" max="7" width="4.140625" customWidth="1"/>
    <col min="8" max="8" width="2.28515625" style="6" customWidth="1"/>
    <col min="9" max="9" width="10.140625" customWidth="1"/>
    <col min="10" max="10" width="28.5703125" customWidth="1"/>
    <col min="11" max="11" width="4" customWidth="1"/>
  </cols>
  <sheetData>
    <row r="1" spans="1:11" ht="31.5" customHeight="1" x14ac:dyDescent="0.45">
      <c r="B1" s="121" t="s">
        <v>403</v>
      </c>
    </row>
    <row r="2" spans="1:11" ht="23.1" customHeight="1" x14ac:dyDescent="0.3">
      <c r="B2" s="120" t="s">
        <v>451</v>
      </c>
      <c r="C2" s="120"/>
      <c r="I2">
        <v>2</v>
      </c>
    </row>
    <row r="3" spans="1:11" ht="16.5" x14ac:dyDescent="0.3">
      <c r="B3" s="120" t="s">
        <v>404</v>
      </c>
      <c r="C3" s="120"/>
    </row>
    <row r="4" spans="1:11" ht="16.5" x14ac:dyDescent="0.3">
      <c r="B4" s="7"/>
      <c r="C4" s="120"/>
    </row>
    <row r="5" spans="1:11" ht="8.1" customHeight="1" x14ac:dyDescent="0.3">
      <c r="B5" s="120"/>
      <c r="C5" s="120"/>
    </row>
    <row r="6" spans="1:11" ht="16.5" x14ac:dyDescent="0.3">
      <c r="B6" s="120"/>
      <c r="C6" s="120"/>
    </row>
    <row r="7" spans="1:11" x14ac:dyDescent="0.25">
      <c r="C7" s="3" t="s">
        <v>444</v>
      </c>
    </row>
    <row r="8" spans="1:11" x14ac:dyDescent="0.25">
      <c r="C8" s="3" t="s">
        <v>445</v>
      </c>
    </row>
    <row r="9" spans="1:11" x14ac:dyDescent="0.25">
      <c r="C9" s="3"/>
      <c r="H9" s="185"/>
      <c r="I9" s="127"/>
      <c r="J9" s="127"/>
      <c r="K9" s="128"/>
    </row>
    <row r="10" spans="1:11" ht="16.5" x14ac:dyDescent="0.3">
      <c r="A10" s="141"/>
      <c r="B10" s="142" t="s">
        <v>513</v>
      </c>
      <c r="C10" s="142"/>
      <c r="D10" s="143"/>
      <c r="E10" s="143"/>
      <c r="F10" s="143"/>
      <c r="G10" s="183"/>
      <c r="H10" s="186"/>
      <c r="I10" s="181" t="s">
        <v>412</v>
      </c>
      <c r="J10" s="2" t="s">
        <v>413</v>
      </c>
      <c r="K10" s="129"/>
    </row>
    <row r="11" spans="1:11" ht="16.5" x14ac:dyDescent="0.3">
      <c r="A11" s="134"/>
      <c r="B11" s="135"/>
      <c r="C11" s="138" t="s">
        <v>420</v>
      </c>
      <c r="D11" s="138"/>
      <c r="E11" s="133"/>
      <c r="F11" s="133"/>
      <c r="G11" s="180"/>
      <c r="H11" s="186"/>
      <c r="I11" s="187" t="s">
        <v>416</v>
      </c>
      <c r="J11" s="188" t="s">
        <v>417</v>
      </c>
      <c r="K11" s="129"/>
    </row>
    <row r="12" spans="1:11" ht="16.5" x14ac:dyDescent="0.3">
      <c r="A12" s="139"/>
      <c r="B12" s="144"/>
      <c r="C12" s="145"/>
      <c r="D12" s="145"/>
      <c r="E12" s="140"/>
      <c r="F12" s="140"/>
      <c r="G12" s="184"/>
      <c r="H12" s="186"/>
      <c r="I12" s="187" t="s">
        <v>414</v>
      </c>
      <c r="J12" s="188" t="s">
        <v>418</v>
      </c>
      <c r="K12" s="129"/>
    </row>
    <row r="13" spans="1:11" ht="16.5" x14ac:dyDescent="0.3">
      <c r="A13" s="151"/>
      <c r="B13" s="152"/>
      <c r="C13" s="152"/>
      <c r="D13" s="153"/>
      <c r="E13" s="153"/>
      <c r="F13" s="153"/>
      <c r="G13" s="172"/>
      <c r="H13" s="132"/>
      <c r="I13" s="187" t="s">
        <v>415</v>
      </c>
      <c r="J13" s="188" t="s">
        <v>419</v>
      </c>
      <c r="K13" s="129"/>
    </row>
    <row r="14" spans="1:11" ht="16.5" x14ac:dyDescent="0.3">
      <c r="A14" s="151"/>
      <c r="B14" s="152" t="s">
        <v>421</v>
      </c>
      <c r="C14" s="152"/>
      <c r="D14" s="153"/>
      <c r="E14" s="153"/>
      <c r="F14" s="153"/>
      <c r="G14" s="153"/>
      <c r="H14" s="132"/>
      <c r="I14" s="187" t="s">
        <v>514</v>
      </c>
      <c r="J14" s="188" t="s">
        <v>515</v>
      </c>
      <c r="K14" s="129"/>
    </row>
    <row r="15" spans="1:11" x14ac:dyDescent="0.25">
      <c r="A15" s="151"/>
      <c r="B15" s="155" t="s">
        <v>422</v>
      </c>
      <c r="C15" s="156"/>
      <c r="D15" s="157"/>
      <c r="E15" s="156"/>
      <c r="F15" s="153"/>
      <c r="G15" s="153"/>
      <c r="H15" s="132"/>
      <c r="I15" s="2"/>
      <c r="J15" s="2"/>
      <c r="K15" s="129"/>
    </row>
    <row r="16" spans="1:11" x14ac:dyDescent="0.25">
      <c r="A16" s="151"/>
      <c r="B16" s="158" t="s">
        <v>425</v>
      </c>
      <c r="C16" s="155" t="s">
        <v>467</v>
      </c>
      <c r="D16" s="157"/>
      <c r="E16" s="156"/>
      <c r="F16" s="153"/>
      <c r="G16" s="153"/>
      <c r="H16" s="132"/>
      <c r="I16" s="2"/>
      <c r="J16" s="2"/>
      <c r="K16" s="129"/>
    </row>
    <row r="17" spans="1:11" ht="16.5" x14ac:dyDescent="0.3">
      <c r="A17" s="151"/>
      <c r="B17" s="159"/>
      <c r="C17" s="155" t="s">
        <v>423</v>
      </c>
      <c r="D17" s="157"/>
      <c r="E17" s="156"/>
      <c r="F17" s="153"/>
      <c r="G17" s="153"/>
      <c r="H17" s="132"/>
      <c r="I17" s="2"/>
      <c r="J17" s="2"/>
      <c r="K17" s="129"/>
    </row>
    <row r="18" spans="1:11" ht="16.5" x14ac:dyDescent="0.3">
      <c r="A18" s="151"/>
      <c r="B18" s="159"/>
      <c r="C18" s="155" t="s">
        <v>424</v>
      </c>
      <c r="D18" s="157"/>
      <c r="E18" s="156"/>
      <c r="F18" s="153"/>
      <c r="G18" s="153"/>
      <c r="H18" s="132"/>
      <c r="I18" s="2"/>
      <c r="J18" s="2"/>
      <c r="K18" s="129"/>
    </row>
    <row r="19" spans="1:11" x14ac:dyDescent="0.25">
      <c r="A19" s="151"/>
      <c r="B19" s="153"/>
      <c r="C19" s="160"/>
      <c r="D19" s="222" t="s">
        <v>417</v>
      </c>
      <c r="E19" s="223"/>
      <c r="F19" s="224"/>
      <c r="G19" s="153"/>
      <c r="H19" s="132"/>
      <c r="I19" s="2"/>
      <c r="J19" s="2"/>
      <c r="K19" s="129"/>
    </row>
    <row r="20" spans="1:11" x14ac:dyDescent="0.25">
      <c r="A20" s="151"/>
      <c r="B20" s="153"/>
      <c r="C20" s="153"/>
      <c r="D20" s="153"/>
      <c r="E20" s="153"/>
      <c r="F20" s="153"/>
      <c r="G20" s="153"/>
      <c r="H20" s="132"/>
      <c r="I20" s="2"/>
      <c r="J20" s="2"/>
      <c r="K20" s="129"/>
    </row>
    <row r="21" spans="1:11" x14ac:dyDescent="0.25">
      <c r="A21" s="151"/>
      <c r="B21" s="155" t="s">
        <v>430</v>
      </c>
      <c r="C21" s="156"/>
      <c r="D21" s="156"/>
      <c r="E21" s="156"/>
      <c r="F21" s="153"/>
      <c r="G21" s="153"/>
      <c r="H21" s="132"/>
      <c r="I21" s="2"/>
      <c r="J21" s="2"/>
      <c r="K21" s="129"/>
    </row>
    <row r="22" spans="1:11" x14ac:dyDescent="0.25">
      <c r="A22" s="151"/>
      <c r="B22" s="161" t="s">
        <v>426</v>
      </c>
      <c r="C22" s="155" t="s">
        <v>442</v>
      </c>
      <c r="D22" s="156"/>
      <c r="E22" s="156"/>
      <c r="F22" s="153"/>
      <c r="G22" s="153"/>
      <c r="H22" s="132"/>
      <c r="I22" s="2"/>
      <c r="K22" s="129"/>
    </row>
    <row r="23" spans="1:11" x14ac:dyDescent="0.25">
      <c r="A23" s="151"/>
      <c r="B23" s="161" t="s">
        <v>427</v>
      </c>
      <c r="C23" s="155" t="s">
        <v>466</v>
      </c>
      <c r="D23" s="156"/>
      <c r="E23" s="156"/>
      <c r="F23" s="153"/>
      <c r="G23" s="153"/>
      <c r="H23" s="132"/>
      <c r="I23" s="2"/>
      <c r="K23" s="129"/>
    </row>
    <row r="24" spans="1:11" x14ac:dyDescent="0.25">
      <c r="A24" s="151"/>
      <c r="B24" s="161" t="s">
        <v>428</v>
      </c>
      <c r="C24" s="155" t="s">
        <v>429</v>
      </c>
      <c r="D24" s="156"/>
      <c r="E24" s="156"/>
      <c r="F24" s="153"/>
      <c r="G24" s="153"/>
      <c r="H24" s="132"/>
      <c r="I24" s="2"/>
      <c r="J24" s="190" t="s">
        <v>134</v>
      </c>
      <c r="K24" s="129"/>
    </row>
    <row r="25" spans="1:11" x14ac:dyDescent="0.25">
      <c r="A25" s="151"/>
      <c r="B25" s="153"/>
      <c r="C25" s="160" t="s">
        <v>524</v>
      </c>
      <c r="D25" s="162"/>
      <c r="E25" s="163"/>
      <c r="F25" s="164"/>
      <c r="G25" s="153"/>
      <c r="H25" s="132"/>
      <c r="I25" s="2"/>
      <c r="J25" s="190" t="s">
        <v>160</v>
      </c>
      <c r="K25" s="129"/>
    </row>
    <row r="26" spans="1:11" x14ac:dyDescent="0.25">
      <c r="A26" s="151"/>
      <c r="B26" s="153"/>
      <c r="C26" s="153"/>
      <c r="D26" s="153"/>
      <c r="E26" s="165"/>
      <c r="F26" s="165"/>
      <c r="G26" s="153"/>
      <c r="H26" s="132"/>
      <c r="I26" s="2"/>
      <c r="J26" s="190" t="s">
        <v>400</v>
      </c>
      <c r="K26" s="129"/>
    </row>
    <row r="27" spans="1:11" x14ac:dyDescent="0.25">
      <c r="A27" s="151"/>
      <c r="B27" s="156" t="s">
        <v>432</v>
      </c>
      <c r="C27" s="156"/>
      <c r="D27" s="166"/>
      <c r="E27" s="167"/>
      <c r="F27" s="156"/>
      <c r="G27" s="153"/>
      <c r="H27" s="132"/>
      <c r="I27" s="2"/>
      <c r="J27" s="190" t="s">
        <v>371</v>
      </c>
      <c r="K27" s="129"/>
    </row>
    <row r="28" spans="1:11" x14ac:dyDescent="0.25">
      <c r="A28" s="151"/>
      <c r="B28" s="156"/>
      <c r="C28" s="156" t="s">
        <v>433</v>
      </c>
      <c r="D28" s="156"/>
      <c r="E28" s="156"/>
      <c r="F28" s="156"/>
      <c r="G28" s="153"/>
      <c r="H28" s="132"/>
      <c r="I28" s="2"/>
      <c r="J28" s="190" t="s">
        <v>161</v>
      </c>
      <c r="K28" s="129"/>
    </row>
    <row r="29" spans="1:11" x14ac:dyDescent="0.25">
      <c r="A29" s="151"/>
      <c r="B29" s="156"/>
      <c r="C29" s="156" t="s">
        <v>431</v>
      </c>
      <c r="D29" s="156"/>
      <c r="E29" s="156"/>
      <c r="F29" s="156"/>
      <c r="G29" s="153"/>
      <c r="H29" s="132"/>
      <c r="I29" s="2"/>
      <c r="J29" s="190" t="s">
        <v>401</v>
      </c>
      <c r="K29" s="129"/>
    </row>
    <row r="30" spans="1:11" x14ac:dyDescent="0.25">
      <c r="A30" s="151"/>
      <c r="B30" s="168"/>
      <c r="C30" s="153"/>
      <c r="D30" s="169" t="s">
        <v>518</v>
      </c>
      <c r="E30" s="153"/>
      <c r="F30" s="153"/>
      <c r="G30" s="153"/>
      <c r="H30" s="132"/>
      <c r="I30" s="2"/>
      <c r="J30" s="2"/>
      <c r="K30" s="129"/>
    </row>
    <row r="31" spans="1:11" x14ac:dyDescent="0.25">
      <c r="A31" s="151"/>
      <c r="B31" s="168"/>
      <c r="C31" s="153"/>
      <c r="D31" s="153"/>
      <c r="E31" s="153"/>
      <c r="F31" s="153"/>
      <c r="G31" s="178"/>
      <c r="H31" s="132"/>
      <c r="I31" s="2"/>
      <c r="J31" s="2"/>
      <c r="K31" s="129"/>
    </row>
    <row r="32" spans="1:11" x14ac:dyDescent="0.25">
      <c r="A32" s="141"/>
      <c r="B32" s="146"/>
      <c r="C32" s="143"/>
      <c r="D32" s="143"/>
      <c r="E32" s="143"/>
      <c r="F32" s="143"/>
      <c r="G32" s="143"/>
      <c r="H32" s="189"/>
      <c r="I32" s="2"/>
      <c r="J32" s="2"/>
      <c r="K32" s="129"/>
    </row>
    <row r="33" spans="1:11" ht="16.5" x14ac:dyDescent="0.3">
      <c r="A33" s="134"/>
      <c r="B33" s="135" t="s">
        <v>460</v>
      </c>
      <c r="C33" s="202"/>
      <c r="D33" s="203"/>
      <c r="E33" s="204"/>
      <c r="F33" s="133"/>
      <c r="G33" s="136"/>
      <c r="H33" s="189"/>
      <c r="I33" s="2"/>
      <c r="J33" s="2"/>
      <c r="K33" s="129"/>
    </row>
    <row r="34" spans="1:11" x14ac:dyDescent="0.25">
      <c r="A34" s="134"/>
      <c r="B34" s="137" t="s">
        <v>517</v>
      </c>
      <c r="C34" s="202"/>
      <c r="D34" s="203"/>
      <c r="E34" s="204"/>
      <c r="F34" s="133"/>
      <c r="G34" s="136"/>
      <c r="H34" s="189"/>
      <c r="I34" s="2"/>
      <c r="J34" s="2"/>
      <c r="K34" s="129"/>
    </row>
    <row r="35" spans="1:11" x14ac:dyDescent="0.25">
      <c r="A35" s="134"/>
      <c r="B35" s="137"/>
      <c r="C35" s="137" t="s">
        <v>461</v>
      </c>
      <c r="D35" s="203"/>
      <c r="E35" s="204"/>
      <c r="F35" s="209" t="s">
        <v>462</v>
      </c>
      <c r="G35" s="136"/>
      <c r="H35" s="189"/>
      <c r="I35" s="2"/>
      <c r="J35" s="2"/>
      <c r="K35" s="129"/>
    </row>
    <row r="36" spans="1:11" x14ac:dyDescent="0.25">
      <c r="A36" s="134"/>
      <c r="B36" s="137" t="s">
        <v>516</v>
      </c>
      <c r="C36" s="202"/>
      <c r="D36" s="203"/>
      <c r="E36" s="204"/>
      <c r="F36" s="133"/>
      <c r="G36" s="136"/>
      <c r="H36" s="189"/>
      <c r="I36" s="2"/>
      <c r="J36" s="2"/>
      <c r="K36" s="129"/>
    </row>
    <row r="37" spans="1:11" x14ac:dyDescent="0.25">
      <c r="A37" s="134"/>
      <c r="B37" s="133"/>
      <c r="C37" s="205" t="s">
        <v>525</v>
      </c>
      <c r="D37" s="206"/>
      <c r="E37" s="207"/>
      <c r="F37" s="208"/>
      <c r="G37" s="136"/>
      <c r="H37" s="189"/>
      <c r="I37" s="2"/>
      <c r="J37" s="2"/>
      <c r="K37" s="129"/>
    </row>
    <row r="38" spans="1:11" ht="16.5" x14ac:dyDescent="0.3">
      <c r="A38" s="139"/>
      <c r="B38" s="144"/>
      <c r="C38" s="144"/>
      <c r="D38" s="140"/>
      <c r="E38" s="140"/>
      <c r="F38" s="140"/>
      <c r="G38" s="136"/>
      <c r="H38" s="191"/>
      <c r="I38" s="130"/>
      <c r="J38" s="130"/>
      <c r="K38" s="131"/>
    </row>
    <row r="39" spans="1:11" ht="16.5" x14ac:dyDescent="0.3">
      <c r="A39" s="170"/>
      <c r="B39" s="171"/>
      <c r="C39" s="171"/>
      <c r="D39" s="172"/>
      <c r="E39" s="172"/>
      <c r="F39" s="172"/>
      <c r="G39" s="173"/>
      <c r="H39" s="132"/>
      <c r="I39" s="19" t="s">
        <v>98</v>
      </c>
    </row>
    <row r="40" spans="1:11" ht="16.5" x14ac:dyDescent="0.3">
      <c r="A40" s="151"/>
      <c r="B40" s="152" t="s">
        <v>449</v>
      </c>
      <c r="C40" s="169"/>
      <c r="D40" s="153"/>
      <c r="E40" s="153"/>
      <c r="F40" s="153"/>
      <c r="G40" s="154"/>
      <c r="H40" s="132"/>
      <c r="I40" s="18" t="s">
        <v>99</v>
      </c>
    </row>
    <row r="41" spans="1:11" x14ac:dyDescent="0.25">
      <c r="A41" s="151"/>
      <c r="B41" s="156" t="s">
        <v>519</v>
      </c>
      <c r="C41" s="153"/>
      <c r="D41" s="153"/>
      <c r="E41" s="153"/>
      <c r="F41" s="153"/>
      <c r="G41" s="154"/>
      <c r="H41" s="132"/>
      <c r="I41" s="18" t="s">
        <v>94</v>
      </c>
    </row>
    <row r="42" spans="1:11" x14ac:dyDescent="0.25">
      <c r="A42" s="151"/>
      <c r="B42" s="174" t="s">
        <v>213</v>
      </c>
      <c r="C42" s="175" t="s">
        <v>212</v>
      </c>
      <c r="D42" s="153"/>
      <c r="E42" s="153"/>
      <c r="F42" s="153"/>
      <c r="G42" s="154"/>
      <c r="H42" s="132"/>
      <c r="I42" s="18" t="s">
        <v>100</v>
      </c>
    </row>
    <row r="43" spans="1:11" x14ac:dyDescent="0.25">
      <c r="A43" s="151"/>
      <c r="B43" s="174" t="s">
        <v>214</v>
      </c>
      <c r="C43" s="175" t="s">
        <v>362</v>
      </c>
      <c r="D43" s="153"/>
      <c r="E43" s="153"/>
      <c r="F43" s="153"/>
      <c r="G43" s="154"/>
      <c r="H43" s="132"/>
      <c r="I43" s="18" t="s">
        <v>95</v>
      </c>
    </row>
    <row r="44" spans="1:11" x14ac:dyDescent="0.25">
      <c r="A44" s="151"/>
      <c r="B44" s="156" t="s">
        <v>520</v>
      </c>
      <c r="C44" s="153"/>
      <c r="D44" s="153"/>
      <c r="E44" s="153"/>
      <c r="F44" s="153"/>
      <c r="G44" s="154"/>
      <c r="H44" s="132"/>
      <c r="I44" s="18" t="s">
        <v>101</v>
      </c>
    </row>
    <row r="45" spans="1:11" x14ac:dyDescent="0.25">
      <c r="A45" s="176"/>
      <c r="B45" s="177"/>
      <c r="C45" s="178"/>
      <c r="D45" s="178"/>
      <c r="E45" s="178"/>
      <c r="F45" s="178"/>
      <c r="G45" s="179"/>
      <c r="H45" s="132"/>
      <c r="I45" s="18" t="s">
        <v>102</v>
      </c>
    </row>
    <row r="46" spans="1:11" x14ac:dyDescent="0.25">
      <c r="A46" s="141"/>
      <c r="B46" s="143"/>
      <c r="C46" s="143"/>
      <c r="D46" s="143"/>
      <c r="E46" s="143"/>
      <c r="F46" s="143"/>
      <c r="G46" s="147"/>
      <c r="H46" s="182"/>
      <c r="I46" s="18" t="s">
        <v>96</v>
      </c>
    </row>
    <row r="47" spans="1:11" ht="16.5" x14ac:dyDescent="0.3">
      <c r="A47" s="134"/>
      <c r="B47" s="135" t="s">
        <v>450</v>
      </c>
      <c r="C47" s="133"/>
      <c r="D47" s="133"/>
      <c r="E47" s="133"/>
      <c r="F47" s="133"/>
      <c r="G47" s="136"/>
      <c r="H47" s="182"/>
      <c r="I47" s="18" t="s">
        <v>103</v>
      </c>
    </row>
    <row r="48" spans="1:11" x14ac:dyDescent="0.25">
      <c r="A48" s="134"/>
      <c r="B48" s="133"/>
      <c r="C48" s="137" t="s">
        <v>463</v>
      </c>
      <c r="D48" s="138"/>
      <c r="E48" s="138"/>
      <c r="F48" s="133"/>
      <c r="G48" s="148"/>
      <c r="H48" s="132"/>
      <c r="I48" s="18" t="s">
        <v>104</v>
      </c>
    </row>
    <row r="49" spans="1:10" x14ac:dyDescent="0.25">
      <c r="A49" s="134"/>
      <c r="B49" s="133"/>
      <c r="C49" s="133"/>
      <c r="D49" s="133"/>
      <c r="E49" s="133"/>
      <c r="F49" s="133"/>
      <c r="G49" s="148"/>
      <c r="H49" s="132"/>
      <c r="I49" s="18" t="s">
        <v>92</v>
      </c>
    </row>
    <row r="50" spans="1:10" x14ac:dyDescent="0.25">
      <c r="A50" s="134"/>
      <c r="B50" s="133"/>
      <c r="C50" s="133"/>
      <c r="D50" s="133"/>
      <c r="E50" s="133"/>
      <c r="F50" s="133"/>
      <c r="G50" s="136"/>
      <c r="H50" s="132"/>
      <c r="I50" s="18" t="s">
        <v>105</v>
      </c>
      <c r="J50" s="122" t="s">
        <v>434</v>
      </c>
    </row>
    <row r="51" spans="1:10" x14ac:dyDescent="0.25">
      <c r="A51" s="134"/>
      <c r="B51" s="133"/>
      <c r="C51" s="133"/>
      <c r="D51" s="133"/>
      <c r="E51" s="133"/>
      <c r="F51" s="133"/>
      <c r="G51" s="136"/>
      <c r="H51" s="132"/>
      <c r="I51" s="18" t="s">
        <v>106</v>
      </c>
      <c r="J51" s="40" t="s">
        <v>435</v>
      </c>
    </row>
    <row r="52" spans="1:10" x14ac:dyDescent="0.25">
      <c r="A52" s="134"/>
      <c r="B52" s="133"/>
      <c r="C52" s="133"/>
      <c r="D52" s="133"/>
      <c r="E52" s="133"/>
      <c r="F52" s="133"/>
      <c r="G52" s="136"/>
      <c r="H52" s="132"/>
      <c r="I52" s="18" t="s">
        <v>107</v>
      </c>
      <c r="J52" s="40" t="s">
        <v>436</v>
      </c>
    </row>
    <row r="53" spans="1:10" x14ac:dyDescent="0.25">
      <c r="A53" s="134"/>
      <c r="B53" s="133"/>
      <c r="C53" s="137" t="s">
        <v>447</v>
      </c>
      <c r="D53" s="133"/>
      <c r="E53" s="133"/>
      <c r="F53" s="133"/>
      <c r="G53" s="136"/>
      <c r="H53" s="132"/>
      <c r="I53" s="18" t="s">
        <v>365</v>
      </c>
    </row>
    <row r="54" spans="1:10" x14ac:dyDescent="0.25">
      <c r="A54" s="134"/>
      <c r="B54" s="133"/>
      <c r="C54" s="149">
        <v>50</v>
      </c>
      <c r="D54" s="150" t="s">
        <v>448</v>
      </c>
      <c r="E54" s="133"/>
      <c r="F54" s="133"/>
      <c r="G54" s="136"/>
      <c r="H54" s="132"/>
      <c r="I54" s="18" t="s">
        <v>108</v>
      </c>
    </row>
    <row r="55" spans="1:10" x14ac:dyDescent="0.25">
      <c r="A55" s="134"/>
      <c r="B55" s="133"/>
      <c r="C55" s="133"/>
      <c r="D55" s="133"/>
      <c r="E55" s="133"/>
      <c r="F55" s="133"/>
      <c r="G55" s="136"/>
      <c r="H55" s="132"/>
      <c r="I55" s="18" t="s">
        <v>109</v>
      </c>
    </row>
    <row r="56" spans="1:10" x14ac:dyDescent="0.25">
      <c r="A56" s="134"/>
      <c r="B56" s="133"/>
      <c r="C56" s="138" t="s">
        <v>440</v>
      </c>
      <c r="D56" s="133"/>
      <c r="E56" s="133"/>
      <c r="F56" s="133"/>
      <c r="G56" s="136"/>
      <c r="H56" s="132"/>
      <c r="I56" s="18" t="s">
        <v>110</v>
      </c>
    </row>
    <row r="57" spans="1:10" x14ac:dyDescent="0.25">
      <c r="A57" s="134"/>
      <c r="B57" s="133"/>
      <c r="C57" s="138" t="s">
        <v>441</v>
      </c>
      <c r="D57" s="133"/>
      <c r="E57" s="133"/>
      <c r="F57" s="133"/>
      <c r="G57" s="136"/>
      <c r="H57" s="132"/>
      <c r="I57" s="18" t="s">
        <v>111</v>
      </c>
    </row>
    <row r="58" spans="1:10" x14ac:dyDescent="0.25">
      <c r="A58" s="134"/>
      <c r="B58" s="133"/>
      <c r="C58" s="133"/>
      <c r="D58" s="133"/>
      <c r="E58" s="133"/>
      <c r="F58" s="133"/>
      <c r="G58" s="136"/>
      <c r="H58" s="132"/>
      <c r="I58" s="18" t="s">
        <v>112</v>
      </c>
    </row>
    <row r="59" spans="1:10" x14ac:dyDescent="0.25">
      <c r="A59" s="134"/>
      <c r="B59" s="133"/>
      <c r="C59" s="133"/>
      <c r="D59" s="133"/>
      <c r="E59" s="133"/>
      <c r="F59" s="133"/>
      <c r="G59" s="136"/>
      <c r="H59" s="132"/>
      <c r="I59" s="18" t="s">
        <v>113</v>
      </c>
    </row>
    <row r="60" spans="1:10" x14ac:dyDescent="0.25">
      <c r="A60" s="170"/>
      <c r="B60" s="172"/>
      <c r="C60" s="172"/>
      <c r="D60" s="172"/>
      <c r="E60" s="172"/>
      <c r="F60" s="172"/>
      <c r="G60" s="173"/>
      <c r="H60" s="132"/>
      <c r="I60" s="18" t="s">
        <v>114</v>
      </c>
    </row>
    <row r="61" spans="1:10" ht="16.5" x14ac:dyDescent="0.3">
      <c r="A61" s="189"/>
      <c r="B61" s="193" t="s">
        <v>459</v>
      </c>
      <c r="C61" s="132"/>
      <c r="D61" s="132"/>
      <c r="E61" s="132"/>
      <c r="F61" s="132"/>
      <c r="G61" s="201"/>
      <c r="H61" s="132"/>
      <c r="I61" s="18" t="s">
        <v>93</v>
      </c>
    </row>
    <row r="62" spans="1:10" x14ac:dyDescent="0.25">
      <c r="A62" s="189"/>
      <c r="B62" s="194" t="s">
        <v>437</v>
      </c>
      <c r="C62" s="195"/>
      <c r="D62" s="195"/>
      <c r="E62" s="195"/>
      <c r="F62" s="195"/>
      <c r="G62" s="201"/>
      <c r="I62" s="18" t="s">
        <v>115</v>
      </c>
    </row>
    <row r="63" spans="1:10" x14ac:dyDescent="0.25">
      <c r="A63" s="189"/>
      <c r="B63" s="194"/>
      <c r="C63" s="194" t="s">
        <v>439</v>
      </c>
      <c r="D63" s="195"/>
      <c r="E63" s="195"/>
      <c r="F63" s="195"/>
      <c r="G63" s="201"/>
      <c r="I63" s="18" t="s">
        <v>116</v>
      </c>
    </row>
    <row r="64" spans="1:10" x14ac:dyDescent="0.25">
      <c r="A64" s="189"/>
      <c r="B64" s="196" t="s">
        <v>426</v>
      </c>
      <c r="C64" s="194" t="s">
        <v>438</v>
      </c>
      <c r="D64" s="195"/>
      <c r="E64" s="195"/>
      <c r="F64" s="195"/>
      <c r="G64" s="201"/>
      <c r="I64" s="18" t="s">
        <v>117</v>
      </c>
    </row>
    <row r="65" spans="1:9" x14ac:dyDescent="0.25">
      <c r="A65" s="189"/>
      <c r="B65" s="196" t="s">
        <v>427</v>
      </c>
      <c r="C65" s="194" t="s">
        <v>443</v>
      </c>
      <c r="D65" s="195"/>
      <c r="E65" s="195"/>
      <c r="F65" s="195"/>
      <c r="G65" s="201"/>
      <c r="I65" s="18" t="s">
        <v>118</v>
      </c>
    </row>
    <row r="66" spans="1:9" x14ac:dyDescent="0.25">
      <c r="A66" s="189"/>
      <c r="B66" s="197"/>
      <c r="C66" s="198" t="s">
        <v>446</v>
      </c>
      <c r="D66" s="199"/>
      <c r="E66" s="200"/>
      <c r="F66" s="132"/>
      <c r="G66" s="201"/>
      <c r="I66" s="18" t="s">
        <v>119</v>
      </c>
    </row>
    <row r="67" spans="1:9" x14ac:dyDescent="0.25">
      <c r="A67" s="176"/>
      <c r="B67" s="178"/>
      <c r="C67" s="178"/>
      <c r="D67" s="178"/>
      <c r="E67" s="178"/>
      <c r="F67" s="178"/>
      <c r="G67" s="179"/>
      <c r="I67" s="18" t="s">
        <v>120</v>
      </c>
    </row>
    <row r="68" spans="1:9" x14ac:dyDescent="0.25">
      <c r="I68" s="109">
        <f>SUBTOTAL(103,EpscorTable[Epscor])</f>
        <v>27</v>
      </c>
    </row>
    <row r="69" spans="1:9" x14ac:dyDescent="0.25">
      <c r="I69" s="109"/>
    </row>
    <row r="70" spans="1:9" x14ac:dyDescent="0.25">
      <c r="I70" s="109"/>
    </row>
    <row r="71" spans="1:9" x14ac:dyDescent="0.25">
      <c r="I71" s="109"/>
    </row>
    <row r="72" spans="1:9" ht="25.5" x14ac:dyDescent="0.45">
      <c r="B72" s="121" t="s">
        <v>464</v>
      </c>
    </row>
    <row r="74" spans="1:9" ht="16.5" x14ac:dyDescent="0.3">
      <c r="B74" s="120" t="s">
        <v>470</v>
      </c>
    </row>
    <row r="75" spans="1:9" ht="16.5" x14ac:dyDescent="0.3">
      <c r="B75" s="120" t="s">
        <v>474</v>
      </c>
    </row>
    <row r="76" spans="1:9" ht="16.5" x14ac:dyDescent="0.3">
      <c r="B76" s="120" t="s">
        <v>473</v>
      </c>
    </row>
    <row r="77" spans="1:9" ht="16.5" x14ac:dyDescent="0.3">
      <c r="B77" s="120" t="s">
        <v>476</v>
      </c>
    </row>
    <row r="78" spans="1:9" ht="16.5" x14ac:dyDescent="0.3">
      <c r="B78" s="210" t="s">
        <v>475</v>
      </c>
      <c r="C78" s="3"/>
      <c r="D78" s="3"/>
      <c r="E78" s="3"/>
    </row>
    <row r="79" spans="1:9" ht="16.5" x14ac:dyDescent="0.3">
      <c r="B79" s="210" t="s">
        <v>471</v>
      </c>
      <c r="C79" s="3"/>
      <c r="D79" s="3"/>
      <c r="E79" s="3"/>
    </row>
    <row r="80" spans="1:9" ht="16.5" x14ac:dyDescent="0.3">
      <c r="B80" s="210" t="s">
        <v>472</v>
      </c>
      <c r="C80" s="3"/>
      <c r="D80" s="3"/>
      <c r="E80" s="3"/>
    </row>
    <row r="81" spans="2:4" ht="16.5" x14ac:dyDescent="0.3">
      <c r="B81" s="120"/>
    </row>
    <row r="82" spans="2:4" ht="16.5" x14ac:dyDescent="0.3">
      <c r="B82" s="120" t="s">
        <v>468</v>
      </c>
    </row>
    <row r="83" spans="2:4" ht="16.5" x14ac:dyDescent="0.3">
      <c r="B83" s="120" t="s">
        <v>469</v>
      </c>
      <c r="D83" s="7" t="s">
        <v>465</v>
      </c>
    </row>
    <row r="84" spans="2:4" ht="17.25" x14ac:dyDescent="0.35">
      <c r="B84" s="120" t="s">
        <v>486</v>
      </c>
    </row>
    <row r="85" spans="2:4" ht="16.5" x14ac:dyDescent="0.3">
      <c r="B85" s="120" t="s">
        <v>483</v>
      </c>
    </row>
    <row r="86" spans="2:4" ht="16.5" x14ac:dyDescent="0.3">
      <c r="B86" s="120" t="s">
        <v>487</v>
      </c>
    </row>
    <row r="87" spans="2:4" ht="16.5" x14ac:dyDescent="0.3">
      <c r="B87" s="120" t="s">
        <v>488</v>
      </c>
    </row>
    <row r="88" spans="2:4" ht="16.5" x14ac:dyDescent="0.3">
      <c r="B88" s="120" t="s">
        <v>484</v>
      </c>
    </row>
    <row r="89" spans="2:4" ht="16.5" x14ac:dyDescent="0.3">
      <c r="B89" s="120"/>
    </row>
    <row r="90" spans="2:4" ht="16.5" x14ac:dyDescent="0.3">
      <c r="B90" s="210" t="s">
        <v>489</v>
      </c>
    </row>
  </sheetData>
  <mergeCells count="1">
    <mergeCell ref="D19:F19"/>
  </mergeCells>
  <hyperlinks>
    <hyperlink ref="J50" r:id="rId1"/>
    <hyperlink ref="F35" r:id="rId2" display="(link)"/>
    <hyperlink ref="D83" r:id="rId3"/>
  </hyperlinks>
  <pageMargins left="0.25" right="0.25" top="0.75" bottom="0.75" header="0.3" footer="0.3"/>
  <pageSetup scale="73"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6081" r:id="rId7" name="cbAutoloadAll">
              <controlPr defaultSize="0" autoFill="0" autoLine="0" autoPict="0">
                <anchor moveWithCells="1">
                  <from>
                    <xdr:col>2</xdr:col>
                    <xdr:colOff>200025</xdr:colOff>
                    <xdr:row>57</xdr:row>
                    <xdr:rowOff>0</xdr:rowOff>
                  </from>
                  <to>
                    <xdr:col>3</xdr:col>
                    <xdr:colOff>1647825</xdr:colOff>
                    <xdr:row>58</xdr:row>
                    <xdr:rowOff>85725</xdr:rowOff>
                  </to>
                </anchor>
              </controlPr>
            </control>
          </mc:Choice>
        </mc:AlternateContent>
        <mc:AlternateContent xmlns:mc="http://schemas.openxmlformats.org/markup-compatibility/2006">
          <mc:Choice Requires="x14">
            <control shapeId="46082" r:id="rId8" name="obtnNeverOverwrite">
              <controlPr defaultSize="0" autoFill="0" autoLine="0" autoPict="0" altText="Never overwrite existing RA text in eJacket">
                <anchor moveWithCells="1">
                  <from>
                    <xdr:col>2</xdr:col>
                    <xdr:colOff>200025</xdr:colOff>
                    <xdr:row>48</xdr:row>
                    <xdr:rowOff>19050</xdr:rowOff>
                  </from>
                  <to>
                    <xdr:col>4</xdr:col>
                    <xdr:colOff>209550</xdr:colOff>
                    <xdr:row>49</xdr:row>
                    <xdr:rowOff>19050</xdr:rowOff>
                  </to>
                </anchor>
              </controlPr>
            </control>
          </mc:Choice>
        </mc:AlternateContent>
        <mc:AlternateContent xmlns:mc="http://schemas.openxmlformats.org/markup-compatibility/2006">
          <mc:Choice Requires="x14">
            <control shapeId="46083" r:id="rId9" name="obtnAskOverwrite">
              <controlPr defaultSize="0" autoFill="0" autoLine="0" autoPict="0">
                <anchor moveWithCells="1">
                  <from>
                    <xdr:col>2</xdr:col>
                    <xdr:colOff>200025</xdr:colOff>
                    <xdr:row>49</xdr:row>
                    <xdr:rowOff>47625</xdr:rowOff>
                  </from>
                  <to>
                    <xdr:col>4</xdr:col>
                    <xdr:colOff>285750</xdr:colOff>
                    <xdr:row>50</xdr:row>
                    <xdr:rowOff>19050</xdr:rowOff>
                  </to>
                </anchor>
              </controlPr>
            </control>
          </mc:Choice>
        </mc:AlternateContent>
        <mc:AlternateContent xmlns:mc="http://schemas.openxmlformats.org/markup-compatibility/2006">
          <mc:Choice Requires="x14">
            <control shapeId="46084" r:id="rId10" name="obtnAlwaysOverwrite">
              <controlPr defaultSize="0" autoFill="0" autoLine="0" autoPict="0" macro="[0]!OptionButton_AreYouSure">
                <anchor moveWithCells="1">
                  <from>
                    <xdr:col>2</xdr:col>
                    <xdr:colOff>200025</xdr:colOff>
                    <xdr:row>50</xdr:row>
                    <xdr:rowOff>28575</xdr:rowOff>
                  </from>
                  <to>
                    <xdr:col>4</xdr:col>
                    <xdr:colOff>133350</xdr:colOff>
                    <xdr:row>51</xdr:row>
                    <xdr:rowOff>47625</xdr:rowOff>
                  </to>
                </anchor>
              </controlPr>
            </control>
          </mc:Choice>
        </mc:AlternateContent>
        <mc:AlternateContent xmlns:mc="http://schemas.openxmlformats.org/markup-compatibility/2006">
          <mc:Choice Requires="x14">
            <control shapeId="46085" r:id="rId11" name="Button 5">
              <controlPr defaultSize="0" autoFill="0" autoPict="0" macro="[0]!Picker_dirRAoutput">
                <anchor moveWithCells="1">
                  <from>
                    <xdr:col>1</xdr:col>
                    <xdr:colOff>266700</xdr:colOff>
                    <xdr:row>64</xdr:row>
                    <xdr:rowOff>161925</xdr:rowOff>
                  </from>
                  <to>
                    <xdr:col>2</xdr:col>
                    <xdr:colOff>333375</xdr:colOff>
                    <xdr:row>66</xdr:row>
                    <xdr:rowOff>9525</xdr:rowOff>
                  </to>
                </anchor>
              </controlPr>
            </control>
          </mc:Choice>
        </mc:AlternateContent>
        <mc:AlternateContent xmlns:mc="http://schemas.openxmlformats.org/markup-compatibility/2006">
          <mc:Choice Requires="x14">
            <control shapeId="46086" r:id="rId12" name="Button 6">
              <controlPr defaultSize="0" autoFill="0" autoPict="0" macro="[0]!Picker_dirRAtemplate">
                <anchor moveWithCells="1">
                  <from>
                    <xdr:col>1</xdr:col>
                    <xdr:colOff>257175</xdr:colOff>
                    <xdr:row>24</xdr:row>
                    <xdr:rowOff>0</xdr:rowOff>
                  </from>
                  <to>
                    <xdr:col>2</xdr:col>
                    <xdr:colOff>333375</xdr:colOff>
                    <xdr:row>25</xdr:row>
                    <xdr:rowOff>9525</xdr:rowOff>
                  </to>
                </anchor>
              </controlPr>
            </control>
          </mc:Choice>
        </mc:AlternateContent>
        <mc:AlternateContent xmlns:mc="http://schemas.openxmlformats.org/markup-compatibility/2006">
          <mc:Choice Requires="x14">
            <control shapeId="46088" r:id="rId13" name="Button 8">
              <controlPr defaultSize="0" autoFill="0" autoPict="0" macro="[0]!Picker_dirRAtemplate">
                <anchor moveWithCells="1">
                  <from>
                    <xdr:col>1</xdr:col>
                    <xdr:colOff>257175</xdr:colOff>
                    <xdr:row>17</xdr:row>
                    <xdr:rowOff>190500</xdr:rowOff>
                  </from>
                  <to>
                    <xdr:col>2</xdr:col>
                    <xdr:colOff>333375</xdr:colOff>
                    <xdr:row>19</xdr:row>
                    <xdr:rowOff>0</xdr:rowOff>
                  </to>
                </anchor>
              </controlPr>
            </control>
          </mc:Choice>
        </mc:AlternateContent>
        <mc:AlternateContent xmlns:mc="http://schemas.openxmlformats.org/markup-compatibility/2006">
          <mc:Choice Requires="x14">
            <control shapeId="46091" r:id="rId14" name="Button 11">
              <controlPr defaultSize="0" autoFill="0" autoPict="0" macro="[0]!testPermissions">
                <anchor moveWithCells="1">
                  <from>
                    <xdr:col>1</xdr:col>
                    <xdr:colOff>247650</xdr:colOff>
                    <xdr:row>10</xdr:row>
                    <xdr:rowOff>19050</xdr:rowOff>
                  </from>
                  <to>
                    <xdr:col>2</xdr:col>
                    <xdr:colOff>333375</xdr:colOff>
                    <xdr:row>11</xdr:row>
                    <xdr:rowOff>9525</xdr:rowOff>
                  </to>
                </anchor>
              </controlPr>
            </control>
          </mc:Choice>
        </mc:AlternateContent>
        <mc:AlternateContent xmlns:mc="http://schemas.openxmlformats.org/markup-compatibility/2006">
          <mc:Choice Requires="x14">
            <control shapeId="46093" r:id="rId15" name="Button 13">
              <controlPr defaultSize="0" autoFill="0" autoPict="0" macro="[0]!List_Templates">
                <anchor moveWithCells="1">
                  <from>
                    <xdr:col>1</xdr:col>
                    <xdr:colOff>257175</xdr:colOff>
                    <xdr:row>28</xdr:row>
                    <xdr:rowOff>180975</xdr:rowOff>
                  </from>
                  <to>
                    <xdr:col>2</xdr:col>
                    <xdr:colOff>333375</xdr:colOff>
                    <xdr:row>30</xdr:row>
                    <xdr:rowOff>9525</xdr:rowOff>
                  </to>
                </anchor>
              </controlPr>
            </control>
          </mc:Choice>
        </mc:AlternateContent>
        <mc:AlternateContent xmlns:mc="http://schemas.openxmlformats.org/markup-compatibility/2006">
          <mc:Choice Requires="x14">
            <control shapeId="46094" r:id="rId16" name="Button 14">
              <controlPr defaultSize="0" print="0" autoFill="0" autoPict="0" macro="[0]!copyLocationAndClose">
                <anchor moveWithCells="1" sizeWithCells="1">
                  <from>
                    <xdr:col>1</xdr:col>
                    <xdr:colOff>180975</xdr:colOff>
                    <xdr:row>88</xdr:row>
                    <xdr:rowOff>19050</xdr:rowOff>
                  </from>
                  <to>
                    <xdr:col>4</xdr:col>
                    <xdr:colOff>180975</xdr:colOff>
                    <xdr:row>89</xdr:row>
                    <xdr:rowOff>0</xdr:rowOff>
                  </to>
                </anchor>
              </controlPr>
            </control>
          </mc:Choice>
        </mc:AlternateContent>
        <mc:AlternateContent xmlns:mc="http://schemas.openxmlformats.org/markup-compatibility/2006">
          <mc:Choice Requires="x14">
            <control shapeId="46090" r:id="rId17" name="Button 10">
              <controlPr defaultSize="0" autoFill="0" autoPict="0" macro="[0]!Picker_dirRoboRA">
                <anchor moveWithCells="1">
                  <from>
                    <xdr:col>1</xdr:col>
                    <xdr:colOff>266700</xdr:colOff>
                    <xdr:row>35</xdr:row>
                    <xdr:rowOff>180975</xdr:rowOff>
                  </from>
                  <to>
                    <xdr:col>3</xdr:col>
                    <xdr:colOff>0</xdr:colOff>
                    <xdr:row>37</xdr:row>
                    <xdr:rowOff>9525</xdr:rowOff>
                  </to>
                </anchor>
              </controlPr>
            </control>
          </mc:Choice>
        </mc:AlternateContent>
      </controls>
    </mc:Choice>
  </mc:AlternateContent>
  <tableParts count="3">
    <tablePart r:id="rId18"/>
    <tablePart r:id="rId19"/>
    <tablePart r:id="rId2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topLeftCell="A6" zoomScale="80" zoomScaleNormal="80" workbookViewId="0">
      <selection activeCell="A24" sqref="A24"/>
    </sheetView>
  </sheetViews>
  <sheetFormatPr defaultColWidth="9.28515625" defaultRowHeight="15" x14ac:dyDescent="0.25"/>
  <cols>
    <col min="1" max="1" width="16.7109375" style="58" customWidth="1"/>
    <col min="2" max="2" width="16.5703125" style="58" customWidth="1"/>
    <col min="3" max="3" width="98.5703125" style="77" customWidth="1"/>
    <col min="4" max="4" width="23.42578125" style="56" customWidth="1"/>
    <col min="5" max="5" width="12" style="56" customWidth="1"/>
    <col min="6" max="16384" width="9.28515625" style="56"/>
  </cols>
  <sheetData>
    <row r="1" spans="1:5" x14ac:dyDescent="0.25">
      <c r="A1" s="58" t="s">
        <v>215</v>
      </c>
    </row>
    <row r="2" spans="1:5" x14ac:dyDescent="0.25">
      <c r="A2" s="59" t="s">
        <v>216</v>
      </c>
      <c r="B2" s="60"/>
    </row>
    <row r="3" spans="1:5" x14ac:dyDescent="0.25">
      <c r="A3" s="59" t="s">
        <v>217</v>
      </c>
      <c r="B3" s="61"/>
    </row>
    <row r="4" spans="1:5" x14ac:dyDescent="0.25">
      <c r="A4" s="58" t="s">
        <v>218</v>
      </c>
      <c r="B4" s="60" t="s">
        <v>219</v>
      </c>
    </row>
    <row r="5" spans="1:5" x14ac:dyDescent="0.25">
      <c r="A5" s="58" t="s">
        <v>220</v>
      </c>
      <c r="B5" s="60" t="s">
        <v>221</v>
      </c>
    </row>
    <row r="6" spans="1:5" ht="18.75" x14ac:dyDescent="0.3">
      <c r="A6" s="58" t="s">
        <v>372</v>
      </c>
      <c r="B6" s="6" t="s">
        <v>373</v>
      </c>
      <c r="D6" s="123" t="s">
        <v>353</v>
      </c>
      <c r="E6" s="126">
        <v>2</v>
      </c>
    </row>
    <row r="7" spans="1:5" ht="18.75" x14ac:dyDescent="0.3">
      <c r="B7"/>
      <c r="D7" s="123" t="s">
        <v>374</v>
      </c>
      <c r="E7" s="124" t="s">
        <v>356</v>
      </c>
    </row>
    <row r="8" spans="1:5" ht="18.75" x14ac:dyDescent="0.3">
      <c r="A8" s="62" t="s">
        <v>203</v>
      </c>
      <c r="B8" s="63" t="s">
        <v>204</v>
      </c>
      <c r="D8" s="123" t="s">
        <v>358</v>
      </c>
      <c r="E8" s="125" t="s">
        <v>354</v>
      </c>
    </row>
    <row r="9" spans="1:5" ht="18.75" x14ac:dyDescent="0.3">
      <c r="A9" s="64" t="s">
        <v>208</v>
      </c>
      <c r="B9" s="65"/>
      <c r="D9" s="123" t="s">
        <v>359</v>
      </c>
      <c r="E9" s="125" t="s">
        <v>355</v>
      </c>
    </row>
    <row r="10" spans="1:5" ht="18.75" x14ac:dyDescent="0.3">
      <c r="A10" s="64" t="s">
        <v>193</v>
      </c>
      <c r="B10" s="65"/>
      <c r="D10" s="123" t="s">
        <v>360</v>
      </c>
      <c r="E10" s="125" t="s">
        <v>357</v>
      </c>
    </row>
    <row r="11" spans="1:5" ht="18.75" x14ac:dyDescent="0.3">
      <c r="A11" s="64" t="s">
        <v>207</v>
      </c>
      <c r="B11" s="65"/>
      <c r="D11" s="123" t="s">
        <v>361</v>
      </c>
      <c r="E11" s="125" t="s">
        <v>352</v>
      </c>
    </row>
    <row r="12" spans="1:5" x14ac:dyDescent="0.25">
      <c r="A12" s="64" t="s">
        <v>206</v>
      </c>
      <c r="B12" s="65"/>
    </row>
    <row r="13" spans="1:5" x14ac:dyDescent="0.25">
      <c r="A13" s="64" t="s">
        <v>205</v>
      </c>
      <c r="B13" s="65"/>
    </row>
    <row r="14" spans="1:5" x14ac:dyDescent="0.25">
      <c r="A14" s="64" t="s">
        <v>209</v>
      </c>
      <c r="B14" s="65"/>
    </row>
    <row r="15" spans="1:5" x14ac:dyDescent="0.25">
      <c r="A15" s="64" t="s">
        <v>210</v>
      </c>
      <c r="B15" s="65"/>
      <c r="D15" s="82" t="s">
        <v>312</v>
      </c>
      <c r="E15" t="s">
        <v>342</v>
      </c>
    </row>
    <row r="16" spans="1:5" x14ac:dyDescent="0.25">
      <c r="A16" s="64" t="s">
        <v>197</v>
      </c>
      <c r="B16" s="65"/>
      <c r="D16" s="24" t="s">
        <v>563</v>
      </c>
      <c r="E16" s="20">
        <v>1</v>
      </c>
    </row>
    <row r="17" spans="1:5" x14ac:dyDescent="0.25">
      <c r="A17" s="64" t="s">
        <v>200</v>
      </c>
      <c r="B17" s="65"/>
      <c r="D17" s="24" t="s">
        <v>530</v>
      </c>
      <c r="E17" s="20">
        <v>1</v>
      </c>
    </row>
    <row r="18" spans="1:5" x14ac:dyDescent="0.25">
      <c r="A18" s="66" t="s">
        <v>202</v>
      </c>
      <c r="B18" s="67"/>
      <c r="D18" s="24" t="s">
        <v>310</v>
      </c>
      <c r="E18" s="20">
        <v>2</v>
      </c>
    </row>
    <row r="19" spans="1:5" x14ac:dyDescent="0.25">
      <c r="D19"/>
      <c r="E19"/>
    </row>
    <row r="20" spans="1:5" x14ac:dyDescent="0.25">
      <c r="D20"/>
      <c r="E20"/>
    </row>
    <row r="21" spans="1:5" x14ac:dyDescent="0.25">
      <c r="D21"/>
      <c r="E21"/>
    </row>
    <row r="22" spans="1:5" ht="22.7" customHeight="1" x14ac:dyDescent="0.25">
      <c r="A22" s="68" t="s">
        <v>167</v>
      </c>
      <c r="B22" s="69" t="s">
        <v>222</v>
      </c>
      <c r="C22" s="78" t="s">
        <v>223</v>
      </c>
      <c r="D22"/>
      <c r="E22"/>
    </row>
    <row r="23" spans="1:5" ht="24" customHeight="1" x14ac:dyDescent="0.25">
      <c r="A23" s="58" t="s">
        <v>490</v>
      </c>
      <c r="B23" s="70">
        <v>43102.35601851852</v>
      </c>
      <c r="C23" s="79" t="s">
        <v>491</v>
      </c>
      <c r="D23"/>
      <c r="E23"/>
    </row>
    <row r="24" spans="1:5" ht="24" customHeight="1" x14ac:dyDescent="0.25">
      <c r="A24" s="58" t="s">
        <v>492</v>
      </c>
      <c r="B24" s="70">
        <v>43102.35601851852</v>
      </c>
      <c r="C24" s="79" t="s">
        <v>526</v>
      </c>
    </row>
    <row r="25" spans="1:5" ht="24" customHeight="1" x14ac:dyDescent="0.25">
      <c r="A25" s="58" t="s">
        <v>225</v>
      </c>
      <c r="B25" s="70">
        <v>43102.35601851852</v>
      </c>
      <c r="C25" s="79" t="s">
        <v>493</v>
      </c>
    </row>
    <row r="26" spans="1:5" ht="24" customHeight="1" x14ac:dyDescent="0.25">
      <c r="A26" s="58" t="s">
        <v>350</v>
      </c>
      <c r="B26" s="70">
        <v>43102.35601851852</v>
      </c>
      <c r="C26" s="79" t="s">
        <v>405</v>
      </c>
    </row>
    <row r="27" spans="1:5" ht="24" customHeight="1" x14ac:dyDescent="0.25">
      <c r="A27" s="58" t="s">
        <v>382</v>
      </c>
      <c r="B27" s="70">
        <v>43102.35601851852</v>
      </c>
      <c r="C27" s="79" t="s">
        <v>383</v>
      </c>
    </row>
    <row r="28" spans="1:5" ht="24" customHeight="1" x14ac:dyDescent="0.25">
      <c r="A28" s="58" t="s">
        <v>226</v>
      </c>
      <c r="B28" s="70">
        <v>43102.35601851852</v>
      </c>
      <c r="C28" s="79" t="s">
        <v>406</v>
      </c>
    </row>
    <row r="29" spans="1:5" ht="24" customHeight="1" x14ac:dyDescent="0.25">
      <c r="A29" s="58" t="s">
        <v>453</v>
      </c>
      <c r="B29" s="70">
        <v>43102.35601851852</v>
      </c>
      <c r="C29" s="79" t="s">
        <v>454</v>
      </c>
    </row>
    <row r="30" spans="1:5" ht="24" customHeight="1" x14ac:dyDescent="0.25">
      <c r="A30" s="58" t="s">
        <v>227</v>
      </c>
      <c r="B30" s="70">
        <v>43102.35601851852</v>
      </c>
      <c r="C30" s="79" t="s">
        <v>455</v>
      </c>
    </row>
    <row r="31" spans="1:5" ht="24" customHeight="1" x14ac:dyDescent="0.25">
      <c r="A31" s="58" t="s">
        <v>228</v>
      </c>
      <c r="B31" s="70">
        <v>43102.35601851852</v>
      </c>
      <c r="C31" s="79" t="s">
        <v>407</v>
      </c>
    </row>
    <row r="32" spans="1:5" ht="24" customHeight="1" x14ac:dyDescent="0.25">
      <c r="A32" s="58" t="s">
        <v>384</v>
      </c>
      <c r="B32" s="70">
        <v>43102.35601851852</v>
      </c>
      <c r="C32" s="79" t="s">
        <v>385</v>
      </c>
    </row>
    <row r="33" spans="1:3" ht="24" customHeight="1" x14ac:dyDescent="0.25">
      <c r="A33" s="58" t="s">
        <v>229</v>
      </c>
      <c r="B33" s="70">
        <v>43102.35601851852</v>
      </c>
      <c r="C33" s="79" t="s">
        <v>386</v>
      </c>
    </row>
    <row r="34" spans="1:3" ht="24" customHeight="1" x14ac:dyDescent="0.25">
      <c r="A34" s="58" t="s">
        <v>230</v>
      </c>
      <c r="B34" s="70">
        <v>43102.35601851852</v>
      </c>
      <c r="C34" s="79" t="s">
        <v>589</v>
      </c>
    </row>
    <row r="35" spans="1:3" ht="24" customHeight="1" x14ac:dyDescent="0.25">
      <c r="A35" s="58" t="s">
        <v>387</v>
      </c>
      <c r="B35" s="70">
        <v>43102.35601851852</v>
      </c>
      <c r="C35" s="79" t="s">
        <v>590</v>
      </c>
    </row>
    <row r="36" spans="1:3" ht="24" customHeight="1" x14ac:dyDescent="0.25">
      <c r="A36" s="58" t="s">
        <v>224</v>
      </c>
      <c r="B36" s="70">
        <v>43102.35601851852</v>
      </c>
      <c r="C36" s="79" t="s">
        <v>275</v>
      </c>
    </row>
    <row r="37" spans="1:3" ht="24" customHeight="1" x14ac:dyDescent="0.25">
      <c r="A37" s="58" t="s">
        <v>231</v>
      </c>
      <c r="B37" s="70">
        <v>43102.35601851852</v>
      </c>
      <c r="C37" s="79" t="s">
        <v>408</v>
      </c>
    </row>
    <row r="38" spans="1:3" ht="24" customHeight="1" x14ac:dyDescent="0.25">
      <c r="A38" s="58" t="s">
        <v>409</v>
      </c>
      <c r="B38" s="70">
        <v>43102.35601851852</v>
      </c>
      <c r="C38" s="79" t="s">
        <v>410</v>
      </c>
    </row>
    <row r="39" spans="1:3" ht="24" customHeight="1" x14ac:dyDescent="0.25">
      <c r="A39" s="58" t="s">
        <v>233</v>
      </c>
      <c r="B39" s="70">
        <v>43102.35601851852</v>
      </c>
      <c r="C39" s="79" t="s">
        <v>485</v>
      </c>
    </row>
    <row r="40" spans="1:3" ht="24" customHeight="1" x14ac:dyDescent="0.25">
      <c r="A40" s="58" t="s">
        <v>272</v>
      </c>
      <c r="B40" s="70">
        <v>43102.35601851852</v>
      </c>
      <c r="C40" s="79" t="s">
        <v>370</v>
      </c>
    </row>
    <row r="41" spans="1:3" ht="24" customHeight="1" x14ac:dyDescent="0.25">
      <c r="A41" s="58" t="s">
        <v>273</v>
      </c>
      <c r="B41" s="70">
        <v>43102.35601851852</v>
      </c>
      <c r="C41" s="79" t="s">
        <v>411</v>
      </c>
    </row>
    <row r="42" spans="1:3" ht="24" customHeight="1" x14ac:dyDescent="0.25">
      <c r="A42" s="58" t="s">
        <v>232</v>
      </c>
      <c r="B42" s="70">
        <v>43102.35601851852</v>
      </c>
      <c r="C42" s="79" t="s">
        <v>456</v>
      </c>
    </row>
    <row r="43" spans="1:3" ht="24" customHeight="1" x14ac:dyDescent="0.25">
      <c r="A43" s="58" t="s">
        <v>274</v>
      </c>
      <c r="B43" s="70">
        <v>43102.35601851852</v>
      </c>
      <c r="C43" s="79" t="s">
        <v>457</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B11A6-7F28-4369-9B55-3636E52D10EF}">
  <ds:schemaRefs>
    <ds:schemaRef ds:uri="http://purl.org/dc/terms/"/>
    <ds:schemaRef ds:uri="http://purl.org/dc/elements/1.1/"/>
    <ds:schemaRef ds:uri="http://purl.org/dc/dcmitype/"/>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59</vt:i4>
      </vt:variant>
    </vt:vector>
  </HeadingPairs>
  <TitlesOfParts>
    <vt:vector size="71"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dirRAtemplate</vt:lpstr>
      <vt:lpstr>dirRoboRA</vt:lpstr>
      <vt:lpstr>dirSharedRAtemplate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2018-01-02T19:07:11Z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