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P:\CCF Panel Minute Templates\"/>
    </mc:Choice>
  </mc:AlternateContent>
  <bookViews>
    <workbookView xWindow="0" yWindow="0" windowWidth="16065" windowHeight="8070"/>
  </bookViews>
  <sheets>
    <sheet name="MinutesMerge" sheetId="1" r:id="rId1"/>
    <sheet name="Instructions" sheetId="2" r:id="rId2"/>
  </sheets>
  <definedNames>
    <definedName name="Query_from_RPTSERVER" localSheetId="0" hidden="1">MinutesMerge!$G$1:$AA$2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2" i="1"/>
  <c r="C2" i="1"/>
  <c r="F2" i="1"/>
  <c r="E2" i="1" s="1"/>
  <c r="AB2" i="1"/>
  <c r="AC2" i="1"/>
  <c r="AE2" i="1"/>
  <c r="AF2" i="1"/>
  <c r="AD2" i="1" l="1"/>
  <c r="D2" i="1"/>
</calcChain>
</file>

<file path=xl/connections.xml><?xml version="1.0" encoding="utf-8"?>
<connections xmlns="http://schemas.openxmlformats.org/spreadsheetml/2006/main">
  <connection id="1" name="panel info query" type="1" refreshedVersion="6" savePassword="1" background="1" saveData="1">
    <dbPr connection="dsn=RPTSERVER;database=rptdb;server=RPTSQL.nsf.gov;port=5000;UID=ccfuser;PWD=CCfdata08/18;" command="SELECT panl.panl_id, panl.panl_name, panl.panl_bgn_date, panl.panl_end_date, panl.panl_loc, panl.org_code, panl.pgm_ele_code, panl.pm_logn_id,panl.meet_type_code, panl.meet_fmt, panl.fund_org_code, panl.fund_pgm_ele_code, panl.fund_app_code, panl_stts.panl_stts_txt, panl.oblg_flag, org.org_long_name, pgm_ele.pgm_ele_long_name,_x000d__x000a_(SELECT COUNT(panl_prop.prop_id) FROM csd.panl_prop panl_prop, csd.prop prop WHERE panl.panl_id = panl_prop.panl_id AND panl_prop.prop_id = prop.prop_id AND (prop.prop_id = isnull( prop.lead_prop_id, prop.prop_id) ) ) AS 'Nproj',_x000d__x000a_(SELECT COUNT(panl_prop.prop_id) FROM csd.panl_prop panl_prop WHERE panl.panl_id = panl_prop.panl_id) AS 'Nprop',_x000d__x000a_nullif((SELECT COUNT(panl_revr.revr_id) FROM csd.panl_revr panl_revr WHERE panl.panl_id = panl_revr.panl_id AND (panl_revr.tele_conf_part_flag = 'N')),0) AS 'Nrevr',_x000d__x000a_nullif((SELECT COUNT(panl_revr.revr_id) FROM csd.panl_revr panl_revr WHERE panl.panl_id = panl_revr.panl_id AND (panl_revr.tele_conf_part_flag = 'Y')),0) AS 'Nvirt_revr'_x000d__x000a_FROM csd.org org, csd.panl panl, csd.panl_stts panl_stts, csd.pgm_ele pgm_ele_x000d__x000a_WHERE panl.panl_stts_code = panl_stts.panl_stts_code AND panl.pgm_ele_code = pgm_ele.pgm_ele_code AND panl.org_code = org.org_code AND _x000d__x000a_(panl.panl_id In ('p181825'))_x000d__x000a__x000d__x000a_"/>
  </connection>
</connections>
</file>

<file path=xl/sharedStrings.xml><?xml version="1.0" encoding="utf-8"?>
<sst xmlns="http://schemas.openxmlformats.org/spreadsheetml/2006/main" count="203" uniqueCount="173">
  <si>
    <t>panl_id</t>
  </si>
  <si>
    <t>panl_name</t>
  </si>
  <si>
    <t>panl_bgn_date</t>
  </si>
  <si>
    <t>panl_end_date</t>
  </si>
  <si>
    <t>org_code</t>
  </si>
  <si>
    <t>pgm_ele_code</t>
  </si>
  <si>
    <t>pm_logn_id</t>
  </si>
  <si>
    <t>meet_type_code</t>
  </si>
  <si>
    <t>meet_fmt</t>
  </si>
  <si>
    <t>fund_org_code</t>
  </si>
  <si>
    <t>fund_pgm_ele_code</t>
  </si>
  <si>
    <t>fund_app_code</t>
  </si>
  <si>
    <t>panl_stts_txt</t>
  </si>
  <si>
    <t>oblg_flag</t>
  </si>
  <si>
    <t>org_long_name</t>
  </si>
  <si>
    <t>pgm_ele_long_name</t>
  </si>
  <si>
    <t>05010000</t>
  </si>
  <si>
    <t>7798</t>
  </si>
  <si>
    <t>TAOLI</t>
  </si>
  <si>
    <t>P</t>
  </si>
  <si>
    <t>C</t>
  </si>
  <si>
    <t>Active panel</t>
  </si>
  <si>
    <t>Y</t>
  </si>
  <si>
    <t>Division of Computing and Communication Foundations</t>
  </si>
  <si>
    <t>ACHTCHE</t>
  </si>
  <si>
    <t>SGREENS</t>
  </si>
  <si>
    <t>NAMLA</t>
  </si>
  <si>
    <t>ABANERJ</t>
  </si>
  <si>
    <t>SABASU</t>
  </si>
  <si>
    <t>Nproj</t>
  </si>
  <si>
    <t>Nprop</t>
  </si>
  <si>
    <t>Nrevr</t>
  </si>
  <si>
    <t>Dr. Li</t>
  </si>
  <si>
    <t>Dr. Tao Li (CISE/CCF/SHF)</t>
  </si>
  <si>
    <t>Dr. Nina Amla (CISE/CCF/SHF)</t>
  </si>
  <si>
    <t>Dr. Banerjee</t>
  </si>
  <si>
    <t>Dr. Sankar Basu (CISE/CCF/SHF)</t>
  </si>
  <si>
    <t>Dr. Basu</t>
  </si>
  <si>
    <t>pm_id</t>
  </si>
  <si>
    <t>frml_name_affil</t>
  </si>
  <si>
    <t>signed</t>
  </si>
  <si>
    <t>short_name</t>
  </si>
  <si>
    <t>officiating</t>
  </si>
  <si>
    <t>today</t>
  </si>
  <si>
    <t>addl_pd1</t>
  </si>
  <si>
    <t>addl_pd2</t>
  </si>
  <si>
    <t>panl_loc</t>
  </si>
  <si>
    <t>Nvirt_revr</t>
  </si>
  <si>
    <t>progElemName</t>
  </si>
  <si>
    <t>ProgElemABBRV</t>
  </si>
  <si>
    <t>SHF</t>
  </si>
  <si>
    <t>Algorithmic Foundations</t>
  </si>
  <si>
    <t>AF</t>
  </si>
  <si>
    <t>Communications &amp; Information Foundations</t>
  </si>
  <si>
    <t>CIF</t>
  </si>
  <si>
    <t>Software &amp; Hardware Foundations</t>
  </si>
  <si>
    <t>7796</t>
  </si>
  <si>
    <t>7797</t>
  </si>
  <si>
    <t>Note: put a single quote before PEC to make it text!</t>
  </si>
  <si>
    <t>Pgm_annc_name</t>
  </si>
  <si>
    <t>pgm_annc_name</t>
  </si>
  <si>
    <t>pgm_annc_id</t>
  </si>
  <si>
    <t>Dr. Tao Li</t>
  </si>
  <si>
    <t>Dr. Nina Amla</t>
  </si>
  <si>
    <t>Dr. Sankar Basu</t>
  </si>
  <si>
    <t>Dr. Almadena Chtchelkanova (CISE/CCF/SHF)</t>
  </si>
  <si>
    <t>Dr. Almadena Chtchelkanova</t>
  </si>
  <si>
    <t>Dr. Sol Greenspan (CISE/CCF/SHF)</t>
  </si>
  <si>
    <t>Dr. Sol Greenspan</t>
  </si>
  <si>
    <t>Dr. Greenspan</t>
  </si>
  <si>
    <t>Dr. Amla</t>
  </si>
  <si>
    <t>Dr. Anindya Banerjee</t>
  </si>
  <si>
    <t>Division</t>
  </si>
  <si>
    <t>Cluster Name</t>
  </si>
  <si>
    <t>Cluster Abbreviation</t>
  </si>
  <si>
    <t>Program Announcement Number</t>
  </si>
  <si>
    <t>Program Announcement Name</t>
  </si>
  <si>
    <t>Panel ID</t>
  </si>
  <si>
    <t>Panel Name</t>
  </si>
  <si>
    <t>Panel Begin Date</t>
  </si>
  <si>
    <t>Panel End Date</t>
  </si>
  <si>
    <t>Panel Location</t>
  </si>
  <si>
    <t>Number of Projects</t>
  </si>
  <si>
    <t>Number of Proposals</t>
  </si>
  <si>
    <t>Number of Reviewers</t>
  </si>
  <si>
    <t>Number of Virtual panelists</t>
  </si>
  <si>
    <t>Officiating PD</t>
  </si>
  <si>
    <t>PDs signature</t>
  </si>
  <si>
    <t>PD's short name</t>
  </si>
  <si>
    <t xml:space="preserve">The following merge fields are included in the letter  </t>
  </si>
  <si>
    <t>Update Table 2 above with your PD information</t>
  </si>
  <si>
    <t xml:space="preserve">Add your panel IDs in table 1 </t>
  </si>
  <si>
    <t>Then refresh  with the server password</t>
  </si>
  <si>
    <t>Instructions in Query</t>
  </si>
  <si>
    <t>instructions in Mail Merge</t>
  </si>
  <si>
    <t>Dr. Jack Snoeyink</t>
  </si>
  <si>
    <t>Dr. Snoeyink</t>
  </si>
  <si>
    <t>TKIMBRE</t>
  </si>
  <si>
    <t>RSHAH</t>
  </si>
  <si>
    <t>Dr. Tracy Kimbrel</t>
  </si>
  <si>
    <t>Dr. Rahul Shah</t>
  </si>
  <si>
    <t>Dr. Shah</t>
  </si>
  <si>
    <t>Dr. Kimbrel</t>
  </si>
  <si>
    <t>MBASU</t>
  </si>
  <si>
    <t>Dr. Mitra Basu</t>
  </si>
  <si>
    <t>Dr. Mitra Basu  (CISE/CCF/AF)</t>
  </si>
  <si>
    <t>The date the query  ran</t>
  </si>
  <si>
    <t>NSF #-#</t>
  </si>
  <si>
    <t>Program name</t>
  </si>
  <si>
    <t>secondary Program Managers</t>
  </si>
  <si>
    <t>JSNOEYI</t>
  </si>
  <si>
    <t>Add any missing PDs to Table 2, and any missing programs to Table 3.</t>
  </si>
  <si>
    <t>In Table 1, list panel ids, and fill in details on solicitation, program, and pm_ids for secondary PDs (primary comes from PARS).</t>
  </si>
  <si>
    <t>Note: put pm_ids in UPPER case to match what comes from the query.</t>
  </si>
  <si>
    <t xml:space="preserve">Open the mail merge Panel Minutes Template.doc in Word. </t>
  </si>
  <si>
    <t xml:space="preserve">Agree when it asks if you want to refresh from the database. </t>
  </si>
  <si>
    <t xml:space="preserve">Under Mailings, preview and edit individual documents, if needed. </t>
  </si>
  <si>
    <t xml:space="preserve">Finish to print or save. </t>
  </si>
  <si>
    <t>Dr. Chtchelkanova</t>
  </si>
  <si>
    <t xml:space="preserve">Enable Content, hit Refresh, enter the rptserver password, then Save. </t>
  </si>
  <si>
    <t xml:space="preserve"> Table 2: Program Manager names are copied from here (ususally needs no change)</t>
  </si>
  <si>
    <t>Table 3:  program names from here (usually no change)</t>
  </si>
  <si>
    <t xml:space="preserve">Table 1: Clear out old panels, then and fill in table with panel ids and panel details needed. </t>
  </si>
  <si>
    <t>row</t>
  </si>
  <si>
    <t>JCOZZEN</t>
  </si>
  <si>
    <t>RIBROWN</t>
  </si>
  <si>
    <t>Dr. Cozzen</t>
  </si>
  <si>
    <t>Dr. Brown</t>
  </si>
  <si>
    <t>7239</t>
  </si>
  <si>
    <t>Algorithms in the Field</t>
  </si>
  <si>
    <t>AitF</t>
  </si>
  <si>
    <t>Mail Merge instructions for Word Doc</t>
  </si>
  <si>
    <t xml:space="preserve">Open existing applicable letter </t>
  </si>
  <si>
    <t>Click on Mailings from Ribbon Menu</t>
  </si>
  <si>
    <t>Click on Start Mail Merge</t>
  </si>
  <si>
    <t>Click on Step by Step mail merge wizard</t>
  </si>
  <si>
    <t>Click on "Select a different List…"</t>
  </si>
  <si>
    <t>File the file name: choose: Copy of PanelMinutesData</t>
  </si>
  <si>
    <t>Click Open</t>
  </si>
  <si>
    <t>Double Click MinutesMerge$</t>
  </si>
  <si>
    <t>From the Mail Merge Recipients box, choose "OK"</t>
  </si>
  <si>
    <t>Check your letter.  If all is well, click on "Finish &amp; Merge"</t>
  </si>
  <si>
    <t>Then Print Documents..</t>
  </si>
  <si>
    <t>Dr. John Cozzens (CISE/CCF/CIF)</t>
  </si>
  <si>
    <t>Dr. John Cozzens</t>
  </si>
  <si>
    <t>Dr. Rick Brown (CISE/CCF/CIF)</t>
  </si>
  <si>
    <t>Dr. Rick Brown</t>
  </si>
  <si>
    <t>9199</t>
  </si>
  <si>
    <t>DMASLOV</t>
  </si>
  <si>
    <t>Dr. Dmitry Maslov (CISE/CCF/AF)</t>
  </si>
  <si>
    <t>Dr. Dmitry Maslov</t>
  </si>
  <si>
    <t>Dr. Maslov</t>
  </si>
  <si>
    <t>Dr. Anindya Banerjee (CISE/CCF/SPX)</t>
  </si>
  <si>
    <t>Dr. Phillip Regalia (CISE/CCF/CIF)</t>
  </si>
  <si>
    <t xml:space="preserve">Dr. Phillip Regalia </t>
  </si>
  <si>
    <t>Dr. Regalia</t>
  </si>
  <si>
    <t>NAKANNA</t>
  </si>
  <si>
    <t>Dr. Nandini Kannan (MPS/DMS/TRIPODS)</t>
  </si>
  <si>
    <t>Dr. Nandini Kannan</t>
  </si>
  <si>
    <t>Dr. Kannan</t>
  </si>
  <si>
    <t>Dr. Tracy Kimbrel (CISE/CCF/AF)</t>
  </si>
  <si>
    <t>Dr. Jack Snoeyink (CISE/CCF/AF)</t>
  </si>
  <si>
    <t>Dr. Rahul Shah (CISE/CCF/AF)</t>
  </si>
  <si>
    <t>0118</t>
  </si>
  <si>
    <t>PREGALI</t>
  </si>
  <si>
    <t>NSF 17-571</t>
  </si>
  <si>
    <t>Computing and Communication Foundations (CCF): Core Programs</t>
  </si>
  <si>
    <t>p181825</t>
  </si>
  <si>
    <t>P181825</t>
  </si>
  <si>
    <t>AF BioComp Virtual Panel April 20</t>
  </si>
  <si>
    <t>NSF</t>
  </si>
  <si>
    <t>7931</t>
  </si>
  <si>
    <t>COMPUTATIONAL BIOLOGY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</si>
</sst>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Times New Roman"/>
      <family val="1"/>
    </font>
    <font>
      <sz val="11"/>
      <color theme="5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2" borderId="2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49" fontId="0" fillId="0" borderId="1" xfId="0" applyNumberFormat="1" applyFont="1" applyFill="1" applyBorder="1"/>
    <xf numFmtId="49" fontId="0" fillId="0" borderId="0" xfId="0" applyNumberFormat="1"/>
    <xf numFmtId="1" fontId="0" fillId="0" borderId="0" xfId="0" applyNumberFormat="1"/>
    <xf numFmtId="49" fontId="0" fillId="0" borderId="0" xfId="0" quotePrefix="1" applyNumberFormat="1"/>
    <xf numFmtId="0" fontId="0" fillId="0" borderId="1" xfId="0" applyBorder="1"/>
    <xf numFmtId="0" fontId="0" fillId="0" borderId="0" xfId="0" applyFont="1" applyFill="1" applyBorder="1"/>
    <xf numFmtId="49" fontId="2" fillId="2" borderId="1" xfId="0" applyNumberFormat="1" applyFont="1" applyFill="1" applyBorder="1"/>
    <xf numFmtId="49" fontId="0" fillId="0" borderId="1" xfId="0" quotePrefix="1" applyNumberFormat="1" applyBorder="1"/>
    <xf numFmtId="49" fontId="0" fillId="0" borderId="0" xfId="0" quotePrefix="1" applyNumberFormat="1" applyFont="1" applyFill="1" applyBorder="1"/>
    <xf numFmtId="49" fontId="3" fillId="0" borderId="0" xfId="0" applyNumberFormat="1" applyFont="1"/>
    <xf numFmtId="164" fontId="0" fillId="0" borderId="0" xfId="0" applyNumberFormat="1"/>
    <xf numFmtId="164" fontId="2" fillId="2" borderId="1" xfId="0" applyNumberFormat="1" applyFont="1" applyFill="1" applyBorder="1"/>
    <xf numFmtId="0" fontId="0" fillId="0" borderId="0" xfId="0" applyBorder="1"/>
    <xf numFmtId="49" fontId="0" fillId="0" borderId="4" xfId="0" applyNumberFormat="1" applyFont="1" applyFill="1" applyBorder="1"/>
    <xf numFmtId="0" fontId="0" fillId="0" borderId="0" xfId="0" applyFill="1"/>
    <xf numFmtId="0" fontId="4" fillId="0" borderId="0" xfId="0" applyFont="1" applyFill="1"/>
    <xf numFmtId="0" fontId="5" fillId="0" borderId="0" xfId="0" applyFont="1"/>
    <xf numFmtId="49" fontId="5" fillId="0" borderId="0" xfId="0" applyNumberFormat="1" applyFont="1"/>
    <xf numFmtId="0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 applyAlignment="1"/>
    <xf numFmtId="0" fontId="0" fillId="4" borderId="5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4" fillId="0" borderId="0" xfId="0" applyFont="1"/>
    <xf numFmtId="0" fontId="1" fillId="0" borderId="7" xfId="0" applyFont="1" applyFill="1" applyBorder="1" applyAlignment="1">
      <alignment horizontal="center" vertical="center"/>
    </xf>
    <xf numFmtId="49" fontId="0" fillId="0" borderId="0" xfId="0" applyNumberFormat="1" applyFill="1" applyBorder="1"/>
    <xf numFmtId="0" fontId="1" fillId="0" borderId="8" xfId="0" applyFont="1" applyBorder="1" applyAlignment="1">
      <alignment vertical="center"/>
    </xf>
    <xf numFmtId="14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20">
    <dxf>
      <numFmt numFmtId="19" formatCode="m/d/yyyy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rgb="FFFFF8E5"/>
        </patternFill>
      </fill>
    </dxf>
    <dxf>
      <fill>
        <patternFill>
          <bgColor rgb="FFFFF8E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2</xdr:row>
          <xdr:rowOff>66675</xdr:rowOff>
        </xdr:from>
        <xdr:to>
          <xdr:col>4</xdr:col>
          <xdr:colOff>142875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MinutesMerge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46" unboundColumnsLeft="6" unboundColumnsRight="5">
    <queryTableFields count="32">
      <queryTableField id="28" dataBound="0" tableColumnId="25"/>
      <queryTableField id="31" dataBound="0" tableColumnId="17"/>
      <queryTableField id="44" dataBound="0" tableColumnId="31"/>
      <queryTableField id="30" dataBound="0" tableColumnId="23"/>
      <queryTableField id="29" dataBound="0" tableColumnId="24"/>
      <queryTableField id="45" dataBound="0" tableColumnId="32"/>
      <queryTableField id="1" name="panl_id" tableColumnId="1"/>
      <queryTableField id="2" name="panl_name" tableColumnId="2"/>
      <queryTableField id="3" name="panl_bgn_date" tableColumnId="3"/>
      <queryTableField id="4" name="panl_end_date" tableColumnId="4"/>
      <queryTableField id="36" name="panl_loc" tableColumnId="19"/>
      <queryTableField id="22" name="Nproj" tableColumnId="20"/>
      <queryTableField id="23" name="Nprop" tableColumnId="21"/>
      <queryTableField id="24" name="Nrevr" tableColumnId="22"/>
      <queryTableField id="37" name="Nvirt_revr" tableColumnId="26"/>
      <queryTableField id="7" name="pm_logn_id" tableColumnId="7"/>
      <queryTableField id="8" name="meet_type_code" tableColumnId="8"/>
      <queryTableField id="9" name="meet_fmt" tableColumnId="9"/>
      <queryTableField id="10" name="fund_org_code" tableColumnId="10"/>
      <queryTableField id="11" name="fund_pgm_ele_code" tableColumnId="11"/>
      <queryTableField id="12" name="fund_app_code" tableColumnId="12"/>
      <queryTableField id="13" name="panl_stts_txt" tableColumnId="13"/>
      <queryTableField id="14" name="oblg_flag" tableColumnId="14"/>
      <queryTableField id="5" name="org_code" tableColumnId="5"/>
      <queryTableField id="6" name="pgm_ele_code" tableColumnId="6"/>
      <queryTableField id="15" name="org_long_name" tableColumnId="15"/>
      <queryTableField id="16" name="pgm_ele_long_name" tableColumnId="16"/>
      <queryTableField id="41" dataBound="0" tableColumnId="28"/>
      <queryTableField id="40" dataBound="0" tableColumnId="27"/>
      <queryTableField id="43" dataBound="0" tableColumnId="30"/>
      <queryTableField id="42" dataBound="0" tableColumnId="29"/>
      <queryTableField id="35" dataBound="0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RPTSERVER" displayName="Table_Query_from_RPTSERVER" ref="A1:AF2" tableType="queryTable" totalsRowShown="0">
  <autoFilter ref="A1:AF2"/>
  <tableColumns count="32">
    <tableColumn id="25" uniqueName="25" name="officiating" queryTableFieldId="28">
      <calculatedColumnFormula>VLOOKUP(Table_Query_from_RPTSERVER[[#This Row],[pm_logn_id]],PDnames[#All],2,FALSE)</calculatedColumnFormula>
    </tableColumn>
    <tableColumn id="17" uniqueName="17" name="signed" queryTableFieldId="31">
      <calculatedColumnFormula>VLOOKUP(Table_Query_from_RPTSERVER[[#This Row],[pm_logn_id]],PDnames[#All],3,FALSE)</calculatedColumnFormula>
    </tableColumn>
    <tableColumn id="31" uniqueName="31" name="short_name" queryTableFieldId="44">
      <calculatedColumnFormula>VLOOKUP(Table_Query_from_RPTSERVER[[#This Row],[pm_logn_id]],PDnames[#All],4,FALSE)</calculatedColumnFormula>
    </tableColumn>
    <tableColumn id="23" uniqueName="23" name="addl_pd1" queryTableFieldId="30" dataDxfId="9">
      <calculatedColumnFormula>IF(ISBLANK( INDEX(PanelTable[addl_pd1],Table_Query_from_RPTSERVER[[#This Row],[row]])),"",INDEX(PanelTable[addl_pd1],Table_Query_from_RPTSERVER[[#This Row],[row]]))</calculatedColumnFormula>
    </tableColumn>
    <tableColumn id="24" uniqueName="24" name="addl_pd2" queryTableFieldId="29" dataDxfId="8">
      <calculatedColumnFormula>IF(ISBLANK( INDEX(PanelTable[addl_pd2],Table_Query_from_RPTSERVER[[#This Row],[row]])),"",INDEX(PanelTable[addl_pd2],Table_Query_from_RPTSERVER[[#This Row],[row]]))</calculatedColumnFormula>
    </tableColumn>
    <tableColumn id="32" uniqueName="32" name="row" queryTableFieldId="45" dataDxfId="7">
      <calculatedColumnFormula>MATCH(Table_Query_from_RPTSERVER[[#This Row],[panl_id]],PanelTable[panl_id],0)</calculatedColumnFormula>
    </tableColumn>
    <tableColumn id="1" uniqueName="1" name="panl_id" queryTableFieldId="1"/>
    <tableColumn id="2" uniqueName="2" name="panl_name" queryTableFieldId="2"/>
    <tableColumn id="3" uniqueName="3" name="panl_bgn_date" queryTableFieldId="3" dataDxfId="6"/>
    <tableColumn id="4" uniqueName="4" name="panl_end_date" queryTableFieldId="4" dataDxfId="5"/>
    <tableColumn id="19" uniqueName="19" name="panl_loc" queryTableFieldId="36"/>
    <tableColumn id="20" uniqueName="20" name="Nproj" queryTableFieldId="22" dataDxfId="4"/>
    <tableColumn id="21" uniqueName="21" name="Nprop" queryTableFieldId="23" dataDxfId="3"/>
    <tableColumn id="22" uniqueName="22" name="Nrevr" queryTableFieldId="24" dataDxfId="2"/>
    <tableColumn id="26" uniqueName="26" name="Nvirt_revr" queryTableFieldId="37"/>
    <tableColumn id="7" uniqueName="7" name="pm_logn_id" queryTableFieldId="7"/>
    <tableColumn id="8" uniqueName="8" name="meet_type_code" queryTableFieldId="8"/>
    <tableColumn id="9" uniqueName="9" name="meet_fmt" queryTableFieldId="9"/>
    <tableColumn id="10" uniqueName="10" name="fund_org_code" queryTableFieldId="10"/>
    <tableColumn id="11" uniqueName="11" name="fund_pgm_ele_code" queryTableFieldId="11"/>
    <tableColumn id="12" uniqueName="12" name="fund_app_code" queryTableFieldId="12"/>
    <tableColumn id="13" uniqueName="13" name="panl_stts_txt" queryTableFieldId="13"/>
    <tableColumn id="14" uniqueName="14" name="oblg_flag" queryTableFieldId="14"/>
    <tableColumn id="5" uniqueName="5" name="org_code" queryTableFieldId="5"/>
    <tableColumn id="6" uniqueName="6" name="pgm_ele_code" queryTableFieldId="6" dataDxfId="1"/>
    <tableColumn id="15" uniqueName="15" name="org_long_name" queryTableFieldId="15"/>
    <tableColumn id="16" uniqueName="16" name="pgm_ele_long_name" queryTableFieldId="16"/>
    <tableColumn id="28" uniqueName="28" name="progElemName" queryTableFieldId="41">
      <calculatedColumnFormula>VLOOKUP(Table_Query_from_RPTSERVER[[#This Row],[pgm_ele_code]],ProgElemTable[],2,FALSE)</calculatedColumnFormula>
    </tableColumn>
    <tableColumn id="27" uniqueName="27" name="ProgElemABBRV" queryTableFieldId="40">
      <calculatedColumnFormula>VLOOKUP(Table_Query_from_RPTSERVER[[#This Row],[pgm_ele_code]],ProgElemTable[],3,FALSE)</calculatedColumnFormula>
    </tableColumn>
    <tableColumn id="30" uniqueName="30" name="pgm_annc_id" queryTableFieldId="43">
      <calculatedColumnFormula xml:space="preserve"> INDEX(PanelTable[pgm_annc_id],Table_Query_from_RPTSERVER[[#This Row],[row]])</calculatedColumnFormula>
    </tableColumn>
    <tableColumn id="29" uniqueName="29" name="Pgm_annc_name" queryTableFieldId="42">
      <calculatedColumnFormula xml:space="preserve"> INDEX(PanelTable[pgm_annc_name],Table_Query_from_RPTSERVER[[#This Row],[row]])</calculatedColumnFormula>
    </tableColumn>
    <tableColumn id="18" uniqueName="18" name="today" queryTableFieldId="35" dataDxfId="0">
      <calculatedColumnFormula>TODAY()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PDnames" displayName="PDnames" ref="B13:E29" totalsRowShown="0">
  <autoFilter ref="B13:E29"/>
  <tableColumns count="4">
    <tableColumn id="1" name="pm_id" dataDxfId="17"/>
    <tableColumn id="2" name="frml_name_affil"/>
    <tableColumn id="4" name="signed"/>
    <tableColumn id="3" name="short_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rogElemTable" displayName="ProgElemTable" ref="G13:I17" totalsRowShown="0">
  <autoFilter ref="G13:I17"/>
  <sortState ref="G14:I16">
    <sortCondition ref="G14:G17"/>
  </sortState>
  <tableColumns count="3">
    <tableColumn id="1" name="pgm_ele_code" dataDxfId="16"/>
    <tableColumn id="2" name="progElemName"/>
    <tableColumn id="3" name="ProgElemABBRV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PanelTable" displayName="PanelTable" ref="A33:E41" totalsRowShown="0" dataDxfId="15">
  <autoFilter ref="A33:E41"/>
  <sortState ref="A32:E38">
    <sortCondition ref="D31:D38"/>
  </sortState>
  <tableColumns count="5">
    <tableColumn id="1" name="panl_id" dataDxfId="14"/>
    <tableColumn id="3" name="pgm_annc_id" dataDxfId="13"/>
    <tableColumn id="2" name="pgm_annc_name" dataDxfId="12">
      <calculatedColumnFormula>"'" &amp; PanelTable[[#This Row],[panl_id]] &amp; "',"</calculatedColumnFormula>
    </tableColumn>
    <tableColumn id="4" name="addl_pd1" dataDxfId="11"/>
    <tableColumn id="5" name="addl_pd2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"/>
  <sheetViews>
    <sheetView tabSelected="1" workbookViewId="0"/>
  </sheetViews>
  <sheetFormatPr defaultRowHeight="14.25" x14ac:dyDescent="0.45"/>
  <cols>
    <col min="1" max="1" width="20.86328125" customWidth="1"/>
    <col min="2" max="3" width="14.1328125" customWidth="1"/>
    <col min="4" max="4" width="11.73046875" style="22" customWidth="1"/>
    <col min="5" max="5" width="12" style="22" customWidth="1"/>
    <col min="6" max="6" width="4.86328125" style="22" customWidth="1"/>
    <col min="7" max="7" width="9.86328125" bestFit="1" customWidth="1"/>
    <col min="8" max="8" width="28.265625" customWidth="1"/>
    <col min="9" max="10" width="11.73046875" style="14" customWidth="1"/>
    <col min="11" max="11" width="25.73046875" customWidth="1"/>
    <col min="12" max="12" width="16.73046875" style="22" customWidth="1"/>
    <col min="13" max="13" width="17.59765625" style="22" customWidth="1"/>
    <col min="14" max="14" width="15.3984375" style="22" customWidth="1"/>
    <col min="15" max="15" width="15.3984375" customWidth="1"/>
    <col min="17" max="18" width="3.59765625" customWidth="1"/>
    <col min="19" max="19" width="10.1328125" customWidth="1"/>
    <col min="20" max="21" width="7" customWidth="1"/>
    <col min="22" max="22" width="9.3984375" customWidth="1"/>
    <col min="23" max="23" width="3.73046875" customWidth="1"/>
    <col min="24" max="24" width="10.3984375" customWidth="1"/>
    <col min="25" max="25" width="6.59765625" customWidth="1"/>
    <col min="26" max="26" width="13.1328125" customWidth="1"/>
    <col min="27" max="27" width="12.3984375" customWidth="1"/>
    <col min="28" max="28" width="13.73046875" customWidth="1"/>
    <col min="29" max="29" width="6.265625" customWidth="1"/>
    <col min="30" max="30" width="10.59765625" customWidth="1"/>
    <col min="31" max="31" width="8.3984375" customWidth="1"/>
    <col min="32" max="32" width="12.73046875" customWidth="1"/>
    <col min="33" max="33" width="11.3984375" customWidth="1"/>
    <col min="34" max="34" width="11.73046875" customWidth="1"/>
    <col min="35" max="35" width="17.1328125" customWidth="1"/>
    <col min="36" max="36" width="34.73046875" customWidth="1"/>
    <col min="40" max="40" width="51.59765625" bestFit="1" customWidth="1"/>
    <col min="41" max="41" width="36.73046875" bestFit="1" customWidth="1"/>
    <col min="42" max="44" width="11.1328125" bestFit="1" customWidth="1"/>
  </cols>
  <sheetData>
    <row r="1" spans="1:32" x14ac:dyDescent="0.45">
      <c r="A1" t="s">
        <v>42</v>
      </c>
      <c r="B1" t="s">
        <v>40</v>
      </c>
      <c r="C1" t="s">
        <v>41</v>
      </c>
      <c r="D1" s="22" t="s">
        <v>44</v>
      </c>
      <c r="E1" s="22" t="s">
        <v>45</v>
      </c>
      <c r="F1" s="22" t="s">
        <v>123</v>
      </c>
      <c r="G1" t="s">
        <v>0</v>
      </c>
      <c r="H1" t="s">
        <v>1</v>
      </c>
      <c r="I1" s="14" t="s">
        <v>2</v>
      </c>
      <c r="J1" s="14" t="s">
        <v>3</v>
      </c>
      <c r="K1" t="s">
        <v>46</v>
      </c>
      <c r="L1" s="22" t="s">
        <v>29</v>
      </c>
      <c r="M1" s="22" t="s">
        <v>30</v>
      </c>
      <c r="N1" s="22" t="s">
        <v>31</v>
      </c>
      <c r="O1" t="s">
        <v>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4</v>
      </c>
      <c r="Y1" t="s">
        <v>5</v>
      </c>
      <c r="Z1" t="s">
        <v>14</v>
      </c>
      <c r="AA1" t="s">
        <v>15</v>
      </c>
      <c r="AB1" t="s">
        <v>48</v>
      </c>
      <c r="AC1" t="s">
        <v>49</v>
      </c>
      <c r="AD1" t="s">
        <v>61</v>
      </c>
      <c r="AE1" t="s">
        <v>59</v>
      </c>
      <c r="AF1" t="s">
        <v>43</v>
      </c>
    </row>
    <row r="2" spans="1:32" x14ac:dyDescent="0.45">
      <c r="A2" t="str">
        <f>VLOOKUP(Table_Query_from_RPTSERVER[[#This Row],[pm_logn_id]],PDnames[#All],2,FALSE)</f>
        <v>Dr. Mitra Basu  (CISE/CCF/AF)</v>
      </c>
      <c r="B2" t="str">
        <f>VLOOKUP(Table_Query_from_RPTSERVER[[#This Row],[pm_logn_id]],PDnames[#All],3,FALSE)</f>
        <v>Dr. Mitra Basu</v>
      </c>
      <c r="C2" t="str">
        <f>VLOOKUP(Table_Query_from_RPTSERVER[[#This Row],[pm_logn_id]],PDnames[#All],4,FALSE)</f>
        <v>Dr. Basu</v>
      </c>
      <c r="D2" s="22" t="str">
        <f>IF(ISBLANK( INDEX(PanelTable[addl_pd1],Table_Query_from_RPTSERVER[[#This Row],[row]])),"",INDEX(PanelTable[addl_pd1],Table_Query_from_RPTSERVER[[#This Row],[row]]))</f>
        <v/>
      </c>
      <c r="E2" s="22" t="str">
        <f>IF(ISBLANK( INDEX(PanelTable[addl_pd2],Table_Query_from_RPTSERVER[[#This Row],[row]])),"",INDEX(PanelTable[addl_pd2],Table_Query_from_RPTSERVER[[#This Row],[row]]))</f>
        <v/>
      </c>
      <c r="F2" s="22">
        <f>MATCH(Table_Query_from_RPTSERVER[[#This Row],[panl_id]],PanelTable[panl_id],0)</f>
        <v>1</v>
      </c>
      <c r="G2" t="s">
        <v>168</v>
      </c>
      <c r="H2" t="s">
        <v>169</v>
      </c>
      <c r="I2" s="14">
        <v>43210</v>
      </c>
      <c r="J2" s="14">
        <v>43210</v>
      </c>
      <c r="K2" t="s">
        <v>170</v>
      </c>
      <c r="L2" s="22">
        <v>10</v>
      </c>
      <c r="M2" s="22">
        <v>11</v>
      </c>
      <c r="O2">
        <v>9</v>
      </c>
      <c r="P2" t="s">
        <v>103</v>
      </c>
      <c r="Q2" t="s">
        <v>19</v>
      </c>
      <c r="R2" t="s">
        <v>20</v>
      </c>
      <c r="S2" t="s">
        <v>16</v>
      </c>
      <c r="T2" t="s">
        <v>147</v>
      </c>
      <c r="U2" t="s">
        <v>163</v>
      </c>
      <c r="V2" t="s">
        <v>21</v>
      </c>
      <c r="W2" t="s">
        <v>22</v>
      </c>
      <c r="X2" t="s">
        <v>16</v>
      </c>
      <c r="Y2" s="6" t="s">
        <v>171</v>
      </c>
      <c r="Z2" t="s">
        <v>23</v>
      </c>
      <c r="AA2" t="s">
        <v>172</v>
      </c>
      <c r="AB2" t="e">
        <f>VLOOKUP(Table_Query_from_RPTSERVER[[#This Row],[pgm_ele_code]],ProgElemTable[],2,FALSE)</f>
        <v>#N/A</v>
      </c>
      <c r="AC2" t="e">
        <f>VLOOKUP(Table_Query_from_RPTSERVER[[#This Row],[pgm_ele_code]],ProgElemTable[],3,FALSE)</f>
        <v>#N/A</v>
      </c>
      <c r="AD2" t="str">
        <f xml:space="preserve"> INDEX(PanelTable[pgm_annc_id],Table_Query_from_RPTSERVER[[#This Row],[row]])</f>
        <v>NSF 17-571</v>
      </c>
      <c r="AE2" t="str">
        <f xml:space="preserve"> INDEX(PanelTable[pgm_annc_name],Table_Query_from_RPTSERVER[[#This Row],[row]])</f>
        <v>Computing and Communication Foundations (CCF): Core Programs</v>
      </c>
      <c r="AF2" s="37">
        <f ca="1">TODAY()</f>
        <v>43271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N41"/>
  <sheetViews>
    <sheetView workbookViewId="0">
      <selection activeCell="E34" sqref="E34"/>
    </sheetView>
  </sheetViews>
  <sheetFormatPr defaultRowHeight="14.25" x14ac:dyDescent="0.45"/>
  <cols>
    <col min="1" max="2" width="11.265625" customWidth="1"/>
    <col min="3" max="3" width="32.3984375" customWidth="1"/>
    <col min="4" max="4" width="29.73046875" customWidth="1"/>
    <col min="5" max="5" width="21.265625" customWidth="1"/>
    <col min="6" max="6" width="10.59765625" customWidth="1"/>
    <col min="7" max="7" width="8.3984375" customWidth="1"/>
    <col min="8" max="8" width="30.265625" customWidth="1"/>
    <col min="9" max="9" width="8.1328125" customWidth="1"/>
    <col min="11" max="11" width="8" style="5" customWidth="1"/>
    <col min="12" max="12" width="8.265625" customWidth="1"/>
    <col min="13" max="13" width="11.3984375" customWidth="1"/>
    <col min="14" max="14" width="31.59765625" customWidth="1"/>
    <col min="15" max="15" width="27.86328125" customWidth="1"/>
    <col min="16" max="16" width="18.59765625" customWidth="1"/>
  </cols>
  <sheetData>
    <row r="2" spans="1:14" x14ac:dyDescent="0.45">
      <c r="A2" t="s">
        <v>112</v>
      </c>
      <c r="M2" s="5"/>
    </row>
    <row r="3" spans="1:14" x14ac:dyDescent="0.45">
      <c r="A3" t="s">
        <v>111</v>
      </c>
      <c r="G3" s="40" t="s">
        <v>93</v>
      </c>
      <c r="H3" s="40"/>
      <c r="I3" s="40"/>
      <c r="J3" s="40"/>
      <c r="K3" s="40"/>
      <c r="M3" t="s">
        <v>89</v>
      </c>
    </row>
    <row r="4" spans="1:14" x14ac:dyDescent="0.45">
      <c r="A4" t="s">
        <v>119</v>
      </c>
      <c r="G4" t="s">
        <v>90</v>
      </c>
      <c r="M4" s="2" t="s">
        <v>14</v>
      </c>
      <c r="N4" t="s">
        <v>72</v>
      </c>
    </row>
    <row r="5" spans="1:14" x14ac:dyDescent="0.45">
      <c r="A5" t="s">
        <v>114</v>
      </c>
      <c r="D5" s="18"/>
      <c r="E5" s="18"/>
      <c r="G5" t="s">
        <v>91</v>
      </c>
      <c r="M5" s="2" t="s">
        <v>15</v>
      </c>
      <c r="N5" t="s">
        <v>73</v>
      </c>
    </row>
    <row r="6" spans="1:14" ht="15.4" x14ac:dyDescent="0.45">
      <c r="A6" t="s">
        <v>115</v>
      </c>
      <c r="D6" s="19"/>
      <c r="E6" s="19"/>
      <c r="G6" t="s">
        <v>92</v>
      </c>
      <c r="M6" s="2" t="s">
        <v>49</v>
      </c>
      <c r="N6" t="s">
        <v>74</v>
      </c>
    </row>
    <row r="7" spans="1:14" ht="15.4" x14ac:dyDescent="0.45">
      <c r="A7" t="s">
        <v>116</v>
      </c>
      <c r="D7" s="19"/>
      <c r="E7" s="19"/>
      <c r="M7" s="2" t="s">
        <v>61</v>
      </c>
      <c r="N7" t="s">
        <v>75</v>
      </c>
    </row>
    <row r="8" spans="1:14" ht="15.4" x14ac:dyDescent="0.45">
      <c r="A8" t="s">
        <v>117</v>
      </c>
      <c r="D8" s="19"/>
      <c r="E8" s="19"/>
      <c r="M8" s="2" t="s">
        <v>59</v>
      </c>
      <c r="N8" t="s">
        <v>76</v>
      </c>
    </row>
    <row r="9" spans="1:14" ht="15.4" x14ac:dyDescent="0.45">
      <c r="D9" s="19"/>
      <c r="E9" s="19"/>
      <c r="G9" s="40" t="s">
        <v>94</v>
      </c>
      <c r="H9" s="40"/>
      <c r="I9" s="40"/>
      <c r="J9" s="40"/>
      <c r="K9" s="40"/>
      <c r="M9" s="2" t="s">
        <v>0</v>
      </c>
      <c r="N9" t="s">
        <v>77</v>
      </c>
    </row>
    <row r="10" spans="1:14" ht="15.4" x14ac:dyDescent="0.45">
      <c r="D10" s="19"/>
      <c r="E10" s="19"/>
      <c r="M10" s="2" t="s">
        <v>1</v>
      </c>
      <c r="N10" t="s">
        <v>78</v>
      </c>
    </row>
    <row r="11" spans="1:14" ht="15.4" x14ac:dyDescent="0.45">
      <c r="B11" s="21" t="s">
        <v>120</v>
      </c>
      <c r="D11" s="19"/>
      <c r="E11" s="19"/>
      <c r="G11" s="20" t="s">
        <v>121</v>
      </c>
      <c r="M11" s="15" t="s">
        <v>2</v>
      </c>
      <c r="N11" t="s">
        <v>79</v>
      </c>
    </row>
    <row r="12" spans="1:14" ht="15.4" x14ac:dyDescent="0.45">
      <c r="B12" s="13" t="s">
        <v>113</v>
      </c>
      <c r="F12" s="19"/>
      <c r="G12" s="13" t="s">
        <v>58</v>
      </c>
      <c r="M12" s="15" t="s">
        <v>3</v>
      </c>
      <c r="N12" t="s">
        <v>80</v>
      </c>
    </row>
    <row r="13" spans="1:14" ht="15.4" x14ac:dyDescent="0.45">
      <c r="B13" s="5" t="s">
        <v>38</v>
      </c>
      <c r="C13" t="s">
        <v>39</v>
      </c>
      <c r="D13" t="s">
        <v>40</v>
      </c>
      <c r="E13" t="s">
        <v>41</v>
      </c>
      <c r="F13" s="19"/>
      <c r="G13" s="10" t="s">
        <v>5</v>
      </c>
      <c r="H13" s="2" t="s">
        <v>48</v>
      </c>
      <c r="I13" t="s">
        <v>49</v>
      </c>
      <c r="M13" s="2" t="s">
        <v>46</v>
      </c>
      <c r="N13" t="s">
        <v>81</v>
      </c>
    </row>
    <row r="14" spans="1:14" ht="15.4" x14ac:dyDescent="0.45">
      <c r="B14" s="4" t="s">
        <v>18</v>
      </c>
      <c r="C14" t="s">
        <v>33</v>
      </c>
      <c r="D14" t="s">
        <v>62</v>
      </c>
      <c r="E14" t="s">
        <v>32</v>
      </c>
      <c r="F14" s="19"/>
      <c r="G14" s="11" t="s">
        <v>56</v>
      </c>
      <c r="H14" s="8" t="s">
        <v>51</v>
      </c>
      <c r="I14" t="s">
        <v>52</v>
      </c>
      <c r="M14" s="2" t="s">
        <v>29</v>
      </c>
      <c r="N14" t="s">
        <v>82</v>
      </c>
    </row>
    <row r="15" spans="1:14" ht="15.4" x14ac:dyDescent="0.45">
      <c r="B15" s="4" t="s">
        <v>24</v>
      </c>
      <c r="C15" t="s">
        <v>65</v>
      </c>
      <c r="D15" t="s">
        <v>66</v>
      </c>
      <c r="E15" t="s">
        <v>118</v>
      </c>
      <c r="F15" s="19"/>
      <c r="G15" s="7" t="s">
        <v>57</v>
      </c>
      <c r="H15" t="s">
        <v>53</v>
      </c>
      <c r="I15" t="s">
        <v>54</v>
      </c>
      <c r="M15" s="2" t="s">
        <v>30</v>
      </c>
      <c r="N15" t="s">
        <v>83</v>
      </c>
    </row>
    <row r="16" spans="1:14" ht="15.4" x14ac:dyDescent="0.45">
      <c r="B16" s="4" t="s">
        <v>25</v>
      </c>
      <c r="C16" t="s">
        <v>67</v>
      </c>
      <c r="D16" t="s">
        <v>68</v>
      </c>
      <c r="E16" t="s">
        <v>69</v>
      </c>
      <c r="F16" s="19"/>
      <c r="G16" s="12" t="s">
        <v>17</v>
      </c>
      <c r="H16" s="9" t="s">
        <v>55</v>
      </c>
      <c r="I16" t="s">
        <v>50</v>
      </c>
      <c r="M16" s="2" t="s">
        <v>31</v>
      </c>
      <c r="N16" t="s">
        <v>84</v>
      </c>
    </row>
    <row r="17" spans="1:14" ht="15.4" x14ac:dyDescent="0.45">
      <c r="B17" s="4" t="s">
        <v>26</v>
      </c>
      <c r="C17" t="s">
        <v>34</v>
      </c>
      <c r="D17" t="s">
        <v>63</v>
      </c>
      <c r="E17" t="s">
        <v>70</v>
      </c>
      <c r="F17" s="19"/>
      <c r="G17" s="7" t="s">
        <v>128</v>
      </c>
      <c r="H17" t="s">
        <v>129</v>
      </c>
      <c r="I17" t="s">
        <v>130</v>
      </c>
      <c r="M17" s="2" t="s">
        <v>47</v>
      </c>
      <c r="N17" t="s">
        <v>85</v>
      </c>
    </row>
    <row r="18" spans="1:14" ht="15.4" x14ac:dyDescent="0.45">
      <c r="B18" s="4" t="s">
        <v>27</v>
      </c>
      <c r="C18" t="s">
        <v>152</v>
      </c>
      <c r="D18" t="s">
        <v>71</v>
      </c>
      <c r="E18" t="s">
        <v>35</v>
      </c>
      <c r="F18" s="19"/>
      <c r="M18" s="1" t="s">
        <v>42</v>
      </c>
      <c r="N18" t="s">
        <v>86</v>
      </c>
    </row>
    <row r="19" spans="1:14" ht="15.4" x14ac:dyDescent="0.45">
      <c r="B19" s="4" t="s">
        <v>28</v>
      </c>
      <c r="C19" t="s">
        <v>36</v>
      </c>
      <c r="D19" t="s">
        <v>64</v>
      </c>
      <c r="E19" t="s">
        <v>37</v>
      </c>
      <c r="F19" s="19"/>
      <c r="G19" s="24" t="s">
        <v>131</v>
      </c>
      <c r="H19" s="24"/>
      <c r="I19" s="24"/>
      <c r="J19" s="24"/>
      <c r="K19" s="24"/>
      <c r="L19" s="24"/>
      <c r="M19" s="2" t="s">
        <v>40</v>
      </c>
      <c r="N19" t="s">
        <v>87</v>
      </c>
    </row>
    <row r="20" spans="1:14" ht="15.4" x14ac:dyDescent="0.45">
      <c r="B20" s="17" t="s">
        <v>110</v>
      </c>
      <c r="C20" s="16" t="s">
        <v>161</v>
      </c>
      <c r="D20" s="16" t="s">
        <v>95</v>
      </c>
      <c r="E20" s="16" t="s">
        <v>96</v>
      </c>
      <c r="F20" s="19"/>
      <c r="G20" s="23" t="s">
        <v>132</v>
      </c>
      <c r="H20" s="23"/>
      <c r="I20" s="23"/>
      <c r="J20" s="23"/>
      <c r="K20" s="23"/>
      <c r="L20" s="23"/>
      <c r="M20" s="2" t="s">
        <v>41</v>
      </c>
      <c r="N20" t="s">
        <v>88</v>
      </c>
    </row>
    <row r="21" spans="1:14" ht="15.4" x14ac:dyDescent="0.45">
      <c r="B21" s="17" t="s">
        <v>97</v>
      </c>
      <c r="C21" s="16" t="s">
        <v>160</v>
      </c>
      <c r="D21" s="16" t="s">
        <v>99</v>
      </c>
      <c r="E21" s="16" t="s">
        <v>102</v>
      </c>
      <c r="F21" s="19"/>
      <c r="G21" s="23" t="s">
        <v>133</v>
      </c>
      <c r="H21" s="23"/>
      <c r="I21" s="23"/>
      <c r="J21" s="23"/>
      <c r="K21" s="23"/>
      <c r="L21" s="23"/>
      <c r="M21" s="3" t="s">
        <v>43</v>
      </c>
      <c r="N21" t="s">
        <v>106</v>
      </c>
    </row>
    <row r="22" spans="1:14" ht="15.4" x14ac:dyDescent="0.45">
      <c r="B22" s="17" t="s">
        <v>98</v>
      </c>
      <c r="C22" s="16" t="s">
        <v>162</v>
      </c>
      <c r="D22" s="16" t="s">
        <v>100</v>
      </c>
      <c r="E22" s="16" t="s">
        <v>101</v>
      </c>
      <c r="F22" s="19"/>
      <c r="G22" s="23" t="s">
        <v>134</v>
      </c>
      <c r="H22" s="23"/>
      <c r="I22" s="23"/>
      <c r="J22" s="23"/>
      <c r="K22" s="23"/>
      <c r="L22" s="23"/>
    </row>
    <row r="23" spans="1:14" x14ac:dyDescent="0.45">
      <c r="B23" s="17" t="s">
        <v>103</v>
      </c>
      <c r="C23" s="16" t="s">
        <v>105</v>
      </c>
      <c r="D23" s="16" t="s">
        <v>104</v>
      </c>
      <c r="E23" s="16" t="s">
        <v>37</v>
      </c>
      <c r="G23" s="23" t="s">
        <v>135</v>
      </c>
      <c r="H23" s="23"/>
      <c r="I23" s="23"/>
      <c r="J23" s="23"/>
      <c r="K23" s="23"/>
      <c r="L23" s="23"/>
    </row>
    <row r="24" spans="1:14" x14ac:dyDescent="0.45">
      <c r="B24" s="17" t="s">
        <v>124</v>
      </c>
      <c r="C24" s="16" t="s">
        <v>143</v>
      </c>
      <c r="D24" s="16" t="s">
        <v>144</v>
      </c>
      <c r="E24" s="16" t="s">
        <v>126</v>
      </c>
      <c r="G24" s="23" t="s">
        <v>136</v>
      </c>
      <c r="H24" s="23"/>
      <c r="I24" s="23"/>
      <c r="J24" s="23"/>
      <c r="K24" s="23"/>
      <c r="L24" s="23"/>
    </row>
    <row r="25" spans="1:14" x14ac:dyDescent="0.45">
      <c r="B25" s="17" t="s">
        <v>125</v>
      </c>
      <c r="C25" s="16" t="s">
        <v>145</v>
      </c>
      <c r="D25" s="16" t="s">
        <v>146</v>
      </c>
      <c r="E25" s="16" t="s">
        <v>127</v>
      </c>
      <c r="G25" s="23" t="s">
        <v>137</v>
      </c>
      <c r="H25" s="23"/>
      <c r="I25" s="23"/>
      <c r="J25" s="23"/>
      <c r="K25" s="23"/>
      <c r="L25" s="23"/>
    </row>
    <row r="26" spans="1:14" x14ac:dyDescent="0.45">
      <c r="B26" s="4" t="s">
        <v>156</v>
      </c>
      <c r="C26" s="16" t="s">
        <v>157</v>
      </c>
      <c r="D26" s="16" t="s">
        <v>158</v>
      </c>
      <c r="E26" s="16" t="s">
        <v>159</v>
      </c>
      <c r="G26" s="31"/>
      <c r="H26" s="31"/>
      <c r="I26" s="31"/>
      <c r="J26" s="31"/>
      <c r="K26" s="31"/>
      <c r="L26" s="31"/>
    </row>
    <row r="27" spans="1:14" x14ac:dyDescent="0.45">
      <c r="B27" s="17" t="s">
        <v>164</v>
      </c>
      <c r="C27" s="16" t="s">
        <v>153</v>
      </c>
      <c r="D27" s="16" t="s">
        <v>154</v>
      </c>
      <c r="E27" s="16" t="s">
        <v>155</v>
      </c>
      <c r="G27" s="32"/>
      <c r="H27" s="32"/>
      <c r="I27" s="32"/>
      <c r="J27" s="32"/>
      <c r="K27" s="32"/>
      <c r="L27" s="32"/>
    </row>
    <row r="28" spans="1:14" x14ac:dyDescent="0.45">
      <c r="B28" s="17" t="s">
        <v>148</v>
      </c>
      <c r="C28" s="16" t="s">
        <v>149</v>
      </c>
      <c r="D28" s="16" t="s">
        <v>150</v>
      </c>
      <c r="E28" s="16" t="s">
        <v>151</v>
      </c>
      <c r="G28" s="23" t="s">
        <v>138</v>
      </c>
      <c r="H28" s="23"/>
      <c r="I28" s="23"/>
      <c r="J28" s="23"/>
      <c r="K28" s="23"/>
      <c r="L28" s="23"/>
    </row>
    <row r="29" spans="1:14" x14ac:dyDescent="0.45">
      <c r="B29" s="17"/>
      <c r="G29" s="23" t="s">
        <v>139</v>
      </c>
      <c r="H29" s="23"/>
      <c r="I29" s="23"/>
      <c r="J29" s="23"/>
      <c r="K29" s="23"/>
      <c r="L29" s="23"/>
    </row>
    <row r="30" spans="1:14" x14ac:dyDescent="0.45">
      <c r="G30" s="39" t="s">
        <v>140</v>
      </c>
      <c r="H30" s="39"/>
      <c r="I30" s="39"/>
      <c r="J30" s="39"/>
      <c r="K30" s="39"/>
      <c r="L30" s="39"/>
    </row>
    <row r="31" spans="1:14" x14ac:dyDescent="0.45">
      <c r="A31" s="20" t="s">
        <v>122</v>
      </c>
      <c r="G31" s="39" t="s">
        <v>141</v>
      </c>
      <c r="H31" s="39"/>
      <c r="I31" s="39"/>
      <c r="J31" s="39"/>
      <c r="K31" s="39"/>
      <c r="L31" s="39"/>
    </row>
    <row r="32" spans="1:14" x14ac:dyDescent="0.45">
      <c r="B32" s="20" t="s">
        <v>107</v>
      </c>
      <c r="C32" s="20" t="s">
        <v>108</v>
      </c>
      <c r="D32" s="20" t="s">
        <v>109</v>
      </c>
      <c r="G32" s="39" t="s">
        <v>142</v>
      </c>
      <c r="H32" s="39"/>
      <c r="I32" s="39"/>
      <c r="J32" s="39"/>
      <c r="K32" s="39"/>
      <c r="L32" s="39"/>
    </row>
    <row r="33" spans="1:5" x14ac:dyDescent="0.45">
      <c r="A33" t="s">
        <v>0</v>
      </c>
      <c r="B33" t="s">
        <v>61</v>
      </c>
      <c r="C33" t="s">
        <v>60</v>
      </c>
      <c r="D33" s="5" t="s">
        <v>44</v>
      </c>
      <c r="E33" s="5" t="s">
        <v>45</v>
      </c>
    </row>
    <row r="34" spans="1:5" ht="14.65" thickBot="1" x14ac:dyDescent="0.5">
      <c r="A34" s="28" t="s">
        <v>167</v>
      </c>
      <c r="B34" s="30" t="s">
        <v>165</v>
      </c>
      <c r="C34" s="36" t="s">
        <v>166</v>
      </c>
      <c r="D34" s="16"/>
      <c r="E34" s="16"/>
    </row>
    <row r="35" spans="1:5" ht="15" thickTop="1" thickBot="1" x14ac:dyDescent="0.5">
      <c r="A35" s="26"/>
      <c r="B35" s="30"/>
      <c r="C35" s="36"/>
      <c r="D35" s="16"/>
      <c r="E35" s="16"/>
    </row>
    <row r="36" spans="1:5" ht="15" thickTop="1" thickBot="1" x14ac:dyDescent="0.5">
      <c r="A36" s="25"/>
      <c r="B36" s="30"/>
      <c r="C36" s="36"/>
      <c r="D36" s="16"/>
      <c r="E36" s="16"/>
    </row>
    <row r="37" spans="1:5" ht="16.149999999999999" thickTop="1" thickBot="1" x14ac:dyDescent="0.5">
      <c r="A37" s="27"/>
      <c r="B37" s="38"/>
      <c r="C37" s="33"/>
      <c r="D37" s="16"/>
      <c r="E37" s="16"/>
    </row>
    <row r="38" spans="1:5" ht="15.4" x14ac:dyDescent="0.45">
      <c r="A38" s="25"/>
      <c r="B38" s="30"/>
      <c r="C38" s="33"/>
      <c r="D38" s="16"/>
      <c r="E38" s="16"/>
    </row>
    <row r="39" spans="1:5" ht="15.75" thickBot="1" x14ac:dyDescent="0.5">
      <c r="A39" s="29"/>
      <c r="B39" s="30"/>
      <c r="C39" s="33"/>
      <c r="D39" s="16"/>
      <c r="E39" s="16"/>
    </row>
    <row r="40" spans="1:5" ht="15.75" thickBot="1" x14ac:dyDescent="0.5">
      <c r="A40" s="27"/>
      <c r="B40" s="30"/>
      <c r="C40" s="33"/>
      <c r="D40" s="16"/>
      <c r="E40" s="16"/>
    </row>
    <row r="41" spans="1:5" ht="15.4" x14ac:dyDescent="0.45">
      <c r="A41" s="34"/>
      <c r="B41" s="30"/>
      <c r="C41" s="33"/>
      <c r="D41" s="16"/>
      <c r="E41" s="35"/>
    </row>
  </sheetData>
  <mergeCells count="5">
    <mergeCell ref="G32:L32"/>
    <mergeCell ref="G30:L30"/>
    <mergeCell ref="G31:L31"/>
    <mergeCell ref="G3:K3"/>
    <mergeCell ref="G9:K9"/>
  </mergeCells>
  <conditionalFormatting sqref="G17">
    <cfRule type="expression" dxfId="19" priority="1">
      <formula>MOD($H17,2)=1</formula>
    </cfRule>
  </conditionalFormatting>
  <conditionalFormatting sqref="B24:B26">
    <cfRule type="expression" dxfId="18" priority="3">
      <formula>MOD($G21,2)=1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utesMerge">
                <anchor moveWithCells="1" sizeWithCells="1">
                  <from>
                    <xdr:col>3</xdr:col>
                    <xdr:colOff>742950</xdr:colOff>
                    <xdr:row>2</xdr:row>
                    <xdr:rowOff>66675</xdr:rowOff>
                  </from>
                  <to>
                    <xdr:col>4</xdr:col>
                    <xdr:colOff>142875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B960B3B5DBD644A94B60F4DCA143E5" ma:contentTypeVersion="0" ma:contentTypeDescription="Create a new document." ma:contentTypeScope="" ma:versionID="51262affb99069b8b6b28fc13a2de23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3CB7927-BEF2-491E-914B-0CA866E569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9B65592-ABA1-49E6-AFD2-9ED45E0FF45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A49BBCE-5D0A-4416-8B96-A3E9738637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MinutesMerge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Jack's PanelMinutesData</dc:title>
  <dc:creator>Jack Snoeyink</dc:creator>
  <cp:lastModifiedBy>Thompson, Joneka N.</cp:lastModifiedBy>
  <dcterms:created xsi:type="dcterms:W3CDTF">2016-03-13T17:31:48Z</dcterms:created>
  <dcterms:modified xsi:type="dcterms:W3CDTF">2018-06-20T19:29:23Z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0x0101004FB960B3B5DBD644A94B60F4DCA143E5</vt:lpwstr>
  </property>
</Properties>
</file>