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R:\excelSQL\PanelMinutes\"/>
    </mc:Choice>
  </mc:AlternateContent>
  <bookViews>
    <workbookView xWindow="0" yWindow="0" windowWidth="12210" windowHeight="5880"/>
  </bookViews>
  <sheets>
    <sheet name="Dashboard" sheetId="2" r:id="rId1"/>
    <sheet name="MinutesData" sheetId="1" r:id="rId2"/>
    <sheet name="HiddenSettings" sheetId="3" state="hidden" r:id="rId3"/>
  </sheets>
  <functionGroups builtInGroupCount="18"/>
  <definedNames>
    <definedName name="Mac_connect_string" localSheetId="2">HiddenSettings!$B$5</definedName>
    <definedName name="PC_connect_string" localSheetId="2">HiddenSettings!$B$4</definedName>
    <definedName name="pm_drop" localSheetId="2">HiddenSettings!$C$15</definedName>
    <definedName name="pm_panls" localSheetId="2">HiddenSettings!$C$13</definedName>
    <definedName name="pm_panls2" localSheetId="2">HiddenSettings!$C$14</definedName>
    <definedName name="Query_from_RPTSERVER" localSheetId="1" hidden="1">MinutesData!$G$1:$AB$7</definedName>
    <definedName name="rpt_pwd" comment="reportserver password" localSheetId="2">HiddenSettings!$B$3</definedName>
    <definedName name="user_id" comment="reportserver user_id" localSheetId="2">HiddenSettings!$B$2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2" i="1" l="1"/>
  <c r="AD3" i="1"/>
  <c r="AD4" i="1"/>
  <c r="AD5" i="1"/>
  <c r="AD6" i="1"/>
  <c r="AD7" i="1"/>
  <c r="AC2" i="1"/>
  <c r="AC3" i="1"/>
  <c r="AC4" i="1"/>
  <c r="AC5" i="1"/>
  <c r="AC6" i="1"/>
  <c r="AC7" i="1"/>
  <c r="A2" i="1"/>
  <c r="A3" i="1"/>
  <c r="A4" i="1"/>
  <c r="A5" i="1"/>
  <c r="A6" i="1"/>
  <c r="A7" i="1"/>
  <c r="B2" i="1"/>
  <c r="B3" i="1"/>
  <c r="B4" i="1"/>
  <c r="B5" i="1"/>
  <c r="B6" i="1"/>
  <c r="B7" i="1"/>
  <c r="C2" i="1"/>
  <c r="C3" i="1"/>
  <c r="C4" i="1"/>
  <c r="C5" i="1"/>
  <c r="C6" i="1"/>
  <c r="C7" i="1"/>
  <c r="F2" i="1"/>
  <c r="D2" i="1" s="1"/>
  <c r="F3" i="1"/>
  <c r="D3" i="1" s="1"/>
  <c r="F4" i="1"/>
  <c r="D4" i="1" s="1"/>
  <c r="F5" i="1"/>
  <c r="D5" i="1" s="1"/>
  <c r="F6" i="1"/>
  <c r="D6" i="1" s="1"/>
  <c r="F7" i="1"/>
  <c r="D7" i="1" s="1"/>
  <c r="AG2" i="1"/>
  <c r="AG3" i="1"/>
  <c r="AG4" i="1"/>
  <c r="AG5" i="1"/>
  <c r="AG6" i="1"/>
  <c r="AG7" i="1"/>
  <c r="AF6" i="1" l="1"/>
  <c r="AF4" i="1"/>
  <c r="AF2" i="1"/>
  <c r="AE6" i="1"/>
  <c r="AE4" i="1"/>
  <c r="AE2" i="1"/>
  <c r="AF7" i="1"/>
  <c r="AF5" i="1"/>
  <c r="AF3" i="1"/>
  <c r="AE7" i="1"/>
  <c r="AE5" i="1"/>
  <c r="AE3" i="1"/>
  <c r="E7" i="1"/>
  <c r="E5" i="1"/>
  <c r="E3" i="1"/>
  <c r="E6" i="1"/>
  <c r="E4" i="1"/>
  <c r="E2" i="1"/>
</calcChain>
</file>

<file path=xl/connections.xml><?xml version="1.0" encoding="utf-8"?>
<connections xmlns="http://schemas.openxmlformats.org/spreadsheetml/2006/main">
  <connection id="1" name="panel info query" type="1" refreshedVersion="6" savePassword="1" background="1" saveData="1">
    <dbPr connection="dsn=RPTSERVER;database=rptdb;server=RPTSQL.nsf.gov;port=5000;UID=ccfuser;PWD=CCfdata08/18;" command="SELECT pr.panl_id, pr.revr_id, pp.prop_id, id=identity(18), 0 as seq_x000d__x000a_INTO #pConfl_x000d__x000a_FROM csd.panl_revr pr _x000d__x000a_JOIN csd.panl_prop pp ON pr.panl_id = pp.panl_id _x000d__x000a_JOIN csd.rev_prop r ON r.revr_id = pr.revr_id AND r.prop_id = pp.prop_id AND r.rev_stts_code = 'C'_x000d__x000a_WHERE pr.panl_id IN_x000d__x000a_('P160845','P160844','P160854','p181992','p181938','p181917')_x000d__x000a_ORDER BY pr.revr_id, pp.prop_id_x000d__x000a__x000d__x000a_SELECT revr_id,MIN(id) as start INTO #myStarts FROM #pConfl GROUP BY revr_id_x000d__x000a_UPDATE #pConfl SET seq = id-M.start _x000d__x000a_    FROM #pConfl r, #myStarts M  WHERE M.revr_id = r.revr_id_x000d__x000a_DROP TABLE #myStarts_x000d__x000a__x000d__x000a_--select * from  #pConfl_x000d__x000a__x000d__x000a_SELECT cf.panl_id, cf.revr_id, rtrim(revr.revr_last_name) + ', ' + rtrim(revr.revr_frst_name) + ': ' + cf.Cfl as Cfl, id=identity(18), 0 as seq_x000d__x000a_INTO #myConfl_x000d__x000a_FROM(SELECT c.panl_id, c.revr_id, MAX(CASE seq WHEN  0 THEN prop_id ELSE '' END)+_x000d__x000a_     MAX(CASE seq WHEN  1 THEN ', '+prop_id ELSE '' END)+_x000d__x000a_     MAX(CASE seq WHEN  2 THEN ', '+prop_id ELSE '' END)+_x000d__x000a_     MAX(CASE seq WHEN  3 THEN ', '+prop_id ELSE '' END)+_x000d__x000a_     MAX(CASE seq WHEN  4 THEN ', '+prop_id ELSE '' END)+_x000d__x000a_     MAX(CASE seq WHEN  5 THEN ', '+prop_id ELSE '' END)+_x000d__x000a_     MAX(CASE seq WHEN  6 THEN ', '+prop_id ELSE '' END)+_x000d__x000a_     MAX(CASE seq WHEN  7 THEN ', '+prop_id ELSE '' END)+_x000d__x000a_     MAX(CASE seq WHEN  8 THEN ', '+prop_id ELSE '' END)+_x000d__x000a_     MAX(CASE seq WHEN  9 THEN ', '+prop_id ELSE '' END)+_x000d__x000a_     MAX(CASE seq WHEN 10 THEN ', '+prop_id ELSE '' END)+_x000d__x000a_     MAX(CASE seq WHEN 11 THEN ', '+prop_id ELSE '' END)+_x000d__x000a_     MAX(CASE seq WHEN 12 THEN ', '+prop_id ELSE '' END)+_x000d__x000a_     MAX(CASE seq WHEN 13 THEN ', '+prop_id ELSE '' END)+_x000d__x000a_     MAX(CASE seq WHEN 14 THEN ', '+prop_id ELSE '' END)+_x000d__x000a_     MAX(CASE seq WHEN 15 THEN ', '+prop_id ELSE '' END)+_x000d__x000a_     MAX(CASE seq WHEN 16 THEN ', '+prop_id ELSE '' END)+_x000d__x000a_     MAX(CASE seq WHEN 17 THEN ', '+prop_id ELSE '' END)+_x000d__x000a_     MAX(CASE seq WHEN 18 THEN ', '+prop_id ELSE '' END)+_x000d__x000a_     MAX(CASE seq WHEN 19 THEN ', '+prop_id ELSE '' END)+_x000d__x000a_     MAX(CASE seq WHEN 20 THEN ', '+prop_id ELSE '' END)+char(10) AS Cfl_x000d__x000a_    FROM #pConfl c_x000d__x000a_    GROUP BY c.panl_id, c.revr_id) cf_x000d__x000a_JOIN csd.revr revr ON revr.revr_id = cf.revr_id_x000d__x000a_ORDER BY cf.panl_id, Cfl_x000d__x000a__x000d__x000a_SELECT panl_id,MIN(id) as start INTO #mySt2 FROM #myConfl GROUP BY panl_id_x000d__x000a_UPDATE #myConfl SET seq = id-M.start _x000d__x000a_    FROM #myConfl r, #mySt2 M  WHERE M.panl_id = r.panl_id_x000d__x000a_DROP TABLE #mySt2_x000d__x000a__x000d__x000a_--select * from #myConfl_x000d__x000a_--drop table  #myConfl_x000d__x000a_--drop table _x000d__x000a__x000d__x000a__x000d__x000a_SELECT panl.panl_id, panl.panl_name, panl.panl_bgn_date, panl.panl_end_date, panl.panl_loc, panl.org_code, panl.pgm_ele_code, panl.pm_logn_id,panl.meet_type_code, panl.meet_fmt, panl.fund_org_code, panl.fund_pgm_ele_code, panl.fund_app_code, panl_stts.panl_stts_txt, panl.oblg_flag, org.org_long_name, pgm_ele.pgm_ele_long_name,_x000d__x000a_(SELECT COUNT(panl_prop.prop_id) FROM csd.panl_prop panl_prop, csd.prop prop WHERE panl.panl_id = panl_prop.panl_id AND panl_prop.prop_id = prop.prop_id AND (prop.prop_id = isnull( prop.lead_prop_id, prop.prop_id) ) ) AS 'Nproj',_x000d__x000a_(SELECT COUNT(panl_prop.prop_id) FROM csd.panl_prop panl_prop WHERE panl.panl_id = panl_prop.panl_id) AS 'Nprop',_x000d__x000a_nullif((SELECT COUNT(panl_revr.revr_id) FROM csd.panl_revr panl_revr WHERE panl.panl_id = panl_revr.panl_id AND (panl_revr.tele_conf_part_flag = 'N')),0) AS 'Nrevr',_x000d__x000a_nullif((SELECT COUNT(panl_revr.revr_id) FROM csd.panl_revr panl_revr WHERE panl.panl_id = panl_revr.panl_id AND (panl_revr.tele_conf_part_flag = 'Y')),0) AS 'Nvirt_revr',_x000d__x000a_    (SELECT MAX(CASE seq WHEN  0 THEN Cfl ELSE '' END)+_x000d__x000a_     MAX(CASE seq WHEN  1 THEN Cfl ELSE '' END)+_x000d__x000a_     MAX(CASE seq WHEN  2 THEN Cfl ELSE '' END)+_x000d__x000a_     MAX(CASE seq WHEN  3 THEN Cfl ELSE '' END)+_x000d__x000a_     MAX(CASE seq WHEN  4 THEN Cfl ELSE '' END)+_x000d__x000a_     MAX(CASE seq WHEN  5 THEN Cfl ELSE '' END)+_x000d__x000a_     MAX(CASE seq WHEN  6 THEN Cfl ELSE '' END)+_x000d__x000a_     MAX(CASE seq WHEN  7 THEN Cfl ELSE '' END)+_x000d__x000a_     MAX(CASE seq WHEN  8 THEN Cfl ELSE '' END)+_x000d__x000a_     MAX(CASE seq WHEN  9 THEN Cfl ELSE '' END)+_x000d__x000a_     MAX(CASE seq WHEN 10 THEN Cfl ELSE '' END)+_x000d__x000a_     MAX(CASE seq WHEN 11 THEN Cfl ELSE '' END)+_x000d__x000a_     MAX(CASE seq WHEN 12 THEN Cfl ELSE '' END)+_x000d__x000a_     MAX(CASE seq WHEN 13 THEN Cfl ELSE '' END)+_x000d__x000a_     MAX(CASE seq WHEN 14 THEN Cfl ELSE '' END)+_x000d__x000a_     MAX(CASE seq WHEN 15 THEN Cfl ELSE '' END)+_x000d__x000a_     MAX(CASE seq WHEN 16 THEN Cfl ELSE '' END)+_x000d__x000a_     MAX(CASE seq WHEN 17 THEN Cfl ELSE '' END)+_x000d__x000a_     MAX(CASE seq WHEN 18 THEN Cfl ELSE '' END)+_x000d__x000a_     MAX(CASE seq WHEN 19 THEN Cfl ELSE '' END)+_x000d__x000a_     MAX(CASE seq WHEN 20 THEN Cfl ELSE '' END)+_x000d__x000a_     MAX(CASE seq WHEN 21 THEN Cfl ELSE '' END)+_x000d__x000a_     MAX(CASE seq WHEN 22 THEN Cfl ELSE '' END)+_x000d__x000a_     MAX(CASE seq WHEN 23 THEN Cfl ELSE '' END)+_x000d__x000a_     MAX(CASE seq WHEN 24 THEN Cfl ELSE '' END)+_x000d__x000a_     MAX(CASE seq WHEN 25 THEN Cfl ELSE '' END)+_x000d__x000a_     MAX(CASE seq WHEN 26 THEN Cfl ELSE '' END)+_x000d__x000a_     MAX(CASE seq WHEN 27 THEN Cfl ELSE '' END)+_x000d__x000a_     MAX(CASE seq WHEN 28 THEN Cfl ELSE '' END)+_x000d__x000a_     MAX(CASE seq WHEN 29 THEN Cfl ELSE '' END)+_x000d__x000a_     MAX(CASE seq WHEN 30 THEN Cfl ELSE '' END)+_x000d__x000a_     MAX(CASE seq WHEN 31 THEN Cfl ELSE '' END)+_x000d__x000a_     MAX(CASE seq WHEN 32 THEN Cfl ELSE '' END)+_x000d__x000a_     MAX(CASE seq WHEN 33 THEN Cfl ELSE '' END)+_x000d__x000a_     MAX(CASE seq WHEN 34 THEN Cfl ELSE '' END)+_x000d__x000a_     MAX(CASE seq WHEN 35 THEN Cfl ELSE '' END)+_x000d__x000a_     MAX(CASE seq WHEN 36 THEN Cfl ELSE '' END)+_x000d__x000a_     MAX(CASE seq WHEN 37 THEN Cfl ELSE '' END)+_x000d__x000a_     MAX(CASE seq WHEN 38 THEN Cfl ELSE '' END)+_x000d__x000a_     MAX(CASE seq WHEN 39 THEN Cfl ELSE '' END)+_x000d__x000a_     MAX(CASE seq WHEN 40 THEN Cfl ELSE '' END) _x000d__x000a_FROM #myConfl c WHERE c.panl_id = panl.panl_id) as Conflicts_x000d__x000a_FROM csd.org org, csd.panl panl, csd.panl_stts panl_stts, csd.pgm_ele pgm_ele_x000d__x000a_WHERE panl.panl_stts_code = panl_stts.panl_stts_code AND panl.pgm_ele_code = pgm_ele.pgm_ele_code AND panl.org_code = org.org_code AND _x000d__x000a_panl.panl_id In _x000d__x000a_('P160845','P160844','P160854','p181992','p181938','p181917')DROP TABLE #pConfl,#myConfl_x000d__x000a_"/>
  </connection>
</connections>
</file>

<file path=xl/sharedStrings.xml><?xml version="1.0" encoding="utf-8"?>
<sst xmlns="http://schemas.openxmlformats.org/spreadsheetml/2006/main" count="283" uniqueCount="187">
  <si>
    <t>panl_id</t>
  </si>
  <si>
    <t>panl_name</t>
  </si>
  <si>
    <t>panl_bgn_date</t>
  </si>
  <si>
    <t>panl_end_date</t>
  </si>
  <si>
    <t>org_code</t>
  </si>
  <si>
    <t>pgm_ele_code</t>
  </si>
  <si>
    <t>pm_logn_id</t>
  </si>
  <si>
    <t>meet_type_code</t>
  </si>
  <si>
    <t>meet_fmt</t>
  </si>
  <si>
    <t>fund_org_code</t>
  </si>
  <si>
    <t>fund_pgm_ele_code</t>
  </si>
  <si>
    <t>fund_app_code</t>
  </si>
  <si>
    <t>panl_stts_txt</t>
  </si>
  <si>
    <t>oblg_flag</t>
  </si>
  <si>
    <t>org_long_name</t>
  </si>
  <si>
    <t>pgm_ele_long_name</t>
  </si>
  <si>
    <t>05010000</t>
  </si>
  <si>
    <t>7798</t>
  </si>
  <si>
    <t>P</t>
  </si>
  <si>
    <t>C</t>
  </si>
  <si>
    <t>0116</t>
  </si>
  <si>
    <t>Active panel</t>
  </si>
  <si>
    <t>Y</t>
  </si>
  <si>
    <t>Division of Computing and Communication Foundations</t>
  </si>
  <si>
    <t>ACHTCHE</t>
  </si>
  <si>
    <t>SGREENS</t>
  </si>
  <si>
    <t>NAMLA</t>
  </si>
  <si>
    <t>ABANERJ</t>
  </si>
  <si>
    <t>SABASU</t>
  </si>
  <si>
    <t>Nproj</t>
  </si>
  <si>
    <t>Nprop</t>
  </si>
  <si>
    <t>Nrevr</t>
  </si>
  <si>
    <t>Dr. Banerjee</t>
  </si>
  <si>
    <t>Dr. Basu</t>
  </si>
  <si>
    <t>pm_id</t>
  </si>
  <si>
    <t>frml_name_affil</t>
  </si>
  <si>
    <t>signed</t>
  </si>
  <si>
    <t>short_name</t>
  </si>
  <si>
    <t>officiating</t>
  </si>
  <si>
    <t>today</t>
  </si>
  <si>
    <t>addl_pd1</t>
  </si>
  <si>
    <t>addl_pd2</t>
  </si>
  <si>
    <t>panl_loc</t>
  </si>
  <si>
    <t>Nvirt_revr</t>
  </si>
  <si>
    <t>progElemName</t>
  </si>
  <si>
    <t>ProgElemABBRV</t>
  </si>
  <si>
    <t>SHF</t>
  </si>
  <si>
    <t>Algorithmic Foundations</t>
  </si>
  <si>
    <t>AF</t>
  </si>
  <si>
    <t>Communications &amp; Information Foundations</t>
  </si>
  <si>
    <t>CIF</t>
  </si>
  <si>
    <t>Software &amp; Hardware Foundations</t>
  </si>
  <si>
    <t>7796</t>
  </si>
  <si>
    <t>7797</t>
  </si>
  <si>
    <t>Pgm_annc_name</t>
  </si>
  <si>
    <t>pgm_annc_name</t>
  </si>
  <si>
    <t>pgm_annc_id</t>
  </si>
  <si>
    <t>Dr. Nina Amla</t>
  </si>
  <si>
    <t>Dr. Sankar Basu</t>
  </si>
  <si>
    <t>Core Programs</t>
  </si>
  <si>
    <t>Dr. Almadena Chtchelkanova</t>
  </si>
  <si>
    <t>Dr. Sol Greenspan</t>
  </si>
  <si>
    <t>Dr. Greenspan</t>
  </si>
  <si>
    <t>Dr. Amla</t>
  </si>
  <si>
    <t>Dr. Anindya Banerjee</t>
  </si>
  <si>
    <t>Division</t>
  </si>
  <si>
    <t>Cluster Name</t>
  </si>
  <si>
    <t>Cluster Abbreviation</t>
  </si>
  <si>
    <t>Program Announcement Number</t>
  </si>
  <si>
    <t>Program Announcement Name</t>
  </si>
  <si>
    <t>Panel ID</t>
  </si>
  <si>
    <t>Panel Name</t>
  </si>
  <si>
    <t>Panel Begin Date</t>
  </si>
  <si>
    <t>Panel Location</t>
  </si>
  <si>
    <t>Number of Projects</t>
  </si>
  <si>
    <t>Number of Proposals</t>
  </si>
  <si>
    <t>Number of Reviewers</t>
  </si>
  <si>
    <t>Number of Virtual panelists</t>
  </si>
  <si>
    <t>Officiating PD</t>
  </si>
  <si>
    <t>PDs signature</t>
  </si>
  <si>
    <t>PD's short name</t>
  </si>
  <si>
    <t>Dr. Jack Snoeyink</t>
  </si>
  <si>
    <t>Dr. Snoeyink</t>
  </si>
  <si>
    <t>TKIMBRE</t>
  </si>
  <si>
    <t>RSHAH</t>
  </si>
  <si>
    <t>Dr. Tracy Kimbrel</t>
  </si>
  <si>
    <t>Dr. Rahul Shah</t>
  </si>
  <si>
    <t>Dr. Shah</t>
  </si>
  <si>
    <t>Dr. Kimbrel</t>
  </si>
  <si>
    <t>Dr. Tracy Kimbrel (CISE/CCF/AF)</t>
  </si>
  <si>
    <t>Dr. Rahul Shah (CISE/CCF/AF)</t>
  </si>
  <si>
    <t>MBASU</t>
  </si>
  <si>
    <t>Dr. Mitra Basu</t>
  </si>
  <si>
    <t>NSF #-#</t>
  </si>
  <si>
    <t>Program name</t>
  </si>
  <si>
    <t>secondary Program Managers</t>
  </si>
  <si>
    <t>JSNOEYI</t>
  </si>
  <si>
    <t>Add any missing PDs to Table 2, and any missing programs to Table 3.</t>
  </si>
  <si>
    <t>In Table 1, list panel ids, and fill in details on solicitation, program, and pm_ids for secondary PDs (primary comes from PARS).</t>
  </si>
  <si>
    <t>Dr. Chtchelkanova</t>
  </si>
  <si>
    <t>Table 3:  program names from here (usually no change)</t>
  </si>
  <si>
    <t xml:space="preserve">Table 1: Clear out old panels, then and fill in table with panel ids and panel details needed. </t>
  </si>
  <si>
    <t>P160845</t>
  </si>
  <si>
    <t>P160844</t>
  </si>
  <si>
    <t>AFsmall Comp Geom Panel</t>
  </si>
  <si>
    <t>Stafford 1, Room 1120</t>
  </si>
  <si>
    <t>ALGORITHMIC FOUNDATIONS</t>
  </si>
  <si>
    <t>AF Small AGT+ Panel</t>
  </si>
  <si>
    <t>P160854</t>
  </si>
  <si>
    <t>AF small Numeric Panel</t>
  </si>
  <si>
    <t>row</t>
  </si>
  <si>
    <t>JCOZZEN</t>
  </si>
  <si>
    <t>RIBROWN</t>
  </si>
  <si>
    <t>Dr. Cozzen</t>
  </si>
  <si>
    <t>Dr. Brown</t>
  </si>
  <si>
    <t>7239</t>
  </si>
  <si>
    <t>Algorithms in the Field</t>
  </si>
  <si>
    <t>AitF</t>
  </si>
  <si>
    <t xml:space="preserve"> Table 2: Program Manager names are copied from here (usually needs no change)</t>
  </si>
  <si>
    <t>P181917</t>
  </si>
  <si>
    <t>P181992</t>
  </si>
  <si>
    <t>Conflicts</t>
  </si>
  <si>
    <t xml:space="preserve">Ezra, Esther: 1619064, 1619095                   
Mitchell, Joseph: 1614562, 1614584                   
Munch, Elizabeth: 1618247, 1618469, 1618605                  
St. John, Audrey: 1618900                    
Wenger, Rephael: 1618247, 1618469, 1618605                  
Xu, Jinhui: 1617735, 1617830                   
                                   </t>
  </si>
  <si>
    <t xml:space="preserve">Fortnow, Lance: 1617124, 1617265, 1617271, 1618140, 1618467                
Lucier, Brendan: 1617505, 1618502                   
Panigrahi, Debmalya: 1617505                    
Roughgarden, Tim: 1618502                    
                                     </t>
  </si>
  <si>
    <t xml:space="preserve">Mehri Dehnavi, Maryam: 1615704                    
Stathopoulos, Andreas: 1617354                    
                                       </t>
  </si>
  <si>
    <t>8013 NRI Proposal Review - Robotics Panel</t>
  </si>
  <si>
    <t>NSF</t>
  </si>
  <si>
    <t>07030000</t>
  </si>
  <si>
    <t>8013</t>
  </si>
  <si>
    <t>BKRAMER</t>
  </si>
  <si>
    <t>9199</t>
  </si>
  <si>
    <t>0118</t>
  </si>
  <si>
    <t>Div Of Civil, Mechanical, &amp; Manufact Inn</t>
  </si>
  <si>
    <t>National Robotics Initiative</t>
  </si>
  <si>
    <t xml:space="preserve">Wen, John: 1830607                    
                                        </t>
  </si>
  <si>
    <t>P181938</t>
  </si>
  <si>
    <t>AF Small Virtual Symbolic panel</t>
  </si>
  <si>
    <t>AF Small Numeric Panel June 18-19</t>
  </si>
  <si>
    <t>W2170</t>
  </si>
  <si>
    <t xml:space="preserve">Gittens, Alex: 1812954, 1813303, 1814314                  
Xia, Jianlin: 1813374, 1814041, 1814314                  
                                       </t>
  </si>
  <si>
    <t>Dr. John Cozzen</t>
  </si>
  <si>
    <t>Dr. John Cozzen (CISE CCF CIF)</t>
  </si>
  <si>
    <t>Dx. D. Richard Brown (CISE CCF CIF)</t>
  </si>
  <si>
    <t>Dr. Almadena Chtchelkanova (CISE CCF SHF)</t>
  </si>
  <si>
    <t>Dr. Sol Greenspan (CISE CCF SHF)</t>
  </si>
  <si>
    <t>Dr. Nina Amla (CISE CCF SHF)</t>
  </si>
  <si>
    <t>Dr. Anindya Banerjee (CISE CCF SHF)</t>
  </si>
  <si>
    <t>Dr. Sankar Basu (CISE CCF SHF)</t>
  </si>
  <si>
    <t>Dr. Jack Snoeyink (CISE CCF AF)</t>
  </si>
  <si>
    <t>Dr. Tracy Kimbrel (CISE CCF AF)</t>
  </si>
  <si>
    <t>Dr. Rahul Shah (CISE CCF AF)</t>
  </si>
  <si>
    <t>Dr. Mitra Basu  (CISE CCF)</t>
  </si>
  <si>
    <t>DMASLOV</t>
  </si>
  <si>
    <t>Dr. Dmitry Maslov (CISE CCF)</t>
  </si>
  <si>
    <t>Dr. Dmitry Maslov</t>
  </si>
  <si>
    <t>Dr. Maslov</t>
  </si>
  <si>
    <t>p181992</t>
  </si>
  <si>
    <t>p181938</t>
  </si>
  <si>
    <t>p181917</t>
  </si>
  <si>
    <t>NSF 17-571</t>
  </si>
  <si>
    <t>This page holds hidden settings: reportservers login credentials, sql fragments, preferences, or history...</t>
  </si>
  <si>
    <t>user id:</t>
  </si>
  <si>
    <t>ccfuser</t>
  </si>
  <si>
    <t>password:</t>
  </si>
  <si>
    <t xml:space="preserve">PC connect string: </t>
  </si>
  <si>
    <t>dsn=RPTSERVER;server=RPTSQL.nsf.gov;port=5000;</t>
  </si>
  <si>
    <t>Mac connect string:</t>
  </si>
  <si>
    <t>DSN=rptServer;OPTIONS=-O 1;READONLY=No;DLF=No;FBS=60;JET=No;NOAC=No;MAXROWS=0;SERVICE=Sybase::rptsql.nsf.gov(rptsql.nsf.gov:5000);TDSHOST=rptsql.nsf.gov;TDSPORT=5000;NLB=No;CURSOR_SENSITIVITY=Low;TDSVER=5.0;SQLSERVER_CATALOG=Yes;NRSSL=No;TRUSTEDCONN=No;CHARSETTRDIS=No;MASE=No;IV=No;IA=No;NO_QUOTED_IDENTIFIERS=No;</t>
  </si>
  <si>
    <t>name</t>
  </si>
  <si>
    <t>updated</t>
  </si>
  <si>
    <t>sql</t>
  </si>
  <si>
    <t>pm_panls</t>
  </si>
  <si>
    <t xml:space="preserve">SELECT pr.panl_id, pr.revr_id, pp.prop_id, id=identity(18), 0 as seq_x000D_
INTO #pConfl_x000D_
FROM csd.panl_revr pr _x000D_
JOIN csd.panl_prop pp ON pr.panl_id = pp.panl_id _x000D_
JOIN csd.rev_prop r ON r.revr_id = pr.revr_id AND r.prop_id = pp.prop_id AND r.rev_stts_code = 'C'_x000D_
WHERE pr.panl_id IN_x000D_
</t>
  </si>
  <si>
    <t>pm_panls2</t>
  </si>
  <si>
    <t xml:space="preserve">_x000D_
ORDER BY pr.revr_id, pp.prop_id_x000D_
_x000D_
SELECT revr_id,MIN(id) as start INTO #myStarts FROM #pConfl GROUP BY revr_id_x000D_
UPDATE #pConfl SET seq = id-M.start _x000D_
    FROM #pConfl r, #myStarts M  WHERE M.revr_id = r.revr_id_x000D_
DROP TABLE #myStarts_x000D_
_x000D_
--select * from  #pConfl_x000D_
_x000D_
SELECT cf.panl_id, cf.revr_id, rtrim(revr.revr_last_name) + ', ' + rtrim(revr.revr_frst_name) + ': ' + cf.Cfl as Cfl, id=identity(18), 0 as seq_x000D_
INTO #myConfl_x000D_
FROM(SELECT c.panl_id, c.revr_id, MAX(CASE seq WHEN  0 THEN prop_id ELSE '' END)+_x000D_
     MAX(CASE seq WHEN  1 THEN ', '+prop_id ELSE '' END)+_x000D_
     MAX(CASE seq WHEN  2 THEN ', '+prop_id ELSE '' END)+_x000D_
     MAX(CASE seq WHEN  3 THEN ', '+prop_id ELSE '' END)+_x000D_
     MAX(CASE seq WHEN  4 THEN ', '+prop_id ELSE '' END)+_x000D_
     MAX(CASE seq WHEN  5 THEN ', '+prop_id ELSE '' END)+_x000D_
     MAX(CASE seq WHEN  6 THEN ', '+prop_id ELSE '' END)+_x000D_
     MAX(CASE seq WHEN  7 THEN ', '+prop_id ELSE '' END)+_x000D_
     MAX(CASE seq WHEN  8 THEN ', '+prop_id ELSE '' END)+_x000D_
     MAX(CASE seq WHEN  9 THEN ', '+prop_id ELSE '' END)+_x000D_
     MAX(CASE seq WHEN 10 THEN ', '+prop_id ELSE '' END)+_x000D_
     MAX(CASE seq WHEN 11 THEN ', '+prop_id ELSE '' END)+_x000D_
     MAX(CASE seq WHEN 12 THEN ', '+prop_id ELSE '' END)+_x000D_
     MAX(CASE seq WHEN 13 THEN ', '+prop_id ELSE '' END)+_x000D_
     MAX(CASE seq WHEN 14 THEN ', '+prop_id ELSE '' END)+_x000D_
     MAX(CASE seq WHEN 15 THEN ', '+prop_id ELSE '' END)+_x000D_
     MAX(CASE seq WHEN 16 THEN ', '+prop_id ELSE '' END)+_x000D_
     MAX(CASE seq WHEN 17 THEN ', '+prop_id ELSE '' END)+_x000D_
     MAX(CASE seq WHEN 18 THEN ', '+prop_id ELSE '' END)+_x000D_
     MAX(CASE seq WHEN 19 THEN ', '+prop_id ELSE '' END)+_x000D_
     MAX(CASE seq WHEN 20 THEN ', '+prop_id ELSE '' END)+char(10) AS Cfl_x000D_
    FROM #pConfl c_x000D_
    GROUP BY c.panl_id, c.revr_id) cf_x000D_
JOIN csd.revr revr ON revr.revr_id = cf.revr_id_x000D_
ORDER BY cf.panl_id, Cfl_x000D_
_x000D_
SELECT panl_id,MIN(id) as start INTO #mySt2 FROM #myConfl GROUP BY panl_id_x000D_
UPDATE #myConfl SET seq = id-M.start _x000D_
    FROM #myConfl r, #mySt2 M  WHERE M.panl_id = r.panl_id_x000D_
DROP TABLE #mySt2_x000D_
_x000D_
--select * from #myConfl_x000D_
--drop table  #myConfl_x000D_
--drop table _x000D_
_x000D_
_x000D_
SELECT panl.panl_id, panl.panl_name, panl.panl_bgn_date, panl.panl_end_date, panl.panl_loc, panl.org_code, panl.pgm_ele_code, panl.pm_logn_id,panl.meet_type_code, panl.meet_fmt, panl.fund_org_code, panl.fund_pgm_ele_code, panl.fund_app_code, panl_stts.panl_stts_txt, panl.oblg_flag, org.org_long_name, pgm_ele.pgm_ele_long_name,_x000D_
(SELECT COUNT(panl_prop.prop_id) FROM csd.panl_prop panl_prop, csd.prop prop WHERE panl.panl_id = panl_prop.panl_id AND panl_prop.prop_id = prop.prop_id AND (prop.prop_id = isnull( prop.lead_prop_id, prop.prop_id) ) ) AS 'Nproj',_x000D_
(SELECT COUNT(panl_prop.prop_id) FROM csd.panl_prop panl_prop WHERE panl.panl_id = panl_prop.panl_id) AS 'Nprop',_x000D_
nullif((SELECT COUNT(panl_revr.revr_id) FROM csd.panl_revr panl_revr WHERE panl.panl_id = panl_revr.panl_id AND (panl_revr.tele_conf_part_flag = 'N')),0) AS 'Nrevr',_x000D_
nullif((SELECT COUNT(panl_revr.revr_id) FROM csd.panl_revr panl_revr WHERE panl.panl_id = panl_revr.panl_id AND (panl_revr.tele_conf_part_flag = 'Y')),0) AS 'Nvirt_revr',_x000D_
    (SELECT MAX(CASE seq WHEN  0 THEN Cfl ELSE '' END)+_x000D_
     MAX(CASE seq WHEN  1 THEN Cfl ELSE '' END)+_x000D_
     MAX(CASE seq WHEN  2 THEN Cfl ELSE '' END)+_x000D_
     MAX(CASE seq WHEN  3 THEN Cfl ELSE '' END)+_x000D_
     MAX(CASE seq WHEN  4 THEN Cfl ELSE '' END)+_x000D_
     MAX(CASE seq WHEN  5 THEN Cfl ELSE '' END)+_x000D_
     MAX(CASE seq WHEN  6 THEN Cfl ELSE '' END)+_x000D_
     MAX(CASE seq WHEN  7 THEN Cfl ELSE '' END)+_x000D_
     MAX(CASE seq WHEN  8 THEN Cfl ELSE '' END)+_x000D_
     MAX(CASE seq WHEN  9 THEN Cfl ELSE '' END)+_x000D_
     MAX(CASE seq WHEN 10 THEN Cfl ELSE '' END)+_x000D_
     MAX(CASE seq WHEN 11 THEN Cfl ELSE '' END)+_x000D_
     MAX(CASE seq WHEN 12 THEN Cfl ELSE '' END)+_x000D_
     MAX(CASE seq WHEN 13 THEN Cfl ELSE '' END)+_x000D_
     MAX(CASE seq WHEN 14 THEN Cfl ELSE '' END)+_x000D_
     MAX(CASE seq WHEN 15 THEN Cfl ELSE '' END)+_x000D_
     MAX(CASE seq WHEN 16 THEN Cfl ELSE '' END)+_x000D_
     MAX(CASE seq WHEN 17 THEN Cfl ELSE '' END)+_x000D_
     MAX(CASE seq WHEN 18 THEN Cfl ELSE '' END)+_x000D_
     MAX(CASE seq WHEN 19 THEN Cfl ELSE '' END)+_x000D_
     MAX(CASE seq WHEN 20 THEN Cfl ELSE '' END)+_x000D_
     MAX(CASE seq WHEN 21 THEN Cfl ELSE '' END)+_x000D_
     MAX(CASE seq WHEN 22 THEN Cfl ELSE '' END)+_x000D_
     MAX(CASE seq WHEN 23 THEN Cfl ELSE '' END)+_x000D_
     MAX(CASE seq WHEN 24 THEN Cfl ELSE '' END)+_x000D_
     MAX(CASE seq WHEN 25 THEN Cfl ELSE '' END)+_x000D_
     MAX(CASE seq WHEN 26 THEN Cfl ELSE '' END)+_x000D_
     MAX(CASE seq WHEN 27 THEN Cfl ELSE '' END)+_x000D_
     MAX(CASE seq WHEN 28 THEN Cfl ELSE '' END)+_x000D_
     MAX(CASE seq WHEN 29 THEN Cfl ELSE '' END)+_x000D_
     MAX(CASE seq WHEN 30 THEN Cfl ELSE '' END)+_x000D_
     MAX(CASE seq WHEN 31 THEN Cfl ELSE '' END)+_x000D_
     MAX(CASE seq WHEN 32 THEN Cfl ELSE '' END)+_x000D_
     MAX(CASE seq WHEN 33 THEN Cfl ELSE '' END)+_x000D_
     MAX(CASE seq WHEN 34 THEN Cfl ELSE '' END)+_x000D_
     MAX(CASE seq WHEN 35 THEN Cfl ELSE '' END)+_x000D_
     MAX(CASE seq WHEN 36 THEN Cfl ELSE '' END)+_x000D_
     MAX(CASE seq WHEN 37 THEN Cfl ELSE '' END)+_x000D_
     MAX(CASE seq WHEN 38 THEN Cfl ELSE '' END)+_x000D_
     MAX(CASE seq WHEN 39 THEN Cfl ELSE '' END)+_x000D_
     MAX(CASE seq WHEN 40 THEN Cfl ELSE '' END) _x000D_
FROM #myConfl c WHERE c.panl_id = panl.panl_id) as Conflicts_x000D_
FROM csd.org org, csd.panl panl, csd.panl_stts panl_stts, csd.pgm_ele pgm_ele_x000D_
WHERE panl.panl_stts_code = panl_stts.panl_stts_code AND panl.pgm_ele_code = pgm_ele.pgm_ele_code AND panl.org_code = org.org_code AND _x000D_
panl.panl_id In _x000D_
</t>
  </si>
  <si>
    <t>pm_drop</t>
  </si>
  <si>
    <t xml:space="preserve">DROP TABLE #pConfl,#myConfl_x000D_
</t>
  </si>
  <si>
    <t>CCfdata08/18</t>
  </si>
  <si>
    <t xml:space="preserve">Enable Content, hit Refresh, and enter the rptserver password if requested. </t>
  </si>
  <si>
    <t>List of conflicted panelists/proposals</t>
  </si>
  <si>
    <t>Check  MinutesMerge for #N/A# due to missing PDs (table 2) or Programs (table 3).</t>
  </si>
  <si>
    <t xml:space="preserve">Hit Make Minutes to create panel minutes Word documents named by panel id.  </t>
  </si>
  <si>
    <t>Add information not captured in the database, such as PD conflicts and conflict waivers.</t>
  </si>
  <si>
    <t>This must go with Panel_Minutes_Template.docx, and will create P123456_Minutes_date_time.docx minutes files.</t>
  </si>
  <si>
    <t xml:space="preserve">These are the merge fields currently used in the letter  </t>
  </si>
  <si>
    <t>The date of the query</t>
  </si>
  <si>
    <t>Dr. Rick Brown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</si>
</sst>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409]mmmm\ d\,\ yyyy;@"/>
    <numFmt numFmtId="165" formatCode="[$-409]d\-mmm\-yy;@"/>
    <numFmt numFmtId="166" formatCode=";;;**********"/>
  </numFmts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2"/>
      <color theme="1"/>
      <name val="Times New Roman"/>
      <family val="1"/>
    </font>
    <font>
      <sz val="11"/>
      <color theme="5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6"/>
        <bgColor theme="6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164" fontId="0" fillId="0" borderId="0" xfId="0" applyNumberFormat="1"/>
    <xf numFmtId="14" fontId="0" fillId="0" borderId="0" xfId="0" applyNumberFormat="1"/>
    <xf numFmtId="0" fontId="2" fillId="2" borderId="2" xfId="0" applyFont="1" applyFill="1" applyBorder="1"/>
    <xf numFmtId="0" fontId="2" fillId="2" borderId="1" xfId="0" applyFont="1" applyFill="1" applyBorder="1"/>
    <xf numFmtId="0" fontId="2" fillId="2" borderId="3" xfId="0" applyFont="1" applyFill="1" applyBorder="1"/>
    <xf numFmtId="49" fontId="0" fillId="0" borderId="1" xfId="0" applyNumberFormat="1" applyFont="1" applyFill="1" applyBorder="1"/>
    <xf numFmtId="49" fontId="0" fillId="0" borderId="0" xfId="0" applyNumberFormat="1"/>
    <xf numFmtId="1" fontId="0" fillId="0" borderId="0" xfId="0" applyNumberFormat="1"/>
    <xf numFmtId="49" fontId="0" fillId="0" borderId="0" xfId="0" quotePrefix="1" applyNumberFormat="1"/>
    <xf numFmtId="0" fontId="0" fillId="0" borderId="1" xfId="0" applyBorder="1"/>
    <xf numFmtId="0" fontId="0" fillId="0" borderId="0" xfId="0" applyFont="1" applyFill="1" applyBorder="1"/>
    <xf numFmtId="49" fontId="2" fillId="2" borderId="1" xfId="0" applyNumberFormat="1" applyFont="1" applyFill="1" applyBorder="1"/>
    <xf numFmtId="49" fontId="0" fillId="0" borderId="1" xfId="0" quotePrefix="1" applyNumberFormat="1" applyBorder="1"/>
    <xf numFmtId="49" fontId="0" fillId="0" borderId="0" xfId="0" quotePrefix="1" applyNumberFormat="1" applyFont="1" applyFill="1" applyBorder="1"/>
    <xf numFmtId="165" fontId="0" fillId="0" borderId="0" xfId="0" applyNumberFormat="1"/>
    <xf numFmtId="165" fontId="2" fillId="2" borderId="1" xfId="0" applyNumberFormat="1" applyFont="1" applyFill="1" applyBorder="1"/>
    <xf numFmtId="0" fontId="0" fillId="0" borderId="0" xfId="0" applyBorder="1"/>
    <xf numFmtId="49" fontId="0" fillId="0" borderId="4" xfId="0" applyNumberFormat="1" applyFont="1" applyFill="1" applyBorder="1"/>
    <xf numFmtId="0" fontId="0" fillId="0" borderId="0" xfId="0" applyFill="1"/>
    <xf numFmtId="0" fontId="1" fillId="0" borderId="0" xfId="0" applyFont="1" applyFill="1" applyBorder="1" applyAlignment="1">
      <alignment horizontal="center" vertical="center"/>
    </xf>
    <xf numFmtId="0" fontId="3" fillId="0" borderId="0" xfId="0" applyFont="1" applyFill="1"/>
    <xf numFmtId="0" fontId="4" fillId="0" borderId="0" xfId="0" applyFont="1"/>
    <xf numFmtId="49" fontId="4" fillId="0" borderId="0" xfId="0" applyNumberFormat="1" applyFont="1"/>
    <xf numFmtId="49" fontId="0" fillId="0" borderId="0" xfId="0" applyNumberFormat="1" applyBorder="1"/>
    <xf numFmtId="0" fontId="0" fillId="0" borderId="0" xfId="0" applyNumberFormat="1"/>
    <xf numFmtId="0" fontId="1" fillId="0" borderId="5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166" fontId="0" fillId="0" borderId="0" xfId="0" applyNumberFormat="1" applyProtection="1">
      <protection locked="0" hidden="1"/>
    </xf>
    <xf numFmtId="0" fontId="2" fillId="3" borderId="6" xfId="0" applyFont="1" applyFill="1" applyBorder="1"/>
    <xf numFmtId="0" fontId="2" fillId="3" borderId="7" xfId="0" applyFont="1" applyFill="1" applyBorder="1"/>
    <xf numFmtId="0" fontId="2" fillId="3" borderId="8" xfId="0" applyFont="1" applyFill="1" applyBorder="1"/>
    <xf numFmtId="0" fontId="0" fillId="0" borderId="0" xfId="0" applyAlignment="1">
      <alignment horizontal="center"/>
    </xf>
    <xf numFmtId="22" fontId="0" fillId="0" borderId="0" xfId="0" applyNumberFormat="1" applyProtection="1">
      <protection locked="0"/>
    </xf>
    <xf numFmtId="0" fontId="0" fillId="0" borderId="0" xfId="0" applyAlignment="1" applyProtection="1">
      <alignment wrapText="1"/>
      <protection locked="0"/>
    </xf>
    <xf numFmtId="0" fontId="2" fillId="2" borderId="0" xfId="0" applyFont="1" applyFill="1" applyBorder="1"/>
    <xf numFmtId="0" fontId="5" fillId="0" borderId="0" xfId="0" applyFont="1"/>
  </cellXfs>
  <cellStyles count="1">
    <cellStyle name="Normal" xfId="0" builtinId="0"/>
  </cellStyles>
  <dxfs count="30">
    <dxf>
      <fill>
        <patternFill>
          <bgColor rgb="FFFFF8E5"/>
        </patternFill>
      </fill>
    </dxf>
    <dxf>
      <fill>
        <patternFill>
          <bgColor rgb="FFFFF8E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$-409]mmmm\ d\,\ yyyy;@"/>
    </dxf>
    <dxf>
      <numFmt numFmtId="165" formatCode="[$-409]d\-mmm\-yy;@"/>
    </dxf>
    <dxf>
      <numFmt numFmtId="165" formatCode="[$-409]d\-mmm\-yy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180975</xdr:colOff>
          <xdr:row>2</xdr:row>
          <xdr:rowOff>9525</xdr:rowOff>
        </xdr:from>
        <xdr:to>
          <xdr:col>4</xdr:col>
          <xdr:colOff>1219200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MinutesMerge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238125</xdr:colOff>
          <xdr:row>5</xdr:row>
          <xdr:rowOff>76200</xdr:rowOff>
        </xdr:from>
        <xdr:to>
          <xdr:col>4</xdr:col>
          <xdr:colOff>1190625</xdr:colOff>
          <xdr:row>7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D7A8B30E-978A-4167-B527-AD1E751F2E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Minutes.docx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Query from RPTSERVER" adjustColumnWidth="0" connectionId="1" autoFormatId="16" applyNumberFormats="0" applyBorderFormats="0" applyFontFormats="0" applyPatternFormats="0" applyAlignmentFormats="0" applyWidthHeightFormats="0">
  <queryTableRefresh nextId="48" unboundColumnsLeft="6" unboundColumnsRight="5">
    <queryTableFields count="33">
      <queryTableField id="28" dataBound="0" tableColumnId="25"/>
      <queryTableField id="31" dataBound="0" tableColumnId="17"/>
      <queryTableField id="44" dataBound="0" tableColumnId="31"/>
      <queryTableField id="30" dataBound="0" tableColumnId="23"/>
      <queryTableField id="29" dataBound="0" tableColumnId="24"/>
      <queryTableField id="45" dataBound="0" tableColumnId="32"/>
      <queryTableField id="7" name="pm_logn_id" tableColumnId="7"/>
      <queryTableField id="1" name="panl_id" tableColumnId="1"/>
      <queryTableField id="2" name="panl_name" tableColumnId="2"/>
      <queryTableField id="3" name="panl_bgn_date" tableColumnId="3"/>
      <queryTableField id="4" name="panl_end_date" tableColumnId="4"/>
      <queryTableField id="36" name="panl_loc" tableColumnId="19"/>
      <queryTableField id="22" name="Nproj" tableColumnId="20"/>
      <queryTableField id="23" name="Nprop" tableColumnId="21"/>
      <queryTableField id="24" name="Nrevr" tableColumnId="22"/>
      <queryTableField id="37" name="Nvirt_revr" tableColumnId="26"/>
      <queryTableField id="8" name="meet_type_code" tableColumnId="8"/>
      <queryTableField id="9" name="meet_fmt" tableColumnId="9"/>
      <queryTableField id="10" name="fund_org_code" tableColumnId="10"/>
      <queryTableField id="11" name="fund_pgm_ele_code" tableColumnId="11"/>
      <queryTableField id="12" name="fund_app_code" tableColumnId="12"/>
      <queryTableField id="13" name="panl_stts_txt" tableColumnId="13"/>
      <queryTableField id="14" name="oblg_flag" tableColumnId="14"/>
      <queryTableField id="5" name="org_code" tableColumnId="5"/>
      <queryTableField id="6" name="pgm_ele_code" tableColumnId="6"/>
      <queryTableField id="15" name="org_long_name" tableColumnId="15"/>
      <queryTableField id="16" name="pgm_ele_long_name" tableColumnId="16"/>
      <queryTableField id="46" name="Conflicts" tableColumnId="33"/>
      <queryTableField id="41" dataBound="0" tableColumnId="28"/>
      <queryTableField id="40" dataBound="0" tableColumnId="27"/>
      <queryTableField id="43" dataBound="0" tableColumnId="30"/>
      <queryTableField id="42" dataBound="0" tableColumnId="29"/>
      <queryTableField id="35" dataBound="0" tableColumnId="18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PDnames" displayName="PDnames" ref="B12:E24" totalsRowShown="0">
  <autoFilter ref="B12:E24"/>
  <tableColumns count="4">
    <tableColumn id="1" name="pm_id" dataDxfId="29"/>
    <tableColumn id="2" name="frml_name_affil"/>
    <tableColumn id="4" name="signed"/>
    <tableColumn id="3" name="short_nam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ProgElemTable" displayName="ProgElemTable" ref="G12:I16" totalsRowShown="0">
  <autoFilter ref="G12:I16"/>
  <sortState ref="G13:I15">
    <sortCondition ref="G13:G16"/>
  </sortState>
  <tableColumns count="3">
    <tableColumn id="1" name="pgm_ele_code" dataDxfId="28"/>
    <tableColumn id="2" name="progElemName"/>
    <tableColumn id="3" name="ProgElemABBRV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PanelTable" displayName="PanelTable" ref="A30:E33" totalsRowShown="0" dataDxfId="27">
  <autoFilter ref="A30:E33"/>
  <tableColumns count="5">
    <tableColumn id="1" name="panl_id" dataDxfId="26"/>
    <tableColumn id="3" name="pgm_annc_id" dataDxfId="25"/>
    <tableColumn id="2" name="pgm_annc_name" dataDxfId="24">
      <calculatedColumnFormula>"'" &amp; PanelTable[[#This Row],[panl_id]] &amp; "',"</calculatedColumnFormula>
    </tableColumn>
    <tableColumn id="4" name="addl_pd1" dataDxfId="23"/>
    <tableColumn id="5" name="addl_pd2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MinutesDataTable" displayName="MinutesDataTable" ref="A1:AG7" tableType="queryTable" totalsRowShown="0">
  <autoFilter ref="A1:AG7"/>
  <tableColumns count="33">
    <tableColumn id="25" uniqueName="25" name="officiating" queryTableFieldId="28" dataDxfId="21">
      <calculatedColumnFormula>VLOOKUP(MinutesDataTable[[#This Row],[pm_logn_id]],PDnames[#All],2,FALSE)</calculatedColumnFormula>
    </tableColumn>
    <tableColumn id="17" uniqueName="17" name="signed" queryTableFieldId="31" dataDxfId="20">
      <calculatedColumnFormula>VLOOKUP(MinutesDataTable[[#This Row],[pm_logn_id]],PDnames[#All],3,FALSE)</calculatedColumnFormula>
    </tableColumn>
    <tableColumn id="31" uniqueName="31" name="short_name" queryTableFieldId="44" dataDxfId="19">
      <calculatedColumnFormula>VLOOKUP(MinutesDataTable[[#This Row],[pm_logn_id]],PDnames[#All],4,FALSE)</calculatedColumnFormula>
    </tableColumn>
    <tableColumn id="23" uniqueName="23" name="addl_pd1" queryTableFieldId="30" dataDxfId="18">
      <calculatedColumnFormula>IF(ISBLANK( INDEX(PanelTable[addl_pd1],MinutesDataTable[[#This Row],[row]])),"",INDEX(PanelTable[addl_pd1],MinutesDataTable[[#This Row],[row]]))</calculatedColumnFormula>
    </tableColumn>
    <tableColumn id="24" uniqueName="24" name="addl_pd2" queryTableFieldId="29" dataDxfId="17">
      <calculatedColumnFormula>IF(ISBLANK( INDEX(PanelTable[addl_pd2],MinutesDataTable[[#This Row],[row]])),"",INDEX(PanelTable[addl_pd2],MinutesDataTable[[#This Row],[row]]))</calculatedColumnFormula>
    </tableColumn>
    <tableColumn id="32" uniqueName="32" name="row" queryTableFieldId="45" dataDxfId="16">
      <calculatedColumnFormula>MATCH(MinutesDataTable[[#This Row],[panl_id]],PanelTable[panl_id],0)</calculatedColumnFormula>
    </tableColumn>
    <tableColumn id="7" uniqueName="7" name="pm_logn_id" queryTableFieldId="7" dataDxfId="6"/>
    <tableColumn id="1" uniqueName="1" name="panl_id" queryTableFieldId="1"/>
    <tableColumn id="2" uniqueName="2" name="panl_name" queryTableFieldId="2"/>
    <tableColumn id="3" uniqueName="3" name="panl_bgn_date" queryTableFieldId="3" dataDxfId="15"/>
    <tableColumn id="4" uniqueName="4" name="panl_end_date" queryTableFieldId="4" dataDxfId="14"/>
    <tableColumn id="19" uniqueName="19" name="panl_loc" queryTableFieldId="36" dataDxfId="13"/>
    <tableColumn id="20" uniqueName="20" name="Nproj" queryTableFieldId="22" dataDxfId="12"/>
    <tableColumn id="21" uniqueName="21" name="Nprop" queryTableFieldId="23" dataDxfId="11"/>
    <tableColumn id="22" uniqueName="22" name="Nrevr" queryTableFieldId="24" dataDxfId="10"/>
    <tableColumn id="26" uniqueName="26" name="Nvirt_revr" queryTableFieldId="37" dataDxfId="9"/>
    <tableColumn id="8" uniqueName="8" name="meet_type_code" queryTableFieldId="8"/>
    <tableColumn id="9" uniqueName="9" name="meet_fmt" queryTableFieldId="9"/>
    <tableColumn id="10" uniqueName="10" name="fund_org_code" queryTableFieldId="10"/>
    <tableColumn id="11" uniqueName="11" name="fund_pgm_ele_code" queryTableFieldId="11"/>
    <tableColumn id="12" uniqueName="12" name="fund_app_code" queryTableFieldId="12"/>
    <tableColumn id="13" uniqueName="13" name="panl_stts_txt" queryTableFieldId="13"/>
    <tableColumn id="14" uniqueName="14" name="oblg_flag" queryTableFieldId="14"/>
    <tableColumn id="5" uniqueName="5" name="org_code" queryTableFieldId="5"/>
    <tableColumn id="6" uniqueName="6" name="pgm_ele_code" queryTableFieldId="6" dataDxfId="8"/>
    <tableColumn id="15" uniqueName="15" name="org_long_name" queryTableFieldId="15"/>
    <tableColumn id="16" uniqueName="16" name="pgm_ele_long_name" queryTableFieldId="16"/>
    <tableColumn id="33" uniqueName="33" name="Conflicts" queryTableFieldId="46"/>
    <tableColumn id="28" uniqueName="28" name="progElemName" queryTableFieldId="41" dataDxfId="5">
      <calculatedColumnFormula>VLOOKUP(MinutesDataTable[[#This Row],[pgm_ele_code]],ProgElemTable[],2,FALSE)</calculatedColumnFormula>
    </tableColumn>
    <tableColumn id="27" uniqueName="27" name="ProgElemABBRV" queryTableFieldId="40" dataDxfId="2">
      <calculatedColumnFormula>VLOOKUP(MinutesDataTable[[#This Row],[pgm_ele_code]],ProgElemTable[],3,FALSE)</calculatedColumnFormula>
    </tableColumn>
    <tableColumn id="30" uniqueName="30" name="pgm_annc_id" queryTableFieldId="43" dataDxfId="3">
      <calculatedColumnFormula xml:space="preserve"> INDEX(PanelTable[pgm_annc_id],MinutesDataTable[[#This Row],[row]])</calculatedColumnFormula>
    </tableColumn>
    <tableColumn id="29" uniqueName="29" name="Pgm_annc_name" queryTableFieldId="42" dataDxfId="4">
      <calculatedColumnFormula>INDEX(PanelTable[pgm_annc_name],MinutesDataTable[[#This Row],[row]])</calculatedColumnFormula>
    </tableColumn>
    <tableColumn id="18" uniqueName="18" name="today" queryTableFieldId="35" dataDxfId="7">
      <calculatedColumnFormula>TODAY()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33"/>
  <sheetViews>
    <sheetView tabSelected="1" workbookViewId="0">
      <selection activeCell="C35" sqref="C35"/>
    </sheetView>
  </sheetViews>
  <sheetFormatPr defaultRowHeight="15" x14ac:dyDescent="0.25"/>
  <cols>
    <col min="1" max="2" width="11.28515625" customWidth="1"/>
    <col min="3" max="3" width="32.42578125" customWidth="1"/>
    <col min="4" max="4" width="24.5703125" customWidth="1"/>
    <col min="5" max="5" width="21.28515625" customWidth="1"/>
    <col min="6" max="6" width="10.5703125" customWidth="1"/>
    <col min="7" max="7" width="8.42578125" style="7" customWidth="1"/>
    <col min="8" max="8" width="30.28515625" customWidth="1"/>
    <col min="9" max="9" width="8.140625" customWidth="1"/>
    <col min="11" max="11" width="8" style="7" customWidth="1"/>
    <col min="12" max="12" width="8.28515625" customWidth="1"/>
    <col min="13" max="13" width="11.42578125" customWidth="1"/>
    <col min="14" max="14" width="31.5703125" customWidth="1"/>
    <col min="15" max="15" width="27.85546875" customWidth="1"/>
    <col min="16" max="16" width="18.5703125" customWidth="1"/>
  </cols>
  <sheetData>
    <row r="1" spans="1:14" x14ac:dyDescent="0.25">
      <c r="A1" s="37" t="s">
        <v>183</v>
      </c>
    </row>
    <row r="2" spans="1:14" x14ac:dyDescent="0.25">
      <c r="A2" t="s">
        <v>98</v>
      </c>
      <c r="M2" s="7"/>
    </row>
    <row r="3" spans="1:14" x14ac:dyDescent="0.25">
      <c r="A3" t="s">
        <v>97</v>
      </c>
      <c r="G3" s="33"/>
      <c r="H3" s="33"/>
      <c r="I3" s="33"/>
      <c r="J3" s="33"/>
      <c r="K3" s="33"/>
      <c r="M3" t="s">
        <v>184</v>
      </c>
    </row>
    <row r="4" spans="1:14" x14ac:dyDescent="0.25">
      <c r="A4" t="s">
        <v>178</v>
      </c>
      <c r="M4" s="4" t="s">
        <v>14</v>
      </c>
      <c r="N4" t="s">
        <v>65</v>
      </c>
    </row>
    <row r="5" spans="1:14" x14ac:dyDescent="0.25">
      <c r="A5" t="s">
        <v>180</v>
      </c>
      <c r="D5" s="19"/>
      <c r="E5" s="19"/>
      <c r="M5" s="4" t="s">
        <v>15</v>
      </c>
      <c r="N5" t="s">
        <v>66</v>
      </c>
    </row>
    <row r="6" spans="1:14" ht="15.75" x14ac:dyDescent="0.25">
      <c r="A6" t="s">
        <v>181</v>
      </c>
      <c r="D6" s="21"/>
      <c r="E6" s="21"/>
      <c r="M6" s="4" t="s">
        <v>45</v>
      </c>
      <c r="N6" t="s">
        <v>67</v>
      </c>
    </row>
    <row r="7" spans="1:14" ht="15.75" x14ac:dyDescent="0.25">
      <c r="A7" t="s">
        <v>182</v>
      </c>
      <c r="D7" s="21"/>
      <c r="E7" s="21"/>
      <c r="M7" s="4" t="s">
        <v>56</v>
      </c>
      <c r="N7" t="s">
        <v>68</v>
      </c>
    </row>
    <row r="8" spans="1:14" ht="15.75" x14ac:dyDescent="0.25">
      <c r="D8" s="21"/>
      <c r="E8" s="21"/>
      <c r="M8" s="4" t="s">
        <v>54</v>
      </c>
      <c r="N8" t="s">
        <v>69</v>
      </c>
    </row>
    <row r="9" spans="1:14" ht="15.75" x14ac:dyDescent="0.25">
      <c r="D9" s="21"/>
      <c r="E9" s="21"/>
      <c r="G9" s="33"/>
      <c r="H9" s="33"/>
      <c r="I9" s="33"/>
      <c r="J9" s="33"/>
      <c r="K9" s="33"/>
      <c r="M9" s="4" t="s">
        <v>0</v>
      </c>
      <c r="N9" t="s">
        <v>70</v>
      </c>
    </row>
    <row r="10" spans="1:14" ht="15.75" x14ac:dyDescent="0.25">
      <c r="D10" s="21"/>
      <c r="E10" s="21"/>
      <c r="M10" s="4" t="s">
        <v>1</v>
      </c>
      <c r="N10" t="s">
        <v>71</v>
      </c>
    </row>
    <row r="11" spans="1:14" ht="15.75" x14ac:dyDescent="0.25">
      <c r="B11" s="23" t="s">
        <v>118</v>
      </c>
      <c r="D11" s="21"/>
      <c r="E11" s="21"/>
      <c r="G11" s="23" t="s">
        <v>100</v>
      </c>
      <c r="M11" s="16" t="s">
        <v>2</v>
      </c>
      <c r="N11" t="s">
        <v>72</v>
      </c>
    </row>
    <row r="12" spans="1:14" ht="15.75" x14ac:dyDescent="0.25">
      <c r="B12" s="7" t="s">
        <v>34</v>
      </c>
      <c r="C12" t="s">
        <v>35</v>
      </c>
      <c r="D12" t="s">
        <v>36</v>
      </c>
      <c r="E12" t="s">
        <v>37</v>
      </c>
      <c r="F12" s="21"/>
      <c r="G12" s="12" t="s">
        <v>5</v>
      </c>
      <c r="H12" s="4" t="s">
        <v>44</v>
      </c>
      <c r="I12" t="s">
        <v>45</v>
      </c>
      <c r="M12" s="4" t="s">
        <v>42</v>
      </c>
      <c r="N12" t="s">
        <v>73</v>
      </c>
    </row>
    <row r="13" spans="1:14" ht="15.75" x14ac:dyDescent="0.25">
      <c r="B13" s="6" t="s">
        <v>152</v>
      </c>
      <c r="C13" t="s">
        <v>153</v>
      </c>
      <c r="D13" t="s">
        <v>154</v>
      </c>
      <c r="E13" t="s">
        <v>155</v>
      </c>
      <c r="F13" s="21"/>
      <c r="G13" s="13" t="s">
        <v>52</v>
      </c>
      <c r="H13" s="10" t="s">
        <v>47</v>
      </c>
      <c r="I13" t="s">
        <v>48</v>
      </c>
      <c r="M13" s="4" t="s">
        <v>29</v>
      </c>
      <c r="N13" t="s">
        <v>74</v>
      </c>
    </row>
    <row r="14" spans="1:14" ht="15.75" x14ac:dyDescent="0.25">
      <c r="B14" s="6" t="s">
        <v>24</v>
      </c>
      <c r="C14" t="s">
        <v>143</v>
      </c>
      <c r="D14" t="s">
        <v>60</v>
      </c>
      <c r="E14" t="s">
        <v>99</v>
      </c>
      <c r="F14" s="21"/>
      <c r="G14" s="9" t="s">
        <v>53</v>
      </c>
      <c r="H14" t="s">
        <v>49</v>
      </c>
      <c r="I14" t="s">
        <v>50</v>
      </c>
      <c r="M14" s="4" t="s">
        <v>30</v>
      </c>
      <c r="N14" t="s">
        <v>75</v>
      </c>
    </row>
    <row r="15" spans="1:14" ht="15.75" x14ac:dyDescent="0.25">
      <c r="B15" s="6" t="s">
        <v>25</v>
      </c>
      <c r="C15" t="s">
        <v>144</v>
      </c>
      <c r="D15" t="s">
        <v>61</v>
      </c>
      <c r="E15" t="s">
        <v>62</v>
      </c>
      <c r="F15" s="21"/>
      <c r="G15" s="14" t="s">
        <v>17</v>
      </c>
      <c r="H15" s="11" t="s">
        <v>51</v>
      </c>
      <c r="I15" t="s">
        <v>46</v>
      </c>
      <c r="M15" s="4" t="s">
        <v>31</v>
      </c>
      <c r="N15" t="s">
        <v>76</v>
      </c>
    </row>
    <row r="16" spans="1:14" ht="15.75" x14ac:dyDescent="0.25">
      <c r="B16" s="6" t="s">
        <v>26</v>
      </c>
      <c r="C16" t="s">
        <v>145</v>
      </c>
      <c r="D16" t="s">
        <v>57</v>
      </c>
      <c r="E16" t="s">
        <v>63</v>
      </c>
      <c r="F16" s="21"/>
      <c r="G16" s="9" t="s">
        <v>115</v>
      </c>
      <c r="H16" t="s">
        <v>116</v>
      </c>
      <c r="I16" t="s">
        <v>117</v>
      </c>
      <c r="M16" s="4" t="s">
        <v>43</v>
      </c>
      <c r="N16" t="s">
        <v>77</v>
      </c>
    </row>
    <row r="17" spans="1:14" ht="15.75" x14ac:dyDescent="0.25">
      <c r="B17" s="6" t="s">
        <v>27</v>
      </c>
      <c r="C17" t="s">
        <v>146</v>
      </c>
      <c r="D17" t="s">
        <v>64</v>
      </c>
      <c r="E17" t="s">
        <v>32</v>
      </c>
      <c r="F17" s="21"/>
      <c r="M17" s="3" t="s">
        <v>38</v>
      </c>
      <c r="N17" t="s">
        <v>78</v>
      </c>
    </row>
    <row r="18" spans="1:14" ht="15.75" x14ac:dyDescent="0.25">
      <c r="B18" s="6" t="s">
        <v>28</v>
      </c>
      <c r="C18" t="s">
        <v>147</v>
      </c>
      <c r="D18" t="s">
        <v>58</v>
      </c>
      <c r="E18" t="s">
        <v>33</v>
      </c>
      <c r="F18" s="21"/>
      <c r="M18" s="4" t="s">
        <v>36</v>
      </c>
      <c r="N18" t="s">
        <v>79</v>
      </c>
    </row>
    <row r="19" spans="1:14" ht="15.75" x14ac:dyDescent="0.25">
      <c r="B19" s="18" t="s">
        <v>96</v>
      </c>
      <c r="C19" s="17" t="s">
        <v>148</v>
      </c>
      <c r="D19" s="17" t="s">
        <v>81</v>
      </c>
      <c r="E19" s="17" t="s">
        <v>82</v>
      </c>
      <c r="F19" s="21"/>
      <c r="M19" s="4" t="s">
        <v>37</v>
      </c>
      <c r="N19" t="s">
        <v>80</v>
      </c>
    </row>
    <row r="20" spans="1:14" ht="15.75" x14ac:dyDescent="0.25">
      <c r="B20" s="18" t="s">
        <v>83</v>
      </c>
      <c r="C20" s="17" t="s">
        <v>149</v>
      </c>
      <c r="D20" s="17" t="s">
        <v>85</v>
      </c>
      <c r="E20" s="17" t="s">
        <v>88</v>
      </c>
      <c r="F20" s="21"/>
      <c r="M20" s="5" t="s">
        <v>39</v>
      </c>
      <c r="N20" t="s">
        <v>185</v>
      </c>
    </row>
    <row r="21" spans="1:14" ht="15.75" x14ac:dyDescent="0.25">
      <c r="B21" s="18" t="s">
        <v>84</v>
      </c>
      <c r="C21" s="17" t="s">
        <v>150</v>
      </c>
      <c r="D21" s="17" t="s">
        <v>86</v>
      </c>
      <c r="E21" s="17" t="s">
        <v>87</v>
      </c>
      <c r="F21" s="21"/>
      <c r="M21" s="36" t="s">
        <v>121</v>
      </c>
      <c r="N21" t="s">
        <v>179</v>
      </c>
    </row>
    <row r="22" spans="1:14" x14ac:dyDescent="0.25">
      <c r="B22" s="18" t="s">
        <v>91</v>
      </c>
      <c r="C22" s="17" t="s">
        <v>151</v>
      </c>
      <c r="D22" s="17" t="s">
        <v>92</v>
      </c>
      <c r="E22" s="17" t="s">
        <v>33</v>
      </c>
    </row>
    <row r="23" spans="1:14" x14ac:dyDescent="0.25">
      <c r="B23" s="18" t="s">
        <v>111</v>
      </c>
      <c r="C23" s="17" t="s">
        <v>141</v>
      </c>
      <c r="D23" s="17" t="s">
        <v>140</v>
      </c>
      <c r="E23" s="17" t="s">
        <v>113</v>
      </c>
    </row>
    <row r="24" spans="1:14" x14ac:dyDescent="0.25">
      <c r="B24" s="18" t="s">
        <v>112</v>
      </c>
      <c r="C24" s="17" t="s">
        <v>142</v>
      </c>
      <c r="D24" s="17" t="s">
        <v>186</v>
      </c>
      <c r="E24" s="17" t="s">
        <v>114</v>
      </c>
    </row>
    <row r="28" spans="1:14" x14ac:dyDescent="0.25">
      <c r="A28" s="22" t="s">
        <v>101</v>
      </c>
    </row>
    <row r="29" spans="1:14" x14ac:dyDescent="0.25">
      <c r="B29" s="22" t="s">
        <v>93</v>
      </c>
      <c r="C29" s="22" t="s">
        <v>94</v>
      </c>
      <c r="D29" s="22" t="s">
        <v>95</v>
      </c>
    </row>
    <row r="30" spans="1:14" x14ac:dyDescent="0.25">
      <c r="A30" t="s">
        <v>0</v>
      </c>
      <c r="B30" t="s">
        <v>56</v>
      </c>
      <c r="C30" t="s">
        <v>55</v>
      </c>
      <c r="D30" s="7" t="s">
        <v>40</v>
      </c>
      <c r="E30" s="7" t="s">
        <v>41</v>
      </c>
    </row>
    <row r="31" spans="1:14" ht="15.75" x14ac:dyDescent="0.25">
      <c r="A31" s="26" t="s">
        <v>156</v>
      </c>
      <c r="B31" s="20" t="s">
        <v>159</v>
      </c>
      <c r="C31" s="21" t="s">
        <v>59</v>
      </c>
      <c r="D31" s="24" t="s">
        <v>89</v>
      </c>
      <c r="E31" s="24" t="s">
        <v>90</v>
      </c>
    </row>
    <row r="32" spans="1:14" ht="15.75" x14ac:dyDescent="0.25">
      <c r="A32" s="26" t="s">
        <v>157</v>
      </c>
      <c r="B32" s="20" t="s">
        <v>159</v>
      </c>
      <c r="C32" s="21" t="s">
        <v>59</v>
      </c>
      <c r="D32" s="24" t="s">
        <v>89</v>
      </c>
      <c r="E32" s="24" t="s">
        <v>90</v>
      </c>
    </row>
    <row r="33" spans="1:13" ht="15.75" x14ac:dyDescent="0.25">
      <c r="A33" s="26" t="s">
        <v>158</v>
      </c>
      <c r="B33" s="20" t="s">
        <v>159</v>
      </c>
      <c r="C33" s="21" t="s">
        <v>59</v>
      </c>
      <c r="D33" s="24" t="s">
        <v>89</v>
      </c>
      <c r="E33" s="24" t="s">
        <v>90</v>
      </c>
      <c r="M33" s="7"/>
    </row>
  </sheetData>
  <mergeCells count="2">
    <mergeCell ref="G3:K3"/>
    <mergeCell ref="G9:K9"/>
  </mergeCells>
  <conditionalFormatting sqref="B23:B24">
    <cfRule type="expression" dxfId="1" priority="2">
      <formula>MOD($H23,2)=1</formula>
    </cfRule>
  </conditionalFormatting>
  <conditionalFormatting sqref="G16">
    <cfRule type="expression" dxfId="0" priority="1">
      <formula>MOD($H16,2)=1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inutesMerge">
                <anchor moveWithCells="1" sizeWithCells="1">
                  <from>
                    <xdr:col>4</xdr:col>
                    <xdr:colOff>180975</xdr:colOff>
                    <xdr:row>2</xdr:row>
                    <xdr:rowOff>9525</xdr:rowOff>
                  </from>
                  <to>
                    <xdr:col>4</xdr:col>
                    <xdr:colOff>1219200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keMinutes">
                <anchor moveWithCells="1" sizeWithCells="1">
                  <from>
                    <xdr:col>4</xdr:col>
                    <xdr:colOff>238125</xdr:colOff>
                    <xdr:row>5</xdr:row>
                    <xdr:rowOff>76200</xdr:rowOff>
                  </from>
                  <to>
                    <xdr:col>4</xdr:col>
                    <xdr:colOff>1190625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3"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inutesData"/>
  <dimension ref="A1:AG9"/>
  <sheetViews>
    <sheetView workbookViewId="0">
      <selection activeCell="AG1" sqref="A1:AG1"/>
    </sheetView>
  </sheetViews>
  <sheetFormatPr defaultRowHeight="15" x14ac:dyDescent="0.25"/>
  <cols>
    <col min="1" max="1" width="20.85546875" customWidth="1"/>
    <col min="2" max="3" width="14.140625" customWidth="1"/>
    <col min="4" max="4" width="11.7109375" style="25" customWidth="1"/>
    <col min="5" max="5" width="12" style="25" customWidth="1"/>
    <col min="6" max="6" width="4.85546875" style="25" customWidth="1"/>
    <col min="7" max="8" width="9.85546875" bestFit="1" customWidth="1"/>
    <col min="9" max="9" width="35.28515625" style="15" customWidth="1"/>
    <col min="10" max="10" width="12" style="15" customWidth="1"/>
    <col min="11" max="11" width="11.28515625" customWidth="1"/>
    <col min="12" max="12" width="14.42578125" style="25" customWidth="1"/>
    <col min="13" max="15" width="6.85546875" style="25" customWidth="1"/>
    <col min="16" max="16" width="6.7109375" customWidth="1"/>
    <col min="17" max="18" width="3.5703125" customWidth="1"/>
    <col min="19" max="19" width="10.140625" customWidth="1"/>
    <col min="20" max="21" width="7" customWidth="1"/>
    <col min="22" max="22" width="9.42578125" customWidth="1"/>
    <col min="23" max="23" width="3.7109375" customWidth="1"/>
    <col min="24" max="24" width="10.42578125" customWidth="1"/>
    <col min="25" max="25" width="6.5703125" customWidth="1"/>
    <col min="26" max="26" width="13.140625" customWidth="1"/>
    <col min="27" max="28" width="12.42578125" customWidth="1"/>
    <col min="29" max="29" width="13.7109375" customWidth="1"/>
    <col min="30" max="30" width="6.28515625" customWidth="1"/>
    <col min="31" max="31" width="10.5703125" customWidth="1"/>
    <col min="32" max="32" width="8.42578125" customWidth="1"/>
    <col min="33" max="33" width="12.7109375" customWidth="1"/>
    <col min="34" max="34" width="11.42578125" customWidth="1"/>
    <col min="35" max="35" width="11.7109375" customWidth="1"/>
    <col min="36" max="36" width="17.140625" customWidth="1"/>
    <col min="37" max="37" width="34.7109375" customWidth="1"/>
    <col min="41" max="41" width="51.5703125" bestFit="1" customWidth="1"/>
    <col min="42" max="42" width="36.7109375" bestFit="1" customWidth="1"/>
    <col min="43" max="45" width="11.140625" bestFit="1" customWidth="1"/>
  </cols>
  <sheetData>
    <row r="1" spans="1:33" x14ac:dyDescent="0.25">
      <c r="A1" t="s">
        <v>38</v>
      </c>
      <c r="B1" t="s">
        <v>36</v>
      </c>
      <c r="C1" t="s">
        <v>37</v>
      </c>
      <c r="D1" s="25" t="s">
        <v>40</v>
      </c>
      <c r="E1" s="25" t="s">
        <v>41</v>
      </c>
      <c r="F1" s="25" t="s">
        <v>110</v>
      </c>
      <c r="G1" t="s">
        <v>6</v>
      </c>
      <c r="H1" t="s">
        <v>0</v>
      </c>
      <c r="I1" t="s">
        <v>1</v>
      </c>
      <c r="J1" s="15" t="s">
        <v>2</v>
      </c>
      <c r="K1" s="15" t="s">
        <v>3</v>
      </c>
      <c r="L1" t="s">
        <v>42</v>
      </c>
      <c r="M1" s="25" t="s">
        <v>29</v>
      </c>
      <c r="N1" s="25" t="s">
        <v>30</v>
      </c>
      <c r="O1" s="25" t="s">
        <v>31</v>
      </c>
      <c r="P1" s="25" t="s">
        <v>43</v>
      </c>
      <c r="Q1" t="s">
        <v>7</v>
      </c>
      <c r="R1" t="s">
        <v>8</v>
      </c>
      <c r="S1" t="s">
        <v>9</v>
      </c>
      <c r="T1" t="s">
        <v>10</v>
      </c>
      <c r="U1" t="s">
        <v>11</v>
      </c>
      <c r="V1" t="s">
        <v>12</v>
      </c>
      <c r="W1" t="s">
        <v>13</v>
      </c>
      <c r="X1" t="s">
        <v>4</v>
      </c>
      <c r="Y1" t="s">
        <v>5</v>
      </c>
      <c r="Z1" t="s">
        <v>14</v>
      </c>
      <c r="AA1" t="s">
        <v>15</v>
      </c>
      <c r="AB1" t="s">
        <v>121</v>
      </c>
      <c r="AC1" t="s">
        <v>44</v>
      </c>
      <c r="AD1" t="s">
        <v>45</v>
      </c>
      <c r="AE1" t="s">
        <v>56</v>
      </c>
      <c r="AF1" t="s">
        <v>54</v>
      </c>
      <c r="AG1" t="s">
        <v>39</v>
      </c>
    </row>
    <row r="2" spans="1:33" x14ac:dyDescent="0.25">
      <c r="A2" t="str">
        <f>VLOOKUP(MinutesDataTable[[#This Row],[pm_logn_id]],PDnames[#All],2,FALSE)</f>
        <v>Dr. Jack Snoeyink (CISE CCF AF)</v>
      </c>
      <c r="B2" t="str">
        <f>VLOOKUP(MinutesDataTable[[#This Row],[pm_logn_id]],PDnames[#All],3,FALSE)</f>
        <v>Dr. Jack Snoeyink</v>
      </c>
      <c r="C2" t="str">
        <f>VLOOKUP(MinutesDataTable[[#This Row],[pm_logn_id]],PDnames[#All],4,FALSE)</f>
        <v>Dr. Snoeyink</v>
      </c>
      <c r="D2" s="25" t="e">
        <f>IF(ISBLANK( INDEX(PanelTable[addl_pd1],MinutesDataTable[[#This Row],[row]])),"",INDEX(PanelTable[addl_pd1],MinutesDataTable[[#This Row],[row]]))</f>
        <v>#N/A</v>
      </c>
      <c r="E2" s="25" t="e">
        <f>IF(ISBLANK( INDEX(PanelTable[addl_pd2],MinutesDataTable[[#This Row],[row]])),"",INDEX(PanelTable[addl_pd2],MinutesDataTable[[#This Row],[row]]))</f>
        <v>#N/A</v>
      </c>
      <c r="F2" s="25" t="e">
        <f>MATCH(MinutesDataTable[[#This Row],[panl_id]],PanelTable[panl_id],0)</f>
        <v>#N/A</v>
      </c>
      <c r="G2" t="s">
        <v>96</v>
      </c>
      <c r="H2" t="s">
        <v>103</v>
      </c>
      <c r="I2" t="s">
        <v>104</v>
      </c>
      <c r="J2" s="15">
        <v>42408</v>
      </c>
      <c r="K2" s="15">
        <v>42409</v>
      </c>
      <c r="L2" t="s">
        <v>105</v>
      </c>
      <c r="M2" s="25">
        <v>25</v>
      </c>
      <c r="N2" s="25">
        <v>28</v>
      </c>
      <c r="O2" s="25">
        <v>9</v>
      </c>
      <c r="P2" s="25"/>
      <c r="Q2" t="s">
        <v>18</v>
      </c>
      <c r="R2" t="s">
        <v>19</v>
      </c>
      <c r="S2" t="s">
        <v>16</v>
      </c>
      <c r="T2" t="s">
        <v>52</v>
      </c>
      <c r="U2" t="s">
        <v>20</v>
      </c>
      <c r="V2" t="s">
        <v>21</v>
      </c>
      <c r="W2" t="s">
        <v>22</v>
      </c>
      <c r="X2" t="s">
        <v>16</v>
      </c>
      <c r="Y2" s="8" t="s">
        <v>52</v>
      </c>
      <c r="Z2" t="s">
        <v>23</v>
      </c>
      <c r="AA2" t="s">
        <v>106</v>
      </c>
      <c r="AB2" t="s">
        <v>122</v>
      </c>
      <c r="AC2" t="str">
        <f>VLOOKUP(MinutesDataTable[[#This Row],[pgm_ele_code]],ProgElemTable[],2,FALSE)</f>
        <v>Algorithmic Foundations</v>
      </c>
      <c r="AD2" t="str">
        <f>VLOOKUP(MinutesDataTable[[#This Row],[pgm_ele_code]],ProgElemTable[],3,FALSE)</f>
        <v>AF</v>
      </c>
      <c r="AE2" t="e">
        <f xml:space="preserve"> INDEX(PanelTable[pgm_annc_id],MinutesDataTable[[#This Row],[row]])</f>
        <v>#N/A</v>
      </c>
      <c r="AF2" t="e">
        <f>INDEX(PanelTable[pgm_annc_name],MinutesDataTable[[#This Row],[row]])</f>
        <v>#N/A</v>
      </c>
      <c r="AG2" s="2">
        <f t="shared" ref="AG2:AG7" ca="1" si="0">TODAY()</f>
        <v>43278</v>
      </c>
    </row>
    <row r="3" spans="1:33" x14ac:dyDescent="0.25">
      <c r="A3" t="str">
        <f>VLOOKUP(MinutesDataTable[[#This Row],[pm_logn_id]],PDnames[#All],2,FALSE)</f>
        <v>Dr. Tracy Kimbrel (CISE CCF AF)</v>
      </c>
      <c r="B3" t="str">
        <f>VLOOKUP(MinutesDataTable[[#This Row],[pm_logn_id]],PDnames[#All],3,FALSE)</f>
        <v>Dr. Tracy Kimbrel</v>
      </c>
      <c r="C3" t="str">
        <f>VLOOKUP(MinutesDataTable[[#This Row],[pm_logn_id]],PDnames[#All],4,FALSE)</f>
        <v>Dr. Kimbrel</v>
      </c>
      <c r="D3" s="25" t="e">
        <f>IF(ISBLANK( INDEX(PanelTable[addl_pd1],MinutesDataTable[[#This Row],[row]])),"",INDEX(PanelTable[addl_pd1],MinutesDataTable[[#This Row],[row]]))</f>
        <v>#N/A</v>
      </c>
      <c r="E3" s="25" t="e">
        <f>IF(ISBLANK( INDEX(PanelTable[addl_pd2],MinutesDataTable[[#This Row],[row]])),"",INDEX(PanelTable[addl_pd2],MinutesDataTable[[#This Row],[row]]))</f>
        <v>#N/A</v>
      </c>
      <c r="F3" s="25" t="e">
        <f>MATCH(MinutesDataTable[[#This Row],[panl_id]],PanelTable[panl_id],0)</f>
        <v>#N/A</v>
      </c>
      <c r="G3" t="s">
        <v>83</v>
      </c>
      <c r="H3" t="s">
        <v>102</v>
      </c>
      <c r="I3" t="s">
        <v>107</v>
      </c>
      <c r="J3" s="15">
        <v>42443</v>
      </c>
      <c r="K3" s="15">
        <v>42444</v>
      </c>
      <c r="L3" t="s">
        <v>105</v>
      </c>
      <c r="M3" s="25">
        <v>16</v>
      </c>
      <c r="N3" s="25">
        <v>17</v>
      </c>
      <c r="O3" s="25">
        <v>8</v>
      </c>
      <c r="P3" s="25"/>
      <c r="Q3" t="s">
        <v>18</v>
      </c>
      <c r="R3" t="s">
        <v>19</v>
      </c>
      <c r="S3" t="s">
        <v>16</v>
      </c>
      <c r="T3" t="s">
        <v>52</v>
      </c>
      <c r="U3" t="s">
        <v>20</v>
      </c>
      <c r="V3" t="s">
        <v>21</v>
      </c>
      <c r="W3" t="s">
        <v>22</v>
      </c>
      <c r="X3" t="s">
        <v>16</v>
      </c>
      <c r="Y3" s="8" t="s">
        <v>52</v>
      </c>
      <c r="Z3" t="s">
        <v>23</v>
      </c>
      <c r="AA3" t="s">
        <v>106</v>
      </c>
      <c r="AB3" t="s">
        <v>123</v>
      </c>
      <c r="AC3" t="str">
        <f>VLOOKUP(MinutesDataTable[[#This Row],[pgm_ele_code]],ProgElemTable[],2,FALSE)</f>
        <v>Algorithmic Foundations</v>
      </c>
      <c r="AD3" t="str">
        <f>VLOOKUP(MinutesDataTable[[#This Row],[pgm_ele_code]],ProgElemTable[],3,FALSE)</f>
        <v>AF</v>
      </c>
      <c r="AE3" t="e">
        <f xml:space="preserve"> INDEX(PanelTable[pgm_annc_id],MinutesDataTable[[#This Row],[row]])</f>
        <v>#N/A</v>
      </c>
      <c r="AF3" t="e">
        <f>INDEX(PanelTable[pgm_annc_name],MinutesDataTable[[#This Row],[row]])</f>
        <v>#N/A</v>
      </c>
      <c r="AG3" s="2">
        <f t="shared" ca="1" si="0"/>
        <v>43278</v>
      </c>
    </row>
    <row r="4" spans="1:33" x14ac:dyDescent="0.25">
      <c r="A4" t="str">
        <f>VLOOKUP(MinutesDataTable[[#This Row],[pm_logn_id]],PDnames[#All],2,FALSE)</f>
        <v>Dr. Jack Snoeyink (CISE CCF AF)</v>
      </c>
      <c r="B4" t="str">
        <f>VLOOKUP(MinutesDataTable[[#This Row],[pm_logn_id]],PDnames[#All],3,FALSE)</f>
        <v>Dr. Jack Snoeyink</v>
      </c>
      <c r="C4" t="str">
        <f>VLOOKUP(MinutesDataTable[[#This Row],[pm_logn_id]],PDnames[#All],4,FALSE)</f>
        <v>Dr. Snoeyink</v>
      </c>
      <c r="D4" s="25" t="e">
        <f>IF(ISBLANK( INDEX(PanelTable[addl_pd1],MinutesDataTable[[#This Row],[row]])),"",INDEX(PanelTable[addl_pd1],MinutesDataTable[[#This Row],[row]]))</f>
        <v>#N/A</v>
      </c>
      <c r="E4" s="25" t="e">
        <f>IF(ISBLANK( INDEX(PanelTable[addl_pd2],MinutesDataTable[[#This Row],[row]])),"",INDEX(PanelTable[addl_pd2],MinutesDataTable[[#This Row],[row]]))</f>
        <v>#N/A</v>
      </c>
      <c r="F4" s="25" t="e">
        <f>MATCH(MinutesDataTable[[#This Row],[panl_id]],PanelTable[panl_id],0)</f>
        <v>#N/A</v>
      </c>
      <c r="G4" t="s">
        <v>96</v>
      </c>
      <c r="H4" t="s">
        <v>108</v>
      </c>
      <c r="I4" t="s">
        <v>109</v>
      </c>
      <c r="J4" s="15">
        <v>42436</v>
      </c>
      <c r="K4" s="15">
        <v>42437</v>
      </c>
      <c r="L4" t="s">
        <v>105</v>
      </c>
      <c r="M4" s="25">
        <v>17</v>
      </c>
      <c r="N4" s="25">
        <v>20</v>
      </c>
      <c r="O4" s="25">
        <v>9</v>
      </c>
      <c r="P4" s="25"/>
      <c r="Q4" t="s">
        <v>18</v>
      </c>
      <c r="R4" t="s">
        <v>19</v>
      </c>
      <c r="S4" t="s">
        <v>16</v>
      </c>
      <c r="T4" t="s">
        <v>52</v>
      </c>
      <c r="U4" t="s">
        <v>20</v>
      </c>
      <c r="V4" t="s">
        <v>21</v>
      </c>
      <c r="W4" t="s">
        <v>22</v>
      </c>
      <c r="X4" t="s">
        <v>16</v>
      </c>
      <c r="Y4" s="8" t="s">
        <v>52</v>
      </c>
      <c r="Z4" t="s">
        <v>23</v>
      </c>
      <c r="AA4" t="s">
        <v>106</v>
      </c>
      <c r="AB4" t="s">
        <v>124</v>
      </c>
      <c r="AC4" t="str">
        <f>VLOOKUP(MinutesDataTable[[#This Row],[pgm_ele_code]],ProgElemTable[],2,FALSE)</f>
        <v>Algorithmic Foundations</v>
      </c>
      <c r="AD4" t="str">
        <f>VLOOKUP(MinutesDataTable[[#This Row],[pgm_ele_code]],ProgElemTable[],3,FALSE)</f>
        <v>AF</v>
      </c>
      <c r="AE4" t="e">
        <f xml:space="preserve"> INDEX(PanelTable[pgm_annc_id],MinutesDataTable[[#This Row],[row]])</f>
        <v>#N/A</v>
      </c>
      <c r="AF4" t="e">
        <f>INDEX(PanelTable[pgm_annc_name],MinutesDataTable[[#This Row],[row]])</f>
        <v>#N/A</v>
      </c>
      <c r="AG4" s="2">
        <f t="shared" ca="1" si="0"/>
        <v>43278</v>
      </c>
    </row>
    <row r="5" spans="1:33" x14ac:dyDescent="0.25">
      <c r="A5" s="25" t="e">
        <f>VLOOKUP(MinutesDataTable[[#This Row],[pm_logn_id]],PDnames[#All],2,FALSE)</f>
        <v>#N/A</v>
      </c>
      <c r="B5" s="25" t="e">
        <f>VLOOKUP(MinutesDataTable[[#This Row],[pm_logn_id]],PDnames[#All],3,FALSE)</f>
        <v>#N/A</v>
      </c>
      <c r="C5" s="25" t="e">
        <f>VLOOKUP(MinutesDataTable[[#This Row],[pm_logn_id]],PDnames[#All],4,FALSE)</f>
        <v>#N/A</v>
      </c>
      <c r="D5" s="25" t="str">
        <f>IF(ISBLANK( INDEX(PanelTable[addl_pd1],MinutesDataTable[[#This Row],[row]])),"",INDEX(PanelTable[addl_pd1],MinutesDataTable[[#This Row],[row]]))</f>
        <v>Dr. Tracy Kimbrel (CISE/CCF/AF)</v>
      </c>
      <c r="E5" s="25" t="str">
        <f>IF(ISBLANK( INDEX(PanelTable[addl_pd2],MinutesDataTable[[#This Row],[row]])),"",INDEX(PanelTable[addl_pd2],MinutesDataTable[[#This Row],[row]]))</f>
        <v>Dr. Rahul Shah (CISE/CCF/AF)</v>
      </c>
      <c r="F5" s="25">
        <f>MATCH(MinutesDataTable[[#This Row],[panl_id]],PanelTable[panl_id],0)</f>
        <v>3</v>
      </c>
      <c r="G5" t="s">
        <v>129</v>
      </c>
      <c r="H5" t="s">
        <v>119</v>
      </c>
      <c r="I5" t="s">
        <v>125</v>
      </c>
      <c r="J5" s="15">
        <v>43235</v>
      </c>
      <c r="K5" s="15">
        <v>43235</v>
      </c>
      <c r="L5" s="1" t="s">
        <v>126</v>
      </c>
      <c r="M5" s="25">
        <v>9</v>
      </c>
      <c r="N5" s="25">
        <v>12</v>
      </c>
      <c r="P5" s="25">
        <v>5</v>
      </c>
      <c r="Q5" t="s">
        <v>18</v>
      </c>
      <c r="R5" t="s">
        <v>19</v>
      </c>
      <c r="S5" t="s">
        <v>127</v>
      </c>
      <c r="T5" t="s">
        <v>130</v>
      </c>
      <c r="U5" t="s">
        <v>131</v>
      </c>
      <c r="V5" t="s">
        <v>21</v>
      </c>
      <c r="W5" t="s">
        <v>22</v>
      </c>
      <c r="X5" t="s">
        <v>127</v>
      </c>
      <c r="Y5" s="8" t="s">
        <v>128</v>
      </c>
      <c r="Z5" t="s">
        <v>132</v>
      </c>
      <c r="AA5" t="s">
        <v>133</v>
      </c>
      <c r="AB5" t="s">
        <v>134</v>
      </c>
      <c r="AC5" s="25" t="e">
        <f>VLOOKUP(MinutesDataTable[[#This Row],[pgm_ele_code]],ProgElemTable[],2,FALSE)</f>
        <v>#N/A</v>
      </c>
      <c r="AD5" s="25" t="e">
        <f>VLOOKUP(MinutesDataTable[[#This Row],[pgm_ele_code]],ProgElemTable[],3,FALSE)</f>
        <v>#N/A</v>
      </c>
      <c r="AE5" s="25" t="str">
        <f xml:space="preserve"> INDEX(PanelTable[pgm_annc_id],MinutesDataTable[[#This Row],[row]])</f>
        <v>NSF 17-571</v>
      </c>
      <c r="AF5" s="25" t="str">
        <f>INDEX(PanelTable[pgm_annc_name],MinutesDataTable[[#This Row],[row]])</f>
        <v>Core Programs</v>
      </c>
      <c r="AG5" s="2">
        <f t="shared" ca="1" si="0"/>
        <v>43278</v>
      </c>
    </row>
    <row r="6" spans="1:33" x14ac:dyDescent="0.25">
      <c r="A6" s="25" t="str">
        <f>VLOOKUP(MinutesDataTable[[#This Row],[pm_logn_id]],PDnames[#All],2,FALSE)</f>
        <v>Dr. Jack Snoeyink (CISE CCF AF)</v>
      </c>
      <c r="B6" s="25" t="str">
        <f>VLOOKUP(MinutesDataTable[[#This Row],[pm_logn_id]],PDnames[#All],3,FALSE)</f>
        <v>Dr. Jack Snoeyink</v>
      </c>
      <c r="C6" s="25" t="str">
        <f>VLOOKUP(MinutesDataTable[[#This Row],[pm_logn_id]],PDnames[#All],4,FALSE)</f>
        <v>Dr. Snoeyink</v>
      </c>
      <c r="D6" s="25" t="str">
        <f>IF(ISBLANK( INDEX(PanelTable[addl_pd1],MinutesDataTable[[#This Row],[row]])),"",INDEX(PanelTable[addl_pd1],MinutesDataTable[[#This Row],[row]]))</f>
        <v>Dr. Tracy Kimbrel (CISE/CCF/AF)</v>
      </c>
      <c r="E6" s="25" t="str">
        <f>IF(ISBLANK( INDEX(PanelTable[addl_pd2],MinutesDataTable[[#This Row],[row]])),"",INDEX(PanelTable[addl_pd2],MinutesDataTable[[#This Row],[row]]))</f>
        <v>Dr. Rahul Shah (CISE/CCF/AF)</v>
      </c>
      <c r="F6" s="25">
        <f>MATCH(MinutesDataTable[[#This Row],[panl_id]],PanelTable[panl_id],0)</f>
        <v>2</v>
      </c>
      <c r="G6" t="s">
        <v>96</v>
      </c>
      <c r="H6" t="s">
        <v>135</v>
      </c>
      <c r="I6" t="s">
        <v>136</v>
      </c>
      <c r="J6" s="15">
        <v>43259</v>
      </c>
      <c r="K6" s="15">
        <v>43259</v>
      </c>
      <c r="L6" s="1" t="s">
        <v>126</v>
      </c>
      <c r="M6" s="25">
        <v>8</v>
      </c>
      <c r="N6" s="25">
        <v>12</v>
      </c>
      <c r="P6" s="25">
        <v>5</v>
      </c>
      <c r="Q6" t="s">
        <v>18</v>
      </c>
      <c r="R6" t="s">
        <v>19</v>
      </c>
      <c r="S6" t="s">
        <v>16</v>
      </c>
      <c r="T6" t="s">
        <v>130</v>
      </c>
      <c r="U6" t="s">
        <v>131</v>
      </c>
      <c r="V6" t="s">
        <v>21</v>
      </c>
      <c r="W6" t="s">
        <v>22</v>
      </c>
      <c r="X6" t="s">
        <v>16</v>
      </c>
      <c r="Y6" s="8" t="s">
        <v>52</v>
      </c>
      <c r="Z6" t="s">
        <v>23</v>
      </c>
      <c r="AA6" t="s">
        <v>106</v>
      </c>
      <c r="AC6" s="25" t="str">
        <f>VLOOKUP(MinutesDataTable[[#This Row],[pgm_ele_code]],ProgElemTable[],2,FALSE)</f>
        <v>Algorithmic Foundations</v>
      </c>
      <c r="AD6" s="25" t="str">
        <f>VLOOKUP(MinutesDataTable[[#This Row],[pgm_ele_code]],ProgElemTable[],3,FALSE)</f>
        <v>AF</v>
      </c>
      <c r="AE6" s="25" t="str">
        <f xml:space="preserve"> INDEX(PanelTable[pgm_annc_id],MinutesDataTable[[#This Row],[row]])</f>
        <v>NSF 17-571</v>
      </c>
      <c r="AF6" s="25" t="str">
        <f>INDEX(PanelTable[pgm_annc_name],MinutesDataTable[[#This Row],[row]])</f>
        <v>Core Programs</v>
      </c>
      <c r="AG6" s="2">
        <f t="shared" ca="1" si="0"/>
        <v>43278</v>
      </c>
    </row>
    <row r="7" spans="1:33" x14ac:dyDescent="0.25">
      <c r="A7" s="25" t="str">
        <f>VLOOKUP(MinutesDataTable[[#This Row],[pm_logn_id]],PDnames[#All],2,FALSE)</f>
        <v>Dr. Jack Snoeyink (CISE CCF AF)</v>
      </c>
      <c r="B7" s="25" t="str">
        <f>VLOOKUP(MinutesDataTable[[#This Row],[pm_logn_id]],PDnames[#All],3,FALSE)</f>
        <v>Dr. Jack Snoeyink</v>
      </c>
      <c r="C7" s="25" t="str">
        <f>VLOOKUP(MinutesDataTable[[#This Row],[pm_logn_id]],PDnames[#All],4,FALSE)</f>
        <v>Dr. Snoeyink</v>
      </c>
      <c r="D7" s="25" t="str">
        <f>IF(ISBLANK( INDEX(PanelTable[addl_pd1],MinutesDataTable[[#This Row],[row]])),"",INDEX(PanelTable[addl_pd1],MinutesDataTable[[#This Row],[row]]))</f>
        <v>Dr. Tracy Kimbrel (CISE/CCF/AF)</v>
      </c>
      <c r="E7" s="25" t="str">
        <f>IF(ISBLANK( INDEX(PanelTable[addl_pd2],MinutesDataTable[[#This Row],[row]])),"",INDEX(PanelTable[addl_pd2],MinutesDataTable[[#This Row],[row]]))</f>
        <v>Dr. Rahul Shah (CISE/CCF/AF)</v>
      </c>
      <c r="F7" s="25">
        <f>MATCH(MinutesDataTable[[#This Row],[panl_id]],PanelTable[panl_id],0)</f>
        <v>1</v>
      </c>
      <c r="G7" t="s">
        <v>96</v>
      </c>
      <c r="H7" t="s">
        <v>120</v>
      </c>
      <c r="I7" t="s">
        <v>137</v>
      </c>
      <c r="J7" s="15">
        <v>43269</v>
      </c>
      <c r="K7" s="15">
        <v>43270</v>
      </c>
      <c r="L7" s="1" t="s">
        <v>138</v>
      </c>
      <c r="M7" s="25">
        <v>22</v>
      </c>
      <c r="N7" s="25">
        <v>30</v>
      </c>
      <c r="O7" s="25">
        <v>9</v>
      </c>
      <c r="P7" s="25">
        <v>3</v>
      </c>
      <c r="Q7" t="s">
        <v>18</v>
      </c>
      <c r="R7" t="s">
        <v>19</v>
      </c>
      <c r="S7" t="s">
        <v>16</v>
      </c>
      <c r="T7" t="s">
        <v>130</v>
      </c>
      <c r="U7" t="s">
        <v>131</v>
      </c>
      <c r="V7" t="s">
        <v>21</v>
      </c>
      <c r="W7" t="s">
        <v>22</v>
      </c>
      <c r="X7" t="s">
        <v>16</v>
      </c>
      <c r="Y7" s="8" t="s">
        <v>52</v>
      </c>
      <c r="Z7" t="s">
        <v>23</v>
      </c>
      <c r="AA7" t="s">
        <v>106</v>
      </c>
      <c r="AB7" t="s">
        <v>139</v>
      </c>
      <c r="AC7" s="25" t="str">
        <f>VLOOKUP(MinutesDataTable[[#This Row],[pgm_ele_code]],ProgElemTable[],2,FALSE)</f>
        <v>Algorithmic Foundations</v>
      </c>
      <c r="AD7" s="25" t="str">
        <f>VLOOKUP(MinutesDataTable[[#This Row],[pgm_ele_code]],ProgElemTable[],3,FALSE)</f>
        <v>AF</v>
      </c>
      <c r="AE7" s="25" t="str">
        <f xml:space="preserve"> INDEX(PanelTable[pgm_annc_id],MinutesDataTable[[#This Row],[row]])</f>
        <v>NSF 17-571</v>
      </c>
      <c r="AF7" s="25" t="str">
        <f>INDEX(PanelTable[pgm_annc_name],MinutesDataTable[[#This Row],[row]])</f>
        <v>Core Programs</v>
      </c>
      <c r="AG7" s="2">
        <f t="shared" ca="1" si="0"/>
        <v>43278</v>
      </c>
    </row>
    <row r="9" spans="1:33" x14ac:dyDescent="0.25">
      <c r="I9"/>
      <c r="K9" s="15"/>
      <c r="L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iddenSettings"/>
  <dimension ref="A1:C15"/>
  <sheetViews>
    <sheetView topLeftCell="A3" workbookViewId="0">
      <selection activeCell="C13" sqref="C13"/>
    </sheetView>
  </sheetViews>
  <sheetFormatPr defaultColWidth="9.28515625" defaultRowHeight="15" x14ac:dyDescent="0.25"/>
  <cols>
    <col min="1" max="1" width="16.7109375" style="27" customWidth="1"/>
    <col min="2" max="2" width="15.85546875" style="27" customWidth="1"/>
    <col min="3" max="3" width="69.7109375" style="27" customWidth="1"/>
    <col min="4" max="16384" width="9.28515625" style="27"/>
  </cols>
  <sheetData>
    <row r="1" spans="1:3" x14ac:dyDescent="0.25">
      <c r="A1" s="27" t="s">
        <v>160</v>
      </c>
    </row>
    <row r="2" spans="1:3" x14ac:dyDescent="0.25">
      <c r="A2" s="28" t="s">
        <v>161</v>
      </c>
      <c r="B2" s="27" t="s">
        <v>162</v>
      </c>
    </row>
    <row r="3" spans="1:3" x14ac:dyDescent="0.25">
      <c r="A3" s="28" t="s">
        <v>163</v>
      </c>
      <c r="B3" s="29" t="s">
        <v>177</v>
      </c>
    </row>
    <row r="4" spans="1:3" x14ac:dyDescent="0.25">
      <c r="A4" s="28" t="s">
        <v>164</v>
      </c>
      <c r="B4" s="27" t="s">
        <v>165</v>
      </c>
    </row>
    <row r="5" spans="1:3" x14ac:dyDescent="0.25">
      <c r="A5" s="28" t="s">
        <v>166</v>
      </c>
      <c r="B5" s="27" t="s">
        <v>167</v>
      </c>
    </row>
    <row r="12" spans="1:3" x14ac:dyDescent="0.25">
      <c r="A12" s="30" t="s">
        <v>168</v>
      </c>
      <c r="B12" s="31" t="s">
        <v>169</v>
      </c>
      <c r="C12" s="32" t="s">
        <v>170</v>
      </c>
    </row>
    <row r="13" spans="1:3" ht="120" x14ac:dyDescent="0.25">
      <c r="A13" s="27" t="s">
        <v>171</v>
      </c>
      <c r="B13" s="34">
        <v>43278.493043981478</v>
      </c>
      <c r="C13" s="35" t="s">
        <v>172</v>
      </c>
    </row>
    <row r="14" spans="1:3" ht="409.5" x14ac:dyDescent="0.25">
      <c r="A14" s="27" t="s">
        <v>173</v>
      </c>
      <c r="B14" s="34">
        <v>43278.493043981478</v>
      </c>
      <c r="C14" s="35" t="s">
        <v>174</v>
      </c>
    </row>
    <row r="15" spans="1:3" ht="30" x14ac:dyDescent="0.25">
      <c r="A15" s="27" t="s">
        <v>175</v>
      </c>
      <c r="B15" s="34">
        <v>43278.493043981478</v>
      </c>
      <c r="C15" s="35" t="s">
        <v>176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Dashboard</vt:lpstr>
      <vt:lpstr>MinutesData</vt:lpstr>
      <vt:lpstr>HiddenSettings</vt:lpstr>
      <vt:lpstr>HiddenSettings!Mac_connect_string</vt:lpstr>
      <vt:lpstr>HiddenSettings!PC_connect_string</vt:lpstr>
      <vt:lpstr>HiddenSettings!pm_drop</vt:lpstr>
      <vt:lpstr>HiddenSettings!pm_panls</vt:lpstr>
      <vt:lpstr>HiddenSettings!pm_panls2</vt:lpstr>
      <vt:lpstr>HiddenSettings!rpt_pwd</vt:lpstr>
      <vt:lpstr>HiddenSettings!user_id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Snoeyink</dc:creator>
  <cp:lastModifiedBy>Snoeyink, Jack S.</cp:lastModifiedBy>
  <dcterms:created xsi:type="dcterms:W3CDTF">2016-03-13T17:31:48Z</dcterms:created>
  <dcterms:modified xsi:type="dcterms:W3CDTF">2018-06-27T21:55:22Z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-1274330533</vt:i4>
  </property>
  <property fmtid="{D5CDD505-2E9C-101B-9397-08002B2CF9AE}" pid="3" name="_NewReviewCycle">
    <vt:lpwstr/>
  </property>
  <property fmtid="{D5CDD505-2E9C-101B-9397-08002B2CF9AE}" pid="4" name="_EmailSubject">
    <vt:lpwstr>Panel Minutes for SHF Small panel_P160880_template.doc</vt:lpwstr>
  </property>
  <property fmtid="{D5CDD505-2E9C-101B-9397-08002B2CF9AE}" pid="5" name="_AuthorEmail">
    <vt:lpwstr>calston@nsf.gov</vt:lpwstr>
  </property>
  <property fmtid="{D5CDD505-2E9C-101B-9397-08002B2CF9AE}" pid="6" name="_AuthorEmailDisplayName">
    <vt:lpwstr>Alston, Charmain</vt:lpwstr>
  </property>
  <property fmtid="{D5CDD505-2E9C-101B-9397-08002B2CF9AE}" pid="7" name="_ReviewingToolsShownOnce">
    <vt:lpwstr/>
  </property>
</Properties>
</file>