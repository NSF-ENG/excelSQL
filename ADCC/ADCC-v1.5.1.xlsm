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tables/table3.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6.xml" ContentType="application/vnd.ms-excel.controlproperties+xml"/>
  <Override PartName="/xl/tables/table4.xml" ContentType="application/vnd.openxmlformats-officedocument.spreadsheetml.table+xml"/>
  <Override PartName="/xl/queryTables/queryTable3.xml" ContentType="application/vnd.openxmlformats-officedocument.spreadsheetml.queryTable+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codeName="ThisWorkbook"/>
  <mc:AlternateContent xmlns:mc="http://schemas.openxmlformats.org/markup-compatibility/2006">
    <mc:Choice Requires="x15">
      <x15ac:absPath xmlns:x15ac="http://schemas.microsoft.com/office/spreadsheetml/2010/11/ac" url="https://collaboration.inside.nsf.gov/eng/meritreview/SiteAssets/ENG Tools Websites and Best Practices/ADCC/"/>
    </mc:Choice>
  </mc:AlternateContent>
  <bookViews>
    <workbookView xWindow="0" yWindow="0" windowWidth="23040" windowHeight="10365"/>
  </bookViews>
  <sheets>
    <sheet name="ReportServerPwd" sheetId="8" r:id="rId1"/>
    <sheet name="Input" sheetId="1" r:id="rId2"/>
    <sheet name="Compliance-ByProp" sheetId="2" r:id="rId3"/>
    <sheet name="Compliance-ByProj" sheetId="3" r:id="rId4"/>
    <sheet name="Dashboard" sheetId="6" r:id="rId5"/>
    <sheet name="Data Dictionary" sheetId="4" r:id="rId6"/>
    <sheet name="Help" sheetId="5" r:id="rId7"/>
    <sheet name="Settings" sheetId="7" r:id="rId8"/>
  </sheets>
  <definedNames>
    <definedName name="_xlnm._FilterDatabase" localSheetId="6" hidden="1">Help!$D$35:$E$35</definedName>
    <definedName name="D">Settings!$D$6</definedName>
    <definedName name="deadline">Input!$P$10</definedName>
    <definedName name="ExternalData_1" localSheetId="3" hidden="1">'Compliance-ByProj'!$A$3:$EC$11</definedName>
    <definedName name="ExternalData_1" localSheetId="2" hidden="1">'Compliance-ByProp'!$A$2:$BF$12</definedName>
    <definedName name="from_date">Input!$F$5</definedName>
    <definedName name="org_code">Input!$D$5</definedName>
    <definedName name="PEC">Input!$E$5</definedName>
    <definedName name="pgm_annc">Input!$C$5</definedName>
    <definedName name="pwd_2">Settings!$D$6</definedName>
    <definedName name="pwd_3">Settings!$D$7</definedName>
    <definedName name="Query_from_RPTSERVER" localSheetId="6" hidden="1">Help!$B$36:$C$37</definedName>
    <definedName name="Query_from_RPTSERVER2" localSheetId="1" hidden="1">Input!#REF!</definedName>
    <definedName name="rps_end_date">Input!$O$10</definedName>
    <definedName name="rps_from_date">Input!$N$10</definedName>
    <definedName name="rps_start_date">Input!$N$10</definedName>
    <definedName name="rps_to_date">Input!$O$10</definedName>
    <definedName name="rpt_pwd">Help!$N$8</definedName>
    <definedName name="rptp2">Settings!$D$6</definedName>
    <definedName name="to_date">Input!$G$5</definedName>
    <definedName name="user_id">Help!$L$8</definedName>
    <definedName name="UserID2">Settings!$D$5</definedName>
    <definedName name="UserID3">Settings!$D$5</definedName>
  </definedNames>
  <calcPr calcId="171027" concurrentCalc="0"/>
  <pivotCaches>
    <pivotCache cacheId="38" r:id="rId9"/>
    <pivotCache cacheId="46"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2" i="3" l="1"/>
  <c r="AH12" i="3"/>
  <c r="AI12" i="3"/>
  <c r="P4" i="3"/>
  <c r="P5" i="3"/>
  <c r="P6" i="3"/>
  <c r="P7" i="3"/>
  <c r="P8" i="3"/>
  <c r="P9" i="3"/>
  <c r="P10" i="3"/>
  <c r="P11" i="3"/>
  <c r="AC4" i="3"/>
  <c r="AC5" i="3"/>
  <c r="AC6" i="3"/>
  <c r="AC7" i="3"/>
  <c r="AC8" i="3"/>
  <c r="AC9" i="3"/>
  <c r="AC10" i="3"/>
  <c r="AC11" i="3"/>
  <c r="AD4" i="3"/>
  <c r="AD5" i="3"/>
  <c r="AD6" i="3"/>
  <c r="AD7" i="3"/>
  <c r="AD8" i="3"/>
  <c r="AD9" i="3"/>
  <c r="AD10" i="3"/>
  <c r="AD11" i="3"/>
  <c r="AR4" i="3"/>
  <c r="AR5" i="3"/>
  <c r="AR6" i="3"/>
  <c r="AR7" i="3"/>
  <c r="AR8" i="3"/>
  <c r="AR9" i="3"/>
  <c r="AR10" i="3"/>
  <c r="AR11" i="3"/>
  <c r="AS4" i="3"/>
  <c r="AS5" i="3"/>
  <c r="AS6" i="3"/>
  <c r="AS7" i="3"/>
  <c r="AS8" i="3"/>
  <c r="AS9" i="3"/>
  <c r="AS10" i="3"/>
  <c r="AS11" i="3"/>
  <c r="AX4" i="3"/>
  <c r="AX5" i="3"/>
  <c r="AX6" i="3"/>
  <c r="AX7" i="3"/>
  <c r="AX8" i="3"/>
  <c r="AX9" i="3"/>
  <c r="AX10" i="3"/>
  <c r="AX11" i="3"/>
  <c r="AY4" i="3"/>
  <c r="AY5" i="3"/>
  <c r="AY6" i="3"/>
  <c r="AY7" i="3"/>
  <c r="AY8" i="3"/>
  <c r="AY9" i="3"/>
  <c r="AY10" i="3"/>
  <c r="AY11" i="3"/>
  <c r="AZ4" i="3"/>
  <c r="AZ5" i="3"/>
  <c r="AZ6" i="3"/>
  <c r="AZ7" i="3"/>
  <c r="AZ8" i="3"/>
  <c r="AZ9" i="3"/>
  <c r="AZ10" i="3"/>
  <c r="AZ11" i="3"/>
  <c r="BA4" i="3"/>
  <c r="BA5" i="3"/>
  <c r="BA6" i="3"/>
  <c r="BA7" i="3"/>
  <c r="BA8" i="3"/>
  <c r="BA9" i="3"/>
  <c r="BA10" i="3"/>
  <c r="BA11" i="3"/>
  <c r="E8" i="2"/>
  <c r="E6" i="2"/>
  <c r="E7" i="2"/>
  <c r="E11" i="2"/>
  <c r="E12" i="2"/>
  <c r="E10" i="2"/>
  <c r="E9" i="2"/>
  <c r="E3" i="2"/>
  <c r="E4" i="2"/>
  <c r="E5" i="2"/>
  <c r="T3" i="2"/>
  <c r="T4" i="2"/>
  <c r="T5" i="2"/>
  <c r="T6" i="2"/>
  <c r="T7" i="2"/>
  <c r="T8" i="2"/>
  <c r="T9" i="2"/>
  <c r="T10" i="2"/>
  <c r="T11" i="2"/>
  <c r="T12" i="2"/>
  <c r="X8" i="2"/>
  <c r="X6" i="2"/>
  <c r="X7" i="2"/>
  <c r="X11" i="2"/>
  <c r="X12" i="2"/>
  <c r="X10" i="2"/>
  <c r="X9" i="2"/>
  <c r="X3" i="2"/>
  <c r="X4" i="2"/>
  <c r="X5" i="2"/>
  <c r="AQ8" i="2"/>
  <c r="AQ6" i="2"/>
  <c r="AQ7" i="2"/>
  <c r="AQ11" i="2"/>
  <c r="AQ12" i="2"/>
  <c r="AQ10" i="2"/>
  <c r="AQ9" i="2"/>
  <c r="AQ3" i="2"/>
  <c r="AQ4" i="2"/>
  <c r="AQ5" i="2"/>
  <c r="AR8" i="2"/>
  <c r="AR6" i="2"/>
  <c r="AR7" i="2"/>
  <c r="AR11" i="2"/>
  <c r="AR12" i="2"/>
  <c r="AR10" i="2"/>
  <c r="AR9" i="2"/>
  <c r="AR3" i="2"/>
  <c r="AR4" i="2"/>
  <c r="AR5" i="2"/>
  <c r="BG8" i="2"/>
  <c r="BG6" i="2"/>
  <c r="BG7" i="2"/>
  <c r="BG11" i="2"/>
  <c r="BG12" i="2"/>
  <c r="BG10" i="2"/>
  <c r="BG9" i="2"/>
  <c r="BG3" i="2"/>
  <c r="BG4" i="2"/>
  <c r="BG5" i="2"/>
  <c r="C8" i="1"/>
  <c r="P10" i="1"/>
  <c r="O10" i="1"/>
  <c r="N10" i="1"/>
  <c r="D14" i="1"/>
  <c r="D15" i="1"/>
  <c r="D16" i="1"/>
  <c r="D17" i="1"/>
  <c r="D18" i="1"/>
  <c r="D19" i="1"/>
  <c r="D20" i="1"/>
  <c r="C14" i="1"/>
  <c r="C15" i="1"/>
  <c r="C16" i="1"/>
  <c r="C17" i="1"/>
  <c r="C13" i="1"/>
  <c r="J10" i="1"/>
  <c r="I10" i="1"/>
  <c r="C18" i="1"/>
  <c r="C19" i="1"/>
  <c r="C20" i="1"/>
  <c r="D13" i="1"/>
  <c r="D6" i="5"/>
  <c r="D5" i="5"/>
  <c r="D4" i="5"/>
  <c r="K10" i="1"/>
</calcChain>
</file>

<file path=xl/comments1.xml><?xml version="1.0" encoding="utf-8"?>
<comments xmlns="http://schemas.openxmlformats.org/spreadsheetml/2006/main">
  <authors>
    <author>Loera, Maria</author>
    <author>Snoeyink, Jack S.</author>
  </authors>
  <commentList>
    <comment ref="I2" authorId="0" shapeId="0">
      <text>
        <r>
          <rPr>
            <b/>
            <sz val="9"/>
            <color indexed="81"/>
            <rFont val="Tahoma"/>
            <family val="2"/>
          </rPr>
          <t>Loera, Maria:</t>
        </r>
        <r>
          <rPr>
            <sz val="9"/>
            <color indexed="81"/>
            <rFont val="Tahoma"/>
            <family val="2"/>
          </rPr>
          <t xml:space="preserve">
Need permission: tz_ctry_map, if user do not have persmision. Otherwise, institution time zone</t>
        </r>
      </text>
    </comment>
    <comment ref="J2" authorId="1" shapeId="0">
      <text>
        <r>
          <rPr>
            <b/>
            <sz val="9"/>
            <color indexed="81"/>
            <rFont val="Tahoma"/>
            <family val="2"/>
          </rPr>
          <t>Snoeyink, Jack S.:</t>
        </r>
        <r>
          <rPr>
            <sz val="9"/>
            <color indexed="81"/>
            <rFont val="Tahoma"/>
            <family val="2"/>
          </rPr>
          <t xml:space="preserve">
Solicitation listed for the proposal
</t>
        </r>
      </text>
    </comment>
    <comment ref="L2" authorId="1" shapeId="0">
      <text>
        <r>
          <rPr>
            <b/>
            <sz val="9"/>
            <color indexed="81"/>
            <rFont val="Tahoma"/>
            <family val="2"/>
          </rPr>
          <t>Snoeyink, Jack S.:</t>
        </r>
        <r>
          <rPr>
            <sz val="9"/>
            <color indexed="81"/>
            <rFont val="Tahoma"/>
            <family val="2"/>
          </rPr>
          <t xml:space="preserve">
Original org code listed only if there has been a change.</t>
        </r>
      </text>
    </comment>
    <comment ref="N2" authorId="1" shapeId="0">
      <text>
        <r>
          <rPr>
            <b/>
            <sz val="9"/>
            <color indexed="81"/>
            <rFont val="Tahoma"/>
            <family val="2"/>
          </rPr>
          <t>Snoeyink, Jack S.:</t>
        </r>
        <r>
          <rPr>
            <sz val="9"/>
            <color indexed="81"/>
            <rFont val="Tahoma"/>
            <family val="2"/>
          </rPr>
          <t xml:space="preserve">
Original PEC listed only if there has been a change.</t>
        </r>
      </text>
    </comment>
    <comment ref="S2" authorId="1" shapeId="0">
      <text>
        <r>
          <rPr>
            <b/>
            <sz val="9"/>
            <color indexed="81"/>
            <rFont val="Tahoma"/>
            <family val="2"/>
          </rPr>
          <t>Snoeyink, Jack S.:</t>
        </r>
        <r>
          <rPr>
            <sz val="9"/>
            <color indexed="81"/>
            <rFont val="Tahoma"/>
            <family val="2"/>
          </rPr>
          <t xml:space="preserve">
GOALI flag</t>
        </r>
      </text>
    </comment>
    <comment ref="V2" authorId="1" shapeId="0">
      <text>
        <r>
          <rPr>
            <b/>
            <sz val="9"/>
            <color indexed="81"/>
            <rFont val="Tahoma"/>
            <family val="2"/>
          </rPr>
          <t>Snoeyink, Jack S.:</t>
        </r>
        <r>
          <rPr>
            <sz val="9"/>
            <color indexed="81"/>
            <rFont val="Tahoma"/>
            <family val="2"/>
          </rPr>
          <t xml:space="preserve">
I=Individual proposal
L=collab lead
N=collab non-lead</t>
        </r>
      </text>
    </comment>
    <comment ref="X2" authorId="1" shapeId="0">
      <text>
        <r>
          <rPr>
            <b/>
            <sz val="9"/>
            <color indexed="81"/>
            <rFont val="Tahoma"/>
            <family val="2"/>
          </rPr>
          <t>Snoeyink, Jack S.:</t>
        </r>
        <r>
          <rPr>
            <sz val="9"/>
            <color indexed="81"/>
            <rFont val="Tahoma"/>
            <family val="2"/>
          </rPr>
          <t xml:space="preserve">
Link to eJacket</t>
        </r>
      </text>
    </comment>
    <comment ref="AG2" authorId="1" shapeId="0">
      <text>
        <r>
          <rPr>
            <b/>
            <sz val="9"/>
            <color indexed="81"/>
            <rFont val="Tahoma"/>
            <family val="2"/>
          </rPr>
          <t>Snoeyink, Jack S.:</t>
        </r>
        <r>
          <rPr>
            <sz val="9"/>
            <color indexed="81"/>
            <rFont val="Tahoma"/>
            <family val="2"/>
          </rPr>
          <t xml:space="preserve">
TBC=pdf summary to be checked
N/A=no summary for non-lead</t>
        </r>
      </text>
    </comment>
    <comment ref="AI2" authorId="1" shapeId="0">
      <text>
        <r>
          <rPr>
            <b/>
            <sz val="9"/>
            <color indexed="81"/>
            <rFont val="Tahoma"/>
            <family val="2"/>
          </rPr>
          <t>Snoeyink, Jack S.:</t>
        </r>
        <r>
          <rPr>
            <sz val="9"/>
            <color indexed="81"/>
            <rFont val="Tahoma"/>
            <family val="2"/>
          </rPr>
          <t xml:space="preserve">
Pages of project description.
N/A for non-lead
No PD if missing.</t>
        </r>
      </text>
    </comment>
    <comment ref="AM2" authorId="1" shapeId="0">
      <text>
        <r>
          <rPr>
            <b/>
            <sz val="9"/>
            <color indexed="81"/>
            <rFont val="Tahoma"/>
            <family val="2"/>
          </rPr>
          <t>Snoeyink, Jack S.:</t>
        </r>
        <r>
          <rPr>
            <sz val="9"/>
            <color indexed="81"/>
            <rFont val="Tahoma"/>
            <family val="2"/>
          </rPr>
          <t xml:space="preserve">
No MP if mentoring plan needed, but missing.</t>
        </r>
      </text>
    </comment>
    <comment ref="AP2" authorId="1" shapeId="0">
      <text>
        <r>
          <rPr>
            <b/>
            <sz val="9"/>
            <color indexed="81"/>
            <rFont val="Tahoma"/>
            <family val="2"/>
          </rPr>
          <t>Snoeyink, Jack S.:</t>
        </r>
        <r>
          <rPr>
            <sz val="9"/>
            <color indexed="81"/>
            <rFont val="Tahoma"/>
            <family val="2"/>
          </rPr>
          <t xml:space="preserve">
Pages of other support documents.  To view, click eJ then OthSupp links.
</t>
        </r>
      </text>
    </comment>
    <comment ref="AX2" authorId="1" shapeId="0">
      <text>
        <r>
          <rPr>
            <b/>
            <sz val="9"/>
            <color indexed="81"/>
            <rFont val="Tahoma"/>
            <family val="2"/>
          </rPr>
          <t>Snoeyink, Jack S.:</t>
        </r>
        <r>
          <rPr>
            <sz val="9"/>
            <color indexed="81"/>
            <rFont val="Tahoma"/>
            <family val="2"/>
          </rPr>
          <t xml:space="preserve">
Shows date or pend from cover pages.</t>
        </r>
      </text>
    </comment>
  </commentList>
</comments>
</file>

<file path=xl/comments2.xml><?xml version="1.0" encoding="utf-8"?>
<comments xmlns="http://schemas.openxmlformats.org/spreadsheetml/2006/main">
  <authors>
    <author>Snoeyink, Jack S.</author>
    <author>Loera, Maria</author>
  </authors>
  <commentList>
    <comment ref="AH3" authorId="0" shapeId="0">
      <text>
        <r>
          <rPr>
            <b/>
            <sz val="9"/>
            <color indexed="81"/>
            <rFont val="Tahoma"/>
            <family val="2"/>
          </rPr>
          <t>Snoeyink, Jack S.:</t>
        </r>
        <r>
          <rPr>
            <sz val="9"/>
            <color indexed="81"/>
            <rFont val="Tahoma"/>
            <family val="2"/>
          </rPr>
          <t xml:space="preserve">
Total postdoc $ in all project budgets.
</t>
        </r>
      </text>
    </comment>
    <comment ref="AV3" authorId="1" shapeId="0">
      <text>
        <r>
          <rPr>
            <b/>
            <sz val="9"/>
            <color indexed="81"/>
            <rFont val="Tahoma"/>
            <family val="2"/>
          </rPr>
          <t>Loera, Maria:</t>
        </r>
        <r>
          <rPr>
            <sz val="9"/>
            <color indexed="81"/>
            <rFont val="Tahoma"/>
            <family val="2"/>
          </rPr>
          <t xml:space="preserve">
N/A: Project before 01/15/2017
Missing: COA document was not provided.
Need Permission: No permission to access this information, contact IT help.</t>
        </r>
      </text>
    </comment>
  </commentList>
</comments>
</file>

<file path=xl/connections.xml><?xml version="1.0" encoding="utf-8"?>
<connections xmlns="http://schemas.openxmlformats.org/spreadsheetml/2006/main">
  <connection id="1" name="Query from RPTSERVER" type="1" refreshedVersion="6" background="1" saveData="1">
    <dbPr connection="dsn=RPTSERVER;database=rptdb;server=RPTSQL.nsf.gov;port=5000;UID=gyuan;" command="select dbu.name AS db_name, so.name AS tbl_name FROM FLflpdb.dbo.sysobjects so_x000d__x000a_JOIN FLflpdb.dbo.sysusers dbu ON so.uid = dbu.uid_x000d__x000a_WHERE dbu.name = 'flp' AND so.name in ('addl_pi_invl_pars', 'awd_pars', 'awd_pi_copi_pars', 'bibl', 'budg','BUDG_EXPL', 'clbr_affl', 'DMP_PLAN_DOC', 'FAC_EQUP', 'ggpi_trck', 'inst', 'MENT_PLAN_DOC', 'pi', 'pi_copi_char', 'PI_COPI_PRIR_SUPT', 'PROJ_DESC', 'proj_summ', 'PROP_COVR', 'prop_pars', 'PROP_SPCL_ITEM', 'prop_stts_pars', 'prop_subm_ctl', 'supp_dtls', 'tz_ctry_map')_x000d__x000a_and not exists (SELECT su.name FROM FLflpdb.dbo.sysprotects sp_x000d__x000a_ JOIN FLflpdb.dbo.sysusers su on sp.uid = su.uid_x000d__x000a_ WHERE sp.id = so.id and sp.action = 193 and su.name in ('public','ccfuser'))_x000d__x000a_UNION ALL SELECT dbu.name, so.name FROM sysobjects so _x000d__x000a_JOIN sysusers dbu ON so.uid = dbu.uid_x000d__x000a_WHERE dbu.name = 'csd' AND so.name in ('natr_rqst','eps_blip')_x000d__x000a_and not exists (SELECT su.name FROM sysprotects sp_x000d__x000a_ JOIN sysusers su on sp.uid = su.uid_x000d__x000a_ WHERE sp.id = so.id and sp.action = 193 and su.name in ('public','ccfuser'))_x000d__x000a_order by dbu.name, so.name_x000d__x000a_"/>
  </connection>
  <connection id="2" name="Query from RPTSERVER - for project" type="1" refreshedVersion="6" saveData="1">
    <dbPr connection="dsn=RPTSERVER;database=FLflpdb;server=RPTSQL.nsf.gov;port=5000;UID=gyuan;" command="SET NOCOUNT ON_x000d__x000a_SELECT DISTINCT isnull(prop.lead_prop_id,prop.prop_id) as lead_x000d__x000a_INTO #myLeads -- get distinct project leads fm input list_x000d__x000a_FROM flp.prop_pars prop_x000d__x000a_WHERE (prop.prop_id In ('1624020','1627342','1627343','1627350','1624004','1624023','1733610','1630480'))_x000d__x000a__x000d__x000a_SELECT CASE WHEN prop.lead_prop_id IS NULL THEN 'I' ELSE 'L' END as ILN,_x000d__x000a_ml.lead AS lead, prop.prop_id, c.TEMP_PROP_ID, prop.nsf_rcvd_date, prop.rqst_dol, prop.prop_titl_txt, prop.pi_id_x000d__x000a_INTO #myProjPropPI -- start with project leads_x000d__x000a_FROM #myLeads ml, flp.prop_pars prop, flp.prop_subm_ctl c_x000d__x000a_WHERE ml.lead = prop.prop_id AND prop.prop_id = c.PROP_ID -- add other filters here?_x000d__x000a_DROP TABLE #myLeads_x000d__x000a_INSERT INTO #myProjPropPI -- add all collabs_x000d__x000a_SELECT 'N' AS ILN, prop.lead_prop_id AS lead, prop.prop_id, c.TEMP_PROP_ID, prop.nsf_rcvd_date, prop.rqst_dol, prop.prop_titl_txt, prop.pi_id_x000d__x000a_FROM #myProjPropPI ppp, flp.prop_pars prop, flp.prop_subm_ctl c_x000d__x000a_WHERE ppp.PROP_ID = prop.lead_prop_id And ppp.PROP_ID &lt;&gt; prop.PROP_ID And prop.PROP_ID = c.PROP_ID_x000d__x000a_SELECT lead, SUM(PDOC_REQ_DOL) AS tot_Pdoc_dol,  SUM(PART_SUPT_STPD_DOL) AS tot_Part_Stipend_x000d__x000a_INTO #myBudgTotals_x000d__x000a_FROM (SELECT prop.lead,  budg.PDOC_REQ_DOL, budg.PART_SUPT_STPD_DOL_x000d__x000a_FROM #myProjPropPI prop, flp.budg budg_x000d__x000a_WHERE prop.TEMP_PROP_ID = budg.TEMP_PROP_ID ) Tmp_x000d__x000a_GROUP BY lead_x000d__x000a_-- get culmulative budget total per project_x000d__x000a_SELECT lead, revn_num, SUM(budg_tot_dol) AS cumulative_tot_dol_x000d__x000a_INTO #myCumBudgTotals_x000d__x000a_FROM (SELECT prop.lead, b.prop_id, b.revn_num, b.budg_tot_dol_x000d__x000a_FROM #myProjPropPI prop, rptdb.csd.eps_blip b_x000d__x000a_WHERE prop.PROP_ID = b.PROP_ID And b.revn_num = 0_x000d__x000a_) Tmp_x000d__x000a_GROUP BY lead, revn_num_x000d__x000a_-- get request amount total per project_x000d__x000a_SELECT lead, SUM(rqst_dol) as tot_rqst_dol, CASE WHEN MIN(prop_titl_txt) &lt;&gt; MAX(prop_titl_txt) THEN 'Y' END AS dif_titl_collab_x000d__x000a_INTO #myTotals FROM #myProjPropPI GROUP BY lead_x000d__x000a_-- get other supplement document count for lead proposal only _x000d__x000a_SELECT prop.lead, count(dtls.supp_doc_seq) as oth_supp_cnt INTO #mySupp_x000d__x000a_FROM #myProjPropPI prop JOIN flp.supp_dtls dtls ON prop.TEMP_PROP_ID = dtls.TEMP_PROP_ID WHERE prop.ILN &lt; 'M' GROUP BY prop.lead _x000d__x000a_INSERT INTO #myProjPropPI_x000d__x000a_SELECT 'P' AS ILN, prop.lead, prop.prop_id, prop.TEMP_PROP_ID, prop.nsf_rcvd_date, 0 AS rqst_dol, '' AS prop_titl_txt, addl_pi_invl.pi_id_x000d__x000a_FROM #myProjPropPI prop_x000d__x000a_JOIN flp.addl_pi_invl_pars addl_pi_invl ON prop.prop_id = addl_pi_invl.prop_id_x000d__x000a_SELECT PIs.pi_id, awd.awd_id, awd_pi_copi.proj_role_code, awd.awd_eff_date_x000d__x000a_INTO #myAwds_x000d__x000a_FROM flp.prop_pars prop, flp.awd_pars awd, flp.awd_pi_copi_pars awd_pi_copi,_x000d__x000a_(SELECT DISTINCT pi_id FROM #myProjPropPI) PIs_x000d__x000a_WHERE awd_pi_copi.awd_id = awd.awd_id And PIs.pi_id = awd_pi_copi.pi_id_x000d__x000a_AND awd.awd_id = prop.prop_id AND prop.rcom_awd_istr  not in ('5','8') AND prop.natr_rqst_code not in ('5','A','F') -- remove supplements, etc.;_x000d__x000a_AND awd.awd_eff_date Between {ts '2012-06-02 00:00:00'} And {ts '2017-06-01 00:00:00'}_x000d__x000a_-- get per PI awd detail info_x000d__x000a_SELECT awd.pi_id, count(awd.awd_id) AS NumAwd,  MAX(convert(char(10),awd.awd_eff_date,102)+' '+awd.awd_id+'.'+awd.proj_role_code) AS LastAwd_x000d__x000a_INTO #myAwdInfo_0_x000d__x000a_FROM #myAwds awd_x000d__x000a_GROUP BY awd.pi_id_x000d__x000a_SELECT b.awd_id, SUM(b.budg_splt_tot_dol) as awd_amt _x000d__x000a_INTO #myAwdAmt_x000d__x000a_FROM rptdb.csd.budg_splt b WHERE b.awd_id IN (SELECT DISTINCT SUBSTRING(LastAwd, 12,7) AS LastAwdid FROM #myAwdInfo_0) GROUP BY b.awd_id_x000d__x000a_SELECT awd.pi_id, awd.NumAwd, awd.LastAwd+' $'+convert(varchar(25),amt.awd_amt) as LastAwd _x000d__x000a_INTO #myAwdInfo FROM #myAwdInfo_0 awd JOIN #myAwdAmt amt on substring(awd.LastAwd, 12,7) = amt.awd_id _x000d__x000a_DROP TABLE #myAwdInfo_0  DROP TABLE #myAwdAmt_x000d__x000a_DROP TABLE #myAwds_x000d__x000a_SELECT DISTINCT supt.TEMP_PROP_ID, PIs.pi_id,_x000d__x000a_CASE WHEN CHAR_LENGTH(rtrim(supt.PROJ_TITL_TXT))&gt;0 OR supt.PATH_NAME IS NOT NULL THEN 'Y' ELSE NULL END as cp_chk_x000d__x000a_INTO #myCPSuppInfo_x000d__x000a_FROM_x000d__x000a_(SELECT DISTINCT TEMP_PROP_ID, pi_id FROM #myProjPropPI) PIs_x000d__x000a_JOIN flp.pi ppi ON PIs.pi_id=ppi.pi_id_x000d__x000a_JOIN flp.PI_COPI_PRIR_SUPT supt ON PIs.TEMP_PROP_ID=supt.TEMP_PROP_ID AND PIs.pi_id=ppi.pi_id AND ppi.PI_LAST_NAME=supt.PI_LAST_NAME AND ppi.PI_FRST_NAME=supt.PI_FRST_NAME_x000d__x000a_SELECT id=identity(18), 0 AS seq, p.ILN, p.lead, p.prop_id, p.TEMP_PROP_ID, p.pi_id, pi_copi_char.PI_LAST_NAME, pi_copi_char.pi_emai_addr, inst.inst_shrt_name,_x000d__x000a_a.NumAwd, a.LastAwd, pi_copi_char.PDF_PAGE_CNT AS bio_pg, supt.cp_chk,_x000d__x000a_(SELECT MAX(ca.doc_page_cnt)  FROM flp.clbr_affl ca WHERE p.TEMP_PROP_ID = ca.temp_prop_id AND p.pi_id = ca.pi_id) AS coa_pg_x000d__x000a_INTO #myPPPseq -- seq: Lead is 0  Non-leads co-Pis_x000d__x000a_FROM #myProjPropPI p_x000d__x000a_JOIN flp.pi ppi ON p.pi_id=ppi.pi_id_x000d__x000a_LEFT OUTER JOIN flp.inst inst ON ppi.inst_id=inst.inst_id -- there some PI has no institution_x000d__x000a_LEFT OUTER JOIN flp.pi_copi_char pi_copi_char ON p.TEMP_PROP_ID=pi_copi_char.TEMP_PROP_ID AND p.pi_id = pi_copi_char.pi_id_x000d__x000a_LEFT OUTER JOIN #myAwdInfo a ON p.pi_id = a.pi_id_x000d__x000a_LEFT OUTER JOIN #myCPSuppInfo supt ON p.TEMP_PROP_ID=supt.TEMP_PROP_ID AND p.pi_id = supt.pi_id_x000d__x000a_ORDER BY p.lead, p.ILN, a.NumAwd DESC_x000d__x000a_SELECT lead, MIN(id) as 'start'_x000d__x000a_INTO #myStarts FROM #myPPPseq GROUP BY lead_x000d__x000a_DROP TABLE #myCPSuppInfo_x000d__x000a_DROP TABLE #myAwdInfo_x000d__x000a_DROP TABLE #myProjPropPI_x000d__x000a_UPDATE #myPPPseq SET p.seq = p.id - M.start_x000d__x000a_FROM #myPPPseq p, #myStarts M WHERE p.lead = M.lead_x000d__x000a_DROP TABLE #myStarts_x000d__x000a_SELECT p.lead, MAX(p.seq)+1 AS NumPIs, COUNT(p.bio_pg) AS NumBios,COUNT(p.coa_pg) AS NumCoas,COUNT(p.cp_chk) AS NumCPs, COUNT(p.LastAwd) as NumRPS_x000d__x000a_, MAX(CASE p.seq WHEN 0 THEN p.pi_last_name END) AS pi0_last_name,_x000d__x000a_MAX(CASE p.seq WHEN 0 THEN p.bio_pg END) AS pi0_bio_pg,_x000d__x000a_max(CASE p.seq WHEN 0 THEN p.coa_pg END) AS pi0_coa_pg,_x000d__x000a_MAX(CASE p.seq WHEN 0 THEN p.cp_chk END) AS pi0_cp_chk,_x000d__x000a_MAX(CASE p.seq WHEN 0 THEN p.NumAwd END) AS pi0_num_awd,_x000d__x000a_MAX(CASE p.seq WHEN 0 THEN p.LastAwd END) AS pi0_last_awd,_x000d__x000a_MAX(CASE p.seq WHEN 0 THEN p.pi_emai_addr END) AS pi0_email,_x000d__x000a_MAX(CASE p.seq WHEN 0 THEN p.inst_shrt_name END) AS pi0_inst_x000d__x000a_, MAX(CASE p.seq WHEN 1 THEN p.pi_last_name END) AS pi1_last_name,_x000d__x000a_MAX(CASE p.seq WHEN 1 THEN p.bio_pg END) AS pi1_bio_pg,_x000d__x000a_max(CASE p.seq WHEN 1 THEN p.coa_pg END) AS pi1_coa_pg,_x000d__x000a_MAX(CASE p.seq WHEN 1 THEN p.cp_chk END) AS pi1_cp_chk,_x000d__x000a_MAX(CASE p.seq WHEN 1 THEN p.NumAwd END) AS pi1_num_awd,_x000d__x000a_MAX(CASE p.seq WHEN 1 THEN p.LastAwd END) AS pi1_last_awd,_x000d__x000a_MAX(CASE p.seq WHEN 1 THEN p.pi_emai_addr END) AS pi1_email,_x000d__x000a_MAX(CASE p.seq WHEN 1 THEN p.inst_shrt_name END) AS pi1_inst_x000d__x000a_, MAX(CASE p.seq WHEN 2 THEN p.pi_last_name END) AS pi2_last_name,_x000d__x000a_MAX(CASE p.seq WHEN 2 THEN p.bio_pg END) AS pi2_bio_pg,_x000d__x000a_max(CASE p.seq WHEN 2 THEN p.coa_pg END) AS pi2_coa_pg,_x000d__x000a_MAX(CASE p.seq WHEN 2 THEN p.cp_chk END) AS pi2_cp_chk,_x000d__x000a_MAX(CASE p.seq WHEN 2 THEN p.NumAwd END) AS pi2_num_awd,_x000d__x000a_MAX(CASE p.seq WHEN 2 THEN p.LastAwd END) AS pi2_last_awd,_x000d__x000a_MAX(CASE p.seq WHEN 2 THEN p.pi_emai_addr END) AS pi2_email,_x000d__x000a_MAX(CASE p.seq WHEN 2 THEN p.inst_shrt_name END) AS pi2_inst_x000d__x000a_, MAX(CASE p.seq WHEN 3 THEN p.pi_last_name END) AS pi3_last_name,_x000d__x000a_MAX(CASE p.seq WHEN 3 THEN p.bio_pg END) AS pi3_bio_pg,_x000d__x000a_max(CASE p.seq WHEN 3 THEN p.coa_pg END) AS pi3_coa_pg,_x000d__x000a_MAX(CASE p.seq WHEN 3 THEN p.cp_chk END) AS pi3_cp_chk,_x000d__x000a_MAX(CASE p.seq WHEN 3 THEN p.NumAwd END) AS pi3_num_awd,_x000d__x000a_MAX(CASE p.seq WHEN 3 THEN p.LastAwd END) AS pi3_last_awd,_x000d__x000a_MAX(CASE p.seq WHEN 3 THEN p.pi_emai_addr END) AS pi3_email,_x000d__x000a_MAX(CASE p.seq WHEN 3 THEN p.inst_shrt_name END) AS pi3_inst_x000d__x000a_, MAX(CASE p.seq WHEN 4 THEN p.pi_last_name END) AS pi4_last_name,_x000d__x000a_MAX(CASE p.seq WHEN 4 THEN p.bio_pg END) AS pi4_bio_pg,_x000d__x000a_max(CASE p.seq WHEN 4 THEN p.coa_pg END) AS pi4_coa_pg,_x000d__x000a_MAX(CASE p.seq WHEN 4 THEN p.cp_chk END) AS pi4_cp_chk,_x000d__x000a_MAX(CASE p.seq WHEN 4 THEN p.NumAwd END) AS pi4_num_awd,_x000d__x000a_MAX(CASE p.seq WHEN 4 THEN p.LastAwd END) AS pi4_last_awd,_x000d__x000a_MAX(CASE p.seq WHEN 4 THEN p.pi_emai_addr END) AS pi4_email,_x000d__x000a_MAX(CASE p.seq WHEN 4 THEN p.inst_shrt_name END) AS pi4_inst_x000d__x000a_, MAX(CASE p.seq WHEN 5 THEN p.pi_last_name END) AS pi5_last_name,_x000d__x000a_MAX(CASE p.seq WHEN 5 THEN p.bio_pg END) AS pi5_bio_pg,_x000d__x000a_max(CASE p.seq WHEN 5 THEN p.coa_pg END) AS pi5_coa_pg,_x000d__x000a_MAX(CASE p.seq WHEN 5 THEN p.cp_chk END) AS pi5_cp_chk,_x000d__x000a_MAX(CASE p.seq WHEN 5 THEN p.NumAwd END) AS pi5_num_awd,_x000d__x000a_MAX(CASE p.seq WHEN 5 THEN p.LastAwd END) AS pi5_last_awd,_x000d__x000a_MAX(CASE p.seq WHEN 5 THEN p.pi_emai_addr END) AS pi5_email,_x000d__x000a_MAX(CASE p.seq WHEN 5 THEN p.inst_shrt_name END) AS pi5_inst_x000d__x000a_, MAX(CASE p.seq WHEN 6 THEN p.pi_last_name END) AS pi6_last_name,_x000d__x000a_MAX(CASE p.seq WHEN 6 THEN p.bio_pg END) AS pi6_bio_pg,_x000d__x000a_max(CASE p.seq WHEN 6 THEN p.coa_pg END) AS pi6_coa_pg,_x000d__x000a_MAX(CASE p.seq WHEN 6 THEN p.cp_chk END) AS pi6_cp_chk,_x000d__x000a_MAX(CASE p.seq WHEN 6 THEN p.NumAwd END) AS pi6_num_awd,_x000d__x000a_MAX(CASE p.seq WHEN 6 THEN p.LastAwd END) AS pi6_last_awd,_x000d__x000a_MAX(CASE p.seq WHEN 6 THEN p.pi_emai_addr END) AS pi6_email,_x000d__x000a_MAX(CASE p.seq WHEN 6 THEN p.inst_shrt_name END) AS pi6_inst_x000d__x000a_, MAX(CASE p.seq WHEN 7 THEN p.pi_last_name END) AS pi7_last_name,_x000d__x000a_MAX(CASE p.seq WHEN 7 THEN p.bio_pg END) AS pi7_bio_pg,_x000d__x000a_max(CASE p.seq WHEN 7 THEN p.coa_pg END) AS pi7_coa_pg,_x000d__x000a_MAX(CASE p.seq WHEN 7 THEN p.cp_chk END) AS pi7_cp_chk,_x000d__x000a_MAX(CASE p.seq WHEN 7 THEN p.NumAwd END) AS pi7_num_awd,_x000d__x000a_MAX(CASE p.seq WHEN 7 THEN p.LastAwd END) AS pi7_last_awd,_x000d__x000a_MAX(CASE p.seq WHEN 7 THEN p.pi_emai_addr END) AS pi7_email,_x000d__x000a_MAX(CASE p.seq WHEN 7 THEN p.inst_shrt_name END) AS pi7_inst_x000d__x000a_, MAX(CASE p.seq WHEN 8 THEN p.pi_last_name END) AS pi8_last_name,_x000d__x000a_MAX(CASE p.seq WHEN 8 THEN p.bio_pg END) AS pi8_bio_pg,_x000d__x000a_max(CASE p.seq WHEN 8 THEN p.coa_pg END) AS pi8_coa_pg,_x000d__x000a_MAX(CASE p.seq WHEN 8 THEN p.cp_chk END) AS pi8_cp_chk,_x000d__x000a_MAX(CASE p.seq WHEN 8 THEN p.NumAwd END) AS pi8_num_awd,_x000d__x000a_MAX(CASE p.seq WHEN 8 THEN p.LastAwd END) AS pi8_last_awd,_x000d__x000a_MAX(CASE p.seq WHEN 8 THEN p.pi_emai_addr END) AS pi8_email,_x000d__x000a_MAX(CASE p.seq WHEN 8 THEN p.inst_shrt_name END) AS pi8_inst_x000d__x000a_, MAX(CASE p.seq WHEN 9 THEN p.pi_last_name END) AS pi9_last_name,_x000d__x000a_MAX(CASE p.seq WHEN 9 THEN p.bio_pg END) AS pi9_bio_pg,_x000d__x000a_max(CASE p.seq WHEN 9 THEN p.coa_pg END) AS pi9_coa_pg,_x000d__x000a_MAX(CASE p.seq WHEN 9 THEN p.cp_chk END) AS pi9_cp_chk,_x000d__x000a_MAX(CASE p.seq WHEN 9 THEN p.NumAwd END) AS pi9_num_awd,_x000d__x000a_MAX(CASE p.seq WHEN 9 THEN p.LastAwd END) AS pi9_last_awd,_x000d__x000a_MAX(CASE p.seq WHEN 9 THEN p.pi_emai_addr END) AS pi9_email,_x000d__x000a_MAX(CASE p.seq WHEN 9 THEN p.inst_shrt_name END) AS pi9_inst_x000d__x000a_INTO #myPiInfo FROM #myPPPseq p GROUP BY p.lead_x000d__x000a_SELECT CASE when ((SELECT distinct CASE WHEN (su.name in ('public','gyuan') and sp.action =193)  then 'True' else 'False' end as Permission FROM FLflpdb.dbo.sysusers su left outer JOIN  FLflpdb.dbo.sysprotects sp  on sp.uid = su.uid left outer JOIN FLflpdb.dbo.sysobjects so ON SU.uid=so.uid where su.name ='gyuan'))='False' then 'Need Permission' when (prop.nsf_rcvd_date &lt; '01/25/2016') THEN 'N/A'  when (mpi.NumCoas &lt;1  )then 'Missing' else cast(mpi.NumCoas as varchar) end as NumCoas, _x000d__x000a_prop.lead_prop_id, prop.prop_id, prop.pm_ibm_logn_id, prop.pgm_annc_id, prop.org_code, prop.pgm_ele_code, _x000d__x000a_gg.ggpi_trck_num as GG_track_num, gg.ggpi_rcvd_date as GG_rcvd_date, prop.nsf_rcvd_date as NSF_rcvd_date, _x000d__x000a_CASE WHEN (spcl.SPCL_ITEM_CODE='27') THEN 'Y' END as spcl_excp_flag,_x000d__x000a_prop.prop_stts_code, prop_stts_pars.prop_stts_abbr as prop_stts, ppi.pi_last_name, ppi.pi_frst_name, ppi.pi_emai_addr,_x000d__x000a_INST.inst_shrt_name AS inst_name, INST.st_code, prop.prop_titl_txt, CASE WHEN(CHARINDEX('GOALI',UPPER(prop.prop_titl_txt))&gt;0) THEN 'Y' END AS GOALI_flag,_x000d__x000a_natr_rqst.natr_rqst_txt, prop_stts_pars.prop_stts_txt, prop.cert_dbar_sus_flag, prop_covr.OTH_AGCY_SUBM_FLAG, PROP_COVR.auth_rep_elec_sign, PROP_COVR.AUTH_REP_CERT_DATE,_x000d__x000a_CASE WHEN PROJ_DESC.PDF_PAGE_CNT&gt;0 THEN CAST(PROJ_DESC.PDF_PAGE_CNT AS varchar(4)) ELSE 'No PD' END AS ProjDesc,_x000d__x000a_CASE WHEN (proj_summ.PDF_PAGE_CNT&gt;0 AND proj_summ.SPCL_CHAR_PDF='Y') THEN 'TBC'_x000d__x000a_WHEN ((proj_summ.PDF_PAGE_CNT&lt;0 OR proj_summ.PDF_PAGE_CNT IS NULL) AND proj_summ.SPCL_CHAR_PDF='Y') THEN 'No PS' END AS ProjSumm,_x000d__x000a_CASE WHEN proj_summ.SPCL_CHAR_PDF='Y' THEN proj_summ.PDF_PAGE_CNT END as 'proj_summ_pg',_x000d__x000a_(SELECT SUM(BUDG_EXPL.PDF_PAGE_CNT) FROM flp.BUDG_EXPL BUDG_EXPL WHERE c.TEMP_PROP_ID = BUDG_EXPL.TEMP_PROP_ID)  AS 'budg_just_pg',_x000d__x000a_CASE WHEN (NOT EXISTS ( select 1 from flp.bibl  B where B.TEMP_PROP_ID = c.TEMP_PROP_ID_x000d__x000a_AND ((B.path_name is not null and  isnull((ltrim(rtrim(path_name))),'') != '') OR ( B.BIBL_TXT NOT LIKE '' AND CHAR_LENGTH(B.BIBL_TXT) IS NOT NULL))))_x000d__x000a_THEN 'No RC' ELSE CAST(bibl.PDF_PAGE_CNT AS varchar(4)) END as RefCited,_x000d__x000a_CASE WHEN (mbt.tot_Pdoc_dol&gt;0) AND (Not exists ( select 1 from  flp.ment_plan_doc B  where B.TEMP_PROP_ID = c.TEMP_PROP_ID AND B.PATH_NAME IS NOT NULL and  B.PATH_NAME &lt;&gt;  '') )_x000d__x000a_THEN 'No MP' ELSE CAST(ment.PDF_PAGE_CNT AS varchar(4)) END as MentPlan,_x000d__x000a_CASE WHEN( not exists ( select 1 from flp.dmp_plan_doc B where B.TEMP_PROP_ID = c.TEMP_PROP_ID AND B.PATH_NAME IS NOT NULL and  B.PATH_NAME&lt;&gt;'') )_x000d__x000a_THEN 'No DMP' ELSE CAST(dmp.PDF_PAGE_CNT AS varchar(4)) END as DMP,_x000d__x000a_CASE WHEN (prop.rcom_awd_istr not in ('5','8','9','C','P','7') and prop.natr_rqst_code not in ('A','5','F','2','X') and prop.obj_clas_code &lt;&gt;'4160'_x000d__x000a_AND  not exists (SELECT 1 FROM flp.prop_subm_ctl ct, flp.fac_equp a WHERE prop.prop_id = ct.prop_id and ct.temp_prop_id = a.temp_prop_id) )_x000d__x000a_THEN 'No FAC' END as FacilitiesEquip,_x000d__x000a_mt.dif_titl_collab, mt.tot_rqst_dol, nullif(mbt.tot_Part_Stipend,0) AS tot_Part_Stipend, nullif(mbt.tot_Pdoc_dol,0) AS tot_Pdoc_dol, mcbt.cumulative_tot_dol,_x000d__x000a_nullif(mcbt.cumulative_tot_dol-isnull(mt.tot_rqst_dol,0),0) AS Diff_tot_dol, msupp.oth_supp_cnt, getdate() as run_date, _x000d__x000a_mpi.*_x000d__x000a_FROM #myPiInfo mpi_x000d__x000a_LEFT OUTER JOIN #myBudgTotals mbt ON mpi.lead = mbt.lead_x000d__x000a_LEFT OUTER JOIN #myTotals mt ON mpi.lead = mt.lead_x000d__x000a_LEFT OUTER JOIN #myCumBudgTotals mcbt ON mpi.lead = mcbt.lead_x000d__x000a_LEFT OUTER JOIN #mySupp msupp ON mpi.lead=msupp.lead_x000d__x000a_JOIN flp.prop_pars prop ON mpi.lead = prop.prop_id_x000d__x000a_JOIN flp.prop_subm_ctl c ON mpi.lead = c.PROP_ID_x000d__x000a_JOIN flp.INST INST ON prop.inst_id = INST.inst_id_x000d__x000a_JOIN flp.pi ppi ON prop.pi_id = ppi.pi_id_x000d__x000a_LEFT OUTER JOIN flp.prop_stts_pars prop_stts_pars ON prop.prop_stts_code = prop_stts_pars.prop_stts_code_x000d__x000a_LEFT OUTER JOIN rptdb.csd.natr_rqst natr_rqst ON prop.natr_rqst_code = natr_rqst.natr_rqst_code_x000d__x000a_LEFT OUTER JOIN flp.PROP_COVR PROP_COVR ON c.TEMP_PROP_ID = PROP_COVR.TEMP_PROP_ID_x000d__x000a_LEFT OUTER JOIN (select TEMP_PROP_ID, SPCL_ITEM_CODE from flp.PROP_SPCL_ITEM where SPCL_ITEM_CODE ='27') spcl on c.TEMP_PROP_ID=spcl.TEMP_PROP_ID_x000d__x000a_LEFT OUTER JOIN flp.proj_summ proj_summ ON c.TEMP_PROP_ID = proj_summ.TEMP_PROP_ID_x000d__x000a_LEFT OUTER JOIN flp.PROJ_DESC PROJ_DESC ON c.TEMP_PROP_ID = PROJ_DESC.TEMP_PROP_ID_x000d__x000a_LEFT OUTER JOIN flp.bibl bibl ON c.TEMP_PROP_ID = bibl.TEMP_PROP_ID_x000d__x000a_LEFT OUTER JOIN flp.FAC_EQUP FAC_EQUP ON c.TEMP_PROP_ID = FAC_EQUP.TEMP_PROP_ID_x000d__x000a_LEFT OUTER JOIN flp.ggpi_trck gg on c.TEMP_PROP_ID=gg.temp_prop_id_x000d__x000a_LEFT OUTER JOIN flp.MENT_PLAN_DOC ment on c.TEMP_PROP_ID = ment.TEMP_PROP_ID_x000d__x000a_LEFT OUTER JOIN flp.DMP_PLAN_DOC dmp on c.TEMP_PROP_ID = dmp.TEMP_PROP_ID_x000d__x000a_ORDER BY prop.lead_prop_id, prop.prop_id _x000d__x000a_DROP TABLE #myPPPseq_x000d__x000a_DROP TABLE #myCumBudgTotals_x000d__x000a_DROP TABLE #myBudgTotals_x000d__x000a_DROP TABLE #myTotals_x000d__x000a_DROP TABLE #myPiInfo_x000d__x000a_DROP TABLE #mySupp_x000d__x000a_"/>
    <parameters count="1">
      <parameter name=""/>
    </parameters>
  </connection>
  <connection id="3" name="Query from RPTSERVER - for proposals" type="1" refreshedVersion="6" background="1" saveData="1">
    <dbPr connection="dsn=RPTSERVER;database=FLflpdb;server=RPTSQL.nsf.gov;port=5000;UID=gyuan;" command="SET NOCOUNT ON_x000d__x000a_SELECT DISTINCT isnull(prop.lead_prop_id,prop.prop_id) as lead_x000d__x000a_INTO #myLeads -- get distinct project leads fm input list_x000d__x000a_FROM flp.prop_pars prop_x000d__x000a_WHERE (prop.prop_id In ('1624020','1627342','1627343','1627350','1624004','1624023','1733610','1630480'))_x000d__x000a__x000d__x000a_SELECT CASE WHEN prop.lead_prop_id IS NULL THEN 'I' ELSE 'L' END as ILN,_x000d__x000a_ml.lead AS lead, prop.prop_id, c.TEMP_PROP_ID, prop.nsf_rcvd_date, prop.rqst_dol, prop.prop_titl_txt, prop.pi_id_x000d__x000a_INTO #myProjPropPI -- start with project leads_x000d__x000a_FROM #myLeads ml, flp.prop_pars prop, flp.prop_subm_ctl c_x000d__x000a_WHERE ml.lead = prop.prop_id AND prop.prop_id = c.PROP_ID -- add other filters here?_x000d__x000a_DROP TABLE #myLeads_x000d__x000a_INSERT INTO #myProjPropPI -- add all collabs_x000d__x000a_SELECT 'N' AS ILN, prop.lead_prop_id AS lead, prop.prop_id, c.TEMP_PROP_ID, prop.nsf_rcvd_date, prop.rqst_dol, prop.prop_titl_txt, prop.pi_id_x000d__x000a_FROM #myProjPropPI ppp, flp.prop_pars prop, flp.prop_subm_ctl c_x000d__x000a_WHERE ppp.PROP_ID = prop.lead_prop_id And ppp.PROP_ID &lt;&gt; prop.PROP_ID And prop.PROP_ID = c.PROP_ID_x000d__x000a_SELECT tp.ILN, prop.lead_prop_id, prop.prop_id, tp.TEMP_PROP_ID, prop.pm_ibm_logn_id, prop.pgm_annc_id,prop.org_code, prop.pgm_ele_code,_x000d__x000a_CASE WHEN prop.org_code &lt;&gt; prop.orig_org_code THEN prop.orig_org_code END AS orig_org_code, _x000d__x000a_CASE WHEN prop.pgm_ele_code &lt;&gt; prop.orig_pgm_ele_code THEN prop.orig_pgm_ele_code END AS orig_pgm_ele_code,_x000d__x000a_prop.nsf_rcvd_date , prop.rqst_dol, prop.prop_titl_txt, prop.pi_id, prop.prop_stts_code, prop.natr_rqst_code, prop.rcom_awd_istr, prop.obj_clas_code, prop.cert_dbar_sus_flag, prop.inst_id_x000d__x000a_INTO #myProps_x000d__x000a_FROM #myProjPropPI tp JOIN flp.prop_pars prop ON tp.prop_id = prop.PROP_ID_x000d__x000a_SELECT prop1.prop_id, COUNT(prop1.pi_id) AS tot_PIs, SUM(rqst_dol) AS tot_rqst_dol_x000d__x000a_INTO #myTotals_x000d__x000a_FROM (SELECT prop.prop_id, prop.pi_id, prop.rqst_dol FROM #myProps prop_x000d__x000a_Union_x000d__x000a_SELECT prop.prop_id, addl.pi_id,0 AS rqst_dol FROM flp.addl_pi_invl_pars addl JOIN #myProps prop ON addl.prop_id = prop.prop_id) prop1_x000d__x000a_GROUP BY prop1.prop_id_x000d__x000a_SELECT prop.prop_id, Sum(budg.PDOC_REQ_DOL) as tot_Pdoc_dol, Sum(budg.PART_SUPT_STPD_DOL) AS tot_Part_Stipend_x000d__x000a_INTO #myBudgTotal_x000d__x000a_FROM flp.budg budg JOIN #myProps prop ON budg.TEMP_PROP_ID = prop.TEMP_PROP_ID_x000d__x000a_GROUP BY prop.prop_id_x000d__x000a_SELECT prop.prop_id, count(dtls.supp_doc_seq) as oth_supp_cnt INTO #mySupp_x000d__x000a_FROM flp.supp_dtls dtls JOIN #myProps prop ON dtls.TEMP_PROP_ID = prop.TEMP_PROP_ID GROUP BY prop.prop_id _x000d__x000a_SELECT b.prop_id, b.revn_num, SUM(b.budg_tot_dol) AS cumulative_tot_dol_x000d__x000a_INTO #myCumBudgTotals FROM #myProps prop_x000d__x000a_JOIN rptdb.csd.eps_blip b ON prop.prop_id = b.PROP_ID_x000d__x000a_WHERE b.revn_num = 0  GROUP BY b.prop_id, b.revn_num_x000d__x000a_SELECT prop.ILN, prop.lead_prop_id, prop.prop_id, prop.pm_ibm_logn_id, prop.pgm_annc_id, prop.org_code, prop.pgm_ele_code, _x000d__x000a_prop.orig_org_code, prop.orig_pgm_ele_code, org1.dir_div_abbr, pe1.pgm_ele_name, org2.dir_div_abbr as orig_dir_div_abbr, pe2.pgm_ele_name as orig_pgm_ele_name, _x000d__x000a_CASE WHEN (gg.ggpi_rcvd_date is NULL AND INST.last_updt_tmsp&gt;prop.nsf_rcvd_date) THEN INST.last_updt_tmsp _x000d__x000a_WHEN (gg.ggpi_rcvd_date&lt;&gt;NULL AND INST.last_updt_tmsp&gt;gg.ggpi_rcvd_date) THEN INST.last_updt_tmsp END as inst_last_updt_tmsp,_x000d__x000a_CASE when ((SELECT distinct CASE WHEN (su.name in ('public','gyuan') and sp.action =193)  then 'True' else 'False' end FROM FLflpdb.dbo.sysusers su left outer JOIN  FLflpdb.dbo.sysprotects sp  on sp.uid = su.uid left outer JOIN FLflpdb.dbo.sysobjects so ON SU.uid=so.uid where su.name ='gyuan'))='False' then 'Need permission: tz_ctry_map' WHEN (gg.ggpi_rcvd_date is NULL AND INST.last_updt_tmsp&gt;prop.nsf_rcvd_date) THEN t.tz_name_x000d__x000a_WHEN (gg.ggpi_rcvd_date&lt;&gt;NULL AND INST.last_updt_tmsp&gt;gg.ggpi_rcvd_date) THEN t.tz_name END AS inst_timeZone,_x000d__x000a_gg.ggpi_trck_num as GG_track_num, gg.ggpi_rcvd_date as GG_rcvd_date, prop.nsf_rcvd_date as NSF_rcvd_date,_x000d__x000a_CASE WHEN (spcl.SPCL_ITEM_CODE='27') THEN 'Y' END as spcl_excp_flag,_x000d__x000a_prop.prop_stts_code, prop_stts_pars.prop_stts_abbr as prop_stts, ppi.pi_last_name, ppi.pi_frst_name, INST.inst_shrt_name AS inst_name, INST.st_code as inst_st_code, perf_org.perf_org_txt,pi_degr_yr,_x000d__x000a_prop.prop_titl_txt, CASE WHEN(CHARINDEX('GOALI',UPPER(prop.prop_titl_txt))&gt;0) THEN 'Y' END AS GOALI_flag,_x000d__x000a_natr_rqst.natr_rqst_txt, prop_stts_pars.prop_stts_txt,_x000d__x000a_prop.cert_dbar_sus_flag, prop_covr.OTH_AGCY_SUBM_FLAG, PROP_COVR.auth_rep_elec_sign, PROP_COVR.AUTH_REP_CERT_DATE,_x000d__x000a_CASE WHEN PROP_COVR.HUM_DATE is not NULL THEN convert(varchar(10),PROP_COVR.HUM_DATE,1) WHEN PROP_COVR.humn_date_pend_flag='Y' THEN 'Pend' END AS humn_date,_x000d__x000a_CASE WHEN PROP_COVR.VERT_DATE is not NULL THEN convert(varchar(10),PROP_COVR.VERT_DATE,1) WHEN PROP_COVR.vrtb_date_pend_flag='Y' THEN 'Pend' END AS vrtb_date,_x000d__x000a_CASE WHEN ILN='N' THEN 'N/A' WHEN (ILN&lt;&gt;'N' AND PROJ_DESC.PDF_PAGE_CNT&gt;0) THEN CAST(PROJ_DESC.PDF_PAGE_CNT AS varchar(4)) ELSE 'No PD' END AS ProjDesc,_x000d__x000a_CASE WHEN (ILN='N') THEN 'N/A' WHEN (ILN&lt;&gt;'N' AND proj_summ.PDF_PAGE_CNT&gt;0 AND proj_summ.SPCL_CHAR_PDF='Y') THEN 'TBC'_x000d__x000a_WHEN (ILN&lt;&gt;'N' AND (proj_summ.PDF_PAGE_CNT&lt;0 OR proj_summ.PDF_PAGE_CNT IS NULL) AND proj_summ.SPCL_CHAR_PDF='Y') THEN 'No PS' END AS ProjSumm,_x000d__x000a_CASE WHEN proj_summ.SPCL_CHAR_PDF='Y' THEN proj_summ.PDF_PAGE_CNT END as 'proj_summ_pg',(SELECT SUM(BUDG_EXPL.PDF_PAGE_CNT) FROM flp.BUDG_EXPL BUDG_EXPL WHERE prop.TEMP_PROP_ID = BUDG_EXPL.TEMP_PROP_ID)  AS 'budg_just_pg',_x000d__x000a_CASE WHEN (NOT EXISTS ( select 1 from flp.bibl  B where B.TEMP_PROP_ID = prop.TEMP_PROP_ID_x000d__x000a_AND ((B.path_name is not null and  isnull((ltrim(rtrim(path_name))),'') != '') OR ( B.BIBL_TXT NOT LIKE '' AND CHAR_LENGTH(B.BIBL_TXT) IS NOT NULL))))_x000d__x000a_THEN 'No RC' ELSE CAST(bibl.PDF_PAGE_CNT AS varchar(4)) END as RefCited,_x000d__x000a_CASE WHEN (mb.tot_Pdoc_dol&gt;0) AND (Not exists ( select 1 from  flp.ment_plan_doc B  where B.TEMP_PROP_ID = prop.TEMP_PROP_ID AND B.PATH_NAME IS NOT NULL and  B.PATH_NAME &lt;&gt;  '') )_x000d__x000a_THEN 'No MP' ELSE CAST(ment.PDF_PAGE_CNT AS varchar(4)) END as MentPlan,_x000d__x000a_CASE WHEN( not exists ( select 1 from flp.dmp_plan_doc B where B.TEMP_PROP_ID = prop.TEMP_PROP_ID AND B.PATH_NAME IS NOT NULL and  B.PATH_NAME&lt;&gt;'') )_x000d__x000a_THEN 'No DMP' ELSE CAST(dmp.PDF_PAGE_CNT AS varchar(4)) END as DMP,_x000d__x000a_CASE WHEN (prop.rcom_awd_istr not in ('5','8','9','C','P','7') and prop.natr_rqst_code not in ('A','5','F','2','X') and prop.obj_clas_code &lt;&gt;'4160'_x000d__x000a_AND  not exists (SELECT 1 FROM flp.prop_subm_ctl ct, flp.fac_equp a WHERE prop.prop_id = ct.prop_id and ct.temp_prop_id = a.temp_prop_id) )THEN 'No FAC' END as FacilitiesEquip,_x000d__x000a_mt.tot_PIs, mt.tot_rqst_dol, nullif(mb.tot_Part_Stipend,0) AS tot_Part_Stipend, nullif(mb.tot_Pdoc_dol,0) AS tot_Pdoc_dol, mc.cumulative_tot_dol,_x000d__x000a_nullif(mc.cumulative_tot_dol-isnull(mt.tot_rqst_dol,0),0) as Diff_tot_dol, supp.oth_supp_cnt, getdate() as run_date _x000d__x000a_FROM #myProps prop_x000d__x000a_JOIN flp.pi ppi ON prop.pi_id=ppi.pi_id_x000d__x000a_JOIN flp.org org1 ON prop.org_code=org1.org_code_x000d__x000a_JOIN flp.pgm_ele pe1 ON prop.pgm_ele_code=pe1.pgm_ele_code_x000d__x000a_LEFT OUTER JOIN flp.org org2 ON prop.orig_org_code=org2.org_code_x000d__x000a_LEFT OUTER JOIN flp.pgm_ele pe2 ON prop.orig_pgm_ele_code=pe2.pgm_ele_code_x000d__x000a_LEFT OUTER JOIN flp.inst_pars INST ON prop.inst_id = INST.inst_id_x000d__x000a_LEFT OUTER JOIN rptdb.csd.perf_org perf_org ON perf_org.perf_org_code = INST.perf_org_code_x000d__x000a_LEFT OUTER JOIN flp.tz_ctry_map t ON inst.inst_tz_id=t.tz_id_x000d__x000a_LEFT OUTER JOIN flp.prop_stts_pars prop_stts_pars ON prop.prop_stts_code = prop_stts_pars.prop_stts_code_x000d__x000a_LEFT OUTER JOIN rptdb.csd.natr_rqst natr_rqst ON prop.natr_rqst_code = natr_rqst.natr_rqst_code_x000d__x000a_LEFT OUTER JOIN flp.PROP_COVR PROP_COVR ON prop.TEMP_PROP_ID = PROP_COVR.TEMP_PROP_ID_x000d__x000a_LEFT OUTER JOIN (select TEMP_PROP_ID, SPCL_ITEM_CODE from flp.PROP_SPCL_ITEM where SPCL_ITEM_CODE ='27') spcl on prop.TEMP_PROP_ID=spcl.TEMP_PROP_ID_x000d__x000a_LEFT OUTER JOIN flp.proj_summ proj_summ ON prop.TEMP_PROP_ID = proj_summ.TEMP_PROP_ID_x000d__x000a_LEFT OUTER JOIN flp.PROJ_DESC PROJ_DESC ON prop.TEMP_PROP_ID = PROJ_DESC.TEMP_PROP_ID_x000d__x000a_LEFT OUTER JOIN flp.bibl bibl ON prop.TEMP_PROP_ID = bibl.TEMP_PROP_ID_x000d__x000a_LEFT OUTER JOIN flp.ggpi_trck gg on prop.TEMP_PROP_ID=gg.TEMP_PROP_ID_x000d__x000a_LEFT OUTER JOIN flp.MENT_PLAN_DOC ment on prop.TEMP_PROP_ID = ment.TEMP_PROP_ID_x000d__x000a_LEFT OUTER JOIN flp.DMP_PLAN_DOC dmp on prop.TEMP_PROP_ID = dmp.TEMP_PROP_ID_x000d__x000a_LEFT OUTER JOIN #myTotals mt ON prop.prop_id = mt.prop_id_x000d__x000a_LEFT OUTER JOIN #myBudgTotal mb ON prop.prop_id= mb.prop_id_x000d__x000a_LEFT OUTER JOIN #myCumBudgTotals mc ON prop.prop_id = mc.prop_id_x000d__x000a_LEFT OUTER JOIN #mySupp supp ON prop.prop_id=supp.prop_id_x000d__x000a_ORDER BY prop.lead_prop_id, prop.ILN, prop.prop_id_x000d__x000a_DROP TABLE #myProps_x000d__x000a_DROP TABLE #myTotals_x000d__x000a_DROP TABLE #myBudgTotal_x000d__x000a_DROP TABLE #myCumBudgTotals_x000d__x000a_DROP TABLE #myProjPropPI_x000d__x000a_DROP TABLE #mySupp_x000d__x000a_"/>
  </connection>
</connections>
</file>

<file path=xl/sharedStrings.xml><?xml version="1.0" encoding="utf-8"?>
<sst xmlns="http://schemas.openxmlformats.org/spreadsheetml/2006/main" count="1383" uniqueCount="605">
  <si>
    <t>org_code</t>
  </si>
  <si>
    <t>PEC</t>
  </si>
  <si>
    <t>NumPIs</t>
  </si>
  <si>
    <t>NumBios</t>
  </si>
  <si>
    <t>NumRPS</t>
  </si>
  <si>
    <t>pi0_last_name</t>
  </si>
  <si>
    <t>pi0_bio_pg</t>
  </si>
  <si>
    <t>pi0_num_awd</t>
  </si>
  <si>
    <t>pi0_last_awd</t>
  </si>
  <si>
    <t>pi0_emai_addr</t>
  </si>
  <si>
    <t>pi1_last_name</t>
  </si>
  <si>
    <t>pi1_bio_pg</t>
  </si>
  <si>
    <t>pi1_num_awd</t>
  </si>
  <si>
    <t>pi1_last_awd</t>
  </si>
  <si>
    <t>pi1_emai_addr</t>
  </si>
  <si>
    <t>pi2_last_name</t>
  </si>
  <si>
    <t>pi2_bio_pg</t>
  </si>
  <si>
    <t>pi2_num_awd</t>
  </si>
  <si>
    <t>pi2_last_awd</t>
  </si>
  <si>
    <t>pi2_emai_addr</t>
  </si>
  <si>
    <t>pi3_last_name</t>
  </si>
  <si>
    <t>pi3_bio_pg</t>
  </si>
  <si>
    <t>pi3_num_awd</t>
  </si>
  <si>
    <t>pi3_last_awd</t>
  </si>
  <si>
    <t>pi3_emai_addr</t>
  </si>
  <si>
    <t>pi4_last_name</t>
  </si>
  <si>
    <t>pi4_bio_pg</t>
  </si>
  <si>
    <t>pi4_num_awd</t>
  </si>
  <si>
    <t>pi4_last_awd</t>
  </si>
  <si>
    <t>pi4_emai_addr</t>
  </si>
  <si>
    <t>pi5_last_name</t>
  </si>
  <si>
    <t>pi5_bio_pg</t>
  </si>
  <si>
    <t>pi5_num_awd</t>
  </si>
  <si>
    <t>pi5_last_awd</t>
  </si>
  <si>
    <t>pi5_emai_addr</t>
  </si>
  <si>
    <t>pi6_last_name</t>
  </si>
  <si>
    <t>pi6_bio_pg</t>
  </si>
  <si>
    <t>pi6_num_awd</t>
  </si>
  <si>
    <t>pi6_last_awd</t>
  </si>
  <si>
    <t>pi6_emai_addr</t>
  </si>
  <si>
    <t>pi7_last_name</t>
  </si>
  <si>
    <t>pi7_bio_pg</t>
  </si>
  <si>
    <t>pi7_num_awd</t>
  </si>
  <si>
    <t>pi7_last_awd</t>
  </si>
  <si>
    <t>pi7_emai_addr</t>
  </si>
  <si>
    <t>pi8_last_name</t>
  </si>
  <si>
    <t>pi8_bio_pg</t>
  </si>
  <si>
    <t>pi8_num_awd</t>
  </si>
  <si>
    <t>pi8_last_awd</t>
  </si>
  <si>
    <t>pi8_emai_addr</t>
  </si>
  <si>
    <t>pi9_last_name</t>
  </si>
  <si>
    <t>pi9_bio_pg</t>
  </si>
  <si>
    <t>pi9_num_awd</t>
  </si>
  <si>
    <t>pi9_last_awd</t>
  </si>
  <si>
    <t>pi9_emai_addr</t>
  </si>
  <si>
    <t>dif_titl_collab</t>
  </si>
  <si>
    <t>tot_rqst_dol</t>
  </si>
  <si>
    <t>tot_Part_Stipend</t>
  </si>
  <si>
    <t>tot_Pdoc_dol</t>
  </si>
  <si>
    <t>pgm_annc_id</t>
  </si>
  <si>
    <t>pgm_ele_code</t>
  </si>
  <si>
    <t>pm_ibm_logn_id</t>
  </si>
  <si>
    <t>pi_last_name</t>
  </si>
  <si>
    <t>pi_frst_name</t>
  </si>
  <si>
    <t>inst_name</t>
  </si>
  <si>
    <t>st_code</t>
  </si>
  <si>
    <t>prop_titl_txt</t>
  </si>
  <si>
    <t>natr_rqst_txt</t>
  </si>
  <si>
    <t>prop_stts_txt</t>
  </si>
  <si>
    <t>cert_dbar_sus_flag</t>
  </si>
  <si>
    <t>auth_rep_elec_sign</t>
  </si>
  <si>
    <t>AUTH_REP_CERT_DATE</t>
  </si>
  <si>
    <t>N</t>
  </si>
  <si>
    <t>lead_prop_id</t>
  </si>
  <si>
    <t>prop_id</t>
  </si>
  <si>
    <t>GG_track_num</t>
  </si>
  <si>
    <t>GG_rcvd_date</t>
  </si>
  <si>
    <t>OTH_AGCY_SUBM_FLAG</t>
  </si>
  <si>
    <t>RefCited</t>
  </si>
  <si>
    <t>MentPlan</t>
  </si>
  <si>
    <t>DMP</t>
  </si>
  <si>
    <t>FacilitiesEquip</t>
  </si>
  <si>
    <t>cumulative_tot_dol</t>
  </si>
  <si>
    <t>Diff_tot_dol</t>
  </si>
  <si>
    <t>NSF_rcvd_date</t>
  </si>
  <si>
    <t>proj_summ_pg</t>
  </si>
  <si>
    <t>tot_PIs</t>
  </si>
  <si>
    <t>RPS From Date</t>
  </si>
  <si>
    <t>RPS To Date</t>
  </si>
  <si>
    <t>pi_emai_addr</t>
  </si>
  <si>
    <t>From Date</t>
  </si>
  <si>
    <t>To Date</t>
  </si>
  <si>
    <t>PGM_ANNC</t>
  </si>
  <si>
    <t>ORG_CODE</t>
  </si>
  <si>
    <t>eJacket</t>
  </si>
  <si>
    <r>
      <t xml:space="preserve"> </t>
    </r>
    <r>
      <rPr>
        <b/>
        <i/>
        <sz val="11"/>
        <color theme="1"/>
        <rFont val="Calibri Light"/>
        <family val="2"/>
        <scheme val="minor"/>
      </rPr>
      <t>Note</t>
    </r>
    <r>
      <rPr>
        <i/>
        <sz val="11"/>
        <color theme="1"/>
        <rFont val="Calibri Light"/>
        <family val="2"/>
        <scheme val="minor"/>
      </rPr>
      <t>: SQL wildcards OK in annc/org/pec: [12] matches '1' or '2', _ matches 1 char, % matches any.</t>
    </r>
  </si>
  <si>
    <t>NumCoas</t>
  </si>
  <si>
    <t>NumCPs</t>
  </si>
  <si>
    <t>pi0_coa_pg</t>
  </si>
  <si>
    <t>pi0_cp_chk</t>
  </si>
  <si>
    <t>pi0_inst_shrt_name</t>
  </si>
  <si>
    <t>pi1_coa_pg</t>
  </si>
  <si>
    <t>pi1_cp_chk</t>
  </si>
  <si>
    <t>pi1_inst_shrt_name</t>
  </si>
  <si>
    <t>pi2_coa_pg</t>
  </si>
  <si>
    <t>pi2_cp_chk</t>
  </si>
  <si>
    <t>pi2_inst_shrt_name</t>
  </si>
  <si>
    <t>pi3_coa_pg</t>
  </si>
  <si>
    <t>pi3_cp_chk</t>
  </si>
  <si>
    <t>pi3_inst_shrt_name</t>
  </si>
  <si>
    <t>pi4_coa_pg</t>
  </si>
  <si>
    <t>pi4_cp_chk</t>
  </si>
  <si>
    <t>pi4_inst_shrt_name</t>
  </si>
  <si>
    <t>pi5_coa_pg</t>
  </si>
  <si>
    <t>pi5_cp_chk</t>
  </si>
  <si>
    <t>pi5_inst_shrt_name</t>
  </si>
  <si>
    <t>pi6_coa_pg</t>
  </si>
  <si>
    <t>pi6_cp_chk</t>
  </si>
  <si>
    <t>pi6_inst_shrt_name</t>
  </si>
  <si>
    <t>pi7_coa_pg</t>
  </si>
  <si>
    <t>pi7_cp_chk</t>
  </si>
  <si>
    <t>pi7_inst_shrt_name</t>
  </si>
  <si>
    <t>pi8_coa_pg</t>
  </si>
  <si>
    <t>pi8_cp_chk</t>
  </si>
  <si>
    <t>pi8_inst_shrt_name</t>
  </si>
  <si>
    <t>pi9_coa_pg</t>
  </si>
  <si>
    <t>pi9_cp_chk</t>
  </si>
  <si>
    <t>pi9_inst_shrt_name</t>
  </si>
  <si>
    <t>inst_st_code</t>
  </si>
  <si>
    <t>inst_last_updt_tmsp</t>
  </si>
  <si>
    <t>inst_timeZone</t>
  </si>
  <si>
    <t>ILN</t>
  </si>
  <si>
    <t>I</t>
  </si>
  <si>
    <t>Ejacket</t>
  </si>
  <si>
    <t>ProjDesc</t>
  </si>
  <si>
    <t>ProjSumm</t>
  </si>
  <si>
    <t>Time Checking</t>
  </si>
  <si>
    <t>Filters</t>
  </si>
  <si>
    <t>Proposal Details</t>
  </si>
  <si>
    <t>Compliance Checking</t>
  </si>
  <si>
    <t>Per Project</t>
  </si>
  <si>
    <t>Primary PI</t>
  </si>
  <si>
    <t>Co-PI 1</t>
  </si>
  <si>
    <t>Co-PI 2</t>
  </si>
  <si>
    <t>Co-PI 3</t>
  </si>
  <si>
    <t>Co-PI 4</t>
  </si>
  <si>
    <t>Co-PI 5</t>
  </si>
  <si>
    <t>Co-PI 6</t>
  </si>
  <si>
    <t>Co-PI 7</t>
  </si>
  <si>
    <t>Co-PI 8</t>
  </si>
  <si>
    <t>Co-PI 9</t>
  </si>
  <si>
    <t>Description</t>
  </si>
  <si>
    <t>Data Value</t>
  </si>
  <si>
    <t>Zone</t>
  </si>
  <si>
    <t>Data Field</t>
  </si>
  <si>
    <t>Compliance Checking Master List by Proposal</t>
  </si>
  <si>
    <t>Compliance Checking Master List by Project</t>
  </si>
  <si>
    <t>Sub-Zone</t>
  </si>
  <si>
    <t>Highlight Condition</t>
  </si>
  <si>
    <t>highlight light red, if blank/missing.</t>
  </si>
  <si>
    <t>AOR eSignature</t>
  </si>
  <si>
    <t>AOR eSignature timestamp</t>
  </si>
  <si>
    <t>highlight light red, if missing (with default value '01/01/1900  12:00:00 AM').</t>
  </si>
  <si>
    <t>highlight light yellow, if "No PD"</t>
  </si>
  <si>
    <t>Project Description existence and page count check</t>
  </si>
  <si>
    <t>Project Summary submission status</t>
  </si>
  <si>
    <t>highlight light yellow, if "No PS"</t>
  </si>
  <si>
    <t>Project Summary page count check if submitted as PDF</t>
  </si>
  <si>
    <t>- blank, submitted as TEXT or not needed, such as non-lead in a set of collaborative proposals
- PDF page count, when submitted as PDF</t>
  </si>
  <si>
    <t>highlight light red, if page count greater than 1.</t>
  </si>
  <si>
    <t>PDF page count of Budget Explanation submitted</t>
  </si>
  <si>
    <t>PDF page count</t>
  </si>
  <si>
    <t>Grants.gov submission track number</t>
  </si>
  <si>
    <t>NSF FastLane submission received date</t>
  </si>
  <si>
    <t>Grants.gov submission received date</t>
  </si>
  <si>
    <t>NSF Organization Code</t>
  </si>
  <si>
    <t>NSF Program Element Code</t>
  </si>
  <si>
    <t>NSF PO id</t>
  </si>
  <si>
    <t>Nature of the request</t>
  </si>
  <si>
    <t>Proposal Submission status</t>
  </si>
  <si>
    <t>- I, for individual proposals
- L, for lead in collaborative proposals
- N, as non-lead in collaborative submissions</t>
  </si>
  <si>
    <t>Lead Proposal ID</t>
  </si>
  <si>
    <t>Proposal ID</t>
  </si>
  <si>
    <t>URL of the corresponding proposal in eJacket</t>
  </si>
  <si>
    <t>PI Last Name</t>
  </si>
  <si>
    <t>PI First Name</t>
  </si>
  <si>
    <t>Proposal Title</t>
  </si>
  <si>
    <t>Cumulative_tot-do - tot_rqst_do, to find out if there is any difference between the two numbers</t>
  </si>
  <si>
    <t>Total requested dollar amount</t>
  </si>
  <si>
    <t>Total number of PI/Co-PIs on this proposal</t>
  </si>
  <si>
    <t>Total cumulative dollar amount, from budget section</t>
  </si>
  <si>
    <t>Reference Cited</t>
  </si>
  <si>
    <t>Total PostDoc dollar amount</t>
  </si>
  <si>
    <t>Mentor Plan</t>
  </si>
  <si>
    <t>Data Management Plan</t>
  </si>
  <si>
    <t>Facilities, Equipment etc.</t>
  </si>
  <si>
    <t>Submission to other agency flag</t>
  </si>
  <si>
    <t>Total number of PI/Co-PIs per project</t>
  </si>
  <si>
    <t>Total number of Bio-Sketch submitted per project</t>
  </si>
  <si>
    <t>Total number of Collaboration and Affiliation submitted per project</t>
  </si>
  <si>
    <t>Total number of Current and Pending support submitted per project</t>
  </si>
  <si>
    <t>Total number of PI/Co-PIs with RPS per project</t>
  </si>
  <si>
    <t>Proposal submission institution state code</t>
  </si>
  <si>
    <t>Proposal submission institution profile last updated date</t>
  </si>
  <si>
    <t>Proposal submission institution corresponding time zone</t>
  </si>
  <si>
    <t>Program announcement code</t>
  </si>
  <si>
    <t>Institution Name</t>
  </si>
  <si>
    <t>Debarment and Suspension Certification from cover sheet</t>
  </si>
  <si>
    <t>- No PD, if no project description is submitted
- N/A, if non-lead of a set of collaborative proposals
- PDF page count</t>
  </si>
  <si>
    <t>- No PS, if no project summary is submitted
- N/A, if non-lead of a set of collaborative proposals
- TBC, meaning "To Be compliance Checked", when submission is in PDF format</t>
  </si>
  <si>
    <t>optional</t>
  </si>
  <si>
    <t>other_info</t>
  </si>
  <si>
    <t>Submission Deadline</t>
  </si>
  <si>
    <t>Example: 10/21/2015 17:00</t>
  </si>
  <si>
    <r>
      <rPr>
        <b/>
        <i/>
        <sz val="11"/>
        <color theme="1"/>
        <rFont val="Calibri Light"/>
        <family val="2"/>
        <scheme val="minor"/>
      </rPr>
      <t>Note</t>
    </r>
    <r>
      <rPr>
        <i/>
        <sz val="11"/>
        <color theme="1"/>
        <rFont val="Calibri Light"/>
        <family val="2"/>
        <scheme val="minor"/>
      </rPr>
      <t>: for a collaborative project, listing any proposal(s) will bring in the entire set.</t>
    </r>
  </si>
  <si>
    <t>spcl_excp_flag</t>
  </si>
  <si>
    <t>Ejacket2</t>
  </si>
  <si>
    <t>BIPW-Snippet</t>
  </si>
  <si>
    <t>RPS-Snippet</t>
  </si>
  <si>
    <t>Character string (GRANTS) followed by numbers "GRANTSxxxxxxxx"</t>
  </si>
  <si>
    <t>Numerical date and time</t>
  </si>
  <si>
    <t xml:space="preserve">Two letter State abbreviation </t>
  </si>
  <si>
    <t>Nine digit number</t>
  </si>
  <si>
    <t>01-Pending</t>
  </si>
  <si>
    <t>Eight digit number "070xxxxxx"</t>
  </si>
  <si>
    <t xml:space="preserve">Four digit number </t>
  </si>
  <si>
    <t>Character String</t>
  </si>
  <si>
    <t>New Proposal, Supplement, Renewal</t>
  </si>
  <si>
    <t>Pending, Withdrawn, Award, Decline</t>
  </si>
  <si>
    <t>Two digit fiscal year followed by 5 digits "16xxxxx" (Collaborative Proposals Only)</t>
  </si>
  <si>
    <t>Two digit fiscal year followed by 5 digits "16xxxxx"</t>
  </si>
  <si>
    <t>"EJ" hyperlink</t>
  </si>
  <si>
    <t xml:space="preserve">Character String </t>
  </si>
  <si>
    <t>Y or N</t>
  </si>
  <si>
    <t xml:space="preserve">Number of pages
</t>
  </si>
  <si>
    <t xml:space="preserve">Currency </t>
  </si>
  <si>
    <t>One digit number</t>
  </si>
  <si>
    <t>1 - One Page
2 - Two Pages
No DMP</t>
  </si>
  <si>
    <t>Character String " No Facilities…" if missing</t>
  </si>
  <si>
    <t>Number of Pis</t>
  </si>
  <si>
    <t>Number of pages</t>
  </si>
  <si>
    <t>If Present</t>
  </si>
  <si>
    <t>PI Email Address</t>
  </si>
  <si>
    <t>State Code</t>
  </si>
  <si>
    <t>Two letter state abbreviation</t>
  </si>
  <si>
    <t>highlight red if "Y"</t>
  </si>
  <si>
    <t>highlight yellow if "Y"</t>
  </si>
  <si>
    <t>highlight red if :"No DMP"</t>
  </si>
  <si>
    <t>Character String " No Facilities…"</t>
  </si>
  <si>
    <t>highlight red if present</t>
  </si>
  <si>
    <t>Numerical Value</t>
  </si>
  <si>
    <t>Lead PI last name</t>
  </si>
  <si>
    <t xml:space="preserve">Lead Co-PI Biosketch page count </t>
  </si>
  <si>
    <t>Numerica Value</t>
  </si>
  <si>
    <t>Lead Co-PI Collaborator and Other Affiliation page number</t>
  </si>
  <si>
    <t>Lead Co-PI Current and Pending check</t>
  </si>
  <si>
    <t>Character String if missing</t>
  </si>
  <si>
    <t>Lead PI number of awards</t>
  </si>
  <si>
    <t xml:space="preserve">Lead PI most recent award </t>
  </si>
  <si>
    <t>Lead PI email address</t>
  </si>
  <si>
    <t>Lead PI home institution abbreviation</t>
  </si>
  <si>
    <t>First Co-PI last name</t>
  </si>
  <si>
    <t xml:space="preserve">First Co-PI Biosketch page number </t>
  </si>
  <si>
    <t>First Co-PI Collaborator and Other Affiliation page number</t>
  </si>
  <si>
    <t>First Co-PI Current and Pending check</t>
  </si>
  <si>
    <t>First Co-PI number of awards</t>
  </si>
  <si>
    <t xml:space="preserve">First Co-PI most recent award </t>
  </si>
  <si>
    <t>First Co-PI email address</t>
  </si>
  <si>
    <t>First Co-PI home institution abbreviation</t>
  </si>
  <si>
    <t>Second Co-PI last name</t>
  </si>
  <si>
    <t xml:space="preserve">Second Co-PI Biosketch page number </t>
  </si>
  <si>
    <t>Second Co-PI Collaborator and Other Affiliation page number</t>
  </si>
  <si>
    <t>Second Co-PI Current and Pending check</t>
  </si>
  <si>
    <t>Second Co-PI number of awards</t>
  </si>
  <si>
    <t xml:space="preserve">Second Co-PI most recent award </t>
  </si>
  <si>
    <t>Second Co-PI email address</t>
  </si>
  <si>
    <t>Second Co-PI home institution abbreviation</t>
  </si>
  <si>
    <t>Third Co-PI last name</t>
  </si>
  <si>
    <t xml:space="preserve">Third Co-PI Biosketch page number </t>
  </si>
  <si>
    <t>Third Co-PI Collaborator and Other Affiliation page number</t>
  </si>
  <si>
    <t>Third Co-PI Current and Pending check</t>
  </si>
  <si>
    <t>Third Co-PI number of awards</t>
  </si>
  <si>
    <t xml:space="preserve">Third Co-PI most recent award </t>
  </si>
  <si>
    <t>Third Co-PI email address</t>
  </si>
  <si>
    <t>Third Co-PI home institution abbreviation</t>
  </si>
  <si>
    <t>Forth Co-PI last name</t>
  </si>
  <si>
    <t xml:space="preserve">Forth Co-PI Biosketch page number </t>
  </si>
  <si>
    <t>Forth Co-PI Collaborator and Other Affiliation page number</t>
  </si>
  <si>
    <t>Forth Co-PI Current and Pending check</t>
  </si>
  <si>
    <t>Forth Co-PI number of awards</t>
  </si>
  <si>
    <t xml:space="preserve">Forth Co-PI most recent award </t>
  </si>
  <si>
    <t>Forth Co-PI email address</t>
  </si>
  <si>
    <t>Forth Co-PI home institution abbreviation</t>
  </si>
  <si>
    <t>Fifth Co-PI last name</t>
  </si>
  <si>
    <t xml:space="preserve">Fifth Co-PI Biosketch page number </t>
  </si>
  <si>
    <t>Fifth Co-PI Collaborator and Other Affiliation page number</t>
  </si>
  <si>
    <t>Fifth Co-PI Current and Pending check</t>
  </si>
  <si>
    <t>Fifth Co-PI number of awards</t>
  </si>
  <si>
    <t xml:space="preserve">Fifth Co-PI most recent award </t>
  </si>
  <si>
    <t>Fifth Co-PI email address</t>
  </si>
  <si>
    <t>Fifth Co-PI home institution abbreviation</t>
  </si>
  <si>
    <t>Sixth Co-PI last name</t>
  </si>
  <si>
    <t xml:space="preserve">Sixth Co-PI Biosketch page number </t>
  </si>
  <si>
    <t>Sixth Co-PI Collaborator and Other Affiliation page number</t>
  </si>
  <si>
    <t>Sixth Co-PI Current and Pending check</t>
  </si>
  <si>
    <t>Sixth Co-PI number of awards</t>
  </si>
  <si>
    <t xml:space="preserve">Sixth Co-PI most recent award </t>
  </si>
  <si>
    <t>Sixth Co-PI email address</t>
  </si>
  <si>
    <t>Sixth Co-PI home institution abbreviation</t>
  </si>
  <si>
    <t>Eighth Co-PI last name</t>
  </si>
  <si>
    <t xml:space="preserve">Eighth Co-PI Biosketch page number </t>
  </si>
  <si>
    <t>Eighth Co-PI Collaborator and Other Affiliation page number</t>
  </si>
  <si>
    <t>Eighth Co-PI Current and Pending check</t>
  </si>
  <si>
    <t>Eighth Co-PI number of awards</t>
  </si>
  <si>
    <t xml:space="preserve">Eighth Co-PI most recent award </t>
  </si>
  <si>
    <t>Eighth Co-PI email address</t>
  </si>
  <si>
    <t>Eighth Co-PI home institution abbreviation</t>
  </si>
  <si>
    <t>Ninth  Co-PI last name</t>
  </si>
  <si>
    <t xml:space="preserve">Ninth Co-PI Biosketch page number </t>
  </si>
  <si>
    <t>Ninth Co-PI Collaborator and Other Affiliation page number</t>
  </si>
  <si>
    <t>Ninth Co-PI Current and Pending check</t>
  </si>
  <si>
    <t>Ninth Co-PI number of awards</t>
  </si>
  <si>
    <t xml:space="preserve">Ninth Co-PI most recent award </t>
  </si>
  <si>
    <t>Ninth Co-PI email address</t>
  </si>
  <si>
    <t>Ninth Co-PI home institution abbreviation</t>
  </si>
  <si>
    <t>Special Exception to the Deadline Date Policy flag</t>
  </si>
  <si>
    <t>Y - the checkbox is checked on proposal coversheet
blank - the checkbox is not checked on proposal coversheet</t>
  </si>
  <si>
    <t>URL of the text snippet in project description of corresponding proposal search for "Broad* Impact*"</t>
  </si>
  <si>
    <t>hyperlink to solr search result</t>
  </si>
  <si>
    <t>URL of the text snippet in project description of corresponding proposal search for "Prior NSF support"</t>
  </si>
  <si>
    <t>0</t>
  </si>
  <si>
    <t>Human &amp; Vert Animal</t>
  </si>
  <si>
    <t>humn_date</t>
  </si>
  <si>
    <t>vrtb_date</t>
  </si>
  <si>
    <t>From cover page: Human subjects IRB approval</t>
  </si>
  <si>
    <t>Date of approval,  Pend if pending, null if Human subjects not checked.</t>
  </si>
  <si>
    <t>Date of approval,  Pend if pending, null if Vertebrate animals not checked.</t>
  </si>
  <si>
    <t>From cover page: Vertebrate animal approval</t>
  </si>
  <si>
    <t>Human &amp; Vertebrate Animal</t>
  </si>
  <si>
    <t>-&gt;PS</t>
  </si>
  <si>
    <t>-&gt;PD</t>
  </si>
  <si>
    <t xml:space="preserve">URL of the corresponding project summary in eJacket; click EJ hyperlink first to set the jacket.  </t>
  </si>
  <si>
    <t>URL of the corresponding project summary in eJacket; Must click EJ hyperlink first to set the jacket. (Works best if eJacket and this sheet are on separate screens.)</t>
  </si>
  <si>
    <t>"-&gt;PD" hyperlink
Note: visits description in current jacket, so use eJ link to set jacket first.</t>
  </si>
  <si>
    <t>"-&gt;PS" hyperlink
Note: visits summary in current jacket, so use eJ link to set jacket first.</t>
  </si>
  <si>
    <t>Automated Data Collector for Compliance (ADCC)</t>
  </si>
  <si>
    <r>
      <rPr>
        <b/>
        <sz val="11"/>
        <color theme="1"/>
        <rFont val="Calibri Light"/>
        <family val="2"/>
        <scheme val="minor"/>
      </rPr>
      <t>Contacts</t>
    </r>
    <r>
      <rPr>
        <sz val="11"/>
        <color theme="1"/>
        <rFont val="Calibri Light"/>
        <family val="2"/>
        <scheme val="minor"/>
      </rPr>
      <t>: Grace Yuan (ENG/OAD, x5099) &amp; Jack Snoeyink (CISE/CCF, x7178)</t>
    </r>
  </si>
  <si>
    <t>Total Submitted</t>
  </si>
  <si>
    <t>Total Found</t>
  </si>
  <si>
    <t>GOALI_flag</t>
  </si>
  <si>
    <t>Flag for GOALI proposal - case insensitive</t>
  </si>
  <si>
    <t>- Y, if it's GOALI proposal
- blank, non-GOALI proposal</t>
  </si>
  <si>
    <t>- Y, when the checkbox is checked on proposal coversheet
- blank, otherwise</t>
  </si>
  <si>
    <t>Grand Total</t>
  </si>
  <si>
    <t>NSV_Received_Date</t>
  </si>
  <si>
    <t>Total Unique IDs</t>
  </si>
  <si>
    <t>prop_stts</t>
  </si>
  <si>
    <t>NSF Received Date</t>
  </si>
  <si>
    <t>Status</t>
  </si>
  <si>
    <t>Project Count</t>
  </si>
  <si>
    <t>Proposal Count</t>
  </si>
  <si>
    <t>Program Element Code</t>
  </si>
  <si>
    <r>
      <rPr>
        <b/>
        <i/>
        <sz val="11"/>
        <color theme="1"/>
        <rFont val="Calibri Light"/>
        <family val="2"/>
        <scheme val="minor"/>
      </rPr>
      <t xml:space="preserve">Limitations: </t>
    </r>
    <r>
      <rPr>
        <i/>
        <sz val="11"/>
        <color theme="1"/>
        <rFont val="Calibri Light"/>
        <family val="2"/>
        <scheme val="minor"/>
      </rPr>
      <t>can not enter more than 1650 proposals by "Query by Proposal IDs"</t>
    </r>
  </si>
  <si>
    <t>Release Notes</t>
  </si>
  <si>
    <t>orig_org_code</t>
  </si>
  <si>
    <t>orig_pgm_ele_code</t>
  </si>
  <si>
    <t>dir_div_abbr</t>
  </si>
  <si>
    <t>pgm_ele_name</t>
  </si>
  <si>
    <t>orig_dir_div_abbr</t>
  </si>
  <si>
    <t>orig_pgm_ele_name</t>
  </si>
  <si>
    <t>oth_supp_cnt</t>
  </si>
  <si>
    <t>run_date</t>
  </si>
  <si>
    <t>eJ2</t>
  </si>
  <si>
    <t>OthSuppDoc</t>
  </si>
  <si>
    <t>Nature of Request</t>
  </si>
  <si>
    <t xml:space="preserve"> </t>
  </si>
  <si>
    <t>eJacket3</t>
  </si>
  <si>
    <t>A. By Program Announcement</t>
  </si>
  <si>
    <t>B. By Proposal IDs</t>
  </si>
  <si>
    <t xml:space="preserve">   </t>
  </si>
  <si>
    <t>found
(row #)</t>
  </si>
  <si>
    <t>budg_just_pg</t>
  </si>
  <si>
    <t>Date and time when last run the query.</t>
  </si>
  <si>
    <t>Date and time.</t>
  </si>
  <si>
    <t>Original NSF Organization Code</t>
  </si>
  <si>
    <t>Original NSF Program Element Code</t>
  </si>
  <si>
    <t>PDF page count of Other supplementary documents</t>
  </si>
  <si>
    <t>PDF page count of Budget Justification submitted</t>
  </si>
  <si>
    <t>URL of the Other supplementary documents in eJacket</t>
  </si>
  <si>
    <t>Ejacket4</t>
  </si>
  <si>
    <t>Seventh Co-PI last name</t>
  </si>
  <si>
    <t xml:space="preserve">Seventh Co-PI Biosketch page number </t>
  </si>
  <si>
    <t>Seventh Co-PI Collaborator and Other Affiliation page number</t>
  </si>
  <si>
    <t>Seventh Co-PI Current and Pending check</t>
  </si>
  <si>
    <t>Seventh Co-PI number of awards</t>
  </si>
  <si>
    <t xml:space="preserve">Seventh Co-PI most recent award </t>
  </si>
  <si>
    <t>Seventh Co-PI email address</t>
  </si>
  <si>
    <t>Seventh Co-PI home institution abbreviation</t>
  </si>
  <si>
    <t>Row Labels</t>
  </si>
  <si>
    <t>Count of prop_id</t>
  </si>
  <si>
    <t>Program</t>
  </si>
  <si>
    <t>(All)</t>
  </si>
  <si>
    <t>Password:</t>
  </si>
  <si>
    <t>Four digit number; blank if current PEC  = original</t>
  </si>
  <si>
    <t>Eight digit number "070xxxxxx"; blank if current org  = original</t>
  </si>
  <si>
    <t>- blank, if text was included for IM and BI
- No PS, if no project summary is submitted
- N/A, if non-lead of a set of collaborative proposals
- TBC,  "To Be Checked" for submission in PDF format</t>
  </si>
  <si>
    <t>Project Summary submission status
  Summary must include sections for Intel. Merit (IM) and Broader Impact (BI). Automatic if Pis fill in  text boxes, but must be checked if they submit PDF.</t>
  </si>
  <si>
    <t>db_name</t>
  </si>
  <si>
    <t>tbl_name</t>
  </si>
  <si>
    <t>%</t>
  </si>
  <si>
    <t>pi0_email</t>
  </si>
  <si>
    <t>pi0_inst</t>
  </si>
  <si>
    <t>pi1_email</t>
  </si>
  <si>
    <t>pi1_inst</t>
  </si>
  <si>
    <t>pi2_email</t>
  </si>
  <si>
    <t>pi2_inst</t>
  </si>
  <si>
    <t>pi3_email</t>
  </si>
  <si>
    <t>pi3_inst</t>
  </si>
  <si>
    <t>pi4_email</t>
  </si>
  <si>
    <t>pi4_inst</t>
  </si>
  <si>
    <t>pi5_email</t>
  </si>
  <si>
    <t>pi5_inst</t>
  </si>
  <si>
    <t>pi6_email</t>
  </si>
  <si>
    <t>pi6_inst</t>
  </si>
  <si>
    <t>pi7_email</t>
  </si>
  <si>
    <t>pi7_inst</t>
  </si>
  <si>
    <t>pi8_email</t>
  </si>
  <si>
    <t>pi8_inst</t>
  </si>
  <si>
    <t>pi9_email</t>
  </si>
  <si>
    <t>pi9_inst</t>
  </si>
  <si>
    <t>prop_stts_code</t>
  </si>
  <si>
    <t>perf_org_txt</t>
  </si>
  <si>
    <t>pi_degr_yr</t>
  </si>
  <si>
    <t>PhD and Equivalent Degree (Private US)</t>
  </si>
  <si>
    <t>VA</t>
  </si>
  <si>
    <t>PhD and Equivalent Degree (Public,State)</t>
  </si>
  <si>
    <t>New Project</t>
  </si>
  <si>
    <t>Pend</t>
  </si>
  <si>
    <t>5</t>
  </si>
  <si>
    <t>3</t>
  </si>
  <si>
    <t>TBC</t>
  </si>
  <si>
    <t>OH</t>
  </si>
  <si>
    <t>IL</t>
  </si>
  <si>
    <t>U of Ill Urbana-Champaign</t>
  </si>
  <si>
    <t>User ID:</t>
  </si>
  <si>
    <t>Master's - 2nd Prof Dgr (Private US)</t>
  </si>
  <si>
    <t>Missing</t>
  </si>
  <si>
    <t>MI</t>
  </si>
  <si>
    <t>2</t>
  </si>
  <si>
    <t>Master's - 2nd Prof Dgr (Public,State)</t>
  </si>
  <si>
    <t>Y</t>
  </si>
  <si>
    <t>CT</t>
  </si>
  <si>
    <t>Univ of Connecticut</t>
  </si>
  <si>
    <r>
      <rPr>
        <b/>
        <sz val="11"/>
        <color theme="1"/>
        <rFont val="Calibri Light"/>
        <family val="2"/>
        <scheme val="minor"/>
      </rPr>
      <t>Description:</t>
    </r>
    <r>
      <rPr>
        <sz val="11"/>
        <color theme="1"/>
        <rFont val="Calibri Light"/>
        <family val="2"/>
        <scheme val="minor"/>
      </rPr>
      <t xml:space="preserve">  
To retrieve data elements from Rptsql for compliance checking through either of two methods: 
- By Program Announcement/Org/PEC/Dates (period ends right after mid-night of end date)
- By Proposal List  (only the prop_id matters, you may use the other columns for whatever you wish)
</t>
    </r>
    <r>
      <rPr>
        <b/>
        <sz val="11"/>
        <color theme="1"/>
        <rFont val="Calibri Light"/>
        <family val="2"/>
        <scheme val="minor"/>
      </rPr>
      <t xml:space="preserve">Output:
</t>
    </r>
    <r>
      <rPr>
        <sz val="11"/>
        <color theme="1"/>
        <rFont val="Calibri Light"/>
        <family val="2"/>
        <scheme val="minor"/>
      </rPr>
      <t xml:space="preserve">Data in following two tabs are populated/refreshed simultaneously based on criteria selected on </t>
    </r>
    <r>
      <rPr>
        <i/>
        <sz val="11"/>
        <color theme="1"/>
        <rFont val="Calibri Light"/>
        <family val="2"/>
        <scheme val="minor"/>
      </rPr>
      <t>Input</t>
    </r>
    <r>
      <rPr>
        <sz val="11"/>
        <color theme="1"/>
        <rFont val="Calibri Light"/>
        <family val="2"/>
        <scheme val="minor"/>
      </rPr>
      <t xml:space="preserve"> tab:
- Compliance checking master list by proposal, including time zone and submission date, etc. For complete list of data elements, please see </t>
    </r>
    <r>
      <rPr>
        <i/>
        <sz val="11"/>
        <color theme="1"/>
        <rFont val="Calibri Light"/>
        <family val="2"/>
        <scheme val="minor"/>
      </rPr>
      <t>Data Dictionary</t>
    </r>
    <r>
      <rPr>
        <sz val="11"/>
        <color theme="1"/>
        <rFont val="Calibri Light"/>
        <family val="2"/>
        <scheme val="minor"/>
      </rPr>
      <t xml:space="preserve"> tab.
- Compliance checking master list by project, including per PI information such as PI last name, email address, institution, whether the need a Report on Prior Support (RPS), and whether pages were submitted for Bio sketch, Current &amp; Pending Support, Collaborator and Affiliation information, etc. For complete list of data elements, please see </t>
    </r>
    <r>
      <rPr>
        <i/>
        <sz val="11"/>
        <color theme="1"/>
        <rFont val="Calibri Light"/>
        <family val="2"/>
        <scheme val="minor"/>
      </rPr>
      <t>Data Dictionary</t>
    </r>
    <r>
      <rPr>
        <sz val="11"/>
        <color theme="1"/>
        <rFont val="Calibri Light"/>
        <family val="2"/>
        <scheme val="minor"/>
      </rPr>
      <t xml:space="preserve"> tab.
</t>
    </r>
    <r>
      <rPr>
        <b/>
        <sz val="11"/>
        <color theme="1"/>
        <rFont val="Calibri Light"/>
        <family val="2"/>
        <scheme val="minor"/>
      </rPr>
      <t>Other parameters:</t>
    </r>
    <r>
      <rPr>
        <sz val="11"/>
        <color theme="1"/>
        <rFont val="Calibri Light"/>
        <family val="2"/>
        <scheme val="minor"/>
      </rPr>
      <t xml:space="preserve">
- By default, Prior Support Dates are calculated based on criteria specified in program announcement section, and can be manually overwritten.  
- By default, Submission Deadline is 5pm on the end date, and it can be manually overwritten.
</t>
    </r>
    <r>
      <rPr>
        <b/>
        <sz val="11"/>
        <color theme="1"/>
        <rFont val="Calibri Light"/>
        <family val="2"/>
        <scheme val="minor"/>
      </rPr>
      <t>Requirements:
Rptserver (rptdb.csd) and fastlane</t>
    </r>
    <r>
      <rPr>
        <sz val="11"/>
        <color theme="1"/>
        <rFont val="Calibri Light"/>
        <family val="2"/>
        <scheme val="minor"/>
      </rPr>
      <t xml:space="preserve"> (FLflpdb.flp) database access is needed to run the tool.  Click the Check Table Access to check if you need to request access to tables from IT Help Central for your user id.   
</t>
    </r>
    <r>
      <rPr>
        <b/>
        <i/>
        <sz val="11"/>
        <color rgb="FFC00000"/>
        <rFont val="Calibri Light"/>
        <family val="2"/>
        <scheme val="minor"/>
      </rPr>
      <t>Future enhancements:</t>
    </r>
    <r>
      <rPr>
        <sz val="11"/>
        <color theme="1"/>
        <rFont val="Calibri Light"/>
        <family val="2"/>
        <scheme val="minor"/>
      </rPr>
      <t xml:space="preserve">
- add senior personnel checking on bio, c&amp;p, coa</t>
    </r>
  </si>
  <si>
    <t>NSF 17-537</t>
  </si>
  <si>
    <t>07%</t>
  </si>
  <si>
    <t>For detailed instructions, please see "Help" tab.</t>
  </si>
  <si>
    <t>Warner</t>
  </si>
  <si>
    <t>Howard University</t>
  </si>
  <si>
    <t>DC</t>
  </si>
  <si>
    <t>000559816</t>
  </si>
  <si>
    <t>Ray</t>
  </si>
  <si>
    <t>KS</t>
  </si>
  <si>
    <t>Andrew</t>
  </si>
  <si>
    <t>MA</t>
  </si>
  <si>
    <t>Oregon State University</t>
  </si>
  <si>
    <t>OR</t>
  </si>
  <si>
    <t>223823488</t>
  </si>
  <si>
    <t>Julie</t>
  </si>
  <si>
    <t>VA Polytechnic Inst &amp; St U</t>
  </si>
  <si>
    <t>U of Kansas Ctr for Res In</t>
  </si>
  <si>
    <t>Mich Technological Univ</t>
  </si>
  <si>
    <t>America/New_York</t>
  </si>
  <si>
    <t>Angela</t>
  </si>
  <si>
    <t>America/Chicago</t>
  </si>
  <si>
    <t>White</t>
  </si>
  <si>
    <r>
      <t xml:space="preserve">
</t>
    </r>
    <r>
      <rPr>
        <b/>
        <sz val="11"/>
        <color theme="1"/>
        <rFont val="Calibri Light"/>
        <family val="2"/>
        <scheme val="minor"/>
      </rPr>
      <t>Version</t>
    </r>
    <r>
      <rPr>
        <sz val="11"/>
        <color theme="1"/>
        <rFont val="Calibri Light"/>
        <family val="2"/>
        <scheme val="minor"/>
      </rPr>
      <t xml:space="preserve">: 1.5.1
</t>
    </r>
  </si>
  <si>
    <r>
      <rPr>
        <b/>
        <sz val="11"/>
        <color theme="1"/>
        <rFont val="Calibri Light"/>
        <family val="2"/>
        <scheme val="minor"/>
      </rPr>
      <t>Last Update Date</t>
    </r>
    <r>
      <rPr>
        <sz val="11"/>
        <color theme="1"/>
        <rFont val="Calibri Light"/>
        <family val="2"/>
        <scheme val="minor"/>
      </rPr>
      <t>: 9/19/2017</t>
    </r>
  </si>
  <si>
    <t>1624004</t>
  </si>
  <si>
    <t>FBMOORE</t>
  </si>
  <si>
    <t>NSF 15-609</t>
  </si>
  <si>
    <t>08010207</t>
  </si>
  <si>
    <t>7378</t>
  </si>
  <si>
    <t>DEB</t>
  </si>
  <si>
    <t>EVOLUTIONARY GENETICS</t>
  </si>
  <si>
    <t>44</t>
  </si>
  <si>
    <t>NIVT</t>
  </si>
  <si>
    <t>Roles</t>
  </si>
  <si>
    <t>Oberlin College</t>
  </si>
  <si>
    <t>Preliminary Proposal: RUI: The evolutionary influence of somatic mutation and selection shaping the spectrum of spontaneous mutations in Arabidopsis thaliana</t>
  </si>
  <si>
    <t>Full Proposal not invited</t>
  </si>
  <si>
    <t>000131725</t>
  </si>
  <si>
    <t>No DMP</t>
  </si>
  <si>
    <t>No FAC</t>
  </si>
  <si>
    <t>1624020</t>
  </si>
  <si>
    <t>RDASGUP</t>
  </si>
  <si>
    <t/>
  </si>
  <si>
    <t>07070000</t>
  </si>
  <si>
    <t>8045</t>
  </si>
  <si>
    <t>8046</t>
  </si>
  <si>
    <t>IIP</t>
  </si>
  <si>
    <t>I-Corps - Nodes</t>
  </si>
  <si>
    <t>I-Corps - Sites</t>
  </si>
  <si>
    <t>80</t>
  </si>
  <si>
    <t>AWD</t>
  </si>
  <si>
    <t>Grant</t>
  </si>
  <si>
    <t>I-Corps Sites(Instructor Supplement):  Howard University</t>
  </si>
  <si>
    <t>Supplement</t>
  </si>
  <si>
    <t>Proposal has been awarded</t>
  </si>
  <si>
    <t>No PD</t>
  </si>
  <si>
    <t>No RC</t>
  </si>
  <si>
    <t>1624023</t>
  </si>
  <si>
    <t>SMALCOM</t>
  </si>
  <si>
    <t>08010000</t>
  </si>
  <si>
    <t>7968</t>
  </si>
  <si>
    <t>Dimensions of Biodiversity</t>
  </si>
  <si>
    <t>Ferrer Correa</t>
  </si>
  <si>
    <t>Astrid Hersilia</t>
  </si>
  <si>
    <t>Dimensions:   Community assembly and decomposer function of aquatic fungi along a salinity gradient</t>
  </si>
  <si>
    <t>000562582</t>
  </si>
  <si>
    <t>1627342</t>
  </si>
  <si>
    <t>SSANTOS</t>
  </si>
  <si>
    <t>NSF 16-505</t>
  </si>
  <si>
    <t>08090300</t>
  </si>
  <si>
    <t>7657</t>
  </si>
  <si>
    <t>08090000</t>
  </si>
  <si>
    <t>IOS</t>
  </si>
  <si>
    <t>Integrative Ecologi Physiology</t>
  </si>
  <si>
    <t>Moore</t>
  </si>
  <si>
    <t>Ignacio</t>
  </si>
  <si>
    <t>IOS Preliminary Proposal: Pathogenic cloacal bacteria as a cost of testosterone</t>
  </si>
  <si>
    <t>905081661</t>
  </si>
  <si>
    <t>1627343</t>
  </si>
  <si>
    <t>JJAWOR</t>
  </si>
  <si>
    <t>08090500</t>
  </si>
  <si>
    <t>7659</t>
  </si>
  <si>
    <t>ANIMAL BEHAVIOR</t>
  </si>
  <si>
    <t>Akcay</t>
  </si>
  <si>
    <t>Caglar</t>
  </si>
  <si>
    <t>IOS Preliminary Proposal: Collaborative Research: Does competition among pairs favor cooperation within pairs: a role for stress hormones?</t>
  </si>
  <si>
    <t>1627350</t>
  </si>
  <si>
    <t>BHOLT</t>
  </si>
  <si>
    <t>08090100</t>
  </si>
  <si>
    <t>1080</t>
  </si>
  <si>
    <t>EVOLUTION OF DEVELOP MECHANISM</t>
  </si>
  <si>
    <t>Christian</t>
  </si>
  <si>
    <t>IOS Preliminary Proposal: Evolutionary Studies of Phenotypic Critical Points in Changing Environments</t>
  </si>
  <si>
    <t>447801033</t>
  </si>
  <si>
    <t>1630480</t>
  </si>
  <si>
    <t>KSCHAFE</t>
  </si>
  <si>
    <t>08010209</t>
  </si>
  <si>
    <t>1181</t>
  </si>
  <si>
    <t>ECOSYSTEM STUDIES</t>
  </si>
  <si>
    <t>Burton</t>
  </si>
  <si>
    <t>Preliminary Proposal: Environmental and genetic influences on latitudinal variation in root respiration in sugar maple and red oak: Implications for C cycling in a changing climate</t>
  </si>
  <si>
    <t>366843173</t>
  </si>
  <si>
    <t>L</t>
  </si>
  <si>
    <t>1733610</t>
  </si>
  <si>
    <t>HEDMOND</t>
  </si>
  <si>
    <t>PD 98-1670</t>
  </si>
  <si>
    <t>06040300</t>
  </si>
  <si>
    <t>1670</t>
  </si>
  <si>
    <t>OCE</t>
  </si>
  <si>
    <t>CHEMICAL OCEANOGRAPHY</t>
  </si>
  <si>
    <t>Moisander</t>
  </si>
  <si>
    <t>Pia</t>
  </si>
  <si>
    <t>Univ of Mass, Dartmouth</t>
  </si>
  <si>
    <t>EAGER: Collaborative Research: Detection limit in marine nitrogen fixation measurements - Constraints of rates from the mesopelagic ocean</t>
  </si>
  <si>
    <t>025501155</t>
  </si>
  <si>
    <t>1732206</t>
  </si>
  <si>
    <t>NSF 16-1</t>
  </si>
  <si>
    <t>06040000</t>
  </si>
  <si>
    <t>Angelicque</t>
  </si>
  <si>
    <t>EAGER: Collaborative Research- Detection limit in marine nitrogen fixation measurements - Constraints of rates from the mesopelagic ocean</t>
  </si>
  <si>
    <t>N/A</t>
  </si>
  <si>
    <t>1732246</t>
  </si>
  <si>
    <t>Granger</t>
  </si>
  <si>
    <t>047464675</t>
  </si>
  <si>
    <t>aroles@oberlin.edu</t>
  </si>
  <si>
    <t>g_warner@howard.edu</t>
  </si>
  <si>
    <t>2015.06.15 1450443.1 $349342</t>
  </si>
  <si>
    <t>aferrer@life.uiuc.edu</t>
  </si>
  <si>
    <t>2013.03.01 1314193.1 $48617</t>
  </si>
  <si>
    <t>itmoore@vt.edu</t>
  </si>
  <si>
    <t>2014.08.01 1353093.1 $320000</t>
  </si>
  <si>
    <t>Belden</t>
  </si>
  <si>
    <t>2015.06.01 1501487.1 $20930</t>
  </si>
  <si>
    <t>belden@vt.edu</t>
  </si>
  <si>
    <t>caglar@vt.edu</t>
  </si>
  <si>
    <t>Stanback</t>
  </si>
  <si>
    <t>mastanback@davidson.edu</t>
  </si>
  <si>
    <t>Davidson College</t>
  </si>
  <si>
    <t>jjray@ku.edu</t>
  </si>
  <si>
    <t>ajburton@mtu.edu</t>
  </si>
  <si>
    <t>2013.09.01 1251529.1 $174806</t>
  </si>
  <si>
    <t>Gailing</t>
  </si>
  <si>
    <t>2012.08.01 1226627.2 $343639</t>
  </si>
  <si>
    <t>ogailing@mtu.edu</t>
  </si>
  <si>
    <t>pmoisander@umassd.edu</t>
  </si>
  <si>
    <t>2017.05.15 1733610.1 $49900</t>
  </si>
  <si>
    <t>2017.05.15 1732246.1 $47418</t>
  </si>
  <si>
    <t>julie.granger@UConn.edu</t>
  </si>
  <si>
    <t>2017.05.15 1732206.1 $53699</t>
  </si>
  <si>
    <t>awhite@coas.oregonstate.edu</t>
  </si>
  <si>
    <t>REPORT SERVER CREDENTIALS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</si>
</sst>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mm/dd/yyyy\ hh:mm"/>
    <numFmt numFmtId="167" formatCode="0000000"/>
    <numFmt numFmtId="168" formatCode="[$-409]m/d/yy\ h:mm\ AM/PM;@"/>
    <numFmt numFmtId="169" formatCode="0_);[Red]\(0\)"/>
    <numFmt numFmtId="170" formatCode=";;;**"/>
  </numFmts>
  <fonts count="28" x14ac:knownFonts="1">
    <font>
      <sz val="11"/>
      <color theme="1"/>
      <name val="Calibri Light"/>
      <family val="2"/>
      <scheme val="minor"/>
    </font>
    <font>
      <b/>
      <sz val="11"/>
      <color theme="0"/>
      <name val="Calibri Light"/>
      <family val="2"/>
      <scheme val="minor"/>
    </font>
    <font>
      <b/>
      <sz val="11"/>
      <color theme="1"/>
      <name val="Calibri Light"/>
      <family val="2"/>
      <scheme val="minor"/>
    </font>
    <font>
      <sz val="11"/>
      <color theme="1"/>
      <name val="Calibri Light"/>
      <family val="2"/>
      <scheme val="minor"/>
    </font>
    <font>
      <u/>
      <sz val="11"/>
      <color theme="10"/>
      <name val="Calibri Light"/>
      <family val="2"/>
      <scheme val="minor"/>
    </font>
    <font>
      <b/>
      <sz val="11"/>
      <color theme="3"/>
      <name val="Calibri Light"/>
      <family val="2"/>
      <scheme val="minor"/>
    </font>
    <font>
      <b/>
      <sz val="14"/>
      <color theme="0"/>
      <name val="Calibri Light"/>
      <family val="2"/>
      <scheme val="minor"/>
    </font>
    <font>
      <i/>
      <sz val="11"/>
      <color theme="1"/>
      <name val="Calibri Light"/>
      <family val="2"/>
      <scheme val="minor"/>
    </font>
    <font>
      <b/>
      <i/>
      <sz val="11"/>
      <color theme="1"/>
      <name val="Calibri Light"/>
      <family val="2"/>
      <scheme val="minor"/>
    </font>
    <font>
      <sz val="11"/>
      <color theme="9" tint="0.79998168889431442"/>
      <name val="Calibri Light"/>
      <family val="2"/>
      <scheme val="minor"/>
    </font>
    <font>
      <b/>
      <sz val="16"/>
      <color theme="1"/>
      <name val="Calibri Light"/>
      <family val="2"/>
      <scheme val="minor"/>
    </font>
    <font>
      <b/>
      <sz val="12"/>
      <color theme="1"/>
      <name val="Calibri Light"/>
      <family val="2"/>
      <scheme val="minor"/>
    </font>
    <font>
      <b/>
      <sz val="14"/>
      <color theme="1"/>
      <name val="Calibri Light"/>
      <family val="2"/>
      <scheme val="minor"/>
    </font>
    <font>
      <b/>
      <i/>
      <sz val="11"/>
      <color rgb="FFC00000"/>
      <name val="Calibri Light"/>
      <family val="2"/>
      <scheme val="minor"/>
    </font>
    <font>
      <sz val="11"/>
      <name val="Calibri Light"/>
      <family val="2"/>
      <scheme val="minor"/>
    </font>
    <font>
      <sz val="12"/>
      <color theme="1"/>
      <name val="Calibri Light"/>
      <family val="2"/>
      <scheme val="minor"/>
    </font>
    <font>
      <b/>
      <sz val="11"/>
      <name val="Calibri Light"/>
      <family val="2"/>
      <scheme val="minor"/>
    </font>
    <font>
      <sz val="11"/>
      <color theme="0"/>
      <name val="Calibri Light"/>
      <family val="2"/>
      <scheme val="minor"/>
    </font>
    <font>
      <sz val="9"/>
      <color indexed="81"/>
      <name val="Tahoma"/>
      <family val="2"/>
    </font>
    <font>
      <b/>
      <sz val="9"/>
      <color indexed="81"/>
      <name val="Tahoma"/>
      <family val="2"/>
    </font>
    <font>
      <b/>
      <sz val="16"/>
      <color rgb="FF808000"/>
      <name val="Calibri Light"/>
      <family val="2"/>
    </font>
    <font>
      <b/>
      <sz val="16"/>
      <color rgb="FF008080"/>
      <name val="Calibri Light"/>
      <family val="2"/>
    </font>
    <font>
      <b/>
      <sz val="16"/>
      <color rgb="FF008000"/>
      <name val="Calibri Light"/>
      <family val="2"/>
    </font>
    <font>
      <sz val="11"/>
      <color rgb="FF008000"/>
      <name val="Calibri Light"/>
      <family val="2"/>
    </font>
    <font>
      <sz val="11"/>
      <color rgb="FF000000"/>
      <name val="Calibri Light"/>
      <family val="2"/>
    </font>
    <font>
      <b/>
      <sz val="14"/>
      <color rgb="FF008080"/>
      <name val="Calibri"/>
      <family val="2"/>
    </font>
    <font>
      <b/>
      <sz val="12"/>
      <color theme="0"/>
      <name val="Calibri Light"/>
      <family val="2"/>
      <scheme val="minor"/>
    </font>
    <font>
      <sz val="12"/>
      <color theme="0"/>
      <name val="Calibri Light"/>
      <family val="2"/>
      <scheme val="minor"/>
    </font>
  </fonts>
  <fills count="15">
    <fill>
      <patternFill patternType="none"/>
    </fill>
    <fill>
      <patternFill patternType="gray125"/>
    </fill>
    <fill>
      <patternFill patternType="solid">
        <fgColor theme="5" tint="-0.249977111117893"/>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0"/>
        <bgColor indexed="64"/>
      </patternFill>
    </fill>
    <fill>
      <patternFill patternType="solid">
        <fgColor theme="3" tint="0.749992370372631"/>
        <bgColor indexed="64"/>
      </patternFill>
    </fill>
    <fill>
      <patternFill patternType="solid">
        <fgColor theme="9" tint="0.79998168889431442"/>
        <bgColor indexed="64"/>
      </patternFill>
    </fill>
    <fill>
      <patternFill patternType="solid">
        <fgColor theme="3" tint="0.499984740745262"/>
        <bgColor theme="4"/>
      </patternFill>
    </fill>
    <fill>
      <patternFill patternType="solid">
        <fgColor theme="2"/>
        <bgColor indexed="64"/>
      </patternFill>
    </fill>
    <fill>
      <patternFill patternType="solid">
        <fgColor theme="4" tint="0.79998168889431442"/>
        <bgColor indexed="64"/>
      </patternFill>
    </fill>
    <fill>
      <patternFill patternType="solid">
        <fgColor theme="9" tint="-0.249977111117893"/>
        <bgColor indexed="64"/>
      </patternFill>
    </fill>
    <fill>
      <patternFill patternType="solid">
        <fgColor theme="3" tint="0.89999084444715716"/>
        <bgColor indexed="64"/>
      </patternFill>
    </fill>
    <fill>
      <patternFill patternType="solid">
        <fgColor theme="9" tint="0.39997558519241921"/>
        <bgColor indexed="65"/>
      </patternFill>
    </fill>
    <fill>
      <patternFill patternType="solid">
        <fgColor theme="4"/>
      </patternFill>
    </fill>
  </fills>
  <borders count="86">
    <border>
      <left/>
      <right/>
      <top/>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thin">
        <color theme="4" tint="0.39997558519241921"/>
      </bottom>
      <diagonal/>
    </border>
    <border>
      <left/>
      <right/>
      <top style="medium">
        <color indexed="64"/>
      </top>
      <bottom style="medium">
        <color indexed="64"/>
      </bottom>
      <diagonal/>
    </border>
    <border>
      <left style="medium">
        <color indexed="64"/>
      </left>
      <right/>
      <top/>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medium">
        <color theme="9" tint="-0.499984740745262"/>
      </left>
      <right style="thin">
        <color indexed="64"/>
      </right>
      <top style="thin">
        <color indexed="64"/>
      </top>
      <bottom style="medium">
        <color theme="9" tint="-0.499984740745262"/>
      </bottom>
      <diagonal/>
    </border>
    <border>
      <left style="thin">
        <color indexed="64"/>
      </left>
      <right style="medium">
        <color theme="9" tint="-0.499984740745262"/>
      </right>
      <top style="thin">
        <color indexed="64"/>
      </top>
      <bottom style="medium">
        <color theme="9"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medium">
        <color theme="3"/>
      </right>
      <top style="thin">
        <color theme="4" tint="0.39997558519241921"/>
      </top>
      <bottom style="thin">
        <color theme="4" tint="0.39997558519241921"/>
      </bottom>
      <diagonal/>
    </border>
    <border>
      <left style="medium">
        <color theme="3"/>
      </left>
      <right style="medium">
        <color theme="3"/>
      </right>
      <top style="thin">
        <color theme="4" tint="0.39997558519241921"/>
      </top>
      <bottom/>
      <diagonal/>
    </border>
    <border>
      <left style="medium">
        <color theme="3"/>
      </left>
      <right style="medium">
        <color theme="3"/>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style="medium">
        <color theme="3"/>
      </left>
      <right style="medium">
        <color theme="3"/>
      </right>
      <top style="medium">
        <color theme="3"/>
      </top>
      <bottom/>
      <diagonal/>
    </border>
    <border>
      <left style="medium">
        <color theme="3"/>
      </left>
      <right style="medium">
        <color theme="3"/>
      </right>
      <top/>
      <bottom style="medium">
        <color theme="3"/>
      </bottom>
      <diagonal/>
    </border>
    <border>
      <left/>
      <right style="thin">
        <color indexed="64"/>
      </right>
      <top style="medium">
        <color indexed="64"/>
      </top>
      <bottom style="medium">
        <color indexed="64"/>
      </bottom>
      <diagonal/>
    </border>
    <border>
      <left style="medium">
        <color theme="3"/>
      </left>
      <right style="thin">
        <color indexed="64"/>
      </right>
      <top style="medium">
        <color theme="3"/>
      </top>
      <bottom/>
      <diagonal/>
    </border>
    <border>
      <left style="thin">
        <color indexed="64"/>
      </left>
      <right style="thin">
        <color indexed="64"/>
      </right>
      <top style="medium">
        <color theme="3"/>
      </top>
      <bottom/>
      <diagonal/>
    </border>
    <border>
      <left style="thin">
        <color indexed="64"/>
      </left>
      <right/>
      <top style="medium">
        <color theme="3"/>
      </top>
      <bottom/>
      <diagonal/>
    </border>
    <border>
      <left style="thin">
        <color indexed="64"/>
      </left>
      <right style="medium">
        <color theme="3"/>
      </right>
      <top style="medium">
        <color theme="3"/>
      </top>
      <bottom/>
      <diagonal/>
    </border>
    <border>
      <left style="medium">
        <color theme="3"/>
      </left>
      <right/>
      <top style="medium">
        <color indexed="64"/>
      </top>
      <bottom style="medium">
        <color indexed="64"/>
      </bottom>
      <diagonal/>
    </border>
    <border>
      <left style="thin">
        <color indexed="64"/>
      </left>
      <right style="medium">
        <color theme="3"/>
      </right>
      <top style="medium">
        <color indexed="64"/>
      </top>
      <bottom/>
      <diagonal/>
    </border>
    <border>
      <left style="medium">
        <color theme="3"/>
      </left>
      <right/>
      <top style="medium">
        <color indexed="64"/>
      </top>
      <bottom/>
      <diagonal/>
    </border>
    <border>
      <left style="thin">
        <color indexed="64"/>
      </left>
      <right style="medium">
        <color theme="3"/>
      </right>
      <top style="medium">
        <color indexed="64"/>
      </top>
      <bottom style="thin">
        <color indexed="64"/>
      </bottom>
      <diagonal/>
    </border>
    <border>
      <left style="medium">
        <color theme="3"/>
      </left>
      <right/>
      <top/>
      <bottom/>
      <diagonal/>
    </border>
    <border>
      <left style="thin">
        <color indexed="64"/>
      </left>
      <right style="medium">
        <color theme="3"/>
      </right>
      <top style="thin">
        <color indexed="64"/>
      </top>
      <bottom style="thin">
        <color indexed="64"/>
      </bottom>
      <diagonal/>
    </border>
    <border>
      <left style="thin">
        <color indexed="64"/>
      </left>
      <right style="medium">
        <color theme="3"/>
      </right>
      <top style="thin">
        <color indexed="64"/>
      </top>
      <bottom/>
      <diagonal/>
    </border>
    <border>
      <left style="medium">
        <color theme="3"/>
      </left>
      <right/>
      <top/>
      <bottom style="medium">
        <color indexed="64"/>
      </bottom>
      <diagonal/>
    </border>
    <border>
      <left style="thin">
        <color indexed="64"/>
      </left>
      <right style="medium">
        <color theme="3"/>
      </right>
      <top style="thin">
        <color indexed="64"/>
      </top>
      <bottom style="medium">
        <color indexed="64"/>
      </bottom>
      <diagonal/>
    </border>
    <border>
      <left style="thin">
        <color indexed="64"/>
      </left>
      <right style="medium">
        <color theme="3"/>
      </right>
      <top/>
      <bottom style="thin">
        <color indexed="64"/>
      </bottom>
      <diagonal/>
    </border>
    <border>
      <left style="medium">
        <color theme="3"/>
      </left>
      <right/>
      <top/>
      <bottom style="medium">
        <color theme="3"/>
      </bottom>
      <diagonal/>
    </border>
    <border>
      <left style="thin">
        <color indexed="64"/>
      </left>
      <right style="thin">
        <color indexed="64"/>
      </right>
      <top style="thin">
        <color indexed="64"/>
      </top>
      <bottom style="medium">
        <color theme="3"/>
      </bottom>
      <diagonal/>
    </border>
    <border>
      <left style="thin">
        <color indexed="64"/>
      </left>
      <right/>
      <top style="thin">
        <color indexed="64"/>
      </top>
      <bottom style="medium">
        <color theme="3"/>
      </bottom>
      <diagonal/>
    </border>
    <border>
      <left style="thin">
        <color indexed="64"/>
      </left>
      <right style="medium">
        <color theme="3"/>
      </right>
      <top style="thin">
        <color indexed="64"/>
      </top>
      <bottom style="medium">
        <color theme="3"/>
      </bottom>
      <diagonal/>
    </border>
    <border>
      <left style="medium">
        <color theme="3"/>
      </left>
      <right style="thin">
        <color indexed="64"/>
      </right>
      <top style="medium">
        <color indexed="64"/>
      </top>
      <bottom/>
      <diagonal/>
    </border>
    <border>
      <left style="medium">
        <color theme="3"/>
      </left>
      <right style="thin">
        <color indexed="64"/>
      </right>
      <top style="medium">
        <color indexed="64"/>
      </top>
      <bottom style="thin">
        <color indexed="64"/>
      </bottom>
      <diagonal/>
    </border>
    <border>
      <left style="medium">
        <color theme="3"/>
      </left>
      <right style="thin">
        <color indexed="64"/>
      </right>
      <top style="thin">
        <color indexed="64"/>
      </top>
      <bottom style="thin">
        <color indexed="64"/>
      </bottom>
      <diagonal/>
    </border>
    <border>
      <left style="medium">
        <color theme="3"/>
      </left>
      <right style="thin">
        <color indexed="64"/>
      </right>
      <top style="thin">
        <color indexed="64"/>
      </top>
      <bottom/>
      <diagonal/>
    </border>
    <border>
      <left style="medium">
        <color indexed="64"/>
      </left>
      <right style="medium">
        <color theme="3"/>
      </right>
      <top style="medium">
        <color indexed="64"/>
      </top>
      <bottom style="thin">
        <color indexed="64"/>
      </bottom>
      <diagonal/>
    </border>
    <border>
      <left/>
      <right style="thin">
        <color indexed="64"/>
      </right>
      <top style="thin">
        <color indexed="64"/>
      </top>
      <bottom style="medium">
        <color theme="3"/>
      </bottom>
      <diagonal/>
    </border>
    <border>
      <left style="medium">
        <color indexed="64"/>
      </left>
      <right style="medium">
        <color theme="3"/>
      </right>
      <top style="thin">
        <color indexed="64"/>
      </top>
      <bottom style="medium">
        <color theme="3"/>
      </bottom>
      <diagonal/>
    </border>
    <border>
      <left style="medium">
        <color indexed="64"/>
      </left>
      <right style="medium">
        <color theme="3"/>
      </right>
      <top/>
      <bottom style="thin">
        <color theme="4" tint="0.39997558519241921"/>
      </bottom>
      <diagonal/>
    </border>
    <border>
      <left/>
      <right style="medium">
        <color indexed="64"/>
      </right>
      <top/>
      <bottom style="thin">
        <color theme="4" tint="0.39997558519241921"/>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style="medium">
        <color indexed="64"/>
      </left>
      <right/>
      <top/>
      <bottom style="medium">
        <color indexed="64"/>
      </bottom>
      <diagonal/>
    </border>
  </borders>
  <cellStyleXfs count="5">
    <xf numFmtId="0" fontId="0" fillId="0" borderId="0"/>
    <xf numFmtId="44" fontId="3" fillId="0" borderId="0" applyFont="0" applyFill="0" applyBorder="0" applyAlignment="0" applyProtection="0"/>
    <xf numFmtId="0" fontId="4" fillId="0" borderId="0" applyNumberFormat="0" applyFill="0" applyBorder="0" applyAlignment="0" applyProtection="0"/>
    <xf numFmtId="0" fontId="3" fillId="13" borderId="0" applyNumberFormat="0" applyBorder="0" applyAlignment="0" applyProtection="0"/>
    <xf numFmtId="0" fontId="17" fillId="14" borderId="0" applyNumberFormat="0" applyBorder="0" applyAlignment="0" applyProtection="0"/>
  </cellStyleXfs>
  <cellXfs count="380">
    <xf numFmtId="0" fontId="0" fillId="0" borderId="0" xfId="0"/>
    <xf numFmtId="0" fontId="4" fillId="0" borderId="0" xfId="2"/>
    <xf numFmtId="164" fontId="0" fillId="0" borderId="0" xfId="1" applyNumberFormat="1" applyFont="1"/>
    <xf numFmtId="164" fontId="0" fillId="0" borderId="0" xfId="0" applyNumberFormat="1"/>
    <xf numFmtId="165" fontId="0" fillId="0" borderId="0" xfId="0" applyNumberFormat="1"/>
    <xf numFmtId="166" fontId="0" fillId="0" borderId="0" xfId="0" applyNumberFormat="1"/>
    <xf numFmtId="0" fontId="0" fillId="0" borderId="0" xfId="0" applyAlignment="1">
      <alignment horizontal="left" vertical="top" wrapText="1"/>
    </xf>
    <xf numFmtId="0" fontId="0" fillId="0" borderId="0" xfId="0" applyAlignment="1">
      <alignment vertical="center"/>
    </xf>
    <xf numFmtId="49" fontId="0" fillId="5" borderId="4" xfId="0" applyNumberFormat="1" applyFont="1" applyFill="1" applyBorder="1" applyAlignment="1">
      <alignment horizontal="left" vertical="top" wrapText="1"/>
    </xf>
    <xf numFmtId="49" fontId="0" fillId="5" borderId="5" xfId="0" applyNumberFormat="1" applyFont="1" applyFill="1" applyBorder="1" applyAlignment="1">
      <alignment horizontal="left" vertical="top"/>
    </xf>
    <xf numFmtId="14" fontId="0" fillId="5" borderId="5" xfId="0" applyNumberFormat="1" applyFont="1" applyFill="1" applyBorder="1" applyAlignment="1">
      <alignment horizontal="left" vertical="top" wrapText="1"/>
    </xf>
    <xf numFmtId="0" fontId="5" fillId="6" borderId="6" xfId="0" applyFont="1" applyFill="1" applyBorder="1" applyAlignment="1">
      <alignment vertical="center"/>
    </xf>
    <xf numFmtId="14" fontId="0" fillId="5" borderId="10" xfId="0" quotePrefix="1" applyNumberFormat="1" applyFont="1" applyFill="1" applyBorder="1" applyAlignment="1">
      <alignment horizontal="left" vertical="top"/>
    </xf>
    <xf numFmtId="0" fontId="0" fillId="5" borderId="0" xfId="0" applyFill="1"/>
    <xf numFmtId="0" fontId="0" fillId="7" borderId="0" xfId="0" applyFill="1" applyBorder="1" applyAlignment="1">
      <alignment horizontal="left" vertical="top" wrapText="1"/>
    </xf>
    <xf numFmtId="0" fontId="0" fillId="7" borderId="0" xfId="0" applyFill="1" applyBorder="1" applyAlignment="1">
      <alignment horizontal="center" vertical="center"/>
    </xf>
    <xf numFmtId="0" fontId="0" fillId="7" borderId="0" xfId="0" applyFill="1" applyBorder="1"/>
    <xf numFmtId="0" fontId="0" fillId="7" borderId="11"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vertical="center"/>
    </xf>
    <xf numFmtId="0" fontId="9" fillId="7" borderId="0" xfId="0" applyFont="1" applyFill="1" applyBorder="1" applyAlignment="1">
      <alignment vertical="center"/>
    </xf>
    <xf numFmtId="0" fontId="0" fillId="5" borderId="0" xfId="0" applyFill="1" applyAlignment="1">
      <alignment vertical="center"/>
    </xf>
    <xf numFmtId="0" fontId="0" fillId="5" borderId="0" xfId="0" applyFill="1" applyAlignment="1">
      <alignment horizontal="left" vertical="top" wrapText="1"/>
    </xf>
    <xf numFmtId="0" fontId="0" fillId="5" borderId="0" xfId="0" applyFill="1" applyBorder="1"/>
    <xf numFmtId="14" fontId="0" fillId="5" borderId="19" xfId="0" applyNumberFormat="1" applyFill="1" applyBorder="1" applyAlignment="1">
      <alignment horizontal="center" vertical="center"/>
    </xf>
    <xf numFmtId="14" fontId="0" fillId="5" borderId="20" xfId="0" applyNumberFormat="1" applyFill="1" applyBorder="1" applyAlignment="1">
      <alignment horizontal="center" vertical="center"/>
    </xf>
    <xf numFmtId="166" fontId="0" fillId="0" borderId="0" xfId="1" applyNumberFormat="1" applyFont="1"/>
    <xf numFmtId="0" fontId="0" fillId="0" borderId="0" xfId="0" applyFill="1"/>
    <xf numFmtId="0" fontId="10" fillId="5" borderId="0" xfId="0" applyFont="1" applyFill="1" applyBorder="1" applyAlignment="1">
      <alignment horizontal="center" vertical="center"/>
    </xf>
    <xf numFmtId="0" fontId="10" fillId="5" borderId="0" xfId="0" applyFont="1" applyFill="1" applyAlignment="1">
      <alignment vertical="center"/>
    </xf>
    <xf numFmtId="0" fontId="11" fillId="0" borderId="0" xfId="0" applyFont="1"/>
    <xf numFmtId="0" fontId="11" fillId="0" borderId="0" xfId="0" applyFont="1" applyAlignment="1">
      <alignment vertical="center"/>
    </xf>
    <xf numFmtId="0" fontId="0" fillId="0" borderId="8" xfId="0" applyBorder="1"/>
    <xf numFmtId="0" fontId="0" fillId="0" borderId="0" xfId="0" applyBorder="1"/>
    <xf numFmtId="166" fontId="0" fillId="0" borderId="0" xfId="0" applyNumberFormat="1" applyBorder="1"/>
    <xf numFmtId="164" fontId="0" fillId="0" borderId="0" xfId="1" applyNumberFormat="1" applyFont="1" applyBorder="1"/>
    <xf numFmtId="164" fontId="0" fillId="0" borderId="24" xfId="1" applyNumberFormat="1" applyFont="1" applyBorder="1"/>
    <xf numFmtId="164" fontId="0" fillId="0" borderId="0" xfId="0" applyNumberFormat="1" applyBorder="1"/>
    <xf numFmtId="166" fontId="0" fillId="0" borderId="0" xfId="1" applyNumberFormat="1" applyFont="1" applyBorder="1"/>
    <xf numFmtId="0" fontId="0" fillId="0" borderId="24" xfId="0" applyBorder="1"/>
    <xf numFmtId="1" fontId="0" fillId="0" borderId="0" xfId="1" applyNumberFormat="1" applyFont="1" applyBorder="1"/>
    <xf numFmtId="1" fontId="0" fillId="0" borderId="0" xfId="0" applyNumberFormat="1"/>
    <xf numFmtId="0" fontId="0" fillId="0" borderId="0" xfId="0" applyAlignment="1">
      <alignment wrapText="1"/>
    </xf>
    <xf numFmtId="0" fontId="0" fillId="0" borderId="0" xfId="0" applyAlignment="1">
      <alignment horizontal="center" vertical="center"/>
    </xf>
    <xf numFmtId="0" fontId="2" fillId="0" borderId="0" xfId="0" applyFont="1" applyAlignment="1">
      <alignment horizontal="center" vertical="center"/>
    </xf>
    <xf numFmtId="0" fontId="2" fillId="5" borderId="0" xfId="0" applyFont="1" applyFill="1" applyAlignment="1">
      <alignment vertical="center"/>
    </xf>
    <xf numFmtId="0" fontId="0" fillId="0" borderId="0" xfId="0" applyFill="1" applyBorder="1"/>
    <xf numFmtId="1" fontId="0" fillId="0" borderId="0" xfId="1" applyNumberFormat="1" applyFont="1"/>
    <xf numFmtId="0" fontId="2" fillId="0" borderId="0" xfId="0" applyFont="1" applyBorder="1"/>
    <xf numFmtId="0" fontId="2" fillId="0" borderId="0" xfId="0" applyFont="1"/>
    <xf numFmtId="49" fontId="0" fillId="0" borderId="0" xfId="1" applyNumberFormat="1" applyFont="1" applyBorder="1"/>
    <xf numFmtId="49" fontId="0" fillId="0" borderId="0" xfId="0" applyNumberFormat="1"/>
    <xf numFmtId="0" fontId="0" fillId="0" borderId="3" xfId="0" applyBorder="1" applyAlignment="1">
      <alignment horizontal="left" vertical="top"/>
    </xf>
    <xf numFmtId="166" fontId="0" fillId="0" borderId="26" xfId="0" applyNumberFormat="1" applyBorder="1" applyAlignment="1">
      <alignment horizontal="left" vertical="top"/>
    </xf>
    <xf numFmtId="0" fontId="0" fillId="0" borderId="26" xfId="0" applyBorder="1" applyAlignment="1">
      <alignment horizontal="left" vertical="top"/>
    </xf>
    <xf numFmtId="164" fontId="0" fillId="0" borderId="26" xfId="1" applyNumberFormat="1" applyFont="1" applyBorder="1" applyAlignment="1">
      <alignment horizontal="left" vertical="top"/>
    </xf>
    <xf numFmtId="166" fontId="0" fillId="0" borderId="26" xfId="1" applyNumberFormat="1" applyFont="1" applyBorder="1" applyAlignment="1">
      <alignment horizontal="left" vertical="top"/>
    </xf>
    <xf numFmtId="164" fontId="0" fillId="0" borderId="5" xfId="1" applyNumberFormat="1" applyFont="1" applyBorder="1" applyAlignment="1">
      <alignment horizontal="left" vertical="top"/>
    </xf>
    <xf numFmtId="0" fontId="0" fillId="0" borderId="5" xfId="0" applyBorder="1" applyAlignment="1">
      <alignment horizontal="left" vertical="top"/>
    </xf>
    <xf numFmtId="0" fontId="0" fillId="10" borderId="26" xfId="0" applyFill="1" applyBorder="1" applyAlignment="1">
      <alignment horizontal="left" vertical="top"/>
    </xf>
    <xf numFmtId="49" fontId="0" fillId="0" borderId="35" xfId="0" applyNumberFormat="1" applyBorder="1" applyAlignment="1">
      <alignment horizontal="left" vertical="top" wrapText="1"/>
    </xf>
    <xf numFmtId="49" fontId="0" fillId="0" borderId="34" xfId="0" applyNumberFormat="1" applyBorder="1" applyAlignment="1">
      <alignment horizontal="left" vertical="top" wrapText="1"/>
    </xf>
    <xf numFmtId="49" fontId="0" fillId="0" borderId="36" xfId="0" applyNumberFormat="1" applyBorder="1" applyAlignment="1">
      <alignment horizontal="left" vertical="top" wrapText="1"/>
    </xf>
    <xf numFmtId="49" fontId="0" fillId="10" borderId="35" xfId="0" applyNumberFormat="1" applyFill="1" applyBorder="1" applyAlignment="1">
      <alignment horizontal="left" vertical="top" wrapText="1"/>
    </xf>
    <xf numFmtId="0" fontId="0" fillId="0" borderId="3" xfId="0" applyBorder="1" applyAlignment="1">
      <alignment horizontal="left" vertical="top" wrapText="1"/>
    </xf>
    <xf numFmtId="0" fontId="0" fillId="0" borderId="26" xfId="0" applyBorder="1" applyAlignment="1">
      <alignment horizontal="left" vertical="top" wrapText="1"/>
    </xf>
    <xf numFmtId="0" fontId="0" fillId="0" borderId="5" xfId="0" applyBorder="1" applyAlignment="1">
      <alignment horizontal="left" vertical="top" wrapText="1"/>
    </xf>
    <xf numFmtId="0" fontId="0" fillId="10" borderId="26" xfId="0" applyFill="1" applyBorder="1" applyAlignment="1">
      <alignment horizontal="left" vertical="top" wrapText="1"/>
    </xf>
    <xf numFmtId="166" fontId="0" fillId="5" borderId="38" xfId="0" applyNumberFormat="1" applyFill="1" applyBorder="1" applyAlignment="1">
      <alignment horizontal="center" vertical="center"/>
    </xf>
    <xf numFmtId="0" fontId="7" fillId="0" borderId="0" xfId="0" applyFont="1" applyAlignment="1">
      <alignment vertical="center"/>
    </xf>
    <xf numFmtId="0" fontId="1" fillId="4" borderId="37" xfId="0" applyFont="1" applyFill="1" applyBorder="1" applyAlignment="1">
      <alignment horizontal="center" vertical="center" wrapText="1"/>
    </xf>
    <xf numFmtId="0" fontId="0" fillId="7" borderId="21" xfId="0" applyFill="1" applyBorder="1"/>
    <xf numFmtId="0" fontId="0" fillId="0" borderId="0" xfId="0" applyAlignment="1">
      <alignment horizontal="fill"/>
    </xf>
    <xf numFmtId="166" fontId="0" fillId="0" borderId="0" xfId="0" applyNumberFormat="1" applyFill="1" applyBorder="1"/>
    <xf numFmtId="164" fontId="0" fillId="0" borderId="0" xfId="0" applyNumberFormat="1" applyFill="1" applyBorder="1"/>
    <xf numFmtId="0" fontId="0" fillId="0" borderId="30" xfId="0" applyBorder="1" applyAlignment="1">
      <alignment horizontal="left" vertical="top" wrapText="1"/>
    </xf>
    <xf numFmtId="49" fontId="0" fillId="0" borderId="27" xfId="0" applyNumberFormat="1" applyBorder="1" applyAlignment="1">
      <alignment horizontal="left" vertical="top" wrapText="1"/>
    </xf>
    <xf numFmtId="0" fontId="0" fillId="0" borderId="39" xfId="0" applyBorder="1" applyAlignment="1">
      <alignment horizontal="left" vertical="top" wrapText="1"/>
    </xf>
    <xf numFmtId="49" fontId="0" fillId="0" borderId="40" xfId="0" applyNumberFormat="1" applyBorder="1" applyAlignment="1">
      <alignment horizontal="left" vertical="top" wrapText="1"/>
    </xf>
    <xf numFmtId="49" fontId="0" fillId="10" borderId="26" xfId="0" applyNumberFormat="1" applyFill="1" applyBorder="1" applyAlignment="1">
      <alignment horizontal="left" vertical="top" wrapText="1"/>
    </xf>
    <xf numFmtId="0" fontId="0" fillId="10" borderId="3" xfId="0" applyFill="1" applyBorder="1" applyAlignment="1">
      <alignment horizontal="left" vertical="top" wrapText="1"/>
    </xf>
    <xf numFmtId="49" fontId="0" fillId="10" borderId="3" xfId="0" applyNumberFormat="1" applyFill="1" applyBorder="1" applyAlignment="1">
      <alignment horizontal="left" vertical="top" wrapText="1"/>
    </xf>
    <xf numFmtId="0" fontId="0" fillId="10" borderId="5" xfId="0" applyFill="1" applyBorder="1" applyAlignment="1">
      <alignment horizontal="left" vertical="top" wrapText="1"/>
    </xf>
    <xf numFmtId="49" fontId="0" fillId="10" borderId="5" xfId="0" applyNumberFormat="1" applyFill="1" applyBorder="1" applyAlignment="1">
      <alignment horizontal="left" vertical="top" wrapText="1"/>
    </xf>
    <xf numFmtId="0" fontId="0" fillId="0" borderId="0" xfId="0" applyAlignment="1">
      <alignment horizontal="left" vertical="top"/>
    </xf>
    <xf numFmtId="49" fontId="0" fillId="0" borderId="0" xfId="0" applyNumberFormat="1" applyAlignment="1">
      <alignment horizontal="left" vertical="top" wrapText="1"/>
    </xf>
    <xf numFmtId="166" fontId="0" fillId="0" borderId="39" xfId="0" applyNumberFormat="1" applyBorder="1" applyAlignment="1">
      <alignment horizontal="left" vertical="top"/>
    </xf>
    <xf numFmtId="166" fontId="0" fillId="0" borderId="5" xfId="0" applyNumberFormat="1" applyBorder="1" applyAlignment="1">
      <alignment horizontal="left" vertical="top"/>
    </xf>
    <xf numFmtId="0" fontId="0" fillId="0" borderId="39" xfId="0" applyBorder="1" applyAlignment="1">
      <alignment horizontal="left" vertical="top"/>
    </xf>
    <xf numFmtId="0" fontId="0" fillId="0" borderId="30" xfId="0" applyBorder="1" applyAlignment="1">
      <alignment horizontal="left" vertical="top"/>
    </xf>
    <xf numFmtId="0" fontId="0" fillId="0" borderId="26" xfId="0" applyFill="1" applyBorder="1" applyAlignment="1">
      <alignment horizontal="left" vertical="top"/>
    </xf>
    <xf numFmtId="0" fontId="0" fillId="0" borderId="0" xfId="1" applyNumberFormat="1" applyFont="1"/>
    <xf numFmtId="0" fontId="0" fillId="0" borderId="0" xfId="0" applyNumberFormat="1"/>
    <xf numFmtId="0" fontId="0" fillId="0" borderId="0" xfId="0" quotePrefix="1"/>
    <xf numFmtId="0" fontId="0" fillId="7" borderId="8" xfId="0" applyFill="1" applyBorder="1"/>
    <xf numFmtId="0" fontId="0" fillId="7" borderId="24" xfId="0" applyFill="1" applyBorder="1"/>
    <xf numFmtId="0" fontId="0" fillId="7" borderId="0" xfId="0" applyFill="1" applyBorder="1" applyAlignment="1">
      <alignment wrapText="1"/>
    </xf>
    <xf numFmtId="0" fontId="0" fillId="9" borderId="0" xfId="0" applyFill="1" applyBorder="1" applyAlignment="1">
      <alignment vertical="top" wrapText="1"/>
    </xf>
    <xf numFmtId="0" fontId="7" fillId="7" borderId="0" xfId="0" applyFont="1" applyFill="1" applyBorder="1" applyAlignment="1">
      <alignment horizontal="left" vertical="center"/>
    </xf>
    <xf numFmtId="0" fontId="7" fillId="7" borderId="25" xfId="0" applyFont="1" applyFill="1" applyBorder="1" applyAlignment="1">
      <alignment horizontal="left" vertical="center"/>
    </xf>
    <xf numFmtId="0" fontId="7" fillId="7" borderId="25" xfId="0" applyFont="1" applyFill="1" applyBorder="1" applyAlignment="1">
      <alignment horizontal="left" vertical="top"/>
    </xf>
    <xf numFmtId="0" fontId="2" fillId="7" borderId="0" xfId="0" applyFont="1" applyFill="1" applyBorder="1" applyAlignment="1">
      <alignment horizontal="left" vertical="center"/>
    </xf>
    <xf numFmtId="166" fontId="0" fillId="0" borderId="0" xfId="0" applyNumberFormat="1" applyAlignment="1"/>
    <xf numFmtId="0" fontId="14" fillId="0" borderId="0" xfId="0" applyFont="1" applyBorder="1"/>
    <xf numFmtId="166" fontId="14" fillId="0" borderId="0" xfId="0" applyNumberFormat="1" applyFont="1" applyBorder="1"/>
    <xf numFmtId="0" fontId="0" fillId="0" borderId="0" xfId="0" applyAlignment="1">
      <alignment horizontal="left"/>
    </xf>
    <xf numFmtId="165" fontId="0" fillId="0" borderId="0" xfId="0" applyNumberFormat="1" applyBorder="1"/>
    <xf numFmtId="0" fontId="0" fillId="0" borderId="0" xfId="0" pivotButton="1" applyAlignment="1">
      <alignment wrapText="1"/>
    </xf>
    <xf numFmtId="0" fontId="0" fillId="0" borderId="0" xfId="0" applyAlignment="1">
      <alignment horizontal="left" wrapText="1"/>
    </xf>
    <xf numFmtId="0" fontId="0" fillId="0" borderId="0" xfId="0" applyNumberFormat="1" applyAlignment="1">
      <alignment horizontal="left"/>
    </xf>
    <xf numFmtId="0" fontId="0" fillId="0" borderId="0" xfId="0" pivotButton="1" applyAlignment="1">
      <alignment horizontal="left" wrapText="1"/>
    </xf>
    <xf numFmtId="0" fontId="4" fillId="0" borderId="0" xfId="2" applyBorder="1"/>
    <xf numFmtId="1" fontId="4" fillId="0" borderId="0" xfId="2" applyNumberFormat="1" applyBorder="1"/>
    <xf numFmtId="0" fontId="0" fillId="0" borderId="0" xfId="0" pivotButton="1" applyAlignment="1">
      <alignment horizontal="center" vertical="center"/>
    </xf>
    <xf numFmtId="0" fontId="0" fillId="0" borderId="0" xfId="0" applyAlignment="1">
      <alignment horizontal="center" vertical="center" wrapText="1"/>
    </xf>
    <xf numFmtId="165" fontId="0" fillId="0" borderId="0" xfId="0" applyNumberFormat="1" applyAlignment="1">
      <alignment horizontal="left" vertical="center"/>
    </xf>
    <xf numFmtId="0" fontId="0" fillId="0" borderId="0" xfId="0" pivotButton="1" applyAlignment="1">
      <alignment horizontal="left" vertical="center" wrapText="1"/>
    </xf>
    <xf numFmtId="0" fontId="0" fillId="0" borderId="0" xfId="0" applyAlignment="1">
      <alignment horizontal="left" vertical="center" wrapText="1"/>
    </xf>
    <xf numFmtId="0" fontId="0" fillId="0" borderId="0" xfId="0" applyNumberFormat="1" applyAlignment="1">
      <alignment horizontal="left" vertical="center"/>
    </xf>
    <xf numFmtId="169" fontId="0" fillId="0" borderId="0" xfId="0" applyNumberFormat="1" applyBorder="1"/>
    <xf numFmtId="169" fontId="0" fillId="0" borderId="0" xfId="0" applyNumberFormat="1"/>
    <xf numFmtId="169" fontId="0" fillId="0" borderId="0" xfId="0" applyNumberFormat="1" applyFill="1" applyBorder="1"/>
    <xf numFmtId="0" fontId="0" fillId="5" borderId="41" xfId="0" applyFont="1" applyFill="1" applyBorder="1"/>
    <xf numFmtId="0" fontId="0" fillId="5" borderId="42" xfId="0" applyFont="1" applyFill="1" applyBorder="1"/>
    <xf numFmtId="0" fontId="0" fillId="7" borderId="8" xfId="0" applyFill="1" applyBorder="1" applyAlignment="1">
      <alignment vertical="center"/>
    </xf>
    <xf numFmtId="0" fontId="0" fillId="5" borderId="43" xfId="0" applyFont="1" applyFill="1" applyBorder="1" applyAlignment="1">
      <alignment horizontal="right"/>
    </xf>
    <xf numFmtId="169" fontId="0" fillId="0" borderId="0" xfId="1" applyNumberFormat="1" applyFont="1" applyBorder="1"/>
    <xf numFmtId="169" fontId="0" fillId="0" borderId="0" xfId="1" applyNumberFormat="1" applyFont="1"/>
    <xf numFmtId="0" fontId="15" fillId="0" borderId="29" xfId="0" applyFont="1" applyBorder="1" applyAlignment="1">
      <alignment horizontal="left" vertical="top"/>
    </xf>
    <xf numFmtId="0" fontId="15" fillId="0" borderId="29" xfId="0" applyFont="1" applyBorder="1" applyAlignment="1">
      <alignment horizontal="left" vertical="top" wrapText="1"/>
    </xf>
    <xf numFmtId="49" fontId="15" fillId="0" borderId="33" xfId="0" applyNumberFormat="1" applyFont="1" applyBorder="1" applyAlignment="1">
      <alignment horizontal="left" vertical="top" wrapText="1"/>
    </xf>
    <xf numFmtId="0" fontId="0" fillId="0" borderId="48" xfId="0" applyBorder="1" applyAlignment="1">
      <alignment horizontal="left" vertical="top"/>
    </xf>
    <xf numFmtId="0" fontId="0" fillId="0" borderId="49" xfId="0" applyBorder="1" applyAlignment="1">
      <alignment horizontal="left" vertical="top" wrapText="1"/>
    </xf>
    <xf numFmtId="0" fontId="0" fillId="0" borderId="49" xfId="0" applyBorder="1" applyAlignment="1">
      <alignment horizontal="left" vertical="top"/>
    </xf>
    <xf numFmtId="0" fontId="0" fillId="0" borderId="50" xfId="0" applyBorder="1" applyAlignment="1">
      <alignment horizontal="left" vertical="top"/>
    </xf>
    <xf numFmtId="164" fontId="0" fillId="0" borderId="51" xfId="1" applyNumberFormat="1" applyFont="1" applyBorder="1" applyAlignment="1">
      <alignment horizontal="left" vertical="top"/>
    </xf>
    <xf numFmtId="0" fontId="0" fillId="10" borderId="49" xfId="0" applyFill="1" applyBorder="1" applyAlignment="1">
      <alignment horizontal="left" vertical="top"/>
    </xf>
    <xf numFmtId="0" fontId="0" fillId="0" borderId="51" xfId="0" applyBorder="1" applyAlignment="1">
      <alignment horizontal="left" vertical="top"/>
    </xf>
    <xf numFmtId="166" fontId="0" fillId="0" borderId="49" xfId="0" applyNumberFormat="1" applyBorder="1" applyAlignment="1">
      <alignment horizontal="left" vertical="top"/>
    </xf>
    <xf numFmtId="164" fontId="0" fillId="0" borderId="49" xfId="1" applyNumberFormat="1" applyFont="1" applyBorder="1" applyAlignment="1">
      <alignment horizontal="left" vertical="top"/>
    </xf>
    <xf numFmtId="1" fontId="0" fillId="0" borderId="49" xfId="1" applyNumberFormat="1" applyFont="1" applyBorder="1" applyAlignment="1">
      <alignment horizontal="left" vertical="top"/>
    </xf>
    <xf numFmtId="0" fontId="0" fillId="12" borderId="49" xfId="0" applyFill="1" applyBorder="1" applyAlignment="1">
      <alignment horizontal="left" vertical="top"/>
    </xf>
    <xf numFmtId="0" fontId="0" fillId="12" borderId="26" xfId="0" applyFill="1" applyBorder="1" applyAlignment="1">
      <alignment horizontal="left" vertical="top" wrapText="1"/>
    </xf>
    <xf numFmtId="49" fontId="0" fillId="12" borderId="35" xfId="0" applyNumberFormat="1" applyFill="1" applyBorder="1" applyAlignment="1">
      <alignment horizontal="left" vertical="top" wrapText="1"/>
    </xf>
    <xf numFmtId="0" fontId="0" fillId="10" borderId="49" xfId="0" quotePrefix="1" applyFill="1" applyBorder="1" applyAlignment="1">
      <alignment horizontal="left" vertical="top"/>
    </xf>
    <xf numFmtId="164" fontId="0" fillId="0" borderId="49" xfId="0" applyNumberFormat="1" applyBorder="1" applyAlignment="1">
      <alignment horizontal="left" vertical="top"/>
    </xf>
    <xf numFmtId="0" fontId="0" fillId="10" borderId="48" xfId="0" applyFill="1" applyBorder="1" applyAlignment="1">
      <alignment horizontal="left" vertical="top"/>
    </xf>
    <xf numFmtId="0" fontId="0" fillId="10" borderId="51" xfId="0" applyFill="1" applyBorder="1" applyAlignment="1">
      <alignment horizontal="left" vertical="top"/>
    </xf>
    <xf numFmtId="0" fontId="11" fillId="5" borderId="0" xfId="0" applyFont="1" applyFill="1"/>
    <xf numFmtId="0" fontId="2" fillId="5" borderId="0" xfId="0" applyFont="1" applyFill="1" applyAlignment="1">
      <alignment horizontal="center" vertical="center"/>
    </xf>
    <xf numFmtId="0" fontId="11" fillId="5" borderId="31" xfId="0" applyFont="1" applyFill="1" applyBorder="1" applyAlignment="1">
      <alignment horizontal="left" vertical="top"/>
    </xf>
    <xf numFmtId="49" fontId="0" fillId="5" borderId="0" xfId="0" applyNumberFormat="1" applyFill="1" applyAlignment="1">
      <alignment horizontal="left" vertical="top" wrapText="1"/>
    </xf>
    <xf numFmtId="0" fontId="0" fillId="5" borderId="0" xfId="0" applyFill="1" applyAlignment="1">
      <alignment horizontal="left" vertical="top"/>
    </xf>
    <xf numFmtId="0" fontId="11" fillId="0" borderId="55" xfId="0" applyFont="1" applyBorder="1" applyAlignment="1">
      <alignment horizontal="center" vertical="center" wrapText="1"/>
    </xf>
    <xf numFmtId="0" fontId="11" fillId="0" borderId="56" xfId="0" applyFont="1" applyBorder="1" applyAlignment="1">
      <alignment horizontal="center" vertical="center"/>
    </xf>
    <xf numFmtId="0" fontId="11" fillId="0" borderId="56" xfId="0" applyFont="1" applyBorder="1" applyAlignment="1">
      <alignment horizontal="left" vertical="top"/>
    </xf>
    <xf numFmtId="0" fontId="11" fillId="0" borderId="56" xfId="0" applyFont="1" applyBorder="1" applyAlignment="1">
      <alignment horizontal="left" vertical="top" wrapText="1"/>
    </xf>
    <xf numFmtId="49" fontId="11" fillId="0" borderId="57" xfId="0" applyNumberFormat="1" applyFont="1" applyBorder="1" applyAlignment="1">
      <alignment horizontal="left" vertical="top" wrapText="1"/>
    </xf>
    <xf numFmtId="0" fontId="11" fillId="0" borderId="58" xfId="0" applyFont="1" applyBorder="1" applyAlignment="1">
      <alignment horizontal="left" vertical="top" wrapText="1"/>
    </xf>
    <xf numFmtId="0" fontId="11" fillId="0" borderId="60" xfId="0" applyFont="1" applyBorder="1" applyAlignment="1">
      <alignment horizontal="left" vertical="top" wrapText="1"/>
    </xf>
    <xf numFmtId="0" fontId="0" fillId="0" borderId="62" xfId="0" applyBorder="1" applyAlignment="1">
      <alignment horizontal="left" vertical="top" wrapText="1"/>
    </xf>
    <xf numFmtId="0" fontId="0" fillId="0" borderId="64" xfId="0" applyBorder="1" applyAlignment="1">
      <alignment horizontal="left" vertical="top" wrapText="1"/>
    </xf>
    <xf numFmtId="0" fontId="0" fillId="0" borderId="65" xfId="0" applyBorder="1" applyAlignment="1">
      <alignment horizontal="left" vertical="top" wrapText="1"/>
    </xf>
    <xf numFmtId="0" fontId="0" fillId="0" borderId="67" xfId="0" applyBorder="1" applyAlignment="1">
      <alignment horizontal="left" vertical="top" wrapText="1"/>
    </xf>
    <xf numFmtId="0" fontId="0" fillId="10" borderId="64" xfId="0" applyFill="1" applyBorder="1" applyAlignment="1">
      <alignment horizontal="left" vertical="top" wrapText="1"/>
    </xf>
    <xf numFmtId="0" fontId="0" fillId="10" borderId="62" xfId="0" applyFill="1" applyBorder="1" applyAlignment="1">
      <alignment horizontal="left" vertical="top" wrapText="1"/>
    </xf>
    <xf numFmtId="0" fontId="0" fillId="10" borderId="67" xfId="0" applyFill="1" applyBorder="1" applyAlignment="1">
      <alignment horizontal="left" vertical="top" wrapText="1"/>
    </xf>
    <xf numFmtId="0" fontId="0" fillId="0" borderId="68" xfId="0" applyBorder="1" applyAlignment="1">
      <alignment horizontal="left" vertical="top" wrapText="1"/>
    </xf>
    <xf numFmtId="0" fontId="0" fillId="0" borderId="70" xfId="0" applyBorder="1" applyAlignment="1">
      <alignment horizontal="left" vertical="top"/>
    </xf>
    <xf numFmtId="0" fontId="0" fillId="0" borderId="70" xfId="0" applyBorder="1" applyAlignment="1">
      <alignment horizontal="left" vertical="top" wrapText="1"/>
    </xf>
    <xf numFmtId="49" fontId="0" fillId="0" borderId="71" xfId="0" applyNumberFormat="1" applyBorder="1" applyAlignment="1">
      <alignment horizontal="left" vertical="top" wrapText="1"/>
    </xf>
    <xf numFmtId="0" fontId="0" fillId="0" borderId="72" xfId="0" applyBorder="1" applyAlignment="1">
      <alignment horizontal="left" vertical="top" wrapText="1"/>
    </xf>
    <xf numFmtId="0" fontId="11" fillId="0" borderId="55" xfId="0" applyFont="1" applyBorder="1" applyAlignment="1">
      <alignment wrapText="1"/>
    </xf>
    <xf numFmtId="0" fontId="11" fillId="0" borderId="73" xfId="0" applyFont="1" applyBorder="1" applyAlignment="1">
      <alignment wrapText="1"/>
    </xf>
    <xf numFmtId="0" fontId="15" fillId="0" borderId="60" xfId="0" applyFont="1" applyBorder="1" applyAlignment="1">
      <alignment horizontal="left" vertical="top" wrapText="1"/>
    </xf>
    <xf numFmtId="0" fontId="11" fillId="0" borderId="77" xfId="0" applyFont="1" applyBorder="1" applyAlignment="1">
      <alignment horizontal="center" vertical="center" wrapText="1"/>
    </xf>
    <xf numFmtId="0" fontId="0" fillId="0" borderId="78" xfId="0" applyBorder="1" applyAlignment="1">
      <alignment horizontal="left" vertical="top"/>
    </xf>
    <xf numFmtId="0" fontId="11" fillId="0" borderId="79" xfId="0" applyFont="1" applyBorder="1" applyAlignment="1">
      <alignment horizontal="center" vertical="center" wrapText="1"/>
    </xf>
    <xf numFmtId="0" fontId="0" fillId="5" borderId="0" xfId="0" applyFill="1" applyAlignment="1">
      <alignment wrapText="1"/>
    </xf>
    <xf numFmtId="0" fontId="11" fillId="5" borderId="0" xfId="0" applyFont="1" applyFill="1" applyAlignment="1">
      <alignment vertical="center" wrapText="1"/>
    </xf>
    <xf numFmtId="0" fontId="0" fillId="0" borderId="0" xfId="0" pivotButton="1"/>
    <xf numFmtId="0" fontId="0" fillId="0" borderId="0" xfId="0" applyAlignment="1">
      <alignment horizontal="left" indent="1"/>
    </xf>
    <xf numFmtId="0" fontId="0" fillId="0" borderId="0" xfId="0" quotePrefix="1" applyFill="1" applyBorder="1"/>
    <xf numFmtId="0" fontId="0" fillId="0" borderId="24" xfId="0" applyFill="1" applyBorder="1"/>
    <xf numFmtId="0" fontId="4" fillId="0" borderId="0" xfId="2" applyFill="1" applyBorder="1"/>
    <xf numFmtId="0" fontId="14" fillId="0" borderId="0" xfId="0" applyFont="1" applyFill="1"/>
    <xf numFmtId="0" fontId="0" fillId="0" borderId="8" xfId="0" applyFill="1" applyBorder="1"/>
    <xf numFmtId="164" fontId="0" fillId="0" borderId="8" xfId="0" applyNumberFormat="1" applyFill="1" applyBorder="1"/>
    <xf numFmtId="0" fontId="0" fillId="0" borderId="0" xfId="0" applyNumberFormat="1" applyFill="1" applyBorder="1"/>
    <xf numFmtId="0" fontId="0" fillId="0" borderId="0" xfId="0" applyProtection="1"/>
    <xf numFmtId="0" fontId="0" fillId="5" borderId="0" xfId="0" applyFill="1" applyBorder="1" applyProtection="1"/>
    <xf numFmtId="0" fontId="0" fillId="5" borderId="0" xfId="0" applyFill="1" applyProtection="1"/>
    <xf numFmtId="0" fontId="0" fillId="5" borderId="0" xfId="0" applyFill="1" applyBorder="1" applyAlignment="1" applyProtection="1">
      <alignment horizontal="center" vertical="center"/>
    </xf>
    <xf numFmtId="0" fontId="0" fillId="5" borderId="0" xfId="0" applyFill="1" applyAlignment="1" applyProtection="1">
      <alignment horizontal="center" vertical="center"/>
    </xf>
    <xf numFmtId="0" fontId="0" fillId="0" borderId="0" xfId="0" applyAlignment="1" applyProtection="1">
      <alignment horizontal="center" vertical="center"/>
    </xf>
    <xf numFmtId="0" fontId="16" fillId="7" borderId="0" xfId="0" applyFont="1" applyFill="1" applyBorder="1" applyAlignment="1" applyProtection="1">
      <alignment horizontal="left" vertical="top"/>
    </xf>
    <xf numFmtId="0" fontId="1" fillId="7" borderId="0" xfId="0" applyFont="1" applyFill="1" applyBorder="1" applyAlignment="1" applyProtection="1">
      <alignment horizontal="left" vertical="top"/>
    </xf>
    <xf numFmtId="0" fontId="14" fillId="7" borderId="0" xfId="0" applyFont="1" applyFill="1" applyBorder="1" applyAlignment="1" applyProtection="1">
      <alignment horizontal="left" vertical="top"/>
    </xf>
    <xf numFmtId="0" fontId="3" fillId="0" borderId="0" xfId="0" applyFont="1" applyFill="1"/>
    <xf numFmtId="0" fontId="3" fillId="0" borderId="0" xfId="0" applyFont="1" applyFill="1" applyAlignment="1">
      <alignment horizontal="right"/>
    </xf>
    <xf numFmtId="0" fontId="0" fillId="0" borderId="0" xfId="0" applyFill="1" applyProtection="1"/>
    <xf numFmtId="0" fontId="17" fillId="7" borderId="0" xfId="0" applyFont="1" applyFill="1" applyBorder="1" applyAlignment="1" applyProtection="1">
      <alignment horizontal="left" vertical="top"/>
    </xf>
    <xf numFmtId="167" fontId="2" fillId="0" borderId="0" xfId="0" applyNumberFormat="1" applyFont="1"/>
    <xf numFmtId="49" fontId="0" fillId="0" borderId="0" xfId="1" applyNumberFormat="1" applyFont="1"/>
    <xf numFmtId="1" fontId="4" fillId="0" borderId="0" xfId="2" applyNumberFormat="1"/>
    <xf numFmtId="0" fontId="4" fillId="0" borderId="0" xfId="2" applyFill="1"/>
    <xf numFmtId="0" fontId="0" fillId="0" borderId="0" xfId="0"/>
    <xf numFmtId="0" fontId="3" fillId="13" borderId="0" xfId="3"/>
    <xf numFmtId="164" fontId="0" fillId="0" borderId="8" xfId="1" applyNumberFormat="1" applyFont="1" applyBorder="1"/>
    <xf numFmtId="169" fontId="2" fillId="0" borderId="0" xfId="0" applyNumberFormat="1" applyFont="1" applyBorder="1"/>
    <xf numFmtId="0" fontId="5" fillId="6" borderId="80" xfId="0" applyFont="1" applyFill="1" applyBorder="1" applyAlignment="1">
      <alignment vertical="center"/>
    </xf>
    <xf numFmtId="0" fontId="5" fillId="6" borderId="81" xfId="0" applyFont="1" applyFill="1" applyBorder="1" applyAlignment="1">
      <alignment vertical="center"/>
    </xf>
    <xf numFmtId="0" fontId="0" fillId="7" borderId="22" xfId="0" applyFill="1" applyBorder="1"/>
    <xf numFmtId="0" fontId="2" fillId="7" borderId="22" xfId="0" applyFont="1" applyFill="1" applyBorder="1" applyAlignment="1">
      <alignment horizontal="left" vertical="center" wrapText="1"/>
    </xf>
    <xf numFmtId="0" fontId="0" fillId="7" borderId="23" xfId="0" applyFill="1" applyBorder="1"/>
    <xf numFmtId="0" fontId="0" fillId="7" borderId="24" xfId="0" applyFill="1" applyBorder="1" applyAlignment="1">
      <alignment vertical="center"/>
    </xf>
    <xf numFmtId="0" fontId="3" fillId="0" borderId="0" xfId="0" applyFont="1" applyFill="1" applyBorder="1"/>
    <xf numFmtId="0" fontId="3" fillId="0" borderId="0" xfId="0" applyFont="1" applyFill="1" applyBorder="1" applyAlignment="1">
      <alignment horizontal="right"/>
    </xf>
    <xf numFmtId="165" fontId="0" fillId="0" borderId="0" xfId="0" applyNumberFormat="1" applyFill="1" applyBorder="1"/>
    <xf numFmtId="164" fontId="0" fillId="0" borderId="0" xfId="1" applyNumberFormat="1" applyFont="1" applyFill="1" applyBorder="1"/>
    <xf numFmtId="166" fontId="0" fillId="0" borderId="0" xfId="1" applyNumberFormat="1" applyFont="1" applyFill="1" applyBorder="1"/>
    <xf numFmtId="164" fontId="0" fillId="0" borderId="24" xfId="1" applyNumberFormat="1" applyFont="1" applyFill="1" applyBorder="1"/>
    <xf numFmtId="164" fontId="0" fillId="0" borderId="0" xfId="1" applyNumberFormat="1" applyFont="1" applyFill="1"/>
    <xf numFmtId="0" fontId="0" fillId="0" borderId="0" xfId="1" applyNumberFormat="1" applyFont="1" applyFill="1"/>
    <xf numFmtId="167" fontId="2" fillId="0" borderId="0" xfId="0" applyNumberFormat="1" applyFont="1" applyFill="1" applyBorder="1"/>
    <xf numFmtId="1" fontId="0" fillId="0" borderId="0" xfId="1" applyNumberFormat="1" applyFont="1" applyFill="1" applyBorder="1"/>
    <xf numFmtId="49" fontId="0" fillId="0" borderId="0" xfId="1" applyNumberFormat="1" applyFont="1" applyFill="1" applyBorder="1"/>
    <xf numFmtId="169" fontId="0" fillId="0" borderId="0" xfId="1" applyNumberFormat="1" applyFont="1" applyFill="1" applyBorder="1"/>
    <xf numFmtId="1" fontId="4" fillId="0" borderId="0" xfId="2" applyNumberFormat="1" applyFill="1" applyBorder="1"/>
    <xf numFmtId="1" fontId="0" fillId="0" borderId="0" xfId="0" applyNumberFormat="1" applyFill="1"/>
    <xf numFmtId="166" fontId="0" fillId="0" borderId="0" xfId="0" applyNumberFormat="1" applyFill="1"/>
    <xf numFmtId="165" fontId="0" fillId="0" borderId="0" xfId="0" applyNumberFormat="1" applyFill="1"/>
    <xf numFmtId="166" fontId="0" fillId="0" borderId="0" xfId="1" applyNumberFormat="1" applyFont="1" applyFill="1"/>
    <xf numFmtId="167" fontId="2" fillId="0" borderId="0" xfId="0" applyNumberFormat="1" applyFont="1" applyFill="1"/>
    <xf numFmtId="1" fontId="0" fillId="0" borderId="0" xfId="1" applyNumberFormat="1" applyFont="1" applyFill="1"/>
    <xf numFmtId="49" fontId="0" fillId="0" borderId="0" xfId="1" applyNumberFormat="1" applyFont="1" applyFill="1"/>
    <xf numFmtId="169" fontId="0" fillId="0" borderId="0" xfId="1" applyNumberFormat="1" applyFont="1" applyFill="1"/>
    <xf numFmtId="1" fontId="4" fillId="0" borderId="0" xfId="2" applyNumberFormat="1" applyFill="1"/>
    <xf numFmtId="166" fontId="2" fillId="5" borderId="0" xfId="0" applyNumberFormat="1" applyFont="1" applyFill="1" applyAlignment="1">
      <alignment vertical="center"/>
    </xf>
    <xf numFmtId="166" fontId="2" fillId="0" borderId="0" xfId="0" applyNumberFormat="1" applyFont="1" applyBorder="1" applyAlignment="1">
      <alignment horizontal="center" vertical="center"/>
    </xf>
    <xf numFmtId="166" fontId="0" fillId="0" borderId="24" xfId="0" applyNumberFormat="1" applyBorder="1"/>
    <xf numFmtId="0" fontId="0" fillId="0" borderId="0" xfId="0" applyBorder="1" applyAlignment="1"/>
    <xf numFmtId="0" fontId="0" fillId="0" borderId="0" xfId="0" applyAlignment="1"/>
    <xf numFmtId="0" fontId="0" fillId="0" borderId="0" xfId="0" applyFill="1" applyBorder="1" applyAlignment="1"/>
    <xf numFmtId="166" fontId="11" fillId="0" borderId="0" xfId="0" applyNumberFormat="1" applyFont="1" applyAlignment="1">
      <alignment horizontal="center" vertical="center"/>
    </xf>
    <xf numFmtId="166" fontId="0" fillId="0" borderId="24" xfId="1" applyNumberFormat="1" applyFont="1" applyBorder="1"/>
    <xf numFmtId="0" fontId="11" fillId="5" borderId="8" xfId="0" applyFont="1" applyFill="1" applyBorder="1" applyAlignment="1">
      <alignment horizontal="center" vertical="center"/>
    </xf>
    <xf numFmtId="0" fontId="11" fillId="5" borderId="0" xfId="0" applyFont="1" applyFill="1" applyBorder="1" applyAlignment="1">
      <alignment horizontal="center" vertical="center"/>
    </xf>
    <xf numFmtId="0" fontId="1" fillId="0" borderId="0" xfId="0" applyFont="1" applyFill="1" applyBorder="1" applyAlignment="1">
      <alignment vertical="center" wrapText="1"/>
    </xf>
    <xf numFmtId="0" fontId="0" fillId="0" borderId="0" xfId="0" applyFill="1" applyBorder="1" applyAlignment="1">
      <alignment horizontal="left" vertical="top" wrapText="1"/>
    </xf>
    <xf numFmtId="0" fontId="2" fillId="3" borderId="82" xfId="0" applyFont="1" applyFill="1" applyBorder="1" applyAlignment="1">
      <alignment horizontal="left" vertical="top" wrapText="1"/>
    </xf>
    <xf numFmtId="0" fontId="2" fillId="3" borderId="30" xfId="0" applyFont="1" applyFill="1" applyBorder="1" applyAlignment="1">
      <alignment horizontal="left" vertical="top" wrapText="1"/>
    </xf>
    <xf numFmtId="0" fontId="2" fillId="3" borderId="30" xfId="0" applyFont="1" applyFill="1" applyBorder="1" applyAlignment="1">
      <alignment horizontal="left" vertical="top"/>
    </xf>
    <xf numFmtId="0" fontId="2" fillId="3" borderId="83" xfId="0" applyFont="1" applyFill="1" applyBorder="1" applyAlignment="1">
      <alignment horizontal="left" vertical="top"/>
    </xf>
    <xf numFmtId="0" fontId="0" fillId="0" borderId="0" xfId="0" applyFill="1" applyBorder="1" applyAlignment="1">
      <alignment vertical="center"/>
    </xf>
    <xf numFmtId="0" fontId="11" fillId="5" borderId="0" xfId="0" applyFont="1" applyFill="1" applyBorder="1" applyAlignment="1">
      <alignment vertical="center"/>
    </xf>
    <xf numFmtId="0" fontId="0" fillId="0" borderId="0" xfId="0" applyFill="1" applyAlignment="1"/>
    <xf numFmtId="0" fontId="0" fillId="0" borderId="46" xfId="0" applyBorder="1"/>
    <xf numFmtId="164" fontId="0" fillId="0" borderId="46" xfId="0" applyNumberFormat="1" applyFill="1" applyBorder="1"/>
    <xf numFmtId="164" fontId="0" fillId="0" borderId="24" xfId="0" applyNumberFormat="1" applyFill="1" applyBorder="1"/>
    <xf numFmtId="166" fontId="0" fillId="0" borderId="8" xfId="0" applyNumberFormat="1" applyFill="1" applyBorder="1"/>
    <xf numFmtId="0" fontId="10" fillId="5" borderId="0" xfId="0" applyFont="1" applyFill="1" applyBorder="1" applyAlignment="1">
      <alignment horizontal="center" vertical="center"/>
    </xf>
    <xf numFmtId="0" fontId="6" fillId="8" borderId="1" xfId="0" applyFont="1" applyFill="1" applyBorder="1" applyAlignment="1">
      <alignment horizontal="center" vertical="center"/>
    </xf>
    <xf numFmtId="0" fontId="6" fillId="8" borderId="7" xfId="0" applyFont="1" applyFill="1" applyBorder="1" applyAlignment="1">
      <alignment horizontal="center" vertical="center"/>
    </xf>
    <xf numFmtId="0" fontId="6" fillId="8" borderId="9" xfId="0" applyFont="1" applyFill="1" applyBorder="1" applyAlignment="1">
      <alignment horizontal="center" vertical="center"/>
    </xf>
    <xf numFmtId="0" fontId="6" fillId="2" borderId="1" xfId="0" applyFont="1" applyFill="1" applyBorder="1" applyAlignment="1">
      <alignment horizontal="center" vertical="center" wrapText="1"/>
    </xf>
    <xf numFmtId="0" fontId="6" fillId="2" borderId="7"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7" fillId="5" borderId="12" xfId="0" applyFont="1" applyFill="1" applyBorder="1" applyAlignment="1">
      <alignment horizontal="center" vertical="center" wrapText="1"/>
    </xf>
    <xf numFmtId="0" fontId="7" fillId="7" borderId="0" xfId="0" applyFont="1" applyFill="1" applyBorder="1" applyAlignment="1">
      <alignment horizontal="left" vertical="center" wrapText="1"/>
    </xf>
    <xf numFmtId="0" fontId="7" fillId="7" borderId="15" xfId="0" applyFont="1" applyFill="1" applyBorder="1" applyAlignment="1">
      <alignment horizontal="left" vertical="center" wrapText="1"/>
    </xf>
    <xf numFmtId="0" fontId="7" fillId="7" borderId="17" xfId="0" applyFont="1" applyFill="1" applyBorder="1" applyAlignment="1">
      <alignment horizontal="left" vertical="center" wrapText="1"/>
    </xf>
    <xf numFmtId="0" fontId="7" fillId="7" borderId="18" xfId="0" applyFont="1" applyFill="1" applyBorder="1" applyAlignment="1">
      <alignment horizontal="left" vertical="center" wrapText="1"/>
    </xf>
    <xf numFmtId="0" fontId="7" fillId="7" borderId="22" xfId="0" applyFont="1" applyFill="1" applyBorder="1" applyAlignment="1">
      <alignment horizontal="left" vertical="center"/>
    </xf>
    <xf numFmtId="0" fontId="0" fillId="9" borderId="0" xfId="0" applyFill="1" applyBorder="1" applyAlignment="1">
      <alignment horizontal="center" vertical="top" wrapText="1"/>
    </xf>
    <xf numFmtId="0" fontId="7" fillId="9" borderId="0" xfId="0" applyFont="1" applyFill="1" applyBorder="1" applyAlignment="1">
      <alignment horizontal="center" vertical="top" wrapText="1"/>
    </xf>
    <xf numFmtId="0" fontId="11" fillId="0" borderId="0" xfId="0" applyFont="1" applyBorder="1" applyAlignment="1">
      <alignment horizontal="center" vertical="center"/>
    </xf>
    <xf numFmtId="0" fontId="11" fillId="10" borderId="8" xfId="0" applyFont="1" applyFill="1" applyBorder="1" applyAlignment="1">
      <alignment horizontal="center" vertical="center"/>
    </xf>
    <xf numFmtId="0" fontId="11" fillId="10" borderId="0" xfId="0" applyFont="1" applyFill="1" applyBorder="1" applyAlignment="1">
      <alignment horizontal="center" vertical="center"/>
    </xf>
    <xf numFmtId="0" fontId="11" fillId="10" borderId="24" xfId="0" applyFont="1" applyFill="1" applyBorder="1" applyAlignment="1">
      <alignment horizontal="center" vertical="center"/>
    </xf>
    <xf numFmtId="0" fontId="11" fillId="10" borderId="0" xfId="0" applyFont="1" applyFill="1" applyBorder="1" applyAlignment="1">
      <alignment horizontal="left" vertical="center"/>
    </xf>
    <xf numFmtId="0" fontId="11" fillId="10" borderId="84" xfId="0" applyFont="1" applyFill="1" applyBorder="1" applyAlignment="1">
      <alignment horizontal="center" vertical="center"/>
    </xf>
    <xf numFmtId="0" fontId="2" fillId="0" borderId="21"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2" fillId="10" borderId="21" xfId="0" applyFont="1" applyFill="1" applyBorder="1" applyAlignment="1">
      <alignment horizontal="center" vertical="center"/>
    </xf>
    <xf numFmtId="0" fontId="2" fillId="10" borderId="22" xfId="0" applyFont="1" applyFill="1" applyBorder="1" applyAlignment="1">
      <alignment horizontal="center" vertical="center"/>
    </xf>
    <xf numFmtId="0" fontId="2" fillId="10" borderId="23" xfId="0" applyFont="1" applyFill="1" applyBorder="1" applyAlignment="1">
      <alignment horizontal="center" vertical="center"/>
    </xf>
    <xf numFmtId="0" fontId="2" fillId="0" borderId="45" xfId="0" applyFont="1" applyBorder="1" applyAlignment="1">
      <alignment horizontal="center" vertical="center"/>
    </xf>
    <xf numFmtId="0" fontId="2" fillId="10" borderId="8" xfId="0" applyFont="1" applyFill="1" applyBorder="1" applyAlignment="1">
      <alignment horizontal="center" vertical="center" wrapText="1"/>
    </xf>
    <xf numFmtId="0" fontId="2" fillId="10" borderId="0" xfId="0" applyFont="1" applyFill="1" applyBorder="1" applyAlignment="1">
      <alignment horizontal="center" vertical="center" wrapText="1"/>
    </xf>
    <xf numFmtId="0" fontId="2" fillId="10" borderId="24" xfId="0" applyFont="1" applyFill="1" applyBorder="1" applyAlignment="1">
      <alignment horizontal="center" vertical="center" wrapText="1"/>
    </xf>
    <xf numFmtId="0" fontId="2" fillId="10" borderId="8" xfId="0" applyFont="1" applyFill="1" applyBorder="1" applyAlignment="1">
      <alignment horizontal="center" vertical="center"/>
    </xf>
    <xf numFmtId="0" fontId="2" fillId="10" borderId="0" xfId="0" applyFont="1" applyFill="1" applyBorder="1" applyAlignment="1">
      <alignment horizontal="center" vertical="center"/>
    </xf>
    <xf numFmtId="0" fontId="2" fillId="10" borderId="24" xfId="0" applyFont="1" applyFill="1" applyBorder="1" applyAlignment="1">
      <alignment horizontal="center" vertical="center"/>
    </xf>
    <xf numFmtId="0" fontId="2" fillId="0" borderId="8" xfId="0" applyFont="1" applyBorder="1" applyAlignment="1">
      <alignment horizontal="center" vertical="center" wrapText="1"/>
    </xf>
    <xf numFmtId="0" fontId="2" fillId="0" borderId="0" xfId="0" applyFont="1" applyBorder="1" applyAlignment="1">
      <alignment horizontal="center" vertical="center" wrapText="1"/>
    </xf>
    <xf numFmtId="0" fontId="2" fillId="0" borderId="24" xfId="0" applyFont="1" applyBorder="1" applyAlignment="1">
      <alignment horizontal="center" vertical="center" wrapText="1"/>
    </xf>
    <xf numFmtId="0" fontId="2" fillId="0" borderId="21" xfId="0" applyFont="1" applyBorder="1" applyAlignment="1">
      <alignment horizontal="left" vertical="center"/>
    </xf>
    <xf numFmtId="0" fontId="2" fillId="0" borderId="22" xfId="0" applyFont="1" applyBorder="1" applyAlignment="1">
      <alignment horizontal="left" vertical="center"/>
    </xf>
    <xf numFmtId="0" fontId="2" fillId="0" borderId="23" xfId="0" applyFont="1" applyBorder="1" applyAlignment="1">
      <alignment horizontal="left" vertical="center"/>
    </xf>
    <xf numFmtId="0" fontId="2" fillId="5" borderId="85" xfId="0" applyFont="1" applyFill="1" applyBorder="1" applyAlignment="1">
      <alignment horizontal="left" vertical="center"/>
    </xf>
    <xf numFmtId="0" fontId="2" fillId="5" borderId="25" xfId="0" applyFont="1" applyFill="1" applyBorder="1" applyAlignment="1">
      <alignment horizontal="left" vertical="center"/>
    </xf>
    <xf numFmtId="0" fontId="2" fillId="0" borderId="0" xfId="0" applyFont="1" applyBorder="1" applyAlignment="1">
      <alignment horizontal="center" vertical="center"/>
    </xf>
    <xf numFmtId="0" fontId="2" fillId="0" borderId="30" xfId="0" applyFont="1" applyBorder="1" applyAlignment="1">
      <alignment horizontal="center" vertical="center"/>
    </xf>
    <xf numFmtId="0" fontId="2" fillId="0" borderId="26" xfId="0" applyFont="1" applyBorder="1" applyAlignment="1">
      <alignment horizontal="center" vertical="center"/>
    </xf>
    <xf numFmtId="0" fontId="2" fillId="0" borderId="70" xfId="0" applyFont="1" applyBorder="1" applyAlignment="1">
      <alignment horizontal="center" vertical="center"/>
    </xf>
    <xf numFmtId="0" fontId="2" fillId="10" borderId="2" xfId="0" applyFont="1" applyFill="1" applyBorder="1" applyAlignment="1">
      <alignment horizontal="center" vertical="center"/>
    </xf>
    <xf numFmtId="0" fontId="2" fillId="10" borderId="28" xfId="0" applyFont="1" applyFill="1" applyBorder="1" applyAlignment="1">
      <alignment horizontal="center" vertical="center"/>
    </xf>
    <xf numFmtId="0" fontId="2" fillId="10" borderId="4" xfId="0" applyFont="1" applyFill="1" applyBorder="1" applyAlignment="1">
      <alignment horizontal="center" vertical="center"/>
    </xf>
    <xf numFmtId="0" fontId="2" fillId="0" borderId="2" xfId="0" applyFont="1" applyBorder="1" applyAlignment="1">
      <alignment horizontal="center" vertical="center"/>
    </xf>
    <xf numFmtId="0" fontId="2" fillId="0" borderId="28" xfId="0" applyFont="1" applyBorder="1" applyAlignment="1">
      <alignment horizontal="center" vertical="center"/>
    </xf>
    <xf numFmtId="0" fontId="2" fillId="0" borderId="4" xfId="0" applyFont="1" applyBorder="1" applyAlignment="1">
      <alignment horizontal="center" vertical="center"/>
    </xf>
    <xf numFmtId="0" fontId="2" fillId="10" borderId="61" xfId="0" applyFont="1" applyFill="1" applyBorder="1" applyAlignment="1">
      <alignment horizontal="center" vertical="center" wrapText="1"/>
    </xf>
    <xf numFmtId="0" fontId="2" fillId="10" borderId="45" xfId="0" applyFont="1" applyFill="1" applyBorder="1" applyAlignment="1">
      <alignment horizontal="center" vertical="center" wrapText="1"/>
    </xf>
    <xf numFmtId="0" fontId="2" fillId="10" borderId="63" xfId="0" applyFont="1" applyFill="1" applyBorder="1" applyAlignment="1">
      <alignment horizontal="center" vertical="center" wrapText="1"/>
    </xf>
    <xf numFmtId="0" fontId="2" fillId="10" borderId="46" xfId="0" applyFont="1" applyFill="1" applyBorder="1" applyAlignment="1">
      <alignment horizontal="center" vertical="center" wrapText="1"/>
    </xf>
    <xf numFmtId="0" fontId="2" fillId="10" borderId="66" xfId="0" applyFont="1" applyFill="1" applyBorder="1" applyAlignment="1">
      <alignment horizontal="center" vertical="center" wrapText="1"/>
    </xf>
    <xf numFmtId="0" fontId="2" fillId="10" borderId="47" xfId="0" applyFont="1" applyFill="1" applyBorder="1" applyAlignment="1">
      <alignment horizontal="center" vertical="center" wrapText="1"/>
    </xf>
    <xf numFmtId="0" fontId="2" fillId="0" borderId="61" xfId="0" applyFont="1" applyBorder="1" applyAlignment="1">
      <alignment horizontal="center" vertical="center" wrapText="1"/>
    </xf>
    <xf numFmtId="0" fontId="2" fillId="0" borderId="45" xfId="0" applyFont="1" applyBorder="1" applyAlignment="1">
      <alignment horizontal="center" vertical="center" wrapText="1"/>
    </xf>
    <xf numFmtId="0" fontId="2" fillId="0" borderId="63" xfId="0" applyFont="1" applyBorder="1" applyAlignment="1">
      <alignment horizontal="center" vertical="center" wrapText="1"/>
    </xf>
    <xf numFmtId="0" fontId="2" fillId="0" borderId="46" xfId="0" applyFont="1" applyBorder="1" applyAlignment="1">
      <alignment horizontal="center" vertical="center" wrapText="1"/>
    </xf>
    <xf numFmtId="0" fontId="2" fillId="0" borderId="66" xfId="0" applyFont="1" applyBorder="1" applyAlignment="1">
      <alignment horizontal="center" vertical="center" wrapText="1"/>
    </xf>
    <xf numFmtId="0" fontId="2" fillId="0" borderId="47" xfId="0" applyFont="1" applyBorder="1" applyAlignment="1">
      <alignment horizontal="center" vertical="center" wrapText="1"/>
    </xf>
    <xf numFmtId="0" fontId="2" fillId="10" borderId="61" xfId="0" applyFont="1" applyFill="1" applyBorder="1" applyAlignment="1">
      <alignment horizontal="center" vertical="center"/>
    </xf>
    <xf numFmtId="0" fontId="2" fillId="10" borderId="45" xfId="0" applyFont="1" applyFill="1" applyBorder="1" applyAlignment="1">
      <alignment horizontal="center" vertical="center"/>
    </xf>
    <xf numFmtId="0" fontId="2" fillId="10" borderId="63" xfId="0" applyFont="1" applyFill="1" applyBorder="1" applyAlignment="1">
      <alignment horizontal="center" vertical="center"/>
    </xf>
    <xf numFmtId="0" fontId="2" fillId="10" borderId="46" xfId="0" applyFont="1" applyFill="1" applyBorder="1" applyAlignment="1">
      <alignment horizontal="center" vertical="center"/>
    </xf>
    <xf numFmtId="0" fontId="2" fillId="10" borderId="66" xfId="0" applyFont="1" applyFill="1" applyBorder="1" applyAlignment="1">
      <alignment horizontal="center" vertical="center"/>
    </xf>
    <xf numFmtId="0" fontId="2" fillId="0" borderId="52" xfId="0" applyFont="1" applyBorder="1" applyAlignment="1">
      <alignment horizontal="center" vertical="center"/>
    </xf>
    <xf numFmtId="0" fontId="2" fillId="0" borderId="44" xfId="0" applyFont="1" applyBorder="1" applyAlignment="1">
      <alignment horizontal="center" vertical="center"/>
    </xf>
    <xf numFmtId="0" fontId="2" fillId="0" borderId="53" xfId="0" applyFont="1" applyBorder="1" applyAlignment="1">
      <alignment horizontal="center" vertical="center"/>
    </xf>
    <xf numFmtId="0" fontId="2" fillId="10" borderId="32" xfId="0" applyFont="1" applyFill="1" applyBorder="1" applyAlignment="1">
      <alignment horizontal="center" vertical="center"/>
    </xf>
    <xf numFmtId="0" fontId="2" fillId="5" borderId="61" xfId="0" applyFont="1" applyFill="1" applyBorder="1" applyAlignment="1">
      <alignment horizontal="center" vertical="center" wrapText="1"/>
    </xf>
    <xf numFmtId="0" fontId="2" fillId="5" borderId="63" xfId="0" applyFont="1" applyFill="1" applyBorder="1" applyAlignment="1">
      <alignment horizontal="center" vertical="center" wrapText="1"/>
    </xf>
    <xf numFmtId="0" fontId="2" fillId="5" borderId="69"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1" fillId="10" borderId="74" xfId="0" applyFont="1" applyFill="1" applyBorder="1" applyAlignment="1">
      <alignment horizontal="center" vertical="center" wrapText="1"/>
    </xf>
    <xf numFmtId="0" fontId="11" fillId="10" borderId="75" xfId="0" applyFont="1" applyFill="1" applyBorder="1" applyAlignment="1">
      <alignment horizontal="center" vertical="center" wrapText="1"/>
    </xf>
    <xf numFmtId="0" fontId="11" fillId="10" borderId="76" xfId="0" applyFont="1" applyFill="1" applyBorder="1" applyAlignment="1">
      <alignment horizontal="center" vertical="center" wrapText="1"/>
    </xf>
    <xf numFmtId="0" fontId="11" fillId="0" borderId="59" xfId="0" applyFont="1" applyBorder="1" applyAlignment="1">
      <alignment horizontal="center" vertical="center" wrapText="1"/>
    </xf>
    <xf numFmtId="0" fontId="11" fillId="0" borderId="54" xfId="0" applyFont="1" applyBorder="1" applyAlignment="1">
      <alignment horizontal="center" vertical="center" wrapText="1"/>
    </xf>
    <xf numFmtId="0" fontId="11" fillId="5" borderId="52" xfId="0" applyFont="1" applyFill="1" applyBorder="1" applyAlignment="1">
      <alignment horizontal="center" vertical="center" wrapText="1"/>
    </xf>
    <xf numFmtId="0" fontId="11" fillId="5" borderId="44" xfId="0" applyFont="1" applyFill="1" applyBorder="1" applyAlignment="1">
      <alignment horizontal="center" vertical="center" wrapText="1"/>
    </xf>
    <xf numFmtId="0" fontId="11" fillId="5" borderId="53" xfId="0" applyFont="1" applyFill="1" applyBorder="1" applyAlignment="1">
      <alignment horizontal="center" vertical="center" wrapText="1"/>
    </xf>
    <xf numFmtId="0" fontId="11" fillId="10" borderId="52" xfId="0" applyFont="1" applyFill="1" applyBorder="1" applyAlignment="1">
      <alignment horizontal="center" vertical="center" wrapText="1"/>
    </xf>
    <xf numFmtId="0" fontId="11" fillId="10" borderId="44" xfId="0" applyFont="1" applyFill="1" applyBorder="1" applyAlignment="1">
      <alignment horizontal="center" vertical="center" wrapText="1"/>
    </xf>
    <xf numFmtId="0" fontId="11" fillId="10" borderId="53" xfId="0" applyFont="1" applyFill="1" applyBorder="1" applyAlignment="1">
      <alignment horizontal="center" vertical="center" wrapText="1"/>
    </xf>
    <xf numFmtId="0" fontId="11" fillId="0" borderId="52" xfId="0" applyFont="1" applyBorder="1" applyAlignment="1">
      <alignment horizontal="center" vertical="center" wrapText="1"/>
    </xf>
    <xf numFmtId="0" fontId="11" fillId="0" borderId="53" xfId="0" applyFont="1" applyBorder="1" applyAlignment="1">
      <alignment horizontal="center" vertical="center" wrapText="1"/>
    </xf>
    <xf numFmtId="0" fontId="11" fillId="0" borderId="44" xfId="0" applyFont="1" applyBorder="1" applyAlignment="1">
      <alignment horizontal="center" vertical="center" wrapText="1"/>
    </xf>
    <xf numFmtId="0" fontId="0" fillId="7" borderId="0" xfId="0" applyFont="1" applyFill="1" applyAlignment="1" applyProtection="1">
      <alignment horizontal="left" vertical="top" wrapText="1"/>
    </xf>
    <xf numFmtId="0" fontId="1" fillId="11" borderId="0" xfId="0" applyFont="1" applyFill="1" applyAlignment="1" applyProtection="1">
      <alignment horizontal="center" vertical="center"/>
    </xf>
    <xf numFmtId="0" fontId="10" fillId="5" borderId="0" xfId="0" applyFont="1" applyFill="1" applyBorder="1" applyAlignment="1" applyProtection="1">
      <alignment horizontal="center" vertical="center"/>
    </xf>
    <xf numFmtId="0" fontId="0" fillId="7" borderId="0" xfId="0" applyFill="1" applyBorder="1" applyAlignment="1" applyProtection="1">
      <alignment horizontal="left" vertical="top" wrapText="1"/>
    </xf>
    <xf numFmtId="0" fontId="1" fillId="11" borderId="0" xfId="0" applyFont="1" applyFill="1" applyBorder="1" applyAlignment="1" applyProtection="1">
      <alignment horizontal="center" vertical="center"/>
    </xf>
    <xf numFmtId="0" fontId="0" fillId="13" borderId="0" xfId="3" applyFont="1" applyAlignment="1">
      <alignment horizontal="right"/>
    </xf>
    <xf numFmtId="0" fontId="3" fillId="13" borderId="0" xfId="3" applyAlignment="1">
      <alignment horizontal="right"/>
    </xf>
    <xf numFmtId="170" fontId="3" fillId="13" borderId="0" xfId="3" applyNumberFormat="1" applyAlignment="1" applyProtection="1">
      <alignment horizontal="center"/>
      <protection locked="0" hidden="1"/>
    </xf>
    <xf numFmtId="0" fontId="3" fillId="13" borderId="0" xfId="3"/>
    <xf numFmtId="0" fontId="3" fillId="13" borderId="0" xfId="3" applyAlignment="1" applyProtection="1">
      <alignment horizontal="center"/>
      <protection locked="0"/>
    </xf>
    <xf numFmtId="0" fontId="2" fillId="0" borderId="0" xfId="0" applyFont="1" applyFill="1" applyBorder="1"/>
    <xf numFmtId="0" fontId="4" fillId="0" borderId="0" xfId="0" applyFont="1" applyFill="1" applyBorder="1"/>
    <xf numFmtId="0" fontId="14" fillId="0" borderId="0" xfId="0" applyFont="1" applyFill="1" applyBorder="1"/>
    <xf numFmtId="1" fontId="4" fillId="0" borderId="0" xfId="0" applyNumberFormat="1" applyFont="1" applyFill="1" applyBorder="1"/>
    <xf numFmtId="165" fontId="4" fillId="0" borderId="0" xfId="0" applyNumberFormat="1" applyFont="1" applyFill="1" applyBorder="1"/>
    <xf numFmtId="0" fontId="0" fillId="0" borderId="0" xfId="0" applyNumberFormat="1" applyAlignment="1">
      <alignment horizontal="left" wrapText="1"/>
    </xf>
    <xf numFmtId="0" fontId="17" fillId="14" borderId="0" xfId="4"/>
    <xf numFmtId="0" fontId="26" fillId="14" borderId="0" xfId="4" applyFont="1" applyAlignment="1">
      <alignment horizontal="center"/>
    </xf>
    <xf numFmtId="0" fontId="27" fillId="14" borderId="0" xfId="4" applyFont="1" applyAlignment="1">
      <alignment horizontal="center"/>
    </xf>
    <xf numFmtId="0" fontId="17" fillId="14" borderId="0" xfId="4"/>
    <xf numFmtId="170" fontId="0" fillId="0" borderId="0" xfId="0" applyNumberFormat="1" applyBorder="1" applyProtection="1">
      <protection locked="0" hidden="1"/>
    </xf>
    <xf numFmtId="0" fontId="1" fillId="14" borderId="0" xfId="4" applyFont="1" applyAlignment="1">
      <alignment horizontal="right"/>
    </xf>
    <xf numFmtId="0" fontId="17" fillId="14" borderId="0" xfId="4" applyAlignment="1" applyProtection="1">
      <alignment horizontal="center"/>
      <protection locked="0"/>
    </xf>
    <xf numFmtId="170" fontId="17" fillId="14" borderId="0" xfId="4" applyNumberFormat="1" applyAlignment="1" applyProtection="1">
      <alignment horizontal="center"/>
      <protection locked="0" hidden="1"/>
    </xf>
  </cellXfs>
  <cellStyles count="5">
    <cellStyle name="60% - Accent6" xfId="3" builtinId="52"/>
    <cellStyle name="Accent1" xfId="4" builtinId="29"/>
    <cellStyle name="Currency" xfId="1" builtinId="4"/>
    <cellStyle name="Hyperlink" xfId="2" builtinId="8"/>
    <cellStyle name="Normal" xfId="0" builtinId="0"/>
  </cellStyles>
  <dxfs count="308">
    <dxf>
      <border diagonalUp="0" diagonalDown="0">
        <left/>
        <right style="thin">
          <color indexed="64"/>
        </right>
        <top/>
        <bottom/>
        <vertical/>
        <horizontal/>
      </border>
    </dxf>
    <dxf>
      <border diagonalUp="0" diagonalDown="0">
        <left style="medium">
          <color indexed="64"/>
        </left>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fill>
        <patternFill patternType="none">
          <fgColor indexed="64"/>
          <bgColor indexed="65"/>
        </patternFill>
      </fill>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numFmt numFmtId="1" formatCode="0"/>
    </dxf>
    <dxf>
      <numFmt numFmtId="1" formatCode="0"/>
    </dxf>
    <dxf>
      <numFmt numFmtId="169" formatCode="0_);[Red]\(0\)"/>
    </dxf>
    <dxf>
      <numFmt numFmtId="164" formatCode="&quot;$&quot;#,##0"/>
    </dxf>
    <dxf>
      <numFmt numFmtId="164" formatCode="&quot;$&quot;#,##0"/>
    </dxf>
    <dxf>
      <numFmt numFmtId="164" formatCode="&quot;$&quot;#,##0"/>
    </dxf>
    <dxf>
      <numFmt numFmtId="164" formatCode="&quot;$&quot;#,##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4" formatCode="&quot;$&quot;#,##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6" formatCode="mm/dd/yyyy\ hh:mm"/>
    </dxf>
    <dxf>
      <border diagonalUp="0" diagonalDown="0">
        <left style="medium">
          <color indexed="64"/>
        </left>
        <right/>
        <top/>
        <bottom/>
        <vertical/>
        <horizontal/>
      </border>
    </dxf>
    <dxf>
      <border diagonalUp="0" diagonalDown="0">
        <left/>
        <right style="medium">
          <color indexed="64"/>
        </right>
        <top/>
        <bottom/>
        <vertical/>
        <horizontal/>
      </border>
    </dxf>
    <dxf>
      <font>
        <b/>
        <i val="0"/>
        <strike val="0"/>
        <condense val="0"/>
        <extend val="0"/>
        <outline val="0"/>
        <shadow val="0"/>
        <u val="none"/>
        <vertAlign val="baseline"/>
        <sz val="11"/>
        <color theme="1"/>
        <name val="Calibri Light"/>
        <scheme val="minor"/>
      </font>
    </dxf>
    <dxf>
      <border diagonalUp="0" diagonalDown="0">
        <left style="medium">
          <color indexed="64"/>
        </left>
        <right/>
        <top/>
        <bottom/>
        <vertical/>
        <horizontal/>
      </border>
    </dxf>
    <dxf>
      <border diagonalUp="0" diagonalDown="0">
        <left/>
        <right style="medium">
          <color indexed="64"/>
        </right>
        <top/>
        <bottom/>
        <vertical/>
        <horizontal/>
      </border>
    </dxf>
    <dxf>
      <alignment horizontal="general" vertical="bottom" textRotation="0" wrapText="0" indent="0" justifyLastLine="0" shrinkToFit="0" readingOrder="0"/>
    </dxf>
    <dxf>
      <alignment horizontal="general" vertical="bottom" textRotation="0" wrapText="0" indent="0" justifyLastLine="0" shrinkToFit="0" readingOrder="0"/>
    </dxf>
    <dxf>
      <border diagonalUp="0" diagonalDown="0">
        <left style="medium">
          <color indexed="64"/>
        </left>
        <right/>
        <top/>
        <bottom/>
        <vertical/>
        <horizontal/>
      </border>
    </dxf>
    <dxf>
      <border diagonalUp="0" diagonalDown="0">
        <left/>
        <right style="medium">
          <color indexed="64"/>
        </right>
        <top/>
        <bottom/>
        <vertical/>
        <horizontal/>
      </border>
    </dxf>
    <dxf>
      <numFmt numFmtId="166" formatCode="mm/dd/yyyy\ hh:mm"/>
    </dxf>
    <dxf>
      <numFmt numFmtId="166" formatCode="mm/dd/yyyy\ hh:mm"/>
    </dxf>
    <dxf>
      <border diagonalUp="0" diagonalDown="0">
        <left style="medium">
          <color indexed="64"/>
        </left>
        <right/>
        <top/>
        <bottom/>
        <vertical/>
        <horizontal/>
      </border>
    </dxf>
    <dxf>
      <numFmt numFmtId="166" formatCode="mm/dd/yyyy\ hh:mm"/>
    </dxf>
    <dxf>
      <font>
        <color rgb="FF9C6500"/>
      </font>
      <fill>
        <patternFill>
          <bgColor rgb="FFFFEB9C"/>
        </patternFill>
      </fill>
    </dxf>
    <dxf>
      <fill>
        <patternFill>
          <bgColor rgb="FFFFFFCC"/>
        </patternFill>
      </fill>
    </dxf>
    <dxf>
      <fill>
        <patternFill>
          <bgColor rgb="FFFFEFFA"/>
        </patternFill>
      </fill>
    </dxf>
    <dxf>
      <fill>
        <patternFill>
          <bgColor theme="9"/>
        </patternFill>
      </fill>
    </dxf>
    <dxf>
      <font>
        <color rgb="FF9C6500"/>
      </font>
      <fill>
        <patternFill>
          <bgColor rgb="FFFFEB9C"/>
        </patternFill>
      </fill>
    </dxf>
    <dxf>
      <font>
        <color rgb="FF9C0006"/>
      </font>
      <fill>
        <patternFill>
          <bgColor rgb="FFFFC7CE"/>
        </patternFill>
      </fill>
    </dxf>
    <dxf>
      <fill>
        <patternFill>
          <bgColor rgb="FFFF9999"/>
        </patternFill>
      </fill>
    </dxf>
    <dxf>
      <fill>
        <patternFill>
          <bgColor rgb="FFFFFFE1"/>
        </patternFill>
      </fill>
    </dxf>
    <dxf>
      <font>
        <color rgb="FF9C6500"/>
      </font>
      <fill>
        <patternFill>
          <bgColor rgb="FFFFEB9C"/>
        </patternFill>
      </fill>
    </dxf>
    <dxf>
      <fill>
        <patternFill>
          <bgColor theme="3" tint="0.89996032593768116"/>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bgColor theme="9" tint="0.79998168889431442"/>
        </patternFill>
      </fill>
    </dxf>
    <dxf>
      <fill>
        <patternFill>
          <bgColor theme="9" tint="0.79998168889431442"/>
        </patternFill>
      </fill>
    </dxf>
    <dxf>
      <fill>
        <patternFill>
          <bgColor theme="3" tint="0.89996032593768116"/>
        </patternFill>
      </fill>
    </dxf>
    <dxf>
      <numFmt numFmtId="166" formatCode="mm/dd/yyyy\ hh:mm"/>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style="medium">
          <color indexed="64"/>
        </left>
        <right/>
        <top/>
        <bottom/>
      </border>
    </dxf>
    <dxf>
      <numFmt numFmtId="166" formatCode="mm/dd/yyyy\ hh:mm"/>
      <fill>
        <patternFill patternType="none">
          <fgColor indexed="64"/>
          <bgColor indexed="65"/>
        </patternFill>
      </fill>
      <border diagonalUp="0" diagonalDown="0" outline="0">
        <left/>
        <right/>
        <top/>
        <bottom/>
      </border>
    </dxf>
    <dxf>
      <numFmt numFmtId="166" formatCode="mm/dd/yyyy\ hh:mm"/>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style="medium">
          <color indexed="64"/>
        </right>
        <top/>
        <bottom/>
      </border>
    </dxf>
    <dxf>
      <fill>
        <patternFill patternType="none">
          <fgColor indexed="64"/>
          <bgColor indexed="65"/>
        </patternFill>
      </fill>
      <border diagonalUp="0" diagonalDown="0" outline="0">
        <left style="medium">
          <color indexed="64"/>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alignment horizontal="general" vertical="bottom" textRotation="0" wrapText="0" indent="0" justifyLastLine="0" shrinkToFit="0" readingOrder="0"/>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style="medium">
          <color indexed="64"/>
        </right>
        <top/>
        <bottom/>
      </border>
    </dxf>
    <dxf>
      <border diagonalUp="0" diagonalDown="0" outline="0">
        <left style="medium">
          <color indexed="64"/>
        </left>
        <right/>
        <top/>
        <bottom/>
      </border>
    </dxf>
    <dxf>
      <font>
        <b/>
        <i val="0"/>
        <strike val="0"/>
        <condense val="0"/>
        <extend val="0"/>
        <outline val="0"/>
        <shadow val="0"/>
        <u val="none"/>
        <vertAlign val="baseline"/>
        <sz val="11"/>
        <color theme="1"/>
        <name val="Calibri Light"/>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ertAlign val="baseline"/>
        <sz val="11"/>
        <color theme="10"/>
        <name val="Calibri Light"/>
        <family val="2"/>
        <scheme val="minor"/>
      </font>
      <fill>
        <patternFill patternType="none">
          <fgColor indexed="64"/>
          <bgColor indexed="65"/>
        </patternFill>
      </fill>
      <border diagonalUp="0" diagonalDown="0" outline="0">
        <left/>
        <right/>
        <top/>
        <bottom/>
      </border>
    </dxf>
    <dxf>
      <font>
        <b/>
        <i val="0"/>
        <strike val="0"/>
        <condense val="0"/>
        <extend val="0"/>
        <outline val="0"/>
        <shadow val="0"/>
        <u val="none"/>
        <vertAlign val="baseline"/>
        <sz val="11"/>
        <color theme="1"/>
        <name val="Calibri Light"/>
        <family val="2"/>
        <scheme val="minor"/>
      </font>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style="medium">
          <color indexed="64"/>
        </right>
        <top/>
        <bottom/>
      </border>
    </dxf>
    <dxf>
      <numFmt numFmtId="166" formatCode="mm/dd/yyyy\ hh:mm"/>
      <fill>
        <patternFill patternType="none">
          <fgColor indexed="64"/>
          <bgColor indexed="65"/>
        </patternFill>
      </fill>
      <border diagonalUp="0" diagonalDown="0" outline="0">
        <left style="medium">
          <color indexed="64"/>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numFmt numFmtId="166" formatCode="mm/dd/yyyy\ hh:mm"/>
      <fill>
        <patternFill patternType="none">
          <fgColor indexed="64"/>
          <bgColor indexed="65"/>
        </patternFill>
      </fill>
      <border diagonalUp="0" diagonalDown="0" outline="0">
        <left/>
        <right/>
        <top/>
        <bottom/>
      </border>
    </dxf>
    <dxf>
      <border diagonalUp="0" diagonalDown="0" outline="0">
        <left/>
        <right/>
        <top/>
        <bottom/>
      </border>
    </dxf>
    <dxf>
      <fill>
        <patternFill patternType="none">
          <fgColor indexed="64"/>
          <bgColor indexed="65"/>
        </patternFill>
      </fill>
      <border diagonalUp="0" diagonalDown="0" outline="0">
        <left/>
        <right/>
        <top/>
        <bottom/>
      </border>
    </dxf>
    <dxf>
      <font>
        <b val="0"/>
        <i val="0"/>
        <strike val="0"/>
        <condense val="0"/>
        <extend val="0"/>
        <outline val="0"/>
        <shadow val="0"/>
        <u/>
        <vertAlign val="baseline"/>
        <sz val="11"/>
        <color theme="10"/>
        <name val="Calibri Light"/>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ertAlign val="baseline"/>
        <sz val="11"/>
        <color theme="10"/>
        <name val="Calibri Light"/>
        <family val="2"/>
        <scheme val="minor"/>
      </font>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numFmt numFmtId="0" formatCode="General"/>
      <fill>
        <patternFill patternType="none">
          <fgColor indexed="64"/>
          <bgColor indexed="65"/>
        </patternFill>
      </fill>
      <border diagonalUp="0" diagonalDown="0" outline="0">
        <left/>
        <right/>
        <top/>
        <bottom/>
      </border>
    </dxf>
    <dxf>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auto="1"/>
        <name val="Calibri Light"/>
        <family val="2"/>
        <scheme val="minor"/>
      </font>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numFmt numFmtId="164" formatCode="&quot;$&quot;#,##0"/>
      <fill>
        <patternFill patternType="none">
          <fgColor indexed="64"/>
          <bgColor indexed="65"/>
        </patternFill>
      </fill>
      <border diagonalUp="0" diagonalDown="0" outline="0">
        <left/>
        <right/>
        <top/>
        <bottom/>
      </border>
    </dxf>
    <dxf>
      <numFmt numFmtId="164" formatCode="&quot;$&quot;#,##0"/>
      <fill>
        <patternFill patternType="none">
          <fgColor indexed="64"/>
          <bgColor indexed="65"/>
        </patternFill>
      </fill>
      <border diagonalUp="0" diagonalDown="0" outline="0">
        <left/>
        <right/>
        <top/>
        <bottom/>
      </border>
    </dxf>
    <dxf>
      <numFmt numFmtId="164" formatCode="&quot;$&quot;#,##0"/>
      <fill>
        <patternFill patternType="none">
          <fgColor indexed="64"/>
          <bgColor indexed="65"/>
        </patternFill>
      </fill>
      <border diagonalUp="0" diagonalDown="0" outline="0">
        <left/>
        <right/>
        <top/>
        <bottom/>
      </border>
    </dxf>
    <dxf>
      <numFmt numFmtId="164" formatCode="&quot;$&quot;#,##0"/>
      <fill>
        <patternFill patternType="none">
          <fgColor indexed="64"/>
          <bgColor indexed="65"/>
        </patternFill>
      </fill>
      <border diagonalUp="0" diagonalDown="0" outline="0">
        <left/>
        <right/>
        <top/>
        <bottom/>
      </border>
    </dxf>
    <dxf>
      <numFmt numFmtId="169" formatCode="0_);[Red]\(0\)"/>
      <fill>
        <patternFill patternType="none">
          <fgColor indexed="64"/>
          <bgColor indexed="65"/>
        </patternFill>
      </fill>
      <border diagonalUp="0" diagonalDown="0" outline="0">
        <left/>
        <right/>
        <top/>
        <bottom/>
      </border>
    </dxf>
    <dxf>
      <font>
        <b val="0"/>
        <i val="0"/>
        <strike val="0"/>
        <condense val="0"/>
        <extend val="0"/>
        <outline val="0"/>
        <shadow val="0"/>
        <u/>
        <vertAlign val="baseline"/>
        <sz val="11"/>
        <color theme="10"/>
        <name val="Calibri Light"/>
        <family val="2"/>
        <scheme val="minor"/>
      </font>
      <numFmt numFmtId="1" formatCode="0"/>
      <fill>
        <patternFill patternType="none">
          <fgColor indexed="64"/>
          <bgColor indexed="65"/>
        </patternFill>
      </fill>
      <border diagonalUp="0" diagonalDown="0" outline="0">
        <left/>
        <right/>
        <top/>
        <bottom/>
      </border>
    </dxf>
    <dxf>
      <font>
        <b val="0"/>
        <i val="0"/>
        <strike val="0"/>
        <condense val="0"/>
        <extend val="0"/>
        <outline val="0"/>
        <shadow val="0"/>
        <u/>
        <vertAlign val="baseline"/>
        <sz val="11"/>
        <color theme="10"/>
        <name val="Calibri Light"/>
        <family val="2"/>
        <scheme val="minor"/>
      </font>
      <numFmt numFmtId="1" formatCode="0"/>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style="medium">
          <color indexed="64"/>
        </right>
        <top/>
        <bottom/>
      </border>
    </dxf>
    <dxf>
      <font>
        <b val="0"/>
        <i val="0"/>
        <strike val="0"/>
        <condense val="0"/>
        <extend val="0"/>
        <outline val="0"/>
        <shadow val="0"/>
        <u/>
        <vertAlign val="baseline"/>
        <sz val="11"/>
        <color theme="10"/>
        <name val="Calibri Light"/>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ertAlign val="baseline"/>
        <sz val="11"/>
        <color theme="10"/>
        <name val="Calibri Light"/>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ertAlign val="baseline"/>
        <sz val="11"/>
        <color theme="10"/>
        <name val="Calibri Light"/>
        <family val="2"/>
        <scheme val="minor"/>
      </font>
      <numFmt numFmtId="165" formatCode="mm/dd/yy;@"/>
      <fill>
        <patternFill patternType="none">
          <fgColor indexed="64"/>
          <bgColor indexed="65"/>
        </patternFill>
      </fill>
      <border diagonalUp="0" diagonalDown="0" outline="0">
        <left/>
        <right/>
        <top/>
        <bottom/>
      </border>
    </dxf>
    <dxf>
      <font>
        <b val="0"/>
        <i val="0"/>
        <strike val="0"/>
        <condense val="0"/>
        <extend val="0"/>
        <outline val="0"/>
        <shadow val="0"/>
        <u/>
        <vertAlign val="baseline"/>
        <sz val="11"/>
        <color theme="10"/>
        <name val="Calibri Light"/>
        <family val="2"/>
        <scheme val="minor"/>
      </font>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style="medium">
          <color indexed="64"/>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style="medium">
          <color indexed="64"/>
        </right>
        <top/>
        <bottom/>
      </border>
    </dxf>
    <dxf>
      <fill>
        <patternFill patternType="none">
          <fgColor indexed="64"/>
          <bgColor indexed="65"/>
        </patternFill>
      </fill>
      <border diagonalUp="0" diagonalDown="0" outline="0">
        <left style="medium">
          <color indexed="64"/>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numFmt numFmtId="164" formatCode="&quot;$&quot;#,##0"/>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style="medium">
          <color indexed="64"/>
        </right>
        <top/>
        <bottom/>
      </border>
    </dxf>
    <dxf>
      <fill>
        <patternFill patternType="none">
          <fgColor indexed="64"/>
          <bgColor indexed="65"/>
        </patternFill>
      </fill>
      <border diagonalUp="0" diagonalDown="0" outline="0">
        <left style="medium">
          <color indexed="64"/>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numFmt numFmtId="164" formatCode="&quot;$&quot;#,##0"/>
      <fill>
        <patternFill patternType="none">
          <fgColor indexed="64"/>
          <bgColor indexed="65"/>
        </patternFill>
      </fill>
      <border diagonalUp="0" diagonalDown="0" outline="0">
        <left/>
        <right style="medium">
          <color indexed="64"/>
        </right>
        <top/>
        <bottom/>
      </border>
    </dxf>
    <dxf>
      <fill>
        <patternFill patternType="none">
          <fgColor indexed="64"/>
          <bgColor indexed="65"/>
        </patternFill>
      </fill>
      <border diagonalUp="0" diagonalDown="0" outline="0">
        <left style="medium">
          <color indexed="64"/>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numFmt numFmtId="164" formatCode="&quot;$&quot;#,##0"/>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numFmt numFmtId="164" formatCode="&quot;$&quot;#,##0"/>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style="medium">
          <color indexed="64"/>
        </right>
        <top/>
        <bottom/>
      </border>
    </dxf>
    <dxf>
      <numFmt numFmtId="164" formatCode="&quot;$&quot;#,##0"/>
      <fill>
        <patternFill patternType="none">
          <fgColor indexed="64"/>
          <bgColor indexed="65"/>
        </patternFill>
      </fill>
      <border diagonalUp="0" diagonalDown="0" outline="0">
        <left style="medium">
          <color indexed="64"/>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style="medium">
          <color indexed="64"/>
        </right>
        <top/>
        <bottom/>
      </border>
    </dxf>
    <dxf>
      <fill>
        <patternFill patternType="none">
          <fgColor indexed="64"/>
          <bgColor indexed="65"/>
        </patternFill>
      </fill>
      <border diagonalUp="0" diagonalDown="0" outline="0">
        <left style="medium">
          <color indexed="64"/>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style="medium">
          <color indexed="64"/>
        </right>
        <top/>
        <bottom/>
      </border>
    </dxf>
    <dxf>
      <fill>
        <patternFill patternType="none">
          <fgColor indexed="64"/>
          <bgColor indexed="65"/>
        </patternFill>
      </fill>
      <border diagonalUp="0" diagonalDown="0" outline="0">
        <left style="medium">
          <color indexed="64"/>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style="medium">
          <color indexed="64"/>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style="medium">
          <color indexed="64"/>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numFmt numFmtId="164" formatCode="&quot;$&quot;#,##0"/>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style="medium">
          <color indexed="64"/>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fill>
        <patternFill patternType="none">
          <fgColor indexed="64"/>
          <bgColor indexed="65"/>
        </patternFill>
      </fill>
      <border diagonalUp="0" diagonalDown="0" outline="0">
        <left/>
        <right/>
        <top/>
        <bottom/>
      </border>
    </dxf>
    <dxf>
      <numFmt numFmtId="164" formatCode="&quot;$&quot;#,##0"/>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1"/>
        <color theme="1"/>
        <name val="Calibri Light"/>
        <scheme val="minor"/>
      </font>
      <numFmt numFmtId="164" formatCode="&quot;$&quot;#,##0"/>
    </dxf>
    <dxf>
      <numFmt numFmtId="1" formatCode="0"/>
    </dxf>
    <dxf>
      <font>
        <b val="0"/>
        <i val="0"/>
        <strike val="0"/>
        <condense val="0"/>
        <extend val="0"/>
        <outline val="0"/>
        <shadow val="0"/>
        <u val="none"/>
        <vertAlign val="baseline"/>
        <sz val="11"/>
        <color theme="1"/>
        <name val="Calibri Light"/>
        <scheme val="minor"/>
      </font>
      <numFmt numFmtId="164" formatCode="&quot;$&quot;#,##0"/>
    </dxf>
    <dxf>
      <font>
        <b val="0"/>
        <i val="0"/>
        <strike val="0"/>
        <condense val="0"/>
        <extend val="0"/>
        <outline val="0"/>
        <shadow val="0"/>
        <u val="none"/>
        <vertAlign val="baseline"/>
        <sz val="11"/>
        <color theme="1"/>
        <name val="Calibri Light"/>
        <scheme val="minor"/>
      </font>
      <numFmt numFmtId="164" formatCode="&quot;$&quot;#,##0"/>
    </dxf>
    <dxf>
      <font>
        <b val="0"/>
        <i val="0"/>
        <strike val="0"/>
        <condense val="0"/>
        <extend val="0"/>
        <outline val="0"/>
        <shadow val="0"/>
        <u val="none"/>
        <vertAlign val="baseline"/>
        <sz val="11"/>
        <color theme="1"/>
        <name val="Calibri Light"/>
        <scheme val="minor"/>
      </font>
      <numFmt numFmtId="164" formatCode="&quot;$&quot;#,##0"/>
    </dxf>
    <dxf>
      <font>
        <b val="0"/>
        <i val="0"/>
        <strike val="0"/>
        <condense val="0"/>
        <extend val="0"/>
        <outline val="0"/>
        <shadow val="0"/>
        <u val="none"/>
        <vertAlign val="baseline"/>
        <sz val="11"/>
        <color theme="1"/>
        <name val="Calibri Light"/>
        <scheme val="minor"/>
      </font>
      <numFmt numFmtId="164" formatCode="&quot;$&quot;#,##0"/>
    </dxf>
    <dxf>
      <font>
        <b val="0"/>
        <i val="0"/>
        <strike val="0"/>
        <condense val="0"/>
        <extend val="0"/>
        <outline val="0"/>
        <shadow val="0"/>
        <u val="none"/>
        <vertAlign val="baseline"/>
        <sz val="11"/>
        <color theme="1"/>
        <name val="Calibri Light"/>
        <scheme val="minor"/>
      </font>
      <numFmt numFmtId="164" formatCode="&quot;$&quot;#,##0"/>
    </dxf>
    <dxf>
      <font>
        <b val="0"/>
        <i val="0"/>
        <strike val="0"/>
        <condense val="0"/>
        <extend val="0"/>
        <outline val="0"/>
        <shadow val="0"/>
        <u val="none"/>
        <vertAlign val="baseline"/>
        <sz val="11"/>
        <color theme="1"/>
        <name val="Calibri Light"/>
        <scheme val="minor"/>
      </font>
      <numFmt numFmtId="164" formatCode="&quot;$&quot;#,##0"/>
    </dxf>
    <dxf>
      <font>
        <b val="0"/>
        <i val="0"/>
        <strike val="0"/>
        <condense val="0"/>
        <extend val="0"/>
        <outline val="0"/>
        <shadow val="0"/>
        <u val="none"/>
        <vertAlign val="baseline"/>
        <sz val="11"/>
        <color theme="1"/>
        <name val="Calibri Light"/>
        <scheme val="minor"/>
      </font>
      <numFmt numFmtId="164" formatCode="&quot;$&quot;#,##0"/>
    </dxf>
    <dxf>
      <font>
        <b val="0"/>
        <i val="0"/>
        <strike val="0"/>
        <condense val="0"/>
        <extend val="0"/>
        <outline val="0"/>
        <shadow val="0"/>
        <u val="none"/>
        <vertAlign val="baseline"/>
        <sz val="11"/>
        <color theme="1"/>
        <name val="Calibri Light"/>
        <scheme val="minor"/>
      </font>
      <numFmt numFmtId="164" formatCode="&quot;$&quot;#,##0"/>
    </dxf>
    <dxf>
      <font>
        <b val="0"/>
        <i val="0"/>
        <strike val="0"/>
        <condense val="0"/>
        <extend val="0"/>
        <outline val="0"/>
        <shadow val="0"/>
        <u val="none"/>
        <vertAlign val="baseline"/>
        <sz val="11"/>
        <color theme="1"/>
        <name val="Calibri Light"/>
        <scheme val="minor"/>
      </font>
      <numFmt numFmtId="164" formatCode="&quot;$&quot;#,##0"/>
      <border diagonalUp="0" diagonalDown="0">
        <left/>
        <right style="medium">
          <color indexed="64"/>
        </right>
        <top/>
        <bottom/>
        <vertical/>
        <horizontal/>
      </border>
    </dxf>
    <dxf>
      <font>
        <b val="0"/>
        <i val="0"/>
        <strike val="0"/>
        <condense val="0"/>
        <extend val="0"/>
        <outline val="0"/>
        <shadow val="0"/>
        <u val="none"/>
        <vertAlign val="baseline"/>
        <sz val="11"/>
        <color theme="1"/>
        <name val="Calibri Light"/>
        <scheme val="minor"/>
      </font>
      <numFmt numFmtId="164" formatCode="&quot;$&quot;#,##0"/>
    </dxf>
    <dxf>
      <font>
        <b val="0"/>
        <i val="0"/>
        <strike val="0"/>
        <condense val="0"/>
        <extend val="0"/>
        <outline val="0"/>
        <shadow val="0"/>
        <u val="none"/>
        <vertAlign val="baseline"/>
        <sz val="11"/>
        <color theme="1"/>
        <name val="Calibri Light"/>
        <scheme val="minor"/>
      </font>
      <numFmt numFmtId="164" formatCode="&quot;$&quot;#,##0"/>
    </dxf>
    <dxf>
      <font>
        <b val="0"/>
        <i val="0"/>
        <strike val="0"/>
        <condense val="0"/>
        <extend val="0"/>
        <outline val="0"/>
        <shadow val="0"/>
        <u val="none"/>
        <vertAlign val="baseline"/>
        <sz val="11"/>
        <color theme="1"/>
        <name val="Calibri Light"/>
        <scheme val="minor"/>
      </font>
      <numFmt numFmtId="164" formatCode="&quot;$&quot;#,##0"/>
    </dxf>
    <dxf>
      <numFmt numFmtId="1" formatCode="0"/>
    </dxf>
    <dxf>
      <numFmt numFmtId="1" formatCode="0"/>
    </dxf>
    <dxf>
      <font>
        <b val="0"/>
        <i val="0"/>
        <strike val="0"/>
        <condense val="0"/>
        <extend val="0"/>
        <outline val="0"/>
        <shadow val="0"/>
        <u val="none"/>
        <vertAlign val="baseline"/>
        <sz val="11"/>
        <color theme="1"/>
        <name val="Calibri Light"/>
        <scheme val="minor"/>
      </font>
      <numFmt numFmtId="1" formatCode="0"/>
    </dxf>
    <dxf>
      <font>
        <b val="0"/>
        <i val="0"/>
        <strike val="0"/>
        <condense val="0"/>
        <extend val="0"/>
        <outline val="0"/>
        <shadow val="0"/>
        <u val="none"/>
        <vertAlign val="baseline"/>
        <sz val="11"/>
        <color theme="1"/>
        <name val="Calibri Light"/>
        <scheme val="minor"/>
      </font>
      <numFmt numFmtId="164" formatCode="&quot;$&quot;#,##0"/>
    </dxf>
    <dxf>
      <font>
        <b val="0"/>
        <i val="0"/>
        <strike val="0"/>
        <condense val="0"/>
        <extend val="0"/>
        <outline val="0"/>
        <shadow val="0"/>
        <u val="none"/>
        <vertAlign val="baseline"/>
        <sz val="11"/>
        <color theme="1"/>
        <name val="Calibri Light"/>
        <scheme val="minor"/>
      </font>
      <numFmt numFmtId="169" formatCode="0_);[Red]\(0\)"/>
    </dxf>
    <dxf>
      <font>
        <b val="0"/>
        <i val="0"/>
        <strike val="0"/>
        <condense val="0"/>
        <extend val="0"/>
        <outline val="0"/>
        <shadow val="0"/>
        <u val="none"/>
        <vertAlign val="baseline"/>
        <sz val="11"/>
        <color theme="1"/>
        <name val="Calibri Light"/>
        <scheme val="minor"/>
      </font>
      <numFmt numFmtId="30" formatCode="@"/>
    </dxf>
    <dxf>
      <font>
        <b val="0"/>
        <i val="0"/>
        <strike val="0"/>
        <condense val="0"/>
        <extend val="0"/>
        <outline val="0"/>
        <shadow val="0"/>
        <u val="none"/>
        <vertAlign val="baseline"/>
        <sz val="11"/>
        <color theme="1"/>
        <name val="Calibri Light"/>
        <scheme val="minor"/>
      </font>
      <numFmt numFmtId="1" formatCode="0"/>
    </dxf>
    <dxf>
      <font>
        <b val="0"/>
        <i val="0"/>
        <strike val="0"/>
        <condense val="0"/>
        <extend val="0"/>
        <outline val="0"/>
        <shadow val="0"/>
        <u val="none"/>
        <vertAlign val="baseline"/>
        <sz val="11"/>
        <color theme="1"/>
        <name val="Calibri Light"/>
        <scheme val="minor"/>
      </font>
      <numFmt numFmtId="164" formatCode="&quot;$&quot;#,##0"/>
    </dxf>
    <dxf>
      <numFmt numFmtId="166" formatCode="mm/dd/yyyy\ hh:mm"/>
    </dxf>
    <dxf>
      <border diagonalUp="0" diagonalDown="0">
        <left style="medium">
          <color indexed="64"/>
        </left>
        <right/>
        <top/>
        <bottom/>
        <vertical/>
        <horizontal/>
      </border>
    </dxf>
    <dxf>
      <border diagonalUp="0" diagonalDown="0">
        <left/>
        <right style="medium">
          <color indexed="64"/>
        </right>
        <top/>
        <bottom/>
        <vertical/>
        <horizontal/>
      </border>
    </dxf>
    <dxf>
      <font>
        <b/>
        <i val="0"/>
        <strike val="0"/>
        <condense val="0"/>
        <extend val="0"/>
        <outline val="0"/>
        <shadow val="0"/>
        <u val="none"/>
        <vertAlign val="baseline"/>
        <sz val="11"/>
        <color theme="1"/>
        <name val="Calibri Light"/>
        <scheme val="minor"/>
      </font>
      <numFmt numFmtId="167" formatCode="0000000"/>
    </dxf>
    <dxf>
      <font>
        <b val="0"/>
        <i val="0"/>
        <strike val="0"/>
        <condense val="0"/>
        <extend val="0"/>
        <outline val="0"/>
        <shadow val="0"/>
        <u val="none"/>
        <vertAlign val="baseline"/>
        <sz val="11"/>
        <color theme="1"/>
        <name val="Calibri Light"/>
        <scheme val="minor"/>
      </font>
      <numFmt numFmtId="164" formatCode="&quot;$&quot;#,##0"/>
    </dxf>
    <dxf>
      <border diagonalUp="0" diagonalDown="0">
        <left style="medium">
          <color indexed="64"/>
        </left>
        <right/>
        <top/>
        <bottom/>
        <vertical/>
        <horizontal/>
      </border>
    </dxf>
    <dxf>
      <font>
        <b val="0"/>
        <i val="0"/>
        <strike val="0"/>
        <condense val="0"/>
        <extend val="0"/>
        <outline val="0"/>
        <shadow val="0"/>
        <u val="none"/>
        <vertAlign val="baseline"/>
        <sz val="11"/>
        <color theme="1"/>
        <name val="Calibri Light"/>
        <scheme val="minor"/>
      </font>
      <numFmt numFmtId="0" formatCode="General"/>
    </dxf>
    <dxf>
      <font>
        <b val="0"/>
        <i val="0"/>
        <strike val="0"/>
        <condense val="0"/>
        <extend val="0"/>
        <outline val="0"/>
        <shadow val="0"/>
        <u val="none"/>
        <vertAlign val="baseline"/>
        <sz val="11"/>
        <color theme="1"/>
        <name val="Calibri Light"/>
        <scheme val="minor"/>
      </font>
      <numFmt numFmtId="164" formatCode="&quot;$&quot;#,##0"/>
    </dxf>
    <dxf>
      <numFmt numFmtId="164" formatCode="&quot;$&quot;#,##0"/>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Light"/>
        <scheme val="minor"/>
      </font>
      <numFmt numFmtId="164" formatCode="&quot;$&quot;#,##0"/>
    </dxf>
    <dxf>
      <font>
        <b val="0"/>
        <i val="0"/>
        <strike val="0"/>
        <condense val="0"/>
        <extend val="0"/>
        <outline val="0"/>
        <shadow val="0"/>
        <u val="none"/>
        <vertAlign val="baseline"/>
        <sz val="11"/>
        <color theme="1"/>
        <name val="Calibri Light"/>
        <scheme val="minor"/>
      </font>
      <numFmt numFmtId="164" formatCode="&quot;$&quot;#,##0"/>
    </dxf>
    <dxf>
      <border diagonalUp="0" diagonalDown="0">
        <left style="medium">
          <color indexed="64"/>
        </left>
        <right/>
        <top/>
        <bottom/>
        <vertical/>
        <horizontal/>
      </border>
    </dxf>
    <dxf>
      <font>
        <b val="0"/>
        <i val="0"/>
        <strike val="0"/>
        <condense val="0"/>
        <extend val="0"/>
        <outline val="0"/>
        <shadow val="0"/>
        <u val="none"/>
        <vertAlign val="baseline"/>
        <sz val="11"/>
        <color theme="1"/>
        <name val="Calibri Light"/>
        <scheme val="minor"/>
      </font>
      <numFmt numFmtId="164" formatCode="&quot;$&quot;#,##0"/>
      <border diagonalUp="0" diagonalDown="0">
        <left/>
        <right style="medium">
          <color indexed="64"/>
        </right>
        <top/>
        <bottom/>
        <vertical/>
        <horizontal/>
      </border>
    </dxf>
    <dxf>
      <font>
        <b val="0"/>
        <i val="0"/>
        <strike val="0"/>
        <condense val="0"/>
        <extend val="0"/>
        <outline val="0"/>
        <shadow val="0"/>
        <u val="none"/>
        <vertAlign val="baseline"/>
        <sz val="11"/>
        <color theme="1"/>
        <name val="Calibri Light"/>
        <scheme val="minor"/>
      </font>
      <numFmt numFmtId="166" formatCode="mm/dd/yyyy\ hh:mm"/>
    </dxf>
    <dxf>
      <font>
        <b val="0"/>
        <i val="0"/>
        <strike val="0"/>
        <condense val="0"/>
        <extend val="0"/>
        <outline val="0"/>
        <shadow val="0"/>
        <u val="none"/>
        <vertAlign val="baseline"/>
        <sz val="11"/>
        <color theme="1"/>
        <name val="Calibri Light"/>
        <scheme val="minor"/>
      </font>
      <numFmt numFmtId="164" formatCode="&quot;$&quot;#,##0"/>
    </dxf>
    <dxf>
      <font>
        <b val="0"/>
        <i val="0"/>
        <strike val="0"/>
        <condense val="0"/>
        <extend val="0"/>
        <outline val="0"/>
        <shadow val="0"/>
        <u val="none"/>
        <vertAlign val="baseline"/>
        <sz val="11"/>
        <color theme="1"/>
        <name val="Calibri Light"/>
        <scheme val="minor"/>
      </font>
      <numFmt numFmtId="164" formatCode="&quot;$&quot;#,##0"/>
    </dxf>
    <dxf>
      <numFmt numFmtId="165" formatCode="mm/dd/yy;@"/>
    </dxf>
    <dxf>
      <numFmt numFmtId="166" formatCode="mm/dd/yyyy\ hh:mm"/>
    </dxf>
    <dxf>
      <numFmt numFmtId="166" formatCode="mm/dd/yyyy\ hh:mm"/>
    </dxf>
    <dxf>
      <border diagonalUp="0" diagonalDown="0">
        <left style="medium">
          <color indexed="64"/>
        </left>
        <right/>
        <top/>
        <bottom/>
        <vertical/>
        <horizontal/>
      </border>
    </dxf>
    <dxf>
      <font>
        <b val="0"/>
        <i val="0"/>
        <strike val="0"/>
        <condense val="0"/>
        <extend val="0"/>
        <outline val="0"/>
        <shadow val="0"/>
        <u val="none"/>
        <vertAlign val="baseline"/>
        <sz val="11"/>
        <color theme="1"/>
        <name val="Calibri Light"/>
        <scheme val="minor"/>
      </font>
      <numFmt numFmtId="166" formatCode="mm/dd/yyyy\ hh:mm"/>
    </dxf>
    <dxf>
      <fill>
        <patternFill patternType="none">
          <fgColor indexed="64"/>
          <bgColor indexed="65"/>
        </patternFill>
      </fill>
      <protection locked="1" hidden="0"/>
    </dxf>
    <dxf>
      <fill>
        <patternFill patternType="none">
          <fgColor indexed="64"/>
          <bgColor indexed="65"/>
        </patternFill>
      </fill>
      <protection locked="1" hidden="0"/>
    </dxf>
    <dxf>
      <fill>
        <patternFill patternType="none">
          <fgColor indexed="64"/>
          <bgColor auto="1"/>
        </patternFill>
      </fill>
      <protection locked="1" hidden="0"/>
    </dxf>
    <dxf>
      <fill>
        <patternFill patternType="none">
          <fgColor indexed="64"/>
          <bgColor auto="1"/>
        </patternFill>
      </fill>
      <protection locked="1" hidden="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horizontal="center" readingOrder="0"/>
    </dxf>
    <dxf>
      <alignment horizontal="center" readingOrder="0"/>
    </dxf>
    <dxf>
      <alignment vertical="center" readingOrder="0"/>
    </dxf>
    <dxf>
      <alignment vertical="center" readingOrder="0"/>
    </dxf>
    <dxf>
      <alignment wrapText="1" readingOrder="0"/>
    </dxf>
    <dxf>
      <alignment wrapText="1"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wrapText="1" readingOrder="0"/>
    </dxf>
    <dxf>
      <alignment wrapText="1" readingOrder="0"/>
    </dxf>
    <dxf>
      <alignment horizontal="left" readingOrder="0"/>
    </dxf>
    <dxf>
      <alignment horizontal="left" readingOrder="0"/>
    </dxf>
    <dxf>
      <alignment horizontal="left" readingOrder="0"/>
    </dxf>
    <dxf>
      <alignment wrapText="1" readingOrder="0"/>
    </dxf>
    <dxf>
      <alignment wrapText="1" readingOrder="0"/>
    </dxf>
    <dxf>
      <alignment horizontal="left" readingOrder="0"/>
    </dxf>
    <dxf>
      <alignment horizontal="left" readingOrder="0"/>
    </dxf>
    <dxf>
      <alignment horizontal="left" readingOrder="0"/>
    </dxf>
    <dxf>
      <alignment wrapText="1" readingOrder="0"/>
    </dxf>
    <dxf>
      <alignment wrapText="1" readingOrder="0"/>
    </dxf>
    <dxf>
      <alignment wrapText="1" readingOrder="0"/>
    </dxf>
    <dxf>
      <alignment wrapText="1" readingOrder="0"/>
    </dxf>
    <dxf>
      <font>
        <b val="0"/>
        <i val="0"/>
        <strike val="0"/>
        <condense val="0"/>
        <extend val="0"/>
        <outline val="0"/>
        <shadow val="0"/>
        <u val="none"/>
        <vertAlign val="baseline"/>
        <sz val="11"/>
        <color theme="1"/>
        <name val="Calibri Light"/>
        <scheme val="minor"/>
      </font>
      <fill>
        <patternFill patternType="solid">
          <fgColor indexed="64"/>
          <bgColor theme="0"/>
        </patternFill>
      </fill>
    </dxf>
    <dxf>
      <font>
        <b val="0"/>
        <i val="0"/>
        <strike val="0"/>
        <condense val="0"/>
        <extend val="0"/>
        <outline val="0"/>
        <shadow val="0"/>
        <u val="none"/>
        <vertAlign val="baseline"/>
        <sz val="11"/>
        <color theme="1"/>
        <name val="Calibri Light"/>
        <scheme val="minor"/>
      </font>
      <fill>
        <patternFill patternType="solid">
          <fgColor indexed="64"/>
          <bgColor theme="0"/>
        </patternFill>
      </fill>
    </dxf>
    <dxf>
      <font>
        <b val="0"/>
        <i val="0"/>
        <strike val="0"/>
        <condense val="0"/>
        <extend val="0"/>
        <outline val="0"/>
        <shadow val="0"/>
        <u val="none"/>
        <vertAlign val="baseline"/>
        <sz val="11"/>
        <color auto="1"/>
        <name val="Calibri Light"/>
        <scheme val="minor"/>
      </font>
      <fill>
        <patternFill patternType="none">
          <fgColor indexed="64"/>
          <bgColor indexed="65"/>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Light"/>
        <scheme val="minor"/>
      </font>
      <fill>
        <patternFill patternType="solid">
          <fgColor indexed="64"/>
          <bgColor theme="0"/>
        </patternFill>
      </fill>
      <border diagonalUp="0" diagonalDown="0">
        <left/>
        <right/>
        <top style="thin">
          <color theme="4" tint="0.39997558519241921"/>
        </top>
        <bottom style="thin">
          <color theme="4" tint="0.39997558519241921"/>
        </bottom>
        <vertical/>
        <horizontal style="thin">
          <color theme="4" tint="0.39997558519241921"/>
        </horizontal>
      </border>
    </dxf>
    <dxf>
      <font>
        <b val="0"/>
        <i val="0"/>
        <strike val="0"/>
        <condense val="0"/>
        <extend val="0"/>
        <outline val="0"/>
        <shadow val="0"/>
        <u val="none"/>
        <vertAlign val="baseline"/>
        <sz val="11"/>
        <color theme="1"/>
        <name val="Calibri Light"/>
        <scheme val="minor"/>
      </font>
      <fill>
        <patternFill patternType="solid">
          <fgColor indexed="64"/>
          <bgColor theme="0"/>
        </patternFill>
      </fill>
      <alignment horizontal="right" vertical="bottom" textRotation="0" wrapText="0" indent="0" justifyLastLine="0" shrinkToFit="0" readingOrder="0"/>
      <border diagonalUp="0" diagonalDown="0">
        <left style="medium">
          <color theme="3"/>
        </left>
        <right style="medium">
          <color theme="3"/>
        </right>
        <top style="thin">
          <color auto="1"/>
        </top>
        <bottom style="thin">
          <color auto="1"/>
        </bottom>
        <vertical/>
        <horizontal style="thin">
          <color auto="1"/>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Light"/>
        <scheme val="minor"/>
      </font>
      <fill>
        <patternFill patternType="solid">
          <fgColor indexed="64"/>
          <bgColor theme="0"/>
        </patternFill>
      </fill>
    </dxf>
    <dxf>
      <border>
        <bottom style="thin">
          <color theme="4" tint="0.39997558519241921"/>
        </bottom>
      </border>
    </dxf>
    <dxf>
      <font>
        <b/>
        <i val="0"/>
        <strike val="0"/>
        <condense val="0"/>
        <extend val="0"/>
        <outline val="0"/>
        <shadow val="0"/>
        <u val="none"/>
        <vertAlign val="baseline"/>
        <sz val="11"/>
        <color theme="3"/>
        <name val="Calibri Light"/>
        <scheme val="minor"/>
      </font>
      <fill>
        <patternFill patternType="solid">
          <fgColor indexed="64"/>
          <bgColor theme="3" tint="0.749992370372631"/>
        </patternFill>
      </fill>
      <alignment horizontal="general" vertical="center" textRotation="0" wrapText="0" indent="0" justifyLastLine="0" shrinkToFit="0" readingOrder="0"/>
      <border diagonalUp="0" diagonalDown="0">
        <left/>
        <right/>
        <top/>
        <bottom/>
        <vertical/>
        <horizontal/>
      </border>
    </dxf>
  </dxfs>
  <tableStyles count="0" defaultTableStyle="TableStyleMedium2" defaultPivotStyle="PivotStyleLight16"/>
  <colors>
    <mruColors>
      <color rgb="FFFFFFCC"/>
      <color rgb="FFFFDC47"/>
      <color rgb="FFFFD833"/>
      <color rgb="FFFFD347"/>
      <color rgb="FFFFDB43"/>
      <color rgb="FFFF9999"/>
      <color rgb="FFFFEFFA"/>
      <color rgb="FFFFFF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[ADCC-v1.5.1.xlsm]Dashboard!PropSttsTable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Proposal Count by Status</a:t>
            </a:r>
          </a:p>
        </c:rich>
      </c:tx>
      <c:layout>
        <c:manualLayout>
          <c:xMode val="edge"/>
          <c:yMode val="edge"/>
          <c:x val="0.28111485082395282"/>
          <c:y val="2.52250779973258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1"/>
          <c:showVal val="0"/>
          <c:showCatName val="1"/>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s>
    <c:plotArea>
      <c:layout/>
      <c:pieChart>
        <c:varyColors val="1"/>
        <c:ser>
          <c:idx val="0"/>
          <c:order val="0"/>
          <c:tx>
            <c:strRef>
              <c:f>Dashboard!$C$23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00E-464B-B5A3-DD60931DCA6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00E-464B-B5A3-DD60931DCA6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00E-464B-B5A3-DD60931DCA6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00E-464B-B5A3-DD60931DCA6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00E-464B-B5A3-DD60931DCA6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00E-464B-B5A3-DD60931DCA6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00E-464B-B5A3-DD60931DCA6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00E-464B-B5A3-DD60931DCA6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F00E-464B-B5A3-DD60931DCA6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F00E-464B-B5A3-DD60931DCA6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F00E-464B-B5A3-DD60931DCA6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1"/>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Dashboard!$B$24:$B$26</c:f>
              <c:strCache>
                <c:ptCount val="2"/>
                <c:pt idx="0">
                  <c:v>AWD</c:v>
                </c:pt>
                <c:pt idx="1">
                  <c:v>NIVT</c:v>
                </c:pt>
              </c:strCache>
            </c:strRef>
          </c:cat>
          <c:val>
            <c:numRef>
              <c:f>Dashboard!$C$24:$C$26</c:f>
              <c:numCache>
                <c:formatCode>General</c:formatCode>
                <c:ptCount val="2"/>
                <c:pt idx="0">
                  <c:v>5</c:v>
                </c:pt>
                <c:pt idx="1">
                  <c:v>5</c:v>
                </c:pt>
              </c:numCache>
            </c:numRef>
          </c:val>
          <c:extLst>
            <c:ext xmlns:c16="http://schemas.microsoft.com/office/drawing/2014/chart" uri="{C3380CC4-5D6E-409C-BE32-E72D297353CC}">
              <c16:uniqueId val="{00000016-F00E-464B-B5A3-DD60931DCA66}"/>
            </c:ext>
          </c:extLst>
        </c:ser>
        <c:dLbls>
          <c:dLblPos val="out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[ADCC-v1.5.1.xlsm]Dashboard!PivotTable3</c:name>
    <c:fmtId val="10"/>
  </c:pivotSource>
  <c:chart>
    <c:title>
      <c:tx>
        <c:rich>
          <a:bodyPr rot="0" spcFirstLastPara="1" vertOverflow="ellipsis" vert="horz" wrap="square" anchor="ctr" anchorCtr="1"/>
          <a:lstStyle/>
          <a:p>
            <a:pPr>
              <a:defRPr sz="1400" b="1"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r>
              <a:rPr lang="en-US" sz="1400" b="1"/>
              <a:t>Proposal Count by Submission Date</a:t>
            </a:r>
          </a:p>
        </c:rich>
      </c:tx>
      <c:overlay val="0"/>
      <c:spPr>
        <a:noFill/>
        <a:ln>
          <a:noFill/>
        </a:ln>
        <a:effectLst/>
      </c:spPr>
      <c:txPr>
        <a:bodyPr rot="0" spcFirstLastPara="1" vertOverflow="ellipsis" vert="horz" wrap="square" anchor="ctr" anchorCtr="1"/>
        <a:lstStyle/>
        <a:p>
          <a:pPr>
            <a:defRPr sz="1400" b="1"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endParaRPr lang="en-US"/>
        </a:p>
      </c:txPr>
    </c:title>
    <c:autoTitleDeleted val="0"/>
    <c:pivotFmts>
      <c:pivotFmt>
        <c:idx val="0"/>
        <c:spPr>
          <a:solidFill>
            <a:schemeClr val="accent1"/>
          </a:solidFill>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887666765389735E-2"/>
          <c:y val="0.11396825951079841"/>
          <c:w val="0.9061323086826536"/>
          <c:h val="0.65827167391215791"/>
        </c:manualLayout>
      </c:layout>
      <c:lineChart>
        <c:grouping val="standard"/>
        <c:varyColors val="0"/>
        <c:ser>
          <c:idx val="0"/>
          <c:order val="0"/>
          <c:tx>
            <c:strRef>
              <c:f>Dashboard!$Q$2</c:f>
              <c:strCache>
                <c:ptCount val="1"/>
                <c:pt idx="0">
                  <c:v>Total</c:v>
                </c:pt>
              </c:strCache>
            </c:strRef>
          </c:tx>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Dashboard!$P$3:$P$9</c:f>
              <c:strCache>
                <c:ptCount val="6"/>
                <c:pt idx="0">
                  <c:v>01/02/16</c:v>
                </c:pt>
                <c:pt idx="1">
                  <c:v>01/04/16</c:v>
                </c:pt>
                <c:pt idx="2">
                  <c:v>01/15/16</c:v>
                </c:pt>
                <c:pt idx="3">
                  <c:v>01/25/16</c:v>
                </c:pt>
                <c:pt idx="4">
                  <c:v>01/20/17</c:v>
                </c:pt>
                <c:pt idx="5">
                  <c:v>01/25/17</c:v>
                </c:pt>
              </c:strCache>
            </c:strRef>
          </c:cat>
          <c:val>
            <c:numRef>
              <c:f>Dashboard!$Q$3:$Q$9</c:f>
              <c:numCache>
                <c:formatCode>General</c:formatCode>
                <c:ptCount val="6"/>
                <c:pt idx="0">
                  <c:v>1</c:v>
                </c:pt>
                <c:pt idx="1">
                  <c:v>2</c:v>
                </c:pt>
                <c:pt idx="2">
                  <c:v>3</c:v>
                </c:pt>
                <c:pt idx="3">
                  <c:v>1</c:v>
                </c:pt>
                <c:pt idx="4">
                  <c:v>2</c:v>
                </c:pt>
                <c:pt idx="5">
                  <c:v>1</c:v>
                </c:pt>
              </c:numCache>
            </c:numRef>
          </c:val>
          <c:smooth val="0"/>
          <c:extLst>
            <c:ext xmlns:c16="http://schemas.microsoft.com/office/drawing/2014/chart" uri="{C3380CC4-5D6E-409C-BE32-E72D297353CC}">
              <c16:uniqueId val="{00000000-91EA-4800-9E6D-1631D4496080}"/>
            </c:ext>
          </c:extLst>
        </c:ser>
        <c:dLbls>
          <c:dLblPos val="ctr"/>
          <c:showLegendKey val="0"/>
          <c:showVal val="1"/>
          <c:showCatName val="0"/>
          <c:showSerName val="0"/>
          <c:showPercent val="0"/>
          <c:showBubbleSize val="0"/>
        </c:dLbls>
        <c:marker val="1"/>
        <c:smooth val="0"/>
        <c:axId val="488098856"/>
        <c:axId val="488099248"/>
      </c:lineChart>
      <c:catAx>
        <c:axId val="488098856"/>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dk1">
                        <a:lumMod val="65000"/>
                        <a:lumOff val="35000"/>
                      </a:schemeClr>
                    </a:solidFill>
                    <a:latin typeface="+mn-lt"/>
                    <a:ea typeface="+mn-ea"/>
                    <a:cs typeface="+mn-cs"/>
                  </a:defRPr>
                </a:pPr>
                <a:r>
                  <a:rPr lang="en-US" sz="1000" b="1"/>
                  <a:t>NSF Received Date</a:t>
                </a:r>
              </a:p>
            </c:rich>
          </c:tx>
          <c:layout>
            <c:manualLayout>
              <c:xMode val="edge"/>
              <c:yMode val="edge"/>
              <c:x val="0.44883416121657355"/>
              <c:y val="0.92630829128620573"/>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488099248"/>
        <c:crosses val="autoZero"/>
        <c:auto val="1"/>
        <c:lblAlgn val="ctr"/>
        <c:lblOffset val="100"/>
        <c:noMultiLvlLbl val="0"/>
      </c:catAx>
      <c:valAx>
        <c:axId val="488099248"/>
        <c:scaling>
          <c:orientation val="minMax"/>
        </c:scaling>
        <c:delete val="1"/>
        <c:axPos val="l"/>
        <c:numFmt formatCode="General" sourceLinked="1"/>
        <c:majorTickMark val="none"/>
        <c:minorTickMark val="none"/>
        <c:tickLblPos val="nextTo"/>
        <c:crossAx val="488098856"/>
        <c:crosses val="autoZero"/>
        <c:crossBetween val="between"/>
      </c:valAx>
      <c:spPr>
        <a:noFill/>
        <a:ln>
          <a:noFill/>
        </a:ln>
        <a:effectLst/>
      </c:spPr>
    </c:plotArea>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[ADCC-v1.5.1.xlsm]Dashboard!ProjPgmTable</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Project Count by Program Element Code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Dashboard!$I$23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Dashboard!$H$24:$H$32</c:f>
              <c:strCache>
                <c:ptCount val="8"/>
                <c:pt idx="0">
                  <c:v>1080</c:v>
                </c:pt>
                <c:pt idx="1">
                  <c:v>7378</c:v>
                </c:pt>
                <c:pt idx="2">
                  <c:v>7657</c:v>
                </c:pt>
                <c:pt idx="3">
                  <c:v>7968</c:v>
                </c:pt>
                <c:pt idx="4">
                  <c:v>8045</c:v>
                </c:pt>
                <c:pt idx="5">
                  <c:v>1181</c:v>
                </c:pt>
                <c:pt idx="6">
                  <c:v>7659</c:v>
                </c:pt>
                <c:pt idx="7">
                  <c:v>1670</c:v>
                </c:pt>
              </c:strCache>
            </c:strRef>
          </c:cat>
          <c:val>
            <c:numRef>
              <c:f>Dashboard!$I$24:$I$32</c:f>
              <c:numCache>
                <c:formatCode>General</c:formatCode>
                <c:ptCount val="8"/>
                <c:pt idx="0">
                  <c:v>1</c:v>
                </c:pt>
                <c:pt idx="1">
                  <c:v>1</c:v>
                </c:pt>
                <c:pt idx="2">
                  <c:v>1</c:v>
                </c:pt>
                <c:pt idx="3">
                  <c:v>1</c:v>
                </c:pt>
                <c:pt idx="4">
                  <c:v>1</c:v>
                </c:pt>
                <c:pt idx="5">
                  <c:v>1</c:v>
                </c:pt>
                <c:pt idx="6">
                  <c:v>1</c:v>
                </c:pt>
                <c:pt idx="7">
                  <c:v>1</c:v>
                </c:pt>
              </c:numCache>
            </c:numRef>
          </c:val>
          <c:extLst>
            <c:ext xmlns:c16="http://schemas.microsoft.com/office/drawing/2014/chart" uri="{C3380CC4-5D6E-409C-BE32-E72D297353CC}">
              <c16:uniqueId val="{00000000-9780-45B4-B2A0-414B939A25C2}"/>
            </c:ext>
          </c:extLst>
        </c:ser>
        <c:dLbls>
          <c:showLegendKey val="0"/>
          <c:showVal val="0"/>
          <c:showCatName val="0"/>
          <c:showSerName val="0"/>
          <c:showPercent val="0"/>
          <c:showBubbleSize val="0"/>
        </c:dLbls>
        <c:gapWidth val="219"/>
        <c:axId val="488099640"/>
        <c:axId val="488100424"/>
      </c:barChart>
      <c:catAx>
        <c:axId val="488099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00424"/>
        <c:crosses val="autoZero"/>
        <c:auto val="1"/>
        <c:lblAlgn val="ctr"/>
        <c:lblOffset val="100"/>
        <c:noMultiLvlLbl val="0"/>
      </c:catAx>
      <c:valAx>
        <c:axId val="488100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99640"/>
        <c:crosses val="autoZero"/>
        <c:crossBetween val="between"/>
      </c:valAx>
      <c:spPr>
        <a:solidFill>
          <a:schemeClr val="bg1"/>
        </a:solidFill>
        <a:ln>
          <a:noFill/>
        </a:ln>
        <a:effectLst/>
      </c:spPr>
    </c:plotArea>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4</xdr:row>
          <xdr:rowOff>28575</xdr:rowOff>
        </xdr:from>
        <xdr:to>
          <xdr:col>5</xdr:col>
          <xdr:colOff>200025</xdr:colOff>
          <xdr:row>5</xdr:row>
          <xdr:rowOff>85725</xdr:rowOff>
        </xdr:to>
        <xdr:sp macro="" textlink="">
          <xdr:nvSpPr>
            <xdr:cNvPr id="19457" name="txtUserID" hidden="1">
              <a:extLst>
                <a:ext uri="{63B3BB69-23CF-44E3-9099-C40C66FF867C}">
                  <a14:compatExt spid="_x0000_s19457"/>
                </a:ext>
                <a:ext uri="{FF2B5EF4-FFF2-40B4-BE49-F238E27FC236}">
                  <a16:creationId xmlns:a16="http://schemas.microsoft.com/office/drawing/2014/main" id="{EC7E0013-DDE6-4572-BED2-EAE709E154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5</xdr:row>
          <xdr:rowOff>142875</xdr:rowOff>
        </xdr:from>
        <xdr:to>
          <xdr:col>5</xdr:col>
          <xdr:colOff>228600</xdr:colOff>
          <xdr:row>7</xdr:row>
          <xdr:rowOff>19050</xdr:rowOff>
        </xdr:to>
        <xdr:sp macro="" textlink="">
          <xdr:nvSpPr>
            <xdr:cNvPr id="19458" name="txtPwd" hidden="1">
              <a:extLst>
                <a:ext uri="{63B3BB69-23CF-44E3-9099-C40C66FF867C}">
                  <a14:compatExt spid="_x0000_s19458"/>
                </a:ext>
                <a:ext uri="{FF2B5EF4-FFF2-40B4-BE49-F238E27FC236}">
                  <a16:creationId xmlns:a16="http://schemas.microsoft.com/office/drawing/2014/main" id="{EBC73C8C-7C0E-48E5-87AC-9A131DBFFEA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152400</xdr:colOff>
          <xdr:row>2</xdr:row>
          <xdr:rowOff>123825</xdr:rowOff>
        </xdr:from>
        <xdr:to>
          <xdr:col>10</xdr:col>
          <xdr:colOff>76200</xdr:colOff>
          <xdr:row>4</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808000"/>
                  </a:solidFill>
                  <a:latin typeface="Calibri Light"/>
                  <a:cs typeface="Calibri Light"/>
                </a:rPr>
                <a:t>Query Proposals By 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104775</xdr:colOff>
          <xdr:row>10</xdr:row>
          <xdr:rowOff>9525</xdr:rowOff>
        </xdr:from>
        <xdr:to>
          <xdr:col>10</xdr:col>
          <xdr:colOff>66675</xdr:colOff>
          <xdr:row>12</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8080"/>
                  </a:solidFill>
                  <a:latin typeface="Calibri Light"/>
                  <a:cs typeface="Calibri Light"/>
                </a:rPr>
                <a:t>Query Proposals By 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10</xdr:row>
          <xdr:rowOff>304800</xdr:rowOff>
        </xdr:from>
        <xdr:to>
          <xdr:col>14</xdr:col>
          <xdr:colOff>257175</xdr:colOff>
          <xdr:row>14</xdr:row>
          <xdr:rowOff>9525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8000"/>
                  </a:solidFill>
                  <a:latin typeface="Calibri Light"/>
                  <a:cs typeface="Calibri Light"/>
                </a:rPr>
                <a:t>Query Proposal By (A + B)</a:t>
              </a:r>
              <a:endParaRPr lang="en-US" sz="1100" b="0" i="0" u="none" strike="noStrike" baseline="0">
                <a:solidFill>
                  <a:srgbClr val="008000"/>
                </a:solidFill>
                <a:latin typeface="Calibri Light"/>
                <a:cs typeface="Calibri Light"/>
              </a:endParaRPr>
            </a:p>
            <a:p>
              <a:pPr algn="ctr" rtl="0">
                <a:defRPr sz="1000"/>
              </a:pPr>
              <a:endParaRPr lang="en-US" sz="1100" b="0" i="0" u="none" strike="noStrike" baseline="0">
                <a:solidFill>
                  <a:srgbClr val="008000"/>
                </a:solidFill>
                <a:latin typeface="Calibri Light"/>
                <a:cs typeface="Calibri Light"/>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695325</xdr:colOff>
          <xdr:row>10</xdr:row>
          <xdr:rowOff>304800</xdr:rowOff>
        </xdr:from>
        <xdr:to>
          <xdr:col>16</xdr:col>
          <xdr:colOff>200025</xdr:colOff>
          <xdr:row>14</xdr:row>
          <xdr:rowOff>9525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8000"/>
                  </a:solidFill>
                  <a:latin typeface="Calibri Light"/>
                  <a:cs typeface="Calibri Light"/>
                </a:rPr>
                <a:t>Query Proposal By (A - B)</a:t>
              </a:r>
              <a:endParaRPr lang="en-US" sz="1100" b="0" i="0" u="none" strike="noStrike" baseline="0">
                <a:solidFill>
                  <a:srgbClr val="008000"/>
                </a:solidFill>
                <a:latin typeface="Calibri Light"/>
                <a:cs typeface="Calibri Light"/>
              </a:endParaRPr>
            </a:p>
            <a:p>
              <a:pPr algn="ctr" rtl="0">
                <a:defRPr sz="1000"/>
              </a:pPr>
              <a:endParaRPr lang="en-US" sz="1100" b="0" i="0" u="none" strike="noStrike" baseline="0">
                <a:solidFill>
                  <a:srgbClr val="008000"/>
                </a:solidFill>
                <a:latin typeface="Calibri Light"/>
                <a:cs typeface="Calibri Light"/>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219075</xdr:colOff>
          <xdr:row>8</xdr:row>
          <xdr:rowOff>142875</xdr:rowOff>
        </xdr:from>
        <xdr:to>
          <xdr:col>16</xdr:col>
          <xdr:colOff>1390650</xdr:colOff>
          <xdr:row>9</xdr:row>
          <xdr:rowOff>190500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8080"/>
                  </a:solidFill>
                  <a:latin typeface="Calibri"/>
                  <a:cs typeface="Calibri"/>
                </a:rPr>
                <a:t>Reset RPS Dates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238126</xdr:colOff>
      <xdr:row>0</xdr:row>
      <xdr:rowOff>180975</xdr:rowOff>
    </xdr:from>
    <xdr:to>
      <xdr:col>6</xdr:col>
      <xdr:colOff>381001</xdr:colOff>
      <xdr:row>20</xdr:row>
      <xdr:rowOff>152400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28575</xdr:colOff>
      <xdr:row>1</xdr:row>
      <xdr:rowOff>9524</xdr:rowOff>
    </xdr:from>
    <xdr:to>
      <xdr:col>14</xdr:col>
      <xdr:colOff>647700</xdr:colOff>
      <xdr:row>20</xdr:row>
      <xdr:rowOff>38100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238125</xdr:colOff>
      <xdr:row>21</xdr:row>
      <xdr:rowOff>180975</xdr:rowOff>
    </xdr:from>
    <xdr:to>
      <xdr:col>14</xdr:col>
      <xdr:colOff>685800</xdr:colOff>
      <xdr:row>42</xdr:row>
      <xdr:rowOff>123825</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33</xdr:row>
          <xdr:rowOff>66675</xdr:rowOff>
        </xdr:from>
        <xdr:to>
          <xdr:col>2</xdr:col>
          <xdr:colOff>561975</xdr:colOff>
          <xdr:row>34</xdr:row>
          <xdr:rowOff>114300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cs typeface="Calibri Light"/>
                </a:rPr>
                <a:t>Check Table Access</a:t>
              </a:r>
            </a:p>
          </xdr:txBody>
        </xdr:sp>
        <xdr:clientData fPrintsWithSheet="0"/>
      </xdr:twoCellAnchor>
    </mc:Choice>
    <mc:Fallback/>
  </mc:AlternateContent>
  <xdr:twoCellAnchor>
    <xdr:from>
      <xdr:col>17</xdr:col>
      <xdr:colOff>79376</xdr:colOff>
      <xdr:row>7</xdr:row>
      <xdr:rowOff>95249</xdr:rowOff>
    </xdr:from>
    <xdr:to>
      <xdr:col>28</xdr:col>
      <xdr:colOff>563563</xdr:colOff>
      <xdr:row>42</xdr:row>
      <xdr:rowOff>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0231439" y="1619249"/>
          <a:ext cx="7381874" cy="799306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Release 1.5.1, 9/19/2017                                                                                                                                                                                                            </a:t>
          </a:r>
          <a:endParaRPr lang="en-US">
            <a:effectLst/>
          </a:endParaRPr>
        </a:p>
        <a:p>
          <a:r>
            <a:rPr lang="en-US" sz="1100">
              <a:solidFill>
                <a:schemeClr val="dk1"/>
              </a:solidFill>
              <a:effectLst/>
              <a:latin typeface="+mn-lt"/>
              <a:ea typeface="+mn-ea"/>
              <a:cs typeface="+mn-cs"/>
            </a:rPr>
            <a:t>   - On</a:t>
          </a:r>
          <a:r>
            <a:rPr lang="en-US" sz="1100" baseline="0">
              <a:solidFill>
                <a:schemeClr val="dk1"/>
              </a:solidFill>
              <a:effectLst/>
              <a:latin typeface="+mn-lt"/>
              <a:ea typeface="+mn-ea"/>
              <a:cs typeface="+mn-cs"/>
            </a:rPr>
            <a:t> the "Compliance-ByProj" tab, for each PI with previous NSF awards, add the latest award amount as part of the last award information. If the award amount is $0 (due to post-awd withdrawal or unexpected termination, etc.) then it might not be considered require RPS.</a:t>
          </a:r>
        </a:p>
        <a:p>
          <a:r>
            <a:rPr lang="en-US" sz="1100" b="1">
              <a:solidFill>
                <a:schemeClr val="dk1"/>
              </a:solidFill>
              <a:effectLst/>
              <a:latin typeface="+mn-lt"/>
              <a:ea typeface="+mn-ea"/>
              <a:cs typeface="+mn-cs"/>
            </a:rPr>
            <a:t>Release 1.5, 7/17/2017                                                                                                                                                                                                            </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 Single report server password pop-up form with “Remember me” checkbox to allow password saved in the workbook.</a:t>
          </a:r>
        </a:p>
        <a:p>
          <a:pPr lvl="0"/>
          <a:r>
            <a:rPr lang="en-US" sz="1100">
              <a:solidFill>
                <a:schemeClr val="dk1"/>
              </a:solidFill>
              <a:effectLst/>
              <a:latin typeface="+mn-lt"/>
              <a:ea typeface="+mn-ea"/>
              <a:cs typeface="+mn-cs"/>
            </a:rPr>
            <a:t>   - Changes on the compliance by prop tab: </a:t>
          </a:r>
        </a:p>
        <a:p>
          <a:pPr lvl="0"/>
          <a:r>
            <a:rPr lang="en-US" sz="1100">
              <a:solidFill>
                <a:schemeClr val="dk1"/>
              </a:solidFill>
              <a:effectLst/>
              <a:latin typeface="+mn-lt"/>
              <a:ea typeface="+mn-ea"/>
              <a:cs typeface="+mn-cs"/>
            </a:rPr>
            <a:t>      -- The addition of institution type (perf_org_txt) and pi last degree year (pi_degr_yr).</a:t>
          </a:r>
        </a:p>
        <a:p>
          <a:pPr lvl="0"/>
          <a:r>
            <a:rPr lang="en-US" sz="1100">
              <a:solidFill>
                <a:schemeClr val="dk1"/>
              </a:solidFill>
              <a:effectLst/>
              <a:latin typeface="+mn-lt"/>
              <a:ea typeface="+mn-ea"/>
              <a:cs typeface="+mn-cs"/>
            </a:rPr>
            <a:t>      -- Report original org/PEC only when different from current to allow filtering transfers.</a:t>
          </a:r>
        </a:p>
        <a:p>
          <a:pPr lvl="0"/>
          <a:r>
            <a:rPr lang="en-US" sz="1100">
              <a:solidFill>
                <a:schemeClr val="dk1"/>
              </a:solidFill>
              <a:effectLst/>
              <a:latin typeface="+mn-lt"/>
              <a:ea typeface="+mn-ea"/>
              <a:cs typeface="+mn-cs"/>
            </a:rPr>
            <a:t>      -- inst_timeZone field: “Need permission: tz_ctry_map” when no permission to the tz_ctry_map table, otherwise, institution time zone.</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 Group proposals</a:t>
          </a:r>
          <a:r>
            <a:rPr lang="en-US" sz="1100" baseline="0">
              <a:solidFill>
                <a:schemeClr val="dk1"/>
              </a:solidFill>
              <a:effectLst/>
              <a:latin typeface="+mn-lt"/>
              <a:ea typeface="+mn-ea"/>
              <a:cs typeface="+mn-cs"/>
            </a:rPr>
            <a:t> by project</a:t>
          </a:r>
          <a:r>
            <a:rPr lang="en-US" sz="1100">
              <a:solidFill>
                <a:schemeClr val="dk1"/>
              </a:solidFill>
              <a:effectLst/>
              <a:latin typeface="+mn-lt"/>
              <a:ea typeface="+mn-ea"/>
              <a:cs typeface="+mn-cs"/>
            </a:rPr>
            <a:t>.</a:t>
          </a:r>
        </a:p>
        <a:p>
          <a:pPr lvl="0"/>
          <a:r>
            <a:rPr lang="en-US" sz="1100">
              <a:solidFill>
                <a:schemeClr val="dk1"/>
              </a:solidFill>
              <a:effectLst/>
              <a:latin typeface="+mn-lt"/>
              <a:ea typeface="+mn-ea"/>
              <a:cs typeface="+mn-cs"/>
            </a:rPr>
            <a:t>   -  Changes on the compliance by proj tab NumCoas field: </a:t>
          </a:r>
        </a:p>
        <a:p>
          <a:pPr lvl="0"/>
          <a:r>
            <a:rPr lang="en-US" sz="1100">
              <a:solidFill>
                <a:schemeClr val="dk1"/>
              </a:solidFill>
              <a:effectLst/>
              <a:latin typeface="+mn-lt"/>
              <a:ea typeface="+mn-ea"/>
              <a:cs typeface="+mn-cs"/>
            </a:rPr>
            <a:t>      -- N/A, when projects received prior to 01/2017.</a:t>
          </a:r>
        </a:p>
        <a:p>
          <a:pPr lvl="0"/>
          <a:r>
            <a:rPr lang="en-US" sz="1100">
              <a:solidFill>
                <a:schemeClr val="dk1"/>
              </a:solidFill>
              <a:effectLst/>
              <a:latin typeface="+mn-lt"/>
              <a:ea typeface="+mn-ea"/>
              <a:cs typeface="+mn-cs"/>
            </a:rPr>
            <a:t>      -- Missing, when COA document not provided while projects received after 01/2017.</a:t>
          </a:r>
        </a:p>
        <a:p>
          <a:pPr lvl="0"/>
          <a:r>
            <a:rPr lang="en-US" sz="1100">
              <a:solidFill>
                <a:schemeClr val="dk1"/>
              </a:solidFill>
              <a:effectLst/>
              <a:latin typeface="+mn-lt"/>
              <a:ea typeface="+mn-ea"/>
              <a:cs typeface="+mn-cs"/>
            </a:rPr>
            <a:t>      -- Need Permission, when no permission to the clbr_affl table, should contact IT help.</a:t>
          </a:r>
        </a:p>
        <a:p>
          <a:pPr lvl="0"/>
          <a:r>
            <a:rPr lang="en-US" sz="1100">
              <a:solidFill>
                <a:schemeClr val="dk1"/>
              </a:solidFill>
              <a:effectLst/>
              <a:latin typeface="+mn-lt"/>
              <a:ea typeface="+mn-ea"/>
              <a:cs typeface="+mn-cs"/>
            </a:rPr>
            <a:t>      -- # of COAs, otherwise.</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 Add</a:t>
          </a:r>
          <a:r>
            <a:rPr lang="en-US" sz="1100" baseline="0">
              <a:solidFill>
                <a:schemeClr val="dk1"/>
              </a:solidFill>
              <a:effectLst/>
              <a:latin typeface="+mn-lt"/>
              <a:ea typeface="+mn-ea"/>
              <a:cs typeface="+mn-cs"/>
            </a:rPr>
            <a:t> the "Reset RPS Dates" button to restore to the default based on dates specified in Query A.</a:t>
          </a:r>
          <a:endParaRPr lang="en-US" sz="1100">
            <a:solidFill>
              <a:schemeClr val="dk1"/>
            </a:solidFill>
            <a:effectLst/>
            <a:latin typeface="+mn-lt"/>
            <a:ea typeface="+mn-ea"/>
            <a:cs typeface="+mn-cs"/>
          </a:endParaRPr>
        </a:p>
        <a:p>
          <a:pPr lvl="0"/>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 Tab changes:</a:t>
          </a:r>
        </a:p>
        <a:p>
          <a:pPr lvl="0"/>
          <a:r>
            <a:rPr lang="en-US" sz="1100">
              <a:solidFill>
                <a:schemeClr val="dk1"/>
              </a:solidFill>
              <a:effectLst/>
              <a:latin typeface="+mn-lt"/>
              <a:ea typeface="+mn-ea"/>
              <a:cs typeface="+mn-cs"/>
            </a:rPr>
            <a:t>      -- Readme to Help</a:t>
          </a:r>
        </a:p>
        <a:p>
          <a:pPr lvl="0"/>
          <a:r>
            <a:rPr lang="en-US" sz="1100">
              <a:solidFill>
                <a:schemeClr val="dk1"/>
              </a:solidFill>
              <a:effectLst/>
              <a:latin typeface="+mn-lt"/>
              <a:ea typeface="+mn-ea"/>
              <a:cs typeface="+mn-cs"/>
            </a:rPr>
            <a:t>      -- Reorder the tabs to: Input (default), Compliance by prop, Compliance by proj, Dashboard, Data dictionary, and Help.</a:t>
          </a:r>
        </a:p>
        <a:p>
          <a:r>
            <a:rPr lang="en-US" sz="1100" b="1"/>
            <a:t>Release 1.4, 07/19/2016</a:t>
          </a:r>
        </a:p>
        <a:p>
          <a:r>
            <a:rPr lang="en-US" sz="1100"/>
            <a:t>   - On Input tab, add two more controls: Query proposals by A+B, and Query proposals by A-B.</a:t>
          </a:r>
        </a:p>
        <a:p>
          <a:r>
            <a:rPr lang="en-US" sz="1100"/>
            <a:t>   - On Compliance-ByProj tab, </a:t>
          </a:r>
        </a:p>
        <a:p>
          <a:r>
            <a:rPr lang="en-US" sz="1100"/>
            <a:t>      -- add count as well as hyperlink to eJacket of other supplementary doc for CAREER, so that all the checking items for staff are consolidated on one single worksheet.</a:t>
          </a:r>
        </a:p>
        <a:p>
          <a:r>
            <a:rPr lang="en-US" sz="1100"/>
            <a:t>      -- update Project Summary hyperlinks to show those "To Be Checked" only</a:t>
          </a:r>
        </a:p>
        <a:p>
          <a:r>
            <a:rPr lang="en-US" sz="1100"/>
            <a:t>      -- add highlight (dark green) for items to be checked for proposals submitted by Grants.gov</a:t>
          </a:r>
        </a:p>
        <a:p>
          <a:r>
            <a:rPr lang="en-US" sz="1100"/>
            <a:t>   - Data Dictionary is updated.</a:t>
          </a:r>
        </a:p>
        <a:p>
          <a:r>
            <a:rPr lang="en-US" sz="1100" b="1"/>
            <a:t>Release 1.3, 07/01/2016</a:t>
          </a:r>
        </a:p>
        <a:p>
          <a:r>
            <a:rPr lang="en-US" sz="1100"/>
            <a:t>   - On Compliance-ByProp tab, add original div/pgm to identify transfers, add count as well as hyperlink to eJacket of other supplementary doc for CAREER, and add run-date to capture when this run is executed, etc.</a:t>
          </a:r>
        </a:p>
        <a:p>
          <a:r>
            <a:rPr lang="en-US" sz="1100"/>
            <a:t>   - On Dashboard tab, add proposal count by nature of request table.</a:t>
          </a:r>
        </a:p>
        <a:p>
          <a:r>
            <a:rPr lang="en-US" sz="1100" b="1"/>
            <a:t>Release 1.2, 5/30/2016</a:t>
          </a:r>
        </a:p>
        <a:p>
          <a:r>
            <a:rPr lang="en-US" sz="1100"/>
            <a:t>   Added Dashboard tab for summary view, included more data elements, and a few more bug fixed.</a:t>
          </a:r>
        </a:p>
        <a:p>
          <a:r>
            <a:rPr lang="en-US" sz="1100" b="1"/>
            <a:t>Release 1.1, 5/4/2016</a:t>
          </a:r>
        </a:p>
        <a:p>
          <a:r>
            <a:rPr lang="en-US" sz="1100"/>
            <a:t>   Rebranded to ADCC (Automated Data Collector for Compliance), add hyperlinks to Project Summary and Project Descriptions, and a few bugs fixed.</a:t>
          </a:r>
        </a:p>
        <a:p>
          <a:r>
            <a:rPr lang="en-US" sz="1100" b="1"/>
            <a:t>Release 1.0, 4/11/2016</a:t>
          </a:r>
        </a:p>
        <a:p>
          <a:r>
            <a:rPr lang="en-US" sz="1100"/>
            <a:t>   Compliance checking master list auto-generator, first full release</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3</xdr:row>
          <xdr:rowOff>171450</xdr:rowOff>
        </xdr:from>
        <xdr:to>
          <xdr:col>4</xdr:col>
          <xdr:colOff>400050</xdr:colOff>
          <xdr:row>5</xdr:row>
          <xdr:rowOff>0</xdr:rowOff>
        </xdr:to>
        <xdr:sp macro="" textlink="">
          <xdr:nvSpPr>
            <xdr:cNvPr id="6150" name="UserID2" hidden="1">
              <a:extLst>
                <a:ext uri="{63B3BB69-23CF-44E3-9099-C40C66FF867C}">
                  <a14:compatExt spid="_x0000_s6150"/>
                </a:ext>
                <a:ext uri="{FF2B5EF4-FFF2-40B4-BE49-F238E27FC236}">
                  <a16:creationId xmlns:a16="http://schemas.microsoft.com/office/drawing/2014/main" id="{00000000-0008-0000-06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5</xdr:row>
          <xdr:rowOff>142875</xdr:rowOff>
        </xdr:from>
        <xdr:to>
          <xdr:col>4</xdr:col>
          <xdr:colOff>419100</xdr:colOff>
          <xdr:row>6</xdr:row>
          <xdr:rowOff>161925</xdr:rowOff>
        </xdr:to>
        <xdr:sp macro="" textlink="">
          <xdr:nvSpPr>
            <xdr:cNvPr id="6151" name="pwd_3" hidden="1">
              <a:extLst>
                <a:ext uri="{63B3BB69-23CF-44E3-9099-C40C66FF867C}">
                  <a14:compatExt spid="_x0000_s6151"/>
                </a:ext>
                <a:ext uri="{FF2B5EF4-FFF2-40B4-BE49-F238E27FC236}">
                  <a16:creationId xmlns:a16="http://schemas.microsoft.com/office/drawing/2014/main" id="{00000000-0008-0000-06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Loera, Maria" refreshedDate="43033.566575925928" createdVersion="5" refreshedVersion="6" minRefreshableVersion="3" recordCount="8">
  <cacheSource type="worksheet">
    <worksheetSource name="CompByProjTable"/>
  </cacheSource>
  <cacheFields count="133">
    <cacheField name="run_date" numFmtId="166">
      <sharedItems containsSemiMixedTypes="0" containsNonDate="0" containsDate="1" containsString="0" minDate="2017-10-25T13:35:51" maxDate="2017-10-25T13:35:51"/>
    </cacheField>
    <cacheField name="GG_track_num" numFmtId="0">
      <sharedItems containsNonDate="0" containsString="0" containsBlank="1"/>
    </cacheField>
    <cacheField name="GG_rcvd_date" numFmtId="166">
      <sharedItems containsNonDate="0" containsString="0" containsBlank="1"/>
    </cacheField>
    <cacheField name="NSF_rcvd_date" numFmtId="166">
      <sharedItems containsSemiMixedTypes="0" containsNonDate="0" containsDate="1" containsString="0" minDate="2016-01-02T16:46:00" maxDate="2017-01-25T08:34:00"/>
    </cacheField>
    <cacheField name="spcl_excp_flag" numFmtId="0">
      <sharedItems containsNonDate="0" containsString="0" containsBlank="1"/>
    </cacheField>
    <cacheField name="pgm_annc_id" numFmtId="0">
      <sharedItems/>
    </cacheField>
    <cacheField name="org_code" numFmtId="0">
      <sharedItems/>
    </cacheField>
    <cacheField name="pgm_ele_code" numFmtId="0">
      <sharedItems containsBlank="1" count="90">
        <s v="7378"/>
        <s v="8045"/>
        <s v="7968"/>
        <s v="7657"/>
        <s v="7659"/>
        <s v="1080"/>
        <s v="1181"/>
        <s v="1670"/>
        <m u="1"/>
        <s v="1045" u="1"/>
        <s v="1415" u="1"/>
        <s v="1636" u="1"/>
        <s v="8024" u="1"/>
        <s v="041Y" u="1"/>
        <s v="7798" u="1"/>
        <s v="1340" u="1"/>
        <s v="8013" u="1"/>
        <s v="8085" u="1"/>
        <s v="006Y" u="1"/>
        <s v="025Y" u="1"/>
        <s v="8023" u="1"/>
        <s v="1676" u="1"/>
        <s v="7977" u="1"/>
        <s v="026Y" u="1"/>
        <s v="7797" u="1"/>
        <s v="7396" u="1"/>
        <s v="7239" u="1"/>
        <s v="1403" u="1"/>
        <s v="8084" u="1"/>
        <s v="1634" u="1"/>
        <s v="1179" u="1"/>
        <s v="4097" u="1"/>
        <s v="7354" u="1"/>
        <s v="7796" u="1"/>
        <s v="1464" u="1"/>
        <s v="5345" u="1"/>
        <s v="7364" u="1"/>
        <s v="7680" u="1"/>
        <s v="8011" u="1"/>
        <s v="1443" u="1"/>
        <s v="7564" u="1"/>
        <s v="7479" u="1"/>
        <s v="1517" u="1"/>
        <s v="7795" u="1"/>
        <s v="7944" u="1"/>
        <s v="7363" u="1"/>
        <s v="7607" u="1"/>
        <s v="1401" u="1"/>
        <s v="1632" u="1"/>
        <s v="7658" u="1"/>
        <s v="8020" u="1"/>
        <s v="8092" u="1"/>
        <s v="7236" u="1"/>
        <s v="1788" u="1"/>
        <s v="1631" u="1"/>
        <s v="4202" u="1"/>
        <s v="7382" u="1"/>
        <s v="8060" u="1"/>
        <s v="032Y" u="1"/>
        <s v="1705" u="1"/>
        <s v="014Y" u="1"/>
        <s v="5342" u="1"/>
        <s v="033Y" u="1"/>
        <s v="1440" u="1"/>
        <s v="8018" u="1"/>
        <s v="1630" u="1"/>
        <s v="1491" u="1"/>
        <s v="7941" u="1"/>
        <s v="7909" u="1"/>
        <s v="5371" u="1"/>
        <s v="058Y" u="1"/>
        <s v="7603" u="1"/>
        <s v="7495" u="1"/>
        <s v="7644" u="1"/>
        <s v="1407" u="1"/>
        <s v="1417" u="1"/>
        <s v="1638" u="1"/>
        <s v="7569" u="1"/>
        <s v="7623" u="1"/>
        <s v="7484" u="1"/>
        <s v="1468" u="1"/>
        <s v="7918" u="1"/>
        <s v="7643" u="1"/>
        <s v="1406" u="1"/>
        <s v="1637" u="1"/>
        <s v="1372" u="1"/>
        <s v="1521" u="1"/>
        <s v="7367" u="1"/>
        <s v="1698" u="1"/>
        <s v="8086" u="1"/>
      </sharedItems>
    </cacheField>
    <cacheField name="pm_ibm_logn_id" numFmtId="0">
      <sharedItems/>
    </cacheField>
    <cacheField name="natr_rqst_txt" numFmtId="0">
      <sharedItems/>
    </cacheField>
    <cacheField name="prop_stts_txt" numFmtId="0">
      <sharedItems/>
    </cacheField>
    <cacheField name="prop_stts" numFmtId="0">
      <sharedItems containsBlank="1" count="8">
        <s v="NIVT"/>
        <s v="AWD"/>
        <m u="1"/>
        <s v="DECL" u="1"/>
        <s v="RCOM" u="1"/>
        <s v="PEND" u="1"/>
        <s v="RTNR" u="1"/>
        <s v="WTH" u="1"/>
      </sharedItems>
    </cacheField>
    <cacheField name="GOALI_flag" numFmtId="0">
      <sharedItems containsNonDate="0" containsString="0" containsBlank="1"/>
    </cacheField>
    <cacheField name="lead_prop_id" numFmtId="0">
      <sharedItems containsBlank="1"/>
    </cacheField>
    <cacheField name="prop_id" numFmtId="0">
      <sharedItems/>
    </cacheField>
    <cacheField name="Ejacket" numFmtId="0">
      <sharedItems/>
    </cacheField>
    <cacheField name="pi_last_name" numFmtId="0">
      <sharedItems/>
    </cacheField>
    <cacheField name="pi_frst_name" numFmtId="0">
      <sharedItems/>
    </cacheField>
    <cacheField name="pi_emai_addr" numFmtId="0">
      <sharedItems/>
    </cacheField>
    <cacheField name="inst_name" numFmtId="0">
      <sharedItems/>
    </cacheField>
    <cacheField name="st_code" numFmtId="0">
      <sharedItems/>
    </cacheField>
    <cacheField name="prop_titl_txt" numFmtId="0">
      <sharedItems/>
    </cacheField>
    <cacheField name="cert_dbar_sus_flag" numFmtId="0">
      <sharedItems/>
    </cacheField>
    <cacheField name="OTH_AGCY_SUBM_FLAG" numFmtId="0">
      <sharedItems containsBlank="1"/>
    </cacheField>
    <cacheField name="auth_rep_elec_sign" numFmtId="0">
      <sharedItems/>
    </cacheField>
    <cacheField name="AUTH_REP_CERT_DATE" numFmtId="166">
      <sharedItems containsSemiMixedTypes="0" containsNonDate="0" containsDate="1" containsString="0" minDate="2016-01-02T16:46:58" maxDate="2017-01-25T08:34:09"/>
    </cacheField>
    <cacheField name="ProjSumm" numFmtId="0">
      <sharedItems containsBlank="1"/>
    </cacheField>
    <cacheField name="proj_summ_pg" numFmtId="0">
      <sharedItems containsString="0" containsBlank="1" containsNumber="1" containsInteger="1" minValue="1" maxValue="1"/>
    </cacheField>
    <cacheField name="Ejacket2" numFmtId="0">
      <sharedItems/>
    </cacheField>
    <cacheField name="-&gt;PS" numFmtId="0">
      <sharedItems/>
    </cacheField>
    <cacheField name="ProjDesc" numFmtId="0">
      <sharedItems/>
    </cacheField>
    <cacheField name="budg_just_pg" numFmtId="0">
      <sharedItems containsString="0" containsBlank="1" containsNumber="1" containsInteger="1" minValue="1" maxValue="2"/>
    </cacheField>
    <cacheField name="RefCited" numFmtId="0">
      <sharedItems/>
    </cacheField>
    <cacheField name="tot_Pdoc_dol" numFmtId="164">
      <sharedItems containsNonDate="0" containsString="0" containsBlank="1"/>
    </cacheField>
    <cacheField name="MentPlan" numFmtId="0">
      <sharedItems containsNonDate="0" containsString="0" containsBlank="1"/>
    </cacheField>
    <cacheField name="DMP" numFmtId="0">
      <sharedItems/>
    </cacheField>
    <cacheField name="FacilitiesEquip" numFmtId="0">
      <sharedItems containsBlank="1"/>
    </cacheField>
    <cacheField name="dif_titl_collab" numFmtId="0">
      <sharedItems containsBlank="1"/>
    </cacheField>
    <cacheField name="tot_Part_Stipend" numFmtId="164">
      <sharedItems containsString="0" containsBlank="1" containsNumber="1" containsInteger="1" minValue="96" maxValue="96"/>
    </cacheField>
    <cacheField name="tot_rqst_dol" numFmtId="164">
      <sharedItems containsSemiMixedTypes="0" containsString="0" containsNumber="1" containsInteger="1" minValue="0" maxValue="151017"/>
    </cacheField>
    <cacheField name="cumulative_tot_dol" numFmtId="164">
      <sharedItems containsString="0" containsBlank="1" containsNumber="1" containsInteger="1" minValue="0" maxValue="151017"/>
    </cacheField>
    <cacheField name="Diff_tot_dol" numFmtId="164">
      <sharedItems containsString="0" containsBlank="1" containsNumber="1" containsInteger="1" minValue="-2" maxValue="4894"/>
    </cacheField>
    <cacheField name="oth_supp_cnt" numFmtId="169">
      <sharedItems containsString="0" containsBlank="1" containsNumber="1" containsInteger="1" minValue="1" maxValue="1"/>
    </cacheField>
    <cacheField name="eJacket3" numFmtId="1">
      <sharedItems/>
    </cacheField>
    <cacheField name="OthSuppDoc" numFmtId="1">
      <sharedItems/>
    </cacheField>
    <cacheField name="NumPIs" numFmtId="0">
      <sharedItems containsSemiMixedTypes="0" containsString="0" containsNumber="1" containsInteger="1" minValue="1" maxValue="3"/>
    </cacheField>
    <cacheField name="NumBios" numFmtId="0">
      <sharedItems containsSemiMixedTypes="0" containsString="0" containsNumber="1" containsInteger="1" minValue="1" maxValue="3"/>
    </cacheField>
    <cacheField name="NumCoas" numFmtId="0">
      <sharedItems/>
    </cacheField>
    <cacheField name="NumRPS" numFmtId="0">
      <sharedItems containsSemiMixedTypes="0" containsString="0" containsNumber="1" containsInteger="1" minValue="0" maxValue="3"/>
    </cacheField>
    <cacheField name="Ejacket4" numFmtId="0">
      <sharedItems/>
    </cacheField>
    <cacheField name="-&gt;PD" numFmtId="0">
      <sharedItems/>
    </cacheField>
    <cacheField name="BIPW-Snippet" numFmtId="0">
      <sharedItems/>
    </cacheField>
    <cacheField name="RPS-Snippet" numFmtId="0">
      <sharedItems/>
    </cacheField>
    <cacheField name="pi0_last_name" numFmtId="0">
      <sharedItems/>
    </cacheField>
    <cacheField name="pi0_inst" numFmtId="0">
      <sharedItems/>
    </cacheField>
    <cacheField name="pi0_email" numFmtId="0">
      <sharedItems containsBlank="1"/>
    </cacheField>
    <cacheField name="pi0_bio_pg" numFmtId="0">
      <sharedItems containsSemiMixedTypes="0" containsString="0" containsNumber="1" containsInteger="1" minValue="0" maxValue="2"/>
    </cacheField>
    <cacheField name="pi0_coa_pg" numFmtId="0">
      <sharedItems containsString="0" containsBlank="1" containsNumber="1" containsInteger="1" minValue="3" maxValue="3"/>
    </cacheField>
    <cacheField name="pi0_cp_chk" numFmtId="0">
      <sharedItems containsBlank="1"/>
    </cacheField>
    <cacheField name="pi0_num_awd" numFmtId="0">
      <sharedItems containsString="0" containsBlank="1" containsNumber="1" containsInteger="1" minValue="1" maxValue="3"/>
    </cacheField>
    <cacheField name="pi0_last_awd" numFmtId="0">
      <sharedItems containsBlank="1"/>
    </cacheField>
    <cacheField name="pi1_last_name" numFmtId="0">
      <sharedItems containsBlank="1"/>
    </cacheField>
    <cacheField name="pi1_inst" numFmtId="0">
      <sharedItems containsBlank="1"/>
    </cacheField>
    <cacheField name="pi1_email" numFmtId="0">
      <sharedItems containsBlank="1"/>
    </cacheField>
    <cacheField name="pi1_bio_pg" numFmtId="0">
      <sharedItems containsString="0" containsBlank="1" containsNumber="1" containsInteger="1" minValue="2" maxValue="2"/>
    </cacheField>
    <cacheField name="pi1_coa_pg" numFmtId="0">
      <sharedItems containsString="0" containsBlank="1" containsNumber="1" containsInteger="1" minValue="1" maxValue="1"/>
    </cacheField>
    <cacheField name="pi1_cp_chk" numFmtId="0">
      <sharedItems containsBlank="1"/>
    </cacheField>
    <cacheField name="pi1_num_awd" numFmtId="0">
      <sharedItems containsString="0" containsBlank="1" containsNumber="1" containsInteger="1" minValue="1" maxValue="5"/>
    </cacheField>
    <cacheField name="pi1_last_awd" numFmtId="0">
      <sharedItems containsBlank="1"/>
    </cacheField>
    <cacheField name="pi2_last_name" numFmtId="0">
      <sharedItems containsBlank="1"/>
    </cacheField>
    <cacheField name="pi2_inst" numFmtId="0">
      <sharedItems containsBlank="1"/>
    </cacheField>
    <cacheField name="pi2_email" numFmtId="0">
      <sharedItems containsBlank="1"/>
    </cacheField>
    <cacheField name="pi2_bio_pg" numFmtId="0">
      <sharedItems containsString="0" containsBlank="1" containsNumber="1" containsInteger="1" minValue="2" maxValue="2"/>
    </cacheField>
    <cacheField name="pi2_coa_pg" numFmtId="0">
      <sharedItems containsString="0" containsBlank="1" containsNumber="1" containsInteger="1" minValue="2" maxValue="2"/>
    </cacheField>
    <cacheField name="pi2_cp_chk" numFmtId="0">
      <sharedItems containsBlank="1"/>
    </cacheField>
    <cacheField name="pi2_num_awd" numFmtId="0">
      <sharedItems containsString="0" containsBlank="1" containsNumber="1" containsInteger="1" minValue="3" maxValue="3"/>
    </cacheField>
    <cacheField name="pi2_last_awd" numFmtId="0">
      <sharedItems containsBlank="1"/>
    </cacheField>
    <cacheField name="pi3_last_name" numFmtId="0">
      <sharedItems containsNonDate="0" containsString="0" containsBlank="1"/>
    </cacheField>
    <cacheField name="pi3_inst" numFmtId="0">
      <sharedItems containsNonDate="0" containsString="0" containsBlank="1"/>
    </cacheField>
    <cacheField name="pi3_email" numFmtId="0">
      <sharedItems containsNonDate="0" containsString="0" containsBlank="1"/>
    </cacheField>
    <cacheField name="pi3_bio_pg" numFmtId="0">
      <sharedItems containsNonDate="0" containsString="0" containsBlank="1"/>
    </cacheField>
    <cacheField name="pi3_coa_pg" numFmtId="0">
      <sharedItems containsNonDate="0" containsString="0" containsBlank="1"/>
    </cacheField>
    <cacheField name="pi3_cp_chk" numFmtId="0">
      <sharedItems containsNonDate="0" containsString="0" containsBlank="1"/>
    </cacheField>
    <cacheField name="pi3_num_awd" numFmtId="0">
      <sharedItems containsNonDate="0" containsString="0" containsBlank="1"/>
    </cacheField>
    <cacheField name="pi3_last_awd" numFmtId="0">
      <sharedItems containsNonDate="0" containsString="0" containsBlank="1"/>
    </cacheField>
    <cacheField name="pi4_last_name" numFmtId="0">
      <sharedItems containsNonDate="0" containsString="0" containsBlank="1"/>
    </cacheField>
    <cacheField name="pi4_inst" numFmtId="0">
      <sharedItems containsNonDate="0" containsString="0" containsBlank="1"/>
    </cacheField>
    <cacheField name="pi4_email" numFmtId="0">
      <sharedItems containsNonDate="0" containsString="0" containsBlank="1"/>
    </cacheField>
    <cacheField name="pi4_bio_pg" numFmtId="0">
      <sharedItems containsNonDate="0" containsString="0" containsBlank="1"/>
    </cacheField>
    <cacheField name="pi4_coa_pg" numFmtId="0">
      <sharedItems containsNonDate="0" containsString="0" containsBlank="1"/>
    </cacheField>
    <cacheField name="pi4_cp_chk" numFmtId="0">
      <sharedItems containsNonDate="0" containsString="0" containsBlank="1"/>
    </cacheField>
    <cacheField name="pi4_num_awd" numFmtId="0">
      <sharedItems containsNonDate="0" containsString="0" containsBlank="1"/>
    </cacheField>
    <cacheField name="pi4_last_awd" numFmtId="0">
      <sharedItems containsNonDate="0" containsString="0" containsBlank="1"/>
    </cacheField>
    <cacheField name="pi5_last_name" numFmtId="0">
      <sharedItems containsNonDate="0" containsString="0" containsBlank="1"/>
    </cacheField>
    <cacheField name="pi5_inst" numFmtId="0">
      <sharedItems containsNonDate="0" containsString="0" containsBlank="1"/>
    </cacheField>
    <cacheField name="pi5_email" numFmtId="0">
      <sharedItems containsNonDate="0" containsString="0" containsBlank="1"/>
    </cacheField>
    <cacheField name="pi5_bio_pg" numFmtId="0">
      <sharedItems containsNonDate="0" containsString="0" containsBlank="1"/>
    </cacheField>
    <cacheField name="pi5_coa_pg" numFmtId="0">
      <sharedItems containsNonDate="0" containsString="0" containsBlank="1"/>
    </cacheField>
    <cacheField name="pi5_cp_chk" numFmtId="0">
      <sharedItems containsNonDate="0" containsString="0" containsBlank="1"/>
    </cacheField>
    <cacheField name="pi5_num_awd" numFmtId="0">
      <sharedItems containsNonDate="0" containsString="0" containsBlank="1"/>
    </cacheField>
    <cacheField name="pi5_last_awd" numFmtId="0">
      <sharedItems containsNonDate="0" containsString="0" containsBlank="1"/>
    </cacheField>
    <cacheField name="pi6_last_name" numFmtId="0">
      <sharedItems containsNonDate="0" containsString="0" containsBlank="1"/>
    </cacheField>
    <cacheField name="pi6_inst" numFmtId="0">
      <sharedItems containsNonDate="0" containsString="0" containsBlank="1"/>
    </cacheField>
    <cacheField name="pi6_email" numFmtId="0">
      <sharedItems containsNonDate="0" containsString="0" containsBlank="1"/>
    </cacheField>
    <cacheField name="pi6_bio_pg" numFmtId="0">
      <sharedItems containsNonDate="0" containsString="0" containsBlank="1"/>
    </cacheField>
    <cacheField name="pi6_coa_pg" numFmtId="0">
      <sharedItems containsNonDate="0" containsString="0" containsBlank="1"/>
    </cacheField>
    <cacheField name="pi6_cp_chk" numFmtId="0">
      <sharedItems containsNonDate="0" containsString="0" containsBlank="1"/>
    </cacheField>
    <cacheField name="pi6_num_awd" numFmtId="0">
      <sharedItems containsNonDate="0" containsString="0" containsBlank="1"/>
    </cacheField>
    <cacheField name="pi6_last_awd" numFmtId="0">
      <sharedItems containsNonDate="0" containsString="0" containsBlank="1"/>
    </cacheField>
    <cacheField name="pi7_last_name" numFmtId="0">
      <sharedItems containsNonDate="0" containsString="0" containsBlank="1"/>
    </cacheField>
    <cacheField name="pi7_inst" numFmtId="0">
      <sharedItems containsNonDate="0" containsString="0" containsBlank="1"/>
    </cacheField>
    <cacheField name="pi7_email" numFmtId="0">
      <sharedItems containsNonDate="0" containsString="0" containsBlank="1"/>
    </cacheField>
    <cacheField name="pi7_bio_pg" numFmtId="0">
      <sharedItems containsNonDate="0" containsString="0" containsBlank="1"/>
    </cacheField>
    <cacheField name="pi7_coa_pg" numFmtId="0">
      <sharedItems containsNonDate="0" containsString="0" containsBlank="1"/>
    </cacheField>
    <cacheField name="pi7_cp_chk" numFmtId="0">
      <sharedItems containsNonDate="0" containsString="0" containsBlank="1"/>
    </cacheField>
    <cacheField name="pi7_num_awd" numFmtId="0">
      <sharedItems containsNonDate="0" containsString="0" containsBlank="1"/>
    </cacheField>
    <cacheField name="pi7_last_awd" numFmtId="0">
      <sharedItems containsNonDate="0" containsString="0" containsBlank="1"/>
    </cacheField>
    <cacheField name="pi8_last_name" numFmtId="0">
      <sharedItems containsNonDate="0" containsString="0" containsBlank="1"/>
    </cacheField>
    <cacheField name="pi8_inst" numFmtId="0">
      <sharedItems containsNonDate="0" containsString="0" containsBlank="1"/>
    </cacheField>
    <cacheField name="pi8_email" numFmtId="0">
      <sharedItems containsNonDate="0" containsString="0" containsBlank="1"/>
    </cacheField>
    <cacheField name="pi8_bio_pg" numFmtId="0">
      <sharedItems containsNonDate="0" containsString="0" containsBlank="1"/>
    </cacheField>
    <cacheField name="pi8_coa_pg" numFmtId="0">
      <sharedItems containsNonDate="0" containsString="0" containsBlank="1"/>
    </cacheField>
    <cacheField name="pi8_cp_chk" numFmtId="0">
      <sharedItems containsNonDate="0" containsString="0" containsBlank="1"/>
    </cacheField>
    <cacheField name="pi8_num_awd" numFmtId="0">
      <sharedItems containsNonDate="0" containsString="0" containsBlank="1"/>
    </cacheField>
    <cacheField name="pi8_last_awd" numFmtId="0">
      <sharedItems containsNonDate="0" containsString="0" containsBlank="1"/>
    </cacheField>
    <cacheField name="pi9_last_name" numFmtId="0">
      <sharedItems containsNonDate="0" containsString="0" containsBlank="1"/>
    </cacheField>
    <cacheField name="pi9_inst" numFmtId="0">
      <sharedItems containsNonDate="0" containsString="0" containsBlank="1"/>
    </cacheField>
    <cacheField name="pi9_email" numFmtId="0">
      <sharedItems containsNonDate="0" containsString="0" containsBlank="1"/>
    </cacheField>
    <cacheField name="pi9_bio_pg" numFmtId="0">
      <sharedItems containsNonDate="0" containsString="0" containsBlank="1"/>
    </cacheField>
    <cacheField name="pi9_coa_pg" numFmtId="0">
      <sharedItems containsNonDate="0" containsString="0" containsBlank="1"/>
    </cacheField>
    <cacheField name="pi9_cp_chk" numFmtId="0">
      <sharedItems containsNonDate="0" containsString="0" containsBlank="1"/>
    </cacheField>
    <cacheField name="pi9_num_awd" numFmtId="0">
      <sharedItems containsNonDate="0" containsString="0" containsBlank="1"/>
    </cacheField>
    <cacheField name="pi9_last_aw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Loera, Maria" refreshedDate="43033.566576041667" createdVersion="5" refreshedVersion="6" minRefreshableVersion="3" recordCount="10">
  <cacheSource type="worksheet">
    <worksheetSource name="CompByPropTable"/>
  </cacheSource>
  <cacheFields count="60">
    <cacheField name="run_date" numFmtId="166">
      <sharedItems containsSemiMixedTypes="0" containsNonDate="0" containsDate="1" containsString="0" minDate="2017-10-25T13:35:47" maxDate="2017-10-25T13:35:47"/>
    </cacheField>
    <cacheField name="GG_track_num" numFmtId="0">
      <sharedItems containsNonDate="0" containsString="0" containsBlank="1"/>
    </cacheField>
    <cacheField name="GG_rcvd_date" numFmtId="166">
      <sharedItems containsNonDate="0" containsString="0" containsBlank="1"/>
    </cacheField>
    <cacheField name="NSF_rcvd_date" numFmtId="166">
      <sharedItems containsSemiMixedTypes="0" containsNonDate="0" containsDate="1" containsString="0" minDate="2016-01-02T16:46:00" maxDate="2017-01-25T08:34:00"/>
    </cacheField>
    <cacheField name="NSV_Received_Date" numFmtId="165">
      <sharedItems containsSemiMixedTypes="0" containsNonDate="0" containsDate="1" containsString="0" minDate="2012-05-03T00:00:00" maxDate="2017-07-21T00:00:00" count="200">
        <d v="2017-01-25T00:00:00"/>
        <d v="2017-01-20T00:00:00"/>
        <d v="2016-01-04T00:00:00"/>
        <d v="2016-01-02T00:00:00"/>
        <d v="2016-01-25T00:00:00"/>
        <d v="2016-01-15T00:00:00"/>
        <d v="2016-02-09T00:00:00" u="1"/>
        <d v="2016-05-31T00:00:00" u="1"/>
        <d v="2016-10-18T00:00:00" u="1"/>
        <d v="2017-02-09T00:00:00" u="1"/>
        <d v="2015-07-15T00:00:00" u="1"/>
        <d v="2016-06-10T00:00:00" u="1"/>
        <d v="2017-03-14T00:00:00" u="1"/>
        <d v="2016-02-02T00:00:00" u="1"/>
        <d v="2016-05-24T00:00:00" u="1"/>
        <d v="2016-07-15T00:00:00" u="1"/>
        <d v="2014-10-30T00:00:00" u="1"/>
        <d v="2015-09-25T00:00:00" u="1"/>
        <d v="2015-11-16T00:00:00" u="1"/>
        <d v="2016-06-29T00:00:00" u="1"/>
        <d v="2015-10-30T00:00:00" u="1"/>
        <d v="2016-06-03T00:00:00" u="1"/>
        <d v="2016-05-17T00:00:00" u="1"/>
        <d v="2016-07-08T00:00:00" u="1"/>
        <d v="2014-10-23T00:00:00" u="1"/>
        <d v="2015-11-09T00:00:00" u="1"/>
        <d v="2012-05-03T00:00:00" u="1"/>
        <d v="2014-11-02T00:00:00" u="1"/>
        <d v="2016-05-10T00:00:00" u="1"/>
        <d v="2016-07-01T00:00:00" u="1"/>
        <d v="2017-02-14T00:00:00" u="1"/>
        <d v="2014-10-16T00:00:00" u="1"/>
        <d v="2015-07-20T00:00:00" u="1"/>
        <d v="2015-09-11T00:00:00" u="1"/>
        <d v="2015-11-02T00:00:00" u="1"/>
        <d v="2016-06-15T00:00:00" u="1"/>
        <d v="2016-08-06T00:00:00" u="1"/>
        <d v="2015-10-16T00:00:00" u="1"/>
        <d v="2016-05-29T00:00:00" u="1"/>
        <d v="2016-07-20T00:00:00" u="1"/>
        <d v="2017-01-02T00:00:00" u="1"/>
        <d v="2015-09-30T00:00:00" u="1"/>
        <d v="2016-01-21T00:00:00" u="1"/>
        <d v="2017-02-07T00:00:00" u="1"/>
        <d v="2017-07-20T00:00:00" u="1"/>
        <d v="2014-10-09T00:00:00" u="1"/>
        <d v="2016-02-26T00:00:00" u="1"/>
        <d v="2016-06-08T00:00:00" u="1"/>
        <d v="2014-09-23T00:00:00" u="1"/>
        <d v="2016-07-13T00:00:00" u="1"/>
        <d v="2014-10-28T00:00:00" u="1"/>
        <d v="2015-09-23T00:00:00" u="1"/>
        <d v="2015-11-14T00:00:00" u="1"/>
        <d v="2016-06-27T00:00:00" u="1"/>
        <d v="2017-07-13T00:00:00" u="1"/>
        <d v="2014-10-02T00:00:00" u="1"/>
        <d v="2016-06-01T00:00:00" u="1"/>
        <d v="2017-06-27T00:00:00" u="1"/>
        <d v="2016-07-06T00:00:00" u="1"/>
        <d v="2014-10-21T00:00:00" u="1"/>
        <d v="2015-09-16T00:00:00" u="1"/>
        <d v="2016-06-20T00:00:00" u="1"/>
        <d v="2017-07-06T00:00:00" u="1"/>
        <d v="2015-10-21T00:00:00" u="1"/>
        <d v="2016-02-12T00:00:00" u="1"/>
        <d v="2016-07-25T00:00:00" u="1"/>
        <d v="2017-06-20T00:00:00" u="1"/>
        <d v="2017-02-12T00:00:00" u="1"/>
        <d v="2014-10-14T00:00:00" u="1"/>
        <d v="2015-09-09T00:00:00" u="1"/>
        <d v="2016-06-13T00:00:00" u="1"/>
        <d v="2016-08-04T00:00:00" u="1"/>
        <d v="2015-10-14T00:00:00" u="1"/>
        <d v="2016-02-05T00:00:00" u="1"/>
        <d v="2016-05-27T00:00:00" u="1"/>
        <d v="2016-07-18T00:00:00" u="1"/>
        <d v="2016-10-14T00:00:00" u="1"/>
        <d v="2017-07-18T00:00:00" u="1"/>
        <d v="2015-12-24T00:00:00" u="1"/>
        <d v="2016-02-24T00:00:00" u="1"/>
        <d v="2016-06-06T00:00:00" u="1"/>
        <d v="2017-03-10T00:00:00" u="1"/>
        <d v="2015-10-07T00:00:00" u="1"/>
        <d v="2016-05-20T00:00:00" u="1"/>
        <d v="2016-07-11T00:00:00" u="1"/>
        <d v="2014-10-26T00:00:00" u="1"/>
        <d v="2015-11-12T00:00:00" u="1"/>
        <d v="2016-03-03T00:00:00" u="1"/>
        <d v="2017-07-11T00:00:00" u="1"/>
        <d v="2016-02-17T00:00:00" u="1"/>
        <d v="2014-11-05T00:00:00" u="1"/>
        <d v="2016-07-04T00:00:00" u="1"/>
        <d v="2015-09-14T00:00:00" u="1"/>
        <d v="2015-11-05T00:00:00" u="1"/>
        <d v="2016-08-09T00:00:00" u="1"/>
        <d v="2015-10-19T00:00:00" u="1"/>
        <d v="2016-02-10T00:00:00" u="1"/>
        <d v="2016-10-19T00:00:00" u="1"/>
        <d v="2017-02-10T00:00:00" u="1"/>
        <d v="2014-10-12T00:00:00" u="1"/>
        <d v="2015-07-16T00:00:00" u="1"/>
        <d v="2015-12-29T00:00:00" u="1"/>
        <d v="2016-06-11T00:00:00" u="1"/>
        <d v="2016-08-02T00:00:00" u="1"/>
        <d v="2017-03-15T00:00:00" u="1"/>
        <d v="2015-10-12T00:00:00" u="1"/>
        <d v="2016-02-03T00:00:00" u="1"/>
        <d v="2016-05-25T00:00:00" u="1"/>
        <d v="2014-10-31T00:00:00" u="1"/>
        <d v="2015-11-17T00:00:00" u="1"/>
        <d v="2016-06-30T00:00:00" u="1"/>
        <d v="2016-06-04T00:00:00" u="1"/>
        <d v="2016-05-18T00:00:00" u="1"/>
        <d v="2014-10-24T00:00:00" u="1"/>
        <d v="2015-11-10T00:00:00" u="1"/>
        <d v="2016-03-01T00:00:00" u="1"/>
        <d v="2012-05-04T00:00:00" u="1"/>
        <d v="2015-12-15T00:00:00" u="1"/>
        <d v="2016-02-15T00:00:00" u="1"/>
        <d v="2014-11-03T00:00:00" u="1"/>
        <d v="2016-05-11T00:00:00" u="1"/>
        <d v="2014-10-17T00:00:00" u="1"/>
        <d v="2015-11-03T00:00:00" u="1"/>
        <d v="2016-06-16T00:00:00" u="1"/>
        <d v="2016-02-08T00:00:00" u="1"/>
        <d v="2016-05-30T00:00:00" u="1"/>
        <d v="2016-07-21T00:00:00" u="1"/>
        <d v="2016-10-17T00:00:00" u="1"/>
        <d v="2017-02-08T00:00:00" u="1"/>
        <d v="2014-01-15T00:00:00" u="1"/>
        <d v="2016-06-09T00:00:00" u="1"/>
        <d v="2017-03-13T00:00:00" u="1"/>
        <d v="2014-09-24T00:00:00" u="1"/>
        <d v="2016-02-01T00:00:00" u="1"/>
        <d v="2016-05-23T00:00:00" u="1"/>
        <d v="2016-07-14T00:00:00" u="1"/>
        <d v="2014-10-29T00:00:00" u="1"/>
        <d v="2015-09-24T00:00:00" u="1"/>
        <d v="2017-07-14T00:00:00" u="1"/>
        <d v="2015-10-29T00:00:00" u="1"/>
        <d v="2016-06-02T00:00:00" u="1"/>
        <d v="2017-06-28T00:00:00" u="1"/>
        <d v="2016-05-16T00:00:00" u="1"/>
        <d v="2016-07-07T00:00:00" u="1"/>
        <d v="2014-10-22T00:00:00" u="1"/>
        <d v="2015-09-17T00:00:00" u="1"/>
        <d v="2016-02-13T00:00:00" u="1"/>
        <d v="2016-07-26T00:00:00" u="1"/>
        <d v="2016-05-09T00:00:00" u="1"/>
        <d v="2017-02-13T00:00:00" u="1"/>
        <d v="2014-10-15T00:00:00" u="1"/>
        <d v="2015-09-10T00:00:00" u="1"/>
        <d v="2016-06-14T00:00:00" u="1"/>
        <d v="2016-08-05T00:00:00" u="1"/>
        <d v="2015-10-15T00:00:00" u="1"/>
        <d v="2016-05-28T00:00:00" u="1"/>
        <d v="2016-07-19T00:00:00" u="1"/>
        <d v="2017-07-19T00:00:00" u="1"/>
        <d v="2014-10-08T00:00:00" u="1"/>
        <d v="2016-06-07T00:00:00" u="1"/>
        <d v="2016-07-12T00:00:00" u="1"/>
        <d v="2014-10-27T00:00:00" u="1"/>
        <d v="2015-07-31T00:00:00" u="1"/>
        <d v="2015-09-22T00:00:00" u="1"/>
        <d v="2015-11-13T00:00:00" u="1"/>
        <d v="2017-07-12T00:00:00" u="1"/>
        <d v="2016-02-18T00:00:00" u="1"/>
        <d v="2016-07-05T00:00:00" u="1"/>
        <d v="2014-10-20T00:00:00" u="1"/>
        <d v="2015-09-15T00:00:00" u="1"/>
        <d v="2015-11-06T00:00:00" u="1"/>
        <d v="2016-08-10T00:00:00" u="1"/>
        <d v="2015-10-20T00:00:00" u="1"/>
        <d v="2015-12-11T00:00:00" u="1"/>
        <d v="2016-02-11T00:00:00" u="1"/>
        <d v="2017-02-11T00:00:00" u="1"/>
        <d v="2014-10-13T00:00:00" u="1"/>
        <d v="2016-06-12T00:00:00" u="1"/>
        <d v="2016-08-03T00:00:00" u="1"/>
        <d v="2017-03-16T00:00:00" u="1"/>
        <d v="2015-10-13T00:00:00" u="1"/>
        <d v="2016-02-04T00:00:00" u="1"/>
        <d v="2016-05-26T00:00:00" u="1"/>
        <d v="2015-11-18T00:00:00" u="1"/>
        <d v="2017-07-17T00:00:00" u="1"/>
        <d v="2015-07-10T00:00:00" u="1"/>
        <d v="2015-09-01T00:00:00" u="1"/>
        <d v="2016-06-05T00:00:00" u="1"/>
        <d v="2015-10-06T00:00:00" u="1"/>
        <d v="2015-07-29T00:00:00" u="1"/>
        <d v="2015-11-11T00:00:00" u="1"/>
        <d v="2016-03-02T00:00:00" u="1"/>
        <d v="2017-07-10T00:00:00" u="1"/>
        <d v="2016-02-16T00:00:00" u="1"/>
        <d v="2014-11-04T00:00:00" u="1"/>
        <d v="2015-07-22T00:00:00" u="1"/>
        <d v="2015-09-13T00:00:00" u="1"/>
        <d v="2015-11-04T00:00:00" u="1"/>
        <d v="2016-06-17T00:00:00" u="1"/>
        <d v="2016-08-08T00:00:00" u="1"/>
      </sharedItems>
    </cacheField>
    <cacheField name="spcl_excp_flag" numFmtId="164">
      <sharedItems containsBlank="1"/>
    </cacheField>
    <cacheField name="inst_st_code" numFmtId="164">
      <sharedItems/>
    </cacheField>
    <cacheField name="inst_last_updt_tmsp" numFmtId="166">
      <sharedItems containsNonDate="0" containsDate="1" containsString="0" containsBlank="1" minDate="2016-03-29T10:55:52" maxDate="2017-09-05T16:48:04"/>
    </cacheField>
    <cacheField name="inst_timeZone" numFmtId="164">
      <sharedItems containsBlank="1"/>
    </cacheField>
    <cacheField name="pgm_annc_id" numFmtId="0">
      <sharedItems/>
    </cacheField>
    <cacheField name="org_code" numFmtId="0">
      <sharedItems/>
    </cacheField>
    <cacheField name="orig_org_code" numFmtId="164">
      <sharedItems containsBlank="1"/>
    </cacheField>
    <cacheField name="pgm_ele_code" numFmtId="0">
      <sharedItems/>
    </cacheField>
    <cacheField name="orig_pgm_ele_code" numFmtId="164">
      <sharedItems containsBlank="1"/>
    </cacheField>
    <cacheField name="pm_ibm_logn_id" numFmtId="0">
      <sharedItems/>
    </cacheField>
    <cacheField name="natr_rqst_txt" numFmtId="0">
      <sharedItems containsBlank="1" count="5">
        <s v="New Project"/>
        <s v="Supplement"/>
        <m u="1"/>
        <s v="PI Transfer" u="1"/>
        <s v="Renewal" u="1"/>
      </sharedItems>
    </cacheField>
    <cacheField name="prop_stts_txt" numFmtId="0">
      <sharedItems containsBlank="1" count="16">
        <s v="Proposal has been awarded"/>
        <s v="Full Proposal not invited"/>
        <m u="1"/>
        <s v="Pend,PO Rcom Ret w\o Rev- Format problem" u="1"/>
        <s v="FL Withdrawn, Funding Elsewhere" u="1"/>
        <s v="FL Withdrawn, Other" u="1"/>
        <s v="Recommended for award, DDConcurred" u="1"/>
        <s v="Ret w\o Rev -Format problem, DDConcurred" u="1"/>
        <s v="Pend,PORcom Retw\oRev-Not Contain ReqSec" u="1"/>
        <s v="FL Withdrawn, Collaborative" u="1"/>
        <s v="Pending, Assigned to PM" u="1"/>
        <s v="Pending, Review Package Produced" u="1"/>
        <s v="Ret w\o Rev-Not Contain ReqSect,DDConcrd" u="1"/>
        <s v="Ret w\o Rev-Not resp NSF FundOp,DDConcrd" u="1"/>
        <s v="Decline, DDConcurred" u="1"/>
        <s v="Ret w\o Rev- Inappropriate, DDConcurred" u="1"/>
      </sharedItems>
    </cacheField>
    <cacheField name="prop_stts" numFmtId="164">
      <sharedItems containsBlank="1" count="8">
        <s v="AWD"/>
        <s v="NIVT"/>
        <m u="1"/>
        <s v="DECL" u="1"/>
        <s v="RCOM" u="1"/>
        <s v="PEND" u="1"/>
        <s v="RTNR" u="1"/>
        <s v="WTH" u="1"/>
      </sharedItems>
    </cacheField>
    <cacheField name="GOALI_flag" numFmtId="164">
      <sharedItems containsNonDate="0" containsString="0" containsBlank="1"/>
    </cacheField>
    <cacheField name="0" numFmtId="0">
      <sharedItems containsSemiMixedTypes="0" containsString="0" containsNumber="1" containsInteger="1" minValue="1" maxValue="8"/>
    </cacheField>
    <cacheField name="lead_prop_id" numFmtId="0">
      <sharedItems containsBlank="1"/>
    </cacheField>
    <cacheField name="ILN" numFmtId="164">
      <sharedItems/>
    </cacheField>
    <cacheField name="prop_id" numFmtId="167">
      <sharedItems/>
    </cacheField>
    <cacheField name="Ejacket" numFmtId="0">
      <sharedItems/>
    </cacheField>
    <cacheField name="pi_last_name" numFmtId="0">
      <sharedItems/>
    </cacheField>
    <cacheField name="pi_frst_name" numFmtId="0">
      <sharedItems/>
    </cacheField>
    <cacheField name="inst_name" numFmtId="0">
      <sharedItems/>
    </cacheField>
    <cacheField name="prop_titl_txt" numFmtId="0">
      <sharedItems/>
    </cacheField>
    <cacheField name="cert_dbar_sus_flag" numFmtId="0">
      <sharedItems/>
    </cacheField>
    <cacheField name="OTH_AGCY_SUBM_FLAG" numFmtId="0">
      <sharedItems containsBlank="1"/>
    </cacheField>
    <cacheField name="auth_rep_elec_sign" numFmtId="0">
      <sharedItems/>
    </cacheField>
    <cacheField name="AUTH_REP_CERT_DATE" numFmtId="166">
      <sharedItems containsSemiMixedTypes="0" containsNonDate="0" containsDate="1" containsString="0" minDate="2016-01-02T16:46:58" maxDate="2017-01-25T08:34:09"/>
    </cacheField>
    <cacheField name="ProjSumm" numFmtId="164">
      <sharedItems containsBlank="1"/>
    </cacheField>
    <cacheField name="proj_summ_pg" numFmtId="1">
      <sharedItems containsString="0" containsBlank="1" containsNumber="1" containsInteger="1" minValue="1" maxValue="1"/>
    </cacheField>
    <cacheField name="ProjDesc" numFmtId="49">
      <sharedItems/>
    </cacheField>
    <cacheField name="budg_just_pg" numFmtId="169">
      <sharedItems containsString="0" containsBlank="1" containsNumber="1" containsInteger="1" minValue="1" maxValue="2"/>
    </cacheField>
    <cacheField name="RefCited" numFmtId="0">
      <sharedItems/>
    </cacheField>
    <cacheField name="tot_Pdoc_dol" numFmtId="164">
      <sharedItems containsNonDate="0" containsString="0" containsBlank="1"/>
    </cacheField>
    <cacheField name="MentPlan" numFmtId="0">
      <sharedItems containsNonDate="0" containsString="0" containsBlank="1"/>
    </cacheField>
    <cacheField name="DMP" numFmtId="0">
      <sharedItems/>
    </cacheField>
    <cacheField name="FacilitiesEquip" numFmtId="0">
      <sharedItems containsBlank="1"/>
    </cacheField>
    <cacheField name="oth_supp_cnt" numFmtId="1">
      <sharedItems containsString="0" containsBlank="1" containsNumber="1" containsInteger="1" minValue="1" maxValue="1"/>
    </cacheField>
    <cacheField name="eJ2" numFmtId="1">
      <sharedItems/>
    </cacheField>
    <cacheField name="OthSuppDoc" numFmtId="1">
      <sharedItems/>
    </cacheField>
    <cacheField name="tot_PIs" numFmtId="0">
      <sharedItems containsSemiMixedTypes="0" containsString="0" containsNumber="1" containsInteger="1" minValue="1" maxValue="3"/>
    </cacheField>
    <cacheField name="tot_Part_Stipend" numFmtId="164">
      <sharedItems containsString="0" containsBlank="1" containsNumber="1" containsInteger="1" minValue="96" maxValue="96"/>
    </cacheField>
    <cacheField name="tot_rqst_dol" numFmtId="164">
      <sharedItems containsSemiMixedTypes="0" containsString="0" containsNumber="1" containsInteger="1" minValue="0" maxValue="53699"/>
    </cacheField>
    <cacheField name="cumulative_tot_dol" numFmtId="164">
      <sharedItems containsString="0" containsBlank="1" containsNumber="1" containsInteger="1" minValue="0" maxValue="53699"/>
    </cacheField>
    <cacheField name="Diff_tot_dol" numFmtId="164">
      <sharedItems containsString="0" containsBlank="1" containsNumber="1" containsInteger="1" minValue="-2" maxValue="4894"/>
    </cacheField>
    <cacheField name="humn_date" numFmtId="164">
      <sharedItems containsNonDate="0" containsString="0" containsBlank="1"/>
    </cacheField>
    <cacheField name="vrtb_date" numFmtId="164">
      <sharedItems containsBlank="1"/>
    </cacheField>
    <cacheField name="dir_div_abbr" numFmtId="164">
      <sharedItems containsBlank="1" count="18">
        <s v="OCE"/>
        <s v="IIP"/>
        <s v="DEB"/>
        <s v="IOS"/>
        <m u="1"/>
        <s v="EEC" u="1"/>
        <s v="HRD" u="1"/>
        <s v="BCS" u="1"/>
        <s v="CCF" u="1"/>
        <s v="IIS" u="1"/>
        <s v="CNS" u="1"/>
        <s v="SES" u="1"/>
        <s v="CBET" u="1"/>
        <s v="CMMI" u="1"/>
        <s v="ACI" u="1"/>
        <s v="ECCS" u="1"/>
        <s v="AGS" u="1"/>
        <s v="ITR" u="1"/>
      </sharedItems>
    </cacheField>
    <cacheField name="orig_dir_div_abbr" numFmtId="164">
      <sharedItems containsBlank="1"/>
    </cacheField>
    <cacheField name="pgm_ele_name" numFmtId="164">
      <sharedItems containsBlank="1" count="87">
        <s v="CHEMICAL OCEANOGRAPHY"/>
        <s v="I-Corps - Nodes"/>
        <s v="Dimensions of Biodiversity"/>
        <s v="EVOLUTIONARY GENETICS"/>
        <s v="ECOSYSTEM STUDIES"/>
        <s v="EVOLUTION OF DEVELOP MECHANISM"/>
        <s v="Integrative Ecologi Physiology"/>
        <s v="ANIMAL BEHAVIOR"/>
        <s v="RES IN NETWORKING TECH &amp; SYS" u="1"/>
        <m u="1"/>
        <s v="ELECT, PHOTONICS, &amp; MAG DEVICE" u="1"/>
        <s v="CIVIL INFRASTRUCTURE SYSTEMS" u="1"/>
        <s v="Manufacturing Machines &amp; Equip" u="1"/>
        <s v="LAW AND SOCIAL SCIENCES" u="1"/>
        <s v="AERONOMY" u="1"/>
        <s v="Cyber-Human Systems (CHS)" u="1"/>
        <s v="ENVIRONMENTAL SUSTAINABILITY" u="1"/>
        <s v="OE Operations Engineering" u="1"/>
        <s v="INFRAST MGMT &amp; EXTREME EVENTS" u="1"/>
        <s v="Engineering of Biomed Systems" u="1"/>
        <s v="NEES RESEARCH" u="1"/>
        <s v="COMBUSTION, FIRE, &amp; PLASMA SYS" u="1"/>
        <s v="COMM &amp; INFORMATION FOUNDATIONS" u="1"/>
        <s v="Systems Science (SYS)" u="1"/>
        <s v="Mechanics of Materials and Str" u="1"/>
        <s v="Enviro Health &amp; Safety of Nano" u="1"/>
        <s v="Proc Sys, Reac Eng &amp; Mol Therm" u="1"/>
        <s v="INFO INTEGRATION &amp; INFORMATICS" u="1"/>
        <s v="COMPUTER ARCHITECTURE" u="1"/>
        <s v="Smart and Connected Health" u="1"/>
        <s v="COMPUTING RES INFRASTRUCTURE" u="1"/>
        <s v="BIOLOGY &amp; INFORMATION TECHNOLO" u="1"/>
        <s v="CATALYSIS AND BIOCATALYSIS" u="1"/>
        <s v="THERMAL TRANSPORT PROCESSES" u="1"/>
        <s v="Gen &amp; Age Rel Disabilities Eng" u="1"/>
        <s v="FLUID DYNAMICS" u="1"/>
        <s v="Dynamics, Control and System D" u="1"/>
        <s v="HDBE-Humans, Disasters, and th" u="1"/>
        <s v="NSF INCLUDES" u="1"/>
        <s v="UPPER ATMOSPHERIC FACILITIES" u="1"/>
        <s v="CAREER: FACULTY EARLY CAR DEV" u="1"/>
        <s v="Disability &amp; Rehab Engineering" u="1"/>
        <s v="M3X - Mind, Machine, and Motor" u="1"/>
        <s v="ENGINEERING EDUCATION" u="1"/>
        <s v="Service, Manufacturing, and Op" u="1"/>
        <s v="TRUSTWORTHY COMPUTING" u="1"/>
        <s v="SOFTWARE ENG &amp; FORMAL METHODS" u="1"/>
        <s v="ROBUST INTELLIGENCE" u="1"/>
        <s v="ENERGY FOR SUSTAINABILITY" u="1"/>
        <s v="PARTICULATE &amp;MULTIPHASE PROCES" u="1"/>
        <s v="Biomechanics &amp; Mechanobiology" u="1"/>
        <s v="CRII CISE Research Initiation" u="1"/>
        <s v="Geotechnical Engineering and M" u="1"/>
        <s v="Cellular &amp; Biochem Engineering" u="1"/>
        <s v="ENERGY,POWER,ADAPTIVE SYS" u="1"/>
        <s v="CYBER-PHYSICAL SYSTEMS (CPS)" u="1"/>
        <s v="COMPUTER SYSTEMS" u="1"/>
        <s v="BIOMEDICAL ENGINEERING" u="1"/>
        <s v="ENVIRONMENTAL ENGINEERING" u="1"/>
        <s v="TRIPODS Transdisciplinary Rese" u="1"/>
        <s v="SCIENCE, TECH &amp; SOCIETY" u="1"/>
        <s v="CHEMICAL &amp; BIOLOGICAL SEPAR" u="1"/>
        <s v="ALGORITHMIC FOUNDATIONS" u="1"/>
        <s v="DS - Developmental Sciences" u="1"/>
        <s v="Biol &amp; Envir Inter of Nano Mat" u="1"/>
        <s v="IIS SPECIAL PROJECTS" u="1"/>
        <s v="Catalysis" u="1"/>
        <s v="NANOMANUFACTURING" u="1"/>
        <s v="Engineering for Natural Hazard" u="1"/>
        <s v="ENG DIVERSITY ACTIVITIES" u="1"/>
        <s v="Combustion &amp; Fire Systems" u="1"/>
        <s v="I-Corps" u="1"/>
        <s v="COMMS, CIRCUITS &amp; SENS SYS" u="1"/>
        <s v="Structural and Architectural E" u="1"/>
        <s v="BIOPHOTONICS, IMAGING &amp;SENSING" u="1"/>
        <s v="ENGINEERING DESIGN AND INNOVAT" u="1"/>
        <s v="PROCESS &amp; REACTION ENGINEERING" u="1"/>
        <s v="NANO-BIOSENSING" u="1"/>
        <s v="Process Separations" u="1"/>
        <s v="Computing Ed for 21st Century" u="1"/>
        <s v="Cyberlearn &amp; Future Learn Tech" u="1"/>
        <s v="Physiolg Mechansms&amp;Biomechancs" u="1"/>
        <s v="Secure &amp;Trustworthy Cyberspace" u="1"/>
        <s v="SOFTWARE &amp; HARDWARE FOUNDATION" u="1"/>
        <s v="BIOTECH, BIOCHEM &amp; BIOMASS ENG" u="1"/>
        <s v="Design of Eng Materials (DEMS)" u="1"/>
        <s v="Materials Eng. &amp; Processing" u="1"/>
      </sharedItems>
    </cacheField>
    <cacheField name="orig_pgm_ele_name" numFmtId="164">
      <sharedItems containsBlank="1"/>
    </cacheField>
    <cacheField name="prop_stts_code" numFmtId="164">
      <sharedItems/>
    </cacheField>
    <cacheField name="perf_org_txt" numFmtId="164">
      <sharedItems/>
    </cacheField>
    <cacheField name="pi_degr_yr" numFmtId="1">
      <sharedItems containsSemiMixedTypes="0" containsString="0" containsNumber="1" containsInteger="1" minValue="1997" maxValue="2011"/>
    </cacheField>
    <cacheField name="Program" numFmtId="164">
      <sharedItems/>
    </cacheField>
    <cacheField name="Pgm" numFmtId="0" formula="pgm_ele_name+ (pgm_ele_code)"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
  <r>
    <d v="2017-10-25T13:35:51"/>
    <m/>
    <m/>
    <d v="2016-01-02T16:46:00"/>
    <m/>
    <s v="NSF 15-609"/>
    <s v="08010207"/>
    <x v="0"/>
    <s v="FBMOORE"/>
    <s v="New Project"/>
    <s v="Full Proposal not invited"/>
    <x v="0"/>
    <m/>
    <m/>
    <s v="1624004"/>
    <s v="eJ"/>
    <s v="Roles"/>
    <s v="Angela"/>
    <s v="aroles@oberlin.edu"/>
    <s v="Oberlin College"/>
    <s v="OH"/>
    <s v="Preliminary Proposal: RUI: The evolutionary influence of somatic mutation and selection shaping the spectrum of spontaneous mutations in Arabidopsis thaliana"/>
    <s v="N"/>
    <s v="N"/>
    <s v="000131725"/>
    <d v="2016-01-02T16:46:58"/>
    <m/>
    <m/>
    <s v=""/>
    <s v=""/>
    <s v="5"/>
    <m/>
    <s v="3"/>
    <m/>
    <m/>
    <s v="No DMP"/>
    <s v="No FAC"/>
    <m/>
    <m/>
    <n v="0"/>
    <m/>
    <m/>
    <n v="1"/>
    <s v="eJ&gt;"/>
    <s v="OthSuppDoc"/>
    <n v="1"/>
    <n v="1"/>
    <s v="N/A"/>
    <n v="0"/>
    <s v="eJ"/>
    <s v="-&gt;PD"/>
    <s v="solr-BIPW"/>
    <s v="solr-RPS"/>
    <s v="Roles"/>
    <s v="Oberlin College"/>
    <s v="aroles@oberlin.edu"/>
    <n v="2"/>
    <m/>
    <m/>
    <m/>
    <m/>
    <m/>
    <m/>
    <m/>
    <m/>
    <m/>
    <m/>
    <m/>
    <m/>
    <m/>
    <m/>
    <m/>
    <m/>
    <m/>
    <m/>
    <m/>
    <m/>
    <m/>
    <m/>
    <m/>
    <m/>
    <m/>
    <m/>
    <m/>
    <m/>
    <m/>
    <m/>
    <m/>
    <m/>
    <m/>
    <m/>
    <m/>
    <m/>
    <m/>
    <m/>
    <m/>
    <m/>
    <m/>
    <m/>
    <m/>
    <m/>
    <m/>
    <m/>
    <m/>
    <m/>
    <m/>
    <m/>
    <m/>
    <m/>
    <m/>
    <m/>
    <m/>
    <m/>
    <m/>
    <m/>
    <m/>
    <m/>
    <m/>
    <m/>
    <m/>
    <m/>
    <m/>
    <m/>
    <m/>
    <m/>
    <m/>
    <m/>
    <m/>
    <m/>
    <m/>
    <m/>
    <m/>
    <m/>
  </r>
  <r>
    <d v="2017-10-25T13:35:51"/>
    <m/>
    <m/>
    <d v="2016-01-04T00:00:00"/>
    <m/>
    <s v=""/>
    <s v="07070000"/>
    <x v="1"/>
    <s v="RDASGUP"/>
    <s v="Supplement"/>
    <s v="Proposal has been awarded"/>
    <x v="1"/>
    <m/>
    <m/>
    <s v="1624020"/>
    <s v="eJ"/>
    <s v="Warner"/>
    <s v="Grant"/>
    <s v="g_warner@howard.edu"/>
    <s v="Howard University"/>
    <s v="DC"/>
    <s v="I-Corps Sites(Instructor Supplement):  Howard University"/>
    <s v="N"/>
    <m/>
    <s v="000559816"/>
    <d v="2016-01-04T12:09:20"/>
    <m/>
    <m/>
    <s v=""/>
    <s v=""/>
    <s v="No PD"/>
    <n v="1"/>
    <s v="No RC"/>
    <m/>
    <m/>
    <s v="No DMP"/>
    <m/>
    <m/>
    <m/>
    <n v="19345"/>
    <n v="19345"/>
    <m/>
    <m/>
    <s v=""/>
    <s v=""/>
    <n v="1"/>
    <n v="1"/>
    <s v="N/A"/>
    <n v="1"/>
    <s v="eJ"/>
    <s v="-&gt;PD"/>
    <s v="solr-BIPW"/>
    <s v="solr-RPS"/>
    <s v="Warner"/>
    <s v="Howard University"/>
    <m/>
    <n v="0"/>
    <m/>
    <m/>
    <n v="3"/>
    <s v="2015.06.15 1450443.1 $349342"/>
    <m/>
    <m/>
    <m/>
    <m/>
    <m/>
    <m/>
    <m/>
    <m/>
    <m/>
    <m/>
    <m/>
    <m/>
    <m/>
    <m/>
    <m/>
    <m/>
    <m/>
    <m/>
    <m/>
    <m/>
    <m/>
    <m/>
    <m/>
    <m/>
    <m/>
    <m/>
    <m/>
    <m/>
    <m/>
    <m/>
    <m/>
    <m/>
    <m/>
    <m/>
    <m/>
    <m/>
    <m/>
    <m/>
    <m/>
    <m/>
    <m/>
    <m/>
    <m/>
    <m/>
    <m/>
    <m/>
    <m/>
    <m/>
    <m/>
    <m/>
    <m/>
    <m/>
    <m/>
    <m/>
    <m/>
    <m/>
    <m/>
    <m/>
    <m/>
    <m/>
    <m/>
    <m/>
    <m/>
    <m/>
    <m/>
    <m/>
    <m/>
    <m/>
    <m/>
    <m/>
    <m/>
    <m/>
  </r>
  <r>
    <d v="2017-10-25T13:35:51"/>
    <m/>
    <m/>
    <d v="2016-01-04T00:00:00"/>
    <m/>
    <s v=""/>
    <s v="08010000"/>
    <x v="2"/>
    <s v="SMALCOM"/>
    <s v="Supplement"/>
    <s v="Proposal has been awarded"/>
    <x v="1"/>
    <m/>
    <m/>
    <s v="1624023"/>
    <s v="eJ"/>
    <s v="Ferrer Correa"/>
    <s v="Astrid Hersilia"/>
    <s v="aferrer@life.uiuc.edu"/>
    <s v="U of Ill Urbana-Champaign"/>
    <s v="IL"/>
    <s v="Dimensions:   Community assembly and decomposer function of aquatic fungi along a salinity gradient"/>
    <s v="N"/>
    <m/>
    <s v="000562582"/>
    <d v="2016-01-04T13:04:46"/>
    <m/>
    <m/>
    <s v=""/>
    <s v=""/>
    <s v="No PD"/>
    <n v="1"/>
    <s v="No RC"/>
    <m/>
    <m/>
    <s v="No DMP"/>
    <m/>
    <m/>
    <n v="96"/>
    <n v="0"/>
    <n v="4894"/>
    <n v="4894"/>
    <m/>
    <s v=""/>
    <s v=""/>
    <n v="1"/>
    <n v="1"/>
    <s v="N/A"/>
    <n v="1"/>
    <s v="eJ"/>
    <s v="-&gt;PD"/>
    <s v="solr-BIPW"/>
    <s v="solr-RPS"/>
    <s v="Ferrer Correa"/>
    <s v="U of Ill Urbana-Champaign"/>
    <m/>
    <n v="0"/>
    <m/>
    <m/>
    <n v="2"/>
    <s v="2013.03.01 1314193.1 $48617"/>
    <m/>
    <m/>
    <m/>
    <m/>
    <m/>
    <m/>
    <m/>
    <m/>
    <m/>
    <m/>
    <m/>
    <m/>
    <m/>
    <m/>
    <m/>
    <m/>
    <m/>
    <m/>
    <m/>
    <m/>
    <m/>
    <m/>
    <m/>
    <m/>
    <m/>
    <m/>
    <m/>
    <m/>
    <m/>
    <m/>
    <m/>
    <m/>
    <m/>
    <m/>
    <m/>
    <m/>
    <m/>
    <m/>
    <m/>
    <m/>
    <m/>
    <m/>
    <m/>
    <m/>
    <m/>
    <m/>
    <m/>
    <m/>
    <m/>
    <m/>
    <m/>
    <m/>
    <m/>
    <m/>
    <m/>
    <m/>
    <m/>
    <m/>
    <m/>
    <m/>
    <m/>
    <m/>
    <m/>
    <m/>
    <m/>
    <m/>
    <m/>
    <m/>
    <m/>
    <m/>
    <m/>
    <m/>
  </r>
  <r>
    <d v="2017-10-25T13:35:51"/>
    <m/>
    <m/>
    <d v="2016-01-15T07:09:00"/>
    <m/>
    <s v="NSF 16-505"/>
    <s v="08090300"/>
    <x v="3"/>
    <s v="SSANTOS"/>
    <s v="New Project"/>
    <s v="Full Proposal not invited"/>
    <x v="0"/>
    <m/>
    <m/>
    <s v="1627342"/>
    <s v="eJ"/>
    <s v="Moore"/>
    <s v="Ignacio"/>
    <s v="itmoore@vt.edu"/>
    <s v="VA Polytechnic Inst &amp; St U"/>
    <s v="VA"/>
    <s v="IOS Preliminary Proposal: Pathogenic cloacal bacteria as a cost of testosterone"/>
    <s v="N"/>
    <s v="N"/>
    <s v="905081661"/>
    <d v="2016-01-15T07:09:30"/>
    <m/>
    <m/>
    <s v=""/>
    <s v=""/>
    <s v="5"/>
    <m/>
    <s v="3"/>
    <m/>
    <m/>
    <s v="No DMP"/>
    <s v="No FAC"/>
    <m/>
    <m/>
    <n v="2"/>
    <n v="0"/>
    <n v="-2"/>
    <m/>
    <s v=""/>
    <s v=""/>
    <n v="2"/>
    <n v="2"/>
    <s v="N/A"/>
    <n v="2"/>
    <s v="eJ"/>
    <s v="-&gt;PD"/>
    <s v="solr-BIPW"/>
    <s v="solr-RPS"/>
    <s v="Moore"/>
    <s v="VA Polytechnic Inst &amp; St U"/>
    <s v="itmoore@vt.edu"/>
    <n v="2"/>
    <m/>
    <m/>
    <n v="2"/>
    <s v="2014.08.01 1353093.1 $320000"/>
    <s v="Belden"/>
    <s v="VA Polytechnic Inst &amp; St U"/>
    <s v="belden@vt.edu"/>
    <n v="2"/>
    <m/>
    <m/>
    <n v="2"/>
    <s v="2015.06.01 1501487.1 $20930"/>
    <m/>
    <m/>
    <m/>
    <m/>
    <m/>
    <m/>
    <m/>
    <m/>
    <m/>
    <m/>
    <m/>
    <m/>
    <m/>
    <m/>
    <m/>
    <m/>
    <m/>
    <m/>
    <m/>
    <m/>
    <m/>
    <m/>
    <m/>
    <m/>
    <m/>
    <m/>
    <m/>
    <m/>
    <m/>
    <m/>
    <m/>
    <m/>
    <m/>
    <m/>
    <m/>
    <m/>
    <m/>
    <m/>
    <m/>
    <m/>
    <m/>
    <m/>
    <m/>
    <m/>
    <m/>
    <m/>
    <m/>
    <m/>
    <m/>
    <m/>
    <m/>
    <m/>
    <m/>
    <m/>
    <m/>
    <m/>
    <m/>
    <m/>
    <m/>
    <m/>
    <m/>
    <m/>
    <m/>
    <m/>
  </r>
  <r>
    <d v="2017-10-25T13:35:51"/>
    <m/>
    <m/>
    <d v="2016-01-15T07:15:00"/>
    <m/>
    <s v="NSF 16-505"/>
    <s v="08090500"/>
    <x v="4"/>
    <s v="JJAWOR"/>
    <s v="New Project"/>
    <s v="Full Proposal not invited"/>
    <x v="0"/>
    <m/>
    <m/>
    <s v="1627343"/>
    <s v="eJ"/>
    <s v="Akcay"/>
    <s v="Caglar"/>
    <s v="caglar@vt.edu"/>
    <s v="VA Polytechnic Inst &amp; St U"/>
    <s v="VA"/>
    <s v="IOS Preliminary Proposal: Collaborative Research: Does competition among pairs favor cooperation within pairs: a role for stress hormones?"/>
    <s v="N"/>
    <s v="N"/>
    <s v="905081661"/>
    <d v="2016-01-15T07:15:54"/>
    <s v="TBC"/>
    <n v="1"/>
    <s v="eJ"/>
    <s v="-&gt;PS"/>
    <s v="5"/>
    <m/>
    <s v="3"/>
    <m/>
    <m/>
    <s v="No DMP"/>
    <s v="No FAC"/>
    <m/>
    <m/>
    <n v="2"/>
    <m/>
    <m/>
    <m/>
    <s v=""/>
    <s v=""/>
    <n v="3"/>
    <n v="3"/>
    <s v="N/A"/>
    <n v="1"/>
    <s v="eJ"/>
    <s v="-&gt;PD"/>
    <s v="solr-BIPW"/>
    <s v="solr-RPS"/>
    <s v="Akcay"/>
    <s v="VA Polytechnic Inst &amp; St U"/>
    <s v="caglar@vt.edu"/>
    <n v="2"/>
    <m/>
    <m/>
    <m/>
    <m/>
    <s v="Moore"/>
    <s v="VA Polytechnic Inst &amp; St U"/>
    <s v="itmoore@vt.edu"/>
    <n v="2"/>
    <m/>
    <m/>
    <n v="2"/>
    <s v="2014.08.01 1353093.1 $320000"/>
    <s v="Stanback"/>
    <s v="Davidson College"/>
    <s v="mastanback@davidson.edu"/>
    <n v="2"/>
    <m/>
    <m/>
    <m/>
    <m/>
    <m/>
    <m/>
    <m/>
    <m/>
    <m/>
    <m/>
    <m/>
    <m/>
    <m/>
    <m/>
    <m/>
    <m/>
    <m/>
    <m/>
    <m/>
    <m/>
    <m/>
    <m/>
    <m/>
    <m/>
    <m/>
    <m/>
    <m/>
    <m/>
    <m/>
    <m/>
    <m/>
    <m/>
    <m/>
    <m/>
    <m/>
    <m/>
    <m/>
    <m/>
    <m/>
    <m/>
    <m/>
    <m/>
    <m/>
    <m/>
    <m/>
    <m/>
    <m/>
    <m/>
    <m/>
    <m/>
    <m/>
    <m/>
    <m/>
    <m/>
    <m/>
    <m/>
    <m/>
    <m/>
    <m/>
    <m/>
  </r>
  <r>
    <d v="2017-10-25T13:35:51"/>
    <m/>
    <m/>
    <d v="2016-01-15T08:11:00"/>
    <m/>
    <s v="NSF 16-505"/>
    <s v="08090100"/>
    <x v="5"/>
    <s v="BHOLT"/>
    <s v="New Project"/>
    <s v="Full Proposal not invited"/>
    <x v="0"/>
    <m/>
    <m/>
    <s v="1627350"/>
    <s v="eJ"/>
    <s v="Ray"/>
    <s v="Christian"/>
    <s v="jjray@ku.edu"/>
    <s v="U of Kansas Ctr for Res In"/>
    <s v="KS"/>
    <s v="IOS Preliminary Proposal: Evolutionary Studies of Phenotypic Critical Points in Changing Environments"/>
    <s v="N"/>
    <s v="N"/>
    <s v="447801033"/>
    <d v="2016-01-15T08:11:31"/>
    <m/>
    <m/>
    <s v=""/>
    <s v=""/>
    <s v="5"/>
    <m/>
    <s v="3"/>
    <m/>
    <m/>
    <s v="No DMP"/>
    <s v="No FAC"/>
    <m/>
    <m/>
    <n v="2"/>
    <m/>
    <m/>
    <m/>
    <s v=""/>
    <s v=""/>
    <n v="1"/>
    <n v="1"/>
    <s v="N/A"/>
    <n v="0"/>
    <s v="eJ"/>
    <s v="-&gt;PD"/>
    <s v="solr-BIPW"/>
    <s v="solr-RPS"/>
    <s v="Ray"/>
    <s v="U of Kansas Ctr for Res In"/>
    <s v="jjray@ku.edu"/>
    <n v="2"/>
    <m/>
    <m/>
    <m/>
    <m/>
    <m/>
    <m/>
    <m/>
    <m/>
    <m/>
    <m/>
    <m/>
    <m/>
    <m/>
    <m/>
    <m/>
    <m/>
    <m/>
    <m/>
    <m/>
    <m/>
    <m/>
    <m/>
    <m/>
    <m/>
    <m/>
    <m/>
    <m/>
    <m/>
    <m/>
    <m/>
    <m/>
    <m/>
    <m/>
    <m/>
    <m/>
    <m/>
    <m/>
    <m/>
    <m/>
    <m/>
    <m/>
    <m/>
    <m/>
    <m/>
    <m/>
    <m/>
    <m/>
    <m/>
    <m/>
    <m/>
    <m/>
    <m/>
    <m/>
    <m/>
    <m/>
    <m/>
    <m/>
    <m/>
    <m/>
    <m/>
    <m/>
    <m/>
    <m/>
    <m/>
    <m/>
    <m/>
    <m/>
    <m/>
    <m/>
    <m/>
    <m/>
    <m/>
    <m/>
    <m/>
    <m/>
    <m/>
  </r>
  <r>
    <d v="2017-10-25T13:35:51"/>
    <m/>
    <m/>
    <d v="2016-01-25T07:50:00"/>
    <m/>
    <s v="NSF 15-609"/>
    <s v="08010209"/>
    <x v="6"/>
    <s v="KSCHAFE"/>
    <s v="New Project"/>
    <s v="Full Proposal not invited"/>
    <x v="0"/>
    <m/>
    <m/>
    <s v="1630480"/>
    <s v="eJ"/>
    <s v="Burton"/>
    <s v="Andrew"/>
    <s v="ajburton@mtu.edu"/>
    <s v="Mich Technological Univ"/>
    <s v="MI"/>
    <s v="Preliminary Proposal: Environmental and genetic influences on latitudinal variation in root respiration in sugar maple and red oak: Implications for C cycling in a changing climate"/>
    <s v="N"/>
    <s v="N"/>
    <s v="366843173"/>
    <d v="2016-01-25T07:50:24"/>
    <m/>
    <m/>
    <s v=""/>
    <s v=""/>
    <s v="5"/>
    <m/>
    <s v="2"/>
    <m/>
    <m/>
    <s v="No DMP"/>
    <s v="No FAC"/>
    <m/>
    <m/>
    <n v="0"/>
    <m/>
    <m/>
    <m/>
    <s v=""/>
    <s v=""/>
    <n v="2"/>
    <n v="2"/>
    <s v="Missing"/>
    <n v="2"/>
    <s v="eJ"/>
    <s v="-&gt;PD"/>
    <s v="solr-BIPW"/>
    <s v="solr-RPS"/>
    <s v="Burton"/>
    <s v="Mich Technological Univ"/>
    <s v="ajburton@mtu.edu"/>
    <n v="2"/>
    <m/>
    <m/>
    <n v="3"/>
    <s v="2013.09.01 1251529.1 $174806"/>
    <s v="Gailing"/>
    <s v="Mich Technological Univ"/>
    <s v="ogailing@mtu.edu"/>
    <n v="2"/>
    <m/>
    <m/>
    <n v="1"/>
    <s v="2012.08.01 1226627.2 $343639"/>
    <m/>
    <m/>
    <m/>
    <m/>
    <m/>
    <m/>
    <m/>
    <m/>
    <m/>
    <m/>
    <m/>
    <m/>
    <m/>
    <m/>
    <m/>
    <m/>
    <m/>
    <m/>
    <m/>
    <m/>
    <m/>
    <m/>
    <m/>
    <m/>
    <m/>
    <m/>
    <m/>
    <m/>
    <m/>
    <m/>
    <m/>
    <m/>
    <m/>
    <m/>
    <m/>
    <m/>
    <m/>
    <m/>
    <m/>
    <m/>
    <m/>
    <m/>
    <m/>
    <m/>
    <m/>
    <m/>
    <m/>
    <m/>
    <m/>
    <m/>
    <m/>
    <m/>
    <m/>
    <m/>
    <m/>
    <m/>
    <m/>
    <m/>
    <m/>
    <m/>
    <m/>
    <m/>
    <m/>
    <m/>
  </r>
  <r>
    <d v="2017-10-25T13:35:51"/>
    <m/>
    <m/>
    <d v="2017-01-25T08:34:00"/>
    <m/>
    <s v="PD 98-1670"/>
    <s v="06040300"/>
    <x v="7"/>
    <s v="HEDMOND"/>
    <s v="New Project"/>
    <s v="Proposal has been awarded"/>
    <x v="1"/>
    <m/>
    <s v="1733610"/>
    <s v="1733610"/>
    <s v="eJ"/>
    <s v="Moisander"/>
    <s v="Pia"/>
    <s v="pmoisander@umassd.edu"/>
    <s v="Univ of Mass, Dartmouth"/>
    <s v="MA"/>
    <s v="EAGER: Collaborative Research: Detection limit in marine nitrogen fixation measurements - Constraints of rates from the mesopelagic ocean"/>
    <s v="N"/>
    <s v="N"/>
    <s v="025501155"/>
    <d v="2017-01-25T08:34:09"/>
    <m/>
    <m/>
    <s v=""/>
    <s v=""/>
    <s v="5"/>
    <n v="2"/>
    <s v="2"/>
    <m/>
    <m/>
    <s v="2"/>
    <m/>
    <s v="Y"/>
    <m/>
    <n v="151017"/>
    <n v="151017"/>
    <m/>
    <m/>
    <s v=""/>
    <s v=""/>
    <n v="3"/>
    <n v="3"/>
    <s v="3"/>
    <n v="3"/>
    <s v="eJ"/>
    <s v="-&gt;PD"/>
    <s v="solr-BIPW"/>
    <s v="solr-RPS"/>
    <s v="Moisander"/>
    <s v="Univ of Mass, Dartmouth"/>
    <s v="pmoisander@umassd.edu"/>
    <n v="2"/>
    <n v="3"/>
    <s v="Y"/>
    <n v="1"/>
    <s v="2017.05.15 1733610.1 $49900"/>
    <s v="Granger"/>
    <s v="Univ of Connecticut"/>
    <s v="julie.granger@UConn.edu"/>
    <n v="2"/>
    <n v="1"/>
    <s v="Y"/>
    <n v="5"/>
    <s v="2017.05.15 1732246.1 $47418"/>
    <s v="White"/>
    <s v="Oregon State University"/>
    <s v="awhite@coas.oregonstate.edu"/>
    <n v="2"/>
    <n v="2"/>
    <s v="Y"/>
    <n v="3"/>
    <s v="2017.05.15 1732206.1 $53699"/>
    <m/>
    <m/>
    <m/>
    <m/>
    <m/>
    <m/>
    <m/>
    <m/>
    <m/>
    <m/>
    <m/>
    <m/>
    <m/>
    <m/>
    <m/>
    <m/>
    <m/>
    <m/>
    <m/>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0">
  <r>
    <d v="2017-10-25T13:35:47"/>
    <m/>
    <m/>
    <d v="2017-01-25T08:34:00"/>
    <x v="0"/>
    <m/>
    <s v="MA"/>
    <m/>
    <m/>
    <s v="PD 98-1670"/>
    <s v="06040300"/>
    <m/>
    <s v="1670"/>
    <m/>
    <s v="HEDMOND"/>
    <x v="0"/>
    <x v="0"/>
    <x v="0"/>
    <m/>
    <n v="1"/>
    <s v="1733610"/>
    <s v="L"/>
    <s v="1733610"/>
    <s v="eJ"/>
    <s v="Moisander"/>
    <s v="Pia"/>
    <s v="Univ of Mass, Dartmouth"/>
    <s v="EAGER: Collaborative Research: Detection limit in marine nitrogen fixation measurements - Constraints of rates from the mesopelagic ocean"/>
    <s v="N"/>
    <s v="N"/>
    <s v="025501155"/>
    <d v="2017-01-25T08:34:09"/>
    <m/>
    <m/>
    <s v="5"/>
    <n v="2"/>
    <s v="2"/>
    <m/>
    <m/>
    <s v="2"/>
    <m/>
    <m/>
    <s v=""/>
    <s v=""/>
    <n v="1"/>
    <m/>
    <n v="49900"/>
    <n v="49900"/>
    <m/>
    <m/>
    <m/>
    <x v="0"/>
    <m/>
    <x v="0"/>
    <m/>
    <s v="80"/>
    <s v="Master's - 2nd Prof Dgr (Public,State)"/>
    <n v="2002"/>
    <s v="CHEMICAL OCEANOGRAPHY(1670)"/>
  </r>
  <r>
    <d v="2017-10-25T13:35:47"/>
    <m/>
    <m/>
    <d v="2017-01-20T13:45:00"/>
    <x v="1"/>
    <m/>
    <s v="OR"/>
    <m/>
    <m/>
    <s v="NSF 16-1"/>
    <s v="06040300"/>
    <s v="06040000"/>
    <s v="1670"/>
    <m/>
    <s v="HEDMOND"/>
    <x v="0"/>
    <x v="0"/>
    <x v="0"/>
    <m/>
    <n v="1"/>
    <s v="1733610"/>
    <s v="N"/>
    <s v="1732206"/>
    <s v="eJ"/>
    <s v="White"/>
    <s v="Angelicque"/>
    <s v="Oregon State University"/>
    <s v="EAGER: Collaborative Research- Detection limit in marine nitrogen fixation measurements - Constraints of rates from the mesopelagic ocean"/>
    <s v="N"/>
    <s v="N"/>
    <s v="223823488"/>
    <d v="2017-01-20T13:45:39"/>
    <s v="N/A"/>
    <m/>
    <s v="N/A"/>
    <n v="1"/>
    <s v="No RC"/>
    <m/>
    <m/>
    <s v="No DMP"/>
    <m/>
    <m/>
    <s v=""/>
    <s v=""/>
    <n v="1"/>
    <m/>
    <n v="53699"/>
    <n v="53699"/>
    <m/>
    <m/>
    <m/>
    <x v="0"/>
    <s v="OCE"/>
    <x v="0"/>
    <m/>
    <s v="80"/>
    <s v="PhD and Equivalent Degree (Public,State)"/>
    <n v="2006"/>
    <s v="CHEMICAL OCEANOGRAPHY(1670)"/>
  </r>
  <r>
    <d v="2017-10-25T13:35:47"/>
    <m/>
    <m/>
    <d v="2017-01-20T14:57:00"/>
    <x v="1"/>
    <s v="Y"/>
    <s v="CT"/>
    <m/>
    <m/>
    <s v="PD 98-1670"/>
    <s v="06040300"/>
    <m/>
    <s v="1670"/>
    <m/>
    <s v="HEDMOND"/>
    <x v="0"/>
    <x v="0"/>
    <x v="0"/>
    <m/>
    <n v="1"/>
    <s v="1733610"/>
    <s v="N"/>
    <s v="1732246"/>
    <s v="eJ"/>
    <s v="Granger"/>
    <s v="Julie"/>
    <s v="Univ of Connecticut"/>
    <s v="EAGER: Collaborative Research: Detection limit in marine nitrogen fixation measurements - Constraints of rates from the mesopelagic ocean"/>
    <s v="N"/>
    <s v="N"/>
    <s v="047464675"/>
    <d v="2017-01-20T14:57:36"/>
    <s v="N/A"/>
    <m/>
    <s v="N/A"/>
    <n v="1"/>
    <s v="No RC"/>
    <m/>
    <m/>
    <s v="No DMP"/>
    <m/>
    <m/>
    <s v=""/>
    <s v=""/>
    <n v="1"/>
    <m/>
    <n v="47418"/>
    <n v="47418"/>
    <m/>
    <m/>
    <m/>
    <x v="0"/>
    <m/>
    <x v="0"/>
    <m/>
    <s v="80"/>
    <s v="PhD and Equivalent Degree (Public,State)"/>
    <n v="2006"/>
    <s v="CHEMICAL OCEANOGRAPHY(1670)"/>
  </r>
  <r>
    <d v="2017-10-25T13:35:47"/>
    <m/>
    <m/>
    <d v="2016-01-04T00:00:00"/>
    <x v="2"/>
    <m/>
    <s v="DC"/>
    <d v="2016-09-27T18:02:54"/>
    <s v="America/New_York"/>
    <s v=""/>
    <s v="07070000"/>
    <m/>
    <s v="8045"/>
    <s v="8046"/>
    <s v="RDASGUP"/>
    <x v="1"/>
    <x v="0"/>
    <x v="0"/>
    <m/>
    <n v="2"/>
    <m/>
    <s v="I"/>
    <s v="1624020"/>
    <s v="eJ"/>
    <s v="Warner"/>
    <s v="Grant"/>
    <s v="Howard University"/>
    <s v="I-Corps Sites(Instructor Supplement):  Howard University"/>
    <s v="N"/>
    <m/>
    <s v="000559816"/>
    <d v="2016-01-04T12:09:20"/>
    <m/>
    <m/>
    <s v="No PD"/>
    <n v="1"/>
    <s v="No RC"/>
    <m/>
    <m/>
    <s v="No DMP"/>
    <m/>
    <m/>
    <s v=""/>
    <s v=""/>
    <n v="1"/>
    <m/>
    <n v="19345"/>
    <n v="19345"/>
    <m/>
    <m/>
    <m/>
    <x v="1"/>
    <m/>
    <x v="1"/>
    <s v="I-Corps - Sites"/>
    <s v="80"/>
    <s v="PhD and Equivalent Degree (Private US)"/>
    <n v="2003"/>
    <s v="I-Corps - Nodes(8045)"/>
  </r>
  <r>
    <d v="2017-10-25T13:35:47"/>
    <m/>
    <m/>
    <d v="2016-01-04T00:00:00"/>
    <x v="2"/>
    <m/>
    <s v="IL"/>
    <d v="2017-09-05T16:48:04"/>
    <s v="America/Chicago"/>
    <s v=""/>
    <s v="08010000"/>
    <s v="08010207"/>
    <s v="7968"/>
    <m/>
    <s v="SMALCOM"/>
    <x v="1"/>
    <x v="0"/>
    <x v="0"/>
    <m/>
    <n v="3"/>
    <m/>
    <s v="I"/>
    <s v="1624023"/>
    <s v="eJ"/>
    <s v="Ferrer Correa"/>
    <s v="Astrid Hersilia"/>
    <s v="U of Ill Urbana-Champaign"/>
    <s v="Dimensions:   Community assembly and decomposer function of aquatic fungi along a salinity gradient"/>
    <s v="N"/>
    <m/>
    <s v="000562582"/>
    <d v="2016-01-04T13:04:46"/>
    <m/>
    <m/>
    <s v="No PD"/>
    <n v="1"/>
    <s v="No RC"/>
    <m/>
    <m/>
    <s v="No DMP"/>
    <m/>
    <m/>
    <s v=""/>
    <s v=""/>
    <n v="1"/>
    <n v="96"/>
    <n v="0"/>
    <n v="4894"/>
    <n v="4894"/>
    <m/>
    <m/>
    <x v="2"/>
    <s v="DEB"/>
    <x v="2"/>
    <m/>
    <s v="80"/>
    <s v="PhD and Equivalent Degree (Public,State)"/>
    <n v="2001"/>
    <s v="Dimensions of Biodiversity(7968)"/>
  </r>
  <r>
    <d v="2017-10-25T13:35:47"/>
    <m/>
    <m/>
    <d v="2016-01-02T16:46:00"/>
    <x v="3"/>
    <m/>
    <s v="OH"/>
    <d v="2017-08-01T12:44:56"/>
    <s v="America/New_York"/>
    <s v="NSF 15-609"/>
    <s v="08010207"/>
    <m/>
    <s v="7378"/>
    <m/>
    <s v="FBMOORE"/>
    <x v="0"/>
    <x v="1"/>
    <x v="1"/>
    <m/>
    <n v="4"/>
    <m/>
    <s v="I"/>
    <s v="1624004"/>
    <s v="eJ"/>
    <s v="Roles"/>
    <s v="Angela"/>
    <s v="Oberlin College"/>
    <s v="Preliminary Proposal: RUI: The evolutionary influence of somatic mutation and selection shaping the spectrum of spontaneous mutations in Arabidopsis thaliana"/>
    <s v="N"/>
    <s v="N"/>
    <s v="000131725"/>
    <d v="2016-01-02T16:46:58"/>
    <m/>
    <m/>
    <s v="5"/>
    <m/>
    <s v="3"/>
    <m/>
    <m/>
    <s v="No DMP"/>
    <s v="No FAC"/>
    <n v="1"/>
    <s v="eJ"/>
    <s v="OthSuppDoc"/>
    <n v="1"/>
    <m/>
    <n v="0"/>
    <m/>
    <m/>
    <m/>
    <m/>
    <x v="2"/>
    <m/>
    <x v="3"/>
    <m/>
    <s v="44"/>
    <s v="Master's - 2nd Prof Dgr (Private US)"/>
    <n v="2007"/>
    <s v="EVOLUTIONARY GENETICS(7378)"/>
  </r>
  <r>
    <d v="2017-10-25T13:35:47"/>
    <m/>
    <m/>
    <d v="2016-01-25T07:50:00"/>
    <x v="4"/>
    <m/>
    <s v="MI"/>
    <m/>
    <m/>
    <s v="NSF 15-609"/>
    <s v="08010209"/>
    <m/>
    <s v="1181"/>
    <m/>
    <s v="KSCHAFE"/>
    <x v="0"/>
    <x v="1"/>
    <x v="1"/>
    <m/>
    <n v="5"/>
    <m/>
    <s v="I"/>
    <s v="1630480"/>
    <s v="eJ"/>
    <s v="Burton"/>
    <s v="Andrew"/>
    <s v="Mich Technological Univ"/>
    <s v="Preliminary Proposal: Environmental and genetic influences on latitudinal variation in root respiration in sugar maple and red oak: Implications for C cycling in a changing climate"/>
    <s v="N"/>
    <s v="N"/>
    <s v="366843173"/>
    <d v="2016-01-25T07:50:24"/>
    <m/>
    <m/>
    <s v="5"/>
    <m/>
    <s v="2"/>
    <m/>
    <m/>
    <s v="No DMP"/>
    <s v="No FAC"/>
    <m/>
    <s v=""/>
    <s v=""/>
    <n v="2"/>
    <m/>
    <n v="0"/>
    <m/>
    <m/>
    <m/>
    <m/>
    <x v="2"/>
    <m/>
    <x v="4"/>
    <m/>
    <s v="44"/>
    <s v="PhD and Equivalent Degree (Public,State)"/>
    <n v="1997"/>
    <s v="ECOSYSTEM STUDIES(1181)"/>
  </r>
  <r>
    <d v="2017-10-25T13:35:47"/>
    <m/>
    <m/>
    <d v="2016-01-15T08:11:00"/>
    <x v="5"/>
    <m/>
    <s v="KS"/>
    <d v="2016-03-29T10:55:52"/>
    <s v="America/Chicago"/>
    <s v="NSF 16-505"/>
    <s v="08090100"/>
    <s v="08090000"/>
    <s v="1080"/>
    <m/>
    <s v="BHOLT"/>
    <x v="0"/>
    <x v="1"/>
    <x v="1"/>
    <m/>
    <n v="6"/>
    <m/>
    <s v="I"/>
    <s v="1627350"/>
    <s v="eJ"/>
    <s v="Ray"/>
    <s v="Christian"/>
    <s v="U of Kansas Ctr for Res In"/>
    <s v="IOS Preliminary Proposal: Evolutionary Studies of Phenotypic Critical Points in Changing Environments"/>
    <s v="N"/>
    <s v="N"/>
    <s v="447801033"/>
    <d v="2016-01-15T08:11:31"/>
    <m/>
    <m/>
    <s v="5"/>
    <m/>
    <s v="3"/>
    <m/>
    <m/>
    <s v="No DMP"/>
    <s v="No FAC"/>
    <m/>
    <s v=""/>
    <s v=""/>
    <n v="1"/>
    <m/>
    <n v="2"/>
    <m/>
    <m/>
    <m/>
    <m/>
    <x v="3"/>
    <s v="IOS"/>
    <x v="5"/>
    <m/>
    <s v="44"/>
    <s v="PhD and Equivalent Degree (Public,State)"/>
    <n v="2008"/>
    <s v="EVOLUTION OF DEVELOP MECHANISM(1080)"/>
  </r>
  <r>
    <d v="2017-10-25T13:35:47"/>
    <m/>
    <m/>
    <d v="2016-01-15T07:09:00"/>
    <x v="5"/>
    <m/>
    <s v="VA"/>
    <d v="2016-10-14T11:41:26"/>
    <s v="America/New_York"/>
    <s v="NSF 16-505"/>
    <s v="08090300"/>
    <s v="08090000"/>
    <s v="7657"/>
    <m/>
    <s v="SSANTOS"/>
    <x v="0"/>
    <x v="1"/>
    <x v="1"/>
    <m/>
    <n v="7"/>
    <m/>
    <s v="I"/>
    <s v="1627342"/>
    <s v="eJ"/>
    <s v="Moore"/>
    <s v="Ignacio"/>
    <s v="VA Polytechnic Inst &amp; St U"/>
    <s v="IOS Preliminary Proposal: Pathogenic cloacal bacteria as a cost of testosterone"/>
    <s v="N"/>
    <s v="N"/>
    <s v="905081661"/>
    <d v="2016-01-15T07:09:30"/>
    <m/>
    <m/>
    <s v="5"/>
    <m/>
    <s v="3"/>
    <m/>
    <m/>
    <s v="No DMP"/>
    <s v="No FAC"/>
    <m/>
    <s v=""/>
    <s v=""/>
    <n v="2"/>
    <m/>
    <n v="2"/>
    <n v="0"/>
    <n v="-2"/>
    <m/>
    <s v="Pend"/>
    <x v="3"/>
    <s v="IOS"/>
    <x v="6"/>
    <m/>
    <s v="44"/>
    <s v="PhD and Equivalent Degree (Public,State)"/>
    <n v="1999"/>
    <s v="Integrative Ecologi Physiology(7657)"/>
  </r>
  <r>
    <d v="2017-10-25T13:35:47"/>
    <m/>
    <m/>
    <d v="2016-01-15T07:15:00"/>
    <x v="5"/>
    <m/>
    <s v="VA"/>
    <d v="2016-10-14T11:41:26"/>
    <s v="America/New_York"/>
    <s v="NSF 16-505"/>
    <s v="08090500"/>
    <s v="08090000"/>
    <s v="7659"/>
    <m/>
    <s v="JJAWOR"/>
    <x v="0"/>
    <x v="1"/>
    <x v="1"/>
    <m/>
    <n v="8"/>
    <m/>
    <s v="I"/>
    <s v="1627343"/>
    <s v="eJ"/>
    <s v="Akcay"/>
    <s v="Caglar"/>
    <s v="VA Polytechnic Inst &amp; St U"/>
    <s v="IOS Preliminary Proposal: Collaborative Research: Does competition among pairs favor cooperation within pairs: a role for stress hormones?"/>
    <s v="N"/>
    <s v="N"/>
    <s v="905081661"/>
    <d v="2016-01-15T07:15:54"/>
    <s v="TBC"/>
    <n v="1"/>
    <s v="5"/>
    <m/>
    <s v="3"/>
    <m/>
    <m/>
    <s v="No DMP"/>
    <s v="No FAC"/>
    <m/>
    <s v=""/>
    <s v=""/>
    <n v="3"/>
    <m/>
    <n v="2"/>
    <m/>
    <m/>
    <m/>
    <s v="Pend"/>
    <x v="3"/>
    <s v="IOS"/>
    <x v="7"/>
    <m/>
    <s v="44"/>
    <s v="PhD and Equivalent Degree (Public,State)"/>
    <n v="2011"/>
    <s v="ANIMAL BEHAVIOR(76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3" cacheId="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1" rowHeaderCaption="NSF Received Date">
  <location ref="P2:Q9" firstHeaderRow="1" firstDataRow="1" firstDataCol="1"/>
  <pivotFields count="60">
    <pivotField numFmtId="164" showAll="0" defaultSubtotal="0"/>
    <pivotField showAll="0"/>
    <pivotField showAll="0"/>
    <pivotField numFmtId="166" showAll="0"/>
    <pivotField axis="axisRow" numFmtId="165" showAll="0" sortType="ascending">
      <items count="201">
        <item m="1" x="26"/>
        <item m="1" x="116"/>
        <item m="1" x="129"/>
        <item m="1" x="48"/>
        <item m="1" x="132"/>
        <item m="1" x="55"/>
        <item m="1" x="158"/>
        <item m="1" x="45"/>
        <item m="1" x="99"/>
        <item m="1" x="176"/>
        <item m="1" x="68"/>
        <item m="1" x="150"/>
        <item m="1" x="31"/>
        <item m="1" x="121"/>
        <item m="1" x="168"/>
        <item m="1" x="59"/>
        <item m="1" x="144"/>
        <item m="1" x="24"/>
        <item m="1" x="113"/>
        <item m="1" x="85"/>
        <item m="1" x="161"/>
        <item m="1" x="50"/>
        <item m="1" x="136"/>
        <item m="1" x="16"/>
        <item m="1" x="108"/>
        <item m="1" x="27"/>
        <item m="1" x="119"/>
        <item m="1" x="194"/>
        <item m="1" x="90"/>
        <item m="1" x="185"/>
        <item m="1" x="10"/>
        <item m="1" x="100"/>
        <item m="1" x="32"/>
        <item m="1" x="195"/>
        <item m="1" x="189"/>
        <item m="1" x="162"/>
        <item m="1" x="186"/>
        <item m="1" x="69"/>
        <item m="1" x="151"/>
        <item m="1" x="33"/>
        <item m="1" x="196"/>
        <item m="1" x="92"/>
        <item m="1" x="169"/>
        <item m="1" x="60"/>
        <item m="1" x="145"/>
        <item m="1" x="163"/>
        <item m="1" x="51"/>
        <item m="1" x="137"/>
        <item m="1" x="17"/>
        <item m="1" x="41"/>
        <item m="1" x="188"/>
        <item m="1" x="82"/>
        <item m="1" x="105"/>
        <item m="1" x="180"/>
        <item m="1" x="72"/>
        <item m="1" x="154"/>
        <item m="1" x="37"/>
        <item m="1" x="95"/>
        <item m="1" x="172"/>
        <item m="1" x="63"/>
        <item m="1" x="139"/>
        <item m="1" x="20"/>
        <item m="1" x="34"/>
        <item m="1" x="122"/>
        <item m="1" x="197"/>
        <item m="1" x="93"/>
        <item m="1" x="170"/>
        <item m="1" x="25"/>
        <item m="1" x="114"/>
        <item m="1" x="190"/>
        <item m="1" x="86"/>
        <item m="1" x="164"/>
        <item m="1" x="52"/>
        <item m="1" x="18"/>
        <item m="1" x="109"/>
        <item m="1" x="183"/>
        <item m="1" x="173"/>
        <item m="1" x="117"/>
        <item m="1" x="78"/>
        <item m="1" x="101"/>
        <item x="3"/>
        <item x="2"/>
        <item x="5"/>
        <item m="1" x="42"/>
        <item x="4"/>
        <item m="1" x="133"/>
        <item m="1" x="13"/>
        <item m="1" x="106"/>
        <item m="1" x="181"/>
        <item m="1" x="73"/>
        <item m="1" x="124"/>
        <item m="1" x="6"/>
        <item m="1" x="96"/>
        <item m="1" x="174"/>
        <item m="1" x="64"/>
        <item m="1" x="146"/>
        <item m="1" x="118"/>
        <item m="1" x="193"/>
        <item m="1" x="89"/>
        <item m="1" x="166"/>
        <item m="1" x="79"/>
        <item m="1" x="46"/>
        <item m="1" x="115"/>
        <item m="1" x="191"/>
        <item m="1" x="87"/>
        <item m="1" x="148"/>
        <item m="1" x="28"/>
        <item m="1" x="120"/>
        <item m="1" x="142"/>
        <item m="1" x="22"/>
        <item m="1" x="112"/>
        <item m="1" x="83"/>
        <item m="1" x="134"/>
        <item m="1" x="14"/>
        <item m="1" x="107"/>
        <item m="1" x="182"/>
        <item m="1" x="74"/>
        <item m="1" x="155"/>
        <item m="1" x="38"/>
        <item m="1" x="125"/>
        <item m="1" x="7"/>
        <item m="1" x="56"/>
        <item m="1" x="140"/>
        <item m="1" x="21"/>
        <item m="1" x="111"/>
        <item m="1" x="187"/>
        <item m="1" x="80"/>
        <item m="1" x="159"/>
        <item m="1" x="47"/>
        <item m="1" x="130"/>
        <item m="1" x="11"/>
        <item m="1" x="102"/>
        <item m="1" x="177"/>
        <item m="1" x="70"/>
        <item m="1" x="152"/>
        <item m="1" x="35"/>
        <item m="1" x="123"/>
        <item m="1" x="198"/>
        <item m="1" x="61"/>
        <item m="1" x="53"/>
        <item m="1" x="19"/>
        <item m="1" x="110"/>
        <item m="1" x="29"/>
        <item m="1" x="91"/>
        <item m="1" x="167"/>
        <item m="1" x="58"/>
        <item m="1" x="143"/>
        <item m="1" x="23"/>
        <item m="1" x="84"/>
        <item m="1" x="160"/>
        <item m="1" x="49"/>
        <item m="1" x="135"/>
        <item m="1" x="15"/>
        <item m="1" x="75"/>
        <item m="1" x="156"/>
        <item m="1" x="39"/>
        <item m="1" x="126"/>
        <item m="1" x="65"/>
        <item m="1" x="147"/>
        <item m="1" x="103"/>
        <item m="1" x="178"/>
        <item m="1" x="71"/>
        <item m="1" x="153"/>
        <item m="1" x="36"/>
        <item m="1" x="199"/>
        <item m="1" x="94"/>
        <item m="1" x="171"/>
        <item m="1" x="76"/>
        <item m="1" x="127"/>
        <item m="1" x="8"/>
        <item m="1" x="97"/>
        <item m="1" x="40"/>
        <item x="1"/>
        <item x="0"/>
        <item m="1" x="43"/>
        <item m="1" x="128"/>
        <item m="1" x="9"/>
        <item m="1" x="98"/>
        <item m="1" x="175"/>
        <item m="1" x="67"/>
        <item m="1" x="149"/>
        <item m="1" x="30"/>
        <item m="1" x="81"/>
        <item m="1" x="131"/>
        <item m="1" x="12"/>
        <item m="1" x="104"/>
        <item m="1" x="179"/>
        <item m="1" x="66"/>
        <item m="1" x="57"/>
        <item m="1" x="141"/>
        <item m="1" x="62"/>
        <item m="1" x="192"/>
        <item m="1" x="88"/>
        <item m="1" x="165"/>
        <item m="1" x="54"/>
        <item m="1" x="138"/>
        <item m="1" x="184"/>
        <item m="1" x="77"/>
        <item m="1" x="157"/>
        <item m="1" x="44"/>
        <item t="default"/>
      </items>
    </pivotField>
    <pivotField showAll="0"/>
    <pivotField showAll="0"/>
    <pivotField showAll="0"/>
    <pivotField showAll="0"/>
    <pivotField showAll="0"/>
    <pivotField showAll="0"/>
    <pivotField showAll="0" defaultSubtotal="0"/>
    <pivotField showAll="0"/>
    <pivotField showAll="0" defaultSubtotal="0"/>
    <pivotField showAll="0"/>
    <pivotField showAll="0"/>
    <pivotField showAll="0"/>
    <pivotField showAll="0" defaultSubtota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numFmtId="166" showAll="0"/>
    <pivotField showAll="0"/>
    <pivotField showAll="0"/>
    <pivotField showAll="0"/>
    <pivotField numFmtId="164" showAll="0" defaultSubtotal="0"/>
    <pivotField showAll="0"/>
    <pivotField showAll="0"/>
    <pivotField showAll="0"/>
    <pivotField showAll="0"/>
    <pivotField showAll="0"/>
    <pivotField showAll="0" defaultSubtotal="0"/>
    <pivotField showAll="0" defaultSubtotal="0"/>
    <pivotField showAll="0" defaultSubtotal="0"/>
    <pivotField showAll="0"/>
    <pivotField numFmtId="164" showAll="0" defaultSubtotal="0"/>
    <pivotField numFmtId="164" showAll="0"/>
    <pivotField numFmtId="164"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numFmtId="164" showAll="0" defaultSubtotal="0"/>
    <pivotField showAll="0" defaultSubtotal="0"/>
    <pivotField dragToRow="0" dragToCol="0" dragToPage="0" showAll="0" defaultSubtotal="0"/>
  </pivotFields>
  <rowFields count="1">
    <field x="4"/>
  </rowFields>
  <rowItems count="7">
    <i>
      <x v="80"/>
    </i>
    <i>
      <x v="81"/>
    </i>
    <i>
      <x v="82"/>
    </i>
    <i>
      <x v="84"/>
    </i>
    <i>
      <x v="172"/>
    </i>
    <i>
      <x v="173"/>
    </i>
    <i t="grand">
      <x/>
    </i>
  </rowItems>
  <colItems count="1">
    <i/>
  </colItems>
  <dataFields count="1">
    <dataField name="Proposal Count" fld="22" subtotal="count" baseField="3" baseItem="0"/>
  </dataFields>
  <formats count="22">
    <format dxfId="271">
      <pivotArea field="4" type="button" dataOnly="0" labelOnly="1" outline="0" axis="axisRow" fieldPosition="0"/>
    </format>
    <format dxfId="270">
      <pivotArea dataOnly="0" labelOnly="1" outline="0" axis="axisValues" fieldPosition="0"/>
    </format>
    <format dxfId="269">
      <pivotArea collapsedLevelsAreSubtotals="1" fieldPosition="0">
        <references count="1">
          <reference field="4" count="1">
            <x v="25"/>
          </reference>
        </references>
      </pivotArea>
    </format>
    <format dxfId="268">
      <pivotArea dataOnly="0" labelOnly="1" fieldPosition="0">
        <references count="1">
          <reference field="4" count="1">
            <x v="25"/>
          </reference>
        </references>
      </pivotArea>
    </format>
    <format dxfId="267">
      <pivotArea type="all" dataOnly="0" outline="0" fieldPosition="0"/>
    </format>
    <format dxfId="266">
      <pivotArea outline="0" collapsedLevelsAreSubtotals="1" fieldPosition="0"/>
    </format>
    <format dxfId="265">
      <pivotArea field="4" type="button" dataOnly="0" labelOnly="1" outline="0" axis="axisRow" fieldPosition="0"/>
    </format>
    <format dxfId="264">
      <pivotArea dataOnly="0" labelOnly="1" outline="0" axis="axisValues" fieldPosition="0"/>
    </format>
    <format dxfId="263">
      <pivotArea dataOnly="0" labelOnly="1" fieldPosition="0">
        <references count="1">
          <reference field="4" count="0"/>
        </references>
      </pivotArea>
    </format>
    <format dxfId="262">
      <pivotArea dataOnly="0" labelOnly="1" grandRow="1" outline="0" fieldPosition="0"/>
    </format>
    <format dxfId="261">
      <pivotArea type="all" dataOnly="0" outline="0" fieldPosition="0"/>
    </format>
    <format dxfId="260">
      <pivotArea outline="0" collapsedLevelsAreSubtotals="1" fieldPosition="0"/>
    </format>
    <format dxfId="259">
      <pivotArea field="4" type="button" dataOnly="0" labelOnly="1" outline="0" axis="axisRow" fieldPosition="0"/>
    </format>
    <format dxfId="258">
      <pivotArea dataOnly="0" labelOnly="1" outline="0" axis="axisValues" fieldPosition="0"/>
    </format>
    <format dxfId="257">
      <pivotArea dataOnly="0" labelOnly="1" fieldPosition="0">
        <references count="1">
          <reference field="4" count="0"/>
        </references>
      </pivotArea>
    </format>
    <format dxfId="256">
      <pivotArea dataOnly="0" labelOnly="1" grandRow="1" outline="0" fieldPosition="0"/>
    </format>
    <format dxfId="255">
      <pivotArea type="all" dataOnly="0" outline="0" fieldPosition="0"/>
    </format>
    <format dxfId="254">
      <pivotArea outline="0" collapsedLevelsAreSubtotals="1" fieldPosition="0"/>
    </format>
    <format dxfId="253">
      <pivotArea field="4" type="button" dataOnly="0" labelOnly="1" outline="0" axis="axisRow" fieldPosition="0"/>
    </format>
    <format dxfId="252">
      <pivotArea dataOnly="0" labelOnly="1" outline="0" axis="axisValues" fieldPosition="0"/>
    </format>
    <format dxfId="251">
      <pivotArea dataOnly="0" labelOnly="1" fieldPosition="0">
        <references count="1">
          <reference field="4" count="0"/>
        </references>
      </pivotArea>
    </format>
    <format dxfId="250">
      <pivotArea dataOnly="0" labelOnly="1" grandRow="1" outline="0" fieldPosition="0"/>
    </format>
  </formats>
  <chartFormats count="2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4"/>
          </reference>
        </references>
      </pivotArea>
    </chartFormat>
    <chartFormat chart="0" format="2" series="1">
      <pivotArea type="data" outline="0" fieldPosition="0">
        <references count="2">
          <reference field="4294967294" count="1" selected="0">
            <x v="0"/>
          </reference>
          <reference field="4" count="1" selected="0">
            <x v="5"/>
          </reference>
        </references>
      </pivotArea>
    </chartFormat>
    <chartFormat chart="0" format="3" series="1">
      <pivotArea type="data" outline="0" fieldPosition="0">
        <references count="2">
          <reference field="4294967294" count="1" selected="0">
            <x v="0"/>
          </reference>
          <reference field="4" count="1" selected="0">
            <x v="6"/>
          </reference>
        </references>
      </pivotArea>
    </chartFormat>
    <chartFormat chart="0" format="4" series="1">
      <pivotArea type="data" outline="0" fieldPosition="0">
        <references count="2">
          <reference field="4294967294" count="1" selected="0">
            <x v="0"/>
          </reference>
          <reference field="4" count="1" selected="0">
            <x v="7"/>
          </reference>
        </references>
      </pivotArea>
    </chartFormat>
    <chartFormat chart="0" format="5" series="1">
      <pivotArea type="data" outline="0" fieldPosition="0">
        <references count="2">
          <reference field="4294967294" count="1" selected="0">
            <x v="0"/>
          </reference>
          <reference field="4" count="1" selected="0">
            <x v="8"/>
          </reference>
        </references>
      </pivotArea>
    </chartFormat>
    <chartFormat chart="0" format="6" series="1">
      <pivotArea type="data" outline="0" fieldPosition="0">
        <references count="2">
          <reference field="4294967294" count="1" selected="0">
            <x v="0"/>
          </reference>
          <reference field="4" count="1" selected="0">
            <x v="9"/>
          </reference>
        </references>
      </pivotArea>
    </chartFormat>
    <chartFormat chart="0" format="7" series="1">
      <pivotArea type="data" outline="0" fieldPosition="0">
        <references count="2">
          <reference field="4294967294" count="1" selected="0">
            <x v="0"/>
          </reference>
          <reference field="4" count="1" selected="0">
            <x v="10"/>
          </reference>
        </references>
      </pivotArea>
    </chartFormat>
    <chartFormat chart="0" format="8" series="1">
      <pivotArea type="data" outline="0" fieldPosition="0">
        <references count="2">
          <reference field="4294967294" count="1" selected="0">
            <x v="0"/>
          </reference>
          <reference field="4" count="1" selected="0">
            <x v="11"/>
          </reference>
        </references>
      </pivotArea>
    </chartFormat>
    <chartFormat chart="0" format="9" series="1">
      <pivotArea type="data" outline="0" fieldPosition="0">
        <references count="2">
          <reference field="4294967294" count="1" selected="0">
            <x v="0"/>
          </reference>
          <reference field="4" count="1" selected="0">
            <x v="12"/>
          </reference>
        </references>
      </pivotArea>
    </chartFormat>
    <chartFormat chart="0" format="10" series="1">
      <pivotArea type="data" outline="0" fieldPosition="0">
        <references count="2">
          <reference field="4294967294" count="1" selected="0">
            <x v="0"/>
          </reference>
          <reference field="4" count="1" selected="0">
            <x v="13"/>
          </reference>
        </references>
      </pivotArea>
    </chartFormat>
    <chartFormat chart="0" format="11" series="1">
      <pivotArea type="data" outline="0" fieldPosition="0">
        <references count="2">
          <reference field="4294967294" count="1" selected="0">
            <x v="0"/>
          </reference>
          <reference field="4" count="1" selected="0">
            <x v="14"/>
          </reference>
        </references>
      </pivotArea>
    </chartFormat>
    <chartFormat chart="0" format="12" series="1">
      <pivotArea type="data" outline="0" fieldPosition="0">
        <references count="2">
          <reference field="4294967294" count="1" selected="0">
            <x v="0"/>
          </reference>
          <reference field="4" count="1" selected="0">
            <x v="15"/>
          </reference>
        </references>
      </pivotArea>
    </chartFormat>
    <chartFormat chart="0" format="13" series="1">
      <pivotArea type="data" outline="0" fieldPosition="0">
        <references count="2">
          <reference field="4294967294" count="1" selected="0">
            <x v="0"/>
          </reference>
          <reference field="4" count="1" selected="0">
            <x v="16"/>
          </reference>
        </references>
      </pivotArea>
    </chartFormat>
    <chartFormat chart="0" format="14" series="1">
      <pivotArea type="data" outline="0" fieldPosition="0">
        <references count="2">
          <reference field="4294967294" count="1" selected="0">
            <x v="0"/>
          </reference>
          <reference field="4" count="1" selected="0">
            <x v="17"/>
          </reference>
        </references>
      </pivotArea>
    </chartFormat>
    <chartFormat chart="0" format="15" series="1">
      <pivotArea type="data" outline="0" fieldPosition="0">
        <references count="2">
          <reference field="4294967294" count="1" selected="0">
            <x v="0"/>
          </reference>
          <reference field="4" count="1" selected="0">
            <x v="18"/>
          </reference>
        </references>
      </pivotArea>
    </chartFormat>
    <chartFormat chart="0" format="16" series="1">
      <pivotArea type="data" outline="0" fieldPosition="0">
        <references count="2">
          <reference field="4294967294" count="1" selected="0">
            <x v="0"/>
          </reference>
          <reference field="4" count="1" selected="0">
            <x v="19"/>
          </reference>
        </references>
      </pivotArea>
    </chartFormat>
    <chartFormat chart="0" format="17" series="1">
      <pivotArea type="data" outline="0" fieldPosition="0">
        <references count="2">
          <reference field="4294967294" count="1" selected="0">
            <x v="0"/>
          </reference>
          <reference field="4" count="1" selected="0">
            <x v="20"/>
          </reference>
        </references>
      </pivotArea>
    </chartFormat>
    <chartFormat chart="0" format="18" series="1">
      <pivotArea type="data" outline="0" fieldPosition="0">
        <references count="2">
          <reference field="4294967294" count="1" selected="0">
            <x v="0"/>
          </reference>
          <reference field="4" count="1" selected="0">
            <x v="21"/>
          </reference>
        </references>
      </pivotArea>
    </chartFormat>
    <chartFormat chart="0" format="19" series="1">
      <pivotArea type="data" outline="0" fieldPosition="0">
        <references count="2">
          <reference field="4294967294" count="1" selected="0">
            <x v="0"/>
          </reference>
          <reference field="4" count="1" selected="0">
            <x v="22"/>
          </reference>
        </references>
      </pivotArea>
    </chartFormat>
    <chartFormat chart="0" format="20" series="1">
      <pivotArea type="data" outline="0" fieldPosition="0">
        <references count="2">
          <reference field="4294967294" count="1" selected="0">
            <x v="0"/>
          </reference>
          <reference field="4" count="1" selected="0">
            <x v="23"/>
          </reference>
        </references>
      </pivotArea>
    </chartFormat>
    <chartFormat chart="0" format="21" series="1">
      <pivotArea type="data" outline="0" fieldPosition="0">
        <references count="2">
          <reference field="4294967294" count="1" selected="0">
            <x v="0"/>
          </reference>
          <reference field="4" count="1" selected="0">
            <x v="24"/>
          </reference>
        </references>
      </pivotArea>
    </chartFormat>
    <chartFormat chart="0" format="22" series="1">
      <pivotArea type="data" outline="0" fieldPosition="0">
        <references count="2">
          <reference field="4294967294" count="1" selected="0">
            <x v="0"/>
          </reference>
          <reference field="4" count="1" selected="0">
            <x v="26"/>
          </reference>
        </references>
      </pivotArea>
    </chartFormat>
    <chartFormat chart="0" format="23" series="1">
      <pivotArea type="data" outline="0" fieldPosition="0">
        <references count="2">
          <reference field="4294967294" count="1" selected="0">
            <x v="0"/>
          </reference>
          <reference field="4" count="1" selected="0">
            <x v="27"/>
          </reference>
        </references>
      </pivotArea>
    </chartFormat>
    <chartFormat chart="0" format="24" series="1">
      <pivotArea type="data" outline="0" fieldPosition="0">
        <references count="2">
          <reference field="4294967294" count="1" selected="0">
            <x v="0"/>
          </reference>
          <reference field="4" count="1" selected="0">
            <x v="28"/>
          </reference>
        </references>
      </pivotArea>
    </chartFormat>
    <chartFormat chart="0" format="25" series="1">
      <pivotArea type="data" outline="0" fieldPosition="0">
        <references count="2">
          <reference field="4294967294" count="1" selected="0">
            <x v="0"/>
          </reference>
          <reference field="4" count="1" selected="0">
            <x v="25"/>
          </reference>
        </references>
      </pivotArea>
    </chartFormat>
    <chartFormat chart="10" format="26"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B33:C46" firstHeaderRow="1" firstDataRow="1" firstDataCol="1" rowPageCount="2" colPageCount="1"/>
  <pivotFields count="60">
    <pivotField numFmtId="168" showAll="0"/>
    <pivotField showAll="0"/>
    <pivotField showAll="0"/>
    <pivotField numFmtId="166" showAll="0"/>
    <pivotField numFmtId="165" showAll="0"/>
    <pivotField showAll="0"/>
    <pivotField showAll="0"/>
    <pivotField showAll="0"/>
    <pivotField showAll="0"/>
    <pivotField showAll="0"/>
    <pivotField showAll="0"/>
    <pivotField showAll="0"/>
    <pivotField showAll="0"/>
    <pivotField showAll="0" defaultSubtotal="0"/>
    <pivotField showAll="0"/>
    <pivotField axis="axisPage" showAll="0">
      <items count="6">
        <item x="0"/>
        <item m="1" x="3"/>
        <item m="1" x="4"/>
        <item x="1"/>
        <item m="1" x="2"/>
        <item t="default"/>
      </items>
    </pivotField>
    <pivotField axis="axisPage" multipleItemSelectionAllowed="1" showAll="0">
      <items count="17">
        <item m="1" x="5"/>
        <item m="1" x="10"/>
        <item m="1" x="6"/>
        <item m="1" x="11"/>
        <item m="1" x="15"/>
        <item m="1" x="12"/>
        <item x="0"/>
        <item m="1" x="14"/>
        <item m="1" x="13"/>
        <item m="1" x="9"/>
        <item m="1" x="2"/>
        <item x="1"/>
        <item m="1" x="3"/>
        <item m="1" x="8"/>
        <item m="1" x="4"/>
        <item m="1" x="7"/>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numFmtId="166" showAll="0"/>
    <pivotField showAll="0"/>
    <pivotField showAll="0"/>
    <pivotField showAll="0"/>
    <pivotField numFmtId="169" showAll="0"/>
    <pivotField showAll="0"/>
    <pivotField showAll="0"/>
    <pivotField showAll="0"/>
    <pivotField showAll="0"/>
    <pivotField showAll="0"/>
    <pivotField showAll="0"/>
    <pivotField showAll="0"/>
    <pivotField showAll="0"/>
    <pivotField showAll="0"/>
    <pivotField numFmtId="164" showAll="0" defaultSubtotal="0"/>
    <pivotField numFmtId="164" showAll="0"/>
    <pivotField numFmtId="164" showAll="0"/>
    <pivotField showAll="0"/>
    <pivotField showAll="0"/>
    <pivotField showAll="0"/>
    <pivotField axis="axisRow" showAll="0" sortType="descending">
      <items count="19">
        <item m="1" x="12"/>
        <item m="1" x="13"/>
        <item m="1" x="15"/>
        <item m="1" x="5"/>
        <item m="1" x="9"/>
        <item m="1" x="10"/>
        <item m="1" x="8"/>
        <item m="1" x="14"/>
        <item m="1" x="17"/>
        <item m="1" x="6"/>
        <item m="1" x="4"/>
        <item m="1" x="16"/>
        <item x="1"/>
        <item x="3"/>
        <item m="1" x="11"/>
        <item m="1" x="7"/>
        <item x="2"/>
        <item x="0"/>
        <item t="default"/>
      </items>
      <autoSortScope>
        <pivotArea dataOnly="0" outline="0" fieldPosition="0">
          <references count="1">
            <reference field="4294967294" count="1" selected="0">
              <x v="0"/>
            </reference>
          </references>
        </pivotArea>
      </autoSortScope>
    </pivotField>
    <pivotField showAll="0"/>
    <pivotField axis="axisRow" showAll="0" sortType="descending">
      <items count="88">
        <item m="1" x="50"/>
        <item m="1" x="57"/>
        <item m="1" x="74"/>
        <item m="1" x="84"/>
        <item m="1" x="32"/>
        <item m="1" x="61"/>
        <item m="1" x="11"/>
        <item m="1" x="21"/>
        <item m="1" x="72"/>
        <item m="1" x="85"/>
        <item m="1" x="36"/>
        <item m="1" x="10"/>
        <item m="1" x="48"/>
        <item m="1" x="54"/>
        <item m="1" x="69"/>
        <item m="1" x="75"/>
        <item m="1" x="43"/>
        <item m="1" x="68"/>
        <item m="1" x="25"/>
        <item m="1" x="58"/>
        <item m="1" x="16"/>
        <item m="1" x="35"/>
        <item m="1" x="34"/>
        <item m="1" x="52"/>
        <item m="1" x="12"/>
        <item m="1" x="86"/>
        <item m="1" x="24"/>
        <item m="1" x="77"/>
        <item m="1" x="67"/>
        <item m="1" x="20"/>
        <item m="1" x="49"/>
        <item m="1" x="76"/>
        <item m="1" x="44"/>
        <item m="1" x="73"/>
        <item m="1" x="33"/>
        <item m="1" x="47"/>
        <item m="1" x="15"/>
        <item m="1" x="56"/>
        <item m="1" x="82"/>
        <item m="1" x="83"/>
        <item m="1" x="8"/>
        <item m="1" x="22"/>
        <item m="1" x="40"/>
        <item m="1" x="62"/>
        <item m="1" x="27"/>
        <item m="1" x="55"/>
        <item m="1" x="80"/>
        <item m="1" x="79"/>
        <item m="1" x="51"/>
        <item m="1" x="31"/>
        <item m="1" x="46"/>
        <item m="1" x="28"/>
        <item m="1" x="30"/>
        <item m="1" x="29"/>
        <item m="1" x="45"/>
        <item m="1" x="38"/>
        <item m="1" x="59"/>
        <item m="1" x="9"/>
        <item m="1" x="65"/>
        <item m="1" x="39"/>
        <item m="1" x="14"/>
        <item m="1" x="71"/>
        <item x="1"/>
        <item x="6"/>
        <item x="7"/>
        <item x="5"/>
        <item m="1" x="81"/>
        <item m="1" x="13"/>
        <item m="1" x="63"/>
        <item x="3"/>
        <item x="2"/>
        <item m="1" x="60"/>
        <item x="0"/>
        <item x="4"/>
        <item m="1" x="26"/>
        <item m="1" x="64"/>
        <item m="1" x="19"/>
        <item m="1" x="70"/>
        <item m="1" x="53"/>
        <item m="1" x="17"/>
        <item m="1" x="78"/>
        <item m="1" x="41"/>
        <item m="1" x="66"/>
        <item m="1" x="18"/>
        <item m="1" x="23"/>
        <item m="1" x="37"/>
        <item m="1" x="42"/>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pivotField numFmtId="164" showAll="0" defaultSubtotal="0"/>
    <pivotField showAll="0" defaultSubtotal="0"/>
    <pivotField dragToRow="0" dragToCol="0" dragToPage="0" showAll="0" defaultSubtotal="0"/>
  </pivotFields>
  <rowFields count="2">
    <field x="51"/>
    <field x="53"/>
  </rowFields>
  <rowItems count="13">
    <i>
      <x v="16"/>
    </i>
    <i r="1">
      <x v="69"/>
    </i>
    <i r="1">
      <x v="73"/>
    </i>
    <i r="1">
      <x v="70"/>
    </i>
    <i>
      <x v="17"/>
    </i>
    <i r="1">
      <x v="72"/>
    </i>
    <i>
      <x v="13"/>
    </i>
    <i r="1">
      <x v="63"/>
    </i>
    <i r="1">
      <x v="65"/>
    </i>
    <i r="1">
      <x v="64"/>
    </i>
    <i>
      <x v="12"/>
    </i>
    <i r="1">
      <x v="62"/>
    </i>
    <i t="grand">
      <x/>
    </i>
  </rowItems>
  <colItems count="1">
    <i/>
  </colItems>
  <pageFields count="2">
    <pageField fld="15" hier="-1"/>
    <pageField fld="16" hier="-1"/>
  </pageFields>
  <dataFields count="1">
    <dataField name="Count of prop_id" fld="22" subtotal="count" baseField="0" baseItem="0"/>
  </dataField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1" rowHeaderCaption="Nature of Request">
  <location ref="S2:T5" firstHeaderRow="1" firstDataRow="1" firstDataCol="1"/>
  <pivotFields count="60">
    <pivotField numFmtId="164" showAll="0" defaultSubtotal="0"/>
    <pivotField showAll="0"/>
    <pivotField showAll="0"/>
    <pivotField numFmtId="166" showAll="0"/>
    <pivotField numFmtId="165" showAll="0" sortType="ascending">
      <items count="201">
        <item m="1" x="26"/>
        <item m="1" x="116"/>
        <item m="1" x="129"/>
        <item m="1" x="48"/>
        <item m="1" x="132"/>
        <item m="1" x="55"/>
        <item m="1" x="158"/>
        <item m="1" x="45"/>
        <item m="1" x="99"/>
        <item m="1" x="176"/>
        <item m="1" x="68"/>
        <item m="1" x="150"/>
        <item m="1" x="31"/>
        <item m="1" x="121"/>
        <item m="1" x="168"/>
        <item m="1" x="59"/>
        <item m="1" x="144"/>
        <item m="1" x="24"/>
        <item m="1" x="113"/>
        <item m="1" x="85"/>
        <item m="1" x="161"/>
        <item m="1" x="50"/>
        <item m="1" x="136"/>
        <item m="1" x="16"/>
        <item m="1" x="108"/>
        <item m="1" x="27"/>
        <item m="1" x="119"/>
        <item m="1" x="194"/>
        <item m="1" x="90"/>
        <item m="1" x="185"/>
        <item m="1" x="10"/>
        <item m="1" x="100"/>
        <item m="1" x="32"/>
        <item m="1" x="195"/>
        <item m="1" x="189"/>
        <item m="1" x="162"/>
        <item m="1" x="186"/>
        <item m="1" x="69"/>
        <item m="1" x="151"/>
        <item m="1" x="33"/>
        <item m="1" x="196"/>
        <item m="1" x="92"/>
        <item m="1" x="169"/>
        <item m="1" x="60"/>
        <item m="1" x="145"/>
        <item m="1" x="163"/>
        <item m="1" x="51"/>
        <item m="1" x="137"/>
        <item m="1" x="17"/>
        <item m="1" x="41"/>
        <item m="1" x="188"/>
        <item m="1" x="82"/>
        <item m="1" x="105"/>
        <item m="1" x="180"/>
        <item m="1" x="72"/>
        <item m="1" x="154"/>
        <item m="1" x="37"/>
        <item m="1" x="95"/>
        <item m="1" x="172"/>
        <item m="1" x="63"/>
        <item m="1" x="139"/>
        <item m="1" x="20"/>
        <item m="1" x="34"/>
        <item m="1" x="122"/>
        <item m="1" x="197"/>
        <item m="1" x="93"/>
        <item m="1" x="170"/>
        <item m="1" x="25"/>
        <item m="1" x="114"/>
        <item m="1" x="190"/>
        <item m="1" x="86"/>
        <item m="1" x="164"/>
        <item m="1" x="52"/>
        <item m="1" x="18"/>
        <item m="1" x="109"/>
        <item m="1" x="183"/>
        <item m="1" x="173"/>
        <item m="1" x="117"/>
        <item m="1" x="78"/>
        <item m="1" x="101"/>
        <item x="3"/>
        <item x="2"/>
        <item x="5"/>
        <item m="1" x="42"/>
        <item x="4"/>
        <item m="1" x="133"/>
        <item m="1" x="13"/>
        <item m="1" x="106"/>
        <item m="1" x="181"/>
        <item m="1" x="73"/>
        <item m="1" x="124"/>
        <item m="1" x="6"/>
        <item m="1" x="96"/>
        <item m="1" x="174"/>
        <item m="1" x="64"/>
        <item m="1" x="146"/>
        <item m="1" x="118"/>
        <item m="1" x="193"/>
        <item m="1" x="89"/>
        <item m="1" x="166"/>
        <item m="1" x="79"/>
        <item m="1" x="46"/>
        <item m="1" x="115"/>
        <item m="1" x="191"/>
        <item m="1" x="87"/>
        <item m="1" x="148"/>
        <item m="1" x="28"/>
        <item m="1" x="120"/>
        <item m="1" x="142"/>
        <item m="1" x="22"/>
        <item m="1" x="112"/>
        <item m="1" x="83"/>
        <item m="1" x="134"/>
        <item m="1" x="14"/>
        <item m="1" x="107"/>
        <item m="1" x="182"/>
        <item m="1" x="74"/>
        <item m="1" x="155"/>
        <item m="1" x="38"/>
        <item m="1" x="125"/>
        <item m="1" x="7"/>
        <item m="1" x="56"/>
        <item m="1" x="140"/>
        <item m="1" x="21"/>
        <item m="1" x="111"/>
        <item m="1" x="187"/>
        <item m="1" x="80"/>
        <item m="1" x="159"/>
        <item m="1" x="47"/>
        <item m="1" x="130"/>
        <item m="1" x="11"/>
        <item m="1" x="102"/>
        <item m="1" x="177"/>
        <item m="1" x="70"/>
        <item m="1" x="152"/>
        <item m="1" x="35"/>
        <item m="1" x="123"/>
        <item m="1" x="198"/>
        <item m="1" x="61"/>
        <item m="1" x="53"/>
        <item m="1" x="19"/>
        <item m="1" x="110"/>
        <item m="1" x="29"/>
        <item m="1" x="91"/>
        <item m="1" x="167"/>
        <item m="1" x="58"/>
        <item m="1" x="143"/>
        <item m="1" x="23"/>
        <item m="1" x="84"/>
        <item m="1" x="160"/>
        <item m="1" x="49"/>
        <item m="1" x="135"/>
        <item m="1" x="15"/>
        <item m="1" x="75"/>
        <item m="1" x="156"/>
        <item m="1" x="39"/>
        <item m="1" x="126"/>
        <item m="1" x="65"/>
        <item m="1" x="147"/>
        <item m="1" x="103"/>
        <item m="1" x="178"/>
        <item m="1" x="71"/>
        <item m="1" x="153"/>
        <item m="1" x="36"/>
        <item m="1" x="199"/>
        <item m="1" x="94"/>
        <item m="1" x="171"/>
        <item m="1" x="76"/>
        <item m="1" x="127"/>
        <item m="1" x="8"/>
        <item m="1" x="97"/>
        <item m="1" x="40"/>
        <item x="1"/>
        <item x="0"/>
        <item m="1" x="43"/>
        <item m="1" x="128"/>
        <item m="1" x="9"/>
        <item m="1" x="98"/>
        <item m="1" x="175"/>
        <item m="1" x="67"/>
        <item m="1" x="149"/>
        <item m="1" x="30"/>
        <item m="1" x="81"/>
        <item m="1" x="131"/>
        <item m="1" x="12"/>
        <item m="1" x="104"/>
        <item m="1" x="179"/>
        <item m="1" x="66"/>
        <item m="1" x="57"/>
        <item m="1" x="141"/>
        <item m="1" x="62"/>
        <item m="1" x="192"/>
        <item m="1" x="88"/>
        <item m="1" x="165"/>
        <item m="1" x="54"/>
        <item m="1" x="138"/>
        <item m="1" x="184"/>
        <item m="1" x="77"/>
        <item m="1" x="157"/>
        <item m="1" x="44"/>
        <item t="default"/>
      </items>
    </pivotField>
    <pivotField showAll="0"/>
    <pivotField showAll="0"/>
    <pivotField showAll="0"/>
    <pivotField showAll="0"/>
    <pivotField showAll="0"/>
    <pivotField showAll="0"/>
    <pivotField showAll="0" defaultSubtotal="0"/>
    <pivotField showAll="0"/>
    <pivotField showAll="0" defaultSubtotal="0"/>
    <pivotField showAll="0"/>
    <pivotField axis="axisRow" showAll="0">
      <items count="6">
        <item x="0"/>
        <item m="1" x="3"/>
        <item m="1" x="4"/>
        <item x="1"/>
        <item m="1" x="2"/>
        <item t="default"/>
      </items>
    </pivotField>
    <pivotField showAll="0"/>
    <pivotField showAll="0" defaultSubtota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numFmtId="166" showAll="0"/>
    <pivotField showAll="0"/>
    <pivotField showAll="0"/>
    <pivotField showAll="0"/>
    <pivotField numFmtId="164" showAll="0" defaultSubtotal="0"/>
    <pivotField showAll="0"/>
    <pivotField showAll="0"/>
    <pivotField showAll="0"/>
    <pivotField showAll="0"/>
    <pivotField showAll="0"/>
    <pivotField showAll="0" defaultSubtotal="0"/>
    <pivotField showAll="0" defaultSubtotal="0"/>
    <pivotField showAll="0" defaultSubtotal="0"/>
    <pivotField showAll="0"/>
    <pivotField numFmtId="164" showAll="0" defaultSubtotal="0"/>
    <pivotField numFmtId="164" showAll="0"/>
    <pivotField numFmtId="164"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numFmtId="164" showAll="0" defaultSubtotal="0"/>
    <pivotField showAll="0" defaultSubtotal="0"/>
    <pivotField dragToRow="0" dragToCol="0" dragToPage="0" showAll="0" defaultSubtotal="0"/>
  </pivotFields>
  <rowFields count="1">
    <field x="15"/>
  </rowFields>
  <rowItems count="3">
    <i>
      <x/>
    </i>
    <i>
      <x v="3"/>
    </i>
    <i t="grand">
      <x/>
    </i>
  </rowItems>
  <colItems count="1">
    <i/>
  </colItems>
  <dataFields count="1">
    <dataField name="Proposal Count" fld="22" subtotal="count" baseField="3" baseItem="0"/>
  </dataFields>
  <formats count="6">
    <format dxfId="277">
      <pivotArea field="4" type="button" dataOnly="0" labelOnly="1" outline="0"/>
    </format>
    <format dxfId="276">
      <pivotArea dataOnly="0" labelOnly="1" outline="0" axis="axisValues" fieldPosition="0"/>
    </format>
    <format dxfId="275">
      <pivotArea field="15" type="button" dataOnly="0" labelOnly="1" outline="0" axis="axisRow" fieldPosition="0"/>
    </format>
    <format dxfId="274">
      <pivotArea dataOnly="0" labelOnly="1" outline="0" axis="axisValues" fieldPosition="0"/>
    </format>
    <format dxfId="273">
      <pivotArea field="15" type="button" dataOnly="0" labelOnly="1" outline="0" axis="axisRow" fieldPosition="0"/>
    </format>
    <format dxfId="272">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rojPgmTable" cacheId="3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9" rowHeaderCaption="Program Element Code">
  <location ref="H23:I32" firstHeaderRow="1" firstDataRow="1" firstDataCol="1"/>
  <pivotFields count="133">
    <pivotField showAll="0" defaultSubtotal="0"/>
    <pivotField showAll="0"/>
    <pivotField showAll="0"/>
    <pivotField numFmtId="166" showAll="0"/>
    <pivotField showAll="0"/>
    <pivotField showAll="0"/>
    <pivotField showAll="0"/>
    <pivotField axis="axisRow" showAll="0" sortType="ascending">
      <items count="91">
        <item m="1" x="30"/>
        <item m="1" x="47"/>
        <item m="1" x="27"/>
        <item m="1" x="74"/>
        <item m="1" x="10"/>
        <item m="1" x="75"/>
        <item m="1" x="63"/>
        <item m="1" x="39"/>
        <item m="1" x="66"/>
        <item m="1" x="21"/>
        <item m="1" x="61"/>
        <item m="1" x="35"/>
        <item m="1" x="52"/>
        <item m="1" x="78"/>
        <item m="1" x="82"/>
        <item m="1" x="73"/>
        <item m="1" x="68"/>
        <item m="1" x="38"/>
        <item m="1" x="28"/>
        <item m="1" x="26"/>
        <item m="1" x="22"/>
        <item m="1" x="83"/>
        <item m="1" x="12"/>
        <item m="1" x="77"/>
        <item m="1" x="51"/>
        <item m="1" x="41"/>
        <item m="1" x="65"/>
        <item m="1" x="18"/>
        <item m="1" x="54"/>
        <item m="1" x="34"/>
        <item m="1" x="84"/>
        <item m="1" x="60"/>
        <item m="1" x="48"/>
        <item m="1" x="29"/>
        <item m="1" x="76"/>
        <item m="1" x="80"/>
        <item m="1" x="11"/>
        <item m="1" x="53"/>
        <item m="1" x="17"/>
        <item m="1" x="89"/>
        <item m="1" x="19"/>
        <item m="1" x="16"/>
        <item m="1" x="62"/>
        <item m="1" x="69"/>
        <item m="1" x="40"/>
        <item m="1" x="46"/>
        <item m="1" x="42"/>
        <item m="1" x="25"/>
        <item m="1" x="15"/>
        <item m="1" x="37"/>
        <item m="1" x="72"/>
        <item m="1" x="87"/>
        <item m="1" x="32"/>
        <item m="1" x="57"/>
        <item m="1" x="14"/>
        <item m="1" x="45"/>
        <item m="1" x="24"/>
        <item m="1" x="9"/>
        <item m="1" x="33"/>
        <item m="1" x="36"/>
        <item m="1" x="81"/>
        <item m="1" x="50"/>
        <item m="1" x="56"/>
        <item m="1" x="31"/>
        <item m="1" x="23"/>
        <item m="1" x="59"/>
        <item m="1" x="44"/>
        <item m="1" x="67"/>
        <item m="1" x="64"/>
        <item m="1" x="43"/>
        <item m="1" x="58"/>
        <item m="1" x="13"/>
        <item m="1" x="8"/>
        <item m="1" x="79"/>
        <item m="1" x="55"/>
        <item m="1" x="86"/>
        <item m="1" x="20"/>
        <item x="1"/>
        <item x="3"/>
        <item x="4"/>
        <item x="5"/>
        <item m="1" x="49"/>
        <item m="1" x="85"/>
        <item m="1" x="88"/>
        <item x="0"/>
        <item x="2"/>
        <item m="1" x="71"/>
        <item x="6"/>
        <item x="7"/>
        <item m="1" x="7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defaultSubtotal="0"/>
    <pivotField showAll="0"/>
    <pivotField showAll="0"/>
    <pivotField showAll="0"/>
    <pivotField showAll="0"/>
    <pivotField showAll="0"/>
    <pivotField showAll="0"/>
    <pivotField showAll="0"/>
    <pivotField numFmtId="164" showAll="0"/>
    <pivotField showAll="0"/>
    <pivotField showAll="0"/>
    <pivotField showAll="0" defaultSubtotal="0"/>
    <pivotField showAll="0"/>
    <pivotField showAll="0" defaultSubtotal="0"/>
    <pivotField showAll="0"/>
    <pivotField showAll="0"/>
    <pivotField showAll="0" defaultSubtotal="0"/>
    <pivotField showAll="0"/>
    <pivotField showAll="0" defaultSubtota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s>
  <rowFields count="1">
    <field x="7"/>
  </rowFields>
  <rowItems count="9">
    <i>
      <x v="80"/>
    </i>
    <i>
      <x v="84"/>
    </i>
    <i>
      <x v="78"/>
    </i>
    <i>
      <x v="85"/>
    </i>
    <i>
      <x v="77"/>
    </i>
    <i>
      <x v="87"/>
    </i>
    <i>
      <x v="79"/>
    </i>
    <i>
      <x v="88"/>
    </i>
    <i t="grand">
      <x/>
    </i>
  </rowItems>
  <colItems count="1">
    <i/>
  </colItems>
  <dataFields count="1">
    <dataField name="Project Count" fld="14" subtotal="count" baseField="0" baseItem="0"/>
  </dataFields>
  <formats count="8">
    <format dxfId="285">
      <pivotArea field="7" type="button" dataOnly="0" labelOnly="1" outline="0" axis="axisRow" fieldPosition="0"/>
    </format>
    <format dxfId="284">
      <pivotArea dataOnly="0" labelOnly="1" outline="0" axis="axisValues" fieldPosition="0"/>
    </format>
    <format dxfId="283">
      <pivotArea type="all" dataOnly="0" outline="0" fieldPosition="0"/>
    </format>
    <format dxfId="282">
      <pivotArea outline="0" collapsedLevelsAreSubtotals="1" fieldPosition="0"/>
    </format>
    <format dxfId="281">
      <pivotArea field="7" type="button" dataOnly="0" labelOnly="1" outline="0" axis="axisRow" fieldPosition="0"/>
    </format>
    <format dxfId="280">
      <pivotArea dataOnly="0" labelOnly="1" outline="0" axis="axisValues" fieldPosition="0"/>
    </format>
    <format dxfId="279">
      <pivotArea dataOnly="0" labelOnly="1" fieldPosition="0">
        <references count="1">
          <reference field="7" count="0"/>
        </references>
      </pivotArea>
    </format>
    <format dxfId="278">
      <pivotArea dataOnly="0" labelOnly="1" grandRow="1"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2" cacheId="3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6" rowHeaderCaption="Status">
  <location ref="D23:E26" firstHeaderRow="1" firstDataRow="1" firstDataCol="1"/>
  <pivotFields count="133">
    <pivotField showAll="0" defaultSubtotal="0"/>
    <pivotField showAll="0"/>
    <pivotField showAll="0"/>
    <pivotField numFmtId="166" showAll="0"/>
    <pivotField showAll="0"/>
    <pivotField showAll="0"/>
    <pivotField showAll="0"/>
    <pivotField showAll="0"/>
    <pivotField showAll="0"/>
    <pivotField showAll="0"/>
    <pivotField showAll="0"/>
    <pivotField axis="axisRow" showAll="0" sortType="ascending">
      <items count="9">
        <item x="1"/>
        <item m="1" x="3"/>
        <item x="0"/>
        <item m="1" x="5"/>
        <item m="1" x="4"/>
        <item m="1" x="6"/>
        <item m="1" x="7"/>
        <item m="1" x="2"/>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defaultSubtotal="0"/>
    <pivotField showAll="0"/>
    <pivotField showAll="0"/>
    <pivotField showAll="0"/>
    <pivotField showAll="0"/>
    <pivotField showAll="0"/>
    <pivotField showAll="0"/>
    <pivotField showAll="0"/>
    <pivotField numFmtId="164" showAll="0"/>
    <pivotField showAll="0"/>
    <pivotField showAll="0"/>
    <pivotField showAll="0" defaultSubtotal="0"/>
    <pivotField showAll="0"/>
    <pivotField showAll="0" defaultSubtotal="0"/>
    <pivotField showAll="0"/>
    <pivotField showAll="0"/>
    <pivotField showAll="0" defaultSubtotal="0"/>
    <pivotField showAll="0"/>
    <pivotField showAll="0" defaultSubtota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s>
  <rowFields count="1">
    <field x="11"/>
  </rowFields>
  <rowItems count="3">
    <i>
      <x/>
    </i>
    <i>
      <x v="2"/>
    </i>
    <i t="grand">
      <x/>
    </i>
  </rowItems>
  <colItems count="1">
    <i/>
  </colItems>
  <dataFields count="1">
    <dataField name="Project Count" fld="14" subtotal="count" baseField="0" baseItem="0"/>
  </dataFields>
  <formats count="5">
    <format dxfId="290">
      <pivotArea field="11" type="button" dataOnly="0" labelOnly="1" outline="0" axis="axisRow" fieldPosition="0"/>
    </format>
    <format dxfId="289">
      <pivotArea dataOnly="0" labelOnly="1" outline="0" axis="axisValues" fieldPosition="0"/>
    </format>
    <format dxfId="288">
      <pivotArea outline="0" collapsedLevelsAreSubtotals="1" fieldPosition="0"/>
    </format>
    <format dxfId="287">
      <pivotArea dataOnly="0" labelOnly="1" fieldPosition="0">
        <references count="1">
          <reference field="11" count="0"/>
        </references>
      </pivotArea>
    </format>
    <format dxfId="286">
      <pivotArea dataOnly="0" labelOnly="1" grandRow="1" outline="0" fieldPosition="0"/>
    </format>
  </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ropSttsTable" cacheId="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48" rowHeaderCaption="Status">
  <location ref="B23:C26" firstHeaderRow="1" firstDataRow="1" firstDataCol="1"/>
  <pivotFields count="60">
    <pivotField numFmtId="164" showAll="0" defaultSubtotal="0"/>
    <pivotField showAll="0"/>
    <pivotField showAll="0"/>
    <pivotField showAll="0"/>
    <pivotField showAll="0" defaultSubtotal="0"/>
    <pivotField showAll="0"/>
    <pivotField showAll="0"/>
    <pivotField showAll="0"/>
    <pivotField showAll="0"/>
    <pivotField showAll="0"/>
    <pivotField showAll="0"/>
    <pivotField showAll="0" defaultSubtotal="0"/>
    <pivotField showAll="0"/>
    <pivotField showAll="0" defaultSubtotal="0"/>
    <pivotField showAll="0"/>
    <pivotField showAll="0"/>
    <pivotField multipleItemSelectionAllowed="1" showAll="0"/>
    <pivotField axis="axisRow" multipleItemSelectionAllowed="1" showAll="0" sortType="ascending" defaultSubtotal="0">
      <items count="8">
        <item x="0"/>
        <item m="1" x="3"/>
        <item x="1"/>
        <item m="1" x="5"/>
        <item m="1" x="4"/>
        <item m="1" x="6"/>
        <item m="1" x="7"/>
        <item m="1" x="2"/>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defaultSubtotal="0"/>
    <pivotField showAll="0"/>
    <pivotField showAll="0"/>
    <pivotField showAll="0"/>
    <pivotField showAll="0"/>
    <pivotField showAll="0"/>
    <pivotField showAll="0" defaultSubtotal="0"/>
    <pivotField showAll="0" defaultSubtotal="0"/>
    <pivotField showAll="0" defaultSubtotal="0"/>
    <pivotField showAll="0"/>
    <pivotField numFmtId="164" showAll="0" defaultSubtota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numFmtId="164" showAll="0" defaultSubtotal="0"/>
    <pivotField showAll="0" defaultSubtotal="0"/>
    <pivotField dragToRow="0" dragToCol="0" dragToPage="0" showAll="0" defaultSubtotal="0"/>
  </pivotFields>
  <rowFields count="1">
    <field x="17"/>
  </rowFields>
  <rowItems count="3">
    <i>
      <x/>
    </i>
    <i>
      <x v="2"/>
    </i>
    <i t="grand">
      <x/>
    </i>
  </rowItems>
  <colItems count="1">
    <i/>
  </colItems>
  <dataFields count="1">
    <dataField name="Proposal Count" fld="22" subtotal="count" baseField="0" baseItem="0"/>
  </dataFields>
  <formats count="7">
    <format dxfId="297">
      <pivotArea collapsedLevelsAreSubtotals="1" fieldPosition="0">
        <references count="1">
          <reference field="17" count="1">
            <x v="0"/>
          </reference>
        </references>
      </pivotArea>
    </format>
    <format dxfId="296">
      <pivotArea dataOnly="0" labelOnly="1" fieldPosition="0">
        <references count="1">
          <reference field="17" count="1">
            <x v="0"/>
          </reference>
        </references>
      </pivotArea>
    </format>
    <format dxfId="295">
      <pivotArea field="17" type="button" dataOnly="0" labelOnly="1" outline="0" axis="axisRow" fieldPosition="0"/>
    </format>
    <format dxfId="294">
      <pivotArea dataOnly="0" labelOnly="1" outline="0" axis="axisValues" fieldPosition="0"/>
    </format>
    <format dxfId="293">
      <pivotArea outline="0" collapsedLevelsAreSubtotals="1" fieldPosition="0"/>
    </format>
    <format dxfId="292">
      <pivotArea dataOnly="0" labelOnly="1" fieldPosition="0">
        <references count="1">
          <reference field="17" count="0"/>
        </references>
      </pivotArea>
    </format>
    <format dxfId="291">
      <pivotArea dataOnly="0" labelOnly="1" grandRow="1" outline="0" fieldPosition="0"/>
    </format>
  </formats>
  <chartFormats count="9">
    <chartFormat chart="0" format="0" series="1">
      <pivotArea type="data" outline="0" fieldPosition="0">
        <references count="1">
          <reference field="4294967294" count="1" selected="0">
            <x v="0"/>
          </reference>
        </references>
      </pivotArea>
    </chartFormat>
    <chartFormat chart="0" format="13">
      <pivotArea type="data" outline="0" fieldPosition="0">
        <references count="2">
          <reference field="4294967294" count="1" selected="0">
            <x v="0"/>
          </reference>
          <reference field="17" count="1" selected="0">
            <x v="5"/>
          </reference>
        </references>
      </pivotArea>
    </chartFormat>
    <chartFormat chart="0" format="14">
      <pivotArea type="data" outline="0" fieldPosition="0">
        <references count="2">
          <reference field="4294967294" count="1" selected="0">
            <x v="0"/>
          </reference>
          <reference field="17" count="1" selected="0">
            <x v="6"/>
          </reference>
        </references>
      </pivotArea>
    </chartFormat>
    <chartFormat chart="0" format="15">
      <pivotArea type="data" outline="0" fieldPosition="0">
        <references count="2">
          <reference field="4294967294" count="1" selected="0">
            <x v="0"/>
          </reference>
          <reference field="17" count="1" selected="0">
            <x v="0"/>
          </reference>
        </references>
      </pivotArea>
    </chartFormat>
    <chartFormat chart="0" format="16">
      <pivotArea type="data" outline="0" fieldPosition="0">
        <references count="2">
          <reference field="4294967294" count="1" selected="0">
            <x v="0"/>
          </reference>
          <reference field="17" count="1" selected="0">
            <x v="1"/>
          </reference>
        </references>
      </pivotArea>
    </chartFormat>
    <chartFormat chart="0" format="17">
      <pivotArea type="data" outline="0" fieldPosition="0">
        <references count="2">
          <reference field="4294967294" count="1" selected="0">
            <x v="0"/>
          </reference>
          <reference field="17" count="1" selected="0">
            <x v="3"/>
          </reference>
        </references>
      </pivotArea>
    </chartFormat>
    <chartFormat chart="0" format="18">
      <pivotArea type="data" outline="0" fieldPosition="0">
        <references count="2">
          <reference field="4294967294" count="1" selected="0">
            <x v="0"/>
          </reference>
          <reference field="17" count="1" selected="0">
            <x v="4"/>
          </reference>
        </references>
      </pivotArea>
    </chartFormat>
    <chartFormat chart="0" format="19">
      <pivotArea type="data" outline="0" fieldPosition="0">
        <references count="2">
          <reference field="4294967294" count="1" selected="0">
            <x v="0"/>
          </reference>
          <reference field="17" count="1" selected="0">
            <x v="7"/>
          </reference>
        </references>
      </pivotArea>
    </chartFormat>
    <chartFormat chart="0" format="20">
      <pivotArea type="data" outline="0" fieldPosition="0">
        <references count="2">
          <reference field="4294967294" count="1" selected="0">
            <x v="0"/>
          </reference>
          <reference field="17" count="1" selected="0">
            <x v="2"/>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ExternalData_1" adjustColumnWidth="0" connectionId="3" autoFormatId="16" applyNumberFormats="0" applyBorderFormats="0" applyFontFormats="0" applyPatternFormats="0" applyAlignmentFormats="0" applyWidthHeightFormats="0">
  <queryTableRefresh nextId="125" unboundColumnsRight="1">
    <queryTableFields count="59">
      <queryTableField id="101" name="run_date" tableColumnId="52"/>
      <queryTableField id="8" name="GG_track_num" tableColumnId="8"/>
      <queryTableField id="9" name="GG_rcvd_date" tableColumnId="9"/>
      <queryTableField id="41" name="NSF_rcvd_date" tableColumnId="41"/>
      <queryTableField id="92" dataBound="0" tableColumnId="43"/>
      <queryTableField id="84" name="spcl_excp_flag" tableColumnId="10"/>
      <queryTableField id="49" name="inst_st_code" tableColumnId="11"/>
      <queryTableField id="50" name="inst_last_updt_tmsp" tableColumnId="12"/>
      <queryTableField id="51" name="inst_timeZone" tableColumnId="16"/>
      <queryTableField id="4" name="pgm_annc_id" tableColumnId="4"/>
      <queryTableField id="5" name="org_code" tableColumnId="5"/>
      <queryTableField id="94" name="orig_org_code" tableColumnId="45"/>
      <queryTableField id="6" name="pgm_ele_code" tableColumnId="6"/>
      <queryTableField id="112" name="orig_pgm_ele_code" tableColumnId="60"/>
      <queryTableField id="3" name="pm_ibm_logn_id" tableColumnId="3"/>
      <queryTableField id="18" name="natr_rqst_txt" tableColumnId="18"/>
      <queryTableField id="19" name="prop_stts_txt" tableColumnId="19"/>
      <queryTableField id="93" name="prop_stts" tableColumnId="61"/>
      <queryTableField id="90" name="GOALI_flag" tableColumnId="42"/>
      <queryTableField id="87" dataBound="0" tableColumnId="26"/>
      <queryTableField id="1" name="lead_prop_id" tableColumnId="1"/>
      <queryTableField id="68" name="ILN" tableColumnId="7"/>
      <queryTableField id="2" name="prop_id" tableColumnId="2"/>
      <queryTableField id="40" dataBound="0" tableColumnId="40"/>
      <queryTableField id="13" name="pi_last_name" tableColumnId="13"/>
      <queryTableField id="14" name="pi_frst_name" tableColumnId="14"/>
      <queryTableField id="15" name="inst_name" tableColumnId="15"/>
      <queryTableField id="17" name="prop_titl_txt" tableColumnId="17"/>
      <queryTableField id="20" name="cert_dbar_sus_flag" tableColumnId="20"/>
      <queryTableField id="21" name="OTH_AGCY_SUBM_FLAG" tableColumnId="21"/>
      <queryTableField id="22" name="auth_rep_elec_sign" tableColumnId="22"/>
      <queryTableField id="23" name="AUTH_REP_CERT_DATE" tableColumnId="23"/>
      <queryTableField id="72" name="ProjSumm" tableColumnId="25"/>
      <queryTableField id="77" name="proj_summ_pg" tableColumnId="28"/>
      <queryTableField id="71" name="ProjDesc" tableColumnId="24"/>
      <queryTableField id="108" name="budg_just_pg" tableColumnId="30"/>
      <queryTableField id="27" name="RefCited" tableColumnId="27"/>
      <queryTableField id="37" name="tot_Pdoc_dol" tableColumnId="37"/>
      <queryTableField id="29" name="MentPlan" tableColumnId="29"/>
      <queryTableField id="31" name="DMP" tableColumnId="31"/>
      <queryTableField id="33" name="FacilitiesEquip" tableColumnId="33"/>
      <queryTableField id="100" name="oth_supp_cnt" tableColumnId="51"/>
      <queryTableField id="107" dataBound="0" tableColumnId="54"/>
      <queryTableField id="106" dataBound="0" tableColumnId="53"/>
      <queryTableField id="34" name="tot_PIs" tableColumnId="34"/>
      <queryTableField id="115" name="tot_Part_Stipend" tableColumnId="62"/>
      <queryTableField id="35" name="tot_rqst_dol" tableColumnId="35"/>
      <queryTableField id="38" name="cumulative_tot_dol" tableColumnId="38"/>
      <queryTableField id="39" name="Diff_tot_dol" tableColumnId="39"/>
      <queryTableField id="88" name="humn_date" tableColumnId="32"/>
      <queryTableField id="89" name="vrtb_date" tableColumnId="36"/>
      <queryTableField id="96" name="dir_div_abbr" tableColumnId="47"/>
      <queryTableField id="98" name="orig_dir_div_abbr" tableColumnId="49"/>
      <queryTableField id="97" name="pgm_ele_name" tableColumnId="48"/>
      <queryTableField id="99" name="orig_pgm_ele_name" tableColumnId="50"/>
      <queryTableField id="113" name="prop_stts_code" tableColumnId="56"/>
      <queryTableField id="116" name="perf_org_txt" tableColumnId="57"/>
      <queryTableField id="117" name="pi_degr_yr" tableColumnId="59"/>
      <queryTableField id="111" dataBound="0" tableColumnId="55"/>
    </queryTableFields>
  </queryTableRefresh>
</queryTable>
</file>

<file path=xl/queryTables/queryTable2.xml><?xml version="1.0" encoding="utf-8"?>
<queryTable xmlns="http://schemas.openxmlformats.org/spreadsheetml/2006/main" name="ExternalData_1" backgroundRefresh="0" adjustColumnWidth="0" connectionId="2" autoFormatId="16" applyNumberFormats="0" applyBorderFormats="0" applyFontFormats="0" applyPatternFormats="0" applyAlignmentFormats="0" applyWidthHeightFormats="0">
  <queryTableRefresh nextId="292">
    <queryTableFields count="133">
      <queryTableField id="220" name="run_date" tableColumnId="136"/>
      <queryTableField id="8" name="GG_track_num" tableColumnId="8"/>
      <queryTableField id="9" name="GG_rcvd_date" tableColumnId="9"/>
      <queryTableField id="10" name="NSF_rcvd_date" tableColumnId="10"/>
      <queryTableField id="204" name="spcl_excp_flag" tableColumnId="129"/>
      <queryTableField id="4" name="pgm_annc_id" tableColumnId="4"/>
      <queryTableField id="5" name="org_code" tableColumnId="5"/>
      <queryTableField id="6" name="pgm_ele_code" tableColumnId="6"/>
      <queryTableField id="3" name="pm_ibm_logn_id" tableColumnId="3"/>
      <queryTableField id="18" name="natr_rqst_txt" tableColumnId="18"/>
      <queryTableField id="19" name="prop_stts_txt" tableColumnId="19"/>
      <queryTableField id="214" name="prop_stts" tableColumnId="12"/>
      <queryTableField id="211" name="GOALI_flag" tableColumnId="25"/>
      <queryTableField id="1" name="lead_prop_id" tableColumnId="1"/>
      <queryTableField id="2" name="prop_id" tableColumnId="2"/>
      <queryTableField id="98" dataBound="0" tableColumnId="96"/>
      <queryTableField id="13" name="pi_last_name" tableColumnId="13"/>
      <queryTableField id="14" name="pi_frst_name" tableColumnId="14"/>
      <queryTableField id="99" name="pi_emai_addr" tableColumnId="11"/>
      <queryTableField id="15" name="inst_name" tableColumnId="15"/>
      <queryTableField id="16" name="st_code" tableColumnId="16"/>
      <queryTableField id="17" name="prop_titl_txt" tableColumnId="17"/>
      <queryTableField id="20" name="cert_dbar_sus_flag" tableColumnId="20"/>
      <queryTableField id="21" name="OTH_AGCY_SUBM_FLAG" tableColumnId="21"/>
      <queryTableField id="22" name="auth_rep_elec_sign" tableColumnId="22"/>
      <queryTableField id="23" name="AUTH_REP_CERT_DATE" tableColumnId="23"/>
      <queryTableField id="189" name="ProjSumm" tableColumnId="24"/>
      <queryTableField id="27" name="proj_summ_pg" tableColumnId="27"/>
      <queryTableField id="197" dataBound="0" tableColumnId="29"/>
      <queryTableField id="207" dataBound="0" tableColumnId="130"/>
      <queryTableField id="188" name="ProjDesc" tableColumnId="7"/>
      <queryTableField id="224" name="budg_just_pg" tableColumnId="137"/>
      <queryTableField id="28" name="RefCited" tableColumnId="28"/>
      <queryTableField id="39" name="tot_Pdoc_dol" tableColumnId="39"/>
      <queryTableField id="30" name="MentPlan" tableColumnId="30"/>
      <queryTableField id="32" name="DMP" tableColumnId="32"/>
      <queryTableField id="34" name="FacilitiesEquip" tableColumnId="34"/>
      <queryTableField id="36" name="dif_titl_collab" tableColumnId="36"/>
      <queryTableField id="38" name="tot_Part_Stipend" tableColumnId="38"/>
      <queryTableField id="37" name="tot_rqst_dol" tableColumnId="37"/>
      <queryTableField id="40" name="cumulative_tot_dol" tableColumnId="40"/>
      <queryTableField id="41" name="Diff_tot_dol" tableColumnId="41"/>
      <queryTableField id="215" name="oth_supp_cnt" tableColumnId="35"/>
      <queryTableField id="218" dataBound="0" tableColumnId="134"/>
      <queryTableField id="217" dataBound="0" tableColumnId="127"/>
      <queryTableField id="43" name="NumPIs" tableColumnId="43"/>
      <queryTableField id="44" name="NumBios" tableColumnId="44"/>
      <queryTableField id="273" name="Numcoas" tableColumnId="42"/>
      <queryTableField id="45" name="NumRPS" tableColumnId="45"/>
      <queryTableField id="196" dataBound="0" tableColumnId="26"/>
      <queryTableField id="208" dataBound="0" tableColumnId="131"/>
      <queryTableField id="209" dataBound="0" tableColumnId="132"/>
      <queryTableField id="202" dataBound="0" tableColumnId="128"/>
      <queryTableField id="46" name="pi0_last_name" tableColumnId="46"/>
      <queryTableField id="227" name="pi0_inst" tableColumnId="50"/>
      <queryTableField id="226" name="pi0_email" tableColumnId="33"/>
      <queryTableField id="47" name="pi0_bio_pg" tableColumnId="47"/>
      <queryTableField id="114" name="pi0_coa_pg" tableColumnId="97"/>
      <queryTableField id="115" name="pi0_cp_chk" tableColumnId="98"/>
      <queryTableField id="48" name="pi0_num_awd" tableColumnId="48"/>
      <queryTableField id="49" name="pi0_last_awd" tableColumnId="49"/>
      <queryTableField id="51" name="pi1_last_name" tableColumnId="51"/>
      <queryTableField id="229" name="pi1_inst" tableColumnId="60"/>
      <queryTableField id="228" name="pi1_email" tableColumnId="55"/>
      <queryTableField id="52" name="pi1_bio_pg" tableColumnId="52"/>
      <queryTableField id="117" name="pi1_coa_pg" tableColumnId="100"/>
      <queryTableField id="118" name="pi1_cp_chk" tableColumnId="101"/>
      <queryTableField id="53" name="pi1_num_awd" tableColumnId="53"/>
      <queryTableField id="54" name="pi1_last_awd" tableColumnId="54"/>
      <queryTableField id="56" name="pi2_last_name" tableColumnId="56"/>
      <queryTableField id="231" name="pi2_inst" tableColumnId="70"/>
      <queryTableField id="230" name="pi2_email" tableColumnId="65"/>
      <queryTableField id="57" name="pi2_bio_pg" tableColumnId="57"/>
      <queryTableField id="120" name="pi2_coa_pg" tableColumnId="103"/>
      <queryTableField id="121" name="pi2_cp_chk" tableColumnId="104"/>
      <queryTableField id="58" name="pi2_num_awd" tableColumnId="58"/>
      <queryTableField id="59" name="pi2_last_awd" tableColumnId="59"/>
      <queryTableField id="61" name="pi3_last_name" tableColumnId="61"/>
      <queryTableField id="233" name="pi3_inst" tableColumnId="80"/>
      <queryTableField id="232" name="pi3_email" tableColumnId="75"/>
      <queryTableField id="62" name="pi3_bio_pg" tableColumnId="62"/>
      <queryTableField id="123" name="pi3_coa_pg" tableColumnId="106"/>
      <queryTableField id="124" name="pi3_cp_chk" tableColumnId="107"/>
      <queryTableField id="63" name="pi3_num_awd" tableColumnId="63"/>
      <queryTableField id="64" name="pi3_last_awd" tableColumnId="64"/>
      <queryTableField id="66" name="pi4_last_name" tableColumnId="66"/>
      <queryTableField id="235" name="pi4_inst" tableColumnId="90"/>
      <queryTableField id="234" name="pi4_email" tableColumnId="85"/>
      <queryTableField id="67" name="pi4_bio_pg" tableColumnId="67"/>
      <queryTableField id="126" name="pi4_coa_pg" tableColumnId="109"/>
      <queryTableField id="127" name="pi4_cp_chk" tableColumnId="110"/>
      <queryTableField id="68" name="pi4_num_awd" tableColumnId="68"/>
      <queryTableField id="69" name="pi4_last_awd" tableColumnId="69"/>
      <queryTableField id="71" name="pi5_last_name" tableColumnId="71"/>
      <queryTableField id="237" name="pi5_inst" tableColumnId="99"/>
      <queryTableField id="236" name="pi5_email" tableColumnId="95"/>
      <queryTableField id="72" name="pi5_bio_pg" tableColumnId="72"/>
      <queryTableField id="129" name="pi5_coa_pg" tableColumnId="112"/>
      <queryTableField id="130" name="pi5_cp_chk" tableColumnId="113"/>
      <queryTableField id="73" name="pi5_num_awd" tableColumnId="73"/>
      <queryTableField id="74" dataBound="0" tableColumnId="74"/>
      <queryTableField id="76" name="pi6_last_name" tableColumnId="76"/>
      <queryTableField id="239" name="pi6_inst" tableColumnId="105"/>
      <queryTableField id="238" name="pi6_email" tableColumnId="102"/>
      <queryTableField id="77" name="pi6_bio_pg" tableColumnId="77"/>
      <queryTableField id="132" name="pi6_coa_pg" tableColumnId="115"/>
      <queryTableField id="133" name="pi6_cp_chk" tableColumnId="116"/>
      <queryTableField id="78" name="pi6_num_awd" tableColumnId="78"/>
      <queryTableField id="79" name="pi6_last_awd" tableColumnId="79"/>
      <queryTableField id="81" name="pi7_last_name" tableColumnId="81"/>
      <queryTableField id="241" name="pi7_inst" tableColumnId="111"/>
      <queryTableField id="240" name="pi7_email" tableColumnId="108"/>
      <queryTableField id="82" name="pi7_bio_pg" tableColumnId="82"/>
      <queryTableField id="135" name="pi7_coa_pg" tableColumnId="118"/>
      <queryTableField id="136" name="pi7_cp_chk" tableColumnId="119"/>
      <queryTableField id="83" name="pi7_num_awd" tableColumnId="83"/>
      <queryTableField id="84" name="pi7_last_awd" tableColumnId="84"/>
      <queryTableField id="86" name="pi8_last_name" tableColumnId="86"/>
      <queryTableField id="243" name="pi8_inst" tableColumnId="117"/>
      <queryTableField id="242" name="pi8_email" tableColumnId="114"/>
      <queryTableField id="87" name="pi8_bio_pg" tableColumnId="87"/>
      <queryTableField id="138" name="pi8_coa_pg" tableColumnId="121"/>
      <queryTableField id="139" name="pi8_cp_chk" tableColumnId="122"/>
      <queryTableField id="88" name="pi8_num_awd" tableColumnId="88"/>
      <queryTableField id="89" name="pi8_last_awd" tableColumnId="89"/>
      <queryTableField id="91" name="pi9_last_name" tableColumnId="91"/>
      <queryTableField id="245" name="pi9_inst" tableColumnId="123"/>
      <queryTableField id="244" name="pi9_email" tableColumnId="120"/>
      <queryTableField id="92" name="pi9_bio_pg" tableColumnId="92"/>
      <queryTableField id="141" name="pi9_coa_pg" tableColumnId="124"/>
      <queryTableField id="142" name="pi9_cp_chk" tableColumnId="125"/>
      <queryTableField id="93" name="pi9_num_awd" tableColumnId="93"/>
      <queryTableField id="94" name="pi9_last_awd" tableColumnId="94"/>
    </queryTableFields>
    <queryTableDeletedFields count="7">
      <deletedField name="prop_stts_code"/>
      <deletedField name="prop_stts_abbr"/>
      <deletedField name="lead"/>
      <deletedField name="pi5_last_awd"/>
      <deletedField name="budg_expl_pg"/>
      <deletedField name="NumCPs"/>
      <deletedField name="NumCoas"/>
    </queryTableDeletedFields>
  </queryTableRefresh>
</queryTable>
</file>

<file path=xl/queryTables/queryTable3.xml><?xml version="1.0" encoding="utf-8"?>
<queryTable xmlns="http://schemas.openxmlformats.org/spreadsheetml/2006/main" name="Query from RPTSERVER" connectionId="1" autoFormatId="16" applyNumberFormats="0" applyBorderFormats="0" applyFontFormats="0" applyPatternFormats="0" applyAlignmentFormats="0" applyWidthHeightFormats="0">
  <queryTableRefresh nextId="5">
    <queryTableFields count="2">
      <queryTableField id="3" name="db_name" tableColumnId="3"/>
      <queryTableField id="4" name="tbl_name" tableColumnId="4"/>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1" name="Input" displayName="Input" ref="C12:G20" totalsRowShown="0" headerRowDxfId="307" dataDxfId="305" headerRowBorderDxfId="306" tableBorderDxfId="304" totalsRowBorderDxfId="303">
  <tableColumns count="5">
    <tableColumn id="1" name="found_x000a_(row #)" dataDxfId="302">
      <calculatedColumnFormula>IFERROR(MATCH(TEXT(Input[[#This Row],[prop_id]],"0000000"),CompByPropTable[prop_id],0)+2,"--")</calculatedColumnFormula>
    </tableColumn>
    <tableColumn id="3" name="eJacket" dataDxfId="301">
      <calculatedColumnFormula>IF(Input[[#This Row],[prop_id]]="", "",HYPERLINK(CONCATENATE("https://www.ejacket.nsf.gov/ej/showProposal.do?Continue=Y&amp;ID=",SUBSTITUTE(Input[[#This Row],[prop_id]],CHAR(160),"")),"eJ"))</calculatedColumnFormula>
    </tableColumn>
    <tableColumn id="2" name="prop_id" dataDxfId="300"/>
    <tableColumn id="4" name="optional" dataDxfId="299"/>
    <tableColumn id="5" name="other_info" dataDxfId="298"/>
  </tableColumns>
  <tableStyleInfo name="TableStyleLight9" showFirstColumn="0" showLastColumn="0" showRowStripes="1" showColumnStripes="0"/>
</table>
</file>

<file path=xl/tables/table2.xml><?xml version="1.0" encoding="utf-8"?>
<table xmlns="http://schemas.openxmlformats.org/spreadsheetml/2006/main" id="3" name="CompByPropTable" displayName="CompByPropTable" ref="A2:BG12" tableType="queryTable" totalsRowShown="0">
  <sortState ref="A3:BG12">
    <sortCondition ref="K2:K11"/>
  </sortState>
  <tableColumns count="59">
    <tableColumn id="52" uniqueName="52" name="run_date" queryTableFieldId="101" dataDxfId="245" dataCellStyle="Currency"/>
    <tableColumn id="8" uniqueName="8" name="GG_track_num" queryTableFieldId="8" dataDxfId="244"/>
    <tableColumn id="9" uniqueName="9" name="GG_rcvd_date" queryTableFieldId="9" dataDxfId="243"/>
    <tableColumn id="41" uniqueName="41" name="NSF_rcvd_date" queryTableFieldId="41" dataDxfId="242"/>
    <tableColumn id="43" uniqueName="43" name="NSV_Received_Date" queryTableFieldId="92" dataDxfId="241">
      <calculatedColumnFormula>INT(CompByPropTable[[#This Row],[NSF_rcvd_date]])</calculatedColumnFormula>
    </tableColumn>
    <tableColumn id="10" uniqueName="10" name="spcl_excp_flag" queryTableFieldId="84" dataDxfId="240" dataCellStyle="Currency"/>
    <tableColumn id="11" uniqueName="11" name="inst_st_code" queryTableFieldId="49" dataDxfId="239" dataCellStyle="Currency"/>
    <tableColumn id="12" uniqueName="12" name="inst_last_updt_tmsp" queryTableFieldId="50" dataDxfId="238" dataCellStyle="Currency"/>
    <tableColumn id="16" uniqueName="16" name="inst_timeZone" queryTableFieldId="51" dataDxfId="237" dataCellStyle="Currency"/>
    <tableColumn id="4" uniqueName="4" name="pgm_annc_id" queryTableFieldId="4" dataDxfId="236"/>
    <tableColumn id="5" uniqueName="5" name="org_code" queryTableFieldId="5"/>
    <tableColumn id="45" uniqueName="45" name="orig_org_code" queryTableFieldId="94" dataDxfId="235" dataCellStyle="Currency"/>
    <tableColumn id="6" uniqueName="6" name="pgm_ele_code" queryTableFieldId="6"/>
    <tableColumn id="60" uniqueName="60" name="orig_pgm_ele_code" queryTableFieldId="112" dataDxfId="234" dataCellStyle="Currency"/>
    <tableColumn id="3" uniqueName="3" name="pm_ibm_logn_id" queryTableFieldId="3"/>
    <tableColumn id="18" uniqueName="18" name="natr_rqst_txt" queryTableFieldId="18"/>
    <tableColumn id="19" uniqueName="19" name="prop_stts_txt" queryTableFieldId="19" dataDxfId="233"/>
    <tableColumn id="61" uniqueName="61" name="prop_stts" queryTableFieldId="93" dataDxfId="232" dataCellStyle="Currency"/>
    <tableColumn id="42" uniqueName="42" name="GOALI_flag" queryTableFieldId="90" dataDxfId="231" dataCellStyle="Currency"/>
    <tableColumn id="26" uniqueName="26" name="0" queryTableFieldId="87" dataDxfId="230" dataCellStyle="Currency">
      <calculatedColumnFormula>IF(V3&lt;"M",T2+1,T2)</calculatedColumnFormula>
    </tableColumn>
    <tableColumn id="1" uniqueName="1" name="lead_prop_id" queryTableFieldId="1" dataDxfId="229"/>
    <tableColumn id="7" uniqueName="7" name="ILN" queryTableFieldId="68" dataDxfId="228" dataCellStyle="Currency"/>
    <tableColumn id="2" uniqueName="2" name="prop_id" queryTableFieldId="2" dataDxfId="227"/>
    <tableColumn id="40" uniqueName="40" name="Ejacket" queryTableFieldId="40" dataCellStyle="Hyperlink">
      <calculatedColumnFormula>HYPERLINK(CONCATENATE("https://www.ejacket.nsf.gov/ej/showProposal.do?Continue=Y&amp;ID=",SUBSTITUTE(CompByPropTable[[#This Row],[prop_id]],CHAR(160),"")),"eJ")</calculatedColumnFormula>
    </tableColumn>
    <tableColumn id="13" uniqueName="13" name="pi_last_name" queryTableFieldId="13"/>
    <tableColumn id="14" uniqueName="14" name="pi_frst_name" queryTableFieldId="14"/>
    <tableColumn id="15" uniqueName="15" name="inst_name" queryTableFieldId="15"/>
    <tableColumn id="17" uniqueName="17" name="prop_titl_txt" queryTableFieldId="17" dataDxfId="226"/>
    <tableColumn id="20" uniqueName="20" name="cert_dbar_sus_flag" queryTableFieldId="20" dataDxfId="225"/>
    <tableColumn id="21" uniqueName="21" name="OTH_AGCY_SUBM_FLAG" queryTableFieldId="21"/>
    <tableColumn id="22" uniqueName="22" name="auth_rep_elec_sign" queryTableFieldId="22"/>
    <tableColumn id="23" uniqueName="23" name="AUTH_REP_CERT_DATE" queryTableFieldId="23" dataDxfId="224"/>
    <tableColumn id="25" uniqueName="25" name="ProjSumm" queryTableFieldId="72" dataDxfId="223" dataCellStyle="Currency"/>
    <tableColumn id="28" uniqueName="28" name="proj_summ_pg" queryTableFieldId="77" dataDxfId="222" dataCellStyle="Currency"/>
    <tableColumn id="24" uniqueName="24" name="ProjDesc" queryTableFieldId="71" dataDxfId="221" dataCellStyle="Currency"/>
    <tableColumn id="30" uniqueName="30" name="budg_just_pg" queryTableFieldId="108" dataDxfId="220" dataCellStyle="Currency"/>
    <tableColumn id="27" uniqueName="27" name="RefCited" queryTableFieldId="27"/>
    <tableColumn id="37" uniqueName="37" name="tot_Pdoc_dol" queryTableFieldId="37" dataDxfId="219" dataCellStyle="Currency"/>
    <tableColumn id="29" uniqueName="29" name="MentPlan" queryTableFieldId="29"/>
    <tableColumn id="31" uniqueName="31" name="DMP" queryTableFieldId="31"/>
    <tableColumn id="33" uniqueName="33" name="FacilitiesEquip" queryTableFieldId="33"/>
    <tableColumn id="51" uniqueName="51" name="oth_supp_cnt" queryTableFieldId="100" dataDxfId="218" dataCellStyle="Currency"/>
    <tableColumn id="54" uniqueName="54" name="eJ2" queryTableFieldId="107" dataDxfId="217" dataCellStyle="Hyperlink">
      <calculatedColumnFormula>IF(CompByPropTable[[#This Row],[oth_supp_cnt]]&gt;0,HYPERLINK(CONCATENATE("https://www.ejacket.nsf.gov/ej/showProposal.do?Continue=Y&amp;ID=",SUBSTITUTE(CompByPropTable[[#This Row],[prop_id]],CHAR(160),"")),"eJ"),"")</calculatedColumnFormula>
    </tableColumn>
    <tableColumn id="53" uniqueName="53" name="OthSuppDoc" queryTableFieldId="106" dataDxfId="216" dataCellStyle="Hyperlink">
      <calculatedColumnFormula>IF(CompByPropTable[[#This Row],[oth_supp_cnt]]&gt;0, HYPERLINK(CONCATENATE("https://www.ejacket.nsf.gov/ej/showSupplementaryDocPdf.do?uniqId=?Continue=Y&amp;ID=",SUBSTITUTE(CompByPropTable[[#This Row],[prop_id]],CHAR(160),"")),"OthSuppDoc"),"")</calculatedColumnFormula>
    </tableColumn>
    <tableColumn id="34" uniqueName="34" name="tot_PIs" queryTableFieldId="34"/>
    <tableColumn id="62" uniqueName="62" name="tot_Part_Stipend" queryTableFieldId="115" dataDxfId="215" dataCellStyle="Currency"/>
    <tableColumn id="35" uniqueName="35" name="tot_rqst_dol" queryTableFieldId="35" dataDxfId="214" dataCellStyle="Currency"/>
    <tableColumn id="38" uniqueName="38" name="cumulative_tot_dol" queryTableFieldId="38" dataDxfId="213" dataCellStyle="Currency"/>
    <tableColumn id="39" uniqueName="39" name="Diff_tot_dol" queryTableFieldId="39" dataDxfId="212" dataCellStyle="Currency"/>
    <tableColumn id="32" uniqueName="32" name="humn_date" queryTableFieldId="88" dataDxfId="211" dataCellStyle="Currency"/>
    <tableColumn id="36" uniqueName="36" name="vrtb_date" queryTableFieldId="89" dataDxfId="210" dataCellStyle="Currency"/>
    <tableColumn id="47" uniqueName="47" name="dir_div_abbr" queryTableFieldId="96" dataDxfId="209" dataCellStyle="Currency"/>
    <tableColumn id="49" uniqueName="49" name="orig_dir_div_abbr" queryTableFieldId="98" dataDxfId="208" dataCellStyle="Currency"/>
    <tableColumn id="48" uniqueName="48" name="pgm_ele_name" queryTableFieldId="97" dataDxfId="207" dataCellStyle="Currency"/>
    <tableColumn id="50" uniqueName="50" name="orig_pgm_ele_name" queryTableFieldId="99" dataDxfId="206" dataCellStyle="Currency"/>
    <tableColumn id="56" uniqueName="56" name="prop_stts_code" queryTableFieldId="113" dataDxfId="205" dataCellStyle="Currency"/>
    <tableColumn id="57" uniqueName="57" name="perf_org_txt" queryTableFieldId="116" dataDxfId="204" dataCellStyle="Currency"/>
    <tableColumn id="59" uniqueName="59" name="pi_degr_yr" queryTableFieldId="117" dataDxfId="203"/>
    <tableColumn id="55" uniqueName="55" name="Program" queryTableFieldId="111" dataDxfId="202" dataCellStyle="Currency">
      <calculatedColumnFormula>CONCATENATE(CompByPropTable[[#This Row],[pgm_ele_name]],"(",CompByPropTable[[#This Row],[pgm_ele_code]],")")</calculatedColumnFormula>
    </tableColumn>
  </tableColumns>
  <tableStyleInfo name="TableStyleMedium2" showFirstColumn="0" showLastColumn="0" showRowStripes="0" showColumnStripes="0"/>
</table>
</file>

<file path=xl/tables/table3.xml><?xml version="1.0" encoding="utf-8"?>
<table xmlns="http://schemas.openxmlformats.org/spreadsheetml/2006/main" id="2" name="CompByProjTable" displayName="CompByProjTable" ref="A3:EC12" tableType="queryTable" totalsRowCount="1">
  <autoFilter ref="A3:EC11"/>
  <tableColumns count="133">
    <tableColumn id="136" uniqueName="136" name="run_date" queryTableFieldId="220" dataDxfId="50" totalsRowDxfId="69"/>
    <tableColumn id="8" uniqueName="8" name="GG_track_num" queryTableFieldId="8" dataDxfId="49" totalsRowDxfId="70"/>
    <tableColumn id="9" uniqueName="9" name="GG_rcvd_date" queryTableFieldId="9" dataDxfId="48" totalsRowDxfId="71"/>
    <tableColumn id="10" uniqueName="10" name="NSF_rcvd_date" queryTableFieldId="10" dataDxfId="47" totalsRowDxfId="72"/>
    <tableColumn id="129" uniqueName="129" name="spcl_excp_flag" queryTableFieldId="204" dataDxfId="46" totalsRowDxfId="73"/>
    <tableColumn id="4" uniqueName="4" name="pgm_annc_id" queryTableFieldId="4" dataDxfId="45" totalsRowDxfId="74"/>
    <tableColumn id="5" uniqueName="5" name="org_code" queryTableFieldId="5" totalsRowDxfId="75"/>
    <tableColumn id="6" uniqueName="6" name="pgm_ele_code" queryTableFieldId="6" totalsRowDxfId="76"/>
    <tableColumn id="3" uniqueName="3" name="pm_ibm_logn_id" queryTableFieldId="3" totalsRowDxfId="77"/>
    <tableColumn id="18" uniqueName="18" name="natr_rqst_txt" queryTableFieldId="18" totalsRowDxfId="78"/>
    <tableColumn id="19" uniqueName="19" name="prop_stts_txt" queryTableFieldId="19" dataDxfId="44" totalsRowDxfId="79"/>
    <tableColumn id="12" uniqueName="12" name="prop_stts" queryTableFieldId="214" dataDxfId="43" totalsRowDxfId="80"/>
    <tableColumn id="25" uniqueName="25" name="GOALI_flag" queryTableFieldId="211" dataDxfId="42" totalsRowDxfId="81"/>
    <tableColumn id="1" uniqueName="1" name="lead_prop_id" queryTableFieldId="1" dataDxfId="41" totalsRowDxfId="82"/>
    <tableColumn id="2" uniqueName="2" name="prop_id" totalsRowFunction="count" queryTableFieldId="2" dataDxfId="40" totalsRowDxfId="83"/>
    <tableColumn id="96" uniqueName="96" name="Ejacket" queryTableFieldId="98" totalsRowDxfId="84" dataCellStyle="Hyperlink">
      <calculatedColumnFormula>HYPERLINK(CONCATENATE("https://www.ejacket.nsf.gov/ej/showProposal.do?Continue=Y&amp;ID=",SUBSTITUTE(CompByProjTable[[#This Row],[prop_id]],CHAR(160),"")),"eJ")</calculatedColumnFormula>
    </tableColumn>
    <tableColumn id="13" uniqueName="13" name="pi_last_name" queryTableFieldId="13" totalsRowDxfId="85"/>
    <tableColumn id="14" uniqueName="14" name="pi_frst_name" queryTableFieldId="14" totalsRowDxfId="86"/>
    <tableColumn id="11" uniqueName="11" name="pi_emai_addr" queryTableFieldId="99" totalsRowDxfId="87"/>
    <tableColumn id="15" uniqueName="15" name="inst_name" queryTableFieldId="15" totalsRowDxfId="88"/>
    <tableColumn id="16" uniqueName="16" name="st_code" queryTableFieldId="16" totalsRowDxfId="89"/>
    <tableColumn id="17" uniqueName="17" name="prop_titl_txt" queryTableFieldId="17" dataDxfId="39" totalsRowDxfId="90"/>
    <tableColumn id="20" uniqueName="20" name="cert_dbar_sus_flag" queryTableFieldId="20" dataDxfId="38" totalsRowDxfId="91"/>
    <tableColumn id="21" uniqueName="21" name="OTH_AGCY_SUBM_FLAG" queryTableFieldId="21" totalsRowDxfId="92"/>
    <tableColumn id="22" uniqueName="22" name="auth_rep_elec_sign" queryTableFieldId="22" totalsRowDxfId="93"/>
    <tableColumn id="23" uniqueName="23" name="AUTH_REP_CERT_DATE" queryTableFieldId="23" dataDxfId="37" totalsRowDxfId="94"/>
    <tableColumn id="24" uniqueName="24" name="ProjSumm" queryTableFieldId="189" totalsRowDxfId="95"/>
    <tableColumn id="27" uniqueName="27" name="proj_summ_pg" queryTableFieldId="27" dataDxfId="36" totalsRowDxfId="96"/>
    <tableColumn id="29" uniqueName="29" name="Ejacket2" queryTableFieldId="197" dataDxfId="35" totalsRowDxfId="97" dataCellStyle="Hyperlink">
      <calculatedColumnFormula>IF(CompByProjTable[[#This Row],[ProjSumm]]="TBC",HYPERLINK(CONCATENATE("https://www.ejacket.nsf.gov/ej/showProposal.do?Continue=Y&amp;ID=",SUBSTITUTE(CompByProjTable[[#This Row],[prop_id]],CHAR(160),"")),"eJ"),"")</calculatedColumnFormula>
    </tableColumn>
    <tableColumn id="130" uniqueName="130" name="-&gt;PS" queryTableFieldId="207" dataDxfId="34" totalsRowDxfId="98" dataCellStyle="Hyperlink">
      <calculatedColumnFormula>IF(CompByProjTable[[#This Row],[ProjSumm]]="TBC",HYPERLINK(("https://www.ejacket.nsf.gov/ej/showProjectSummaryPdf.do"),"-&gt;PS"),"")</calculatedColumnFormula>
    </tableColumn>
    <tableColumn id="7" uniqueName="7" name="ProjDesc" queryTableFieldId="188" dataDxfId="33" totalsRowDxfId="99"/>
    <tableColumn id="137" uniqueName="137" name="budg_just_pg" queryTableFieldId="224" dataDxfId="32" totalsRowDxfId="100"/>
    <tableColumn id="28" uniqueName="28" name="RefCited" queryTableFieldId="28" dataDxfId="31" totalsRowDxfId="101"/>
    <tableColumn id="39" uniqueName="39" name="tot_Pdoc_dol" totalsRowFunction="custom" queryTableFieldId="39" dataDxfId="30" totalsRowDxfId="102">
      <totalsRowFormula>COUNTA(AH4:AH11)</totalsRowFormula>
    </tableColumn>
    <tableColumn id="30" uniqueName="30" name="MentPlan" totalsRowFunction="custom" queryTableFieldId="30" dataDxfId="29" totalsRowDxfId="103">
      <totalsRowFormula>COUNTA(AI4:AI11)</totalsRowFormula>
    </tableColumn>
    <tableColumn id="32" uniqueName="32" name="DMP" queryTableFieldId="32" dataDxfId="28" totalsRowDxfId="104"/>
    <tableColumn id="34" uniqueName="34" name="FacilitiesEquip" queryTableFieldId="34" dataDxfId="27" totalsRowDxfId="105"/>
    <tableColumn id="36" uniqueName="36" name="dif_titl_collab" queryTableFieldId="36" dataDxfId="26" totalsRowDxfId="106"/>
    <tableColumn id="38" uniqueName="38" name="tot_Part_Stipend" queryTableFieldId="38" dataDxfId="25" totalsRowDxfId="107"/>
    <tableColumn id="37" uniqueName="37" name="tot_rqst_dol" queryTableFieldId="37" dataDxfId="24" totalsRowDxfId="108"/>
    <tableColumn id="40" uniqueName="40" name="cumulative_tot_dol" queryTableFieldId="40" dataDxfId="23" totalsRowDxfId="109"/>
    <tableColumn id="41" uniqueName="41" name="Diff_tot_dol" queryTableFieldId="41" dataDxfId="22" totalsRowDxfId="110"/>
    <tableColumn id="35" uniqueName="35" name="oth_supp_cnt" queryTableFieldId="215" dataDxfId="21" totalsRowDxfId="111"/>
    <tableColumn id="134" uniqueName="134" name="eJacket3" queryTableFieldId="218" dataDxfId="20" totalsRowDxfId="112" dataCellStyle="Hyperlink">
      <calculatedColumnFormula>IF(CompByProjTable[[#This Row],[oth_supp_cnt]]&gt;0,HYPERLINK(CONCATENATE("https://www.ejacket.nsf.gov/ej/showProposal.do?Continue=Y&amp;ID=",SUBSTITUTE(CompByProjTable[[#This Row],[prop_id]],CHAR(160),"")),"eJ&gt;"),"")</calculatedColumnFormula>
    </tableColumn>
    <tableColumn id="127" uniqueName="127" name="OthSuppDoc" queryTableFieldId="217" dataDxfId="19" totalsRowDxfId="113" dataCellStyle="Hyperlink">
      <calculatedColumnFormula>IF(CompByProjTable[[#This Row],[oth_supp_cnt]]&gt;0, HYPERLINK(CONCATENATE("https://www.ejacket.nsf.gov/ej/showSupplementaryDocPdf.do?uniqId=?Continue=Y&amp;ID=",SUBSTITUTE(CompByProjTable[[#This Row],[prop_id]],CHAR(160),"")),"OthSuppDoc"),"")</calculatedColumnFormula>
    </tableColumn>
    <tableColumn id="43" uniqueName="43" name="NumPIs" queryTableFieldId="43" totalsRowDxfId="114"/>
    <tableColumn id="44" uniqueName="44" name="NumBios" queryTableFieldId="44" totalsRowDxfId="115"/>
    <tableColumn id="42" uniqueName="42" name="NumCoas" queryTableFieldId="273" totalsRowDxfId="116"/>
    <tableColumn id="45" uniqueName="45" name="NumRPS" queryTableFieldId="45" dataDxfId="18" totalsRowDxfId="117"/>
    <tableColumn id="26" uniqueName="26" name="Ejacket4" queryTableFieldId="196" totalsRowDxfId="118" dataCellStyle="Hyperlink">
      <calculatedColumnFormula>HYPERLINK(CONCATENATE("https://www.ejacket.nsf.gov/ej/showProposal.do?Continue=Y&amp;ID=",SUBSTITUTE(CompByProjTable[[#This Row],[prop_id]],CHAR(160),"")),"eJ")</calculatedColumnFormula>
    </tableColumn>
    <tableColumn id="131" uniqueName="131" name="-&gt;PD" queryTableFieldId="208" totalsRowDxfId="119" dataCellStyle="Hyperlink">
      <calculatedColumnFormula>HYPERLINK(("https://www.ejacket.nsf.gov/ej/showProjectDescPdf.do"),"-&gt;PD")</calculatedColumnFormula>
    </tableColumn>
    <tableColumn id="132" uniqueName="132" name="BIPW-Snippet" queryTableFieldId="209" totalsRowDxfId="120" dataCellStyle="Hyperlink">
      <calculatedColumnFormula>HYPERLINK(CONCATENATE("http://dis-checker-p01/solr/collection1/browse?q=Proposal_ID:(",SUBSTITUTE(CompByProjTable[[#This Row],[prop_id]],CHAR(160),""),")%20AND%20(%22Broad*%20Impact*%22~2)","&amp;description=on&amp;fq=Section_Title%3A%28%22Project+Description%22%29&amp;rows=50&amp;%20hl.snippets=20&amp;hl.fragsize=3000&amp;defType=complexphrase"), "solr-BIPW")</calculatedColumnFormula>
    </tableColumn>
    <tableColumn id="128" uniqueName="128" name="RPS-Snippet" queryTableFieldId="202" totalsRowDxfId="121" dataCellStyle="Hyperlink">
      <calculatedColumnFormula>HYPERLINK(CONCATENATE("http://dis-checker-p01/solr/collection1/browse?q=Proposal_ID:(",SUBSTITUTE(CompByProjTable[[#This Row],[prop_id]],CHAR(160),""),")%20AND%20(%20prior%20OR%20NSF%20OR%20support%20)","&amp;description=on&amp;fq=Section_Title%3A%28%22Project+Description%22%29&amp;rows=50&amp;%20hl.snippets=20&amp;hl.fragsize=3000&amp;defType=complexphrase"), "solr-RPS")</calculatedColumnFormula>
    </tableColumn>
    <tableColumn id="46" uniqueName="46" name="pi0_last_name" queryTableFieldId="46" dataDxfId="17" totalsRowDxfId="122"/>
    <tableColumn id="50" uniqueName="50" name="pi0_inst" queryTableFieldId="227" totalsRowDxfId="123"/>
    <tableColumn id="33" uniqueName="33" name="pi0_email" queryTableFieldId="226" totalsRowDxfId="124"/>
    <tableColumn id="47" uniqueName="47" name="pi0_bio_pg" queryTableFieldId="47" totalsRowDxfId="125"/>
    <tableColumn id="97" uniqueName="97" name="pi0_coa_pg" queryTableFieldId="114" totalsRowDxfId="126"/>
    <tableColumn id="98" uniqueName="98" name="pi0_cp_chk" queryTableFieldId="115" totalsRowDxfId="127"/>
    <tableColumn id="48" uniqueName="48" name="pi0_num_awd" queryTableFieldId="48" totalsRowDxfId="128"/>
    <tableColumn id="49" uniqueName="49" name="pi0_last_awd" queryTableFieldId="49" dataDxfId="16" totalsRowDxfId="129"/>
    <tableColumn id="51" uniqueName="51" name="pi1_last_name" queryTableFieldId="51" dataDxfId="15" totalsRowDxfId="130"/>
    <tableColumn id="60" uniqueName="60" name="pi1_inst" queryTableFieldId="229" totalsRowDxfId="131"/>
    <tableColumn id="55" uniqueName="55" name="pi1_email" queryTableFieldId="228" totalsRowDxfId="132"/>
    <tableColumn id="52" uniqueName="52" name="pi1_bio_pg" queryTableFieldId="52" totalsRowDxfId="133"/>
    <tableColumn id="100" uniqueName="100" name="pi1_coa_pg" queryTableFieldId="117" totalsRowDxfId="134"/>
    <tableColumn id="101" uniqueName="101" name="pi1_cp_chk" queryTableFieldId="118" totalsRowDxfId="135"/>
    <tableColumn id="53" uniqueName="53" name="pi1_num_awd" queryTableFieldId="53" totalsRowDxfId="136"/>
    <tableColumn id="54" uniqueName="54" name="pi1_last_awd" queryTableFieldId="54" dataDxfId="14" totalsRowDxfId="137"/>
    <tableColumn id="56" uniqueName="56" name="pi2_last_name" queryTableFieldId="56" dataDxfId="13" totalsRowDxfId="138"/>
    <tableColumn id="70" uniqueName="70" name="pi2_inst" queryTableFieldId="231" totalsRowDxfId="139"/>
    <tableColumn id="65" uniqueName="65" name="pi2_email" queryTableFieldId="230" totalsRowDxfId="140"/>
    <tableColumn id="57" uniqueName="57" name="pi2_bio_pg" queryTableFieldId="57" totalsRowDxfId="141"/>
    <tableColumn id="103" uniqueName="103" name="pi2_coa_pg" queryTableFieldId="120" totalsRowDxfId="142"/>
    <tableColumn id="104" uniqueName="104" name="pi2_cp_chk" queryTableFieldId="121" totalsRowDxfId="143"/>
    <tableColumn id="58" uniqueName="58" name="pi2_num_awd" queryTableFieldId="58" totalsRowDxfId="144"/>
    <tableColumn id="59" uniqueName="59" name="pi2_last_awd" queryTableFieldId="59" dataDxfId="12" totalsRowDxfId="145"/>
    <tableColumn id="61" uniqueName="61" name="pi3_last_name" queryTableFieldId="61" dataDxfId="11" totalsRowDxfId="146"/>
    <tableColumn id="80" uniqueName="80" name="pi3_inst" queryTableFieldId="233" totalsRowDxfId="147"/>
    <tableColumn id="75" uniqueName="75" name="pi3_email" queryTableFieldId="232" totalsRowDxfId="148"/>
    <tableColumn id="62" uniqueName="62" name="pi3_bio_pg" queryTableFieldId="62" totalsRowDxfId="149"/>
    <tableColumn id="106" uniqueName="106" name="pi3_coa_pg" queryTableFieldId="123" totalsRowDxfId="150"/>
    <tableColumn id="107" uniqueName="107" name="pi3_cp_chk" queryTableFieldId="124" totalsRowDxfId="151"/>
    <tableColumn id="63" uniqueName="63" name="pi3_num_awd" queryTableFieldId="63" totalsRowDxfId="152"/>
    <tableColumn id="64" uniqueName="64" name="pi3_last_awd" queryTableFieldId="64" dataDxfId="10" totalsRowDxfId="153"/>
    <tableColumn id="66" uniqueName="66" name="pi4_last_name" queryTableFieldId="66" dataDxfId="9" totalsRowDxfId="154"/>
    <tableColumn id="90" uniqueName="90" name="pi4_inst" queryTableFieldId="235" totalsRowDxfId="155"/>
    <tableColumn id="85" uniqueName="85" name="pi4_email" queryTableFieldId="234" totalsRowDxfId="156"/>
    <tableColumn id="67" uniqueName="67" name="pi4_bio_pg" queryTableFieldId="67" totalsRowDxfId="157"/>
    <tableColumn id="109" uniqueName="109" name="pi4_coa_pg" queryTableFieldId="126" dataDxfId="8" totalsRowDxfId="158"/>
    <tableColumn id="110" uniqueName="110" name="pi4_cp_chk" queryTableFieldId="127" totalsRowDxfId="159"/>
    <tableColumn id="68" uniqueName="68" name="pi4_num_awd" queryTableFieldId="68" totalsRowDxfId="160"/>
    <tableColumn id="69" uniqueName="69" name="pi4_last_awd" queryTableFieldId="69" dataDxfId="7" totalsRowDxfId="161"/>
    <tableColumn id="71" uniqueName="71" name="pi5_last_name" queryTableFieldId="71" dataDxfId="6" totalsRowDxfId="162"/>
    <tableColumn id="99" uniqueName="99" name="pi5_inst" queryTableFieldId="237" totalsRowDxfId="163"/>
    <tableColumn id="95" uniqueName="95" name="pi5_email" queryTableFieldId="236" totalsRowDxfId="164"/>
    <tableColumn id="72" uniqueName="72" name="pi5_bio_pg" queryTableFieldId="72" totalsRowDxfId="165"/>
    <tableColumn id="112" uniqueName="112" name="pi5_coa_pg" queryTableFieldId="129" totalsRowDxfId="166"/>
    <tableColumn id="113" uniqueName="113" name="pi5_cp_chk" queryTableFieldId="130" totalsRowDxfId="167"/>
    <tableColumn id="73" uniqueName="73" name="pi5_num_awd" queryTableFieldId="73" totalsRowDxfId="168"/>
    <tableColumn id="74" uniqueName="74" name="pi5_last_awd" queryTableFieldId="74" dataDxfId="5" totalsRowDxfId="169"/>
    <tableColumn id="76" uniqueName="76" name="pi6_last_name" queryTableFieldId="76" dataDxfId="4" totalsRowDxfId="170"/>
    <tableColumn id="105" uniqueName="105" name="pi6_inst" queryTableFieldId="239" totalsRowDxfId="171"/>
    <tableColumn id="102" uniqueName="102" name="pi6_email" queryTableFieldId="238" totalsRowDxfId="172"/>
    <tableColumn id="77" uniqueName="77" name="pi6_bio_pg" queryTableFieldId="77" totalsRowDxfId="173"/>
    <tableColumn id="115" uniqueName="115" name="pi6_coa_pg" queryTableFieldId="132" totalsRowDxfId="174"/>
    <tableColumn id="116" uniqueName="116" name="pi6_cp_chk" queryTableFieldId="133" totalsRowDxfId="175"/>
    <tableColumn id="78" uniqueName="78" name="pi6_num_awd" queryTableFieldId="78" totalsRowDxfId="176"/>
    <tableColumn id="79" uniqueName="79" name="pi6_last_awd" queryTableFieldId="79" dataDxfId="3" totalsRowDxfId="177"/>
    <tableColumn id="81" uniqueName="81" name="pi7_last_name" queryTableFieldId="81" totalsRowDxfId="178"/>
    <tableColumn id="111" uniqueName="111" name="pi7_inst" queryTableFieldId="241" totalsRowDxfId="179"/>
    <tableColumn id="108" uniqueName="108" name="pi7_email" queryTableFieldId="240" totalsRowDxfId="180"/>
    <tableColumn id="82" uniqueName="82" name="pi7_bio_pg" queryTableFieldId="82" totalsRowDxfId="181"/>
    <tableColumn id="118" uniqueName="118" name="pi7_coa_pg" queryTableFieldId="135" totalsRowDxfId="182"/>
    <tableColumn id="119" uniqueName="119" name="pi7_cp_chk" queryTableFieldId="136" totalsRowDxfId="183"/>
    <tableColumn id="83" uniqueName="83" name="pi7_num_awd" queryTableFieldId="83" totalsRowDxfId="184"/>
    <tableColumn id="84" uniqueName="84" name="pi7_last_awd" queryTableFieldId="84" totalsRowDxfId="185"/>
    <tableColumn id="86" uniqueName="86" name="pi8_last_name" queryTableFieldId="86" dataDxfId="2" totalsRowDxfId="186"/>
    <tableColumn id="117" uniqueName="117" name="pi8_inst" queryTableFieldId="243" totalsRowDxfId="187"/>
    <tableColumn id="114" uniqueName="114" name="pi8_email" queryTableFieldId="242" totalsRowDxfId="188"/>
    <tableColumn id="87" uniqueName="87" name="pi8_bio_pg" queryTableFieldId="87" totalsRowDxfId="189"/>
    <tableColumn id="121" uniqueName="121" name="pi8_coa_pg" queryTableFieldId="138" totalsRowDxfId="190"/>
    <tableColumn id="122" uniqueName="122" name="pi8_cp_chk" queryTableFieldId="139" totalsRowDxfId="191"/>
    <tableColumn id="88" uniqueName="88" name="pi8_num_awd" queryTableFieldId="88" totalsRowDxfId="192"/>
    <tableColumn id="89" uniqueName="89" name="pi8_last_awd" queryTableFieldId="89" totalsRowDxfId="193"/>
    <tableColumn id="91" uniqueName="91" name="pi9_last_name" queryTableFieldId="91" dataDxfId="1" totalsRowDxfId="194"/>
    <tableColumn id="123" uniqueName="123" name="pi9_inst" queryTableFieldId="245" totalsRowDxfId="195"/>
    <tableColumn id="120" uniqueName="120" name="pi9_email" queryTableFieldId="244" totalsRowDxfId="196"/>
    <tableColumn id="92" uniqueName="92" name="pi9_bio_pg" queryTableFieldId="92" totalsRowDxfId="197"/>
    <tableColumn id="124" uniqueName="124" name="pi9_coa_pg" queryTableFieldId="141" totalsRowDxfId="198"/>
    <tableColumn id="125" uniqueName="125" name="pi9_cp_chk" queryTableFieldId="142" totalsRowDxfId="199"/>
    <tableColumn id="93" uniqueName="93" name="pi9_num_awd" queryTableFieldId="93" totalsRowDxfId="200"/>
    <tableColumn id="94" uniqueName="94" name="pi9_last_awd" queryTableFieldId="94" dataDxfId="0" totalsRowDxfId="201"/>
  </tableColumns>
  <tableStyleInfo name="TableStyleMedium2" showFirstColumn="0" showLastColumn="0" showRowStripes="1" showColumnStripes="0"/>
</table>
</file>

<file path=xl/tables/table4.xml><?xml version="1.0" encoding="utf-8"?>
<table xmlns="http://schemas.openxmlformats.org/spreadsheetml/2006/main" id="4" name="Table_Query_from_RPTSERVER" displayName="Table_Query_from_RPTSERVER" ref="B36:C37" tableType="queryTable" insertRow="1" totalsRowShown="0" headerRowDxfId="249" dataDxfId="248">
  <tableColumns count="2">
    <tableColumn id="3" uniqueName="3" name="db_name" queryTableFieldId="3" dataDxfId="247"/>
    <tableColumn id="4" uniqueName="4" name="tbl_name" queryTableFieldId="4" dataDxfId="246"/>
  </tableColumns>
  <tableStyleInfo name="TableStyleMedium2" showFirstColumn="0" showLastColumn="0" showRowStripes="1" showColumnStripes="0"/>
</table>
</file>

<file path=xl/theme/theme1.xml><?xml version="1.0" encoding="utf-8"?>
<a:theme xmlns:a="http://schemas.openxmlformats.org/drawingml/2006/main" name="Metropolitan">
  <a:themeElements>
    <a:clrScheme name="Metropolitan">
      <a:dk1>
        <a:sysClr val="windowText" lastClr="000000"/>
      </a:dk1>
      <a:lt1>
        <a:sysClr val="window" lastClr="FFFFFF"/>
      </a:lt1>
      <a:dk2>
        <a:srgbClr val="162F33"/>
      </a:dk2>
      <a:lt2>
        <a:srgbClr val="EAF0E0"/>
      </a:lt2>
      <a:accent1>
        <a:srgbClr val="50B4C8"/>
      </a:accent1>
      <a:accent2>
        <a:srgbClr val="A8B97F"/>
      </a:accent2>
      <a:accent3>
        <a:srgbClr val="9B9256"/>
      </a:accent3>
      <a:accent4>
        <a:srgbClr val="657689"/>
      </a:accent4>
      <a:accent5>
        <a:srgbClr val="7A855D"/>
      </a:accent5>
      <a:accent6>
        <a:srgbClr val="84AC9D"/>
      </a:accent6>
      <a:hlink>
        <a:srgbClr val="2370CD"/>
      </a:hlink>
      <a:folHlink>
        <a:srgbClr val="877589"/>
      </a:folHlink>
    </a:clrScheme>
    <a:fontScheme name="Metropolitan">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Metropolitan">
      <a:fillStyleLst>
        <a:solidFill>
          <a:schemeClr val="phClr"/>
        </a:solidFill>
        <a:gradFill rotWithShape="1">
          <a:gsLst>
            <a:gs pos="0">
              <a:schemeClr val="phClr">
                <a:tint val="70000"/>
                <a:satMod val="100000"/>
                <a:lumMod val="110000"/>
              </a:schemeClr>
            </a:gs>
            <a:gs pos="50000">
              <a:schemeClr val="phClr">
                <a:tint val="75000"/>
                <a:satMod val="101000"/>
                <a:lumMod val="105000"/>
              </a:schemeClr>
            </a:gs>
            <a:gs pos="100000">
              <a:schemeClr val="phClr">
                <a:tint val="82000"/>
                <a:satMod val="104000"/>
                <a:lumMod val="105000"/>
              </a:schemeClr>
            </a:gs>
          </a:gsLst>
          <a:lin ang="2700000" scaled="0"/>
        </a:gradFill>
        <a:gradFill rotWithShape="1">
          <a:gsLst>
            <a:gs pos="0">
              <a:schemeClr val="phClr">
                <a:tint val="97000"/>
                <a:satMod val="100000"/>
                <a:lumMod val="102000"/>
              </a:schemeClr>
            </a:gs>
            <a:gs pos="50000">
              <a:schemeClr val="phClr">
                <a:shade val="100000"/>
                <a:satMod val="100000"/>
                <a:lumMod val="100000"/>
              </a:schemeClr>
            </a:gs>
            <a:gs pos="100000">
              <a:schemeClr val="phClr">
                <a:shade val="80000"/>
                <a:satMod val="100000"/>
                <a:lumMod val="99000"/>
              </a:schemeClr>
            </a:gs>
          </a:gsLst>
          <a:lin ang="27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solidFill>
          <a:schemeClr val="phClr">
            <a:shade val="95000"/>
            <a:satMod val="170000"/>
          </a:schemeClr>
        </a:solidFill>
      </a:bgFillStyleLst>
    </a:fmtScheme>
  </a:themeElements>
  <a:objectDefaults/>
  <a:extraClrSchemeLst/>
  <a:extLst>
    <a:ext uri="{05A4C25C-085E-4340-85A3-A5531E510DB2}">
      <thm15:themeFamily xmlns:thm15="http://schemas.microsoft.com/office/thememl/2012/main" name="Metropolitan" id="{4C5440D6-04D2-4954-96CF-F251137069B2}" vid="{79CFCA13-9412-4290-BB4B-85112F88857B}"/>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3.xml"/><Relationship Id="rId7"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table" Target="../tables/table4.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4.emf"/><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portServerPwd"/>
  <dimension ref="B2:H9"/>
  <sheetViews>
    <sheetView showGridLines="0" tabSelected="1" workbookViewId="0">
      <selection activeCell="E31" sqref="E31"/>
    </sheetView>
  </sheetViews>
  <sheetFormatPr defaultRowHeight="15" x14ac:dyDescent="0.25"/>
  <cols>
    <col min="1" max="1" width="7.75" style="210" customWidth="1"/>
    <col min="2" max="16384" width="9" style="210"/>
  </cols>
  <sheetData>
    <row r="2" spans="2:8" x14ac:dyDescent="0.25">
      <c r="B2" s="372"/>
      <c r="C2" s="372"/>
      <c r="D2" s="372"/>
      <c r="E2" s="372"/>
      <c r="F2" s="372"/>
    </row>
    <row r="3" spans="2:8" ht="15.75" x14ac:dyDescent="0.25">
      <c r="B3" s="373" t="s">
        <v>604</v>
      </c>
      <c r="C3" s="374"/>
      <c r="D3" s="374"/>
      <c r="E3" s="374"/>
      <c r="F3" s="374"/>
    </row>
    <row r="4" spans="2:8" x14ac:dyDescent="0.25">
      <c r="B4" s="375"/>
      <c r="C4" s="375"/>
      <c r="D4" s="375"/>
      <c r="E4" s="375"/>
      <c r="F4" s="375"/>
      <c r="H4" s="376"/>
    </row>
    <row r="5" spans="2:8" x14ac:dyDescent="0.25">
      <c r="B5" s="377" t="s">
        <v>444</v>
      </c>
      <c r="C5" s="377"/>
      <c r="D5" s="378"/>
      <c r="E5" s="378"/>
      <c r="F5" s="375"/>
    </row>
    <row r="6" spans="2:8" x14ac:dyDescent="0.25">
      <c r="B6" s="372"/>
      <c r="C6" s="372"/>
      <c r="D6" s="372"/>
      <c r="E6" s="372"/>
      <c r="F6" s="375"/>
    </row>
    <row r="7" spans="2:8" x14ac:dyDescent="0.25">
      <c r="B7" s="377" t="s">
        <v>402</v>
      </c>
      <c r="C7" s="377"/>
      <c r="D7" s="379"/>
      <c r="E7" s="379"/>
      <c r="F7" s="375"/>
    </row>
    <row r="8" spans="2:8" x14ac:dyDescent="0.25">
      <c r="B8" s="375"/>
      <c r="C8" s="375"/>
      <c r="D8" s="375"/>
      <c r="E8" s="375"/>
      <c r="F8" s="375"/>
    </row>
    <row r="9" spans="2:8" x14ac:dyDescent="0.25">
      <c r="B9" s="375"/>
      <c r="C9" s="375"/>
      <c r="D9" s="375"/>
      <c r="E9" s="375"/>
      <c r="F9" s="375"/>
    </row>
  </sheetData>
  <sheetProtection selectLockedCells="1"/>
  <mergeCells count="8">
    <mergeCell ref="B7:C7"/>
    <mergeCell ref="D7:E7"/>
    <mergeCell ref="B2:F2"/>
    <mergeCell ref="B3:F3"/>
    <mergeCell ref="B5:C5"/>
    <mergeCell ref="D5:E5"/>
    <mergeCell ref="B6:C6"/>
    <mergeCell ref="D6:E6"/>
  </mergeCells>
  <pageMargins left="0.7" right="0.7" top="0.75" bottom="0.75" header="0.3" footer="0.3"/>
  <pageSetup orientation="portrait" r:id="rId1"/>
  <drawing r:id="rId2"/>
  <legacyDrawing r:id="rId3"/>
  <controls>
    <mc:AlternateContent xmlns:mc="http://schemas.openxmlformats.org/markup-compatibility/2006">
      <mc:Choice Requires="x14">
        <control shapeId="19458" r:id="rId4" name="txtPwd">
          <controlPr defaultSize="0" autoLine="0" r:id="rId5">
            <anchor moveWithCells="1">
              <from>
                <xdr:col>3</xdr:col>
                <xdr:colOff>85725</xdr:colOff>
                <xdr:row>5</xdr:row>
                <xdr:rowOff>142875</xdr:rowOff>
              </from>
              <to>
                <xdr:col>5</xdr:col>
                <xdr:colOff>76200</xdr:colOff>
                <xdr:row>7</xdr:row>
                <xdr:rowOff>19050</xdr:rowOff>
              </to>
            </anchor>
          </controlPr>
        </control>
      </mc:Choice>
      <mc:Fallback>
        <control shapeId="19458" r:id="rId4" name="txtPwd"/>
      </mc:Fallback>
    </mc:AlternateContent>
    <mc:AlternateContent xmlns:mc="http://schemas.openxmlformats.org/markup-compatibility/2006">
      <mc:Choice Requires="x14">
        <control shapeId="19457" r:id="rId6" name="txtUserID">
          <controlPr defaultSize="0" autoLine="0" r:id="rId7">
            <anchor moveWithCells="1">
              <from>
                <xdr:col>3</xdr:col>
                <xdr:colOff>85725</xdr:colOff>
                <xdr:row>4</xdr:row>
                <xdr:rowOff>28575</xdr:rowOff>
              </from>
              <to>
                <xdr:col>5</xdr:col>
                <xdr:colOff>47625</xdr:colOff>
                <xdr:row>5</xdr:row>
                <xdr:rowOff>85725</xdr:rowOff>
              </to>
            </anchor>
          </controlPr>
        </control>
      </mc:Choice>
      <mc:Fallback>
        <control shapeId="19457" r:id="rId6" name="txtUserI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A1:T47"/>
  <sheetViews>
    <sheetView showGridLines="0" zoomScaleNormal="100" workbookViewId="0">
      <selection activeCell="N5" sqref="N5:Q5"/>
    </sheetView>
  </sheetViews>
  <sheetFormatPr defaultRowHeight="15" x14ac:dyDescent="0.25"/>
  <cols>
    <col min="1" max="1" width="2.375" customWidth="1"/>
    <col min="3" max="3" width="13.875" customWidth="1"/>
    <col min="4" max="4" width="14.375" customWidth="1"/>
    <col min="5" max="5" width="15.875" customWidth="1"/>
    <col min="6" max="6" width="14.875" customWidth="1"/>
    <col min="7" max="7" width="13.625" customWidth="1"/>
    <col min="8" max="8" width="2.625" customWidth="1"/>
    <col min="9" max="9" width="10.875" customWidth="1"/>
    <col min="10" max="10" width="10.125" customWidth="1"/>
    <col min="11" max="11" width="10.625" customWidth="1"/>
    <col min="12" max="12" width="1.625" customWidth="1"/>
    <col min="13" max="13" width="5.375" customWidth="1"/>
    <col min="14" max="14" width="16.5" customWidth="1"/>
    <col min="15" max="15" width="12.875" customWidth="1"/>
    <col min="16" max="16" width="15.875" customWidth="1"/>
    <col min="17" max="17" width="21.875" customWidth="1"/>
    <col min="18" max="18" width="5.5" customWidth="1"/>
    <col min="19" max="19" width="16.125" customWidth="1"/>
    <col min="20" max="20" width="12.875" customWidth="1"/>
  </cols>
  <sheetData>
    <row r="1" spans="1:20" ht="21.75" thickBot="1" x14ac:dyDescent="0.3">
      <c r="A1" s="13"/>
      <c r="B1" s="13"/>
      <c r="C1" s="13"/>
      <c r="D1" s="13"/>
      <c r="E1" s="13"/>
      <c r="F1" s="13"/>
      <c r="G1" s="13"/>
      <c r="H1" s="13"/>
      <c r="I1" s="13"/>
      <c r="J1" s="13"/>
      <c r="K1" s="13"/>
      <c r="L1" s="13"/>
      <c r="M1" s="13"/>
      <c r="N1" s="27"/>
      <c r="O1" s="27"/>
      <c r="P1" s="27"/>
      <c r="Q1" s="27"/>
      <c r="R1" s="27"/>
      <c r="S1" s="27"/>
      <c r="T1" s="32"/>
    </row>
    <row r="2" spans="1:20" ht="30.75" customHeight="1" thickBot="1" x14ac:dyDescent="0.3">
      <c r="A2" s="13"/>
      <c r="B2" s="17"/>
      <c r="C2" s="18"/>
      <c r="D2" s="18"/>
      <c r="E2" s="18"/>
      <c r="F2" s="18"/>
      <c r="G2" s="18"/>
      <c r="H2" s="18"/>
      <c r="I2" s="18"/>
      <c r="J2" s="18"/>
      <c r="K2" s="18"/>
      <c r="L2" s="19"/>
      <c r="M2" s="32"/>
      <c r="N2" s="265" t="s">
        <v>345</v>
      </c>
      <c r="O2" s="265"/>
      <c r="P2" s="265"/>
      <c r="Q2" s="265"/>
      <c r="R2" s="33"/>
      <c r="S2" s="33"/>
      <c r="T2" s="13"/>
    </row>
    <row r="3" spans="1:20" s="252" customFormat="1" ht="30.75" customHeight="1" thickBot="1" x14ac:dyDescent="0.3">
      <c r="A3" s="50"/>
      <c r="B3" s="98"/>
      <c r="C3" s="269" t="s">
        <v>377</v>
      </c>
      <c r="D3" s="270"/>
      <c r="E3" s="270"/>
      <c r="F3" s="270"/>
      <c r="G3" s="271"/>
      <c r="H3" s="14"/>
      <c r="I3" s="14"/>
      <c r="J3" s="14"/>
      <c r="K3" s="14"/>
      <c r="L3" s="21"/>
      <c r="M3" s="50"/>
      <c r="N3" s="278" t="s">
        <v>476</v>
      </c>
      <c r="O3" s="278"/>
      <c r="P3" s="278"/>
      <c r="Q3" s="278"/>
      <c r="R3" s="258"/>
      <c r="S3" s="253"/>
      <c r="T3" s="253"/>
    </row>
    <row r="4" spans="1:20" ht="19.5" customHeight="1" x14ac:dyDescent="0.25">
      <c r="A4" s="13"/>
      <c r="B4" s="20"/>
      <c r="C4" s="254" t="s">
        <v>92</v>
      </c>
      <c r="D4" s="255" t="s">
        <v>93</v>
      </c>
      <c r="E4" s="256" t="s">
        <v>1</v>
      </c>
      <c r="F4" s="255" t="s">
        <v>90</v>
      </c>
      <c r="G4" s="257" t="s">
        <v>91</v>
      </c>
      <c r="H4" s="15"/>
      <c r="I4" s="15"/>
      <c r="J4" s="14"/>
      <c r="K4" s="14"/>
      <c r="L4" s="21"/>
      <c r="M4" s="25"/>
      <c r="N4" s="278" t="s">
        <v>477</v>
      </c>
      <c r="O4" s="278"/>
      <c r="P4" s="278"/>
      <c r="Q4" s="278"/>
      <c r="R4" s="25"/>
      <c r="S4" s="13"/>
      <c r="T4" s="13"/>
    </row>
    <row r="5" spans="1:20" ht="20.25" customHeight="1" thickBot="1" x14ac:dyDescent="0.3">
      <c r="A5" s="13"/>
      <c r="B5" s="20"/>
      <c r="C5" s="8" t="s">
        <v>454</v>
      </c>
      <c r="D5" s="9" t="s">
        <v>455</v>
      </c>
      <c r="E5" s="9" t="s">
        <v>409</v>
      </c>
      <c r="F5" s="10">
        <v>42887</v>
      </c>
      <c r="G5" s="12">
        <v>42936</v>
      </c>
      <c r="H5" s="15"/>
      <c r="I5" s="15"/>
      <c r="J5" s="16"/>
      <c r="K5" s="16"/>
      <c r="L5" s="21"/>
      <c r="M5" s="25"/>
      <c r="N5" s="278" t="s">
        <v>346</v>
      </c>
      <c r="O5" s="278"/>
      <c r="P5" s="278"/>
      <c r="Q5" s="278"/>
      <c r="R5" s="13"/>
      <c r="S5" s="13"/>
      <c r="T5" s="13"/>
    </row>
    <row r="6" spans="1:20" ht="15.75" customHeight="1" x14ac:dyDescent="0.25">
      <c r="A6" s="13"/>
      <c r="B6" s="20"/>
      <c r="C6" s="273" t="s">
        <v>95</v>
      </c>
      <c r="D6" s="273"/>
      <c r="E6" s="273"/>
      <c r="F6" s="273"/>
      <c r="G6" s="273"/>
      <c r="H6" s="273"/>
      <c r="I6" s="273"/>
      <c r="J6" s="273"/>
      <c r="K6" s="273"/>
      <c r="L6" s="274"/>
      <c r="M6" s="13"/>
      <c r="N6" s="101"/>
      <c r="O6" s="101"/>
      <c r="P6" s="101"/>
      <c r="Q6" s="101"/>
      <c r="R6" s="13"/>
      <c r="S6" s="27"/>
      <c r="T6" s="13"/>
    </row>
    <row r="7" spans="1:20" ht="21" customHeight="1" thickBot="1" x14ac:dyDescent="0.3">
      <c r="A7" s="13"/>
      <c r="B7" s="22"/>
      <c r="C7" s="275"/>
      <c r="D7" s="275"/>
      <c r="E7" s="275"/>
      <c r="F7" s="275"/>
      <c r="G7" s="275"/>
      <c r="H7" s="275"/>
      <c r="I7" s="275"/>
      <c r="J7" s="275"/>
      <c r="K7" s="275"/>
      <c r="L7" s="276"/>
      <c r="M7" s="13"/>
      <c r="N7" s="279" t="s">
        <v>456</v>
      </c>
      <c r="O7" s="279"/>
      <c r="P7" s="279"/>
      <c r="Q7" s="279"/>
      <c r="R7" s="13"/>
      <c r="S7" s="27"/>
      <c r="T7" s="13"/>
    </row>
    <row r="8" spans="1:20" ht="23.25" customHeight="1" thickBot="1" x14ac:dyDescent="0.3">
      <c r="A8" s="13"/>
      <c r="B8" s="13"/>
      <c r="C8" s="272">
        <f>'Compliance-ByProj'!O12</f>
        <v>8</v>
      </c>
      <c r="D8" s="272"/>
      <c r="E8" s="272"/>
      <c r="F8" s="272"/>
      <c r="G8" s="272"/>
      <c r="H8" s="272"/>
      <c r="I8" s="272"/>
      <c r="J8" s="272"/>
      <c r="K8" s="272"/>
      <c r="L8" s="272"/>
      <c r="M8" s="13"/>
      <c r="N8" s="13"/>
      <c r="O8" s="13"/>
      <c r="P8" s="13"/>
      <c r="Q8" s="13"/>
      <c r="R8" s="13"/>
      <c r="S8" s="13"/>
      <c r="T8" s="13"/>
    </row>
    <row r="9" spans="1:20" ht="41.25" customHeight="1" x14ac:dyDescent="0.25">
      <c r="A9" s="13"/>
      <c r="B9" s="75"/>
      <c r="C9" s="277" t="s">
        <v>214</v>
      </c>
      <c r="D9" s="277"/>
      <c r="E9" s="277"/>
      <c r="F9" s="277"/>
      <c r="G9" s="277"/>
      <c r="H9" s="216"/>
      <c r="I9" s="217" t="s">
        <v>347</v>
      </c>
      <c r="J9" s="217" t="s">
        <v>355</v>
      </c>
      <c r="K9" s="217" t="s">
        <v>348</v>
      </c>
      <c r="L9" s="218"/>
      <c r="M9" s="13"/>
      <c r="N9" s="74" t="s">
        <v>87</v>
      </c>
      <c r="O9" s="74" t="s">
        <v>88</v>
      </c>
      <c r="P9" s="74" t="s">
        <v>212</v>
      </c>
      <c r="Q9" s="13"/>
      <c r="R9" s="13"/>
      <c r="S9" s="13"/>
      <c r="T9" s="13"/>
    </row>
    <row r="10" spans="1:20" s="7" customFormat="1" ht="29.25" customHeight="1" thickBot="1" x14ac:dyDescent="0.3">
      <c r="A10" s="25"/>
      <c r="B10" s="98"/>
      <c r="C10" s="104" t="s">
        <v>362</v>
      </c>
      <c r="D10" s="103"/>
      <c r="E10" s="103"/>
      <c r="F10" s="103"/>
      <c r="G10" s="103"/>
      <c r="H10" s="23"/>
      <c r="I10" s="105">
        <f>COUNTA(Input[prop_id])</f>
        <v>8</v>
      </c>
      <c r="J10" s="105">
        <f>IFERROR(SUMPRODUCT(1/COUNTIF(Input[prop_id],Input[prop_id])),"")</f>
        <v>8</v>
      </c>
      <c r="K10" s="102">
        <f>COUNTIF(Input[found
(row '#)],"&gt;0")</f>
        <v>8</v>
      </c>
      <c r="L10" s="99"/>
      <c r="M10" s="13"/>
      <c r="N10" s="28">
        <f>rps_end_date-5*365</f>
        <v>41062</v>
      </c>
      <c r="O10" s="29">
        <f>from_date</f>
        <v>42887</v>
      </c>
      <c r="P10" s="72">
        <f>to_date+TIME(17,,)</f>
        <v>42936.708333333336</v>
      </c>
      <c r="Q10" s="25"/>
      <c r="R10" s="13"/>
      <c r="S10" s="13"/>
      <c r="T10" s="25"/>
    </row>
    <row r="11" spans="1:20" s="7" customFormat="1" ht="27.75" customHeight="1" thickBot="1" x14ac:dyDescent="0.3">
      <c r="A11" s="25"/>
      <c r="B11" s="128"/>
      <c r="C11" s="266" t="s">
        <v>378</v>
      </c>
      <c r="D11" s="267"/>
      <c r="E11" s="267"/>
      <c r="F11" s="267"/>
      <c r="G11" s="268"/>
      <c r="H11" s="23"/>
      <c r="I11" s="23"/>
      <c r="J11" s="23"/>
      <c r="K11" s="24"/>
      <c r="L11" s="219"/>
      <c r="M11" s="13"/>
      <c r="N11" s="13"/>
      <c r="O11" s="13"/>
      <c r="P11" s="73" t="s">
        <v>213</v>
      </c>
      <c r="R11" s="13"/>
      <c r="S11" s="13"/>
      <c r="T11" s="25"/>
    </row>
    <row r="12" spans="1:20" x14ac:dyDescent="0.25">
      <c r="A12" s="13"/>
      <c r="B12" s="128"/>
      <c r="C12" s="214" t="s">
        <v>380</v>
      </c>
      <c r="D12" s="11" t="s">
        <v>94</v>
      </c>
      <c r="E12" s="11" t="s">
        <v>74</v>
      </c>
      <c r="F12" s="11" t="s">
        <v>210</v>
      </c>
      <c r="G12" s="215" t="s">
        <v>211</v>
      </c>
      <c r="H12" s="23"/>
      <c r="I12" s="23"/>
      <c r="J12" s="23"/>
      <c r="K12" s="23"/>
      <c r="L12" s="219"/>
      <c r="M12" s="13"/>
      <c r="N12" s="13"/>
      <c r="O12" s="13"/>
      <c r="P12" s="13"/>
      <c r="Q12" s="13"/>
      <c r="R12" s="13"/>
      <c r="S12" s="13"/>
      <c r="T12" s="13"/>
    </row>
    <row r="13" spans="1:20" x14ac:dyDescent="0.25">
      <c r="B13" s="98"/>
      <c r="C13" s="129">
        <f>IFERROR(MATCH(TEXT(Input[[#This Row],[prop_id]],"0000000"),CompByPropTable[prop_id],0)+2,"--")</f>
        <v>6</v>
      </c>
      <c r="D13" s="115" t="str">
        <f>IF(Input[[#This Row],[prop_id]]="", "",HYPERLINK(CONCATENATE("https://www.ejacket.nsf.gov/ej/showProposal.do?Continue=Y&amp;ID=",SUBSTITUTE(Input[[#This Row],[prop_id]],CHAR(160),"")),"eJ"))</f>
        <v>eJ</v>
      </c>
      <c r="E13" s="220">
        <v>1624020</v>
      </c>
      <c r="F13" s="126"/>
      <c r="G13" s="127"/>
      <c r="H13" s="16"/>
      <c r="I13" s="16"/>
      <c r="J13" s="16"/>
      <c r="K13" s="16"/>
      <c r="L13" s="99"/>
      <c r="M13" s="13"/>
      <c r="N13" s="13"/>
      <c r="O13" s="13"/>
      <c r="P13" s="13"/>
      <c r="Q13" s="13"/>
      <c r="R13" s="13"/>
      <c r="S13" s="13"/>
      <c r="T13" s="13"/>
    </row>
    <row r="14" spans="1:20" x14ac:dyDescent="0.25">
      <c r="B14" s="98"/>
      <c r="C14" s="129">
        <f>IFERROR(MATCH(TEXT(Input[[#This Row],[prop_id]],"0000000"),CompByPropTable[prop_id],0)+2,"--")</f>
        <v>11</v>
      </c>
      <c r="D14" s="115" t="str">
        <f>IF(Input[[#This Row],[prop_id]]="", "",HYPERLINK(CONCATENATE("https://www.ejacket.nsf.gov/ej/showProposal.do?Continue=Y&amp;ID=",SUBSTITUTE(Input[[#This Row],[prop_id]],CHAR(160),"")),"eJ"))</f>
        <v>eJ</v>
      </c>
      <c r="E14" s="221">
        <v>1627342</v>
      </c>
      <c r="F14" s="126" t="s">
        <v>379</v>
      </c>
      <c r="G14" s="127"/>
      <c r="H14" s="16"/>
      <c r="I14" s="16"/>
      <c r="J14" s="16"/>
      <c r="K14" s="16"/>
      <c r="L14" s="99"/>
      <c r="M14" s="13"/>
      <c r="N14" s="13"/>
      <c r="O14" s="13"/>
      <c r="P14" s="13"/>
      <c r="Q14" s="13"/>
      <c r="R14" s="13"/>
      <c r="S14" s="13"/>
      <c r="T14" s="13"/>
    </row>
    <row r="15" spans="1:20" x14ac:dyDescent="0.25">
      <c r="B15" s="98"/>
      <c r="C15" s="129">
        <f>IFERROR(MATCH(TEXT(Input[[#This Row],[prop_id]],"0000000"),CompByPropTable[prop_id],0)+2,"--")</f>
        <v>12</v>
      </c>
      <c r="D15" s="1" t="str">
        <f>IF(Input[[#This Row],[prop_id]]="", "",HYPERLINK(CONCATENATE("https://www.ejacket.nsf.gov/ej/showProposal.do?Continue=Y&amp;ID=",SUBSTITUTE(Input[[#This Row],[prop_id]],CHAR(160),"")),"eJ"))</f>
        <v>eJ</v>
      </c>
      <c r="E15" s="202">
        <v>1627343</v>
      </c>
      <c r="F15" s="126" t="s">
        <v>379</v>
      </c>
      <c r="G15" s="127"/>
      <c r="H15" s="16"/>
      <c r="I15" s="16"/>
      <c r="J15" s="100"/>
      <c r="K15" s="16"/>
      <c r="L15" s="99"/>
      <c r="M15" s="13"/>
      <c r="N15" s="13"/>
      <c r="O15" s="13"/>
      <c r="P15" s="13"/>
      <c r="Q15" s="13"/>
      <c r="R15" s="13"/>
      <c r="S15" s="13"/>
      <c r="T15" s="13"/>
    </row>
    <row r="16" spans="1:20" x14ac:dyDescent="0.25">
      <c r="B16" s="98"/>
      <c r="C16" s="129">
        <f>IFERROR(MATCH(TEXT(Input[[#This Row],[prop_id]],"0000000"),CompByPropTable[prop_id],0)+2,"--")</f>
        <v>10</v>
      </c>
      <c r="D16" s="1" t="str">
        <f>IF(Input[[#This Row],[prop_id]]="", "",HYPERLINK(CONCATENATE("https://www.ejacket.nsf.gov/ej/showProposal.do?Continue=Y&amp;ID=",SUBSTITUTE(Input[[#This Row],[prop_id]],CHAR(160),"")),"eJ"))</f>
        <v>eJ</v>
      </c>
      <c r="E16" s="202">
        <v>1627350</v>
      </c>
      <c r="F16" s="126" t="s">
        <v>375</v>
      </c>
      <c r="G16" s="127"/>
      <c r="H16" s="16"/>
      <c r="I16" s="16"/>
      <c r="J16" s="16"/>
      <c r="K16" s="16"/>
      <c r="L16" s="99"/>
      <c r="M16" s="13"/>
      <c r="N16" s="13"/>
      <c r="O16" s="13"/>
      <c r="P16" s="13"/>
      <c r="Q16" s="13"/>
      <c r="R16" s="13"/>
      <c r="S16" s="13"/>
      <c r="T16" s="13"/>
    </row>
    <row r="17" spans="2:20" x14ac:dyDescent="0.25">
      <c r="B17" s="98"/>
      <c r="C17" s="129">
        <f>IFERROR(MATCH(TEXT(Input[[#This Row],[prop_id]],"0000000"),CompByPropTable[prop_id],0)+2,"--")</f>
        <v>8</v>
      </c>
      <c r="D17" s="1" t="str">
        <f>IF(Input[[#This Row],[prop_id]]="", "",HYPERLINK(CONCATENATE("https://www.ejacket.nsf.gov/ej/showProposal.do?Continue=Y&amp;ID=",SUBSTITUTE(Input[[#This Row],[prop_id]],CHAR(160),"")),"eJ"))</f>
        <v>eJ</v>
      </c>
      <c r="E17" s="202">
        <v>1624004</v>
      </c>
      <c r="F17" s="126"/>
      <c r="G17" s="127"/>
      <c r="H17" s="16"/>
      <c r="I17" s="16"/>
      <c r="J17" s="16"/>
      <c r="K17" s="16"/>
      <c r="L17" s="99"/>
      <c r="M17" s="13"/>
      <c r="N17" s="13"/>
      <c r="O17" s="13"/>
      <c r="P17" s="13"/>
      <c r="Q17" s="13"/>
      <c r="R17" s="13"/>
      <c r="S17" s="13"/>
      <c r="T17" s="13"/>
    </row>
    <row r="18" spans="2:20" x14ac:dyDescent="0.25">
      <c r="B18" s="98"/>
      <c r="C18" s="129">
        <f>IFERROR(MATCH(TEXT(Input[[#This Row],[prop_id]],"0000000"),CompByPropTable[prop_id],0)+2,"--")</f>
        <v>7</v>
      </c>
      <c r="D18" s="1" t="str">
        <f>IF(Input[[#This Row],[prop_id]]="", "",HYPERLINK(CONCATENATE("https://www.ejacket.nsf.gov/ej/showProposal.do?Continue=Y&amp;ID=",SUBSTITUTE(Input[[#This Row],[prop_id]],CHAR(160),"")),"eJ"))</f>
        <v>eJ</v>
      </c>
      <c r="E18" s="202">
        <v>1624023</v>
      </c>
      <c r="F18" s="126"/>
      <c r="G18" s="127"/>
      <c r="H18" s="16"/>
      <c r="I18" s="16"/>
      <c r="J18" s="16"/>
      <c r="K18" s="16"/>
      <c r="L18" s="99"/>
      <c r="M18" s="13"/>
      <c r="N18" s="13"/>
      <c r="O18" s="13"/>
      <c r="P18" s="13"/>
      <c r="Q18" s="13"/>
      <c r="R18" s="13"/>
      <c r="S18" s="13"/>
      <c r="T18" s="13"/>
    </row>
    <row r="19" spans="2:20" x14ac:dyDescent="0.25">
      <c r="B19" s="98"/>
      <c r="C19" s="129">
        <f>IFERROR(MATCH(TEXT(Input[[#This Row],[prop_id]],"0000000"),CompByPropTable[prop_id],0)+2,"--")</f>
        <v>3</v>
      </c>
      <c r="D19" s="1" t="str">
        <f>IF(Input[[#This Row],[prop_id]]="", "",HYPERLINK(CONCATENATE("https://www.ejacket.nsf.gov/ej/showProposal.do?Continue=Y&amp;ID=",SUBSTITUTE(Input[[#This Row],[prop_id]],CHAR(160),"")),"eJ"))</f>
        <v>eJ</v>
      </c>
      <c r="E19" s="202">
        <v>1733610</v>
      </c>
      <c r="F19" s="126"/>
      <c r="G19" s="127"/>
      <c r="H19" s="16"/>
      <c r="I19" s="16"/>
      <c r="J19" s="16"/>
      <c r="K19" s="16"/>
      <c r="L19" s="99"/>
      <c r="M19" s="13"/>
      <c r="N19" s="13"/>
      <c r="O19" s="13"/>
      <c r="P19" s="13"/>
      <c r="Q19" s="13"/>
      <c r="R19" s="13"/>
      <c r="S19" s="13"/>
      <c r="T19" s="13"/>
    </row>
    <row r="20" spans="2:20" x14ac:dyDescent="0.25">
      <c r="B20" s="98"/>
      <c r="C20" s="129">
        <f>IFERROR(MATCH(TEXT(Input[[#This Row],[prop_id]],"0000000"),CompByPropTable[prop_id],0)+2,"--")</f>
        <v>9</v>
      </c>
      <c r="D20" s="1" t="str">
        <f>IF(Input[[#This Row],[prop_id]]="", "",HYPERLINK(CONCATENATE("https://www.ejacket.nsf.gov/ej/showProposal.do?Continue=Y&amp;ID=",SUBSTITUTE(Input[[#This Row],[prop_id]],CHAR(160),"")),"eJ"))</f>
        <v>eJ</v>
      </c>
      <c r="E20" s="203">
        <v>1630480</v>
      </c>
      <c r="F20" s="126"/>
      <c r="G20" s="127"/>
      <c r="H20" s="16"/>
      <c r="I20" s="16"/>
      <c r="J20" s="16"/>
      <c r="K20" s="16"/>
      <c r="L20" s="99"/>
      <c r="M20" s="13"/>
      <c r="N20" s="13"/>
      <c r="O20" s="13"/>
      <c r="P20" s="13"/>
      <c r="Q20" s="13"/>
      <c r="R20" s="13"/>
      <c r="S20" s="13"/>
      <c r="T20" s="13"/>
    </row>
    <row r="21" spans="2:20" x14ac:dyDescent="0.25">
      <c r="B21" s="98"/>
      <c r="F21" s="210"/>
      <c r="G21" s="210"/>
      <c r="H21" s="16"/>
      <c r="I21" s="16"/>
      <c r="J21" s="16"/>
      <c r="K21" s="16"/>
      <c r="L21" s="99"/>
      <c r="M21" s="13"/>
      <c r="N21" s="13"/>
      <c r="O21" s="13"/>
      <c r="P21" s="13"/>
      <c r="Q21" s="13"/>
      <c r="R21" s="13"/>
      <c r="S21" s="13"/>
      <c r="T21" s="13"/>
    </row>
    <row r="22" spans="2:20" x14ac:dyDescent="0.25">
      <c r="B22" s="98"/>
      <c r="F22" s="210"/>
      <c r="G22" s="210"/>
      <c r="H22" s="16"/>
      <c r="I22" s="16"/>
      <c r="J22" s="16"/>
      <c r="K22" s="16"/>
      <c r="L22" s="99"/>
      <c r="M22" s="13"/>
      <c r="N22" s="13"/>
      <c r="O22" s="13"/>
      <c r="P22" s="13"/>
      <c r="Q22" s="13"/>
      <c r="R22" s="13"/>
      <c r="S22" s="13"/>
      <c r="T22" s="13"/>
    </row>
    <row r="23" spans="2:20" x14ac:dyDescent="0.25">
      <c r="B23" s="98"/>
      <c r="F23" s="210"/>
      <c r="G23" s="210"/>
      <c r="H23" s="16"/>
      <c r="I23" s="16"/>
      <c r="J23" s="16"/>
      <c r="K23" s="16"/>
      <c r="L23" s="99"/>
      <c r="M23" s="13"/>
      <c r="N23" s="13"/>
      <c r="O23" s="13"/>
      <c r="P23" s="13"/>
      <c r="Q23" s="13"/>
      <c r="R23" s="13"/>
      <c r="S23" s="13"/>
      <c r="T23" s="13"/>
    </row>
    <row r="24" spans="2:20" x14ac:dyDescent="0.25">
      <c r="B24" s="98"/>
      <c r="F24" s="210"/>
      <c r="G24" s="210"/>
      <c r="H24" s="16"/>
      <c r="I24" s="16"/>
      <c r="J24" s="16"/>
      <c r="K24" s="16"/>
      <c r="L24" s="99"/>
      <c r="M24" s="13"/>
      <c r="N24" s="13"/>
      <c r="O24" s="13"/>
      <c r="P24" s="13"/>
      <c r="Q24" s="13"/>
      <c r="R24" s="13"/>
      <c r="S24" s="13"/>
      <c r="T24" s="13"/>
    </row>
    <row r="25" spans="2:20" x14ac:dyDescent="0.25">
      <c r="B25" s="98"/>
      <c r="F25" s="210"/>
      <c r="G25" s="210"/>
      <c r="H25" s="16"/>
      <c r="I25" s="16"/>
      <c r="J25" s="16"/>
      <c r="K25" s="16"/>
      <c r="L25" s="99"/>
      <c r="M25" s="13"/>
      <c r="N25" s="13"/>
      <c r="O25" s="13"/>
      <c r="P25" s="13"/>
      <c r="Q25" s="13"/>
      <c r="R25" s="13"/>
      <c r="S25" s="13"/>
      <c r="T25" s="13"/>
    </row>
    <row r="26" spans="2:20" x14ac:dyDescent="0.25">
      <c r="B26" s="98"/>
      <c r="F26" s="210"/>
      <c r="G26" s="210"/>
      <c r="H26" s="16"/>
      <c r="I26" s="16"/>
      <c r="J26" s="16"/>
      <c r="K26" s="16"/>
      <c r="L26" s="99"/>
      <c r="M26" s="13"/>
      <c r="N26" s="13"/>
      <c r="O26" s="13"/>
      <c r="P26" s="13"/>
      <c r="Q26" s="13"/>
      <c r="R26" s="13"/>
      <c r="S26" s="13"/>
      <c r="T26" s="13"/>
    </row>
    <row r="27" spans="2:20" x14ac:dyDescent="0.25">
      <c r="B27" s="98"/>
      <c r="F27" s="210"/>
      <c r="G27" s="210"/>
      <c r="H27" s="16"/>
      <c r="I27" s="16"/>
      <c r="J27" s="16"/>
      <c r="K27" s="16"/>
      <c r="L27" s="99"/>
      <c r="M27" s="13"/>
      <c r="N27" s="13"/>
      <c r="O27" s="13"/>
      <c r="P27" s="13"/>
      <c r="Q27" s="13"/>
      <c r="R27" s="13"/>
      <c r="S27" s="13"/>
      <c r="T27" s="13"/>
    </row>
    <row r="28" spans="2:20" x14ac:dyDescent="0.25">
      <c r="B28" s="98"/>
      <c r="F28" s="210"/>
      <c r="G28" s="210"/>
      <c r="H28" s="16"/>
      <c r="I28" s="16"/>
      <c r="J28" s="16"/>
      <c r="K28" s="16"/>
      <c r="L28" s="99"/>
      <c r="M28" s="13"/>
      <c r="N28" s="13"/>
      <c r="O28" s="13"/>
      <c r="P28" s="13"/>
      <c r="Q28" s="13"/>
      <c r="R28" s="13"/>
      <c r="S28" s="13"/>
      <c r="T28" s="13"/>
    </row>
    <row r="29" spans="2:20" x14ac:dyDescent="0.25">
      <c r="B29" s="98"/>
      <c r="F29" s="210"/>
      <c r="G29" s="210"/>
      <c r="H29" s="16"/>
      <c r="I29" s="16"/>
      <c r="J29" s="16"/>
      <c r="K29" s="16"/>
      <c r="L29" s="99"/>
      <c r="M29" s="13"/>
      <c r="N29" s="13"/>
      <c r="O29" s="13"/>
      <c r="P29" s="13"/>
      <c r="Q29" s="13"/>
      <c r="R29" s="13"/>
      <c r="S29" s="13"/>
      <c r="T29" s="13"/>
    </row>
    <row r="30" spans="2:20" x14ac:dyDescent="0.25">
      <c r="B30" s="98"/>
      <c r="F30" s="210"/>
      <c r="G30" s="210"/>
      <c r="H30" s="16"/>
      <c r="I30" s="16"/>
      <c r="J30" s="16"/>
      <c r="K30" s="16"/>
      <c r="L30" s="99"/>
      <c r="M30" s="13"/>
      <c r="N30" s="13"/>
      <c r="O30" s="13"/>
      <c r="P30" s="13"/>
      <c r="Q30" s="13"/>
      <c r="R30" s="13"/>
      <c r="S30" s="13"/>
      <c r="T30" s="13"/>
    </row>
    <row r="31" spans="2:20" x14ac:dyDescent="0.25">
      <c r="B31" s="98"/>
      <c r="F31" s="210"/>
      <c r="G31" s="210"/>
      <c r="H31" s="16"/>
      <c r="I31" s="16"/>
      <c r="J31" s="16"/>
      <c r="K31" s="16"/>
      <c r="L31" s="99"/>
      <c r="M31" s="13"/>
      <c r="N31" s="13"/>
      <c r="O31" s="13"/>
      <c r="P31" s="13"/>
      <c r="Q31" s="13"/>
      <c r="R31" s="13"/>
      <c r="S31" s="13"/>
      <c r="T31" s="13"/>
    </row>
    <row r="32" spans="2:20" x14ac:dyDescent="0.25">
      <c r="B32" s="98"/>
      <c r="F32" s="210"/>
      <c r="G32" s="210"/>
      <c r="H32" s="16"/>
      <c r="I32" s="16"/>
      <c r="J32" s="16"/>
      <c r="K32" s="16"/>
      <c r="L32" s="99"/>
      <c r="M32" s="13"/>
      <c r="N32" s="13"/>
      <c r="O32" s="13"/>
      <c r="P32" s="13"/>
      <c r="Q32" s="13"/>
      <c r="R32" s="13"/>
      <c r="S32" s="13"/>
      <c r="T32" s="13"/>
    </row>
    <row r="33" spans="2:20" x14ac:dyDescent="0.25">
      <c r="B33" s="98"/>
      <c r="F33" s="210"/>
      <c r="G33" s="210"/>
      <c r="H33" s="16"/>
      <c r="I33" s="16"/>
      <c r="J33" s="16"/>
      <c r="K33" s="16"/>
      <c r="L33" s="99"/>
      <c r="M33" s="13"/>
      <c r="N33" s="13"/>
      <c r="O33" s="13"/>
      <c r="P33" s="13"/>
      <c r="Q33" s="13"/>
      <c r="R33" s="13"/>
      <c r="S33" s="13"/>
      <c r="T33" s="13"/>
    </row>
    <row r="34" spans="2:20" x14ac:dyDescent="0.25">
      <c r="B34" s="98"/>
      <c r="F34" s="210"/>
      <c r="G34" s="210"/>
      <c r="H34" s="16"/>
      <c r="I34" s="16"/>
      <c r="J34" s="16"/>
      <c r="K34" s="16"/>
      <c r="L34" s="99"/>
      <c r="M34" s="13"/>
      <c r="N34" s="13"/>
      <c r="O34" s="13"/>
      <c r="P34" s="13"/>
      <c r="Q34" s="13"/>
      <c r="R34" s="13"/>
      <c r="S34" s="13"/>
      <c r="T34" s="13"/>
    </row>
    <row r="35" spans="2:20" x14ac:dyDescent="0.25">
      <c r="B35" s="98"/>
      <c r="F35" s="210"/>
      <c r="G35" s="210"/>
      <c r="H35" s="16"/>
      <c r="I35" s="16"/>
      <c r="J35" s="16"/>
      <c r="K35" s="16"/>
      <c r="L35" s="99"/>
      <c r="M35" s="13"/>
      <c r="N35" s="13"/>
      <c r="O35" s="13"/>
      <c r="P35" s="13"/>
      <c r="Q35" s="13"/>
      <c r="R35" s="13"/>
      <c r="S35" s="13"/>
      <c r="T35" s="13"/>
    </row>
    <row r="36" spans="2:20" x14ac:dyDescent="0.25">
      <c r="B36" s="98"/>
      <c r="F36" s="210"/>
      <c r="G36" s="210"/>
      <c r="H36" s="16"/>
      <c r="I36" s="16"/>
      <c r="J36" s="16"/>
      <c r="K36" s="16"/>
      <c r="L36" s="99"/>
      <c r="M36" s="13"/>
      <c r="N36" s="13"/>
      <c r="O36" s="13"/>
      <c r="P36" s="13"/>
      <c r="Q36" s="13"/>
      <c r="R36" s="13"/>
      <c r="S36" s="13"/>
      <c r="T36" s="13"/>
    </row>
    <row r="37" spans="2:20" x14ac:dyDescent="0.25">
      <c r="B37" s="98"/>
      <c r="F37" s="210"/>
      <c r="G37" s="210"/>
      <c r="H37" s="16"/>
      <c r="I37" s="16"/>
      <c r="J37" s="16"/>
      <c r="K37" s="16"/>
      <c r="L37" s="99"/>
      <c r="M37" s="13"/>
      <c r="N37" s="13"/>
      <c r="O37" s="13"/>
      <c r="P37" s="13"/>
      <c r="Q37" s="13"/>
      <c r="R37" s="13"/>
      <c r="S37" s="13"/>
      <c r="T37" s="13"/>
    </row>
    <row r="38" spans="2:20" x14ac:dyDescent="0.25">
      <c r="B38" s="98"/>
      <c r="F38" s="210"/>
      <c r="G38" s="210"/>
      <c r="H38" s="16"/>
      <c r="I38" s="16"/>
      <c r="J38" s="16"/>
      <c r="K38" s="16"/>
      <c r="L38" s="99"/>
      <c r="M38" s="13"/>
      <c r="N38" s="13"/>
      <c r="O38" s="13"/>
      <c r="P38" s="13"/>
      <c r="Q38" s="13"/>
      <c r="R38" s="13"/>
      <c r="S38" s="13"/>
      <c r="T38" s="13"/>
    </row>
    <row r="39" spans="2:20" x14ac:dyDescent="0.25">
      <c r="B39" s="98"/>
      <c r="F39" s="210"/>
      <c r="G39" s="210"/>
      <c r="H39" s="16"/>
      <c r="I39" s="16"/>
      <c r="J39" s="16"/>
      <c r="K39" s="16"/>
      <c r="L39" s="99"/>
      <c r="M39" s="13"/>
      <c r="N39" s="13"/>
      <c r="O39" s="13"/>
      <c r="P39" s="13"/>
      <c r="Q39" s="13"/>
      <c r="R39" s="13"/>
      <c r="S39" s="13"/>
      <c r="T39" s="13"/>
    </row>
    <row r="40" spans="2:20" x14ac:dyDescent="0.25">
      <c r="B40" s="98"/>
      <c r="H40" s="16"/>
      <c r="I40" s="16"/>
      <c r="J40" s="16"/>
      <c r="K40" s="16"/>
      <c r="L40" s="99"/>
      <c r="M40" s="13"/>
      <c r="N40" s="13"/>
      <c r="O40" s="13"/>
      <c r="P40" s="13"/>
      <c r="Q40" s="13"/>
      <c r="R40" s="13"/>
      <c r="S40" s="13"/>
      <c r="T40" s="13"/>
    </row>
    <row r="41" spans="2:20" x14ac:dyDescent="0.25">
      <c r="B41" s="98"/>
      <c r="H41" s="16"/>
      <c r="I41" s="16"/>
      <c r="J41" s="16"/>
      <c r="K41" s="16"/>
      <c r="L41" s="99"/>
      <c r="M41" s="13"/>
      <c r="N41" s="13"/>
      <c r="O41" s="13"/>
      <c r="P41" s="13"/>
      <c r="Q41" s="13"/>
      <c r="R41" s="13"/>
      <c r="S41" s="13"/>
      <c r="T41" s="13"/>
    </row>
    <row r="42" spans="2:20" x14ac:dyDescent="0.25">
      <c r="B42" s="98"/>
      <c r="H42" s="16"/>
      <c r="I42" s="16"/>
      <c r="J42" s="16"/>
      <c r="K42" s="16"/>
      <c r="L42" s="99"/>
      <c r="M42" s="13"/>
      <c r="N42" s="13"/>
      <c r="O42" s="13"/>
      <c r="P42" s="13"/>
      <c r="Q42" s="13"/>
      <c r="R42" s="13"/>
      <c r="S42" s="13"/>
      <c r="T42" s="13"/>
    </row>
    <row r="43" spans="2:20" x14ac:dyDescent="0.25">
      <c r="B43" s="98"/>
      <c r="H43" s="16"/>
      <c r="I43" s="16"/>
      <c r="J43" s="16"/>
      <c r="K43" s="16"/>
      <c r="L43" s="99"/>
      <c r="M43" s="13"/>
      <c r="N43" s="13"/>
      <c r="O43" s="13"/>
      <c r="P43" s="13"/>
      <c r="Q43" s="13"/>
      <c r="R43" s="13"/>
      <c r="S43" s="13"/>
      <c r="T43" s="13"/>
    </row>
    <row r="44" spans="2:20" x14ac:dyDescent="0.25">
      <c r="B44" s="98"/>
      <c r="H44" s="16"/>
      <c r="I44" s="16"/>
      <c r="J44" s="16"/>
      <c r="K44" s="16"/>
      <c r="L44" s="99"/>
      <c r="M44" s="13"/>
      <c r="N44" s="13"/>
      <c r="O44" s="13"/>
      <c r="P44" s="13"/>
      <c r="Q44" s="13"/>
      <c r="R44" s="13"/>
      <c r="S44" s="13"/>
      <c r="T44" s="13"/>
    </row>
    <row r="45" spans="2:20" x14ac:dyDescent="0.25">
      <c r="B45" s="98"/>
      <c r="H45" s="16"/>
      <c r="I45" s="16"/>
      <c r="J45" s="16"/>
      <c r="K45" s="16"/>
      <c r="L45" s="99"/>
      <c r="M45" s="13"/>
      <c r="N45" s="13"/>
      <c r="O45" s="13"/>
      <c r="P45" s="13"/>
      <c r="Q45" s="13"/>
      <c r="R45" s="13"/>
      <c r="S45" s="13"/>
      <c r="T45" s="13"/>
    </row>
    <row r="46" spans="2:20" x14ac:dyDescent="0.25">
      <c r="B46" s="98"/>
      <c r="H46" s="16"/>
      <c r="I46" s="16"/>
      <c r="J46" s="16"/>
      <c r="K46" s="16"/>
      <c r="L46" s="99"/>
      <c r="M46" s="13"/>
      <c r="N46" s="13"/>
      <c r="O46" s="13"/>
      <c r="P46" s="13"/>
      <c r="Q46" s="13"/>
      <c r="R46" s="13"/>
      <c r="S46" s="13"/>
      <c r="T46" s="13"/>
    </row>
    <row r="47" spans="2:20" x14ac:dyDescent="0.25">
      <c r="B47" s="98"/>
      <c r="H47" s="16"/>
      <c r="I47" s="16"/>
      <c r="J47" s="16"/>
      <c r="K47" s="16"/>
      <c r="L47" s="99"/>
      <c r="M47" s="13"/>
      <c r="N47" s="13"/>
      <c r="O47" s="13"/>
      <c r="P47" s="13"/>
      <c r="Q47" s="13"/>
      <c r="R47" s="13"/>
      <c r="S47" s="13"/>
      <c r="T47" s="13"/>
    </row>
  </sheetData>
  <mergeCells count="10">
    <mergeCell ref="N2:Q2"/>
    <mergeCell ref="C11:G11"/>
    <mergeCell ref="C3:G3"/>
    <mergeCell ref="C8:L8"/>
    <mergeCell ref="C6:L7"/>
    <mergeCell ref="C9:G9"/>
    <mergeCell ref="N3:Q3"/>
    <mergeCell ref="N4:Q4"/>
    <mergeCell ref="N5:Q5"/>
    <mergeCell ref="N7:Q7"/>
  </mergeCells>
  <conditionalFormatting sqref="D13:D20">
    <cfRule type="expression" dxfId="68" priority="2">
      <formula>MOD($T13,2)</formula>
    </cfRule>
  </conditionalFormatting>
  <conditionalFormatting sqref="E13:E15 E17:E20">
    <cfRule type="expression" dxfId="67" priority="1">
      <formula>MOD($H13,2)</formula>
    </cfRule>
  </conditionalFormatting>
  <conditionalFormatting sqref="E16">
    <cfRule type="expression" dxfId="66" priority="69">
      <formula>MOD($G18,2)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opsFromCriteria">
                <anchor moveWithCells="1" sizeWithCells="1">
                  <from>
                    <xdr:col>8</xdr:col>
                    <xdr:colOff>152400</xdr:colOff>
                    <xdr:row>2</xdr:row>
                    <xdr:rowOff>123825</xdr:rowOff>
                  </from>
                  <to>
                    <xdr:col>10</xdr:col>
                    <xdr:colOff>76200</xdr:colOff>
                    <xdr:row>4</xdr:row>
                    <xdr:rowOff>161925</xdr:rowOff>
                  </to>
                </anchor>
              </controlPr>
            </control>
          </mc:Choice>
        </mc:AlternateContent>
        <mc:AlternateContent xmlns:mc="http://schemas.openxmlformats.org/markup-compatibility/2006">
          <mc:Choice Requires="x14">
            <control shapeId="1026" r:id="rId5" name="Button 2">
              <controlPr defaultSize="0" print="0" autoFill="0" autoPict="0" macro="[0]!propsFromList">
                <anchor moveWithCells="1" sizeWithCells="1">
                  <from>
                    <xdr:col>8</xdr:col>
                    <xdr:colOff>104775</xdr:colOff>
                    <xdr:row>10</xdr:row>
                    <xdr:rowOff>9525</xdr:rowOff>
                  </from>
                  <to>
                    <xdr:col>10</xdr:col>
                    <xdr:colOff>66675</xdr:colOff>
                    <xdr:row>12</xdr:row>
                    <xdr:rowOff>114300</xdr:rowOff>
                  </to>
                </anchor>
              </controlPr>
            </control>
          </mc:Choice>
        </mc:AlternateContent>
        <mc:AlternateContent xmlns:mc="http://schemas.openxmlformats.org/markup-compatibility/2006">
          <mc:Choice Requires="x14">
            <control shapeId="1029" r:id="rId6" name="Button 5">
              <controlPr defaultSize="0" print="0" autoFill="0" autoPict="0" macro="[0]!propsFromAplusB">
                <anchor moveWithCells="1">
                  <from>
                    <xdr:col>13</xdr:col>
                    <xdr:colOff>38100</xdr:colOff>
                    <xdr:row>10</xdr:row>
                    <xdr:rowOff>304800</xdr:rowOff>
                  </from>
                  <to>
                    <xdr:col>14</xdr:col>
                    <xdr:colOff>257175</xdr:colOff>
                    <xdr:row>14</xdr:row>
                    <xdr:rowOff>9525</xdr:rowOff>
                  </to>
                </anchor>
              </controlPr>
            </control>
          </mc:Choice>
        </mc:AlternateContent>
        <mc:AlternateContent xmlns:mc="http://schemas.openxmlformats.org/markup-compatibility/2006">
          <mc:Choice Requires="x14">
            <control shapeId="1030" r:id="rId7" name="Button 6">
              <controlPr defaultSize="0" print="0" autoFill="0" autoPict="0" macro="[0]!propsFromAminusB">
                <anchor moveWithCells="1">
                  <from>
                    <xdr:col>14</xdr:col>
                    <xdr:colOff>695325</xdr:colOff>
                    <xdr:row>10</xdr:row>
                    <xdr:rowOff>304800</xdr:rowOff>
                  </from>
                  <to>
                    <xdr:col>16</xdr:col>
                    <xdr:colOff>200025</xdr:colOff>
                    <xdr:row>14</xdr:row>
                    <xdr:rowOff>9525</xdr:rowOff>
                  </to>
                </anchor>
              </controlPr>
            </control>
          </mc:Choice>
        </mc:AlternateContent>
        <mc:AlternateContent xmlns:mc="http://schemas.openxmlformats.org/markup-compatibility/2006">
          <mc:Choice Requires="x14">
            <control shapeId="1031" r:id="rId8" name="Button 7">
              <controlPr defaultSize="0" print="0" autoFill="0" autoPict="0" macro="[0]!resetDates">
                <anchor moveWithCells="1" sizeWithCells="1">
                  <from>
                    <xdr:col>16</xdr:col>
                    <xdr:colOff>219075</xdr:colOff>
                    <xdr:row>8</xdr:row>
                    <xdr:rowOff>142875</xdr:rowOff>
                  </from>
                  <to>
                    <xdr:col>16</xdr:col>
                    <xdr:colOff>1390650</xdr:colOff>
                    <xdr:row>9</xdr:row>
                    <xdr:rowOff>190500</xdr:rowOff>
                  </to>
                </anchor>
              </controlPr>
            </control>
          </mc:Choice>
        </mc:AlternateContent>
      </controls>
    </mc:Choice>
  </mc:AlternateContent>
  <tableParts count="1">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BG13"/>
  <sheetViews>
    <sheetView zoomScale="98" zoomScaleNormal="98" workbookViewId="0">
      <selection activeCell="Q30" sqref="Q30"/>
    </sheetView>
  </sheetViews>
  <sheetFormatPr defaultColWidth="30.875" defaultRowHeight="15" x14ac:dyDescent="0.25"/>
  <cols>
    <col min="1" max="1" width="16" style="30" bestFit="1" customWidth="1"/>
    <col min="2" max="2" width="10" customWidth="1"/>
    <col min="3" max="3" width="14.625" customWidth="1"/>
    <col min="4" max="4" width="16" bestFit="1" customWidth="1"/>
    <col min="5" max="5" width="11.25" hidden="1" customWidth="1"/>
    <col min="6" max="6" width="3" style="2" customWidth="1"/>
    <col min="7" max="7" width="3.75" style="5" customWidth="1"/>
    <col min="8" max="8" width="15.125" customWidth="1"/>
    <col min="9" max="9" width="16.125" customWidth="1"/>
    <col min="10" max="10" width="12.875" style="210" customWidth="1"/>
    <col min="11" max="11" width="8.875" style="210" customWidth="1"/>
    <col min="12" max="12" width="8.625" style="210" customWidth="1"/>
    <col min="13" max="13" width="5.5" style="2" customWidth="1"/>
    <col min="14" max="14" width="4.875" style="2" customWidth="1"/>
    <col min="15" max="15" width="11.125" style="2" customWidth="1"/>
    <col min="16" max="16" width="11" style="210" customWidth="1"/>
    <col min="17" max="17" width="16.875" style="246" customWidth="1"/>
    <col min="18" max="18" width="7.375" style="246" customWidth="1"/>
    <col min="19" max="19" width="3.375" style="106" customWidth="1"/>
    <col min="20" max="20" width="3.875" style="2" customWidth="1"/>
    <col min="21" max="21" width="7.875" style="210" customWidth="1"/>
    <col min="22" max="22" width="3.25" style="96" customWidth="1"/>
    <col min="23" max="23" width="8.875" customWidth="1"/>
    <col min="24" max="24" width="3" style="53" customWidth="1"/>
    <col min="25" max="25" width="12" customWidth="1"/>
    <col min="26" max="26" width="10.25" customWidth="1"/>
    <col min="27" max="27" width="18.75" customWidth="1"/>
    <col min="28" max="28" width="49.625" customWidth="1"/>
    <col min="29" max="29" width="3.25" customWidth="1"/>
    <col min="30" max="30" width="3.125" customWidth="1"/>
    <col min="31" max="31" width="9" customWidth="1"/>
    <col min="32" max="32" width="15" customWidth="1"/>
    <col min="33" max="33" width="4.875" customWidth="1"/>
    <col min="34" max="34" width="2.5" customWidth="1"/>
    <col min="35" max="35" width="3.5" style="2" customWidth="1"/>
    <col min="36" max="36" width="3.375" style="51" customWidth="1"/>
    <col min="37" max="37" width="3.375" style="55" customWidth="1"/>
    <col min="38" max="38" width="10.125" style="131" customWidth="1"/>
    <col min="39" max="39" width="5" style="45" customWidth="1"/>
    <col min="40" max="40" width="7.5" style="45" customWidth="1"/>
    <col min="41" max="41" width="7" style="2" customWidth="1"/>
    <col min="42" max="42" width="4" customWidth="1"/>
    <col min="43" max="43" width="2.625" customWidth="1"/>
    <col min="44" max="44" width="3.75" customWidth="1"/>
    <col min="45" max="45" width="5.75" style="2" customWidth="1"/>
    <col min="46" max="46" width="7.125" style="2" customWidth="1"/>
    <col min="47" max="47" width="11.75" style="2" customWidth="1"/>
    <col min="48" max="48" width="10.75" customWidth="1"/>
    <col min="49" max="49" width="9.625" style="2" customWidth="1"/>
    <col min="50" max="50" width="11.125" style="30" customWidth="1"/>
    <col min="51" max="51" width="13.875" style="2" customWidth="1"/>
    <col min="52" max="53" width="8.375" style="2" customWidth="1"/>
    <col min="54" max="55" width="8.375" customWidth="1"/>
    <col min="56" max="56" width="3.875" customWidth="1"/>
    <col min="57" max="57" width="30.125" customWidth="1"/>
    <col min="58" max="58" width="5.875" style="45" customWidth="1"/>
    <col min="59" max="59" width="27.875" customWidth="1"/>
  </cols>
  <sheetData>
    <row r="1" spans="1:59" s="35" customFormat="1" ht="15.75" x14ac:dyDescent="0.25">
      <c r="A1" s="248"/>
      <c r="B1" s="281" t="s">
        <v>136</v>
      </c>
      <c r="C1" s="282"/>
      <c r="D1" s="282"/>
      <c r="E1" s="282"/>
      <c r="F1" s="282"/>
      <c r="G1" s="282"/>
      <c r="H1" s="282"/>
      <c r="I1" s="283"/>
      <c r="J1" s="250" t="s">
        <v>137</v>
      </c>
      <c r="K1" s="251"/>
      <c r="L1" s="251"/>
      <c r="M1" s="251"/>
      <c r="N1" s="251"/>
      <c r="O1" s="251"/>
      <c r="P1" s="251"/>
      <c r="Q1" s="259"/>
      <c r="R1" s="259"/>
      <c r="S1" s="251"/>
      <c r="T1" s="251"/>
      <c r="U1" s="285" t="s">
        <v>138</v>
      </c>
      <c r="V1" s="282"/>
      <c r="W1" s="282"/>
      <c r="X1" s="282"/>
      <c r="Y1" s="282"/>
      <c r="Z1" s="282"/>
      <c r="AA1" s="282"/>
      <c r="AB1" s="283"/>
      <c r="AC1" s="280" t="s">
        <v>139</v>
      </c>
      <c r="AD1" s="280"/>
      <c r="AE1" s="280"/>
      <c r="AF1" s="280"/>
      <c r="AG1" s="280"/>
      <c r="AH1" s="280"/>
      <c r="AI1" s="280"/>
      <c r="AJ1" s="280"/>
      <c r="AK1" s="280"/>
      <c r="AL1" s="280"/>
      <c r="AM1" s="280"/>
      <c r="AN1" s="280"/>
      <c r="AO1" s="280"/>
      <c r="AP1" s="280"/>
      <c r="AQ1" s="280"/>
      <c r="AR1" s="280"/>
      <c r="AS1" s="280"/>
      <c r="AT1" s="280"/>
      <c r="AU1" s="280"/>
      <c r="AV1" s="280"/>
      <c r="AW1" s="280"/>
      <c r="AX1" s="284" t="s">
        <v>338</v>
      </c>
      <c r="AY1" s="284"/>
      <c r="AZ1" s="280"/>
      <c r="BA1" s="280"/>
      <c r="BB1" s="280"/>
      <c r="BC1" s="280"/>
      <c r="BD1" s="280"/>
      <c r="BE1" s="280"/>
      <c r="BF1" s="280"/>
    </row>
    <row r="2" spans="1:59" x14ac:dyDescent="0.25">
      <c r="A2" s="249" t="s">
        <v>371</v>
      </c>
      <c r="B2" s="36" t="s">
        <v>75</v>
      </c>
      <c r="C2" s="38" t="s">
        <v>76</v>
      </c>
      <c r="D2" s="38" t="s">
        <v>84</v>
      </c>
      <c r="E2" s="110" t="s">
        <v>354</v>
      </c>
      <c r="F2" s="39" t="s">
        <v>215</v>
      </c>
      <c r="G2" s="39" t="s">
        <v>128</v>
      </c>
      <c r="H2" s="42" t="s">
        <v>129</v>
      </c>
      <c r="I2" s="40" t="s">
        <v>130</v>
      </c>
      <c r="J2" s="36" t="s">
        <v>59</v>
      </c>
      <c r="K2" s="37" t="s">
        <v>0</v>
      </c>
      <c r="L2" s="39" t="s">
        <v>364</v>
      </c>
      <c r="M2" s="37" t="s">
        <v>60</v>
      </c>
      <c r="N2" s="39" t="s">
        <v>365</v>
      </c>
      <c r="O2" s="37" t="s">
        <v>61</v>
      </c>
      <c r="P2" s="37" t="s">
        <v>67</v>
      </c>
      <c r="Q2" s="245" t="s">
        <v>68</v>
      </c>
      <c r="R2" s="39" t="s">
        <v>356</v>
      </c>
      <c r="S2" s="39" t="s">
        <v>349</v>
      </c>
      <c r="T2" s="95" t="s">
        <v>330</v>
      </c>
      <c r="U2" s="36" t="s">
        <v>73</v>
      </c>
      <c r="V2" s="39" t="s">
        <v>131</v>
      </c>
      <c r="W2" s="52" t="s">
        <v>74</v>
      </c>
      <c r="X2" s="37" t="s">
        <v>133</v>
      </c>
      <c r="Y2" s="37" t="s">
        <v>62</v>
      </c>
      <c r="Z2" s="37" t="s">
        <v>63</v>
      </c>
      <c r="AA2" s="37" t="s">
        <v>64</v>
      </c>
      <c r="AB2" s="43" t="s">
        <v>66</v>
      </c>
      <c r="AC2" s="36" t="s">
        <v>69</v>
      </c>
      <c r="AD2" s="37" t="s">
        <v>77</v>
      </c>
      <c r="AE2" s="37" t="s">
        <v>70</v>
      </c>
      <c r="AF2" s="38" t="s">
        <v>71</v>
      </c>
      <c r="AG2" s="39" t="s">
        <v>135</v>
      </c>
      <c r="AH2" s="39" t="s">
        <v>85</v>
      </c>
      <c r="AI2" s="54" t="s">
        <v>134</v>
      </c>
      <c r="AJ2" s="130" t="s">
        <v>381</v>
      </c>
      <c r="AK2" s="37" t="s">
        <v>78</v>
      </c>
      <c r="AL2" s="39" t="s">
        <v>58</v>
      </c>
      <c r="AM2" s="37" t="s">
        <v>79</v>
      </c>
      <c r="AN2" s="37" t="s">
        <v>80</v>
      </c>
      <c r="AO2" s="37" t="s">
        <v>81</v>
      </c>
      <c r="AP2" s="44" t="s">
        <v>370</v>
      </c>
      <c r="AQ2" s="44" t="s">
        <v>372</v>
      </c>
      <c r="AR2" s="44" t="s">
        <v>373</v>
      </c>
      <c r="AS2" s="37" t="s">
        <v>86</v>
      </c>
      <c r="AT2" s="39" t="s">
        <v>57</v>
      </c>
      <c r="AU2" s="39" t="s">
        <v>56</v>
      </c>
      <c r="AV2" s="39" t="s">
        <v>82</v>
      </c>
      <c r="AW2" s="40" t="s">
        <v>83</v>
      </c>
      <c r="AX2" s="212" t="s">
        <v>332</v>
      </c>
      <c r="AY2" s="39" t="s">
        <v>333</v>
      </c>
      <c r="AZ2" s="39" t="s">
        <v>366</v>
      </c>
      <c r="BA2" s="39" t="s">
        <v>368</v>
      </c>
      <c r="BB2" s="39" t="s">
        <v>367</v>
      </c>
      <c r="BC2" s="39" t="s">
        <v>369</v>
      </c>
      <c r="BD2" s="39" t="s">
        <v>430</v>
      </c>
      <c r="BE2" s="39" t="s">
        <v>431</v>
      </c>
      <c r="BF2" s="44" t="s">
        <v>432</v>
      </c>
      <c r="BG2" s="37" t="s">
        <v>400</v>
      </c>
    </row>
    <row r="3" spans="1:59" s="31" customFormat="1" x14ac:dyDescent="0.25">
      <c r="A3" s="236">
        <v>43033.566516203704</v>
      </c>
      <c r="B3" s="190"/>
      <c r="C3" s="77"/>
      <c r="D3" s="77">
        <v>42760.356944444444</v>
      </c>
      <c r="E3" s="222">
        <f>INT(CompByPropTable[[#This Row],[NSF_rcvd_date]])</f>
        <v>42760</v>
      </c>
      <c r="F3" s="223"/>
      <c r="G3" s="223" t="s">
        <v>464</v>
      </c>
      <c r="H3" s="224"/>
      <c r="I3" s="225"/>
      <c r="J3" s="190" t="s">
        <v>559</v>
      </c>
      <c r="K3" s="50" t="s">
        <v>560</v>
      </c>
      <c r="L3" s="223"/>
      <c r="M3" s="50" t="s">
        <v>561</v>
      </c>
      <c r="N3" s="223"/>
      <c r="O3" s="50" t="s">
        <v>558</v>
      </c>
      <c r="P3" s="50" t="s">
        <v>436</v>
      </c>
      <c r="Q3" s="247" t="s">
        <v>508</v>
      </c>
      <c r="R3" s="223" t="s">
        <v>504</v>
      </c>
      <c r="S3" s="223"/>
      <c r="T3" s="227">
        <f>IF(V3&lt;"M",T2+1,T2)</f>
        <v>1</v>
      </c>
      <c r="U3" s="190" t="s">
        <v>557</v>
      </c>
      <c r="V3" s="226" t="s">
        <v>556</v>
      </c>
      <c r="W3" s="228" t="s">
        <v>557</v>
      </c>
      <c r="X3" s="209" t="str">
        <f>HYPERLINK(CONCATENATE("https://www.ejacket.nsf.gov/ej/showProposal.do?Continue=Y&amp;ID=",SUBSTITUTE(CompByPropTable[[#This Row],[prop_id]],CHAR(160),"")),"eJ")</f>
        <v>eJ</v>
      </c>
      <c r="Y3" s="50" t="s">
        <v>564</v>
      </c>
      <c r="Z3" s="50" t="s">
        <v>565</v>
      </c>
      <c r="AA3" s="50" t="s">
        <v>566</v>
      </c>
      <c r="AB3" s="187" t="s">
        <v>567</v>
      </c>
      <c r="AC3" s="190" t="s">
        <v>72</v>
      </c>
      <c r="AD3" s="50" t="s">
        <v>72</v>
      </c>
      <c r="AE3" s="50" t="s">
        <v>568</v>
      </c>
      <c r="AF3" s="77">
        <v>42760.357048611113</v>
      </c>
      <c r="AG3" s="223"/>
      <c r="AH3" s="229"/>
      <c r="AI3" s="230" t="s">
        <v>438</v>
      </c>
      <c r="AJ3" s="231">
        <v>2</v>
      </c>
      <c r="AK3" s="50" t="s">
        <v>448</v>
      </c>
      <c r="AL3" s="223"/>
      <c r="AM3" s="50"/>
      <c r="AN3" s="50" t="s">
        <v>448</v>
      </c>
      <c r="AO3" s="50"/>
      <c r="AP3" s="229"/>
      <c r="AQ3" s="232" t="str">
        <f>IF(CompByPropTable[[#This Row],[oth_supp_cnt]]&gt;0,HYPERLINK(CONCATENATE("https://www.ejacket.nsf.gov/ej/showProposal.do?Continue=Y&amp;ID=",SUBSTITUTE(CompByPropTable[[#This Row],[prop_id]],CHAR(160),"")),"eJ"),"")</f>
        <v/>
      </c>
      <c r="AR3" s="232" t="str">
        <f>IF(CompByPropTable[[#This Row],[oth_supp_cnt]]&gt;0, HYPERLINK(CONCATENATE("https://www.ejacket.nsf.gov/ej/showSupplementaryDocPdf.do?uniqId=?Continue=Y&amp;ID=",SUBSTITUTE(CompByPropTable[[#This Row],[prop_id]],CHAR(160),"")),"OthSuppDoc"),"")</f>
        <v/>
      </c>
      <c r="AS3" s="50">
        <v>1</v>
      </c>
      <c r="AT3" s="223"/>
      <c r="AU3" s="223">
        <v>49900</v>
      </c>
      <c r="AV3" s="223">
        <v>49900</v>
      </c>
      <c r="AW3" s="225"/>
      <c r="AX3" s="223"/>
      <c r="AY3" s="223"/>
      <c r="AZ3" s="223" t="s">
        <v>562</v>
      </c>
      <c r="BA3" s="223"/>
      <c r="BB3" s="223" t="s">
        <v>563</v>
      </c>
      <c r="BC3" s="223"/>
      <c r="BD3" s="223" t="s">
        <v>503</v>
      </c>
      <c r="BE3" s="223" t="s">
        <v>449</v>
      </c>
      <c r="BF3" s="233">
        <v>2002</v>
      </c>
      <c r="BG3" s="223" t="str">
        <f>CONCATENATE(CompByPropTable[[#This Row],[pgm_ele_name]],"(",CompByPropTable[[#This Row],[pgm_ele_code]],")")</f>
        <v>CHEMICAL OCEANOGRAPHY(1670)</v>
      </c>
    </row>
    <row r="4" spans="1:59" s="31" customFormat="1" x14ac:dyDescent="0.25">
      <c r="A4" s="236">
        <v>43033.566516203704</v>
      </c>
      <c r="B4" s="190"/>
      <c r="C4" s="234"/>
      <c r="D4" s="234">
        <v>42755.572916666664</v>
      </c>
      <c r="E4" s="235">
        <f>INT(CompByPropTable[[#This Row],[NSF_rcvd_date]])</f>
        <v>42755</v>
      </c>
      <c r="F4" s="226"/>
      <c r="G4" s="226" t="s">
        <v>466</v>
      </c>
      <c r="H4" s="236"/>
      <c r="I4" s="225"/>
      <c r="J4" s="190" t="s">
        <v>570</v>
      </c>
      <c r="K4" s="31" t="s">
        <v>560</v>
      </c>
      <c r="L4" s="226" t="s">
        <v>571</v>
      </c>
      <c r="M4" s="31" t="s">
        <v>561</v>
      </c>
      <c r="N4" s="226"/>
      <c r="O4" s="31" t="s">
        <v>558</v>
      </c>
      <c r="P4" s="31" t="s">
        <v>436</v>
      </c>
      <c r="Q4" s="260" t="s">
        <v>508</v>
      </c>
      <c r="R4" s="226" t="s">
        <v>504</v>
      </c>
      <c r="S4" s="226"/>
      <c r="T4" s="227">
        <f>IF(V4&lt;"M",T3+1,T3)</f>
        <v>1</v>
      </c>
      <c r="U4" s="190" t="s">
        <v>557</v>
      </c>
      <c r="V4" s="226" t="s">
        <v>72</v>
      </c>
      <c r="W4" s="237" t="s">
        <v>569</v>
      </c>
      <c r="X4" s="209" t="str">
        <f>HYPERLINK(CONCATENATE("https://www.ejacket.nsf.gov/ej/showProposal.do?Continue=Y&amp;ID=",SUBSTITUTE(CompByPropTable[[#This Row],[prop_id]],CHAR(160),"")),"eJ")</f>
        <v>eJ</v>
      </c>
      <c r="Y4" s="31" t="s">
        <v>475</v>
      </c>
      <c r="Z4" s="31" t="s">
        <v>572</v>
      </c>
      <c r="AA4" s="31" t="s">
        <v>465</v>
      </c>
      <c r="AB4" s="187" t="s">
        <v>573</v>
      </c>
      <c r="AC4" s="190" t="s">
        <v>72</v>
      </c>
      <c r="AD4" s="31" t="s">
        <v>72</v>
      </c>
      <c r="AE4" s="31" t="s">
        <v>467</v>
      </c>
      <c r="AF4" s="234">
        <v>42755.573368055557</v>
      </c>
      <c r="AG4" s="226" t="s">
        <v>574</v>
      </c>
      <c r="AH4" s="238"/>
      <c r="AI4" s="239" t="s">
        <v>574</v>
      </c>
      <c r="AJ4" s="240">
        <v>1</v>
      </c>
      <c r="AK4" s="31" t="s">
        <v>510</v>
      </c>
      <c r="AL4" s="226"/>
      <c r="AN4" s="31" t="s">
        <v>492</v>
      </c>
      <c r="AP4" s="238"/>
      <c r="AQ4" s="241" t="str">
        <f>IF(CompByPropTable[[#This Row],[oth_supp_cnt]]&gt;0,HYPERLINK(CONCATENATE("https://www.ejacket.nsf.gov/ej/showProposal.do?Continue=Y&amp;ID=",SUBSTITUTE(CompByPropTable[[#This Row],[prop_id]],CHAR(160),"")),"eJ"),"")</f>
        <v/>
      </c>
      <c r="AR4" s="241" t="str">
        <f>IF(CompByPropTable[[#This Row],[oth_supp_cnt]]&gt;0, HYPERLINK(CONCATENATE("https://www.ejacket.nsf.gov/ej/showSupplementaryDocPdf.do?uniqId=?Continue=Y&amp;ID=",SUBSTITUTE(CompByPropTable[[#This Row],[prop_id]],CHAR(160),"")),"OthSuppDoc"),"")</f>
        <v/>
      </c>
      <c r="AS4" s="31">
        <v>1</v>
      </c>
      <c r="AT4" s="226"/>
      <c r="AU4" s="226">
        <v>53699</v>
      </c>
      <c r="AV4" s="226">
        <v>53699</v>
      </c>
      <c r="AW4" s="225"/>
      <c r="AX4" s="226"/>
      <c r="AY4" s="226"/>
      <c r="AZ4" s="226" t="s">
        <v>562</v>
      </c>
      <c r="BA4" s="226" t="s">
        <v>562</v>
      </c>
      <c r="BB4" s="226" t="s">
        <v>563</v>
      </c>
      <c r="BC4" s="226"/>
      <c r="BD4" s="226" t="s">
        <v>503</v>
      </c>
      <c r="BE4" s="226" t="s">
        <v>435</v>
      </c>
      <c r="BF4" s="233">
        <v>2006</v>
      </c>
      <c r="BG4" s="226" t="str">
        <f>CONCATENATE(CompByPropTable[[#This Row],[pgm_ele_name]],"(",CompByPropTable[[#This Row],[pgm_ele_code]],")")</f>
        <v>CHEMICAL OCEANOGRAPHY(1670)</v>
      </c>
    </row>
    <row r="5" spans="1:59" s="31" customFormat="1" x14ac:dyDescent="0.25">
      <c r="A5" s="236">
        <v>43033.566516203704</v>
      </c>
      <c r="B5" s="190"/>
      <c r="C5" s="234"/>
      <c r="D5" s="234">
        <v>42755.622916666667</v>
      </c>
      <c r="E5" s="235">
        <f>INT(CompByPropTable[[#This Row],[NSF_rcvd_date]])</f>
        <v>42755</v>
      </c>
      <c r="F5" s="226" t="s">
        <v>450</v>
      </c>
      <c r="G5" s="226" t="s">
        <v>451</v>
      </c>
      <c r="H5" s="236"/>
      <c r="I5" s="225"/>
      <c r="J5" s="190" t="s">
        <v>559</v>
      </c>
      <c r="K5" s="31" t="s">
        <v>560</v>
      </c>
      <c r="L5" s="226"/>
      <c r="M5" s="31" t="s">
        <v>561</v>
      </c>
      <c r="N5" s="226"/>
      <c r="O5" s="31" t="s">
        <v>558</v>
      </c>
      <c r="P5" s="31" t="s">
        <v>436</v>
      </c>
      <c r="Q5" s="260" t="s">
        <v>508</v>
      </c>
      <c r="R5" s="226" t="s">
        <v>504</v>
      </c>
      <c r="S5" s="226"/>
      <c r="T5" s="227">
        <f>IF(V5&lt;"M",T4+1,T4)</f>
        <v>1</v>
      </c>
      <c r="U5" s="190" t="s">
        <v>557</v>
      </c>
      <c r="V5" s="226" t="s">
        <v>72</v>
      </c>
      <c r="W5" s="237" t="s">
        <v>575</v>
      </c>
      <c r="X5" s="209" t="str">
        <f>HYPERLINK(CONCATENATE("https://www.ejacket.nsf.gov/ej/showProposal.do?Continue=Y&amp;ID=",SUBSTITUTE(CompByPropTable[[#This Row],[prop_id]],CHAR(160),"")),"eJ")</f>
        <v>eJ</v>
      </c>
      <c r="Y5" s="31" t="s">
        <v>576</v>
      </c>
      <c r="Z5" s="31" t="s">
        <v>468</v>
      </c>
      <c r="AA5" s="31" t="s">
        <v>452</v>
      </c>
      <c r="AB5" s="187" t="s">
        <v>567</v>
      </c>
      <c r="AC5" s="190" t="s">
        <v>72</v>
      </c>
      <c r="AD5" s="31" t="s">
        <v>72</v>
      </c>
      <c r="AE5" s="31" t="s">
        <v>577</v>
      </c>
      <c r="AF5" s="234">
        <v>42755.623333333337</v>
      </c>
      <c r="AG5" s="226" t="s">
        <v>574</v>
      </c>
      <c r="AH5" s="238"/>
      <c r="AI5" s="239" t="s">
        <v>574</v>
      </c>
      <c r="AJ5" s="240">
        <v>1</v>
      </c>
      <c r="AK5" s="31" t="s">
        <v>510</v>
      </c>
      <c r="AL5" s="226"/>
      <c r="AN5" s="31" t="s">
        <v>492</v>
      </c>
      <c r="AP5" s="238"/>
      <c r="AQ5" s="241" t="str">
        <f>IF(CompByPropTable[[#This Row],[oth_supp_cnt]]&gt;0,HYPERLINK(CONCATENATE("https://www.ejacket.nsf.gov/ej/showProposal.do?Continue=Y&amp;ID=",SUBSTITUTE(CompByPropTable[[#This Row],[prop_id]],CHAR(160),"")),"eJ"),"")</f>
        <v/>
      </c>
      <c r="AR5" s="241" t="str">
        <f>IF(CompByPropTable[[#This Row],[oth_supp_cnt]]&gt;0, HYPERLINK(CONCATENATE("https://www.ejacket.nsf.gov/ej/showSupplementaryDocPdf.do?uniqId=?Continue=Y&amp;ID=",SUBSTITUTE(CompByPropTable[[#This Row],[prop_id]],CHAR(160),"")),"OthSuppDoc"),"")</f>
        <v/>
      </c>
      <c r="AS5" s="31">
        <v>1</v>
      </c>
      <c r="AT5" s="226"/>
      <c r="AU5" s="226">
        <v>47418</v>
      </c>
      <c r="AV5" s="226">
        <v>47418</v>
      </c>
      <c r="AW5" s="225"/>
      <c r="AX5" s="226"/>
      <c r="AY5" s="226"/>
      <c r="AZ5" s="226" t="s">
        <v>562</v>
      </c>
      <c r="BA5" s="226"/>
      <c r="BB5" s="226" t="s">
        <v>563</v>
      </c>
      <c r="BC5" s="226"/>
      <c r="BD5" s="226" t="s">
        <v>503</v>
      </c>
      <c r="BE5" s="226" t="s">
        <v>435</v>
      </c>
      <c r="BF5" s="233">
        <v>2006</v>
      </c>
      <c r="BG5" s="226" t="str">
        <f>CONCATENATE(CompByPropTable[[#This Row],[pgm_ele_name]],"(",CompByPropTable[[#This Row],[pgm_ele_code]],")")</f>
        <v>CHEMICAL OCEANOGRAPHY(1670)</v>
      </c>
    </row>
    <row r="6" spans="1:59" x14ac:dyDescent="0.25">
      <c r="A6" s="30">
        <v>43033.566516203704</v>
      </c>
      <c r="B6" s="36"/>
      <c r="C6" s="5"/>
      <c r="D6" s="5">
        <v>42373</v>
      </c>
      <c r="E6" s="4">
        <f>INT(CompByPropTable[[#This Row],[NSF_rcvd_date]])</f>
        <v>42373</v>
      </c>
      <c r="G6" s="2" t="s">
        <v>459</v>
      </c>
      <c r="H6" s="30">
        <v>42640.752013888887</v>
      </c>
      <c r="I6" s="40" t="s">
        <v>472</v>
      </c>
      <c r="J6" s="36" t="s">
        <v>496</v>
      </c>
      <c r="K6" s="210" t="s">
        <v>497</v>
      </c>
      <c r="L6" s="2"/>
      <c r="M6" s="210" t="s">
        <v>498</v>
      </c>
      <c r="N6" s="2" t="s">
        <v>499</v>
      </c>
      <c r="O6" s="210" t="s">
        <v>495</v>
      </c>
      <c r="P6" s="210" t="s">
        <v>507</v>
      </c>
      <c r="Q6" s="246" t="s">
        <v>508</v>
      </c>
      <c r="R6" s="2" t="s">
        <v>504</v>
      </c>
      <c r="S6" s="2"/>
      <c r="T6" s="95">
        <f>IF(V6&lt;"M",T5+1,T5)</f>
        <v>2</v>
      </c>
      <c r="U6" s="36"/>
      <c r="V6" s="2" t="s">
        <v>132</v>
      </c>
      <c r="W6" s="206" t="s">
        <v>494</v>
      </c>
      <c r="X6" s="1" t="str">
        <f>HYPERLINK(CONCATENATE("https://www.ejacket.nsf.gov/ej/showProposal.do?Continue=Y&amp;ID=",SUBSTITUTE(CompByPropTable[[#This Row],[prop_id]],CHAR(160),"")),"eJ")</f>
        <v>eJ</v>
      </c>
      <c r="Y6" s="210" t="s">
        <v>457</v>
      </c>
      <c r="Z6" s="210" t="s">
        <v>505</v>
      </c>
      <c r="AA6" s="210" t="s">
        <v>458</v>
      </c>
      <c r="AB6" s="43" t="s">
        <v>506</v>
      </c>
      <c r="AC6" s="36" t="s">
        <v>72</v>
      </c>
      <c r="AD6" s="210"/>
      <c r="AE6" s="210" t="s">
        <v>460</v>
      </c>
      <c r="AF6" s="5">
        <v>42373.506481481483</v>
      </c>
      <c r="AG6" s="2"/>
      <c r="AH6" s="51"/>
      <c r="AI6" s="207" t="s">
        <v>509</v>
      </c>
      <c r="AJ6" s="131">
        <v>1</v>
      </c>
      <c r="AK6" s="210" t="s">
        <v>510</v>
      </c>
      <c r="AL6" s="2"/>
      <c r="AM6" s="210"/>
      <c r="AN6" s="210" t="s">
        <v>492</v>
      </c>
      <c r="AO6" s="210"/>
      <c r="AP6" s="51"/>
      <c r="AQ6" s="208" t="str">
        <f>IF(CompByPropTable[[#This Row],[oth_supp_cnt]]&gt;0,HYPERLINK(CONCATENATE("https://www.ejacket.nsf.gov/ej/showProposal.do?Continue=Y&amp;ID=",SUBSTITUTE(CompByPropTable[[#This Row],[prop_id]],CHAR(160),"")),"eJ"),"")</f>
        <v/>
      </c>
      <c r="AR6" s="208" t="str">
        <f>IF(CompByPropTable[[#This Row],[oth_supp_cnt]]&gt;0, HYPERLINK(CONCATENATE("https://www.ejacket.nsf.gov/ej/showSupplementaryDocPdf.do?uniqId=?Continue=Y&amp;ID=",SUBSTITUTE(CompByPropTable[[#This Row],[prop_id]],CHAR(160),"")),"OthSuppDoc"),"")</f>
        <v/>
      </c>
      <c r="AS6" s="210">
        <v>1</v>
      </c>
      <c r="AU6" s="2">
        <v>19345</v>
      </c>
      <c r="AV6" s="2">
        <v>19345</v>
      </c>
      <c r="AW6" s="40"/>
      <c r="AX6" s="2"/>
      <c r="AZ6" s="2" t="s">
        <v>500</v>
      </c>
      <c r="BB6" s="2" t="s">
        <v>501</v>
      </c>
      <c r="BC6" s="2" t="s">
        <v>502</v>
      </c>
      <c r="BD6" s="2" t="s">
        <v>503</v>
      </c>
      <c r="BE6" s="2" t="s">
        <v>433</v>
      </c>
      <c r="BF6" s="45">
        <v>2003</v>
      </c>
      <c r="BG6" s="2" t="str">
        <f>CONCATENATE(CompByPropTable[[#This Row],[pgm_ele_name]],"(",CompByPropTable[[#This Row],[pgm_ele_code]],")")</f>
        <v>I-Corps - Nodes(8045)</v>
      </c>
    </row>
    <row r="7" spans="1:59" x14ac:dyDescent="0.25">
      <c r="A7" s="30">
        <v>43033.566516203704</v>
      </c>
      <c r="B7" s="36"/>
      <c r="C7" s="5"/>
      <c r="D7" s="5">
        <v>42373</v>
      </c>
      <c r="E7" s="4">
        <f>INT(CompByPropTable[[#This Row],[NSF_rcvd_date]])</f>
        <v>42373</v>
      </c>
      <c r="G7" s="2" t="s">
        <v>442</v>
      </c>
      <c r="H7" s="30">
        <v>42983.700046296297</v>
      </c>
      <c r="I7" s="40" t="s">
        <v>474</v>
      </c>
      <c r="J7" s="36" t="s">
        <v>496</v>
      </c>
      <c r="K7" s="210" t="s">
        <v>513</v>
      </c>
      <c r="L7" s="2" t="s">
        <v>481</v>
      </c>
      <c r="M7" s="210" t="s">
        <v>514</v>
      </c>
      <c r="O7" s="210" t="s">
        <v>512</v>
      </c>
      <c r="P7" s="210" t="s">
        <v>507</v>
      </c>
      <c r="Q7" s="246" t="s">
        <v>508</v>
      </c>
      <c r="R7" s="2" t="s">
        <v>504</v>
      </c>
      <c r="S7" s="2"/>
      <c r="T7" s="95">
        <f>IF(V7&lt;"M",T6+1,T6)</f>
        <v>3</v>
      </c>
      <c r="U7" s="36"/>
      <c r="V7" s="2" t="s">
        <v>132</v>
      </c>
      <c r="W7" s="206" t="s">
        <v>511</v>
      </c>
      <c r="X7" s="1" t="str">
        <f>HYPERLINK(CONCATENATE("https://www.ejacket.nsf.gov/ej/showProposal.do?Continue=Y&amp;ID=",SUBSTITUTE(CompByPropTable[[#This Row],[prop_id]],CHAR(160),"")),"eJ")</f>
        <v>eJ</v>
      </c>
      <c r="Y7" s="210" t="s">
        <v>516</v>
      </c>
      <c r="Z7" s="210" t="s">
        <v>517</v>
      </c>
      <c r="AA7" s="210" t="s">
        <v>443</v>
      </c>
      <c r="AB7" s="43" t="s">
        <v>518</v>
      </c>
      <c r="AC7" s="36" t="s">
        <v>72</v>
      </c>
      <c r="AD7" s="210"/>
      <c r="AE7" s="210" t="s">
        <v>519</v>
      </c>
      <c r="AF7" s="5">
        <v>42373.544976851852</v>
      </c>
      <c r="AG7" s="2"/>
      <c r="AH7" s="51"/>
      <c r="AI7" s="207" t="s">
        <v>509</v>
      </c>
      <c r="AJ7" s="131">
        <v>1</v>
      </c>
      <c r="AK7" s="210" t="s">
        <v>510</v>
      </c>
      <c r="AL7" s="2"/>
      <c r="AM7" s="210"/>
      <c r="AN7" s="210" t="s">
        <v>492</v>
      </c>
      <c r="AO7" s="210"/>
      <c r="AP7" s="51"/>
      <c r="AQ7" s="208" t="str">
        <f>IF(CompByPropTable[[#This Row],[oth_supp_cnt]]&gt;0,HYPERLINK(CONCATENATE("https://www.ejacket.nsf.gov/ej/showProposal.do?Continue=Y&amp;ID=",SUBSTITUTE(CompByPropTable[[#This Row],[prop_id]],CHAR(160),"")),"eJ"),"")</f>
        <v/>
      </c>
      <c r="AR7" s="208" t="str">
        <f>IF(CompByPropTable[[#This Row],[oth_supp_cnt]]&gt;0, HYPERLINK(CONCATENATE("https://www.ejacket.nsf.gov/ej/showSupplementaryDocPdf.do?uniqId=?Continue=Y&amp;ID=",SUBSTITUTE(CompByPropTable[[#This Row],[prop_id]],CHAR(160),"")),"OthSuppDoc"),"")</f>
        <v/>
      </c>
      <c r="AS7" s="210">
        <v>1</v>
      </c>
      <c r="AT7" s="2">
        <v>96</v>
      </c>
      <c r="AU7" s="2">
        <v>0</v>
      </c>
      <c r="AV7" s="2">
        <v>4894</v>
      </c>
      <c r="AW7" s="40">
        <v>4894</v>
      </c>
      <c r="AX7" s="2"/>
      <c r="AZ7" s="2" t="s">
        <v>483</v>
      </c>
      <c r="BA7" s="2" t="s">
        <v>483</v>
      </c>
      <c r="BB7" s="2" t="s">
        <v>515</v>
      </c>
      <c r="BC7" s="2"/>
      <c r="BD7" s="2" t="s">
        <v>503</v>
      </c>
      <c r="BE7" s="2" t="s">
        <v>435</v>
      </c>
      <c r="BF7" s="45">
        <v>2001</v>
      </c>
      <c r="BG7" s="2" t="str">
        <f>CONCATENATE(CompByPropTable[[#This Row],[pgm_ele_name]],"(",CompByPropTable[[#This Row],[pgm_ele_code]],")")</f>
        <v>Dimensions of Biodiversity(7968)</v>
      </c>
    </row>
    <row r="8" spans="1:59" x14ac:dyDescent="0.25">
      <c r="A8" s="30">
        <v>43033.566516203704</v>
      </c>
      <c r="B8" s="36"/>
      <c r="C8" s="5"/>
      <c r="D8" s="5">
        <v>42371.698611111111</v>
      </c>
      <c r="E8" s="4">
        <f>INT(CompByPropTable[[#This Row],[NSF_rcvd_date]])</f>
        <v>42371</v>
      </c>
      <c r="G8" s="2" t="s">
        <v>441</v>
      </c>
      <c r="H8" s="30">
        <v>42948.5312037037</v>
      </c>
      <c r="I8" s="40" t="s">
        <v>472</v>
      </c>
      <c r="J8" s="36" t="s">
        <v>480</v>
      </c>
      <c r="K8" s="210" t="s">
        <v>481</v>
      </c>
      <c r="L8" s="2"/>
      <c r="M8" s="210" t="s">
        <v>482</v>
      </c>
      <c r="O8" s="210" t="s">
        <v>479</v>
      </c>
      <c r="P8" s="210" t="s">
        <v>436</v>
      </c>
      <c r="Q8" s="246" t="s">
        <v>490</v>
      </c>
      <c r="R8" s="2" t="s">
        <v>486</v>
      </c>
      <c r="S8" s="2"/>
      <c r="T8" s="95">
        <f>IF(V8&lt;"M",T7+1,T7)</f>
        <v>4</v>
      </c>
      <c r="U8" s="36"/>
      <c r="V8" s="2" t="s">
        <v>132</v>
      </c>
      <c r="W8" s="206" t="s">
        <v>478</v>
      </c>
      <c r="X8" s="1" t="str">
        <f>HYPERLINK(CONCATENATE("https://www.ejacket.nsf.gov/ej/showProposal.do?Continue=Y&amp;ID=",SUBSTITUTE(CompByPropTable[[#This Row],[prop_id]],CHAR(160),"")),"eJ")</f>
        <v>eJ</v>
      </c>
      <c r="Y8" s="210" t="s">
        <v>487</v>
      </c>
      <c r="Z8" s="210" t="s">
        <v>473</v>
      </c>
      <c r="AA8" s="210" t="s">
        <v>488</v>
      </c>
      <c r="AB8" s="43" t="s">
        <v>489</v>
      </c>
      <c r="AC8" s="36" t="s">
        <v>72</v>
      </c>
      <c r="AD8" s="210" t="s">
        <v>72</v>
      </c>
      <c r="AE8" s="210" t="s">
        <v>491</v>
      </c>
      <c r="AF8" s="5">
        <v>42371.699282407404</v>
      </c>
      <c r="AG8" s="2"/>
      <c r="AH8" s="51"/>
      <c r="AI8" s="207" t="s">
        <v>438</v>
      </c>
      <c r="AJ8" s="131"/>
      <c r="AK8" s="210" t="s">
        <v>439</v>
      </c>
      <c r="AL8" s="2"/>
      <c r="AM8" s="210"/>
      <c r="AN8" s="210" t="s">
        <v>492</v>
      </c>
      <c r="AO8" s="210" t="s">
        <v>493</v>
      </c>
      <c r="AP8" s="51">
        <v>1</v>
      </c>
      <c r="AQ8" s="208" t="str">
        <f>IF(CompByPropTable[[#This Row],[oth_supp_cnt]]&gt;0,HYPERLINK(CONCATENATE("https://www.ejacket.nsf.gov/ej/showProposal.do?Continue=Y&amp;ID=",SUBSTITUTE(CompByPropTable[[#This Row],[prop_id]],CHAR(160),"")),"eJ"),"")</f>
        <v>eJ</v>
      </c>
      <c r="AR8" s="208" t="str">
        <f>IF(CompByPropTable[[#This Row],[oth_supp_cnt]]&gt;0, HYPERLINK(CONCATENATE("https://www.ejacket.nsf.gov/ej/showSupplementaryDocPdf.do?uniqId=?Continue=Y&amp;ID=",SUBSTITUTE(CompByPropTable[[#This Row],[prop_id]],CHAR(160),"")),"OthSuppDoc"),"")</f>
        <v>OthSuppDoc</v>
      </c>
      <c r="AS8" s="210">
        <v>1</v>
      </c>
      <c r="AU8" s="2">
        <v>0</v>
      </c>
      <c r="AV8" s="2"/>
      <c r="AW8" s="40"/>
      <c r="AX8" s="2"/>
      <c r="AZ8" s="2" t="s">
        <v>483</v>
      </c>
      <c r="BB8" s="2" t="s">
        <v>484</v>
      </c>
      <c r="BC8" s="2"/>
      <c r="BD8" s="2" t="s">
        <v>485</v>
      </c>
      <c r="BE8" s="2" t="s">
        <v>445</v>
      </c>
      <c r="BF8" s="45">
        <v>2007</v>
      </c>
      <c r="BG8" s="2" t="str">
        <f>CONCATENATE(CompByPropTable[[#This Row],[pgm_ele_name]],"(",CompByPropTable[[#This Row],[pgm_ele_code]],")")</f>
        <v>EVOLUTIONARY GENETICS(7378)</v>
      </c>
    </row>
    <row r="9" spans="1:59" x14ac:dyDescent="0.25">
      <c r="A9" s="30">
        <v>43033.566516203704</v>
      </c>
      <c r="B9" s="36"/>
      <c r="C9" s="5"/>
      <c r="D9" s="5">
        <v>42394.326388888891</v>
      </c>
      <c r="E9" s="4">
        <f>INT(CompByPropTable[[#This Row],[NSF_rcvd_date]])</f>
        <v>42394</v>
      </c>
      <c r="G9" s="2" t="s">
        <v>447</v>
      </c>
      <c r="H9" s="30"/>
      <c r="I9" s="40"/>
      <c r="J9" s="36" t="s">
        <v>480</v>
      </c>
      <c r="K9" s="210" t="s">
        <v>550</v>
      </c>
      <c r="L9" s="2"/>
      <c r="M9" s="210" t="s">
        <v>551</v>
      </c>
      <c r="O9" s="210" t="s">
        <v>549</v>
      </c>
      <c r="P9" s="210" t="s">
        <v>436</v>
      </c>
      <c r="Q9" s="246" t="s">
        <v>490</v>
      </c>
      <c r="R9" s="2" t="s">
        <v>486</v>
      </c>
      <c r="S9" s="2"/>
      <c r="T9" s="95">
        <f>IF(V9&lt;"M",T8+1,T8)</f>
        <v>5</v>
      </c>
      <c r="U9" s="36"/>
      <c r="V9" s="2" t="s">
        <v>132</v>
      </c>
      <c r="W9" s="206" t="s">
        <v>548</v>
      </c>
      <c r="X9" s="1" t="str">
        <f>HYPERLINK(CONCATENATE("https://www.ejacket.nsf.gov/ej/showProposal.do?Continue=Y&amp;ID=",SUBSTITUTE(CompByPropTable[[#This Row],[prop_id]],CHAR(160),"")),"eJ")</f>
        <v>eJ</v>
      </c>
      <c r="Y9" s="210" t="s">
        <v>553</v>
      </c>
      <c r="Z9" s="210" t="s">
        <v>463</v>
      </c>
      <c r="AA9" s="210" t="s">
        <v>471</v>
      </c>
      <c r="AB9" s="43" t="s">
        <v>554</v>
      </c>
      <c r="AC9" s="36" t="s">
        <v>72</v>
      </c>
      <c r="AD9" s="210" t="s">
        <v>72</v>
      </c>
      <c r="AE9" s="210" t="s">
        <v>555</v>
      </c>
      <c r="AF9" s="5">
        <v>42394.326666666668</v>
      </c>
      <c r="AG9" s="2"/>
      <c r="AH9" s="51"/>
      <c r="AI9" s="207" t="s">
        <v>438</v>
      </c>
      <c r="AJ9" s="131"/>
      <c r="AK9" s="210" t="s">
        <v>448</v>
      </c>
      <c r="AL9" s="2"/>
      <c r="AM9" s="210"/>
      <c r="AN9" s="210" t="s">
        <v>492</v>
      </c>
      <c r="AO9" s="210" t="s">
        <v>493</v>
      </c>
      <c r="AP9" s="51"/>
      <c r="AQ9" s="208" t="str">
        <f>IF(CompByPropTable[[#This Row],[oth_supp_cnt]]&gt;0,HYPERLINK(CONCATENATE("https://www.ejacket.nsf.gov/ej/showProposal.do?Continue=Y&amp;ID=",SUBSTITUTE(CompByPropTable[[#This Row],[prop_id]],CHAR(160),"")),"eJ"),"")</f>
        <v/>
      </c>
      <c r="AR9" s="208" t="str">
        <f>IF(CompByPropTable[[#This Row],[oth_supp_cnt]]&gt;0, HYPERLINK(CONCATENATE("https://www.ejacket.nsf.gov/ej/showSupplementaryDocPdf.do?uniqId=?Continue=Y&amp;ID=",SUBSTITUTE(CompByPropTable[[#This Row],[prop_id]],CHAR(160),"")),"OthSuppDoc"),"")</f>
        <v/>
      </c>
      <c r="AS9" s="210">
        <v>2</v>
      </c>
      <c r="AU9" s="2">
        <v>0</v>
      </c>
      <c r="AV9" s="2"/>
      <c r="AW9" s="40"/>
      <c r="AX9" s="2"/>
      <c r="AZ9" s="2" t="s">
        <v>483</v>
      </c>
      <c r="BB9" s="2" t="s">
        <v>552</v>
      </c>
      <c r="BC9" s="2"/>
      <c r="BD9" s="2" t="s">
        <v>485</v>
      </c>
      <c r="BE9" s="2" t="s">
        <v>435</v>
      </c>
      <c r="BF9" s="45">
        <v>1997</v>
      </c>
      <c r="BG9" s="2" t="str">
        <f>CONCATENATE(CompByPropTable[[#This Row],[pgm_ele_name]],"(",CompByPropTable[[#This Row],[pgm_ele_code]],")")</f>
        <v>ECOSYSTEM STUDIES(1181)</v>
      </c>
    </row>
    <row r="10" spans="1:59" x14ac:dyDescent="0.25">
      <c r="A10" s="30">
        <v>43033.566516203704</v>
      </c>
      <c r="B10" s="36"/>
      <c r="C10" s="5"/>
      <c r="D10" s="5">
        <v>42384.34097222222</v>
      </c>
      <c r="E10" s="4">
        <f>INT(CompByPropTable[[#This Row],[NSF_rcvd_date]])</f>
        <v>42384</v>
      </c>
      <c r="G10" s="2" t="s">
        <v>462</v>
      </c>
      <c r="H10" s="30">
        <v>42458.455462962964</v>
      </c>
      <c r="I10" s="40" t="s">
        <v>474</v>
      </c>
      <c r="J10" s="36" t="s">
        <v>522</v>
      </c>
      <c r="K10" s="210" t="s">
        <v>542</v>
      </c>
      <c r="L10" s="2" t="s">
        <v>525</v>
      </c>
      <c r="M10" s="210" t="s">
        <v>543</v>
      </c>
      <c r="O10" s="210" t="s">
        <v>541</v>
      </c>
      <c r="P10" s="210" t="s">
        <v>436</v>
      </c>
      <c r="Q10" s="246" t="s">
        <v>490</v>
      </c>
      <c r="R10" s="2" t="s">
        <v>486</v>
      </c>
      <c r="S10" s="2"/>
      <c r="T10" s="95">
        <f>IF(V10&lt;"M",T9+1,T9)</f>
        <v>6</v>
      </c>
      <c r="U10" s="36"/>
      <c r="V10" s="2" t="s">
        <v>132</v>
      </c>
      <c r="W10" s="206" t="s">
        <v>540</v>
      </c>
      <c r="X10" s="1" t="str">
        <f>HYPERLINK(CONCATENATE("https://www.ejacket.nsf.gov/ej/showProposal.do?Continue=Y&amp;ID=",SUBSTITUTE(CompByPropTable[[#This Row],[prop_id]],CHAR(160),"")),"eJ")</f>
        <v>eJ</v>
      </c>
      <c r="Y10" s="210" t="s">
        <v>461</v>
      </c>
      <c r="Z10" s="210" t="s">
        <v>545</v>
      </c>
      <c r="AA10" s="210" t="s">
        <v>470</v>
      </c>
      <c r="AB10" s="43" t="s">
        <v>546</v>
      </c>
      <c r="AC10" s="36" t="s">
        <v>72</v>
      </c>
      <c r="AD10" s="210" t="s">
        <v>72</v>
      </c>
      <c r="AE10" s="210" t="s">
        <v>547</v>
      </c>
      <c r="AF10" s="5">
        <v>42384.341331018521</v>
      </c>
      <c r="AG10" s="2"/>
      <c r="AH10" s="51"/>
      <c r="AI10" s="207" t="s">
        <v>438</v>
      </c>
      <c r="AJ10" s="131"/>
      <c r="AK10" s="210" t="s">
        <v>439</v>
      </c>
      <c r="AL10" s="2"/>
      <c r="AM10" s="210"/>
      <c r="AN10" s="210" t="s">
        <v>492</v>
      </c>
      <c r="AO10" s="210" t="s">
        <v>493</v>
      </c>
      <c r="AP10" s="51"/>
      <c r="AQ10" s="208" t="str">
        <f>IF(CompByPropTable[[#This Row],[oth_supp_cnt]]&gt;0,HYPERLINK(CONCATENATE("https://www.ejacket.nsf.gov/ej/showProposal.do?Continue=Y&amp;ID=",SUBSTITUTE(CompByPropTable[[#This Row],[prop_id]],CHAR(160),"")),"eJ"),"")</f>
        <v/>
      </c>
      <c r="AR10" s="208" t="str">
        <f>IF(CompByPropTable[[#This Row],[oth_supp_cnt]]&gt;0, HYPERLINK(CONCATENATE("https://www.ejacket.nsf.gov/ej/showSupplementaryDocPdf.do?uniqId=?Continue=Y&amp;ID=",SUBSTITUTE(CompByPropTable[[#This Row],[prop_id]],CHAR(160),"")),"OthSuppDoc"),"")</f>
        <v/>
      </c>
      <c r="AS10" s="210">
        <v>1</v>
      </c>
      <c r="AU10" s="2">
        <v>2</v>
      </c>
      <c r="AV10" s="2"/>
      <c r="AW10" s="40"/>
      <c r="AX10" s="2"/>
      <c r="AZ10" s="2" t="s">
        <v>526</v>
      </c>
      <c r="BA10" s="2" t="s">
        <v>526</v>
      </c>
      <c r="BB10" s="2" t="s">
        <v>544</v>
      </c>
      <c r="BC10" s="2"/>
      <c r="BD10" s="2" t="s">
        <v>485</v>
      </c>
      <c r="BE10" s="2" t="s">
        <v>435</v>
      </c>
      <c r="BF10" s="45">
        <v>2008</v>
      </c>
      <c r="BG10" s="2" t="str">
        <f>CONCATENATE(CompByPropTable[[#This Row],[pgm_ele_name]],"(",CompByPropTable[[#This Row],[pgm_ele_code]],")")</f>
        <v>EVOLUTION OF DEVELOP MECHANISM(1080)</v>
      </c>
    </row>
    <row r="11" spans="1:59" x14ac:dyDescent="0.25">
      <c r="A11" s="30">
        <v>43033.566516203704</v>
      </c>
      <c r="B11" s="36"/>
      <c r="C11" s="5"/>
      <c r="D11" s="5">
        <v>42384.29791666667</v>
      </c>
      <c r="E11" s="4">
        <f>INT(CompByPropTable[[#This Row],[NSF_rcvd_date]])</f>
        <v>42384</v>
      </c>
      <c r="G11" s="2" t="s">
        <v>434</v>
      </c>
      <c r="H11" s="30">
        <v>42657.48710648148</v>
      </c>
      <c r="I11" s="40" t="s">
        <v>472</v>
      </c>
      <c r="J11" s="36" t="s">
        <v>522</v>
      </c>
      <c r="K11" s="210" t="s">
        <v>523</v>
      </c>
      <c r="L11" s="2" t="s">
        <v>525</v>
      </c>
      <c r="M11" s="210" t="s">
        <v>524</v>
      </c>
      <c r="O11" s="210" t="s">
        <v>521</v>
      </c>
      <c r="P11" s="210" t="s">
        <v>436</v>
      </c>
      <c r="Q11" s="246" t="s">
        <v>490</v>
      </c>
      <c r="R11" s="2" t="s">
        <v>486</v>
      </c>
      <c r="S11" s="2"/>
      <c r="T11" s="95">
        <f>IF(V11&lt;"M",T10+1,T10)</f>
        <v>7</v>
      </c>
      <c r="U11" s="36"/>
      <c r="V11" s="2" t="s">
        <v>132</v>
      </c>
      <c r="W11" s="206" t="s">
        <v>520</v>
      </c>
      <c r="X11" s="1" t="str">
        <f>HYPERLINK(CONCATENATE("https://www.ejacket.nsf.gov/ej/showProposal.do?Continue=Y&amp;ID=",SUBSTITUTE(CompByPropTable[[#This Row],[prop_id]],CHAR(160),"")),"eJ")</f>
        <v>eJ</v>
      </c>
      <c r="Y11" s="210" t="s">
        <v>528</v>
      </c>
      <c r="Z11" s="210" t="s">
        <v>529</v>
      </c>
      <c r="AA11" s="210" t="s">
        <v>469</v>
      </c>
      <c r="AB11" s="43" t="s">
        <v>530</v>
      </c>
      <c r="AC11" s="36" t="s">
        <v>72</v>
      </c>
      <c r="AD11" s="210" t="s">
        <v>72</v>
      </c>
      <c r="AE11" s="210" t="s">
        <v>531</v>
      </c>
      <c r="AF11" s="5">
        <v>42384.298263888886</v>
      </c>
      <c r="AG11" s="2"/>
      <c r="AH11" s="51"/>
      <c r="AI11" s="207" t="s">
        <v>438</v>
      </c>
      <c r="AJ11" s="131"/>
      <c r="AK11" s="210" t="s">
        <v>439</v>
      </c>
      <c r="AL11" s="2"/>
      <c r="AM11" s="210"/>
      <c r="AN11" s="210" t="s">
        <v>492</v>
      </c>
      <c r="AO11" s="210" t="s">
        <v>493</v>
      </c>
      <c r="AP11" s="51"/>
      <c r="AQ11" s="208" t="str">
        <f>IF(CompByPropTable[[#This Row],[oth_supp_cnt]]&gt;0,HYPERLINK(CONCATENATE("https://www.ejacket.nsf.gov/ej/showProposal.do?Continue=Y&amp;ID=",SUBSTITUTE(CompByPropTable[[#This Row],[prop_id]],CHAR(160),"")),"eJ"),"")</f>
        <v/>
      </c>
      <c r="AR11" s="208" t="str">
        <f>IF(CompByPropTable[[#This Row],[oth_supp_cnt]]&gt;0, HYPERLINK(CONCATENATE("https://www.ejacket.nsf.gov/ej/showSupplementaryDocPdf.do?uniqId=?Continue=Y&amp;ID=",SUBSTITUTE(CompByPropTable[[#This Row],[prop_id]],CHAR(160),"")),"OthSuppDoc"),"")</f>
        <v/>
      </c>
      <c r="AS11" s="210">
        <v>2</v>
      </c>
      <c r="AU11" s="2">
        <v>2</v>
      </c>
      <c r="AV11" s="2">
        <v>0</v>
      </c>
      <c r="AW11" s="40">
        <v>-2</v>
      </c>
      <c r="AX11" s="2"/>
      <c r="AY11" s="2" t="s">
        <v>437</v>
      </c>
      <c r="AZ11" s="2" t="s">
        <v>526</v>
      </c>
      <c r="BA11" s="2" t="s">
        <v>526</v>
      </c>
      <c r="BB11" s="2" t="s">
        <v>527</v>
      </c>
      <c r="BC11" s="2"/>
      <c r="BD11" s="2" t="s">
        <v>485</v>
      </c>
      <c r="BE11" s="2" t="s">
        <v>435</v>
      </c>
      <c r="BF11" s="45">
        <v>1999</v>
      </c>
      <c r="BG11" s="2" t="str">
        <f>CONCATENATE(CompByPropTable[[#This Row],[pgm_ele_name]],"(",CompByPropTable[[#This Row],[pgm_ele_code]],")")</f>
        <v>Integrative Ecologi Physiology(7657)</v>
      </c>
    </row>
    <row r="12" spans="1:59" x14ac:dyDescent="0.25">
      <c r="A12" s="30">
        <v>43033.566516203704</v>
      </c>
      <c r="B12" s="36"/>
      <c r="C12" s="5"/>
      <c r="D12" s="5">
        <v>42384.302083333336</v>
      </c>
      <c r="E12" s="4">
        <f>INT(CompByPropTable[[#This Row],[NSF_rcvd_date]])</f>
        <v>42384</v>
      </c>
      <c r="G12" s="2" t="s">
        <v>434</v>
      </c>
      <c r="H12" s="30">
        <v>42657.48710648148</v>
      </c>
      <c r="I12" s="40" t="s">
        <v>472</v>
      </c>
      <c r="J12" s="36" t="s">
        <v>522</v>
      </c>
      <c r="K12" s="210" t="s">
        <v>534</v>
      </c>
      <c r="L12" s="2" t="s">
        <v>525</v>
      </c>
      <c r="M12" s="210" t="s">
        <v>535</v>
      </c>
      <c r="O12" s="210" t="s">
        <v>533</v>
      </c>
      <c r="P12" s="210" t="s">
        <v>436</v>
      </c>
      <c r="Q12" s="246" t="s">
        <v>490</v>
      </c>
      <c r="R12" s="2" t="s">
        <v>486</v>
      </c>
      <c r="S12" s="2"/>
      <c r="T12" s="95">
        <f>IF(V12&lt;"M",T11+1,T11)</f>
        <v>8</v>
      </c>
      <c r="U12" s="36"/>
      <c r="V12" s="2" t="s">
        <v>132</v>
      </c>
      <c r="W12" s="206" t="s">
        <v>532</v>
      </c>
      <c r="X12" s="1" t="str">
        <f>HYPERLINK(CONCATENATE("https://www.ejacket.nsf.gov/ej/showProposal.do?Continue=Y&amp;ID=",SUBSTITUTE(CompByPropTable[[#This Row],[prop_id]],CHAR(160),"")),"eJ")</f>
        <v>eJ</v>
      </c>
      <c r="Y12" s="210" t="s">
        <v>537</v>
      </c>
      <c r="Z12" s="210" t="s">
        <v>538</v>
      </c>
      <c r="AA12" s="210" t="s">
        <v>469</v>
      </c>
      <c r="AB12" s="43" t="s">
        <v>539</v>
      </c>
      <c r="AC12" s="36" t="s">
        <v>72</v>
      </c>
      <c r="AD12" s="210" t="s">
        <v>72</v>
      </c>
      <c r="AE12" s="210" t="s">
        <v>531</v>
      </c>
      <c r="AF12" s="5">
        <v>42384.302708333336</v>
      </c>
      <c r="AG12" s="2" t="s">
        <v>440</v>
      </c>
      <c r="AH12" s="51">
        <v>1</v>
      </c>
      <c r="AI12" s="207" t="s">
        <v>438</v>
      </c>
      <c r="AJ12" s="131"/>
      <c r="AK12" s="210" t="s">
        <v>439</v>
      </c>
      <c r="AL12" s="2"/>
      <c r="AM12" s="210"/>
      <c r="AN12" s="210" t="s">
        <v>492</v>
      </c>
      <c r="AO12" s="210" t="s">
        <v>493</v>
      </c>
      <c r="AP12" s="51"/>
      <c r="AQ12" s="208" t="str">
        <f>IF(CompByPropTable[[#This Row],[oth_supp_cnt]]&gt;0,HYPERLINK(CONCATENATE("https://www.ejacket.nsf.gov/ej/showProposal.do?Continue=Y&amp;ID=",SUBSTITUTE(CompByPropTable[[#This Row],[prop_id]],CHAR(160),"")),"eJ"),"")</f>
        <v/>
      </c>
      <c r="AR12" s="208" t="str">
        <f>IF(CompByPropTable[[#This Row],[oth_supp_cnt]]&gt;0, HYPERLINK(CONCATENATE("https://www.ejacket.nsf.gov/ej/showSupplementaryDocPdf.do?uniqId=?Continue=Y&amp;ID=",SUBSTITUTE(CompByPropTable[[#This Row],[prop_id]],CHAR(160),"")),"OthSuppDoc"),"")</f>
        <v/>
      </c>
      <c r="AS12" s="210">
        <v>3</v>
      </c>
      <c r="AU12" s="2">
        <v>2</v>
      </c>
      <c r="AV12" s="2"/>
      <c r="AW12" s="40"/>
      <c r="AX12" s="2"/>
      <c r="AY12" s="2" t="s">
        <v>437</v>
      </c>
      <c r="AZ12" s="2" t="s">
        <v>526</v>
      </c>
      <c r="BA12" s="2" t="s">
        <v>526</v>
      </c>
      <c r="BB12" s="2" t="s">
        <v>536</v>
      </c>
      <c r="BC12" s="2"/>
      <c r="BD12" s="2" t="s">
        <v>485</v>
      </c>
      <c r="BE12" s="2" t="s">
        <v>435</v>
      </c>
      <c r="BF12" s="45">
        <v>2011</v>
      </c>
      <c r="BG12" s="2" t="str">
        <f>CONCATENATE(CompByPropTable[[#This Row],[pgm_ele_name]],"(",CompByPropTable[[#This Row],[pgm_ele_code]],")")</f>
        <v>ANIMAL BEHAVIOR(7659)</v>
      </c>
    </row>
    <row r="13" spans="1:59" x14ac:dyDescent="0.25">
      <c r="B13" s="210"/>
      <c r="C13" s="210"/>
      <c r="D13" s="210"/>
      <c r="E13" s="210"/>
      <c r="H13" s="210"/>
      <c r="I13" s="210"/>
      <c r="W13" s="210"/>
      <c r="Y13" s="210"/>
      <c r="Z13" s="210"/>
      <c r="AA13" s="210"/>
      <c r="AB13" s="210"/>
      <c r="AC13" s="210"/>
      <c r="AD13" s="210"/>
      <c r="AE13" s="210"/>
      <c r="AF13" s="210"/>
      <c r="AG13" s="210"/>
      <c r="AH13" s="210"/>
      <c r="AP13" s="210"/>
      <c r="AQ13" s="210"/>
      <c r="AR13" s="210"/>
      <c r="AV13" s="210"/>
      <c r="BB13" s="210"/>
      <c r="BC13" s="210"/>
      <c r="BD13" s="210"/>
      <c r="BE13" s="210"/>
      <c r="BG13" s="210"/>
    </row>
  </sheetData>
  <mergeCells count="5">
    <mergeCell ref="AZ1:BF1"/>
    <mergeCell ref="B1:I1"/>
    <mergeCell ref="AX1:AY1"/>
    <mergeCell ref="AC1:AW1"/>
    <mergeCell ref="U1:AB1"/>
  </mergeCells>
  <conditionalFormatting sqref="AI3:AI12">
    <cfRule type="cellIs" dxfId="65" priority="17" operator="equal">
      <formula>"No PD"</formula>
    </cfRule>
  </conditionalFormatting>
  <conditionalFormatting sqref="AE3:AE12">
    <cfRule type="containsBlanks" dxfId="64" priority="21">
      <formula>LEN(TRIM(AE3))=0</formula>
    </cfRule>
  </conditionalFormatting>
  <conditionalFormatting sqref="AF3:AF12">
    <cfRule type="cellIs" dxfId="63" priority="16" operator="equal">
      <formula>1</formula>
    </cfRule>
  </conditionalFormatting>
  <conditionalFormatting sqref="AG3:AG12">
    <cfRule type="cellIs" dxfId="62" priority="15" operator="equal">
      <formula>"No PS"</formula>
    </cfRule>
  </conditionalFormatting>
  <conditionalFormatting sqref="AH3:AH12">
    <cfRule type="cellIs" dxfId="61" priority="13" operator="greaterThan">
      <formula>1</formula>
    </cfRule>
  </conditionalFormatting>
  <conditionalFormatting sqref="A3:BG12">
    <cfRule type="expression" dxfId="60" priority="71">
      <formula>MOD($T3,2)</formula>
    </cfRule>
  </conditionalFormatting>
  <pageMargins left="0.7" right="0.7" top="0.75" bottom="0.75" header="0.3" footer="0.3"/>
  <pageSetup orientation="portrait"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ellIs" priority="28" operator="greaterThan" id="{06C436C7-D443-46C8-A894-B657A5FF6F22}">
            <xm:f>Input!$P$10</xm:f>
            <x14:dxf>
              <font>
                <color rgb="FF9C6500"/>
              </font>
              <fill>
                <patternFill>
                  <bgColor rgb="FFFFEB9C"/>
                </patternFill>
              </fill>
            </x14:dxf>
          </x14:cfRule>
          <xm:sqref>D3:E12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F0"/>
  </sheetPr>
  <dimension ref="A1:EC13"/>
  <sheetViews>
    <sheetView topLeftCell="AE585" zoomScaleNormal="100" workbookViewId="0">
      <selection activeCell="BI612" sqref="BI612"/>
    </sheetView>
  </sheetViews>
  <sheetFormatPr defaultRowHeight="15" x14ac:dyDescent="0.25"/>
  <cols>
    <col min="1" max="1" width="15.625" style="5" customWidth="1"/>
    <col min="2" max="2" width="14.5" customWidth="1"/>
    <col min="3" max="3" width="13.875" customWidth="1"/>
    <col min="4" max="4" width="15.625" customWidth="1"/>
    <col min="5" max="5" width="5.375" customWidth="1"/>
    <col min="6" max="6" width="12.875" style="210" customWidth="1"/>
    <col min="7" max="7" width="9.375" style="210" customWidth="1"/>
    <col min="8" max="8" width="5.625" style="210" customWidth="1"/>
    <col min="9" max="9" width="11.625" style="210" customWidth="1"/>
    <col min="10" max="10" width="11.75" style="210" customWidth="1"/>
    <col min="11" max="11" width="24.625" style="76" customWidth="1"/>
    <col min="12" max="12" width="5.125" customWidth="1"/>
    <col min="13" max="13" width="6.25" style="210" customWidth="1"/>
    <col min="14" max="14" width="7.875" customWidth="1"/>
    <col min="15" max="15" width="8.875" customWidth="1"/>
    <col min="16" max="16" width="3.25" customWidth="1"/>
    <col min="17" max="17" width="13.875" style="53" customWidth="1"/>
    <col min="18" max="18" width="12.875" customWidth="1"/>
    <col min="19" max="19" width="20.125" customWidth="1"/>
    <col min="20" max="20" width="21.75" customWidth="1"/>
    <col min="21" max="21" width="4.5" customWidth="1"/>
    <col min="22" max="22" width="67.125" customWidth="1"/>
    <col min="23" max="23" width="2.5" style="5" customWidth="1"/>
    <col min="24" max="24" width="2.5" customWidth="1"/>
    <col min="25" max="25" width="10.125" customWidth="1"/>
    <col min="26" max="26" width="15.5" style="5" customWidth="1"/>
    <col min="27" max="27" width="5.125" customWidth="1"/>
    <col min="28" max="28" width="4" style="31" customWidth="1"/>
    <col min="29" max="29" width="3.375" style="31" customWidth="1"/>
    <col min="30" max="30" width="5" style="31" customWidth="1"/>
    <col min="31" max="31" width="5.75" style="31" customWidth="1"/>
    <col min="32" max="32" width="3.875" style="31" customWidth="1"/>
    <col min="33" max="33" width="6.25" style="31" customWidth="1"/>
    <col min="34" max="34" width="13.125" style="31" customWidth="1"/>
    <col min="35" max="35" width="4.25" style="189" customWidth="1"/>
    <col min="36" max="36" width="7.5" style="189" customWidth="1"/>
    <col min="37" max="37" width="7.25" style="31" customWidth="1"/>
    <col min="38" max="38" width="2.75" style="31" customWidth="1"/>
    <col min="39" max="39" width="10.5" style="31" customWidth="1"/>
    <col min="40" max="40" width="10.5" customWidth="1"/>
    <col min="41" max="41" width="12" customWidth="1"/>
    <col min="42" max="42" width="10.25" customWidth="1"/>
    <col min="43" max="43" width="4.875" customWidth="1"/>
    <col min="44" max="44" width="3.25" customWidth="1"/>
    <col min="45" max="45" width="6.125" style="124" customWidth="1"/>
    <col min="46" max="46" width="5.25" customWidth="1"/>
    <col min="47" max="47" width="7.625" customWidth="1"/>
    <col min="48" max="48" width="5" customWidth="1"/>
    <col min="49" max="49" width="7" customWidth="1"/>
    <col min="50" max="50" width="3.375" customWidth="1"/>
    <col min="51" max="51" width="4.875" customWidth="1"/>
    <col min="52" max="52" width="5.375" customWidth="1"/>
    <col min="53" max="53" width="7.5" style="4" customWidth="1"/>
    <col min="54" max="54" width="10.5" customWidth="1"/>
    <col min="55" max="55" width="15.5" customWidth="1"/>
    <col min="56" max="56" width="16.25" customWidth="1"/>
    <col min="57" max="57" width="4.125" customWidth="1"/>
    <col min="58" max="58" width="4.375" customWidth="1"/>
    <col min="59" max="59" width="3.125" customWidth="1"/>
    <col min="60" max="60" width="4" customWidth="1"/>
    <col min="61" max="61" width="18.25" customWidth="1"/>
    <col min="62" max="62" width="10.5" customWidth="1"/>
    <col min="63" max="63" width="15.5" customWidth="1"/>
    <col min="64" max="64" width="16.25" style="3" customWidth="1"/>
    <col min="65" max="65" width="4.125" customWidth="1"/>
    <col min="66" max="66" width="4.375" customWidth="1"/>
    <col min="67" max="67" width="3.125" customWidth="1"/>
    <col min="68" max="68" width="4" customWidth="1"/>
    <col min="69" max="69" width="19" bestFit="1" customWidth="1"/>
    <col min="70" max="70" width="10.5" customWidth="1"/>
    <col min="71" max="71" width="15.5" customWidth="1"/>
    <col min="72" max="72" width="16.25" customWidth="1"/>
    <col min="73" max="73" width="4.125" customWidth="1"/>
    <col min="74" max="74" width="4.375" customWidth="1"/>
    <col min="75" max="75" width="3.125" customWidth="1"/>
    <col min="76" max="76" width="4" style="3" customWidth="1"/>
    <col min="77" max="77" width="19" bestFit="1" customWidth="1"/>
    <col min="78" max="78" width="10.5" customWidth="1"/>
    <col min="79" max="79" width="15.5" customWidth="1"/>
    <col min="80" max="80" width="16.25" customWidth="1"/>
    <col min="81" max="81" width="4.125" customWidth="1"/>
    <col min="82" max="82" width="4.375" customWidth="1"/>
    <col min="83" max="83" width="3.125" style="3" customWidth="1"/>
    <col min="84" max="84" width="4" customWidth="1"/>
    <col min="85" max="85" width="19" bestFit="1" customWidth="1"/>
    <col min="86" max="86" width="10.5" customWidth="1"/>
    <col min="87" max="87" width="15.5" style="3" customWidth="1"/>
    <col min="88" max="88" width="16.25" customWidth="1"/>
    <col min="89" max="89" width="4.125" customWidth="1"/>
    <col min="90" max="90" width="4.375" customWidth="1"/>
    <col min="91" max="91" width="3.125" customWidth="1"/>
    <col min="92" max="92" width="4" customWidth="1"/>
    <col min="93" max="93" width="19" bestFit="1" customWidth="1"/>
    <col min="94" max="94" width="10.5" customWidth="1"/>
    <col min="95" max="95" width="15.5" customWidth="1"/>
    <col min="96" max="96" width="16.25" customWidth="1"/>
    <col min="97" max="97" width="4.125" customWidth="1"/>
    <col min="98" max="98" width="4.375" customWidth="1"/>
    <col min="99" max="99" width="3.125" customWidth="1"/>
    <col min="100" max="100" width="4" customWidth="1"/>
    <col min="101" max="101" width="19" bestFit="1" customWidth="1"/>
    <col min="102" max="102" width="10.5" customWidth="1"/>
    <col min="103" max="103" width="15.5" customWidth="1"/>
    <col min="104" max="104" width="16.25" style="31" customWidth="1"/>
    <col min="105" max="105" width="4.125" customWidth="1"/>
    <col min="106" max="106" width="4.375" customWidth="1"/>
    <col min="107" max="107" width="3.125" customWidth="1"/>
    <col min="108" max="108" width="4" customWidth="1"/>
    <col min="109" max="109" width="19" bestFit="1" customWidth="1"/>
    <col min="110" max="110" width="10.5" customWidth="1"/>
    <col min="111" max="111" width="15.5" customWidth="1"/>
    <col min="112" max="112" width="16.25" customWidth="1"/>
    <col min="113" max="113" width="4.125" customWidth="1"/>
    <col min="114" max="114" width="4.375" customWidth="1"/>
    <col min="115" max="115" width="3.125" customWidth="1"/>
    <col min="116" max="116" width="4" customWidth="1"/>
    <col min="117" max="117" width="19" bestFit="1" customWidth="1"/>
    <col min="118" max="118" width="10.5" customWidth="1"/>
    <col min="119" max="119" width="15.5" customWidth="1"/>
    <col min="120" max="120" width="16.25" customWidth="1"/>
    <col min="121" max="121" width="4.125" customWidth="1"/>
    <col min="122" max="122" width="4.375" customWidth="1"/>
    <col min="123" max="123" width="3.125" customWidth="1"/>
    <col min="124" max="124" width="4" customWidth="1"/>
    <col min="125" max="125" width="19" bestFit="1" customWidth="1"/>
    <col min="126" max="126" width="10.5" customWidth="1"/>
    <col min="127" max="127" width="15.5" customWidth="1"/>
    <col min="128" max="128" width="16.25" customWidth="1"/>
    <col min="129" max="129" width="4.125" customWidth="1"/>
    <col min="130" max="130" width="4.375" customWidth="1"/>
    <col min="131" max="131" width="3.125" customWidth="1"/>
    <col min="132" max="132" width="4" customWidth="1"/>
    <col min="133" max="133" width="19" bestFit="1" customWidth="1"/>
  </cols>
  <sheetData>
    <row r="1" spans="1:133" s="48" customFormat="1" ht="15.75" thickBot="1" x14ac:dyDescent="0.3">
      <c r="A1" s="242"/>
      <c r="B1" s="293" t="s">
        <v>136</v>
      </c>
      <c r="C1" s="294"/>
      <c r="D1" s="294"/>
      <c r="E1" s="295"/>
      <c r="F1" s="299" t="s">
        <v>137</v>
      </c>
      <c r="G1" s="300"/>
      <c r="H1" s="300"/>
      <c r="I1" s="300"/>
      <c r="J1" s="300"/>
      <c r="K1" s="300"/>
      <c r="L1" s="300"/>
      <c r="M1" s="301"/>
      <c r="N1" s="289" t="s">
        <v>138</v>
      </c>
      <c r="O1" s="290"/>
      <c r="P1" s="290"/>
      <c r="Q1" s="290"/>
      <c r="R1" s="290"/>
      <c r="S1" s="290"/>
      <c r="T1" s="290"/>
      <c r="U1" s="290"/>
      <c r="V1" s="291"/>
      <c r="W1" s="305" t="s">
        <v>139</v>
      </c>
      <c r="X1" s="306"/>
      <c r="Y1" s="306"/>
      <c r="Z1" s="306"/>
      <c r="AA1" s="306"/>
      <c r="AB1" s="306"/>
      <c r="AC1" s="306"/>
      <c r="AD1" s="306"/>
      <c r="AE1" s="306"/>
      <c r="AF1" s="306"/>
      <c r="AG1" s="306"/>
      <c r="AH1" s="306"/>
      <c r="AI1" s="306"/>
      <c r="AJ1" s="306"/>
      <c r="AK1" s="306"/>
      <c r="AL1" s="306"/>
      <c r="AM1" s="306"/>
      <c r="AN1" s="306"/>
      <c r="AO1" s="306"/>
      <c r="AP1" s="306"/>
      <c r="AQ1" s="306"/>
      <c r="AR1" s="306"/>
      <c r="AS1" s="306"/>
      <c r="AT1" s="306"/>
      <c r="AU1" s="306"/>
      <c r="AV1" s="306"/>
      <c r="AW1" s="306"/>
      <c r="AX1" s="49"/>
      <c r="AY1" s="49"/>
      <c r="AZ1" s="49"/>
      <c r="BA1" s="49"/>
      <c r="BB1" s="49"/>
      <c r="BC1" s="49"/>
      <c r="BD1" s="49"/>
      <c r="BE1" s="49"/>
      <c r="BF1" s="49"/>
      <c r="BG1" s="49"/>
      <c r="BH1" s="49"/>
      <c r="BI1" s="49"/>
      <c r="BJ1" s="49"/>
      <c r="BK1" s="49"/>
      <c r="BL1" s="49"/>
      <c r="BM1" s="49"/>
      <c r="BN1" s="49"/>
      <c r="BO1" s="49"/>
      <c r="BP1" s="49"/>
      <c r="BQ1" s="49"/>
      <c r="BR1" s="49"/>
      <c r="BS1" s="49"/>
      <c r="BT1" s="49"/>
      <c r="BU1" s="49"/>
      <c r="BV1" s="49"/>
      <c r="BW1" s="49"/>
      <c r="BX1" s="49"/>
      <c r="BY1" s="49"/>
      <c r="BZ1" s="49"/>
      <c r="CA1" s="49"/>
      <c r="CB1" s="49"/>
      <c r="CC1" s="49"/>
      <c r="CD1" s="49"/>
      <c r="CE1" s="49"/>
      <c r="CF1" s="49"/>
      <c r="CG1" s="49"/>
      <c r="CH1" s="49"/>
      <c r="CI1" s="49"/>
      <c r="CJ1" s="49"/>
      <c r="CK1" s="49"/>
      <c r="CL1" s="49"/>
      <c r="CM1" s="49"/>
      <c r="CN1" s="49"/>
      <c r="CO1" s="49"/>
      <c r="CP1" s="49"/>
      <c r="CQ1" s="49"/>
      <c r="CR1" s="49"/>
      <c r="CS1" s="49"/>
      <c r="CT1" s="49"/>
      <c r="CU1" s="49"/>
      <c r="CV1" s="49"/>
      <c r="CW1" s="49"/>
      <c r="CX1" s="49"/>
      <c r="CY1" s="49"/>
      <c r="CZ1" s="49"/>
      <c r="DA1" s="49"/>
      <c r="DB1" s="49"/>
      <c r="DC1" s="49"/>
      <c r="DD1" s="49"/>
      <c r="DE1" s="49"/>
      <c r="DF1" s="49"/>
      <c r="DG1" s="49"/>
      <c r="DH1" s="49"/>
      <c r="DI1" s="49"/>
      <c r="DJ1" s="49"/>
      <c r="DK1" s="49"/>
      <c r="DL1" s="49"/>
      <c r="DM1" s="49"/>
      <c r="DN1" s="49"/>
      <c r="DO1" s="49"/>
      <c r="DP1" s="49"/>
      <c r="DQ1" s="49"/>
      <c r="DR1" s="49"/>
      <c r="DS1" s="49"/>
      <c r="DT1" s="49"/>
      <c r="DU1" s="49"/>
      <c r="DV1" s="49"/>
      <c r="DW1" s="49"/>
      <c r="DX1" s="49"/>
      <c r="DY1" s="49"/>
      <c r="DZ1" s="49"/>
      <c r="EA1" s="49"/>
      <c r="EB1" s="49"/>
      <c r="EC1" s="49"/>
    </row>
    <row r="2" spans="1:133" s="48" customFormat="1" x14ac:dyDescent="0.25">
      <c r="A2" s="243"/>
      <c r="B2" s="293"/>
      <c r="C2" s="294"/>
      <c r="D2" s="294"/>
      <c r="E2" s="295"/>
      <c r="F2" s="299"/>
      <c r="G2" s="300"/>
      <c r="H2" s="300"/>
      <c r="I2" s="300"/>
      <c r="J2" s="300"/>
      <c r="K2" s="300"/>
      <c r="L2" s="300"/>
      <c r="M2" s="301"/>
      <c r="N2" s="296"/>
      <c r="O2" s="297"/>
      <c r="P2" s="297"/>
      <c r="Q2" s="297"/>
      <c r="R2" s="297"/>
      <c r="S2" s="297"/>
      <c r="T2" s="297"/>
      <c r="U2" s="297"/>
      <c r="V2" s="298"/>
      <c r="W2" s="302" t="s">
        <v>140</v>
      </c>
      <c r="X2" s="303"/>
      <c r="Y2" s="303"/>
      <c r="Z2" s="303"/>
      <c r="AA2" s="303"/>
      <c r="AB2" s="303"/>
      <c r="AC2" s="303"/>
      <c r="AD2" s="303"/>
      <c r="AE2" s="303"/>
      <c r="AF2" s="303"/>
      <c r="AG2" s="303"/>
      <c r="AH2" s="303"/>
      <c r="AI2" s="303"/>
      <c r="AJ2" s="303"/>
      <c r="AK2" s="303"/>
      <c r="AL2" s="303"/>
      <c r="AM2" s="303"/>
      <c r="AN2" s="303"/>
      <c r="AO2" s="303"/>
      <c r="AP2" s="303"/>
      <c r="AQ2" s="303"/>
      <c r="AR2" s="303"/>
      <c r="AS2" s="303"/>
      <c r="AT2" s="303"/>
      <c r="AU2" s="303"/>
      <c r="AV2" s="303"/>
      <c r="AW2" s="304"/>
      <c r="AX2" s="307"/>
      <c r="AY2" s="307"/>
      <c r="AZ2" s="307"/>
      <c r="BA2" s="307"/>
      <c r="BB2" s="289" t="s">
        <v>141</v>
      </c>
      <c r="BC2" s="290"/>
      <c r="BD2" s="290"/>
      <c r="BE2" s="290"/>
      <c r="BF2" s="290"/>
      <c r="BG2" s="290"/>
      <c r="BH2" s="290"/>
      <c r="BI2" s="291"/>
      <c r="BJ2" s="286" t="s">
        <v>142</v>
      </c>
      <c r="BK2" s="287"/>
      <c r="BL2" s="287"/>
      <c r="BM2" s="287"/>
      <c r="BN2" s="287"/>
      <c r="BO2" s="287"/>
      <c r="BP2" s="287"/>
      <c r="BQ2" s="288"/>
      <c r="BR2" s="289" t="s">
        <v>143</v>
      </c>
      <c r="BS2" s="290"/>
      <c r="BT2" s="290"/>
      <c r="BU2" s="290"/>
      <c r="BV2" s="290"/>
      <c r="BW2" s="290"/>
      <c r="BX2" s="290"/>
      <c r="BY2" s="291"/>
      <c r="BZ2" s="286" t="s">
        <v>144</v>
      </c>
      <c r="CA2" s="287"/>
      <c r="CB2" s="287"/>
      <c r="CC2" s="287"/>
      <c r="CD2" s="287"/>
      <c r="CE2" s="287"/>
      <c r="CF2" s="287"/>
      <c r="CG2" s="288"/>
      <c r="CH2" s="289" t="s">
        <v>145</v>
      </c>
      <c r="CI2" s="290"/>
      <c r="CJ2" s="290"/>
      <c r="CK2" s="290"/>
      <c r="CL2" s="290"/>
      <c r="CM2" s="290"/>
      <c r="CN2" s="290"/>
      <c r="CO2" s="291"/>
      <c r="CP2" s="286" t="s">
        <v>146</v>
      </c>
      <c r="CQ2" s="287"/>
      <c r="CR2" s="287"/>
      <c r="CS2" s="287"/>
      <c r="CT2" s="287"/>
      <c r="CU2" s="287"/>
      <c r="CV2" s="287"/>
      <c r="CW2" s="288"/>
      <c r="CX2" s="289" t="s">
        <v>147</v>
      </c>
      <c r="CY2" s="290"/>
      <c r="CZ2" s="290"/>
      <c r="DA2" s="290"/>
      <c r="DB2" s="290"/>
      <c r="DC2" s="290"/>
      <c r="DD2" s="290"/>
      <c r="DE2" s="291"/>
      <c r="DF2" s="287" t="s">
        <v>148</v>
      </c>
      <c r="DG2" s="287"/>
      <c r="DH2" s="287"/>
      <c r="DI2" s="287"/>
      <c r="DJ2" s="287"/>
      <c r="DK2" s="287"/>
      <c r="DL2" s="287"/>
      <c r="DM2" s="287"/>
      <c r="DN2" s="290" t="s">
        <v>149</v>
      </c>
      <c r="DO2" s="290"/>
      <c r="DP2" s="290"/>
      <c r="DQ2" s="290"/>
      <c r="DR2" s="290"/>
      <c r="DS2" s="290"/>
      <c r="DT2" s="290"/>
      <c r="DU2" s="290"/>
      <c r="DV2" s="286" t="s">
        <v>150</v>
      </c>
      <c r="DW2" s="287"/>
      <c r="DX2" s="287"/>
      <c r="DY2" s="287"/>
      <c r="DZ2" s="287"/>
      <c r="EA2" s="287"/>
      <c r="EB2" s="287"/>
      <c r="EC2" s="292"/>
    </row>
    <row r="3" spans="1:133" x14ac:dyDescent="0.25">
      <c r="A3" s="244" t="s">
        <v>371</v>
      </c>
      <c r="B3" s="36" t="s">
        <v>75</v>
      </c>
      <c r="C3" s="38" t="s">
        <v>76</v>
      </c>
      <c r="D3" s="108" t="s">
        <v>84</v>
      </c>
      <c r="E3" s="43" t="s">
        <v>215</v>
      </c>
      <c r="F3" s="36" t="s">
        <v>59</v>
      </c>
      <c r="G3" s="37" t="s">
        <v>0</v>
      </c>
      <c r="H3" s="37" t="s">
        <v>60</v>
      </c>
      <c r="I3" s="37" t="s">
        <v>61</v>
      </c>
      <c r="J3" s="37" t="s">
        <v>67</v>
      </c>
      <c r="K3" s="245" t="s">
        <v>68</v>
      </c>
      <c r="L3" s="37" t="s">
        <v>356</v>
      </c>
      <c r="M3" s="43" t="s">
        <v>349</v>
      </c>
      <c r="N3" s="36" t="s">
        <v>73</v>
      </c>
      <c r="O3" s="52" t="s">
        <v>74</v>
      </c>
      <c r="P3" s="37" t="s">
        <v>133</v>
      </c>
      <c r="Q3" s="37" t="s">
        <v>62</v>
      </c>
      <c r="R3" s="37" t="s">
        <v>63</v>
      </c>
      <c r="S3" s="107" t="s">
        <v>89</v>
      </c>
      <c r="T3" s="37" t="s">
        <v>64</v>
      </c>
      <c r="U3" s="37" t="s">
        <v>65</v>
      </c>
      <c r="V3" s="43" t="s">
        <v>66</v>
      </c>
      <c r="W3" s="36" t="s">
        <v>69</v>
      </c>
      <c r="X3" s="37" t="s">
        <v>77</v>
      </c>
      <c r="Y3" s="37" t="s">
        <v>70</v>
      </c>
      <c r="Z3" s="38" t="s">
        <v>71</v>
      </c>
      <c r="AA3" s="37" t="s">
        <v>135</v>
      </c>
      <c r="AB3" s="50" t="s">
        <v>85</v>
      </c>
      <c r="AC3" s="50" t="s">
        <v>216</v>
      </c>
      <c r="AD3" s="186" t="s">
        <v>339</v>
      </c>
      <c r="AE3" s="50" t="s">
        <v>134</v>
      </c>
      <c r="AF3" s="50" t="s">
        <v>381</v>
      </c>
      <c r="AG3" s="50" t="s">
        <v>78</v>
      </c>
      <c r="AH3" s="78" t="s">
        <v>58</v>
      </c>
      <c r="AI3" s="50" t="s">
        <v>79</v>
      </c>
      <c r="AJ3" s="50" t="s">
        <v>80</v>
      </c>
      <c r="AK3" s="50" t="s">
        <v>81</v>
      </c>
      <c r="AL3" s="50" t="s">
        <v>55</v>
      </c>
      <c r="AM3" s="78" t="s">
        <v>57</v>
      </c>
      <c r="AN3" s="41" t="s">
        <v>56</v>
      </c>
      <c r="AO3" s="41" t="s">
        <v>82</v>
      </c>
      <c r="AP3" s="41" t="s">
        <v>83</v>
      </c>
      <c r="AQ3" s="213" t="s">
        <v>370</v>
      </c>
      <c r="AR3" s="37" t="s">
        <v>376</v>
      </c>
      <c r="AS3" s="37" t="s">
        <v>373</v>
      </c>
      <c r="AT3" s="37" t="s">
        <v>2</v>
      </c>
      <c r="AU3" s="37" t="s">
        <v>3</v>
      </c>
      <c r="AV3" s="37" t="s">
        <v>96</v>
      </c>
      <c r="AW3" s="43" t="s">
        <v>4</v>
      </c>
      <c r="AX3" s="210" t="s">
        <v>389</v>
      </c>
      <c r="AY3" s="97" t="s">
        <v>340</v>
      </c>
      <c r="AZ3" s="210" t="s">
        <v>217</v>
      </c>
      <c r="BA3" s="210" t="s">
        <v>218</v>
      </c>
      <c r="BB3" s="36" t="s">
        <v>5</v>
      </c>
      <c r="BC3" s="37" t="s">
        <v>411</v>
      </c>
      <c r="BD3" s="37" t="s">
        <v>410</v>
      </c>
      <c r="BE3" s="37" t="s">
        <v>6</v>
      </c>
      <c r="BF3" s="37" t="s">
        <v>98</v>
      </c>
      <c r="BG3" s="37" t="s">
        <v>99</v>
      </c>
      <c r="BH3" s="37" t="s">
        <v>7</v>
      </c>
      <c r="BI3" s="43" t="s">
        <v>8</v>
      </c>
      <c r="BJ3" s="36" t="s">
        <v>10</v>
      </c>
      <c r="BK3" s="37" t="s">
        <v>413</v>
      </c>
      <c r="BL3" s="37" t="s">
        <v>412</v>
      </c>
      <c r="BM3" s="37" t="s">
        <v>11</v>
      </c>
      <c r="BN3" s="37" t="s">
        <v>101</v>
      </c>
      <c r="BO3" s="37" t="s">
        <v>102</v>
      </c>
      <c r="BP3" s="37" t="s">
        <v>12</v>
      </c>
      <c r="BQ3" s="43" t="s">
        <v>13</v>
      </c>
      <c r="BR3" s="36" t="s">
        <v>15</v>
      </c>
      <c r="BS3" s="37" t="s">
        <v>415</v>
      </c>
      <c r="BT3" s="37" t="s">
        <v>414</v>
      </c>
      <c r="BU3" s="37" t="s">
        <v>16</v>
      </c>
      <c r="BV3" s="37" t="s">
        <v>104</v>
      </c>
      <c r="BW3" s="37" t="s">
        <v>105</v>
      </c>
      <c r="BX3" s="37" t="s">
        <v>17</v>
      </c>
      <c r="BY3" s="43" t="s">
        <v>18</v>
      </c>
      <c r="BZ3" s="36" t="s">
        <v>20</v>
      </c>
      <c r="CA3" s="37" t="s">
        <v>417</v>
      </c>
      <c r="CB3" s="37" t="s">
        <v>416</v>
      </c>
      <c r="CC3" s="37" t="s">
        <v>21</v>
      </c>
      <c r="CD3" s="37" t="s">
        <v>107</v>
      </c>
      <c r="CE3" s="37" t="s">
        <v>108</v>
      </c>
      <c r="CF3" s="37" t="s">
        <v>22</v>
      </c>
      <c r="CG3" s="43" t="s">
        <v>23</v>
      </c>
      <c r="CH3" s="36" t="s">
        <v>25</v>
      </c>
      <c r="CI3" s="37" t="s">
        <v>419</v>
      </c>
      <c r="CJ3" s="37" t="s">
        <v>418</v>
      </c>
      <c r="CK3" s="37" t="s">
        <v>26</v>
      </c>
      <c r="CL3" s="50" t="s">
        <v>110</v>
      </c>
      <c r="CM3" s="37" t="s">
        <v>111</v>
      </c>
      <c r="CN3" s="37" t="s">
        <v>27</v>
      </c>
      <c r="CO3" s="43" t="s">
        <v>28</v>
      </c>
      <c r="CP3" s="36" t="s">
        <v>30</v>
      </c>
      <c r="CQ3" s="37" t="s">
        <v>421</v>
      </c>
      <c r="CR3" s="37" t="s">
        <v>420</v>
      </c>
      <c r="CS3" s="37" t="s">
        <v>31</v>
      </c>
      <c r="CT3" s="37" t="s">
        <v>113</v>
      </c>
      <c r="CU3" s="37" t="s">
        <v>114</v>
      </c>
      <c r="CV3" s="37" t="s">
        <v>32</v>
      </c>
      <c r="CW3" s="43" t="s">
        <v>33</v>
      </c>
      <c r="CX3" s="36" t="s">
        <v>35</v>
      </c>
      <c r="CY3" s="37" t="s">
        <v>423</v>
      </c>
      <c r="CZ3" s="37" t="s">
        <v>422</v>
      </c>
      <c r="DA3" s="37" t="s">
        <v>36</v>
      </c>
      <c r="DB3" s="37" t="s">
        <v>116</v>
      </c>
      <c r="DC3" s="37" t="s">
        <v>117</v>
      </c>
      <c r="DD3" s="37" t="s">
        <v>37</v>
      </c>
      <c r="DE3" s="43" t="s">
        <v>38</v>
      </c>
      <c r="DF3" s="37" t="s">
        <v>40</v>
      </c>
      <c r="DG3" s="37" t="s">
        <v>425</v>
      </c>
      <c r="DH3" s="37" t="s">
        <v>424</v>
      </c>
      <c r="DI3" s="37" t="s">
        <v>41</v>
      </c>
      <c r="DJ3" s="37" t="s">
        <v>119</v>
      </c>
      <c r="DK3" s="37" t="s">
        <v>120</v>
      </c>
      <c r="DL3" s="37" t="s">
        <v>42</v>
      </c>
      <c r="DM3" s="37" t="s">
        <v>43</v>
      </c>
      <c r="DN3" s="36" t="s">
        <v>45</v>
      </c>
      <c r="DO3" s="37" t="s">
        <v>427</v>
      </c>
      <c r="DP3" s="37" t="s">
        <v>426</v>
      </c>
      <c r="DQ3" s="37" t="s">
        <v>46</v>
      </c>
      <c r="DR3" s="37" t="s">
        <v>122</v>
      </c>
      <c r="DS3" s="37" t="s">
        <v>123</v>
      </c>
      <c r="DT3" s="37" t="s">
        <v>47</v>
      </c>
      <c r="DU3" s="37" t="s">
        <v>48</v>
      </c>
      <c r="DV3" s="36" t="s">
        <v>50</v>
      </c>
      <c r="DW3" s="37" t="s">
        <v>429</v>
      </c>
      <c r="DX3" s="37" t="s">
        <v>428</v>
      </c>
      <c r="DY3" s="37" t="s">
        <v>51</v>
      </c>
      <c r="DZ3" s="37" t="s">
        <v>125</v>
      </c>
      <c r="EA3" s="37" t="s">
        <v>126</v>
      </c>
      <c r="EB3" s="37" t="s">
        <v>52</v>
      </c>
      <c r="EC3" s="261" t="s">
        <v>53</v>
      </c>
    </row>
    <row r="4" spans="1:133" x14ac:dyDescent="0.25">
      <c r="A4" s="5">
        <v>43033.566562499997</v>
      </c>
      <c r="B4" s="36"/>
      <c r="C4" s="38"/>
      <c r="D4" s="38">
        <v>42371.698611111111</v>
      </c>
      <c r="E4" s="43"/>
      <c r="F4" s="36" t="s">
        <v>480</v>
      </c>
      <c r="G4" s="37" t="s">
        <v>481</v>
      </c>
      <c r="H4" s="37" t="s">
        <v>482</v>
      </c>
      <c r="I4" s="37" t="s">
        <v>479</v>
      </c>
      <c r="J4" s="37" t="s">
        <v>436</v>
      </c>
      <c r="K4" s="245" t="s">
        <v>490</v>
      </c>
      <c r="L4" s="37" t="s">
        <v>486</v>
      </c>
      <c r="M4" s="43"/>
      <c r="N4" s="36"/>
      <c r="O4" s="52" t="s">
        <v>478</v>
      </c>
      <c r="P4" s="115" t="str">
        <f>HYPERLINK(CONCATENATE("https://www.ejacket.nsf.gov/ej/showProposal.do?Continue=Y&amp;ID=",SUBSTITUTE(CompByProjTable[[#This Row],[prop_id]],CHAR(160),"")),"eJ")</f>
        <v>eJ</v>
      </c>
      <c r="Q4" s="37" t="s">
        <v>487</v>
      </c>
      <c r="R4" s="37" t="s">
        <v>473</v>
      </c>
      <c r="S4" s="37" t="s">
        <v>578</v>
      </c>
      <c r="T4" s="37" t="s">
        <v>488</v>
      </c>
      <c r="U4" s="37" t="s">
        <v>441</v>
      </c>
      <c r="V4" s="43" t="s">
        <v>489</v>
      </c>
      <c r="W4" s="36" t="s">
        <v>72</v>
      </c>
      <c r="X4" s="37" t="s">
        <v>72</v>
      </c>
      <c r="Y4" s="37" t="s">
        <v>491</v>
      </c>
      <c r="Z4" s="38">
        <v>42371.699282407404</v>
      </c>
      <c r="AA4" s="37"/>
      <c r="AB4" s="50"/>
      <c r="AC4" s="188" t="str">
        <f>IF(CompByProjTable[[#This Row],[ProjSumm]]="TBC",HYPERLINK(CONCATENATE("https://www.ejacket.nsf.gov/ej/showProposal.do?Continue=Y&amp;ID=",SUBSTITUTE(CompByProjTable[[#This Row],[prop_id]],CHAR(160),"")),"eJ"),"")</f>
        <v/>
      </c>
      <c r="AD4" s="188" t="str">
        <f>IF(CompByProjTable[[#This Row],[ProjSumm]]="TBC",HYPERLINK(("https://www.ejacket.nsf.gov/ej/showProjectSummaryPdf.do"),"-&gt;PS"),"")</f>
        <v/>
      </c>
      <c r="AE4" s="50" t="s">
        <v>438</v>
      </c>
      <c r="AF4" s="50"/>
      <c r="AG4" s="50" t="s">
        <v>439</v>
      </c>
      <c r="AH4" s="78"/>
      <c r="AI4" s="50"/>
      <c r="AJ4" s="50" t="s">
        <v>492</v>
      </c>
      <c r="AK4" s="50" t="s">
        <v>493</v>
      </c>
      <c r="AL4" s="50"/>
      <c r="AM4" s="78"/>
      <c r="AN4" s="41">
        <v>0</v>
      </c>
      <c r="AO4" s="41"/>
      <c r="AP4" s="41"/>
      <c r="AQ4" s="123">
        <v>1</v>
      </c>
      <c r="AR4" s="116" t="str">
        <f>IF(CompByProjTable[[#This Row],[oth_supp_cnt]]&gt;0,HYPERLINK(CONCATENATE("https://www.ejacket.nsf.gov/ej/showProposal.do?Continue=Y&amp;ID=",SUBSTITUTE(CompByProjTable[[#This Row],[prop_id]],CHAR(160),"")),"eJ&gt;"),"")</f>
        <v>eJ&gt;</v>
      </c>
      <c r="AS4" s="116" t="str">
        <f>IF(CompByProjTable[[#This Row],[oth_supp_cnt]]&gt;0, HYPERLINK(CONCATENATE("https://www.ejacket.nsf.gov/ej/showSupplementaryDocPdf.do?uniqId=?Continue=Y&amp;ID=",SUBSTITUTE(CompByProjTable[[#This Row],[prop_id]],CHAR(160),"")),"OthSuppDoc"),"")</f>
        <v>OthSuppDoc</v>
      </c>
      <c r="AT4" s="37">
        <v>1</v>
      </c>
      <c r="AU4" s="37">
        <v>1</v>
      </c>
      <c r="AV4" s="37" t="s">
        <v>574</v>
      </c>
      <c r="AW4" s="43">
        <v>0</v>
      </c>
      <c r="AX4" s="1" t="str">
        <f>HYPERLINK(CONCATENATE("https://www.ejacket.nsf.gov/ej/showProposal.do?Continue=Y&amp;ID=",SUBSTITUTE(CompByProjTable[[#This Row],[prop_id]],CHAR(160),"")),"eJ")</f>
        <v>eJ</v>
      </c>
      <c r="AY4" s="1" t="str">
        <f t="shared" ref="AY4:AY11" si="0">HYPERLINK(("https://www.ejacket.nsf.gov/ej/showProjectDescPdf.do"),"-&gt;PD")</f>
        <v>-&gt;PD</v>
      </c>
      <c r="AZ4" s="1" t="str">
        <f>HYPERLINK(CONCATENATE("http://dis-checker-p01/solr/collection1/browse?q=Proposal_ID:(",SUBSTITUTE(CompByProjTable[[#This Row],[prop_id]],CHAR(160),""),")%20AND%20(%22Broad*%20Impact*%22~2)","&amp;description=on&amp;fq=Section_Title%3A%28%22Project+Description%22%29&amp;rows=50&amp;%20hl.snippets=20&amp;hl.fragsize=3000&amp;defType=complexphrase"), "solr-BIPW")</f>
        <v>solr-BIPW</v>
      </c>
      <c r="BA4" s="1" t="str">
        <f>HYPERLINK(CONCATENATE("http://dis-checker-p01/solr/collection1/browse?q=Proposal_ID:(",SUBSTITUTE(CompByProjTable[[#This Row],[prop_id]],CHAR(160),""),")%20AND%20(%20prior%20OR%20NSF%20OR%20support%20)","&amp;description=on&amp;fq=Section_Title%3A%28%22Project+Description%22%29&amp;rows=50&amp;%20hl.snippets=20&amp;hl.fragsize=3000&amp;defType=complexphrase"), "solr-RPS")</f>
        <v>solr-RPS</v>
      </c>
      <c r="BB4" s="36" t="s">
        <v>487</v>
      </c>
      <c r="BC4" s="37" t="s">
        <v>488</v>
      </c>
      <c r="BD4" s="37" t="s">
        <v>578</v>
      </c>
      <c r="BE4" s="37">
        <v>2</v>
      </c>
      <c r="BF4" s="37"/>
      <c r="BG4" s="37"/>
      <c r="BH4" s="37"/>
      <c r="BI4" s="43"/>
      <c r="BJ4" s="36"/>
      <c r="BK4" s="37"/>
      <c r="BL4" s="37"/>
      <c r="BM4" s="37"/>
      <c r="BN4" s="37"/>
      <c r="BO4" s="37"/>
      <c r="BP4" s="37"/>
      <c r="BQ4" s="43"/>
      <c r="BR4" s="36"/>
      <c r="BS4" s="37"/>
      <c r="BT4" s="37"/>
      <c r="BU4" s="37"/>
      <c r="BV4" s="37"/>
      <c r="BW4" s="37"/>
      <c r="BX4" s="37"/>
      <c r="BY4" s="43"/>
      <c r="BZ4" s="36"/>
      <c r="CA4" s="37"/>
      <c r="CB4" s="37"/>
      <c r="CC4" s="37"/>
      <c r="CD4" s="37"/>
      <c r="CE4" s="37"/>
      <c r="CF4" s="37"/>
      <c r="CG4" s="43"/>
      <c r="CH4" s="36"/>
      <c r="CI4" s="37"/>
      <c r="CJ4" s="37"/>
      <c r="CK4" s="37"/>
      <c r="CL4" s="50"/>
      <c r="CM4" s="37"/>
      <c r="CN4" s="37"/>
      <c r="CO4" s="43"/>
      <c r="CP4" s="36"/>
      <c r="CQ4" s="37"/>
      <c r="CR4" s="37"/>
      <c r="CS4" s="37"/>
      <c r="CT4" s="37"/>
      <c r="CU4" s="37"/>
      <c r="CV4" s="37"/>
      <c r="CW4" s="43"/>
      <c r="CX4" s="36"/>
      <c r="CY4" s="37"/>
      <c r="CZ4" s="37"/>
      <c r="DA4" s="37"/>
      <c r="DB4" s="37"/>
      <c r="DC4" s="37"/>
      <c r="DD4" s="37"/>
      <c r="DE4" s="43"/>
      <c r="DF4" s="37"/>
      <c r="DG4" s="37"/>
      <c r="DH4" s="37"/>
      <c r="DI4" s="37"/>
      <c r="DJ4" s="37"/>
      <c r="DK4" s="37"/>
      <c r="DL4" s="37"/>
      <c r="DM4" s="37"/>
      <c r="DN4" s="36"/>
      <c r="DO4" s="37"/>
      <c r="DP4" s="37"/>
      <c r="DQ4" s="37"/>
      <c r="DR4" s="37"/>
      <c r="DS4" s="37"/>
      <c r="DT4" s="37"/>
      <c r="DU4" s="37"/>
      <c r="DV4" s="36"/>
      <c r="DW4" s="37"/>
      <c r="DX4" s="37"/>
      <c r="DY4" s="37"/>
      <c r="DZ4" s="37"/>
      <c r="EA4" s="37"/>
      <c r="EB4" s="37"/>
      <c r="EC4" s="261"/>
    </row>
    <row r="5" spans="1:133" x14ac:dyDescent="0.25">
      <c r="A5" s="5">
        <v>43033.566562499997</v>
      </c>
      <c r="B5" s="36"/>
      <c r="C5" s="38"/>
      <c r="D5" s="38">
        <v>42373</v>
      </c>
      <c r="E5" s="43"/>
      <c r="F5" s="36" t="s">
        <v>496</v>
      </c>
      <c r="G5" s="37" t="s">
        <v>497</v>
      </c>
      <c r="H5" s="37" t="s">
        <v>498</v>
      </c>
      <c r="I5" s="37" t="s">
        <v>495</v>
      </c>
      <c r="J5" s="37" t="s">
        <v>507</v>
      </c>
      <c r="K5" s="245" t="s">
        <v>508</v>
      </c>
      <c r="L5" s="37" t="s">
        <v>504</v>
      </c>
      <c r="M5" s="43"/>
      <c r="N5" s="36"/>
      <c r="O5" s="52" t="s">
        <v>494</v>
      </c>
      <c r="P5" s="115" t="str">
        <f>HYPERLINK(CONCATENATE("https://www.ejacket.nsf.gov/ej/showProposal.do?Continue=Y&amp;ID=",SUBSTITUTE(CompByProjTable[[#This Row],[prop_id]],CHAR(160),"")),"eJ")</f>
        <v>eJ</v>
      </c>
      <c r="Q5" s="37" t="s">
        <v>457</v>
      </c>
      <c r="R5" s="37" t="s">
        <v>505</v>
      </c>
      <c r="S5" s="37" t="s">
        <v>579</v>
      </c>
      <c r="T5" s="37" t="s">
        <v>458</v>
      </c>
      <c r="U5" s="37" t="s">
        <v>459</v>
      </c>
      <c r="V5" s="43" t="s">
        <v>506</v>
      </c>
      <c r="W5" s="36" t="s">
        <v>72</v>
      </c>
      <c r="X5" s="37"/>
      <c r="Y5" s="37" t="s">
        <v>460</v>
      </c>
      <c r="Z5" s="38">
        <v>42373.506481481483</v>
      </c>
      <c r="AA5" s="37"/>
      <c r="AB5" s="50"/>
      <c r="AC5" s="188" t="str">
        <f>IF(CompByProjTable[[#This Row],[ProjSumm]]="TBC",HYPERLINK(CONCATENATE("https://www.ejacket.nsf.gov/ej/showProposal.do?Continue=Y&amp;ID=",SUBSTITUTE(CompByProjTable[[#This Row],[prop_id]],CHAR(160),"")),"eJ"),"")</f>
        <v/>
      </c>
      <c r="AD5" s="188" t="str">
        <f>IF(CompByProjTable[[#This Row],[ProjSumm]]="TBC",HYPERLINK(("https://www.ejacket.nsf.gov/ej/showProjectSummaryPdf.do"),"-&gt;PS"),"")</f>
        <v/>
      </c>
      <c r="AE5" s="50" t="s">
        <v>509</v>
      </c>
      <c r="AF5" s="50">
        <v>1</v>
      </c>
      <c r="AG5" s="50" t="s">
        <v>510</v>
      </c>
      <c r="AH5" s="78"/>
      <c r="AI5" s="50"/>
      <c r="AJ5" s="50" t="s">
        <v>492</v>
      </c>
      <c r="AK5" s="50"/>
      <c r="AL5" s="50"/>
      <c r="AM5" s="78"/>
      <c r="AN5" s="41">
        <v>19345</v>
      </c>
      <c r="AO5" s="41">
        <v>19345</v>
      </c>
      <c r="AP5" s="41"/>
      <c r="AQ5" s="123"/>
      <c r="AR5" s="116" t="str">
        <f>IF(CompByProjTable[[#This Row],[oth_supp_cnt]]&gt;0,HYPERLINK(CONCATENATE("https://www.ejacket.nsf.gov/ej/showProposal.do?Continue=Y&amp;ID=",SUBSTITUTE(CompByProjTable[[#This Row],[prop_id]],CHAR(160),"")),"eJ&gt;"),"")</f>
        <v/>
      </c>
      <c r="AS5" s="116" t="str">
        <f>IF(CompByProjTable[[#This Row],[oth_supp_cnt]]&gt;0, HYPERLINK(CONCATENATE("https://www.ejacket.nsf.gov/ej/showSupplementaryDocPdf.do?uniqId=?Continue=Y&amp;ID=",SUBSTITUTE(CompByProjTable[[#This Row],[prop_id]],CHAR(160),"")),"OthSuppDoc"),"")</f>
        <v/>
      </c>
      <c r="AT5" s="37">
        <v>1</v>
      </c>
      <c r="AU5" s="37">
        <v>1</v>
      </c>
      <c r="AV5" s="37" t="s">
        <v>574</v>
      </c>
      <c r="AW5" s="43">
        <v>1</v>
      </c>
      <c r="AX5" s="1" t="str">
        <f>HYPERLINK(CONCATENATE("https://www.ejacket.nsf.gov/ej/showProposal.do?Continue=Y&amp;ID=",SUBSTITUTE(CompByProjTable[[#This Row],[prop_id]],CHAR(160),"")),"eJ")</f>
        <v>eJ</v>
      </c>
      <c r="AY5" s="1" t="str">
        <f t="shared" si="0"/>
        <v>-&gt;PD</v>
      </c>
      <c r="AZ5" s="1" t="str">
        <f>HYPERLINK(CONCATENATE("http://dis-checker-p01/solr/collection1/browse?q=Proposal_ID:(",SUBSTITUTE(CompByProjTable[[#This Row],[prop_id]],CHAR(160),""),")%20AND%20(%22Broad*%20Impact*%22~2)","&amp;description=on&amp;fq=Section_Title%3A%28%22Project+Description%22%29&amp;rows=50&amp;%20hl.snippets=20&amp;hl.fragsize=3000&amp;defType=complexphrase"), "solr-BIPW")</f>
        <v>solr-BIPW</v>
      </c>
      <c r="BA5" s="1" t="str">
        <f>HYPERLINK(CONCATENATE("http://dis-checker-p01/solr/collection1/browse?q=Proposal_ID:(",SUBSTITUTE(CompByProjTable[[#This Row],[prop_id]],CHAR(160),""),")%20AND%20(%20prior%20OR%20NSF%20OR%20support%20)","&amp;description=on&amp;fq=Section_Title%3A%28%22Project+Description%22%29&amp;rows=50&amp;%20hl.snippets=20&amp;hl.fragsize=3000&amp;defType=complexphrase"), "solr-RPS")</f>
        <v>solr-RPS</v>
      </c>
      <c r="BB5" s="36" t="s">
        <v>457</v>
      </c>
      <c r="BC5" s="37" t="s">
        <v>458</v>
      </c>
      <c r="BD5" s="37"/>
      <c r="BE5" s="37">
        <v>0</v>
      </c>
      <c r="BF5" s="37"/>
      <c r="BG5" s="37"/>
      <c r="BH5" s="37">
        <v>3</v>
      </c>
      <c r="BI5" s="43" t="s">
        <v>580</v>
      </c>
      <c r="BJ5" s="36"/>
      <c r="BK5" s="37"/>
      <c r="BL5" s="37"/>
      <c r="BM5" s="37"/>
      <c r="BN5" s="37"/>
      <c r="BO5" s="37"/>
      <c r="BP5" s="37"/>
      <c r="BQ5" s="43"/>
      <c r="BR5" s="36"/>
      <c r="BS5" s="37"/>
      <c r="BT5" s="37"/>
      <c r="BU5" s="37"/>
      <c r="BV5" s="37"/>
      <c r="BW5" s="37"/>
      <c r="BX5" s="37"/>
      <c r="BY5" s="43"/>
      <c r="BZ5" s="36"/>
      <c r="CA5" s="37"/>
      <c r="CB5" s="37"/>
      <c r="CC5" s="37"/>
      <c r="CD5" s="37"/>
      <c r="CE5" s="37"/>
      <c r="CF5" s="37"/>
      <c r="CG5" s="43"/>
      <c r="CH5" s="36"/>
      <c r="CI5" s="37"/>
      <c r="CJ5" s="37"/>
      <c r="CK5" s="37"/>
      <c r="CL5" s="50"/>
      <c r="CM5" s="37"/>
      <c r="CN5" s="37"/>
      <c r="CO5" s="43"/>
      <c r="CP5" s="36"/>
      <c r="CQ5" s="37"/>
      <c r="CR5" s="37"/>
      <c r="CS5" s="37"/>
      <c r="CT5" s="37"/>
      <c r="CU5" s="37"/>
      <c r="CV5" s="37"/>
      <c r="CW5" s="43"/>
      <c r="CX5" s="36"/>
      <c r="CY5" s="37"/>
      <c r="CZ5" s="37"/>
      <c r="DA5" s="37"/>
      <c r="DB5" s="37"/>
      <c r="DC5" s="37"/>
      <c r="DD5" s="37"/>
      <c r="DE5" s="43"/>
      <c r="DF5" s="37"/>
      <c r="DG5" s="37"/>
      <c r="DH5" s="37"/>
      <c r="DI5" s="37"/>
      <c r="DJ5" s="37"/>
      <c r="DK5" s="37"/>
      <c r="DL5" s="37"/>
      <c r="DM5" s="37"/>
      <c r="DN5" s="36"/>
      <c r="DO5" s="37"/>
      <c r="DP5" s="37"/>
      <c r="DQ5" s="37"/>
      <c r="DR5" s="37"/>
      <c r="DS5" s="37"/>
      <c r="DT5" s="37"/>
      <c r="DU5" s="37"/>
      <c r="DV5" s="36"/>
      <c r="DW5" s="37"/>
      <c r="DX5" s="37"/>
      <c r="DY5" s="37"/>
      <c r="DZ5" s="37"/>
      <c r="EA5" s="37"/>
      <c r="EB5" s="37"/>
      <c r="EC5" s="261"/>
    </row>
    <row r="6" spans="1:133" x14ac:dyDescent="0.25">
      <c r="A6" s="5">
        <v>43033.566562499997</v>
      </c>
      <c r="B6" s="36"/>
      <c r="C6" s="38"/>
      <c r="D6" s="38">
        <v>42373</v>
      </c>
      <c r="E6" s="43"/>
      <c r="F6" s="36" t="s">
        <v>496</v>
      </c>
      <c r="G6" s="37" t="s">
        <v>513</v>
      </c>
      <c r="H6" s="37" t="s">
        <v>514</v>
      </c>
      <c r="I6" s="37" t="s">
        <v>512</v>
      </c>
      <c r="J6" s="37" t="s">
        <v>507</v>
      </c>
      <c r="K6" s="245" t="s">
        <v>508</v>
      </c>
      <c r="L6" s="37" t="s">
        <v>504</v>
      </c>
      <c r="M6" s="43"/>
      <c r="N6" s="36"/>
      <c r="O6" s="52" t="s">
        <v>511</v>
      </c>
      <c r="P6" s="115" t="str">
        <f>HYPERLINK(CONCATENATE("https://www.ejacket.nsf.gov/ej/showProposal.do?Continue=Y&amp;ID=",SUBSTITUTE(CompByProjTable[[#This Row],[prop_id]],CHAR(160),"")),"eJ")</f>
        <v>eJ</v>
      </c>
      <c r="Q6" s="37" t="s">
        <v>516</v>
      </c>
      <c r="R6" s="37" t="s">
        <v>517</v>
      </c>
      <c r="S6" s="37" t="s">
        <v>581</v>
      </c>
      <c r="T6" s="37" t="s">
        <v>443</v>
      </c>
      <c r="U6" s="37" t="s">
        <v>442</v>
      </c>
      <c r="V6" s="43" t="s">
        <v>518</v>
      </c>
      <c r="W6" s="36" t="s">
        <v>72</v>
      </c>
      <c r="X6" s="37"/>
      <c r="Y6" s="37" t="s">
        <v>519</v>
      </c>
      <c r="Z6" s="38">
        <v>42373.544976851852</v>
      </c>
      <c r="AA6" s="37"/>
      <c r="AB6" s="50"/>
      <c r="AC6" s="188" t="str">
        <f>IF(CompByProjTable[[#This Row],[ProjSumm]]="TBC",HYPERLINK(CONCATENATE("https://www.ejacket.nsf.gov/ej/showProposal.do?Continue=Y&amp;ID=",SUBSTITUTE(CompByProjTable[[#This Row],[prop_id]],CHAR(160),"")),"eJ"),"")</f>
        <v/>
      </c>
      <c r="AD6" s="188" t="str">
        <f>IF(CompByProjTable[[#This Row],[ProjSumm]]="TBC",HYPERLINK(("https://www.ejacket.nsf.gov/ej/showProjectSummaryPdf.do"),"-&gt;PS"),"")</f>
        <v/>
      </c>
      <c r="AE6" s="50" t="s">
        <v>509</v>
      </c>
      <c r="AF6" s="50">
        <v>1</v>
      </c>
      <c r="AG6" s="50" t="s">
        <v>510</v>
      </c>
      <c r="AH6" s="78"/>
      <c r="AI6" s="50"/>
      <c r="AJ6" s="50" t="s">
        <v>492</v>
      </c>
      <c r="AK6" s="50"/>
      <c r="AL6" s="50"/>
      <c r="AM6" s="78">
        <v>96</v>
      </c>
      <c r="AN6" s="41">
        <v>0</v>
      </c>
      <c r="AO6" s="41">
        <v>4894</v>
      </c>
      <c r="AP6" s="41">
        <v>4894</v>
      </c>
      <c r="AQ6" s="123"/>
      <c r="AR6" s="116" t="str">
        <f>IF(CompByProjTable[[#This Row],[oth_supp_cnt]]&gt;0,HYPERLINK(CONCATENATE("https://www.ejacket.nsf.gov/ej/showProposal.do?Continue=Y&amp;ID=",SUBSTITUTE(CompByProjTable[[#This Row],[prop_id]],CHAR(160),"")),"eJ&gt;"),"")</f>
        <v/>
      </c>
      <c r="AS6" s="116" t="str">
        <f>IF(CompByProjTable[[#This Row],[oth_supp_cnt]]&gt;0, HYPERLINK(CONCATENATE("https://www.ejacket.nsf.gov/ej/showSupplementaryDocPdf.do?uniqId=?Continue=Y&amp;ID=",SUBSTITUTE(CompByProjTable[[#This Row],[prop_id]],CHAR(160),"")),"OthSuppDoc"),"")</f>
        <v/>
      </c>
      <c r="AT6" s="37">
        <v>1</v>
      </c>
      <c r="AU6" s="37">
        <v>1</v>
      </c>
      <c r="AV6" s="37" t="s">
        <v>574</v>
      </c>
      <c r="AW6" s="43">
        <v>1</v>
      </c>
      <c r="AX6" s="1" t="str">
        <f>HYPERLINK(CONCATENATE("https://www.ejacket.nsf.gov/ej/showProposal.do?Continue=Y&amp;ID=",SUBSTITUTE(CompByProjTable[[#This Row],[prop_id]],CHAR(160),"")),"eJ")</f>
        <v>eJ</v>
      </c>
      <c r="AY6" s="1" t="str">
        <f t="shared" si="0"/>
        <v>-&gt;PD</v>
      </c>
      <c r="AZ6" s="1" t="str">
        <f>HYPERLINK(CONCATENATE("http://dis-checker-p01/solr/collection1/browse?q=Proposal_ID:(",SUBSTITUTE(CompByProjTable[[#This Row],[prop_id]],CHAR(160),""),")%20AND%20(%22Broad*%20Impact*%22~2)","&amp;description=on&amp;fq=Section_Title%3A%28%22Project+Description%22%29&amp;rows=50&amp;%20hl.snippets=20&amp;hl.fragsize=3000&amp;defType=complexphrase"), "solr-BIPW")</f>
        <v>solr-BIPW</v>
      </c>
      <c r="BA6" s="1" t="str">
        <f>HYPERLINK(CONCATENATE("http://dis-checker-p01/solr/collection1/browse?q=Proposal_ID:(",SUBSTITUTE(CompByProjTable[[#This Row],[prop_id]],CHAR(160),""),")%20AND%20(%20prior%20OR%20NSF%20OR%20support%20)","&amp;description=on&amp;fq=Section_Title%3A%28%22Project+Description%22%29&amp;rows=50&amp;%20hl.snippets=20&amp;hl.fragsize=3000&amp;defType=complexphrase"), "solr-RPS")</f>
        <v>solr-RPS</v>
      </c>
      <c r="BB6" s="36" t="s">
        <v>516</v>
      </c>
      <c r="BC6" s="37" t="s">
        <v>443</v>
      </c>
      <c r="BD6" s="37"/>
      <c r="BE6" s="37">
        <v>0</v>
      </c>
      <c r="BF6" s="37"/>
      <c r="BG6" s="37"/>
      <c r="BH6" s="37">
        <v>2</v>
      </c>
      <c r="BI6" s="43" t="s">
        <v>582</v>
      </c>
      <c r="BJ6" s="36"/>
      <c r="BK6" s="37"/>
      <c r="BL6" s="37"/>
      <c r="BM6" s="37"/>
      <c r="BN6" s="37"/>
      <c r="BO6" s="37"/>
      <c r="BP6" s="37"/>
      <c r="BQ6" s="43"/>
      <c r="BR6" s="36"/>
      <c r="BS6" s="37"/>
      <c r="BT6" s="37"/>
      <c r="BU6" s="37"/>
      <c r="BV6" s="37"/>
      <c r="BW6" s="37"/>
      <c r="BX6" s="37"/>
      <c r="BY6" s="43"/>
      <c r="BZ6" s="36"/>
      <c r="CA6" s="37"/>
      <c r="CB6" s="37"/>
      <c r="CC6" s="37"/>
      <c r="CD6" s="37"/>
      <c r="CE6" s="37"/>
      <c r="CF6" s="37"/>
      <c r="CG6" s="43"/>
      <c r="CH6" s="36"/>
      <c r="CI6" s="37"/>
      <c r="CJ6" s="37"/>
      <c r="CK6" s="37"/>
      <c r="CL6" s="50"/>
      <c r="CM6" s="37"/>
      <c r="CN6" s="37"/>
      <c r="CO6" s="43"/>
      <c r="CP6" s="36"/>
      <c r="CQ6" s="37"/>
      <c r="CR6" s="37"/>
      <c r="CS6" s="37"/>
      <c r="CT6" s="37"/>
      <c r="CU6" s="37"/>
      <c r="CV6" s="37"/>
      <c r="CW6" s="43"/>
      <c r="CX6" s="36"/>
      <c r="CY6" s="37"/>
      <c r="CZ6" s="37"/>
      <c r="DA6" s="37"/>
      <c r="DB6" s="37"/>
      <c r="DC6" s="37"/>
      <c r="DD6" s="37"/>
      <c r="DE6" s="43"/>
      <c r="DF6" s="37"/>
      <c r="DG6" s="37"/>
      <c r="DH6" s="37"/>
      <c r="DI6" s="37"/>
      <c r="DJ6" s="37"/>
      <c r="DK6" s="37"/>
      <c r="DL6" s="37"/>
      <c r="DM6" s="37"/>
      <c r="DN6" s="36"/>
      <c r="DO6" s="37"/>
      <c r="DP6" s="37"/>
      <c r="DQ6" s="37"/>
      <c r="DR6" s="37"/>
      <c r="DS6" s="37"/>
      <c r="DT6" s="37"/>
      <c r="DU6" s="37"/>
      <c r="DV6" s="36"/>
      <c r="DW6" s="37"/>
      <c r="DX6" s="37"/>
      <c r="DY6" s="37"/>
      <c r="DZ6" s="37"/>
      <c r="EA6" s="37"/>
      <c r="EB6" s="37"/>
      <c r="EC6" s="261"/>
    </row>
    <row r="7" spans="1:133" x14ac:dyDescent="0.25">
      <c r="A7" s="5">
        <v>43033.566562499997</v>
      </c>
      <c r="B7" s="36"/>
      <c r="C7" s="38"/>
      <c r="D7" s="38">
        <v>42384.29791666667</v>
      </c>
      <c r="E7" s="43"/>
      <c r="F7" s="36" t="s">
        <v>522</v>
      </c>
      <c r="G7" s="37" t="s">
        <v>523</v>
      </c>
      <c r="H7" s="37" t="s">
        <v>524</v>
      </c>
      <c r="I7" s="37" t="s">
        <v>521</v>
      </c>
      <c r="J7" s="37" t="s">
        <v>436</v>
      </c>
      <c r="K7" s="245" t="s">
        <v>490</v>
      </c>
      <c r="L7" s="37" t="s">
        <v>486</v>
      </c>
      <c r="M7" s="43"/>
      <c r="N7" s="36"/>
      <c r="O7" s="52" t="s">
        <v>520</v>
      </c>
      <c r="P7" s="115" t="str">
        <f>HYPERLINK(CONCATENATE("https://www.ejacket.nsf.gov/ej/showProposal.do?Continue=Y&amp;ID=",SUBSTITUTE(CompByProjTable[[#This Row],[prop_id]],CHAR(160),"")),"eJ")</f>
        <v>eJ</v>
      </c>
      <c r="Q7" s="37" t="s">
        <v>528</v>
      </c>
      <c r="R7" s="37" t="s">
        <v>529</v>
      </c>
      <c r="S7" s="37" t="s">
        <v>583</v>
      </c>
      <c r="T7" s="37" t="s">
        <v>469</v>
      </c>
      <c r="U7" s="37" t="s">
        <v>434</v>
      </c>
      <c r="V7" s="43" t="s">
        <v>530</v>
      </c>
      <c r="W7" s="36" t="s">
        <v>72</v>
      </c>
      <c r="X7" s="37" t="s">
        <v>72</v>
      </c>
      <c r="Y7" s="37" t="s">
        <v>531</v>
      </c>
      <c r="Z7" s="38">
        <v>42384.298263888886</v>
      </c>
      <c r="AA7" s="37"/>
      <c r="AB7" s="50"/>
      <c r="AC7" s="188" t="str">
        <f>IF(CompByProjTable[[#This Row],[ProjSumm]]="TBC",HYPERLINK(CONCATENATE("https://www.ejacket.nsf.gov/ej/showProposal.do?Continue=Y&amp;ID=",SUBSTITUTE(CompByProjTable[[#This Row],[prop_id]],CHAR(160),"")),"eJ"),"")</f>
        <v/>
      </c>
      <c r="AD7" s="188" t="str">
        <f>IF(CompByProjTable[[#This Row],[ProjSumm]]="TBC",HYPERLINK(("https://www.ejacket.nsf.gov/ej/showProjectSummaryPdf.do"),"-&gt;PS"),"")</f>
        <v/>
      </c>
      <c r="AE7" s="50" t="s">
        <v>438</v>
      </c>
      <c r="AF7" s="50"/>
      <c r="AG7" s="50" t="s">
        <v>439</v>
      </c>
      <c r="AH7" s="78"/>
      <c r="AI7" s="50"/>
      <c r="AJ7" s="50" t="s">
        <v>492</v>
      </c>
      <c r="AK7" s="50" t="s">
        <v>493</v>
      </c>
      <c r="AL7" s="50"/>
      <c r="AM7" s="78"/>
      <c r="AN7" s="41">
        <v>2</v>
      </c>
      <c r="AO7" s="41">
        <v>0</v>
      </c>
      <c r="AP7" s="41">
        <v>-2</v>
      </c>
      <c r="AQ7" s="123"/>
      <c r="AR7" s="116" t="str">
        <f>IF(CompByProjTable[[#This Row],[oth_supp_cnt]]&gt;0,HYPERLINK(CONCATENATE("https://www.ejacket.nsf.gov/ej/showProposal.do?Continue=Y&amp;ID=",SUBSTITUTE(CompByProjTable[[#This Row],[prop_id]],CHAR(160),"")),"eJ&gt;"),"")</f>
        <v/>
      </c>
      <c r="AS7" s="116" t="str">
        <f>IF(CompByProjTable[[#This Row],[oth_supp_cnt]]&gt;0, HYPERLINK(CONCATENATE("https://www.ejacket.nsf.gov/ej/showSupplementaryDocPdf.do?uniqId=?Continue=Y&amp;ID=",SUBSTITUTE(CompByProjTable[[#This Row],[prop_id]],CHAR(160),"")),"OthSuppDoc"),"")</f>
        <v/>
      </c>
      <c r="AT7" s="37">
        <v>2</v>
      </c>
      <c r="AU7" s="37">
        <v>2</v>
      </c>
      <c r="AV7" s="37" t="s">
        <v>574</v>
      </c>
      <c r="AW7" s="43">
        <v>2</v>
      </c>
      <c r="AX7" s="1" t="str">
        <f>HYPERLINK(CONCATENATE("https://www.ejacket.nsf.gov/ej/showProposal.do?Continue=Y&amp;ID=",SUBSTITUTE(CompByProjTable[[#This Row],[prop_id]],CHAR(160),"")),"eJ")</f>
        <v>eJ</v>
      </c>
      <c r="AY7" s="1" t="str">
        <f t="shared" si="0"/>
        <v>-&gt;PD</v>
      </c>
      <c r="AZ7" s="1" t="str">
        <f>HYPERLINK(CONCATENATE("http://dis-checker-p01/solr/collection1/browse?q=Proposal_ID:(",SUBSTITUTE(CompByProjTable[[#This Row],[prop_id]],CHAR(160),""),")%20AND%20(%22Broad*%20Impact*%22~2)","&amp;description=on&amp;fq=Section_Title%3A%28%22Project+Description%22%29&amp;rows=50&amp;%20hl.snippets=20&amp;hl.fragsize=3000&amp;defType=complexphrase"), "solr-BIPW")</f>
        <v>solr-BIPW</v>
      </c>
      <c r="BA7" s="1" t="str">
        <f>HYPERLINK(CONCATENATE("http://dis-checker-p01/solr/collection1/browse?q=Proposal_ID:(",SUBSTITUTE(CompByProjTable[[#This Row],[prop_id]],CHAR(160),""),")%20AND%20(%20prior%20OR%20NSF%20OR%20support%20)","&amp;description=on&amp;fq=Section_Title%3A%28%22Project+Description%22%29&amp;rows=50&amp;%20hl.snippets=20&amp;hl.fragsize=3000&amp;defType=complexphrase"), "solr-RPS")</f>
        <v>solr-RPS</v>
      </c>
      <c r="BB7" s="36" t="s">
        <v>528</v>
      </c>
      <c r="BC7" s="37" t="s">
        <v>469</v>
      </c>
      <c r="BD7" s="37" t="s">
        <v>583</v>
      </c>
      <c r="BE7" s="37">
        <v>2</v>
      </c>
      <c r="BF7" s="37"/>
      <c r="BG7" s="37"/>
      <c r="BH7" s="37">
        <v>2</v>
      </c>
      <c r="BI7" s="43" t="s">
        <v>584</v>
      </c>
      <c r="BJ7" s="36" t="s">
        <v>585</v>
      </c>
      <c r="BK7" s="37" t="s">
        <v>469</v>
      </c>
      <c r="BL7" s="37" t="s">
        <v>587</v>
      </c>
      <c r="BM7" s="37">
        <v>2</v>
      </c>
      <c r="BN7" s="37"/>
      <c r="BO7" s="37"/>
      <c r="BP7" s="37">
        <v>2</v>
      </c>
      <c r="BQ7" s="43" t="s">
        <v>586</v>
      </c>
      <c r="BR7" s="36"/>
      <c r="BS7" s="37"/>
      <c r="BT7" s="37"/>
      <c r="BU7" s="37"/>
      <c r="BV7" s="37"/>
      <c r="BW7" s="37"/>
      <c r="BX7" s="37"/>
      <c r="BY7" s="43"/>
      <c r="BZ7" s="36"/>
      <c r="CA7" s="37"/>
      <c r="CB7" s="37"/>
      <c r="CC7" s="37"/>
      <c r="CD7" s="37"/>
      <c r="CE7" s="37"/>
      <c r="CF7" s="37"/>
      <c r="CG7" s="43"/>
      <c r="CH7" s="36"/>
      <c r="CI7" s="37"/>
      <c r="CJ7" s="37"/>
      <c r="CK7" s="37"/>
      <c r="CL7" s="50"/>
      <c r="CM7" s="37"/>
      <c r="CN7" s="37"/>
      <c r="CO7" s="43"/>
      <c r="CP7" s="36"/>
      <c r="CQ7" s="37"/>
      <c r="CR7" s="37"/>
      <c r="CS7" s="37"/>
      <c r="CT7" s="37"/>
      <c r="CU7" s="37"/>
      <c r="CV7" s="37"/>
      <c r="CW7" s="43"/>
      <c r="CX7" s="36"/>
      <c r="CY7" s="37"/>
      <c r="CZ7" s="37"/>
      <c r="DA7" s="37"/>
      <c r="DB7" s="37"/>
      <c r="DC7" s="37"/>
      <c r="DD7" s="37"/>
      <c r="DE7" s="43"/>
      <c r="DF7" s="37"/>
      <c r="DG7" s="37"/>
      <c r="DH7" s="37"/>
      <c r="DI7" s="37"/>
      <c r="DJ7" s="37"/>
      <c r="DK7" s="37"/>
      <c r="DL7" s="37"/>
      <c r="DM7" s="37"/>
      <c r="DN7" s="36"/>
      <c r="DO7" s="37"/>
      <c r="DP7" s="37"/>
      <c r="DQ7" s="37"/>
      <c r="DR7" s="37"/>
      <c r="DS7" s="37"/>
      <c r="DT7" s="37"/>
      <c r="DU7" s="37"/>
      <c r="DV7" s="36"/>
      <c r="DW7" s="37"/>
      <c r="DX7" s="37"/>
      <c r="DY7" s="37"/>
      <c r="DZ7" s="37"/>
      <c r="EA7" s="37"/>
      <c r="EB7" s="37"/>
      <c r="EC7" s="261"/>
    </row>
    <row r="8" spans="1:133" x14ac:dyDescent="0.25">
      <c r="A8" s="5">
        <v>43033.566562499997</v>
      </c>
      <c r="B8" s="36"/>
      <c r="C8" s="5"/>
      <c r="D8" s="5">
        <v>42384.302083333336</v>
      </c>
      <c r="E8" s="43"/>
      <c r="F8" s="36" t="s">
        <v>522</v>
      </c>
      <c r="G8" s="210" t="s">
        <v>534</v>
      </c>
      <c r="H8" s="210" t="s">
        <v>535</v>
      </c>
      <c r="I8" s="210" t="s">
        <v>533</v>
      </c>
      <c r="J8" s="210" t="s">
        <v>436</v>
      </c>
      <c r="K8" s="246" t="s">
        <v>490</v>
      </c>
      <c r="L8" s="37" t="s">
        <v>486</v>
      </c>
      <c r="M8" s="43"/>
      <c r="N8" s="36"/>
      <c r="O8" s="53" t="s">
        <v>532</v>
      </c>
      <c r="P8" s="1" t="str">
        <f>HYPERLINK(CONCATENATE("https://www.ejacket.nsf.gov/ej/showProposal.do?Continue=Y&amp;ID=",SUBSTITUTE(CompByProjTable[[#This Row],[prop_id]],CHAR(160),"")),"eJ")</f>
        <v>eJ</v>
      </c>
      <c r="Q8" s="210" t="s">
        <v>537</v>
      </c>
      <c r="R8" s="210" t="s">
        <v>538</v>
      </c>
      <c r="S8" s="210" t="s">
        <v>588</v>
      </c>
      <c r="T8" s="210" t="s">
        <v>469</v>
      </c>
      <c r="U8" s="210" t="s">
        <v>434</v>
      </c>
      <c r="V8" s="43" t="s">
        <v>539</v>
      </c>
      <c r="W8" s="36" t="s">
        <v>72</v>
      </c>
      <c r="X8" s="37" t="s">
        <v>72</v>
      </c>
      <c r="Y8" s="37" t="s">
        <v>531</v>
      </c>
      <c r="Z8" s="38">
        <v>42384.302708333336</v>
      </c>
      <c r="AA8" s="37" t="s">
        <v>440</v>
      </c>
      <c r="AB8" s="50">
        <v>1</v>
      </c>
      <c r="AC8" s="188" t="str">
        <f>IF(CompByProjTable[[#This Row],[ProjSumm]]="TBC",HYPERLINK(CONCATENATE("https://www.ejacket.nsf.gov/ej/showProposal.do?Continue=Y&amp;ID=",SUBSTITUTE(CompByProjTable[[#This Row],[prop_id]],CHAR(160),"")),"eJ"),"")</f>
        <v>eJ</v>
      </c>
      <c r="AD8" s="188" t="str">
        <f>IF(CompByProjTable[[#This Row],[ProjSumm]]="TBC",HYPERLINK(("https://www.ejacket.nsf.gov/ej/showProjectSummaryPdf.do"),"-&gt;PS"),"")</f>
        <v>-&gt;PS</v>
      </c>
      <c r="AE8" s="50" t="s">
        <v>438</v>
      </c>
      <c r="AF8" s="50"/>
      <c r="AG8" s="50" t="s">
        <v>439</v>
      </c>
      <c r="AH8" s="78"/>
      <c r="AI8" s="50"/>
      <c r="AJ8" s="50" t="s">
        <v>492</v>
      </c>
      <c r="AK8" s="50" t="s">
        <v>493</v>
      </c>
      <c r="AL8" s="50"/>
      <c r="AM8" s="78"/>
      <c r="AN8" s="41">
        <v>2</v>
      </c>
      <c r="AO8" s="41"/>
      <c r="AP8" s="41"/>
      <c r="AQ8" s="123"/>
      <c r="AR8" s="116" t="str">
        <f>IF(CompByProjTable[[#This Row],[oth_supp_cnt]]&gt;0,HYPERLINK(CONCATENATE("https://www.ejacket.nsf.gov/ej/showProposal.do?Continue=Y&amp;ID=",SUBSTITUTE(CompByProjTable[[#This Row],[prop_id]],CHAR(160),"")),"eJ&gt;"),"")</f>
        <v/>
      </c>
      <c r="AS8" s="116" t="str">
        <f>IF(CompByProjTable[[#This Row],[oth_supp_cnt]]&gt;0, HYPERLINK(CONCATENATE("https://www.ejacket.nsf.gov/ej/showSupplementaryDocPdf.do?uniqId=?Continue=Y&amp;ID=",SUBSTITUTE(CompByProjTable[[#This Row],[prop_id]],CHAR(160),"")),"OthSuppDoc"),"")</f>
        <v/>
      </c>
      <c r="AT8" s="37">
        <v>3</v>
      </c>
      <c r="AU8" s="37">
        <v>3</v>
      </c>
      <c r="AV8" s="37" t="s">
        <v>574</v>
      </c>
      <c r="AW8" s="43">
        <v>1</v>
      </c>
      <c r="AX8" s="1" t="str">
        <f>HYPERLINK(CONCATENATE("https://www.ejacket.nsf.gov/ej/showProposal.do?Continue=Y&amp;ID=",SUBSTITUTE(CompByProjTable[[#This Row],[prop_id]],CHAR(160),"")),"eJ")</f>
        <v>eJ</v>
      </c>
      <c r="AY8" s="1" t="str">
        <f t="shared" si="0"/>
        <v>-&gt;PD</v>
      </c>
      <c r="AZ8" s="1" t="str">
        <f>HYPERLINK(CONCATENATE("http://dis-checker-p01/solr/collection1/browse?q=Proposal_ID:(",SUBSTITUTE(CompByProjTable[[#This Row],[prop_id]],CHAR(160),""),")%20AND%20(%22Broad*%20Impact*%22~2)","&amp;description=on&amp;fq=Section_Title%3A%28%22Project+Description%22%29&amp;rows=50&amp;%20hl.snippets=20&amp;hl.fragsize=3000&amp;defType=complexphrase"), "solr-BIPW")</f>
        <v>solr-BIPW</v>
      </c>
      <c r="BA8" s="1" t="str">
        <f>HYPERLINK(CONCATENATE("http://dis-checker-p01/solr/collection1/browse?q=Proposal_ID:(",SUBSTITUTE(CompByProjTable[[#This Row],[prop_id]],CHAR(160),""),")%20AND%20(%20prior%20OR%20NSF%20OR%20support%20)","&amp;description=on&amp;fq=Section_Title%3A%28%22Project+Description%22%29&amp;rows=50&amp;%20hl.snippets=20&amp;hl.fragsize=3000&amp;defType=complexphrase"), "solr-RPS")</f>
        <v>solr-RPS</v>
      </c>
      <c r="BB8" s="36" t="s">
        <v>537</v>
      </c>
      <c r="BC8" s="37" t="s">
        <v>469</v>
      </c>
      <c r="BD8" s="37" t="s">
        <v>588</v>
      </c>
      <c r="BE8" s="37">
        <v>2</v>
      </c>
      <c r="BF8" s="37"/>
      <c r="BG8" s="37"/>
      <c r="BH8" s="37"/>
      <c r="BI8" s="43"/>
      <c r="BJ8" s="36" t="s">
        <v>528</v>
      </c>
      <c r="BK8" s="37" t="s">
        <v>469</v>
      </c>
      <c r="BL8" s="37" t="s">
        <v>583</v>
      </c>
      <c r="BM8" s="37">
        <v>2</v>
      </c>
      <c r="BN8" s="37"/>
      <c r="BO8" s="37"/>
      <c r="BP8" s="37">
        <v>2</v>
      </c>
      <c r="BQ8" s="43" t="s">
        <v>584</v>
      </c>
      <c r="BR8" s="36" t="s">
        <v>589</v>
      </c>
      <c r="BS8" s="37" t="s">
        <v>591</v>
      </c>
      <c r="BT8" s="37" t="s">
        <v>590</v>
      </c>
      <c r="BU8" s="37">
        <v>2</v>
      </c>
      <c r="BV8" s="37"/>
      <c r="BW8" s="37"/>
      <c r="BX8" s="37"/>
      <c r="BY8" s="43"/>
      <c r="BZ8" s="36"/>
      <c r="CA8" s="37"/>
      <c r="CB8" s="37"/>
      <c r="CC8" s="37"/>
      <c r="CD8" s="37"/>
      <c r="CE8" s="37"/>
      <c r="CF8" s="37"/>
      <c r="CG8" s="43"/>
      <c r="CH8" s="36"/>
      <c r="CI8" s="37"/>
      <c r="CJ8" s="37"/>
      <c r="CK8" s="37"/>
      <c r="CL8" s="50"/>
      <c r="CM8" s="37"/>
      <c r="CN8" s="37"/>
      <c r="CO8" s="43"/>
      <c r="CP8" s="36"/>
      <c r="CQ8" s="37"/>
      <c r="CR8" s="37"/>
      <c r="CS8" s="37"/>
      <c r="CT8" s="37"/>
      <c r="CU8" s="37"/>
      <c r="CV8" s="37"/>
      <c r="CW8" s="43"/>
      <c r="CX8" s="36"/>
      <c r="CY8" s="37"/>
      <c r="CZ8" s="37"/>
      <c r="DA8" s="37"/>
      <c r="DB8" s="37"/>
      <c r="DC8" s="37"/>
      <c r="DD8" s="37"/>
      <c r="DE8" s="43"/>
      <c r="DF8" s="37"/>
      <c r="DG8" s="210"/>
      <c r="DH8" s="210"/>
      <c r="DI8" s="210"/>
      <c r="DJ8" s="210"/>
      <c r="DK8" s="210"/>
      <c r="DL8" s="210"/>
      <c r="DM8" s="210"/>
      <c r="DN8" s="36"/>
      <c r="DO8" s="210"/>
      <c r="DP8" s="210"/>
      <c r="DQ8" s="210"/>
      <c r="DR8" s="210"/>
      <c r="DS8" s="210"/>
      <c r="DT8" s="210"/>
      <c r="DU8" s="210"/>
      <c r="DV8" s="36"/>
      <c r="DW8" s="37"/>
      <c r="DX8" s="37"/>
      <c r="DY8" s="37"/>
      <c r="DZ8" s="37"/>
      <c r="EA8" s="37"/>
      <c r="EB8" s="37"/>
      <c r="EC8" s="261"/>
    </row>
    <row r="9" spans="1:133" x14ac:dyDescent="0.25">
      <c r="A9" s="5">
        <v>43033.566562499997</v>
      </c>
      <c r="B9" s="36"/>
      <c r="C9" s="5"/>
      <c r="D9" s="5">
        <v>42384.34097222222</v>
      </c>
      <c r="E9" s="43"/>
      <c r="F9" s="36" t="s">
        <v>522</v>
      </c>
      <c r="G9" s="210" t="s">
        <v>542</v>
      </c>
      <c r="H9" s="210" t="s">
        <v>543</v>
      </c>
      <c r="I9" s="210" t="s">
        <v>541</v>
      </c>
      <c r="J9" s="210" t="s">
        <v>436</v>
      </c>
      <c r="K9" s="246" t="s">
        <v>490</v>
      </c>
      <c r="L9" s="37" t="s">
        <v>486</v>
      </c>
      <c r="M9" s="43"/>
      <c r="N9" s="36"/>
      <c r="O9" s="53" t="s">
        <v>540</v>
      </c>
      <c r="P9" s="1" t="str">
        <f>HYPERLINK(CONCATENATE("https://www.ejacket.nsf.gov/ej/showProposal.do?Continue=Y&amp;ID=",SUBSTITUTE(CompByProjTable[[#This Row],[prop_id]],CHAR(160),"")),"eJ")</f>
        <v>eJ</v>
      </c>
      <c r="Q9" s="210" t="s">
        <v>461</v>
      </c>
      <c r="R9" s="210" t="s">
        <v>545</v>
      </c>
      <c r="S9" s="210" t="s">
        <v>592</v>
      </c>
      <c r="T9" s="210" t="s">
        <v>470</v>
      </c>
      <c r="U9" s="210" t="s">
        <v>462</v>
      </c>
      <c r="V9" s="43" t="s">
        <v>546</v>
      </c>
      <c r="W9" s="36" t="s">
        <v>72</v>
      </c>
      <c r="X9" s="37" t="s">
        <v>72</v>
      </c>
      <c r="Y9" s="37" t="s">
        <v>547</v>
      </c>
      <c r="Z9" s="38">
        <v>42384.341331018521</v>
      </c>
      <c r="AA9" s="37"/>
      <c r="AB9" s="50"/>
      <c r="AC9" s="188" t="str">
        <f>IF(CompByProjTable[[#This Row],[ProjSumm]]="TBC",HYPERLINK(CONCATENATE("https://www.ejacket.nsf.gov/ej/showProposal.do?Continue=Y&amp;ID=",SUBSTITUTE(CompByProjTable[[#This Row],[prop_id]],CHAR(160),"")),"eJ"),"")</f>
        <v/>
      </c>
      <c r="AD9" s="188" t="str">
        <f>IF(CompByProjTable[[#This Row],[ProjSumm]]="TBC",HYPERLINK(("https://www.ejacket.nsf.gov/ej/showProjectSummaryPdf.do"),"-&gt;PS"),"")</f>
        <v/>
      </c>
      <c r="AE9" s="50" t="s">
        <v>438</v>
      </c>
      <c r="AF9" s="50"/>
      <c r="AG9" s="50" t="s">
        <v>439</v>
      </c>
      <c r="AH9" s="78"/>
      <c r="AI9" s="50"/>
      <c r="AJ9" s="50" t="s">
        <v>492</v>
      </c>
      <c r="AK9" s="50" t="s">
        <v>493</v>
      </c>
      <c r="AL9" s="50"/>
      <c r="AM9" s="78"/>
      <c r="AN9" s="41">
        <v>2</v>
      </c>
      <c r="AO9" s="41"/>
      <c r="AP9" s="41"/>
      <c r="AQ9" s="123"/>
      <c r="AR9" s="116" t="str">
        <f>IF(CompByProjTable[[#This Row],[oth_supp_cnt]]&gt;0,HYPERLINK(CONCATENATE("https://www.ejacket.nsf.gov/ej/showProposal.do?Continue=Y&amp;ID=",SUBSTITUTE(CompByProjTable[[#This Row],[prop_id]],CHAR(160),"")),"eJ&gt;"),"")</f>
        <v/>
      </c>
      <c r="AS9" s="116" t="str">
        <f>IF(CompByProjTable[[#This Row],[oth_supp_cnt]]&gt;0, HYPERLINK(CONCATENATE("https://www.ejacket.nsf.gov/ej/showSupplementaryDocPdf.do?uniqId=?Continue=Y&amp;ID=",SUBSTITUTE(CompByProjTable[[#This Row],[prop_id]],CHAR(160),"")),"OthSuppDoc"),"")</f>
        <v/>
      </c>
      <c r="AT9" s="37">
        <v>1</v>
      </c>
      <c r="AU9" s="37">
        <v>1</v>
      </c>
      <c r="AV9" s="37" t="s">
        <v>574</v>
      </c>
      <c r="AW9" s="43">
        <v>0</v>
      </c>
      <c r="AX9" s="1" t="str">
        <f>HYPERLINK(CONCATENATE("https://www.ejacket.nsf.gov/ej/showProposal.do?Continue=Y&amp;ID=",SUBSTITUTE(CompByProjTable[[#This Row],[prop_id]],CHAR(160),"")),"eJ")</f>
        <v>eJ</v>
      </c>
      <c r="AY9" s="1" t="str">
        <f t="shared" si="0"/>
        <v>-&gt;PD</v>
      </c>
      <c r="AZ9" s="1" t="str">
        <f>HYPERLINK(CONCATENATE("http://dis-checker-p01/solr/collection1/browse?q=Proposal_ID:(",SUBSTITUTE(CompByProjTable[[#This Row],[prop_id]],CHAR(160),""),")%20AND%20(%22Broad*%20Impact*%22~2)","&amp;description=on&amp;fq=Section_Title%3A%28%22Project+Description%22%29&amp;rows=50&amp;%20hl.snippets=20&amp;hl.fragsize=3000&amp;defType=complexphrase"), "solr-BIPW")</f>
        <v>solr-BIPW</v>
      </c>
      <c r="BA9" s="1" t="str">
        <f>HYPERLINK(CONCATENATE("http://dis-checker-p01/solr/collection1/browse?q=Proposal_ID:(",SUBSTITUTE(CompByProjTable[[#This Row],[prop_id]],CHAR(160),""),")%20AND%20(%20prior%20OR%20NSF%20OR%20support%20)","&amp;description=on&amp;fq=Section_Title%3A%28%22Project+Description%22%29&amp;rows=50&amp;%20hl.snippets=20&amp;hl.fragsize=3000&amp;defType=complexphrase"), "solr-RPS")</f>
        <v>solr-RPS</v>
      </c>
      <c r="BB9" s="36" t="s">
        <v>461</v>
      </c>
      <c r="BC9" s="37" t="s">
        <v>470</v>
      </c>
      <c r="BD9" s="37" t="s">
        <v>592</v>
      </c>
      <c r="BE9" s="37">
        <v>2</v>
      </c>
      <c r="BF9" s="37"/>
      <c r="BG9" s="37"/>
      <c r="BH9" s="37"/>
      <c r="BI9" s="43"/>
      <c r="BJ9" s="36"/>
      <c r="BK9" s="37"/>
      <c r="BL9" s="37"/>
      <c r="BM9" s="37"/>
      <c r="BN9" s="37"/>
      <c r="BO9" s="37"/>
      <c r="BP9" s="37"/>
      <c r="BQ9" s="43"/>
      <c r="BR9" s="36"/>
      <c r="BS9" s="37"/>
      <c r="BT9" s="37"/>
      <c r="BU9" s="37"/>
      <c r="BV9" s="37"/>
      <c r="BW9" s="37"/>
      <c r="BX9" s="37"/>
      <c r="BY9" s="43"/>
      <c r="BZ9" s="36"/>
      <c r="CA9" s="37"/>
      <c r="CB9" s="37"/>
      <c r="CC9" s="37"/>
      <c r="CD9" s="37"/>
      <c r="CE9" s="37"/>
      <c r="CF9" s="37"/>
      <c r="CG9" s="43"/>
      <c r="CH9" s="36"/>
      <c r="CI9" s="37"/>
      <c r="CJ9" s="37"/>
      <c r="CK9" s="37"/>
      <c r="CL9" s="50"/>
      <c r="CM9" s="37"/>
      <c r="CN9" s="37"/>
      <c r="CO9" s="43"/>
      <c r="CP9" s="36"/>
      <c r="CQ9" s="37"/>
      <c r="CR9" s="37"/>
      <c r="CS9" s="37"/>
      <c r="CT9" s="37"/>
      <c r="CU9" s="37"/>
      <c r="CV9" s="37"/>
      <c r="CW9" s="43"/>
      <c r="CX9" s="36"/>
      <c r="CY9" s="37"/>
      <c r="CZ9" s="37"/>
      <c r="DA9" s="37"/>
      <c r="DB9" s="37"/>
      <c r="DC9" s="37"/>
      <c r="DD9" s="37"/>
      <c r="DE9" s="43"/>
      <c r="DF9" s="37"/>
      <c r="DG9" s="210"/>
      <c r="DH9" s="210"/>
      <c r="DI9" s="210"/>
      <c r="DJ9" s="210"/>
      <c r="DK9" s="210"/>
      <c r="DL9" s="210"/>
      <c r="DM9" s="210"/>
      <c r="DN9" s="36"/>
      <c r="DO9" s="210"/>
      <c r="DP9" s="210"/>
      <c r="DQ9" s="210"/>
      <c r="DR9" s="210"/>
      <c r="DS9" s="210"/>
      <c r="DT9" s="210"/>
      <c r="DU9" s="210"/>
      <c r="DV9" s="36"/>
      <c r="DW9" s="37"/>
      <c r="DX9" s="37"/>
      <c r="DY9" s="37"/>
      <c r="DZ9" s="37"/>
      <c r="EA9" s="37"/>
      <c r="EB9" s="37"/>
      <c r="EC9" s="261"/>
    </row>
    <row r="10" spans="1:133" x14ac:dyDescent="0.25">
      <c r="A10" s="5">
        <v>43033.566562499997</v>
      </c>
      <c r="B10" s="36"/>
      <c r="C10" s="5"/>
      <c r="D10" s="5">
        <v>42394.326388888891</v>
      </c>
      <c r="E10" s="43"/>
      <c r="F10" s="36" t="s">
        <v>480</v>
      </c>
      <c r="G10" s="210" t="s">
        <v>550</v>
      </c>
      <c r="H10" s="210" t="s">
        <v>551</v>
      </c>
      <c r="I10" s="210" t="s">
        <v>549</v>
      </c>
      <c r="J10" s="210" t="s">
        <v>436</v>
      </c>
      <c r="K10" s="246" t="s">
        <v>490</v>
      </c>
      <c r="L10" s="37" t="s">
        <v>486</v>
      </c>
      <c r="M10" s="43"/>
      <c r="N10" s="36"/>
      <c r="O10" s="53" t="s">
        <v>548</v>
      </c>
      <c r="P10" s="1" t="str">
        <f>HYPERLINK(CONCATENATE("https://www.ejacket.nsf.gov/ej/showProposal.do?Continue=Y&amp;ID=",SUBSTITUTE(CompByProjTable[[#This Row],[prop_id]],CHAR(160),"")),"eJ")</f>
        <v>eJ</v>
      </c>
      <c r="Q10" s="210" t="s">
        <v>553</v>
      </c>
      <c r="R10" s="210" t="s">
        <v>463</v>
      </c>
      <c r="S10" s="210" t="s">
        <v>593</v>
      </c>
      <c r="T10" s="210" t="s">
        <v>471</v>
      </c>
      <c r="U10" s="210" t="s">
        <v>447</v>
      </c>
      <c r="V10" s="43" t="s">
        <v>554</v>
      </c>
      <c r="W10" s="36" t="s">
        <v>72</v>
      </c>
      <c r="X10" s="37" t="s">
        <v>72</v>
      </c>
      <c r="Y10" s="37" t="s">
        <v>555</v>
      </c>
      <c r="Z10" s="38">
        <v>42394.326666666668</v>
      </c>
      <c r="AA10" s="37"/>
      <c r="AB10" s="50"/>
      <c r="AC10" s="188" t="str">
        <f>IF(CompByProjTable[[#This Row],[ProjSumm]]="TBC",HYPERLINK(CONCATENATE("https://www.ejacket.nsf.gov/ej/showProposal.do?Continue=Y&amp;ID=",SUBSTITUTE(CompByProjTable[[#This Row],[prop_id]],CHAR(160),"")),"eJ"),"")</f>
        <v/>
      </c>
      <c r="AD10" s="188" t="str">
        <f>IF(CompByProjTable[[#This Row],[ProjSumm]]="TBC",HYPERLINK(("https://www.ejacket.nsf.gov/ej/showProjectSummaryPdf.do"),"-&gt;PS"),"")</f>
        <v/>
      </c>
      <c r="AE10" s="50" t="s">
        <v>438</v>
      </c>
      <c r="AF10" s="50"/>
      <c r="AG10" s="50" t="s">
        <v>448</v>
      </c>
      <c r="AH10" s="78"/>
      <c r="AI10" s="50"/>
      <c r="AJ10" s="50" t="s">
        <v>492</v>
      </c>
      <c r="AK10" s="50" t="s">
        <v>493</v>
      </c>
      <c r="AL10" s="50"/>
      <c r="AM10" s="78"/>
      <c r="AN10" s="41">
        <v>0</v>
      </c>
      <c r="AO10" s="41"/>
      <c r="AP10" s="41"/>
      <c r="AQ10" s="123"/>
      <c r="AR10" s="116" t="str">
        <f>IF(CompByProjTable[[#This Row],[oth_supp_cnt]]&gt;0,HYPERLINK(CONCATENATE("https://www.ejacket.nsf.gov/ej/showProposal.do?Continue=Y&amp;ID=",SUBSTITUTE(CompByProjTable[[#This Row],[prop_id]],CHAR(160),"")),"eJ&gt;"),"")</f>
        <v/>
      </c>
      <c r="AS10" s="116" t="str">
        <f>IF(CompByProjTable[[#This Row],[oth_supp_cnt]]&gt;0, HYPERLINK(CONCATENATE("https://www.ejacket.nsf.gov/ej/showSupplementaryDocPdf.do?uniqId=?Continue=Y&amp;ID=",SUBSTITUTE(CompByProjTable[[#This Row],[prop_id]],CHAR(160),"")),"OthSuppDoc"),"")</f>
        <v/>
      </c>
      <c r="AT10" s="37">
        <v>2</v>
      </c>
      <c r="AU10" s="37">
        <v>2</v>
      </c>
      <c r="AV10" s="37" t="s">
        <v>446</v>
      </c>
      <c r="AW10" s="43">
        <v>2</v>
      </c>
      <c r="AX10" s="1" t="str">
        <f>HYPERLINK(CONCATENATE("https://www.ejacket.nsf.gov/ej/showProposal.do?Continue=Y&amp;ID=",SUBSTITUTE(CompByProjTable[[#This Row],[prop_id]],CHAR(160),"")),"eJ")</f>
        <v>eJ</v>
      </c>
      <c r="AY10" s="1" t="str">
        <f t="shared" si="0"/>
        <v>-&gt;PD</v>
      </c>
      <c r="AZ10" s="1" t="str">
        <f>HYPERLINK(CONCATENATE("http://dis-checker-p01/solr/collection1/browse?q=Proposal_ID:(",SUBSTITUTE(CompByProjTable[[#This Row],[prop_id]],CHAR(160),""),")%20AND%20(%22Broad*%20Impact*%22~2)","&amp;description=on&amp;fq=Section_Title%3A%28%22Project+Description%22%29&amp;rows=50&amp;%20hl.snippets=20&amp;hl.fragsize=3000&amp;defType=complexphrase"), "solr-BIPW")</f>
        <v>solr-BIPW</v>
      </c>
      <c r="BA10" s="1" t="str">
        <f>HYPERLINK(CONCATENATE("http://dis-checker-p01/solr/collection1/browse?q=Proposal_ID:(",SUBSTITUTE(CompByProjTable[[#This Row],[prop_id]],CHAR(160),""),")%20AND%20(%20prior%20OR%20NSF%20OR%20support%20)","&amp;description=on&amp;fq=Section_Title%3A%28%22Project+Description%22%29&amp;rows=50&amp;%20hl.snippets=20&amp;hl.fragsize=3000&amp;defType=complexphrase"), "solr-RPS")</f>
        <v>solr-RPS</v>
      </c>
      <c r="BB10" s="36" t="s">
        <v>553</v>
      </c>
      <c r="BC10" s="37" t="s">
        <v>471</v>
      </c>
      <c r="BD10" s="37" t="s">
        <v>593</v>
      </c>
      <c r="BE10" s="37">
        <v>2</v>
      </c>
      <c r="BF10" s="37"/>
      <c r="BG10" s="37"/>
      <c r="BH10" s="37">
        <v>3</v>
      </c>
      <c r="BI10" s="43" t="s">
        <v>594</v>
      </c>
      <c r="BJ10" s="36" t="s">
        <v>595</v>
      </c>
      <c r="BK10" s="37" t="s">
        <v>471</v>
      </c>
      <c r="BL10" s="37" t="s">
        <v>597</v>
      </c>
      <c r="BM10" s="37">
        <v>2</v>
      </c>
      <c r="BN10" s="37"/>
      <c r="BO10" s="37"/>
      <c r="BP10" s="37">
        <v>1</v>
      </c>
      <c r="BQ10" s="43" t="s">
        <v>596</v>
      </c>
      <c r="BR10" s="36"/>
      <c r="BS10" s="37"/>
      <c r="BT10" s="37"/>
      <c r="BU10" s="37"/>
      <c r="BV10" s="37"/>
      <c r="BW10" s="37"/>
      <c r="BX10" s="37"/>
      <c r="BY10" s="43"/>
      <c r="BZ10" s="36"/>
      <c r="CA10" s="37"/>
      <c r="CB10" s="37"/>
      <c r="CC10" s="37"/>
      <c r="CD10" s="37"/>
      <c r="CE10" s="37"/>
      <c r="CF10" s="37"/>
      <c r="CG10" s="43"/>
      <c r="CH10" s="36"/>
      <c r="CI10" s="37"/>
      <c r="CJ10" s="37"/>
      <c r="CK10" s="37"/>
      <c r="CL10" s="50"/>
      <c r="CM10" s="37"/>
      <c r="CN10" s="37"/>
      <c r="CO10" s="43"/>
      <c r="CP10" s="36"/>
      <c r="CQ10" s="37"/>
      <c r="CR10" s="37"/>
      <c r="CS10" s="37"/>
      <c r="CT10" s="37"/>
      <c r="CU10" s="37"/>
      <c r="CV10" s="37"/>
      <c r="CW10" s="43"/>
      <c r="CX10" s="36"/>
      <c r="CY10" s="37"/>
      <c r="CZ10" s="37"/>
      <c r="DA10" s="37"/>
      <c r="DB10" s="37"/>
      <c r="DC10" s="37"/>
      <c r="DD10" s="37"/>
      <c r="DE10" s="43"/>
      <c r="DF10" s="37"/>
      <c r="DG10" s="210"/>
      <c r="DH10" s="210"/>
      <c r="DI10" s="210"/>
      <c r="DJ10" s="210"/>
      <c r="DK10" s="210"/>
      <c r="DL10" s="210"/>
      <c r="DM10" s="210"/>
      <c r="DN10" s="36"/>
      <c r="DO10" s="210"/>
      <c r="DP10" s="210"/>
      <c r="DQ10" s="210"/>
      <c r="DR10" s="210"/>
      <c r="DS10" s="210"/>
      <c r="DT10" s="210"/>
      <c r="DU10" s="210"/>
      <c r="DV10" s="36"/>
      <c r="DW10" s="37"/>
      <c r="DX10" s="37"/>
      <c r="DY10" s="37"/>
      <c r="DZ10" s="37"/>
      <c r="EA10" s="37"/>
      <c r="EB10" s="37"/>
      <c r="EC10" s="261"/>
    </row>
    <row r="11" spans="1:133" x14ac:dyDescent="0.25">
      <c r="A11" s="5">
        <v>43033.566562499997</v>
      </c>
      <c r="B11" s="36"/>
      <c r="C11" s="5"/>
      <c r="D11" s="5">
        <v>42760.356944444444</v>
      </c>
      <c r="E11" s="43"/>
      <c r="F11" s="36" t="s">
        <v>559</v>
      </c>
      <c r="G11" s="210" t="s">
        <v>560</v>
      </c>
      <c r="H11" s="210" t="s">
        <v>561</v>
      </c>
      <c r="I11" s="210" t="s">
        <v>558</v>
      </c>
      <c r="J11" s="210" t="s">
        <v>436</v>
      </c>
      <c r="K11" s="246" t="s">
        <v>508</v>
      </c>
      <c r="L11" s="37" t="s">
        <v>504</v>
      </c>
      <c r="M11" s="43"/>
      <c r="N11" s="36" t="s">
        <v>557</v>
      </c>
      <c r="O11" s="53" t="s">
        <v>557</v>
      </c>
      <c r="P11" s="1" t="str">
        <f>HYPERLINK(CONCATENATE("https://www.ejacket.nsf.gov/ej/showProposal.do?Continue=Y&amp;ID=",SUBSTITUTE(CompByProjTable[[#This Row],[prop_id]],CHAR(160),"")),"eJ")</f>
        <v>eJ</v>
      </c>
      <c r="Q11" s="210" t="s">
        <v>564</v>
      </c>
      <c r="R11" s="210" t="s">
        <v>565</v>
      </c>
      <c r="S11" s="210" t="s">
        <v>598</v>
      </c>
      <c r="T11" s="210" t="s">
        <v>566</v>
      </c>
      <c r="U11" s="210" t="s">
        <v>464</v>
      </c>
      <c r="V11" s="43" t="s">
        <v>567</v>
      </c>
      <c r="W11" s="36" t="s">
        <v>72</v>
      </c>
      <c r="X11" s="37" t="s">
        <v>72</v>
      </c>
      <c r="Y11" s="37" t="s">
        <v>568</v>
      </c>
      <c r="Z11" s="38">
        <v>42760.357048611113</v>
      </c>
      <c r="AA11" s="37"/>
      <c r="AB11" s="50"/>
      <c r="AC11" s="188" t="str">
        <f>IF(CompByProjTable[[#This Row],[ProjSumm]]="TBC",HYPERLINK(CONCATENATE("https://www.ejacket.nsf.gov/ej/showProposal.do?Continue=Y&amp;ID=",SUBSTITUTE(CompByProjTable[[#This Row],[prop_id]],CHAR(160),"")),"eJ"),"")</f>
        <v/>
      </c>
      <c r="AD11" s="188" t="str">
        <f>IF(CompByProjTable[[#This Row],[ProjSumm]]="TBC",HYPERLINK(("https://www.ejacket.nsf.gov/ej/showProjectSummaryPdf.do"),"-&gt;PS"),"")</f>
        <v/>
      </c>
      <c r="AE11" s="50" t="s">
        <v>438</v>
      </c>
      <c r="AF11" s="50">
        <v>2</v>
      </c>
      <c r="AG11" s="50" t="s">
        <v>448</v>
      </c>
      <c r="AH11" s="78"/>
      <c r="AI11" s="50"/>
      <c r="AJ11" s="50" t="s">
        <v>448</v>
      </c>
      <c r="AK11" s="50"/>
      <c r="AL11" s="50" t="s">
        <v>450</v>
      </c>
      <c r="AM11" s="78"/>
      <c r="AN11" s="41">
        <v>151017</v>
      </c>
      <c r="AO11" s="41">
        <v>151017</v>
      </c>
      <c r="AP11" s="41"/>
      <c r="AQ11" s="123"/>
      <c r="AR11" s="116" t="str">
        <f>IF(CompByProjTable[[#This Row],[oth_supp_cnt]]&gt;0,HYPERLINK(CONCATENATE("https://www.ejacket.nsf.gov/ej/showProposal.do?Continue=Y&amp;ID=",SUBSTITUTE(CompByProjTable[[#This Row],[prop_id]],CHAR(160),"")),"eJ&gt;"),"")</f>
        <v/>
      </c>
      <c r="AS11" s="116" t="str">
        <f>IF(CompByProjTable[[#This Row],[oth_supp_cnt]]&gt;0, HYPERLINK(CONCATENATE("https://www.ejacket.nsf.gov/ej/showSupplementaryDocPdf.do?uniqId=?Continue=Y&amp;ID=",SUBSTITUTE(CompByProjTable[[#This Row],[prop_id]],CHAR(160),"")),"OthSuppDoc"),"")</f>
        <v/>
      </c>
      <c r="AT11" s="37">
        <v>3</v>
      </c>
      <c r="AU11" s="37">
        <v>3</v>
      </c>
      <c r="AV11" s="37" t="s">
        <v>439</v>
      </c>
      <c r="AW11" s="43">
        <v>3</v>
      </c>
      <c r="AX11" s="1" t="str">
        <f>HYPERLINK(CONCATENATE("https://www.ejacket.nsf.gov/ej/showProposal.do?Continue=Y&amp;ID=",SUBSTITUTE(CompByProjTable[[#This Row],[prop_id]],CHAR(160),"")),"eJ")</f>
        <v>eJ</v>
      </c>
      <c r="AY11" s="1" t="str">
        <f t="shared" si="0"/>
        <v>-&gt;PD</v>
      </c>
      <c r="AZ11" s="1" t="str">
        <f>HYPERLINK(CONCATENATE("http://dis-checker-p01/solr/collection1/browse?q=Proposal_ID:(",SUBSTITUTE(CompByProjTable[[#This Row],[prop_id]],CHAR(160),""),")%20AND%20(%22Broad*%20Impact*%22~2)","&amp;description=on&amp;fq=Section_Title%3A%28%22Project+Description%22%29&amp;rows=50&amp;%20hl.snippets=20&amp;hl.fragsize=3000&amp;defType=complexphrase"), "solr-BIPW")</f>
        <v>solr-BIPW</v>
      </c>
      <c r="BA11" s="1" t="str">
        <f>HYPERLINK(CONCATENATE("http://dis-checker-p01/solr/collection1/browse?q=Proposal_ID:(",SUBSTITUTE(CompByProjTable[[#This Row],[prop_id]],CHAR(160),""),")%20AND%20(%20prior%20OR%20NSF%20OR%20support%20)","&amp;description=on&amp;fq=Section_Title%3A%28%22Project+Description%22%29&amp;rows=50&amp;%20hl.snippets=20&amp;hl.fragsize=3000&amp;defType=complexphrase"), "solr-RPS")</f>
        <v>solr-RPS</v>
      </c>
      <c r="BB11" s="36" t="s">
        <v>564</v>
      </c>
      <c r="BC11" s="37" t="s">
        <v>566</v>
      </c>
      <c r="BD11" s="37" t="s">
        <v>598</v>
      </c>
      <c r="BE11" s="37">
        <v>2</v>
      </c>
      <c r="BF11" s="37">
        <v>3</v>
      </c>
      <c r="BG11" s="37" t="s">
        <v>450</v>
      </c>
      <c r="BH11" s="37">
        <v>1</v>
      </c>
      <c r="BI11" s="43" t="s">
        <v>599</v>
      </c>
      <c r="BJ11" s="36" t="s">
        <v>576</v>
      </c>
      <c r="BK11" s="37" t="s">
        <v>452</v>
      </c>
      <c r="BL11" s="37" t="s">
        <v>601</v>
      </c>
      <c r="BM11" s="37">
        <v>2</v>
      </c>
      <c r="BN11" s="37">
        <v>1</v>
      </c>
      <c r="BO11" s="37" t="s">
        <v>450</v>
      </c>
      <c r="BP11" s="37">
        <v>5</v>
      </c>
      <c r="BQ11" s="43" t="s">
        <v>600</v>
      </c>
      <c r="BR11" s="36" t="s">
        <v>475</v>
      </c>
      <c r="BS11" s="37" t="s">
        <v>465</v>
      </c>
      <c r="BT11" s="37" t="s">
        <v>603</v>
      </c>
      <c r="BU11" s="37">
        <v>2</v>
      </c>
      <c r="BV11" s="37">
        <v>2</v>
      </c>
      <c r="BW11" s="37" t="s">
        <v>450</v>
      </c>
      <c r="BX11" s="37">
        <v>3</v>
      </c>
      <c r="BY11" s="43" t="s">
        <v>602</v>
      </c>
      <c r="BZ11" s="36"/>
      <c r="CA11" s="37"/>
      <c r="CB11" s="37"/>
      <c r="CC11" s="37"/>
      <c r="CD11" s="37"/>
      <c r="CE11" s="37"/>
      <c r="CF11" s="37"/>
      <c r="CG11" s="43"/>
      <c r="CH11" s="36"/>
      <c r="CI11" s="37"/>
      <c r="CJ11" s="37"/>
      <c r="CK11" s="37"/>
      <c r="CL11" s="50"/>
      <c r="CM11" s="37"/>
      <c r="CN11" s="37"/>
      <c r="CO11" s="43"/>
      <c r="CP11" s="36"/>
      <c r="CQ11" s="37"/>
      <c r="CR11" s="37"/>
      <c r="CS11" s="37"/>
      <c r="CT11" s="37"/>
      <c r="CU11" s="37"/>
      <c r="CV11" s="37"/>
      <c r="CW11" s="43"/>
      <c r="CX11" s="36"/>
      <c r="CY11" s="37"/>
      <c r="CZ11" s="37"/>
      <c r="DA11" s="37"/>
      <c r="DB11" s="37"/>
      <c r="DC11" s="37"/>
      <c r="DD11" s="37"/>
      <c r="DE11" s="43"/>
      <c r="DF11" s="37"/>
      <c r="DG11" s="210"/>
      <c r="DH11" s="210"/>
      <c r="DI11" s="210"/>
      <c r="DJ11" s="210"/>
      <c r="DK11" s="210"/>
      <c r="DL11" s="210"/>
      <c r="DM11" s="210"/>
      <c r="DN11" s="36"/>
      <c r="DO11" s="210"/>
      <c r="DP11" s="210"/>
      <c r="DQ11" s="210"/>
      <c r="DR11" s="210"/>
      <c r="DS11" s="210"/>
      <c r="DT11" s="210"/>
      <c r="DU11" s="210"/>
      <c r="DV11" s="36"/>
      <c r="DW11" s="37"/>
      <c r="DX11" s="37"/>
      <c r="DY11" s="37"/>
      <c r="DZ11" s="37"/>
      <c r="EA11" s="37"/>
      <c r="EB11" s="37"/>
      <c r="EC11" s="261"/>
    </row>
    <row r="12" spans="1:133" x14ac:dyDescent="0.25">
      <c r="A12" s="77"/>
      <c r="B12" s="190"/>
      <c r="C12" s="77"/>
      <c r="D12" s="77"/>
      <c r="E12" s="187"/>
      <c r="F12" s="190"/>
      <c r="G12" s="50"/>
      <c r="H12" s="50"/>
      <c r="I12" s="50"/>
      <c r="J12" s="50"/>
      <c r="K12" s="247"/>
      <c r="L12" s="50"/>
      <c r="M12" s="187"/>
      <c r="N12" s="36"/>
      <c r="O12" s="366">
        <f>SUBTOTAL(103,CompByProjTable[prop_id])</f>
        <v>8</v>
      </c>
      <c r="P12" s="367"/>
      <c r="Q12" s="366"/>
      <c r="R12" s="50"/>
      <c r="S12" s="50"/>
      <c r="T12" s="50"/>
      <c r="U12" s="50"/>
      <c r="V12" s="187"/>
      <c r="W12" s="264"/>
      <c r="X12" s="50"/>
      <c r="Y12" s="50"/>
      <c r="Z12" s="77"/>
      <c r="AA12" s="37"/>
      <c r="AB12" s="50"/>
      <c r="AC12" s="367"/>
      <c r="AD12" s="367"/>
      <c r="AE12" s="50"/>
      <c r="AF12" s="50"/>
      <c r="AG12" s="50"/>
      <c r="AH12" s="192">
        <f>COUNTA(AH4:AH11)</f>
        <v>0</v>
      </c>
      <c r="AI12" s="192">
        <f>COUNTA(AI4:AI11)</f>
        <v>0</v>
      </c>
      <c r="AJ12" s="368"/>
      <c r="AK12" s="50"/>
      <c r="AL12" s="50"/>
      <c r="AM12" s="78"/>
      <c r="AN12" s="78"/>
      <c r="AO12" s="78"/>
      <c r="AP12" s="78"/>
      <c r="AQ12" s="125"/>
      <c r="AR12" s="369"/>
      <c r="AS12" s="369"/>
      <c r="AT12" s="50"/>
      <c r="AU12" s="50"/>
      <c r="AV12" s="50"/>
      <c r="AW12" s="187"/>
      <c r="AX12" s="367"/>
      <c r="AY12" s="367"/>
      <c r="AZ12" s="370"/>
      <c r="BA12" s="367"/>
      <c r="BB12" s="190"/>
      <c r="BC12" s="50"/>
      <c r="BD12" s="50"/>
      <c r="BE12" s="50"/>
      <c r="BF12" s="50"/>
      <c r="BG12" s="50"/>
      <c r="BH12" s="50"/>
      <c r="BI12" s="187"/>
      <c r="BJ12" s="190"/>
      <c r="BK12" s="50"/>
      <c r="BL12" s="50"/>
      <c r="BM12" s="78"/>
      <c r="BN12" s="50"/>
      <c r="BO12" s="50"/>
      <c r="BP12" s="50"/>
      <c r="BQ12" s="187"/>
      <c r="BR12" s="190"/>
      <c r="BS12" s="50"/>
      <c r="BT12" s="50"/>
      <c r="BU12" s="50"/>
      <c r="BV12" s="50"/>
      <c r="BW12" s="50"/>
      <c r="BX12" s="50"/>
      <c r="BY12" s="263"/>
      <c r="BZ12" s="190"/>
      <c r="CA12" s="50"/>
      <c r="CB12" s="50"/>
      <c r="CC12" s="78"/>
      <c r="CD12" s="50"/>
      <c r="CE12" s="50"/>
      <c r="CF12" s="78"/>
      <c r="CG12" s="187"/>
      <c r="CH12" s="191"/>
      <c r="CI12" s="50"/>
      <c r="CJ12" s="50"/>
      <c r="CK12" s="50"/>
      <c r="CL12" s="50"/>
      <c r="CM12" s="50"/>
      <c r="CN12" s="50"/>
      <c r="CO12" s="187"/>
      <c r="CP12" s="190"/>
      <c r="CQ12" s="50"/>
      <c r="CR12" s="50"/>
      <c r="CS12" s="50"/>
      <c r="CT12" s="50"/>
      <c r="CU12" s="50"/>
      <c r="CV12" s="50"/>
      <c r="CW12" s="187"/>
      <c r="CX12" s="190"/>
      <c r="CY12" s="50"/>
      <c r="CZ12" s="50"/>
      <c r="DA12" s="50"/>
      <c r="DB12" s="50"/>
      <c r="DC12" s="50"/>
      <c r="DD12" s="50"/>
      <c r="DE12" s="187"/>
      <c r="DF12" s="50"/>
      <c r="DG12" s="50"/>
      <c r="DH12" s="50"/>
      <c r="DI12" s="50"/>
      <c r="DJ12" s="50"/>
      <c r="DK12" s="50"/>
      <c r="DL12" s="50"/>
      <c r="DM12" s="50"/>
      <c r="DN12" s="190"/>
      <c r="DO12" s="50"/>
      <c r="DP12" s="50"/>
      <c r="DQ12" s="50"/>
      <c r="DR12" s="78"/>
      <c r="DS12" s="50"/>
      <c r="DT12" s="50"/>
      <c r="DU12" s="50"/>
      <c r="DV12" s="190"/>
      <c r="DW12" s="50"/>
      <c r="DX12" s="50"/>
      <c r="DY12" s="50"/>
      <c r="DZ12" s="50"/>
      <c r="EA12" s="50"/>
      <c r="EB12" s="50"/>
      <c r="EC12" s="262"/>
    </row>
    <row r="13" spans="1:133" x14ac:dyDescent="0.25">
      <c r="B13" s="210"/>
      <c r="C13" s="210"/>
      <c r="D13" s="210"/>
      <c r="E13" s="210"/>
      <c r="L13" s="210"/>
      <c r="N13" s="210"/>
      <c r="O13" s="210"/>
      <c r="P13" s="210"/>
      <c r="R13" s="210"/>
      <c r="S13" s="210"/>
      <c r="T13" s="210"/>
      <c r="U13" s="210"/>
      <c r="V13" s="210"/>
      <c r="X13" s="210"/>
      <c r="Y13" s="210"/>
      <c r="AA13" s="210"/>
      <c r="AN13" s="210"/>
      <c r="AO13" s="210"/>
      <c r="AP13" s="210"/>
      <c r="AQ13" s="210"/>
      <c r="AR13" s="210"/>
      <c r="AT13" s="210"/>
      <c r="AU13" s="210"/>
      <c r="AV13" s="210"/>
      <c r="AW13" s="210"/>
      <c r="AX13" s="210"/>
      <c r="AY13" s="210"/>
      <c r="AZ13" s="210"/>
      <c r="BB13" s="210"/>
      <c r="BC13" s="210"/>
      <c r="BD13" s="210"/>
      <c r="BE13" s="210"/>
      <c r="BF13" s="210"/>
      <c r="BG13" s="210"/>
      <c r="BH13" s="210"/>
      <c r="BI13" s="210"/>
      <c r="BJ13" s="210"/>
      <c r="BK13" s="210"/>
      <c r="BM13" s="210"/>
      <c r="BN13" s="210"/>
      <c r="BO13" s="210"/>
      <c r="BP13" s="210"/>
      <c r="BQ13" s="210"/>
      <c r="BR13" s="210"/>
      <c r="BS13" s="210"/>
      <c r="BT13" s="210"/>
      <c r="BU13" s="210"/>
      <c r="BV13" s="210"/>
      <c r="BW13" s="210"/>
      <c r="BY13" s="210"/>
      <c r="BZ13" s="210"/>
      <c r="CA13" s="210"/>
      <c r="CB13" s="210"/>
      <c r="CC13" s="210"/>
      <c r="CD13" s="210"/>
      <c r="CF13" s="210"/>
      <c r="CG13" s="210"/>
      <c r="CH13" s="210"/>
      <c r="CJ13" s="210"/>
      <c r="CK13" s="210"/>
      <c r="CL13" s="210"/>
      <c r="CM13" s="210"/>
      <c r="CN13" s="210"/>
      <c r="CO13" s="210"/>
      <c r="CP13" s="210"/>
      <c r="CQ13" s="210"/>
      <c r="CR13" s="210"/>
      <c r="CS13" s="210"/>
      <c r="CT13" s="210"/>
      <c r="CU13" s="210"/>
      <c r="CV13" s="210"/>
      <c r="CW13" s="210"/>
      <c r="CX13" s="210"/>
      <c r="CY13" s="210"/>
      <c r="DA13" s="210"/>
      <c r="DB13" s="210"/>
      <c r="DC13" s="210"/>
      <c r="DD13" s="210"/>
      <c r="DE13" s="210"/>
      <c r="DF13" s="210"/>
      <c r="DG13" s="210"/>
      <c r="DH13" s="210"/>
      <c r="DI13" s="210"/>
      <c r="DJ13" s="210"/>
      <c r="DK13" s="210"/>
      <c r="DL13" s="210"/>
      <c r="DM13" s="210"/>
      <c r="DN13" s="210"/>
      <c r="DO13" s="210"/>
      <c r="DP13" s="210"/>
      <c r="DQ13" s="210"/>
      <c r="DR13" s="210"/>
      <c r="DS13" s="210"/>
      <c r="DT13" s="210"/>
      <c r="DU13" s="210"/>
      <c r="DV13" s="210"/>
      <c r="DW13" s="210"/>
      <c r="DX13" s="210"/>
      <c r="DY13" s="210"/>
      <c r="DZ13" s="210"/>
      <c r="EA13" s="210"/>
      <c r="EB13" s="210"/>
      <c r="EC13" s="210"/>
    </row>
  </sheetData>
  <mergeCells count="16">
    <mergeCell ref="BR2:BY2"/>
    <mergeCell ref="BZ2:CG2"/>
    <mergeCell ref="CH2:CO2"/>
    <mergeCell ref="B1:E2"/>
    <mergeCell ref="N1:V2"/>
    <mergeCell ref="BB2:BI2"/>
    <mergeCell ref="BJ2:BQ2"/>
    <mergeCell ref="F1:M2"/>
    <mergeCell ref="W2:AW2"/>
    <mergeCell ref="W1:AW1"/>
    <mergeCell ref="AX2:BA2"/>
    <mergeCell ref="CP2:CW2"/>
    <mergeCell ref="CX2:DE2"/>
    <mergeCell ref="DF2:DM2"/>
    <mergeCell ref="DN2:DU2"/>
    <mergeCell ref="DV2:EC2"/>
  </mergeCells>
  <conditionalFormatting sqref="V4:V11">
    <cfRule type="expression" dxfId="58" priority="18">
      <formula>$AL4="Y"</formula>
    </cfRule>
  </conditionalFormatting>
  <conditionalFormatting sqref="Y4:Y11">
    <cfRule type="containsBlanks" dxfId="57" priority="42">
      <formula>LEN(TRIM(Y4))=0</formula>
    </cfRule>
  </conditionalFormatting>
  <conditionalFormatting sqref="Z4:Z11">
    <cfRule type="cellIs" dxfId="56" priority="15" operator="equal">
      <formula>1</formula>
    </cfRule>
  </conditionalFormatting>
  <conditionalFormatting sqref="AE4:AE11">
    <cfRule type="cellIs" dxfId="55" priority="14" operator="equal">
      <formula>"No PD"</formula>
    </cfRule>
  </conditionalFormatting>
  <conditionalFormatting sqref="B4:D11 AB4:AB11 AE4:AF11 AI3:AJ11 BE3:BE11 BG3:BG11">
    <cfRule type="expression" dxfId="54" priority="12">
      <formula>$B3&gt;0</formula>
    </cfRule>
  </conditionalFormatting>
  <conditionalFormatting sqref="S4:S11">
    <cfRule type="expression" dxfId="53" priority="66">
      <formula>#REF!&lt;&gt;$S4</formula>
    </cfRule>
  </conditionalFormatting>
  <conditionalFormatting sqref="AU4:AU11 AW3:AW11">
    <cfRule type="expression" dxfId="52" priority="1">
      <formula>AU3&lt;$AT3</formula>
    </cfRule>
  </conditionalFormatting>
  <pageMargins left="0.7" right="0.7" top="0.75" bottom="0.75" header="0.3" footer="0.3"/>
  <pageSetup orientation="portrait"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ellIs" priority="17" operator="greaterThan" id="{710A7C37-AEA9-41B0-9A89-A3A37414FEBE}">
            <xm:f>Input!$P$10</xm:f>
            <x14:dxf>
              <font>
                <color rgb="FF9C6500"/>
              </font>
              <fill>
                <patternFill>
                  <bgColor rgb="FFFFEB9C"/>
                </patternFill>
              </fill>
            </x14:dxf>
          </x14:cfRule>
          <xm:sqref>D4:D11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C000"/>
  </sheetPr>
  <dimension ref="A2:T47"/>
  <sheetViews>
    <sheetView workbookViewId="0">
      <selection activeCell="Q30" sqref="Q30"/>
    </sheetView>
  </sheetViews>
  <sheetFormatPr defaultRowHeight="15" x14ac:dyDescent="0.25"/>
  <cols>
    <col min="1" max="1" width="10" customWidth="1"/>
    <col min="2" max="2" width="11.25" customWidth="1"/>
    <col min="3" max="3" width="14.625" customWidth="1"/>
    <col min="4" max="4" width="11.25" customWidth="1"/>
    <col min="5" max="5" width="6.5" customWidth="1"/>
    <col min="8" max="8" width="15" customWidth="1"/>
    <col min="9" max="9" width="6.375" customWidth="1"/>
    <col min="10" max="10" width="13" customWidth="1"/>
    <col min="11" max="11" width="16" customWidth="1"/>
    <col min="12" max="15" width="9.375" customWidth="1"/>
    <col min="16" max="16" width="14.625" customWidth="1"/>
    <col min="17" max="17" width="6.375" customWidth="1"/>
    <col min="18" max="18" width="9.375" customWidth="1"/>
    <col min="19" max="19" width="21" customWidth="1"/>
    <col min="20" max="20" width="6.375" customWidth="1"/>
    <col min="21" max="21" width="9.375" customWidth="1"/>
    <col min="22" max="33" width="9.375" bestFit="1" customWidth="1"/>
    <col min="34" max="34" width="11.125" bestFit="1" customWidth="1"/>
  </cols>
  <sheetData>
    <row r="2" spans="16:20" s="46" customFormat="1" ht="45" x14ac:dyDescent="0.25">
      <c r="P2" s="120" t="s">
        <v>357</v>
      </c>
      <c r="Q2" s="121" t="s">
        <v>360</v>
      </c>
      <c r="S2" s="117" t="s">
        <v>374</v>
      </c>
      <c r="T2" s="118" t="s">
        <v>360</v>
      </c>
    </row>
    <row r="3" spans="16:20" x14ac:dyDescent="0.25">
      <c r="P3" s="119">
        <v>42371</v>
      </c>
      <c r="Q3" s="122">
        <v>1</v>
      </c>
      <c r="S3" s="109" t="s">
        <v>436</v>
      </c>
      <c r="T3" s="96">
        <v>8</v>
      </c>
    </row>
    <row r="4" spans="16:20" x14ac:dyDescent="0.25">
      <c r="P4" s="119">
        <v>42373</v>
      </c>
      <c r="Q4" s="122">
        <v>2</v>
      </c>
      <c r="S4" s="109" t="s">
        <v>507</v>
      </c>
      <c r="T4" s="96">
        <v>2</v>
      </c>
    </row>
    <row r="5" spans="16:20" x14ac:dyDescent="0.25">
      <c r="P5" s="119">
        <v>42384</v>
      </c>
      <c r="Q5" s="122">
        <v>3</v>
      </c>
      <c r="S5" s="109" t="s">
        <v>353</v>
      </c>
      <c r="T5" s="96">
        <v>10</v>
      </c>
    </row>
    <row r="6" spans="16:20" x14ac:dyDescent="0.25">
      <c r="P6" s="119">
        <v>42394</v>
      </c>
      <c r="Q6" s="122">
        <v>1</v>
      </c>
    </row>
    <row r="7" spans="16:20" x14ac:dyDescent="0.25">
      <c r="P7" s="119">
        <v>42755</v>
      </c>
      <c r="Q7" s="122">
        <v>2</v>
      </c>
    </row>
    <row r="8" spans="16:20" x14ac:dyDescent="0.25">
      <c r="P8" s="119">
        <v>42760</v>
      </c>
      <c r="Q8" s="122">
        <v>1</v>
      </c>
    </row>
    <row r="9" spans="16:20" x14ac:dyDescent="0.25">
      <c r="P9" s="119" t="s">
        <v>353</v>
      </c>
      <c r="Q9" s="122">
        <v>10</v>
      </c>
    </row>
    <row r="22" spans="2:20" x14ac:dyDescent="0.25">
      <c r="S22" s="46"/>
      <c r="T22" s="46"/>
    </row>
    <row r="23" spans="2:20" s="46" customFormat="1" ht="45" x14ac:dyDescent="0.25">
      <c r="B23" s="111" t="s">
        <v>358</v>
      </c>
      <c r="C23" s="46" t="s">
        <v>360</v>
      </c>
      <c r="D23" s="111" t="s">
        <v>358</v>
      </c>
      <c r="E23" s="46" t="s">
        <v>359</v>
      </c>
      <c r="H23" s="114" t="s">
        <v>361</v>
      </c>
      <c r="I23" s="112" t="s">
        <v>359</v>
      </c>
      <c r="P23"/>
      <c r="Q23"/>
    </row>
    <row r="24" spans="2:20" s="46" customFormat="1" x14ac:dyDescent="0.25">
      <c r="B24" s="112" t="s">
        <v>504</v>
      </c>
      <c r="C24" s="371">
        <v>5</v>
      </c>
      <c r="D24" s="109" t="s">
        <v>504</v>
      </c>
      <c r="E24" s="113">
        <v>3</v>
      </c>
      <c r="H24" s="109" t="s">
        <v>543</v>
      </c>
      <c r="I24" s="113">
        <v>1</v>
      </c>
      <c r="P24"/>
      <c r="Q24"/>
      <c r="S24"/>
      <c r="T24"/>
    </row>
    <row r="25" spans="2:20" x14ac:dyDescent="0.25">
      <c r="B25" s="109" t="s">
        <v>486</v>
      </c>
      <c r="C25" s="113">
        <v>5</v>
      </c>
      <c r="D25" s="109" t="s">
        <v>486</v>
      </c>
      <c r="E25" s="113">
        <v>5</v>
      </c>
      <c r="H25" s="109" t="s">
        <v>482</v>
      </c>
      <c r="I25" s="113">
        <v>1</v>
      </c>
    </row>
    <row r="26" spans="2:20" x14ac:dyDescent="0.25">
      <c r="B26" s="109" t="s">
        <v>353</v>
      </c>
      <c r="C26" s="113">
        <v>10</v>
      </c>
      <c r="D26" s="109" t="s">
        <v>353</v>
      </c>
      <c r="E26" s="113">
        <v>8</v>
      </c>
      <c r="H26" s="109" t="s">
        <v>524</v>
      </c>
      <c r="I26" s="113">
        <v>1</v>
      </c>
    </row>
    <row r="27" spans="2:20" x14ac:dyDescent="0.25">
      <c r="H27" s="109" t="s">
        <v>514</v>
      </c>
      <c r="I27" s="113">
        <v>1</v>
      </c>
    </row>
    <row r="28" spans="2:20" x14ac:dyDescent="0.25">
      <c r="H28" s="109" t="s">
        <v>498</v>
      </c>
      <c r="I28" s="113">
        <v>1</v>
      </c>
    </row>
    <row r="29" spans="2:20" x14ac:dyDescent="0.25">
      <c r="H29" s="109" t="s">
        <v>551</v>
      </c>
      <c r="I29" s="113">
        <v>1</v>
      </c>
    </row>
    <row r="30" spans="2:20" x14ac:dyDescent="0.25">
      <c r="B30" s="184" t="s">
        <v>67</v>
      </c>
      <c r="C30" s="210" t="s">
        <v>401</v>
      </c>
      <c r="H30" s="109" t="s">
        <v>535</v>
      </c>
      <c r="I30" s="113">
        <v>1</v>
      </c>
    </row>
    <row r="31" spans="2:20" x14ac:dyDescent="0.25">
      <c r="B31" s="184" t="s">
        <v>68</v>
      </c>
      <c r="C31" s="210" t="s">
        <v>401</v>
      </c>
      <c r="H31" s="109" t="s">
        <v>561</v>
      </c>
      <c r="I31" s="113">
        <v>1</v>
      </c>
    </row>
    <row r="32" spans="2:20" x14ac:dyDescent="0.25">
      <c r="H32" s="109" t="s">
        <v>353</v>
      </c>
      <c r="I32" s="113">
        <v>8</v>
      </c>
    </row>
    <row r="33" spans="1:3" x14ac:dyDescent="0.25">
      <c r="B33" s="184" t="s">
        <v>398</v>
      </c>
      <c r="C33" t="s">
        <v>399</v>
      </c>
    </row>
    <row r="34" spans="1:3" x14ac:dyDescent="0.25">
      <c r="B34" s="109" t="s">
        <v>483</v>
      </c>
      <c r="C34" s="96">
        <v>3</v>
      </c>
    </row>
    <row r="35" spans="1:3" x14ac:dyDescent="0.25">
      <c r="A35" s="109"/>
      <c r="B35" s="185" t="s">
        <v>484</v>
      </c>
      <c r="C35" s="96">
        <v>1</v>
      </c>
    </row>
    <row r="36" spans="1:3" x14ac:dyDescent="0.25">
      <c r="A36" s="185"/>
      <c r="B36" s="185" t="s">
        <v>552</v>
      </c>
      <c r="C36" s="96">
        <v>1</v>
      </c>
    </row>
    <row r="37" spans="1:3" x14ac:dyDescent="0.25">
      <c r="A37" s="185"/>
      <c r="B37" s="185" t="s">
        <v>515</v>
      </c>
      <c r="C37" s="96">
        <v>1</v>
      </c>
    </row>
    <row r="38" spans="1:3" x14ac:dyDescent="0.25">
      <c r="A38" s="185"/>
      <c r="B38" s="109" t="s">
        <v>562</v>
      </c>
      <c r="C38" s="96">
        <v>3</v>
      </c>
    </row>
    <row r="39" spans="1:3" x14ac:dyDescent="0.25">
      <c r="A39" s="185"/>
      <c r="B39" s="185" t="s">
        <v>563</v>
      </c>
      <c r="C39" s="96">
        <v>3</v>
      </c>
    </row>
    <row r="40" spans="1:3" x14ac:dyDescent="0.25">
      <c r="A40" s="185"/>
      <c r="B40" s="109" t="s">
        <v>526</v>
      </c>
      <c r="C40" s="96">
        <v>3</v>
      </c>
    </row>
    <row r="41" spans="1:3" x14ac:dyDescent="0.25">
      <c r="A41" s="185"/>
      <c r="B41" s="185" t="s">
        <v>527</v>
      </c>
      <c r="C41" s="96">
        <v>1</v>
      </c>
    </row>
    <row r="42" spans="1:3" x14ac:dyDescent="0.25">
      <c r="A42" s="185"/>
      <c r="B42" s="185" t="s">
        <v>544</v>
      </c>
      <c r="C42" s="96">
        <v>1</v>
      </c>
    </row>
    <row r="43" spans="1:3" x14ac:dyDescent="0.25">
      <c r="A43" s="185"/>
      <c r="B43" s="185" t="s">
        <v>536</v>
      </c>
      <c r="C43" s="96">
        <v>1</v>
      </c>
    </row>
    <row r="44" spans="1:3" x14ac:dyDescent="0.25">
      <c r="A44" s="185"/>
      <c r="B44" s="109" t="s">
        <v>500</v>
      </c>
      <c r="C44" s="96">
        <v>1</v>
      </c>
    </row>
    <row r="45" spans="1:3" x14ac:dyDescent="0.25">
      <c r="A45" s="185"/>
      <c r="B45" s="185" t="s">
        <v>501</v>
      </c>
      <c r="C45" s="96">
        <v>1</v>
      </c>
    </row>
    <row r="46" spans="1:3" x14ac:dyDescent="0.25">
      <c r="A46" s="185"/>
      <c r="B46" s="109" t="s">
        <v>353</v>
      </c>
      <c r="C46" s="96">
        <v>10</v>
      </c>
    </row>
    <row r="47" spans="1:3" x14ac:dyDescent="0.25">
      <c r="A47" s="185"/>
    </row>
  </sheetData>
  <pageMargins left="0.7" right="0.7" top="0.75" bottom="0.75" header="0.3" footer="0.3"/>
  <pageSetup orientation="portrait" r:id="rId7"/>
  <drawing r:id="rId8"/>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2"/>
  </sheetPr>
  <dimension ref="A1:F189"/>
  <sheetViews>
    <sheetView zoomScale="90" zoomScaleNormal="90" workbookViewId="0">
      <selection activeCell="Q30" sqref="Q30"/>
    </sheetView>
  </sheetViews>
  <sheetFormatPr defaultRowHeight="15" x14ac:dyDescent="0.25"/>
  <cols>
    <col min="1" max="1" width="13.375" style="46" customWidth="1"/>
    <col min="2" max="2" width="21.5" customWidth="1"/>
    <col min="3" max="3" width="24.125" style="88" customWidth="1"/>
    <col min="4" max="4" width="42.125" style="6" customWidth="1"/>
    <col min="5" max="5" width="50.375" style="89" customWidth="1"/>
    <col min="6" max="6" width="35.875" style="6" customWidth="1"/>
  </cols>
  <sheetData>
    <row r="1" spans="1:6" x14ac:dyDescent="0.25">
      <c r="A1" s="182"/>
      <c r="B1" s="13"/>
      <c r="C1" s="156"/>
      <c r="D1" s="26"/>
      <c r="E1" s="155"/>
      <c r="F1" s="26"/>
    </row>
    <row r="2" spans="1:6" ht="33" customHeight="1" thickBot="1" x14ac:dyDescent="0.3">
      <c r="A2" s="13"/>
      <c r="B2" s="341" t="s">
        <v>155</v>
      </c>
      <c r="C2" s="341"/>
      <c r="D2" s="341"/>
      <c r="E2" s="341"/>
      <c r="F2" s="341"/>
    </row>
    <row r="3" spans="1:6" s="34" customFormat="1" ht="16.5" thickBot="1" x14ac:dyDescent="0.3">
      <c r="A3" s="152"/>
      <c r="B3" s="176" t="s">
        <v>153</v>
      </c>
      <c r="C3" s="159" t="s">
        <v>154</v>
      </c>
      <c r="D3" s="160" t="s">
        <v>151</v>
      </c>
      <c r="E3" s="161" t="s">
        <v>152</v>
      </c>
      <c r="F3" s="162" t="s">
        <v>158</v>
      </c>
    </row>
    <row r="4" spans="1:6" ht="16.5" thickBot="1" x14ac:dyDescent="0.3">
      <c r="A4" s="13"/>
      <c r="B4" s="177"/>
      <c r="C4" s="132" t="s">
        <v>371</v>
      </c>
      <c r="D4" s="133" t="s">
        <v>382</v>
      </c>
      <c r="E4" s="134" t="s">
        <v>383</v>
      </c>
      <c r="F4" s="178"/>
    </row>
    <row r="5" spans="1:6" ht="30" x14ac:dyDescent="0.25">
      <c r="A5" s="13"/>
      <c r="B5" s="342" t="s">
        <v>136</v>
      </c>
      <c r="C5" s="56" t="s">
        <v>75</v>
      </c>
      <c r="D5" s="68" t="s">
        <v>172</v>
      </c>
      <c r="E5" s="65" t="s">
        <v>219</v>
      </c>
      <c r="F5" s="164"/>
    </row>
    <row r="6" spans="1:6" ht="15" customHeight="1" x14ac:dyDescent="0.25">
      <c r="A6" s="13"/>
      <c r="B6" s="343"/>
      <c r="C6" s="57" t="s">
        <v>76</v>
      </c>
      <c r="D6" s="69" t="s">
        <v>174</v>
      </c>
      <c r="E6" s="64" t="s">
        <v>220</v>
      </c>
      <c r="F6" s="165"/>
    </row>
    <row r="7" spans="1:6" ht="15" customHeight="1" x14ac:dyDescent="0.25">
      <c r="A7" s="13"/>
      <c r="B7" s="343"/>
      <c r="C7" s="57" t="s">
        <v>84</v>
      </c>
      <c r="D7" s="69" t="s">
        <v>173</v>
      </c>
      <c r="E7" s="64" t="s">
        <v>220</v>
      </c>
      <c r="F7" s="165"/>
    </row>
    <row r="8" spans="1:6" ht="30" x14ac:dyDescent="0.25">
      <c r="A8" s="13"/>
      <c r="B8" s="343"/>
      <c r="C8" s="57" t="s">
        <v>215</v>
      </c>
      <c r="D8" s="69" t="s">
        <v>325</v>
      </c>
      <c r="E8" s="64" t="s">
        <v>352</v>
      </c>
      <c r="F8" s="165"/>
    </row>
    <row r="9" spans="1:6" ht="15" customHeight="1" x14ac:dyDescent="0.25">
      <c r="A9" s="13"/>
      <c r="B9" s="343"/>
      <c r="C9" s="59" t="s">
        <v>128</v>
      </c>
      <c r="D9" s="69" t="s">
        <v>202</v>
      </c>
      <c r="E9" s="64" t="s">
        <v>221</v>
      </c>
      <c r="F9" s="165"/>
    </row>
    <row r="10" spans="1:6" ht="30" x14ac:dyDescent="0.25">
      <c r="A10" s="13"/>
      <c r="B10" s="343"/>
      <c r="C10" s="60" t="s">
        <v>129</v>
      </c>
      <c r="D10" s="69" t="s">
        <v>203</v>
      </c>
      <c r="E10" s="64" t="s">
        <v>220</v>
      </c>
      <c r="F10" s="165"/>
    </row>
    <row r="11" spans="1:6" ht="30.75" thickBot="1" x14ac:dyDescent="0.3">
      <c r="A11" s="13"/>
      <c r="B11" s="344"/>
      <c r="C11" s="61" t="s">
        <v>130</v>
      </c>
      <c r="D11" s="70" t="s">
        <v>204</v>
      </c>
      <c r="E11" s="66" t="s">
        <v>222</v>
      </c>
      <c r="F11" s="167"/>
    </row>
    <row r="12" spans="1:6" ht="15" customHeight="1" x14ac:dyDescent="0.25">
      <c r="A12" s="13"/>
      <c r="B12" s="347" t="s">
        <v>137</v>
      </c>
      <c r="C12" s="135" t="s">
        <v>59</v>
      </c>
      <c r="D12" s="68" t="s">
        <v>205</v>
      </c>
      <c r="E12" s="65" t="s">
        <v>223</v>
      </c>
      <c r="F12" s="164"/>
    </row>
    <row r="13" spans="1:6" ht="15" customHeight="1" x14ac:dyDescent="0.25">
      <c r="A13" s="13"/>
      <c r="B13" s="348"/>
      <c r="C13" s="136" t="s">
        <v>0</v>
      </c>
      <c r="D13" s="69" t="s">
        <v>175</v>
      </c>
      <c r="E13" s="64" t="s">
        <v>224</v>
      </c>
      <c r="F13" s="165"/>
    </row>
    <row r="14" spans="1:6" ht="15" customHeight="1" x14ac:dyDescent="0.25">
      <c r="A14" s="13"/>
      <c r="B14" s="348"/>
      <c r="C14" s="136" t="s">
        <v>60</v>
      </c>
      <c r="D14" s="69" t="s">
        <v>176</v>
      </c>
      <c r="E14" s="64" t="s">
        <v>225</v>
      </c>
      <c r="F14" s="165"/>
    </row>
    <row r="15" spans="1:6" ht="15" customHeight="1" x14ac:dyDescent="0.25">
      <c r="A15" s="13"/>
      <c r="B15" s="348"/>
      <c r="C15" s="136" t="s">
        <v>364</v>
      </c>
      <c r="D15" s="69" t="s">
        <v>384</v>
      </c>
      <c r="E15" s="64" t="s">
        <v>404</v>
      </c>
      <c r="F15" s="165"/>
    </row>
    <row r="16" spans="1:6" ht="15" customHeight="1" x14ac:dyDescent="0.25">
      <c r="A16" s="13"/>
      <c r="B16" s="348"/>
      <c r="C16" s="136" t="s">
        <v>365</v>
      </c>
      <c r="D16" s="69" t="s">
        <v>385</v>
      </c>
      <c r="E16" s="64" t="s">
        <v>403</v>
      </c>
      <c r="F16" s="165"/>
    </row>
    <row r="17" spans="1:6" ht="15" customHeight="1" x14ac:dyDescent="0.25">
      <c r="A17" s="13"/>
      <c r="B17" s="348"/>
      <c r="C17" s="137" t="s">
        <v>61</v>
      </c>
      <c r="D17" s="69" t="s">
        <v>177</v>
      </c>
      <c r="E17" s="64" t="s">
        <v>226</v>
      </c>
      <c r="F17" s="165"/>
    </row>
    <row r="18" spans="1:6" ht="15" customHeight="1" x14ac:dyDescent="0.25">
      <c r="A18" s="13"/>
      <c r="B18" s="348"/>
      <c r="C18" s="137" t="s">
        <v>67</v>
      </c>
      <c r="D18" s="69" t="s">
        <v>178</v>
      </c>
      <c r="E18" s="64" t="s">
        <v>227</v>
      </c>
      <c r="F18" s="165"/>
    </row>
    <row r="19" spans="1:6" ht="15.75" customHeight="1" x14ac:dyDescent="0.25">
      <c r="A19" s="13"/>
      <c r="B19" s="348"/>
      <c r="C19" s="137" t="s">
        <v>68</v>
      </c>
      <c r="D19" s="69" t="s">
        <v>179</v>
      </c>
      <c r="E19" s="64" t="s">
        <v>228</v>
      </c>
      <c r="F19" s="165"/>
    </row>
    <row r="20" spans="1:6" ht="30" x14ac:dyDescent="0.25">
      <c r="A20" s="13"/>
      <c r="B20" s="348"/>
      <c r="C20" s="138" t="s">
        <v>349</v>
      </c>
      <c r="D20" s="81" t="s">
        <v>350</v>
      </c>
      <c r="E20" s="82" t="s">
        <v>351</v>
      </c>
      <c r="F20" s="165"/>
    </row>
    <row r="21" spans="1:6" ht="45.75" thickBot="1" x14ac:dyDescent="0.3">
      <c r="A21" s="13"/>
      <c r="B21" s="349"/>
      <c r="C21" s="139" t="s">
        <v>131</v>
      </c>
      <c r="D21" s="70"/>
      <c r="E21" s="66" t="s">
        <v>180</v>
      </c>
      <c r="F21" s="165"/>
    </row>
    <row r="22" spans="1:6" ht="30" x14ac:dyDescent="0.25">
      <c r="A22" s="13"/>
      <c r="B22" s="350" t="s">
        <v>138</v>
      </c>
      <c r="C22" s="135" t="s">
        <v>73</v>
      </c>
      <c r="D22" s="68" t="s">
        <v>181</v>
      </c>
      <c r="E22" s="65" t="s">
        <v>229</v>
      </c>
      <c r="F22" s="164"/>
    </row>
    <row r="23" spans="1:6" ht="15.75" customHeight="1" x14ac:dyDescent="0.25">
      <c r="A23" s="13"/>
      <c r="B23" s="351"/>
      <c r="C23" s="137" t="s">
        <v>74</v>
      </c>
      <c r="D23" s="69" t="s">
        <v>182</v>
      </c>
      <c r="E23" s="64" t="s">
        <v>230</v>
      </c>
      <c r="F23" s="165"/>
    </row>
    <row r="24" spans="1:6" ht="15.75" customHeight="1" x14ac:dyDescent="0.25">
      <c r="A24" s="13"/>
      <c r="B24" s="351"/>
      <c r="C24" s="140" t="s">
        <v>133</v>
      </c>
      <c r="D24" s="71" t="s">
        <v>183</v>
      </c>
      <c r="E24" s="67" t="s">
        <v>231</v>
      </c>
      <c r="F24" s="168"/>
    </row>
    <row r="25" spans="1:6" ht="15.75" customHeight="1" x14ac:dyDescent="0.25">
      <c r="A25" s="13"/>
      <c r="B25" s="351"/>
      <c r="C25" s="137" t="s">
        <v>62</v>
      </c>
      <c r="D25" s="69" t="s">
        <v>184</v>
      </c>
      <c r="E25" s="64" t="s">
        <v>226</v>
      </c>
      <c r="F25" s="165"/>
    </row>
    <row r="26" spans="1:6" ht="15.75" customHeight="1" x14ac:dyDescent="0.25">
      <c r="A26" s="13"/>
      <c r="B26" s="351"/>
      <c r="C26" s="137" t="s">
        <v>63</v>
      </c>
      <c r="D26" s="69" t="s">
        <v>185</v>
      </c>
      <c r="E26" s="64" t="s">
        <v>226</v>
      </c>
      <c r="F26" s="165"/>
    </row>
    <row r="27" spans="1:6" ht="15.75" customHeight="1" x14ac:dyDescent="0.25">
      <c r="A27" s="13"/>
      <c r="B27" s="351"/>
      <c r="C27" s="137" t="s">
        <v>64</v>
      </c>
      <c r="D27" s="69" t="s">
        <v>206</v>
      </c>
      <c r="E27" s="64" t="s">
        <v>226</v>
      </c>
      <c r="F27" s="165"/>
    </row>
    <row r="28" spans="1:6" ht="15.75" customHeight="1" thickBot="1" x14ac:dyDescent="0.3">
      <c r="A28" s="13"/>
      <c r="B28" s="352"/>
      <c r="C28" s="141" t="s">
        <v>66</v>
      </c>
      <c r="D28" s="70" t="s">
        <v>186</v>
      </c>
      <c r="E28" s="66" t="s">
        <v>232</v>
      </c>
      <c r="F28" s="167"/>
    </row>
    <row r="29" spans="1:6" ht="30" x14ac:dyDescent="0.25">
      <c r="A29" s="13"/>
      <c r="B29" s="353" t="s">
        <v>139</v>
      </c>
      <c r="C29" s="135" t="s">
        <v>69</v>
      </c>
      <c r="D29" s="68" t="s">
        <v>207</v>
      </c>
      <c r="E29" s="65" t="s">
        <v>233</v>
      </c>
      <c r="F29" s="164"/>
    </row>
    <row r="30" spans="1:6" ht="15.75" customHeight="1" x14ac:dyDescent="0.25">
      <c r="A30" s="13"/>
      <c r="B30" s="355"/>
      <c r="C30" s="137" t="s">
        <v>77</v>
      </c>
      <c r="D30" s="69" t="s">
        <v>196</v>
      </c>
      <c r="E30" s="64" t="s">
        <v>233</v>
      </c>
      <c r="F30" s="165"/>
    </row>
    <row r="31" spans="1:6" x14ac:dyDescent="0.25">
      <c r="A31" s="13"/>
      <c r="B31" s="355"/>
      <c r="C31" s="137" t="s">
        <v>70</v>
      </c>
      <c r="D31" s="69" t="s">
        <v>160</v>
      </c>
      <c r="E31" s="64" t="s">
        <v>222</v>
      </c>
      <c r="F31" s="165" t="s">
        <v>159</v>
      </c>
    </row>
    <row r="32" spans="1:6" ht="30" x14ac:dyDescent="0.25">
      <c r="A32" s="13"/>
      <c r="B32" s="355"/>
      <c r="C32" s="142" t="s">
        <v>71</v>
      </c>
      <c r="D32" s="69" t="s">
        <v>161</v>
      </c>
      <c r="E32" s="64" t="s">
        <v>220</v>
      </c>
      <c r="F32" s="165" t="s">
        <v>162</v>
      </c>
    </row>
    <row r="33" spans="1:6" ht="60" x14ac:dyDescent="0.25">
      <c r="A33" s="13"/>
      <c r="B33" s="355"/>
      <c r="C33" s="143" t="s">
        <v>135</v>
      </c>
      <c r="D33" s="69" t="s">
        <v>406</v>
      </c>
      <c r="E33" s="64" t="s">
        <v>405</v>
      </c>
      <c r="F33" s="165" t="s">
        <v>166</v>
      </c>
    </row>
    <row r="34" spans="1:6" ht="45" x14ac:dyDescent="0.25">
      <c r="A34" s="13"/>
      <c r="B34" s="355"/>
      <c r="C34" s="144" t="s">
        <v>85</v>
      </c>
      <c r="D34" s="69" t="s">
        <v>167</v>
      </c>
      <c r="E34" s="64" t="s">
        <v>168</v>
      </c>
      <c r="F34" s="165" t="s">
        <v>169</v>
      </c>
    </row>
    <row r="35" spans="1:6" ht="45" x14ac:dyDescent="0.25">
      <c r="A35" s="13"/>
      <c r="B35" s="355"/>
      <c r="C35" s="143" t="s">
        <v>134</v>
      </c>
      <c r="D35" s="69" t="s">
        <v>164</v>
      </c>
      <c r="E35" s="64" t="s">
        <v>208</v>
      </c>
      <c r="F35" s="165" t="s">
        <v>163</v>
      </c>
    </row>
    <row r="36" spans="1:6" x14ac:dyDescent="0.25">
      <c r="A36" s="13"/>
      <c r="B36" s="355"/>
      <c r="C36" s="144" t="s">
        <v>381</v>
      </c>
      <c r="D36" s="69" t="s">
        <v>387</v>
      </c>
      <c r="E36" s="64" t="s">
        <v>171</v>
      </c>
      <c r="F36" s="165"/>
    </row>
    <row r="37" spans="1:6" x14ac:dyDescent="0.25">
      <c r="A37" s="13"/>
      <c r="B37" s="355"/>
      <c r="C37" s="137" t="s">
        <v>78</v>
      </c>
      <c r="D37" s="69" t="s">
        <v>191</v>
      </c>
      <c r="E37" s="64" t="s">
        <v>240</v>
      </c>
      <c r="F37" s="165"/>
    </row>
    <row r="38" spans="1:6" x14ac:dyDescent="0.25">
      <c r="A38" s="13"/>
      <c r="B38" s="355"/>
      <c r="C38" s="143" t="s">
        <v>58</v>
      </c>
      <c r="D38" s="69" t="s">
        <v>192</v>
      </c>
      <c r="E38" s="64" t="s">
        <v>235</v>
      </c>
      <c r="F38" s="165"/>
    </row>
    <row r="39" spans="1:6" x14ac:dyDescent="0.25">
      <c r="A39" s="13"/>
      <c r="B39" s="355"/>
      <c r="C39" s="137" t="s">
        <v>79</v>
      </c>
      <c r="D39" s="69" t="s">
        <v>193</v>
      </c>
      <c r="E39" s="64" t="s">
        <v>236</v>
      </c>
      <c r="F39" s="165"/>
    </row>
    <row r="40" spans="1:6" ht="45" x14ac:dyDescent="0.25">
      <c r="A40" s="13"/>
      <c r="B40" s="355"/>
      <c r="C40" s="137" t="s">
        <v>80</v>
      </c>
      <c r="D40" s="69" t="s">
        <v>194</v>
      </c>
      <c r="E40" s="64" t="s">
        <v>237</v>
      </c>
      <c r="F40" s="165"/>
    </row>
    <row r="41" spans="1:6" x14ac:dyDescent="0.25">
      <c r="A41" s="13"/>
      <c r="B41" s="355"/>
      <c r="C41" s="137" t="s">
        <v>81</v>
      </c>
      <c r="D41" s="69" t="s">
        <v>195</v>
      </c>
      <c r="E41" s="64" t="s">
        <v>238</v>
      </c>
      <c r="F41" s="165"/>
    </row>
    <row r="42" spans="1:6" x14ac:dyDescent="0.25">
      <c r="A42" s="13"/>
      <c r="B42" s="355"/>
      <c r="C42" s="137" t="s">
        <v>370</v>
      </c>
      <c r="D42" s="69" t="s">
        <v>386</v>
      </c>
      <c r="E42" s="64"/>
      <c r="F42" s="165"/>
    </row>
    <row r="43" spans="1:6" ht="15" customHeight="1" x14ac:dyDescent="0.25">
      <c r="A43" s="13"/>
      <c r="B43" s="355"/>
      <c r="C43" s="137" t="s">
        <v>372</v>
      </c>
      <c r="D43" s="71" t="s">
        <v>183</v>
      </c>
      <c r="E43" s="67" t="s">
        <v>231</v>
      </c>
      <c r="F43" s="165"/>
    </row>
    <row r="44" spans="1:6" ht="15.75" customHeight="1" x14ac:dyDescent="0.25">
      <c r="A44" s="13"/>
      <c r="B44" s="355"/>
      <c r="C44" s="137" t="s">
        <v>373</v>
      </c>
      <c r="D44" s="69" t="s">
        <v>388</v>
      </c>
      <c r="E44" s="64"/>
      <c r="F44" s="165"/>
    </row>
    <row r="45" spans="1:6" ht="15.75" x14ac:dyDescent="0.25">
      <c r="A45" s="183"/>
      <c r="B45" s="355"/>
      <c r="C45" s="137" t="s">
        <v>86</v>
      </c>
      <c r="D45" s="69" t="s">
        <v>189</v>
      </c>
      <c r="E45" s="64" t="s">
        <v>239</v>
      </c>
      <c r="F45" s="165"/>
    </row>
    <row r="46" spans="1:6" ht="15.75" x14ac:dyDescent="0.25">
      <c r="A46" s="183"/>
      <c r="B46" s="355"/>
      <c r="C46" s="143" t="s">
        <v>56</v>
      </c>
      <c r="D46" s="69" t="s">
        <v>188</v>
      </c>
      <c r="E46" s="64" t="s">
        <v>235</v>
      </c>
      <c r="F46" s="165"/>
    </row>
    <row r="47" spans="1:6" ht="45" customHeight="1" x14ac:dyDescent="0.25">
      <c r="A47" s="183"/>
      <c r="B47" s="355"/>
      <c r="C47" s="143" t="s">
        <v>82</v>
      </c>
      <c r="D47" s="69" t="s">
        <v>190</v>
      </c>
      <c r="E47" s="64" t="s">
        <v>235</v>
      </c>
      <c r="F47" s="165"/>
    </row>
    <row r="48" spans="1:6" s="47" customFormat="1" ht="20.25" customHeight="1" thickBot="1" x14ac:dyDescent="0.3">
      <c r="A48" s="183"/>
      <c r="B48" s="354"/>
      <c r="C48" s="139" t="s">
        <v>83</v>
      </c>
      <c r="D48" s="70" t="s">
        <v>187</v>
      </c>
      <c r="E48" s="66" t="s">
        <v>235</v>
      </c>
      <c r="F48" s="167"/>
    </row>
    <row r="49" spans="1:6" ht="32.25" customHeight="1" x14ac:dyDescent="0.25">
      <c r="A49" s="183"/>
      <c r="B49" s="353" t="s">
        <v>331</v>
      </c>
      <c r="C49" s="135" t="s">
        <v>332</v>
      </c>
      <c r="D49" s="68" t="s">
        <v>334</v>
      </c>
      <c r="E49" s="65" t="s">
        <v>335</v>
      </c>
      <c r="F49" s="179"/>
    </row>
    <row r="50" spans="1:6" ht="75.75" customHeight="1" thickBot="1" x14ac:dyDescent="0.3">
      <c r="A50" s="183"/>
      <c r="B50" s="354"/>
      <c r="C50" s="180" t="s">
        <v>333</v>
      </c>
      <c r="D50" s="173" t="s">
        <v>337</v>
      </c>
      <c r="E50" s="174" t="s">
        <v>336</v>
      </c>
      <c r="F50" s="181"/>
    </row>
    <row r="51" spans="1:6" s="13" customFormat="1" ht="15.75" x14ac:dyDescent="0.25">
      <c r="A51" s="183"/>
      <c r="C51" s="156"/>
      <c r="D51" s="26"/>
      <c r="E51" s="155"/>
      <c r="F51" s="26"/>
    </row>
    <row r="52" spans="1:6" s="13" customFormat="1" ht="15.75" x14ac:dyDescent="0.25">
      <c r="A52" s="183"/>
      <c r="C52" s="156"/>
      <c r="D52" s="26"/>
      <c r="E52" s="155"/>
      <c r="F52" s="26"/>
    </row>
    <row r="53" spans="1:6" s="13" customFormat="1" ht="15.75" x14ac:dyDescent="0.25">
      <c r="A53" s="183"/>
      <c r="C53" s="156"/>
      <c r="D53" s="26"/>
      <c r="E53" s="155"/>
      <c r="F53" s="26"/>
    </row>
    <row r="54" spans="1:6" ht="75.75" customHeight="1" thickBot="1" x14ac:dyDescent="0.3">
      <c r="A54" s="341" t="s">
        <v>156</v>
      </c>
      <c r="B54" s="341"/>
      <c r="C54" s="341"/>
      <c r="D54" s="341"/>
      <c r="E54" s="341"/>
      <c r="F54" s="341"/>
    </row>
    <row r="55" spans="1:6" ht="16.5" thickBot="1" x14ac:dyDescent="0.3">
      <c r="A55" s="157" t="s">
        <v>153</v>
      </c>
      <c r="B55" s="158" t="s">
        <v>157</v>
      </c>
      <c r="C55" s="159" t="s">
        <v>154</v>
      </c>
      <c r="D55" s="160" t="s">
        <v>151</v>
      </c>
      <c r="E55" s="161" t="s">
        <v>152</v>
      </c>
      <c r="F55" s="162" t="s">
        <v>158</v>
      </c>
    </row>
    <row r="56" spans="1:6" ht="16.5" thickBot="1" x14ac:dyDescent="0.3">
      <c r="A56" s="345"/>
      <c r="B56" s="346"/>
      <c r="C56" s="132" t="s">
        <v>371</v>
      </c>
      <c r="D56" s="133" t="s">
        <v>382</v>
      </c>
      <c r="E56" s="134" t="s">
        <v>383</v>
      </c>
      <c r="F56" s="163"/>
    </row>
    <row r="57" spans="1:6" ht="30" x14ac:dyDescent="0.25">
      <c r="A57" s="317" t="s">
        <v>136</v>
      </c>
      <c r="B57" s="318"/>
      <c r="C57" s="56" t="s">
        <v>75</v>
      </c>
      <c r="D57" s="68" t="s">
        <v>172</v>
      </c>
      <c r="E57" s="65" t="s">
        <v>219</v>
      </c>
      <c r="F57" s="164" t="s">
        <v>241</v>
      </c>
    </row>
    <row r="58" spans="1:6" ht="15" customHeight="1" x14ac:dyDescent="0.25">
      <c r="A58" s="319"/>
      <c r="B58" s="320"/>
      <c r="C58" s="57" t="s">
        <v>76</v>
      </c>
      <c r="D58" s="69" t="s">
        <v>174</v>
      </c>
      <c r="E58" s="64" t="s">
        <v>220</v>
      </c>
      <c r="F58" s="165" t="s">
        <v>241</v>
      </c>
    </row>
    <row r="59" spans="1:6" ht="15" customHeight="1" x14ac:dyDescent="0.25">
      <c r="A59" s="319"/>
      <c r="B59" s="320"/>
      <c r="C59" s="90" t="s">
        <v>84</v>
      </c>
      <c r="D59" s="81" t="s">
        <v>173</v>
      </c>
      <c r="E59" s="82" t="s">
        <v>220</v>
      </c>
      <c r="F59" s="166"/>
    </row>
    <row r="60" spans="1:6" ht="30.75" thickBot="1" x14ac:dyDescent="0.3">
      <c r="A60" s="321"/>
      <c r="B60" s="322"/>
      <c r="C60" s="91" t="s">
        <v>215</v>
      </c>
      <c r="D60" s="70" t="s">
        <v>325</v>
      </c>
      <c r="E60" s="66" t="s">
        <v>326</v>
      </c>
      <c r="F60" s="167"/>
    </row>
    <row r="61" spans="1:6" x14ac:dyDescent="0.25">
      <c r="A61" s="323" t="s">
        <v>137</v>
      </c>
      <c r="B61" s="324"/>
      <c r="C61" s="56" t="s">
        <v>59</v>
      </c>
      <c r="D61" s="68" t="s">
        <v>205</v>
      </c>
      <c r="E61" s="65" t="s">
        <v>223</v>
      </c>
      <c r="F61" s="164"/>
    </row>
    <row r="62" spans="1:6" x14ac:dyDescent="0.25">
      <c r="A62" s="325"/>
      <c r="B62" s="326"/>
      <c r="C62" s="58" t="s">
        <v>0</v>
      </c>
      <c r="D62" s="69" t="s">
        <v>175</v>
      </c>
      <c r="E62" s="64" t="s">
        <v>224</v>
      </c>
      <c r="F62" s="165"/>
    </row>
    <row r="63" spans="1:6" x14ac:dyDescent="0.25">
      <c r="A63" s="325"/>
      <c r="B63" s="326"/>
      <c r="C63" s="58" t="s">
        <v>60</v>
      </c>
      <c r="D63" s="69" t="s">
        <v>176</v>
      </c>
      <c r="E63" s="64" t="s">
        <v>225</v>
      </c>
      <c r="F63" s="165"/>
    </row>
    <row r="64" spans="1:6" x14ac:dyDescent="0.25">
      <c r="A64" s="325"/>
      <c r="B64" s="326"/>
      <c r="C64" s="58" t="s">
        <v>61</v>
      </c>
      <c r="D64" s="69" t="s">
        <v>177</v>
      </c>
      <c r="E64" s="64" t="s">
        <v>226</v>
      </c>
      <c r="F64" s="165"/>
    </row>
    <row r="65" spans="1:6" x14ac:dyDescent="0.25">
      <c r="A65" s="325"/>
      <c r="B65" s="326"/>
      <c r="C65" s="58" t="s">
        <v>67</v>
      </c>
      <c r="D65" s="69" t="s">
        <v>178</v>
      </c>
      <c r="E65" s="64" t="s">
        <v>227</v>
      </c>
      <c r="F65" s="165"/>
    </row>
    <row r="66" spans="1:6" x14ac:dyDescent="0.25">
      <c r="A66" s="325"/>
      <c r="B66" s="326"/>
      <c r="C66" s="92" t="s">
        <v>68</v>
      </c>
      <c r="D66" s="81" t="s">
        <v>179</v>
      </c>
      <c r="E66" s="82" t="s">
        <v>228</v>
      </c>
      <c r="F66" s="166"/>
    </row>
    <row r="67" spans="1:6" ht="30.75" thickBot="1" x14ac:dyDescent="0.3">
      <c r="A67" s="327"/>
      <c r="B67" s="328"/>
      <c r="C67" s="62" t="s">
        <v>349</v>
      </c>
      <c r="D67" s="70" t="s">
        <v>350</v>
      </c>
      <c r="E67" s="66" t="s">
        <v>351</v>
      </c>
      <c r="F67" s="167"/>
    </row>
    <row r="68" spans="1:6" ht="30" x14ac:dyDescent="0.25">
      <c r="A68" s="329" t="s">
        <v>138</v>
      </c>
      <c r="B68" s="330"/>
      <c r="C68" s="56" t="s">
        <v>73</v>
      </c>
      <c r="D68" s="68" t="s">
        <v>181</v>
      </c>
      <c r="E68" s="65" t="s">
        <v>229</v>
      </c>
      <c r="F68" s="164"/>
    </row>
    <row r="69" spans="1:6" x14ac:dyDescent="0.25">
      <c r="A69" s="331"/>
      <c r="B69" s="332"/>
      <c r="C69" s="58" t="s">
        <v>74</v>
      </c>
      <c r="D69" s="69" t="s">
        <v>182</v>
      </c>
      <c r="E69" s="64" t="s">
        <v>230</v>
      </c>
      <c r="F69" s="165"/>
    </row>
    <row r="70" spans="1:6" x14ac:dyDescent="0.25">
      <c r="A70" s="331"/>
      <c r="B70" s="332"/>
      <c r="C70" s="63" t="s">
        <v>133</v>
      </c>
      <c r="D70" s="71" t="s">
        <v>183</v>
      </c>
      <c r="E70" s="67" t="s">
        <v>231</v>
      </c>
      <c r="F70" s="168"/>
    </row>
    <row r="71" spans="1:6" x14ac:dyDescent="0.25">
      <c r="A71" s="331"/>
      <c r="B71" s="332"/>
      <c r="C71" s="58" t="s">
        <v>62</v>
      </c>
      <c r="D71" s="69" t="s">
        <v>184</v>
      </c>
      <c r="E71" s="64" t="s">
        <v>226</v>
      </c>
      <c r="F71" s="165"/>
    </row>
    <row r="72" spans="1:6" x14ac:dyDescent="0.25">
      <c r="A72" s="331"/>
      <c r="B72" s="332"/>
      <c r="C72" s="58" t="s">
        <v>63</v>
      </c>
      <c r="D72" s="69" t="s">
        <v>185</v>
      </c>
      <c r="E72" s="64" t="s">
        <v>226</v>
      </c>
      <c r="F72" s="165"/>
    </row>
    <row r="73" spans="1:6" x14ac:dyDescent="0.25">
      <c r="A73" s="331"/>
      <c r="B73" s="332"/>
      <c r="C73" s="58" t="s">
        <v>89</v>
      </c>
      <c r="D73" s="69" t="s">
        <v>242</v>
      </c>
      <c r="E73" s="64" t="s">
        <v>226</v>
      </c>
      <c r="F73" s="165"/>
    </row>
    <row r="74" spans="1:6" x14ac:dyDescent="0.25">
      <c r="A74" s="331"/>
      <c r="B74" s="332"/>
      <c r="C74" s="58" t="s">
        <v>64</v>
      </c>
      <c r="D74" s="69" t="s">
        <v>206</v>
      </c>
      <c r="E74" s="64" t="s">
        <v>232</v>
      </c>
      <c r="F74" s="165"/>
    </row>
    <row r="75" spans="1:6" x14ac:dyDescent="0.25">
      <c r="A75" s="331"/>
      <c r="B75" s="332"/>
      <c r="C75" s="58" t="s">
        <v>65</v>
      </c>
      <c r="D75" s="69" t="s">
        <v>243</v>
      </c>
      <c r="E75" s="64" t="s">
        <v>244</v>
      </c>
      <c r="F75" s="165"/>
    </row>
    <row r="76" spans="1:6" ht="15.75" thickBot="1" x14ac:dyDescent="0.3">
      <c r="A76" s="333"/>
      <c r="B76" s="332"/>
      <c r="C76" s="62" t="s">
        <v>66</v>
      </c>
      <c r="D76" s="70" t="s">
        <v>186</v>
      </c>
      <c r="E76" s="66" t="s">
        <v>226</v>
      </c>
      <c r="F76" s="167"/>
    </row>
    <row r="77" spans="1:6" ht="30" x14ac:dyDescent="0.25">
      <c r="A77" s="338" t="s">
        <v>139</v>
      </c>
      <c r="B77" s="334" t="s">
        <v>140</v>
      </c>
      <c r="C77" s="135" t="s">
        <v>69</v>
      </c>
      <c r="D77" s="68" t="s">
        <v>207</v>
      </c>
      <c r="E77" s="65" t="s">
        <v>233</v>
      </c>
      <c r="F77" s="164" t="s">
        <v>245</v>
      </c>
    </row>
    <row r="78" spans="1:6" x14ac:dyDescent="0.25">
      <c r="A78" s="339"/>
      <c r="B78" s="335"/>
      <c r="C78" s="137" t="s">
        <v>77</v>
      </c>
      <c r="D78" s="69" t="s">
        <v>196</v>
      </c>
      <c r="E78" s="64" t="s">
        <v>233</v>
      </c>
      <c r="F78" s="165" t="s">
        <v>246</v>
      </c>
    </row>
    <row r="79" spans="1:6" x14ac:dyDescent="0.25">
      <c r="A79" s="339"/>
      <c r="B79" s="335"/>
      <c r="C79" s="137" t="s">
        <v>70</v>
      </c>
      <c r="D79" s="69" t="s">
        <v>160</v>
      </c>
      <c r="E79" s="64" t="s">
        <v>222</v>
      </c>
      <c r="F79" s="165" t="s">
        <v>159</v>
      </c>
    </row>
    <row r="80" spans="1:6" ht="30" x14ac:dyDescent="0.25">
      <c r="A80" s="339"/>
      <c r="B80" s="335"/>
      <c r="C80" s="142" t="s">
        <v>71</v>
      </c>
      <c r="D80" s="69" t="s">
        <v>161</v>
      </c>
      <c r="E80" s="64" t="s">
        <v>220</v>
      </c>
      <c r="F80" s="165" t="s">
        <v>162</v>
      </c>
    </row>
    <row r="81" spans="1:6" ht="60" x14ac:dyDescent="0.25">
      <c r="A81" s="339"/>
      <c r="B81" s="335"/>
      <c r="C81" s="137" t="s">
        <v>135</v>
      </c>
      <c r="D81" s="69" t="s">
        <v>165</v>
      </c>
      <c r="E81" s="64" t="s">
        <v>209</v>
      </c>
      <c r="F81" s="165" t="s">
        <v>166</v>
      </c>
    </row>
    <row r="82" spans="1:6" ht="45" x14ac:dyDescent="0.25">
      <c r="A82" s="339"/>
      <c r="B82" s="335"/>
      <c r="C82" s="137" t="s">
        <v>85</v>
      </c>
      <c r="D82" s="69" t="s">
        <v>167</v>
      </c>
      <c r="E82" s="64" t="s">
        <v>168</v>
      </c>
      <c r="F82" s="165" t="s">
        <v>169</v>
      </c>
    </row>
    <row r="83" spans="1:6" x14ac:dyDescent="0.25">
      <c r="A83" s="339"/>
      <c r="B83" s="335"/>
      <c r="C83" s="140" t="s">
        <v>216</v>
      </c>
      <c r="D83" s="71" t="s">
        <v>183</v>
      </c>
      <c r="E83" s="83" t="s">
        <v>231</v>
      </c>
      <c r="F83" s="168"/>
    </row>
    <row r="84" spans="1:6" ht="45" x14ac:dyDescent="0.25">
      <c r="A84" s="339"/>
      <c r="B84" s="335"/>
      <c r="C84" s="148" t="s">
        <v>339</v>
      </c>
      <c r="D84" s="71" t="s">
        <v>342</v>
      </c>
      <c r="E84" s="83" t="s">
        <v>344</v>
      </c>
      <c r="F84" s="168"/>
    </row>
    <row r="85" spans="1:6" ht="45" x14ac:dyDescent="0.25">
      <c r="A85" s="339"/>
      <c r="B85" s="335"/>
      <c r="C85" s="137" t="s">
        <v>134</v>
      </c>
      <c r="D85" s="69" t="s">
        <v>164</v>
      </c>
      <c r="E85" s="64" t="s">
        <v>208</v>
      </c>
      <c r="F85" s="165" t="s">
        <v>163</v>
      </c>
    </row>
    <row r="86" spans="1:6" x14ac:dyDescent="0.25">
      <c r="A86" s="339"/>
      <c r="B86" s="335"/>
      <c r="C86" s="137" t="s">
        <v>381</v>
      </c>
      <c r="D86" s="69" t="s">
        <v>170</v>
      </c>
      <c r="E86" s="64" t="s">
        <v>171</v>
      </c>
      <c r="F86" s="165"/>
    </row>
    <row r="87" spans="1:6" ht="30" x14ac:dyDescent="0.25">
      <c r="A87" s="339"/>
      <c r="B87" s="335"/>
      <c r="C87" s="137" t="s">
        <v>78</v>
      </c>
      <c r="D87" s="69" t="s">
        <v>191</v>
      </c>
      <c r="E87" s="64" t="s">
        <v>234</v>
      </c>
      <c r="F87" s="165"/>
    </row>
    <row r="88" spans="1:6" x14ac:dyDescent="0.25">
      <c r="A88" s="339"/>
      <c r="B88" s="335"/>
      <c r="C88" s="149" t="s">
        <v>58</v>
      </c>
      <c r="D88" s="69" t="s">
        <v>192</v>
      </c>
      <c r="E88" s="64" t="s">
        <v>235</v>
      </c>
      <c r="F88" s="165"/>
    </row>
    <row r="89" spans="1:6" x14ac:dyDescent="0.25">
      <c r="A89" s="339"/>
      <c r="B89" s="335"/>
      <c r="C89" s="137" t="s">
        <v>79</v>
      </c>
      <c r="D89" s="69" t="s">
        <v>193</v>
      </c>
      <c r="E89" s="64" t="s">
        <v>236</v>
      </c>
      <c r="F89" s="165"/>
    </row>
    <row r="90" spans="1:6" ht="45" x14ac:dyDescent="0.25">
      <c r="A90" s="339"/>
      <c r="B90" s="335"/>
      <c r="C90" s="137" t="s">
        <v>80</v>
      </c>
      <c r="D90" s="69" t="s">
        <v>194</v>
      </c>
      <c r="E90" s="64" t="s">
        <v>237</v>
      </c>
      <c r="F90" s="165" t="s">
        <v>247</v>
      </c>
    </row>
    <row r="91" spans="1:6" x14ac:dyDescent="0.25">
      <c r="A91" s="339"/>
      <c r="B91" s="335"/>
      <c r="C91" s="137" t="s">
        <v>81</v>
      </c>
      <c r="D91" s="69" t="s">
        <v>195</v>
      </c>
      <c r="E91" s="64" t="s">
        <v>248</v>
      </c>
      <c r="F91" s="165" t="s">
        <v>249</v>
      </c>
    </row>
    <row r="92" spans="1:6" x14ac:dyDescent="0.25">
      <c r="A92" s="339"/>
      <c r="B92" s="335"/>
      <c r="C92" s="137" t="s">
        <v>55</v>
      </c>
      <c r="D92" s="69" t="s">
        <v>189</v>
      </c>
      <c r="E92" s="64" t="s">
        <v>239</v>
      </c>
      <c r="F92" s="165"/>
    </row>
    <row r="93" spans="1:6" x14ac:dyDescent="0.25">
      <c r="A93" s="339"/>
      <c r="B93" s="335"/>
      <c r="C93" s="149" t="s">
        <v>57</v>
      </c>
      <c r="D93" s="69" t="s">
        <v>188</v>
      </c>
      <c r="E93" s="64" t="s">
        <v>235</v>
      </c>
      <c r="F93" s="165"/>
    </row>
    <row r="94" spans="1:6" x14ac:dyDescent="0.25">
      <c r="A94" s="339"/>
      <c r="B94" s="335"/>
      <c r="C94" s="149" t="s">
        <v>56</v>
      </c>
      <c r="D94" s="69" t="s">
        <v>190</v>
      </c>
      <c r="E94" s="64" t="s">
        <v>235</v>
      </c>
      <c r="F94" s="165"/>
    </row>
    <row r="95" spans="1:6" ht="30" x14ac:dyDescent="0.25">
      <c r="A95" s="339"/>
      <c r="B95" s="335"/>
      <c r="C95" s="149" t="s">
        <v>82</v>
      </c>
      <c r="D95" s="69" t="s">
        <v>187</v>
      </c>
      <c r="E95" s="64" t="s">
        <v>235</v>
      </c>
      <c r="F95" s="165"/>
    </row>
    <row r="96" spans="1:6" x14ac:dyDescent="0.25">
      <c r="A96" s="339"/>
      <c r="B96" s="335"/>
      <c r="C96" s="149" t="s">
        <v>83</v>
      </c>
      <c r="D96" s="69"/>
      <c r="E96" s="64" t="s">
        <v>235</v>
      </c>
      <c r="F96" s="165"/>
    </row>
    <row r="97" spans="1:6" x14ac:dyDescent="0.25">
      <c r="A97" s="339"/>
      <c r="B97" s="335"/>
      <c r="C97" s="137" t="s">
        <v>370</v>
      </c>
      <c r="D97" s="69" t="s">
        <v>386</v>
      </c>
      <c r="E97" s="64"/>
      <c r="F97" s="165"/>
    </row>
    <row r="98" spans="1:6" x14ac:dyDescent="0.25">
      <c r="A98" s="339"/>
      <c r="B98" s="335"/>
      <c r="C98" s="145" t="s">
        <v>376</v>
      </c>
      <c r="D98" s="146" t="s">
        <v>183</v>
      </c>
      <c r="E98" s="147" t="s">
        <v>231</v>
      </c>
      <c r="F98" s="165"/>
    </row>
    <row r="99" spans="1:6" ht="45" customHeight="1" x14ac:dyDescent="0.25">
      <c r="A99" s="339"/>
      <c r="B99" s="335"/>
      <c r="C99" s="145" t="s">
        <v>373</v>
      </c>
      <c r="D99" s="146" t="s">
        <v>388</v>
      </c>
      <c r="E99" s="147"/>
      <c r="F99" s="165"/>
    </row>
    <row r="100" spans="1:6" x14ac:dyDescent="0.25">
      <c r="A100" s="339"/>
      <c r="B100" s="335"/>
      <c r="C100" s="137" t="s">
        <v>2</v>
      </c>
      <c r="D100" s="69" t="s">
        <v>197</v>
      </c>
      <c r="E100" s="64" t="s">
        <v>250</v>
      </c>
      <c r="F100" s="165"/>
    </row>
    <row r="101" spans="1:6" x14ac:dyDescent="0.25">
      <c r="A101" s="339"/>
      <c r="B101" s="335"/>
      <c r="C101" s="137" t="s">
        <v>3</v>
      </c>
      <c r="D101" s="69" t="s">
        <v>198</v>
      </c>
      <c r="E101" s="64" t="s">
        <v>250</v>
      </c>
      <c r="F101" s="165"/>
    </row>
    <row r="102" spans="1:6" ht="30" x14ac:dyDescent="0.25">
      <c r="A102" s="339"/>
      <c r="B102" s="335"/>
      <c r="C102" s="137" t="s">
        <v>96</v>
      </c>
      <c r="D102" s="69" t="s">
        <v>199</v>
      </c>
      <c r="E102" s="64" t="s">
        <v>250</v>
      </c>
      <c r="F102" s="165"/>
    </row>
    <row r="103" spans="1:6" ht="30" x14ac:dyDescent="0.25">
      <c r="A103" s="339"/>
      <c r="B103" s="335"/>
      <c r="C103" s="137" t="s">
        <v>97</v>
      </c>
      <c r="D103" s="69" t="s">
        <v>200</v>
      </c>
      <c r="E103" s="64" t="s">
        <v>250</v>
      </c>
      <c r="F103" s="165"/>
    </row>
    <row r="104" spans="1:6" ht="15.75" thickBot="1" x14ac:dyDescent="0.3">
      <c r="A104" s="339"/>
      <c r="B104" s="335"/>
      <c r="C104" s="138" t="s">
        <v>4</v>
      </c>
      <c r="D104" s="81" t="s">
        <v>201</v>
      </c>
      <c r="E104" s="82" t="s">
        <v>250</v>
      </c>
      <c r="F104" s="166"/>
    </row>
    <row r="105" spans="1:6" x14ac:dyDescent="0.25">
      <c r="A105" s="339"/>
      <c r="B105" s="335"/>
      <c r="C105" s="150" t="s">
        <v>389</v>
      </c>
      <c r="D105" s="84" t="s">
        <v>183</v>
      </c>
      <c r="E105" s="85" t="s">
        <v>231</v>
      </c>
      <c r="F105" s="169"/>
    </row>
    <row r="106" spans="1:6" ht="45" x14ac:dyDescent="0.25">
      <c r="A106" s="339"/>
      <c r="B106" s="335"/>
      <c r="C106" s="148" t="s">
        <v>340</v>
      </c>
      <c r="D106" s="71" t="s">
        <v>341</v>
      </c>
      <c r="E106" s="83" t="s">
        <v>343</v>
      </c>
      <c r="F106" s="168"/>
    </row>
    <row r="107" spans="1:6" ht="30" x14ac:dyDescent="0.25">
      <c r="A107" s="339"/>
      <c r="B107" s="335"/>
      <c r="C107" s="140" t="s">
        <v>217</v>
      </c>
      <c r="D107" s="71" t="s">
        <v>327</v>
      </c>
      <c r="E107" s="83" t="s">
        <v>328</v>
      </c>
      <c r="F107" s="168"/>
    </row>
    <row r="108" spans="1:6" ht="45.75" thickBot="1" x14ac:dyDescent="0.3">
      <c r="A108" s="339"/>
      <c r="B108" s="336"/>
      <c r="C108" s="151" t="s">
        <v>218</v>
      </c>
      <c r="D108" s="86" t="s">
        <v>329</v>
      </c>
      <c r="E108" s="87" t="s">
        <v>328</v>
      </c>
      <c r="F108" s="170"/>
    </row>
    <row r="109" spans="1:6" x14ac:dyDescent="0.25">
      <c r="A109" s="339"/>
      <c r="B109" s="337" t="s">
        <v>141</v>
      </c>
      <c r="C109" s="93" t="s">
        <v>5</v>
      </c>
      <c r="D109" s="79" t="s">
        <v>251</v>
      </c>
      <c r="E109" s="80" t="s">
        <v>226</v>
      </c>
      <c r="F109" s="171"/>
    </row>
    <row r="110" spans="1:6" x14ac:dyDescent="0.25">
      <c r="A110" s="339"/>
      <c r="B110" s="337"/>
      <c r="C110" s="58" t="s">
        <v>6</v>
      </c>
      <c r="D110" s="69" t="s">
        <v>252</v>
      </c>
      <c r="E110" s="64" t="s">
        <v>253</v>
      </c>
      <c r="F110" s="165"/>
    </row>
    <row r="111" spans="1:6" ht="30" x14ac:dyDescent="0.25">
      <c r="A111" s="339"/>
      <c r="B111" s="337"/>
      <c r="C111" s="58" t="s">
        <v>98</v>
      </c>
      <c r="D111" s="69" t="s">
        <v>254</v>
      </c>
      <c r="E111" s="64" t="s">
        <v>253</v>
      </c>
      <c r="F111" s="165"/>
    </row>
    <row r="112" spans="1:6" x14ac:dyDescent="0.25">
      <c r="A112" s="339"/>
      <c r="B112" s="337"/>
      <c r="C112" s="58" t="s">
        <v>99</v>
      </c>
      <c r="D112" s="69" t="s">
        <v>255</v>
      </c>
      <c r="E112" s="64" t="s">
        <v>256</v>
      </c>
      <c r="F112" s="165"/>
    </row>
    <row r="113" spans="1:6" x14ac:dyDescent="0.25">
      <c r="A113" s="339"/>
      <c r="B113" s="337"/>
      <c r="C113" s="58" t="s">
        <v>7</v>
      </c>
      <c r="D113" s="69" t="s">
        <v>257</v>
      </c>
      <c r="E113" s="64" t="s">
        <v>253</v>
      </c>
      <c r="F113" s="165"/>
    </row>
    <row r="114" spans="1:6" x14ac:dyDescent="0.25">
      <c r="A114" s="339"/>
      <c r="B114" s="337"/>
      <c r="C114" s="58" t="s">
        <v>8</v>
      </c>
      <c r="D114" s="69" t="s">
        <v>258</v>
      </c>
      <c r="E114" s="64" t="s">
        <v>253</v>
      </c>
      <c r="F114" s="165"/>
    </row>
    <row r="115" spans="1:6" x14ac:dyDescent="0.25">
      <c r="A115" s="339"/>
      <c r="B115" s="337"/>
      <c r="C115" s="58" t="s">
        <v>9</v>
      </c>
      <c r="D115" s="69" t="s">
        <v>259</v>
      </c>
      <c r="E115" s="64" t="s">
        <v>226</v>
      </c>
      <c r="F115" s="165"/>
    </row>
    <row r="116" spans="1:6" ht="15.75" thickBot="1" x14ac:dyDescent="0.3">
      <c r="A116" s="339"/>
      <c r="B116" s="337"/>
      <c r="C116" s="62" t="s">
        <v>100</v>
      </c>
      <c r="D116" s="70" t="s">
        <v>260</v>
      </c>
      <c r="E116" s="66" t="s">
        <v>226</v>
      </c>
      <c r="F116" s="167"/>
    </row>
    <row r="117" spans="1:6" x14ac:dyDescent="0.25">
      <c r="A117" s="339"/>
      <c r="B117" s="314" t="s">
        <v>142</v>
      </c>
      <c r="C117" s="56" t="s">
        <v>10</v>
      </c>
      <c r="D117" s="68" t="s">
        <v>261</v>
      </c>
      <c r="E117" s="65" t="s">
        <v>226</v>
      </c>
      <c r="F117" s="164"/>
    </row>
    <row r="118" spans="1:6" x14ac:dyDescent="0.25">
      <c r="A118" s="339"/>
      <c r="B118" s="315"/>
      <c r="C118" s="58" t="s">
        <v>11</v>
      </c>
      <c r="D118" s="69" t="s">
        <v>262</v>
      </c>
      <c r="E118" s="64" t="s">
        <v>253</v>
      </c>
      <c r="F118" s="165"/>
    </row>
    <row r="119" spans="1:6" ht="30" x14ac:dyDescent="0.25">
      <c r="A119" s="339"/>
      <c r="B119" s="315"/>
      <c r="C119" s="58" t="s">
        <v>101</v>
      </c>
      <c r="D119" s="69" t="s">
        <v>263</v>
      </c>
      <c r="E119" s="64" t="s">
        <v>253</v>
      </c>
      <c r="F119" s="165"/>
    </row>
    <row r="120" spans="1:6" x14ac:dyDescent="0.25">
      <c r="A120" s="339"/>
      <c r="B120" s="315"/>
      <c r="C120" s="58" t="s">
        <v>102</v>
      </c>
      <c r="D120" s="69" t="s">
        <v>264</v>
      </c>
      <c r="E120" s="64" t="s">
        <v>256</v>
      </c>
      <c r="F120" s="165"/>
    </row>
    <row r="121" spans="1:6" x14ac:dyDescent="0.25">
      <c r="A121" s="339"/>
      <c r="B121" s="315"/>
      <c r="C121" s="58" t="s">
        <v>12</v>
      </c>
      <c r="D121" s="69" t="s">
        <v>265</v>
      </c>
      <c r="E121" s="64" t="s">
        <v>253</v>
      </c>
      <c r="F121" s="165"/>
    </row>
    <row r="122" spans="1:6" x14ac:dyDescent="0.25">
      <c r="A122" s="339"/>
      <c r="B122" s="315"/>
      <c r="C122" s="58" t="s">
        <v>13</v>
      </c>
      <c r="D122" s="69" t="s">
        <v>266</v>
      </c>
      <c r="E122" s="64" t="s">
        <v>253</v>
      </c>
      <c r="F122" s="165"/>
    </row>
    <row r="123" spans="1:6" x14ac:dyDescent="0.25">
      <c r="A123" s="339"/>
      <c r="B123" s="315"/>
      <c r="C123" s="58" t="s">
        <v>14</v>
      </c>
      <c r="D123" s="69" t="s">
        <v>267</v>
      </c>
      <c r="E123" s="64" t="s">
        <v>226</v>
      </c>
      <c r="F123" s="165"/>
    </row>
    <row r="124" spans="1:6" ht="15.75" thickBot="1" x14ac:dyDescent="0.3">
      <c r="A124" s="339"/>
      <c r="B124" s="316"/>
      <c r="C124" s="62" t="s">
        <v>103</v>
      </c>
      <c r="D124" s="70" t="s">
        <v>268</v>
      </c>
      <c r="E124" s="66" t="s">
        <v>226</v>
      </c>
      <c r="F124" s="167"/>
    </row>
    <row r="125" spans="1:6" x14ac:dyDescent="0.25">
      <c r="A125" s="339"/>
      <c r="B125" s="311" t="s">
        <v>143</v>
      </c>
      <c r="C125" s="56" t="s">
        <v>15</v>
      </c>
      <c r="D125" s="68" t="s">
        <v>269</v>
      </c>
      <c r="E125" s="65" t="s">
        <v>226</v>
      </c>
      <c r="F125" s="164"/>
    </row>
    <row r="126" spans="1:6" x14ac:dyDescent="0.25">
      <c r="A126" s="339"/>
      <c r="B126" s="312"/>
      <c r="C126" s="58" t="s">
        <v>16</v>
      </c>
      <c r="D126" s="69" t="s">
        <v>270</v>
      </c>
      <c r="E126" s="64" t="s">
        <v>253</v>
      </c>
      <c r="F126" s="165"/>
    </row>
    <row r="127" spans="1:6" ht="30" x14ac:dyDescent="0.25">
      <c r="A127" s="339"/>
      <c r="B127" s="312"/>
      <c r="C127" s="58" t="s">
        <v>104</v>
      </c>
      <c r="D127" s="69" t="s">
        <v>271</v>
      </c>
      <c r="E127" s="64" t="s">
        <v>253</v>
      </c>
      <c r="F127" s="165"/>
    </row>
    <row r="128" spans="1:6" x14ac:dyDescent="0.25">
      <c r="A128" s="339"/>
      <c r="B128" s="312"/>
      <c r="C128" s="58" t="s">
        <v>105</v>
      </c>
      <c r="D128" s="69" t="s">
        <v>272</v>
      </c>
      <c r="E128" s="64" t="s">
        <v>256</v>
      </c>
      <c r="F128" s="165"/>
    </row>
    <row r="129" spans="1:6" x14ac:dyDescent="0.25">
      <c r="A129" s="339"/>
      <c r="B129" s="312"/>
      <c r="C129" s="58" t="s">
        <v>17</v>
      </c>
      <c r="D129" s="69" t="s">
        <v>273</v>
      </c>
      <c r="E129" s="64" t="s">
        <v>253</v>
      </c>
      <c r="F129" s="165"/>
    </row>
    <row r="130" spans="1:6" x14ac:dyDescent="0.25">
      <c r="A130" s="339"/>
      <c r="B130" s="312"/>
      <c r="C130" s="58" t="s">
        <v>18</v>
      </c>
      <c r="D130" s="69" t="s">
        <v>274</v>
      </c>
      <c r="E130" s="64" t="s">
        <v>253</v>
      </c>
      <c r="F130" s="165"/>
    </row>
    <row r="131" spans="1:6" x14ac:dyDescent="0.25">
      <c r="A131" s="339"/>
      <c r="B131" s="312"/>
      <c r="C131" s="58" t="s">
        <v>19</v>
      </c>
      <c r="D131" s="69" t="s">
        <v>275</v>
      </c>
      <c r="E131" s="64" t="s">
        <v>226</v>
      </c>
      <c r="F131" s="165"/>
    </row>
    <row r="132" spans="1:6" ht="15.75" thickBot="1" x14ac:dyDescent="0.3">
      <c r="A132" s="339"/>
      <c r="B132" s="313"/>
      <c r="C132" s="62" t="s">
        <v>106</v>
      </c>
      <c r="D132" s="70" t="s">
        <v>276</v>
      </c>
      <c r="E132" s="66" t="s">
        <v>226</v>
      </c>
      <c r="F132" s="167"/>
    </row>
    <row r="133" spans="1:6" x14ac:dyDescent="0.25">
      <c r="A133" s="339"/>
      <c r="B133" s="314" t="s">
        <v>144</v>
      </c>
      <c r="C133" s="56" t="s">
        <v>20</v>
      </c>
      <c r="D133" s="68" t="s">
        <v>277</v>
      </c>
      <c r="E133" s="65" t="s">
        <v>226</v>
      </c>
      <c r="F133" s="164"/>
    </row>
    <row r="134" spans="1:6" x14ac:dyDescent="0.25">
      <c r="A134" s="339"/>
      <c r="B134" s="315"/>
      <c r="C134" s="58" t="s">
        <v>21</v>
      </c>
      <c r="D134" s="69" t="s">
        <v>278</v>
      </c>
      <c r="E134" s="64" t="s">
        <v>253</v>
      </c>
      <c r="F134" s="165"/>
    </row>
    <row r="135" spans="1:6" ht="30" x14ac:dyDescent="0.25">
      <c r="A135" s="339"/>
      <c r="B135" s="315"/>
      <c r="C135" s="58" t="s">
        <v>107</v>
      </c>
      <c r="D135" s="69" t="s">
        <v>279</v>
      </c>
      <c r="E135" s="64" t="s">
        <v>253</v>
      </c>
      <c r="F135" s="165"/>
    </row>
    <row r="136" spans="1:6" x14ac:dyDescent="0.25">
      <c r="A136" s="339"/>
      <c r="B136" s="315"/>
      <c r="C136" s="58" t="s">
        <v>108</v>
      </c>
      <c r="D136" s="69" t="s">
        <v>280</v>
      </c>
      <c r="E136" s="64" t="s">
        <v>256</v>
      </c>
      <c r="F136" s="165"/>
    </row>
    <row r="137" spans="1:6" x14ac:dyDescent="0.25">
      <c r="A137" s="339"/>
      <c r="B137" s="315"/>
      <c r="C137" s="58" t="s">
        <v>22</v>
      </c>
      <c r="D137" s="69" t="s">
        <v>281</v>
      </c>
      <c r="E137" s="64" t="s">
        <v>253</v>
      </c>
      <c r="F137" s="165"/>
    </row>
    <row r="138" spans="1:6" x14ac:dyDescent="0.25">
      <c r="A138" s="339"/>
      <c r="B138" s="315"/>
      <c r="C138" s="58" t="s">
        <v>23</v>
      </c>
      <c r="D138" s="69" t="s">
        <v>282</v>
      </c>
      <c r="E138" s="64" t="s">
        <v>253</v>
      </c>
      <c r="F138" s="165"/>
    </row>
    <row r="139" spans="1:6" x14ac:dyDescent="0.25">
      <c r="A139" s="339"/>
      <c r="B139" s="315"/>
      <c r="C139" s="58" t="s">
        <v>24</v>
      </c>
      <c r="D139" s="69" t="s">
        <v>283</v>
      </c>
      <c r="E139" s="64" t="s">
        <v>226</v>
      </c>
      <c r="F139" s="165"/>
    </row>
    <row r="140" spans="1:6" ht="15.75" thickBot="1" x14ac:dyDescent="0.3">
      <c r="A140" s="339"/>
      <c r="B140" s="316"/>
      <c r="C140" s="62" t="s">
        <v>109</v>
      </c>
      <c r="D140" s="70" t="s">
        <v>284</v>
      </c>
      <c r="E140" s="66" t="s">
        <v>226</v>
      </c>
      <c r="F140" s="167"/>
    </row>
    <row r="141" spans="1:6" x14ac:dyDescent="0.25">
      <c r="A141" s="339"/>
      <c r="B141" s="311" t="s">
        <v>145</v>
      </c>
      <c r="C141" s="56" t="s">
        <v>25</v>
      </c>
      <c r="D141" s="68" t="s">
        <v>285</v>
      </c>
      <c r="E141" s="65" t="s">
        <v>226</v>
      </c>
      <c r="F141" s="164"/>
    </row>
    <row r="142" spans="1:6" x14ac:dyDescent="0.25">
      <c r="A142" s="339"/>
      <c r="B142" s="312"/>
      <c r="C142" s="58" t="s">
        <v>26</v>
      </c>
      <c r="D142" s="69" t="s">
        <v>286</v>
      </c>
      <c r="E142" s="64" t="s">
        <v>253</v>
      </c>
      <c r="F142" s="165"/>
    </row>
    <row r="143" spans="1:6" ht="30" x14ac:dyDescent="0.25">
      <c r="A143" s="339"/>
      <c r="B143" s="312"/>
      <c r="C143" s="94" t="s">
        <v>110</v>
      </c>
      <c r="D143" s="69" t="s">
        <v>287</v>
      </c>
      <c r="E143" s="64" t="s">
        <v>253</v>
      </c>
      <c r="F143" s="165"/>
    </row>
    <row r="144" spans="1:6" x14ac:dyDescent="0.25">
      <c r="A144" s="339"/>
      <c r="B144" s="312"/>
      <c r="C144" s="58" t="s">
        <v>111</v>
      </c>
      <c r="D144" s="69" t="s">
        <v>288</v>
      </c>
      <c r="E144" s="64" t="s">
        <v>256</v>
      </c>
      <c r="F144" s="165"/>
    </row>
    <row r="145" spans="1:6" x14ac:dyDescent="0.25">
      <c r="A145" s="339"/>
      <c r="B145" s="312"/>
      <c r="C145" s="58" t="s">
        <v>27</v>
      </c>
      <c r="D145" s="69" t="s">
        <v>289</v>
      </c>
      <c r="E145" s="64" t="s">
        <v>253</v>
      </c>
      <c r="F145" s="165"/>
    </row>
    <row r="146" spans="1:6" x14ac:dyDescent="0.25">
      <c r="A146" s="339"/>
      <c r="B146" s="312"/>
      <c r="C146" s="58" t="s">
        <v>28</v>
      </c>
      <c r="D146" s="69" t="s">
        <v>290</v>
      </c>
      <c r="E146" s="64" t="s">
        <v>253</v>
      </c>
      <c r="F146" s="165"/>
    </row>
    <row r="147" spans="1:6" x14ac:dyDescent="0.25">
      <c r="A147" s="339"/>
      <c r="B147" s="312"/>
      <c r="C147" s="58" t="s">
        <v>29</v>
      </c>
      <c r="D147" s="69" t="s">
        <v>291</v>
      </c>
      <c r="E147" s="64" t="s">
        <v>226</v>
      </c>
      <c r="F147" s="165"/>
    </row>
    <row r="148" spans="1:6" ht="15.75" thickBot="1" x14ac:dyDescent="0.3">
      <c r="A148" s="339"/>
      <c r="B148" s="313"/>
      <c r="C148" s="62" t="s">
        <v>112</v>
      </c>
      <c r="D148" s="70" t="s">
        <v>292</v>
      </c>
      <c r="E148" s="66" t="s">
        <v>226</v>
      </c>
      <c r="F148" s="167"/>
    </row>
    <row r="149" spans="1:6" x14ac:dyDescent="0.25">
      <c r="A149" s="339"/>
      <c r="B149" s="314" t="s">
        <v>146</v>
      </c>
      <c r="C149" s="56" t="s">
        <v>30</v>
      </c>
      <c r="D149" s="68" t="s">
        <v>293</v>
      </c>
      <c r="E149" s="65" t="s">
        <v>226</v>
      </c>
      <c r="F149" s="164"/>
    </row>
    <row r="150" spans="1:6" x14ac:dyDescent="0.25">
      <c r="A150" s="339"/>
      <c r="B150" s="315"/>
      <c r="C150" s="58" t="s">
        <v>31</v>
      </c>
      <c r="D150" s="69" t="s">
        <v>294</v>
      </c>
      <c r="E150" s="64" t="s">
        <v>253</v>
      </c>
      <c r="F150" s="165"/>
    </row>
    <row r="151" spans="1:6" ht="30" x14ac:dyDescent="0.25">
      <c r="A151" s="339"/>
      <c r="B151" s="315"/>
      <c r="C151" s="58" t="s">
        <v>113</v>
      </c>
      <c r="D151" s="69" t="s">
        <v>295</v>
      </c>
      <c r="E151" s="64" t="s">
        <v>253</v>
      </c>
      <c r="F151" s="165"/>
    </row>
    <row r="152" spans="1:6" x14ac:dyDescent="0.25">
      <c r="A152" s="339"/>
      <c r="B152" s="315"/>
      <c r="C152" s="58" t="s">
        <v>114</v>
      </c>
      <c r="D152" s="69" t="s">
        <v>296</v>
      </c>
      <c r="E152" s="64" t="s">
        <v>256</v>
      </c>
      <c r="F152" s="165"/>
    </row>
    <row r="153" spans="1:6" x14ac:dyDescent="0.25">
      <c r="A153" s="339"/>
      <c r="B153" s="315"/>
      <c r="C153" s="58" t="s">
        <v>32</v>
      </c>
      <c r="D153" s="69" t="s">
        <v>297</v>
      </c>
      <c r="E153" s="64" t="s">
        <v>253</v>
      </c>
      <c r="F153" s="165"/>
    </row>
    <row r="154" spans="1:6" x14ac:dyDescent="0.25">
      <c r="A154" s="339"/>
      <c r="B154" s="315"/>
      <c r="C154" s="58" t="s">
        <v>33</v>
      </c>
      <c r="D154" s="69" t="s">
        <v>298</v>
      </c>
      <c r="E154" s="64" t="s">
        <v>253</v>
      </c>
      <c r="F154" s="165"/>
    </row>
    <row r="155" spans="1:6" x14ac:dyDescent="0.25">
      <c r="A155" s="339"/>
      <c r="B155" s="315"/>
      <c r="C155" s="58" t="s">
        <v>34</v>
      </c>
      <c r="D155" s="69" t="s">
        <v>299</v>
      </c>
      <c r="E155" s="64" t="s">
        <v>226</v>
      </c>
      <c r="F155" s="165"/>
    </row>
    <row r="156" spans="1:6" ht="15.75" thickBot="1" x14ac:dyDescent="0.3">
      <c r="A156" s="339"/>
      <c r="B156" s="316"/>
      <c r="C156" s="62" t="s">
        <v>115</v>
      </c>
      <c r="D156" s="70" t="s">
        <v>300</v>
      </c>
      <c r="E156" s="66" t="s">
        <v>226</v>
      </c>
      <c r="F156" s="167"/>
    </row>
    <row r="157" spans="1:6" x14ac:dyDescent="0.25">
      <c r="A157" s="339"/>
      <c r="B157" s="311" t="s">
        <v>147</v>
      </c>
      <c r="C157" s="56" t="s">
        <v>35</v>
      </c>
      <c r="D157" s="68" t="s">
        <v>301</v>
      </c>
      <c r="E157" s="65" t="s">
        <v>226</v>
      </c>
      <c r="F157" s="164"/>
    </row>
    <row r="158" spans="1:6" x14ac:dyDescent="0.25">
      <c r="A158" s="339"/>
      <c r="B158" s="312"/>
      <c r="C158" s="58" t="s">
        <v>36</v>
      </c>
      <c r="D158" s="69" t="s">
        <v>302</v>
      </c>
      <c r="E158" s="64" t="s">
        <v>253</v>
      </c>
      <c r="F158" s="165"/>
    </row>
    <row r="159" spans="1:6" ht="30" x14ac:dyDescent="0.25">
      <c r="A159" s="339"/>
      <c r="B159" s="312"/>
      <c r="C159" s="58" t="s">
        <v>116</v>
      </c>
      <c r="D159" s="69" t="s">
        <v>303</v>
      </c>
      <c r="E159" s="64" t="s">
        <v>253</v>
      </c>
      <c r="F159" s="165"/>
    </row>
    <row r="160" spans="1:6" x14ac:dyDescent="0.25">
      <c r="A160" s="339"/>
      <c r="B160" s="312"/>
      <c r="C160" s="58" t="s">
        <v>117</v>
      </c>
      <c r="D160" s="69" t="s">
        <v>304</v>
      </c>
      <c r="E160" s="64" t="s">
        <v>256</v>
      </c>
      <c r="F160" s="165"/>
    </row>
    <row r="161" spans="1:6" x14ac:dyDescent="0.25">
      <c r="A161" s="339"/>
      <c r="B161" s="312"/>
      <c r="C161" s="58" t="s">
        <v>37</v>
      </c>
      <c r="D161" s="69" t="s">
        <v>305</v>
      </c>
      <c r="E161" s="64" t="s">
        <v>253</v>
      </c>
      <c r="F161" s="165"/>
    </row>
    <row r="162" spans="1:6" x14ac:dyDescent="0.25">
      <c r="A162" s="339"/>
      <c r="B162" s="312"/>
      <c r="C162" s="58" t="s">
        <v>38</v>
      </c>
      <c r="D162" s="69" t="s">
        <v>306</v>
      </c>
      <c r="E162" s="64" t="s">
        <v>253</v>
      </c>
      <c r="F162" s="165"/>
    </row>
    <row r="163" spans="1:6" x14ac:dyDescent="0.25">
      <c r="A163" s="339"/>
      <c r="B163" s="312"/>
      <c r="C163" s="58" t="s">
        <v>39</v>
      </c>
      <c r="D163" s="69" t="s">
        <v>307</v>
      </c>
      <c r="E163" s="64" t="s">
        <v>226</v>
      </c>
      <c r="F163" s="165"/>
    </row>
    <row r="164" spans="1:6" ht="15.75" thickBot="1" x14ac:dyDescent="0.3">
      <c r="A164" s="339"/>
      <c r="B164" s="313"/>
      <c r="C164" s="62" t="s">
        <v>118</v>
      </c>
      <c r="D164" s="70" t="s">
        <v>308</v>
      </c>
      <c r="E164" s="66" t="s">
        <v>226</v>
      </c>
      <c r="F164" s="167"/>
    </row>
    <row r="165" spans="1:6" x14ac:dyDescent="0.25">
      <c r="A165" s="339"/>
      <c r="B165" s="314" t="s">
        <v>148</v>
      </c>
      <c r="C165" s="56" t="s">
        <v>40</v>
      </c>
      <c r="D165" s="68" t="s">
        <v>390</v>
      </c>
      <c r="E165" s="65" t="s">
        <v>226</v>
      </c>
      <c r="F165" s="164"/>
    </row>
    <row r="166" spans="1:6" x14ac:dyDescent="0.25">
      <c r="A166" s="339"/>
      <c r="B166" s="315"/>
      <c r="C166" s="58" t="s">
        <v>41</v>
      </c>
      <c r="D166" s="69" t="s">
        <v>391</v>
      </c>
      <c r="E166" s="64" t="s">
        <v>253</v>
      </c>
      <c r="F166" s="165"/>
    </row>
    <row r="167" spans="1:6" ht="30" x14ac:dyDescent="0.25">
      <c r="A167" s="339"/>
      <c r="B167" s="315"/>
      <c r="C167" s="58" t="s">
        <v>119</v>
      </c>
      <c r="D167" s="69" t="s">
        <v>392</v>
      </c>
      <c r="E167" s="64" t="s">
        <v>253</v>
      </c>
      <c r="F167" s="165"/>
    </row>
    <row r="168" spans="1:6" x14ac:dyDescent="0.25">
      <c r="A168" s="339"/>
      <c r="B168" s="315"/>
      <c r="C168" s="58" t="s">
        <v>120</v>
      </c>
      <c r="D168" s="69" t="s">
        <v>393</v>
      </c>
      <c r="E168" s="64" t="s">
        <v>256</v>
      </c>
      <c r="F168" s="165"/>
    </row>
    <row r="169" spans="1:6" x14ac:dyDescent="0.25">
      <c r="A169" s="339"/>
      <c r="B169" s="315"/>
      <c r="C169" s="58" t="s">
        <v>42</v>
      </c>
      <c r="D169" s="69" t="s">
        <v>394</v>
      </c>
      <c r="E169" s="64" t="s">
        <v>253</v>
      </c>
      <c r="F169" s="165"/>
    </row>
    <row r="170" spans="1:6" x14ac:dyDescent="0.25">
      <c r="A170" s="339"/>
      <c r="B170" s="315"/>
      <c r="C170" s="58" t="s">
        <v>43</v>
      </c>
      <c r="D170" s="69" t="s">
        <v>395</v>
      </c>
      <c r="E170" s="64" t="s">
        <v>253</v>
      </c>
      <c r="F170" s="165"/>
    </row>
    <row r="171" spans="1:6" x14ac:dyDescent="0.25">
      <c r="A171" s="339"/>
      <c r="B171" s="315"/>
      <c r="C171" s="58" t="s">
        <v>44</v>
      </c>
      <c r="D171" s="69" t="s">
        <v>396</v>
      </c>
      <c r="E171" s="64" t="s">
        <v>226</v>
      </c>
      <c r="F171" s="165"/>
    </row>
    <row r="172" spans="1:6" ht="15.75" thickBot="1" x14ac:dyDescent="0.3">
      <c r="A172" s="339"/>
      <c r="B172" s="316"/>
      <c r="C172" s="62" t="s">
        <v>121</v>
      </c>
      <c r="D172" s="70" t="s">
        <v>397</v>
      </c>
      <c r="E172" s="66" t="s">
        <v>226</v>
      </c>
      <c r="F172" s="167"/>
    </row>
    <row r="173" spans="1:6" x14ac:dyDescent="0.25">
      <c r="A173" s="339"/>
      <c r="B173" s="311" t="s">
        <v>149</v>
      </c>
      <c r="C173" s="56" t="s">
        <v>45</v>
      </c>
      <c r="D173" s="68" t="s">
        <v>309</v>
      </c>
      <c r="E173" s="65" t="s">
        <v>226</v>
      </c>
      <c r="F173" s="164"/>
    </row>
    <row r="174" spans="1:6" x14ac:dyDescent="0.25">
      <c r="A174" s="339"/>
      <c r="B174" s="312"/>
      <c r="C174" s="58" t="s">
        <v>46</v>
      </c>
      <c r="D174" s="69" t="s">
        <v>310</v>
      </c>
      <c r="E174" s="64" t="s">
        <v>253</v>
      </c>
      <c r="F174" s="165"/>
    </row>
    <row r="175" spans="1:6" ht="30" x14ac:dyDescent="0.25">
      <c r="A175" s="339"/>
      <c r="B175" s="312"/>
      <c r="C175" s="58" t="s">
        <v>122</v>
      </c>
      <c r="D175" s="69" t="s">
        <v>311</v>
      </c>
      <c r="E175" s="64" t="s">
        <v>253</v>
      </c>
      <c r="F175" s="165"/>
    </row>
    <row r="176" spans="1:6" x14ac:dyDescent="0.25">
      <c r="A176" s="339"/>
      <c r="B176" s="312"/>
      <c r="C176" s="58" t="s">
        <v>123</v>
      </c>
      <c r="D176" s="69" t="s">
        <v>312</v>
      </c>
      <c r="E176" s="64" t="s">
        <v>256</v>
      </c>
      <c r="F176" s="165"/>
    </row>
    <row r="177" spans="1:6" x14ac:dyDescent="0.25">
      <c r="A177" s="339"/>
      <c r="B177" s="312"/>
      <c r="C177" s="58" t="s">
        <v>47</v>
      </c>
      <c r="D177" s="69" t="s">
        <v>313</v>
      </c>
      <c r="E177" s="64" t="s">
        <v>253</v>
      </c>
      <c r="F177" s="165"/>
    </row>
    <row r="178" spans="1:6" x14ac:dyDescent="0.25">
      <c r="A178" s="339"/>
      <c r="B178" s="312"/>
      <c r="C178" s="58" t="s">
        <v>48</v>
      </c>
      <c r="D178" s="69" t="s">
        <v>314</v>
      </c>
      <c r="E178" s="64" t="s">
        <v>253</v>
      </c>
      <c r="F178" s="165"/>
    </row>
    <row r="179" spans="1:6" x14ac:dyDescent="0.25">
      <c r="A179" s="339"/>
      <c r="B179" s="312"/>
      <c r="C179" s="58" t="s">
        <v>49</v>
      </c>
      <c r="D179" s="69" t="s">
        <v>315</v>
      </c>
      <c r="E179" s="64" t="s">
        <v>226</v>
      </c>
      <c r="F179" s="165"/>
    </row>
    <row r="180" spans="1:6" ht="15.75" thickBot="1" x14ac:dyDescent="0.3">
      <c r="A180" s="339"/>
      <c r="B180" s="313"/>
      <c r="C180" s="62" t="s">
        <v>124</v>
      </c>
      <c r="D180" s="70" t="s">
        <v>316</v>
      </c>
      <c r="E180" s="66" t="s">
        <v>226</v>
      </c>
      <c r="F180" s="167"/>
    </row>
    <row r="181" spans="1:6" x14ac:dyDescent="0.25">
      <c r="A181" s="339"/>
      <c r="B181" s="308" t="s">
        <v>150</v>
      </c>
      <c r="C181" s="93" t="s">
        <v>50</v>
      </c>
      <c r="D181" s="79" t="s">
        <v>317</v>
      </c>
      <c r="E181" s="80" t="s">
        <v>226</v>
      </c>
      <c r="F181" s="171"/>
    </row>
    <row r="182" spans="1:6" x14ac:dyDescent="0.25">
      <c r="A182" s="339"/>
      <c r="B182" s="309"/>
      <c r="C182" s="58" t="s">
        <v>51</v>
      </c>
      <c r="D182" s="69" t="s">
        <v>318</v>
      </c>
      <c r="E182" s="64" t="s">
        <v>253</v>
      </c>
      <c r="F182" s="165"/>
    </row>
    <row r="183" spans="1:6" ht="30" x14ac:dyDescent="0.25">
      <c r="A183" s="339"/>
      <c r="B183" s="309"/>
      <c r="C183" s="58" t="s">
        <v>125</v>
      </c>
      <c r="D183" s="69" t="s">
        <v>319</v>
      </c>
      <c r="E183" s="64" t="s">
        <v>253</v>
      </c>
      <c r="F183" s="165"/>
    </row>
    <row r="184" spans="1:6" x14ac:dyDescent="0.25">
      <c r="A184" s="339"/>
      <c r="B184" s="309"/>
      <c r="C184" s="58" t="s">
        <v>126</v>
      </c>
      <c r="D184" s="69" t="s">
        <v>320</v>
      </c>
      <c r="E184" s="64" t="s">
        <v>256</v>
      </c>
      <c r="F184" s="165"/>
    </row>
    <row r="185" spans="1:6" x14ac:dyDescent="0.25">
      <c r="A185" s="339"/>
      <c r="B185" s="309"/>
      <c r="C185" s="58" t="s">
        <v>52</v>
      </c>
      <c r="D185" s="69" t="s">
        <v>321</v>
      </c>
      <c r="E185" s="64" t="s">
        <v>253</v>
      </c>
      <c r="F185" s="165"/>
    </row>
    <row r="186" spans="1:6" x14ac:dyDescent="0.25">
      <c r="A186" s="339"/>
      <c r="B186" s="309"/>
      <c r="C186" s="58" t="s">
        <v>53</v>
      </c>
      <c r="D186" s="69" t="s">
        <v>322</v>
      </c>
      <c r="E186" s="64" t="s">
        <v>253</v>
      </c>
      <c r="F186" s="165"/>
    </row>
    <row r="187" spans="1:6" x14ac:dyDescent="0.25">
      <c r="A187" s="339"/>
      <c r="B187" s="309"/>
      <c r="C187" s="58" t="s">
        <v>54</v>
      </c>
      <c r="D187" s="69" t="s">
        <v>323</v>
      </c>
      <c r="E187" s="64" t="s">
        <v>226</v>
      </c>
      <c r="F187" s="165"/>
    </row>
    <row r="188" spans="1:6" ht="15.75" thickBot="1" x14ac:dyDescent="0.3">
      <c r="A188" s="340"/>
      <c r="B188" s="310"/>
      <c r="C188" s="172" t="s">
        <v>127</v>
      </c>
      <c r="D188" s="173" t="s">
        <v>324</v>
      </c>
      <c r="E188" s="174" t="s">
        <v>226</v>
      </c>
      <c r="F188" s="175"/>
    </row>
    <row r="189" spans="1:6" s="13" customFormat="1" ht="15.75" x14ac:dyDescent="0.25">
      <c r="A189" s="153"/>
      <c r="B189" s="153"/>
      <c r="C189" s="154"/>
      <c r="D189" s="26"/>
      <c r="E189" s="155"/>
      <c r="F189" s="26"/>
    </row>
  </sheetData>
  <mergeCells count="23">
    <mergeCell ref="B2:F2"/>
    <mergeCell ref="B117:B124"/>
    <mergeCell ref="B125:B132"/>
    <mergeCell ref="B133:B140"/>
    <mergeCell ref="B5:B11"/>
    <mergeCell ref="A56:B56"/>
    <mergeCell ref="B12:B21"/>
    <mergeCell ref="B22:B28"/>
    <mergeCell ref="A54:F54"/>
    <mergeCell ref="B49:B50"/>
    <mergeCell ref="B29:B48"/>
    <mergeCell ref="B181:B188"/>
    <mergeCell ref="B141:B148"/>
    <mergeCell ref="B149:B156"/>
    <mergeCell ref="A57:B60"/>
    <mergeCell ref="A61:B67"/>
    <mergeCell ref="A68:B76"/>
    <mergeCell ref="B77:B108"/>
    <mergeCell ref="B109:B116"/>
    <mergeCell ref="A77:A188"/>
    <mergeCell ref="B157:B164"/>
    <mergeCell ref="B165:B172"/>
    <mergeCell ref="B173:B180"/>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C42"/>
  <sheetViews>
    <sheetView showGridLines="0" topLeftCell="H1" zoomScale="120" zoomScaleNormal="120" workbookViewId="0">
      <selection activeCell="D4" sqref="D4:P4"/>
    </sheetView>
  </sheetViews>
  <sheetFormatPr defaultColWidth="9" defaultRowHeight="15" x14ac:dyDescent="0.25"/>
  <cols>
    <col min="1" max="1" width="8.875" style="193" customWidth="1"/>
    <col min="2" max="2" width="9.125" style="193" customWidth="1"/>
    <col min="3" max="3" width="9.25" style="193" customWidth="1"/>
    <col min="4" max="4" width="5.875" style="193" customWidth="1"/>
    <col min="5" max="5" width="7" style="193" customWidth="1"/>
    <col min="6" max="16" width="9" style="193"/>
    <col min="17" max="17" width="6.125" style="193" customWidth="1"/>
    <col min="18" max="16384" width="9" style="193"/>
  </cols>
  <sheetData>
    <row r="1" spans="1:29" x14ac:dyDescent="0.25">
      <c r="A1" s="194"/>
      <c r="B1" s="194"/>
      <c r="C1" s="194"/>
      <c r="D1" s="194"/>
      <c r="E1" s="194"/>
      <c r="F1" s="194"/>
      <c r="G1" s="194"/>
      <c r="H1" s="194"/>
      <c r="I1" s="194"/>
      <c r="J1" s="194"/>
      <c r="K1" s="194"/>
      <c r="L1" s="194"/>
      <c r="M1" s="194"/>
      <c r="N1" s="195"/>
      <c r="O1" s="195"/>
      <c r="P1" s="195"/>
      <c r="Q1" s="195"/>
    </row>
    <row r="2" spans="1:29" ht="1.5" customHeight="1" x14ac:dyDescent="0.25">
      <c r="A2" s="194"/>
      <c r="B2" s="194"/>
      <c r="C2" s="194"/>
      <c r="D2" s="358" t="s">
        <v>345</v>
      </c>
      <c r="E2" s="358"/>
      <c r="F2" s="358"/>
      <c r="G2" s="358"/>
      <c r="H2" s="358"/>
      <c r="I2" s="358"/>
      <c r="J2" s="358"/>
      <c r="K2" s="358"/>
      <c r="L2" s="358"/>
      <c r="M2" s="358"/>
      <c r="N2" s="358"/>
      <c r="O2" s="358"/>
      <c r="P2" s="358"/>
      <c r="Q2" s="195"/>
    </row>
    <row r="3" spans="1:29" s="198" customFormat="1" ht="47.25" customHeight="1" x14ac:dyDescent="0.25">
      <c r="A3" s="196"/>
      <c r="B3" s="196"/>
      <c r="C3" s="196"/>
      <c r="D3" s="358"/>
      <c r="E3" s="358"/>
      <c r="F3" s="358"/>
      <c r="G3" s="358"/>
      <c r="H3" s="358"/>
      <c r="I3" s="358"/>
      <c r="J3" s="358"/>
      <c r="K3" s="358"/>
      <c r="L3" s="358"/>
      <c r="M3" s="358"/>
      <c r="N3" s="358"/>
      <c r="O3" s="358"/>
      <c r="P3" s="358"/>
      <c r="Q3" s="197"/>
    </row>
    <row r="4" spans="1:29" s="198" customFormat="1" x14ac:dyDescent="0.25">
      <c r="A4" s="196"/>
      <c r="B4" s="196"/>
      <c r="C4" s="196"/>
      <c r="D4" s="360" t="str">
        <f>Input!N3</f>
        <v xml:space="preserve">
Version: 1.5.1
</v>
      </c>
      <c r="E4" s="360"/>
      <c r="F4" s="360"/>
      <c r="G4" s="360"/>
      <c r="H4" s="360"/>
      <c r="I4" s="360"/>
      <c r="J4" s="360"/>
      <c r="K4" s="360"/>
      <c r="L4" s="360"/>
      <c r="M4" s="360"/>
      <c r="N4" s="360"/>
      <c r="O4" s="360"/>
      <c r="P4" s="360"/>
      <c r="Q4" s="197"/>
      <c r="R4" s="357" t="s">
        <v>363</v>
      </c>
      <c r="S4" s="357"/>
      <c r="T4" s="357"/>
      <c r="U4" s="357"/>
      <c r="V4" s="357"/>
      <c r="W4" s="357"/>
      <c r="X4" s="357"/>
      <c r="Y4" s="357"/>
      <c r="Z4" s="357"/>
      <c r="AA4" s="357"/>
      <c r="AB4" s="357"/>
      <c r="AC4" s="357"/>
    </row>
    <row r="5" spans="1:29" s="198" customFormat="1" x14ac:dyDescent="0.25">
      <c r="A5" s="196"/>
      <c r="B5" s="196"/>
      <c r="C5" s="196"/>
      <c r="D5" s="360" t="str">
        <f>Input!N4</f>
        <v>Last Update Date: 9/19/2017</v>
      </c>
      <c r="E5" s="360"/>
      <c r="F5" s="360"/>
      <c r="G5" s="360"/>
      <c r="H5" s="360"/>
      <c r="I5" s="360"/>
      <c r="J5" s="360"/>
      <c r="K5" s="360"/>
      <c r="L5" s="360"/>
      <c r="M5" s="360"/>
      <c r="N5" s="360"/>
      <c r="O5" s="360"/>
      <c r="P5" s="360"/>
      <c r="Q5" s="197"/>
      <c r="R5" s="357"/>
      <c r="S5" s="357"/>
      <c r="T5" s="357"/>
      <c r="U5" s="357"/>
      <c r="V5" s="357"/>
      <c r="W5" s="357"/>
      <c r="X5" s="357"/>
      <c r="Y5" s="357"/>
      <c r="Z5" s="357"/>
      <c r="AA5" s="357"/>
      <c r="AB5" s="357"/>
      <c r="AC5" s="357"/>
    </row>
    <row r="6" spans="1:29" s="198" customFormat="1" x14ac:dyDescent="0.25">
      <c r="A6" s="196"/>
      <c r="B6" s="196"/>
      <c r="C6" s="196"/>
      <c r="D6" s="360" t="str">
        <f>Input!N5</f>
        <v>Contacts: Grace Yuan (ENG/OAD, x5099) &amp; Jack Snoeyink (CISE/CCF, x7178)</v>
      </c>
      <c r="E6" s="360"/>
      <c r="F6" s="360"/>
      <c r="G6" s="360"/>
      <c r="H6" s="360"/>
      <c r="I6" s="360"/>
      <c r="J6" s="360"/>
      <c r="K6" s="360"/>
      <c r="L6" s="360"/>
      <c r="M6" s="360"/>
      <c r="N6" s="360"/>
      <c r="O6" s="360"/>
      <c r="P6" s="360"/>
      <c r="Q6" s="197"/>
      <c r="R6" s="357"/>
      <c r="S6" s="357"/>
      <c r="T6" s="357"/>
      <c r="U6" s="357"/>
      <c r="V6" s="357"/>
      <c r="W6" s="357"/>
      <c r="X6" s="357"/>
      <c r="Y6" s="357"/>
      <c r="Z6" s="357"/>
      <c r="AA6" s="357"/>
      <c r="AB6" s="357"/>
      <c r="AC6" s="357"/>
    </row>
    <row r="7" spans="1:29" s="198" customFormat="1" x14ac:dyDescent="0.25">
      <c r="A7" s="196"/>
      <c r="B7" s="196"/>
      <c r="C7" s="196"/>
      <c r="D7" s="199"/>
      <c r="E7" s="200"/>
      <c r="F7" s="200"/>
      <c r="G7" s="200"/>
      <c r="H7" s="200"/>
      <c r="I7" s="200"/>
      <c r="J7" s="200"/>
      <c r="K7" s="205"/>
      <c r="L7" s="200"/>
      <c r="M7" s="200"/>
      <c r="N7" s="200"/>
      <c r="O7" s="200"/>
      <c r="P7" s="200"/>
      <c r="Q7" s="197"/>
      <c r="R7" s="356"/>
      <c r="S7" s="356"/>
      <c r="T7" s="356"/>
      <c r="U7" s="356"/>
      <c r="V7" s="356"/>
      <c r="W7" s="356"/>
      <c r="X7" s="356"/>
      <c r="Y7" s="356"/>
      <c r="Z7" s="356"/>
      <c r="AA7" s="356"/>
      <c r="AB7" s="356"/>
      <c r="AC7" s="356"/>
    </row>
    <row r="8" spans="1:29" ht="15" customHeight="1" x14ac:dyDescent="0.25">
      <c r="A8" s="194"/>
      <c r="B8" s="194"/>
      <c r="C8" s="194"/>
      <c r="D8" s="201"/>
      <c r="E8" s="200"/>
      <c r="F8" s="200"/>
      <c r="G8" s="200"/>
      <c r="H8" s="200"/>
      <c r="I8" s="200"/>
      <c r="J8" s="200"/>
      <c r="K8" s="199"/>
      <c r="L8" s="199"/>
      <c r="M8" s="199"/>
      <c r="N8" s="199"/>
      <c r="O8" s="199"/>
      <c r="P8" s="199"/>
      <c r="Q8" s="195"/>
      <c r="R8" s="356"/>
      <c r="S8" s="356"/>
      <c r="T8" s="356"/>
      <c r="U8" s="356"/>
      <c r="V8" s="356"/>
      <c r="W8" s="356"/>
      <c r="X8" s="356"/>
      <c r="Y8" s="356"/>
      <c r="Z8" s="356"/>
      <c r="AA8" s="356"/>
      <c r="AB8" s="356"/>
      <c r="AC8" s="356"/>
    </row>
    <row r="9" spans="1:29" x14ac:dyDescent="0.25">
      <c r="A9" s="194"/>
      <c r="B9" s="194"/>
      <c r="C9" s="194"/>
      <c r="D9" s="359" t="s">
        <v>453</v>
      </c>
      <c r="E9" s="359"/>
      <c r="F9" s="359"/>
      <c r="G9" s="359"/>
      <c r="H9" s="359"/>
      <c r="I9" s="359"/>
      <c r="J9" s="359"/>
      <c r="K9" s="359"/>
      <c r="L9" s="359"/>
      <c r="M9" s="359"/>
      <c r="N9" s="359"/>
      <c r="O9" s="359"/>
      <c r="P9" s="359"/>
      <c r="Q9" s="195"/>
      <c r="R9" s="356"/>
      <c r="S9" s="356"/>
      <c r="T9" s="356"/>
      <c r="U9" s="356"/>
      <c r="V9" s="356"/>
      <c r="W9" s="356"/>
      <c r="X9" s="356"/>
      <c r="Y9" s="356"/>
      <c r="Z9" s="356"/>
      <c r="AA9" s="356"/>
      <c r="AB9" s="356"/>
      <c r="AC9" s="356"/>
    </row>
    <row r="10" spans="1:29" x14ac:dyDescent="0.25">
      <c r="A10" s="194"/>
      <c r="B10" s="194"/>
      <c r="C10" s="194"/>
      <c r="D10" s="359"/>
      <c r="E10" s="359"/>
      <c r="F10" s="359"/>
      <c r="G10" s="359"/>
      <c r="H10" s="359"/>
      <c r="I10" s="359"/>
      <c r="J10" s="359"/>
      <c r="K10" s="359"/>
      <c r="L10" s="359"/>
      <c r="M10" s="359"/>
      <c r="N10" s="359"/>
      <c r="O10" s="359"/>
      <c r="P10" s="359"/>
      <c r="Q10" s="195"/>
      <c r="R10" s="356"/>
      <c r="S10" s="356"/>
      <c r="T10" s="356"/>
      <c r="U10" s="356"/>
      <c r="V10" s="356"/>
      <c r="W10" s="356"/>
      <c r="X10" s="356"/>
      <c r="Y10" s="356"/>
      <c r="Z10" s="356"/>
      <c r="AA10" s="356"/>
      <c r="AB10" s="356"/>
      <c r="AC10" s="356"/>
    </row>
    <row r="11" spans="1:29" x14ac:dyDescent="0.25">
      <c r="A11" s="194"/>
      <c r="B11" s="194"/>
      <c r="C11" s="194"/>
      <c r="D11" s="359"/>
      <c r="E11" s="359"/>
      <c r="F11" s="359"/>
      <c r="G11" s="359"/>
      <c r="H11" s="359"/>
      <c r="I11" s="359"/>
      <c r="J11" s="359"/>
      <c r="K11" s="359"/>
      <c r="L11" s="359"/>
      <c r="M11" s="359"/>
      <c r="N11" s="359"/>
      <c r="O11" s="359"/>
      <c r="P11" s="359"/>
      <c r="Q11" s="195"/>
      <c r="R11" s="356"/>
      <c r="S11" s="356"/>
      <c r="T11" s="356"/>
      <c r="U11" s="356"/>
      <c r="V11" s="356"/>
      <c r="W11" s="356"/>
      <c r="X11" s="356"/>
      <c r="Y11" s="356"/>
      <c r="Z11" s="356"/>
      <c r="AA11" s="356"/>
      <c r="AB11" s="356"/>
      <c r="AC11" s="356"/>
    </row>
    <row r="12" spans="1:29" x14ac:dyDescent="0.25">
      <c r="A12" s="194"/>
      <c r="B12" s="194"/>
      <c r="C12" s="194"/>
      <c r="D12" s="359"/>
      <c r="E12" s="359"/>
      <c r="F12" s="359"/>
      <c r="G12" s="359"/>
      <c r="H12" s="359"/>
      <c r="I12" s="359"/>
      <c r="J12" s="359"/>
      <c r="K12" s="359"/>
      <c r="L12" s="359"/>
      <c r="M12" s="359"/>
      <c r="N12" s="359"/>
      <c r="O12" s="359"/>
      <c r="P12" s="359"/>
      <c r="Q12" s="195"/>
      <c r="R12" s="356"/>
      <c r="S12" s="356"/>
      <c r="T12" s="356"/>
      <c r="U12" s="356"/>
      <c r="V12" s="356"/>
      <c r="W12" s="356"/>
      <c r="X12" s="356"/>
      <c r="Y12" s="356"/>
      <c r="Z12" s="356"/>
      <c r="AA12" s="356"/>
      <c r="AB12" s="356"/>
      <c r="AC12" s="356"/>
    </row>
    <row r="13" spans="1:29" x14ac:dyDescent="0.25">
      <c r="A13" s="194"/>
      <c r="B13" s="194"/>
      <c r="C13" s="194"/>
      <c r="D13" s="359"/>
      <c r="E13" s="359"/>
      <c r="F13" s="359"/>
      <c r="G13" s="359"/>
      <c r="H13" s="359"/>
      <c r="I13" s="359"/>
      <c r="J13" s="359"/>
      <c r="K13" s="359"/>
      <c r="L13" s="359"/>
      <c r="M13" s="359"/>
      <c r="N13" s="359"/>
      <c r="O13" s="359"/>
      <c r="P13" s="359"/>
      <c r="Q13" s="195"/>
      <c r="R13" s="356"/>
      <c r="S13" s="356"/>
      <c r="T13" s="356"/>
      <c r="U13" s="356"/>
      <c r="V13" s="356"/>
      <c r="W13" s="356"/>
      <c r="X13" s="356"/>
      <c r="Y13" s="356"/>
      <c r="Z13" s="356"/>
      <c r="AA13" s="356"/>
      <c r="AB13" s="356"/>
      <c r="AC13" s="356"/>
    </row>
    <row r="14" spans="1:29" ht="29.1" customHeight="1" x14ac:dyDescent="0.25">
      <c r="A14" s="194"/>
      <c r="B14" s="194"/>
      <c r="C14" s="194"/>
      <c r="D14" s="359"/>
      <c r="E14" s="359"/>
      <c r="F14" s="359"/>
      <c r="G14" s="359"/>
      <c r="H14" s="359"/>
      <c r="I14" s="359"/>
      <c r="J14" s="359"/>
      <c r="K14" s="359"/>
      <c r="L14" s="359"/>
      <c r="M14" s="359"/>
      <c r="N14" s="359"/>
      <c r="O14" s="359"/>
      <c r="P14" s="359"/>
      <c r="Q14" s="195"/>
      <c r="R14" s="356"/>
      <c r="S14" s="356"/>
      <c r="T14" s="356"/>
      <c r="U14" s="356"/>
      <c r="V14" s="356"/>
      <c r="W14" s="356"/>
      <c r="X14" s="356"/>
      <c r="Y14" s="356"/>
      <c r="Z14" s="356"/>
      <c r="AA14" s="356"/>
      <c r="AB14" s="356"/>
      <c r="AC14" s="356"/>
    </row>
    <row r="15" spans="1:29" x14ac:dyDescent="0.25">
      <c r="A15" s="194"/>
      <c r="B15" s="194"/>
      <c r="C15" s="194"/>
      <c r="D15" s="359"/>
      <c r="E15" s="359"/>
      <c r="F15" s="359"/>
      <c r="G15" s="359"/>
      <c r="H15" s="359"/>
      <c r="I15" s="359"/>
      <c r="J15" s="359"/>
      <c r="K15" s="359"/>
      <c r="L15" s="359"/>
      <c r="M15" s="359"/>
      <c r="N15" s="359"/>
      <c r="O15" s="359"/>
      <c r="P15" s="359"/>
      <c r="Q15" s="195"/>
      <c r="R15" s="356"/>
      <c r="S15" s="356"/>
      <c r="T15" s="356"/>
      <c r="U15" s="356"/>
      <c r="V15" s="356"/>
      <c r="W15" s="356"/>
      <c r="X15" s="356"/>
      <c r="Y15" s="356"/>
      <c r="Z15" s="356"/>
      <c r="AA15" s="356"/>
      <c r="AB15" s="356"/>
      <c r="AC15" s="356"/>
    </row>
    <row r="16" spans="1:29" x14ac:dyDescent="0.25">
      <c r="A16" s="194"/>
      <c r="B16" s="194"/>
      <c r="C16" s="194"/>
      <c r="D16" s="359"/>
      <c r="E16" s="359"/>
      <c r="F16" s="359"/>
      <c r="G16" s="359"/>
      <c r="H16" s="359"/>
      <c r="I16" s="359"/>
      <c r="J16" s="359"/>
      <c r="K16" s="359"/>
      <c r="L16" s="359"/>
      <c r="M16" s="359"/>
      <c r="N16" s="359"/>
      <c r="O16" s="359"/>
      <c r="P16" s="359"/>
      <c r="Q16" s="197"/>
      <c r="R16" s="356"/>
      <c r="S16" s="356"/>
      <c r="T16" s="356"/>
      <c r="U16" s="356"/>
      <c r="V16" s="356"/>
      <c r="W16" s="356"/>
      <c r="X16" s="356"/>
      <c r="Y16" s="356"/>
      <c r="Z16" s="356"/>
      <c r="AA16" s="356"/>
      <c r="AB16" s="356"/>
      <c r="AC16" s="356"/>
    </row>
    <row r="17" spans="1:29" x14ac:dyDescent="0.25">
      <c r="A17" s="194"/>
      <c r="B17" s="194"/>
      <c r="C17" s="194"/>
      <c r="D17" s="359"/>
      <c r="E17" s="359"/>
      <c r="F17" s="359"/>
      <c r="G17" s="359"/>
      <c r="H17" s="359"/>
      <c r="I17" s="359"/>
      <c r="J17" s="359"/>
      <c r="K17" s="359"/>
      <c r="L17" s="359"/>
      <c r="M17" s="359"/>
      <c r="N17" s="359"/>
      <c r="O17" s="359"/>
      <c r="P17" s="359"/>
      <c r="Q17" s="195"/>
      <c r="R17" s="356"/>
      <c r="S17" s="356"/>
      <c r="T17" s="356"/>
      <c r="U17" s="356"/>
      <c r="V17" s="356"/>
      <c r="W17" s="356"/>
      <c r="X17" s="356"/>
      <c r="Y17" s="356"/>
      <c r="Z17" s="356"/>
      <c r="AA17" s="356"/>
      <c r="AB17" s="356"/>
      <c r="AC17" s="356"/>
    </row>
    <row r="18" spans="1:29" x14ac:dyDescent="0.25">
      <c r="A18" s="194"/>
      <c r="B18" s="194"/>
      <c r="C18" s="194"/>
      <c r="D18" s="359"/>
      <c r="E18" s="359"/>
      <c r="F18" s="359"/>
      <c r="G18" s="359"/>
      <c r="H18" s="359"/>
      <c r="I18" s="359"/>
      <c r="J18" s="359"/>
      <c r="K18" s="359"/>
      <c r="L18" s="359"/>
      <c r="M18" s="359"/>
      <c r="N18" s="359"/>
      <c r="O18" s="359"/>
      <c r="P18" s="359"/>
      <c r="Q18" s="195"/>
      <c r="R18" s="356"/>
      <c r="S18" s="356"/>
      <c r="T18" s="356"/>
      <c r="U18" s="356"/>
      <c r="V18" s="356"/>
      <c r="W18" s="356"/>
      <c r="X18" s="356"/>
      <c r="Y18" s="356"/>
      <c r="Z18" s="356"/>
      <c r="AA18" s="356"/>
      <c r="AB18" s="356"/>
      <c r="AC18" s="356"/>
    </row>
    <row r="19" spans="1:29" x14ac:dyDescent="0.25">
      <c r="A19" s="194"/>
      <c r="B19" s="194"/>
      <c r="C19" s="194"/>
      <c r="D19" s="359"/>
      <c r="E19" s="359"/>
      <c r="F19" s="359"/>
      <c r="G19" s="359"/>
      <c r="H19" s="359"/>
      <c r="I19" s="359"/>
      <c r="J19" s="359"/>
      <c r="K19" s="359"/>
      <c r="L19" s="359"/>
      <c r="M19" s="359"/>
      <c r="N19" s="359"/>
      <c r="O19" s="359"/>
      <c r="P19" s="359"/>
      <c r="Q19" s="195"/>
      <c r="R19" s="356"/>
      <c r="S19" s="356"/>
      <c r="T19" s="356"/>
      <c r="U19" s="356"/>
      <c r="V19" s="356"/>
      <c r="W19" s="356"/>
      <c r="X19" s="356"/>
      <c r="Y19" s="356"/>
      <c r="Z19" s="356"/>
      <c r="AA19" s="356"/>
      <c r="AB19" s="356"/>
      <c r="AC19" s="356"/>
    </row>
    <row r="20" spans="1:29" x14ac:dyDescent="0.25">
      <c r="A20" s="194"/>
      <c r="B20" s="194"/>
      <c r="C20" s="194"/>
      <c r="D20" s="359"/>
      <c r="E20" s="359"/>
      <c r="F20" s="359"/>
      <c r="G20" s="359"/>
      <c r="H20" s="359"/>
      <c r="I20" s="359"/>
      <c r="J20" s="359"/>
      <c r="K20" s="359"/>
      <c r="L20" s="359"/>
      <c r="M20" s="359"/>
      <c r="N20" s="359"/>
      <c r="O20" s="359"/>
      <c r="P20" s="359"/>
      <c r="Q20" s="195"/>
      <c r="R20" s="356"/>
      <c r="S20" s="356"/>
      <c r="T20" s="356"/>
      <c r="U20" s="356"/>
      <c r="V20" s="356"/>
      <c r="W20" s="356"/>
      <c r="X20" s="356"/>
      <c r="Y20" s="356"/>
      <c r="Z20" s="356"/>
      <c r="AA20" s="356"/>
      <c r="AB20" s="356"/>
      <c r="AC20" s="356"/>
    </row>
    <row r="21" spans="1:29" x14ac:dyDescent="0.25">
      <c r="A21" s="194"/>
      <c r="B21" s="194"/>
      <c r="C21" s="194"/>
      <c r="D21" s="359"/>
      <c r="E21" s="359"/>
      <c r="F21" s="359"/>
      <c r="G21" s="359"/>
      <c r="H21" s="359"/>
      <c r="I21" s="359"/>
      <c r="J21" s="359"/>
      <c r="K21" s="359"/>
      <c r="L21" s="359"/>
      <c r="M21" s="359"/>
      <c r="N21" s="359"/>
      <c r="O21" s="359"/>
      <c r="P21" s="359"/>
      <c r="Q21" s="195"/>
      <c r="R21" s="356"/>
      <c r="S21" s="356"/>
      <c r="T21" s="356"/>
      <c r="U21" s="356"/>
      <c r="V21" s="356"/>
      <c r="W21" s="356"/>
      <c r="X21" s="356"/>
      <c r="Y21" s="356"/>
      <c r="Z21" s="356"/>
      <c r="AA21" s="356"/>
      <c r="AB21" s="356"/>
      <c r="AC21" s="356"/>
    </row>
    <row r="22" spans="1:29" x14ac:dyDescent="0.25">
      <c r="A22" s="194"/>
      <c r="B22" s="194"/>
      <c r="C22" s="194"/>
      <c r="D22" s="359"/>
      <c r="E22" s="359"/>
      <c r="F22" s="359"/>
      <c r="G22" s="359"/>
      <c r="H22" s="359"/>
      <c r="I22" s="359"/>
      <c r="J22" s="359"/>
      <c r="K22" s="359"/>
      <c r="L22" s="359"/>
      <c r="M22" s="359"/>
      <c r="N22" s="359"/>
      <c r="O22" s="359"/>
      <c r="P22" s="359"/>
      <c r="Q22" s="195"/>
      <c r="R22" s="356"/>
      <c r="S22" s="356"/>
      <c r="T22" s="356"/>
      <c r="U22" s="356"/>
      <c r="V22" s="356"/>
      <c r="W22" s="356"/>
      <c r="X22" s="356"/>
      <c r="Y22" s="356"/>
      <c r="Z22" s="356"/>
      <c r="AA22" s="356"/>
      <c r="AB22" s="356"/>
      <c r="AC22" s="356"/>
    </row>
    <row r="23" spans="1:29" x14ac:dyDescent="0.25">
      <c r="A23" s="194"/>
      <c r="B23" s="194"/>
      <c r="C23" s="194"/>
      <c r="D23" s="359"/>
      <c r="E23" s="359"/>
      <c r="F23" s="359"/>
      <c r="G23" s="359"/>
      <c r="H23" s="359"/>
      <c r="I23" s="359"/>
      <c r="J23" s="359"/>
      <c r="K23" s="359"/>
      <c r="L23" s="359"/>
      <c r="M23" s="359"/>
      <c r="N23" s="359"/>
      <c r="O23" s="359"/>
      <c r="P23" s="359"/>
      <c r="Q23" s="195"/>
      <c r="R23" s="356"/>
      <c r="S23" s="356"/>
      <c r="T23" s="356"/>
      <c r="U23" s="356"/>
      <c r="V23" s="356"/>
      <c r="W23" s="356"/>
      <c r="X23" s="356"/>
      <c r="Y23" s="356"/>
      <c r="Z23" s="356"/>
      <c r="AA23" s="356"/>
      <c r="AB23" s="356"/>
      <c r="AC23" s="356"/>
    </row>
    <row r="24" spans="1:29" x14ac:dyDescent="0.25">
      <c r="A24" s="194"/>
      <c r="B24" s="194"/>
      <c r="C24" s="194"/>
      <c r="D24" s="359"/>
      <c r="E24" s="359"/>
      <c r="F24" s="359"/>
      <c r="G24" s="359"/>
      <c r="H24" s="359"/>
      <c r="I24" s="359"/>
      <c r="J24" s="359"/>
      <c r="K24" s="359"/>
      <c r="L24" s="359"/>
      <c r="M24" s="359"/>
      <c r="N24" s="359"/>
      <c r="O24" s="359"/>
      <c r="P24" s="359"/>
      <c r="Q24" s="195"/>
      <c r="R24" s="356"/>
      <c r="S24" s="356"/>
      <c r="T24" s="356"/>
      <c r="U24" s="356"/>
      <c r="V24" s="356"/>
      <c r="W24" s="356"/>
      <c r="X24" s="356"/>
      <c r="Y24" s="356"/>
      <c r="Z24" s="356"/>
      <c r="AA24" s="356"/>
      <c r="AB24" s="356"/>
      <c r="AC24" s="356"/>
    </row>
    <row r="25" spans="1:29" x14ac:dyDescent="0.25">
      <c r="A25" s="194"/>
      <c r="B25" s="194"/>
      <c r="C25" s="194"/>
      <c r="D25" s="359"/>
      <c r="E25" s="359"/>
      <c r="F25" s="359"/>
      <c r="G25" s="359"/>
      <c r="H25" s="359"/>
      <c r="I25" s="359"/>
      <c r="J25" s="359"/>
      <c r="K25" s="359"/>
      <c r="L25" s="359"/>
      <c r="M25" s="359"/>
      <c r="N25" s="359"/>
      <c r="O25" s="359"/>
      <c r="P25" s="359"/>
      <c r="Q25" s="195"/>
      <c r="R25" s="356"/>
      <c r="S25" s="356"/>
      <c r="T25" s="356"/>
      <c r="U25" s="356"/>
      <c r="V25" s="356"/>
      <c r="W25" s="356"/>
      <c r="X25" s="356"/>
      <c r="Y25" s="356"/>
      <c r="Z25" s="356"/>
      <c r="AA25" s="356"/>
      <c r="AB25" s="356"/>
      <c r="AC25" s="356"/>
    </row>
    <row r="26" spans="1:29" x14ac:dyDescent="0.25">
      <c r="A26" s="194"/>
      <c r="B26" s="194"/>
      <c r="C26" s="194"/>
      <c r="D26" s="359"/>
      <c r="E26" s="359"/>
      <c r="F26" s="359"/>
      <c r="G26" s="359"/>
      <c r="H26" s="359"/>
      <c r="I26" s="359"/>
      <c r="J26" s="359"/>
      <c r="K26" s="359"/>
      <c r="L26" s="359"/>
      <c r="M26" s="359"/>
      <c r="N26" s="359"/>
      <c r="O26" s="359"/>
      <c r="P26" s="359"/>
      <c r="Q26" s="195"/>
      <c r="R26" s="356"/>
      <c r="S26" s="356"/>
      <c r="T26" s="356"/>
      <c r="U26" s="356"/>
      <c r="V26" s="356"/>
      <c r="W26" s="356"/>
      <c r="X26" s="356"/>
      <c r="Y26" s="356"/>
      <c r="Z26" s="356"/>
      <c r="AA26" s="356"/>
      <c r="AB26" s="356"/>
      <c r="AC26" s="356"/>
    </row>
    <row r="27" spans="1:29" x14ac:dyDescent="0.25">
      <c r="A27" s="194"/>
      <c r="B27" s="194"/>
      <c r="C27" s="194"/>
      <c r="D27" s="359"/>
      <c r="E27" s="359"/>
      <c r="F27" s="359"/>
      <c r="G27" s="359"/>
      <c r="H27" s="359"/>
      <c r="I27" s="359"/>
      <c r="J27" s="359"/>
      <c r="K27" s="359"/>
      <c r="L27" s="359"/>
      <c r="M27" s="359"/>
      <c r="N27" s="359"/>
      <c r="O27" s="359"/>
      <c r="P27" s="359"/>
      <c r="Q27" s="195"/>
      <c r="R27" s="356"/>
      <c r="S27" s="356"/>
      <c r="T27" s="356"/>
      <c r="U27" s="356"/>
      <c r="V27" s="356"/>
      <c r="W27" s="356"/>
      <c r="X27" s="356"/>
      <c r="Y27" s="356"/>
      <c r="Z27" s="356"/>
      <c r="AA27" s="356"/>
      <c r="AB27" s="356"/>
      <c r="AC27" s="356"/>
    </row>
    <row r="28" spans="1:29" x14ac:dyDescent="0.25">
      <c r="A28" s="194"/>
      <c r="B28" s="194"/>
      <c r="C28" s="194"/>
      <c r="D28" s="359"/>
      <c r="E28" s="359"/>
      <c r="F28" s="359"/>
      <c r="G28" s="359"/>
      <c r="H28" s="359"/>
      <c r="I28" s="359"/>
      <c r="J28" s="359"/>
      <c r="K28" s="359"/>
      <c r="L28" s="359"/>
      <c r="M28" s="359"/>
      <c r="N28" s="359"/>
      <c r="O28" s="359"/>
      <c r="P28" s="359"/>
      <c r="Q28" s="195"/>
      <c r="R28" s="356"/>
      <c r="S28" s="356"/>
      <c r="T28" s="356"/>
      <c r="U28" s="356"/>
      <c r="V28" s="356"/>
      <c r="W28" s="356"/>
      <c r="X28" s="356"/>
      <c r="Y28" s="356"/>
      <c r="Z28" s="356"/>
      <c r="AA28" s="356"/>
      <c r="AB28" s="356"/>
      <c r="AC28" s="356"/>
    </row>
    <row r="29" spans="1:29" x14ac:dyDescent="0.25">
      <c r="A29" s="194"/>
      <c r="B29" s="194"/>
      <c r="C29" s="194"/>
      <c r="D29" s="359"/>
      <c r="E29" s="359"/>
      <c r="F29" s="359"/>
      <c r="G29" s="359"/>
      <c r="H29" s="359"/>
      <c r="I29" s="359"/>
      <c r="J29" s="359"/>
      <c r="K29" s="359"/>
      <c r="L29" s="359"/>
      <c r="M29" s="359"/>
      <c r="N29" s="359"/>
      <c r="O29" s="359"/>
      <c r="P29" s="359"/>
      <c r="Q29" s="195"/>
      <c r="R29" s="356"/>
      <c r="S29" s="356"/>
      <c r="T29" s="356"/>
      <c r="U29" s="356"/>
      <c r="V29" s="356"/>
      <c r="W29" s="356"/>
      <c r="X29" s="356"/>
      <c r="Y29" s="356"/>
      <c r="Z29" s="356"/>
      <c r="AA29" s="356"/>
      <c r="AB29" s="356"/>
      <c r="AC29" s="356"/>
    </row>
    <row r="30" spans="1:29" x14ac:dyDescent="0.25">
      <c r="A30" s="194"/>
      <c r="B30" s="194"/>
      <c r="C30" s="194"/>
      <c r="D30" s="359"/>
      <c r="E30" s="359"/>
      <c r="F30" s="359"/>
      <c r="G30" s="359"/>
      <c r="H30" s="359"/>
      <c r="I30" s="359"/>
      <c r="J30" s="359"/>
      <c r="K30" s="359"/>
      <c r="L30" s="359"/>
      <c r="M30" s="359"/>
      <c r="N30" s="359"/>
      <c r="O30" s="359"/>
      <c r="P30" s="359"/>
      <c r="Q30" s="195"/>
      <c r="R30" s="356"/>
      <c r="S30" s="356"/>
      <c r="T30" s="356"/>
      <c r="U30" s="356"/>
      <c r="V30" s="356"/>
      <c r="W30" s="356"/>
      <c r="X30" s="356"/>
      <c r="Y30" s="356"/>
      <c r="Z30" s="356"/>
      <c r="AA30" s="356"/>
      <c r="AB30" s="356"/>
      <c r="AC30" s="356"/>
    </row>
    <row r="31" spans="1:29" x14ac:dyDescent="0.25">
      <c r="A31" s="194"/>
      <c r="B31" s="194"/>
      <c r="C31" s="194"/>
      <c r="D31" s="359"/>
      <c r="E31" s="359"/>
      <c r="F31" s="359"/>
      <c r="G31" s="359"/>
      <c r="H31" s="359"/>
      <c r="I31" s="359"/>
      <c r="J31" s="359"/>
      <c r="K31" s="359"/>
      <c r="L31" s="359"/>
      <c r="M31" s="359"/>
      <c r="N31" s="359"/>
      <c r="O31" s="359"/>
      <c r="P31" s="359"/>
      <c r="Q31" s="195"/>
      <c r="R31" s="356"/>
      <c r="S31" s="356"/>
      <c r="T31" s="356"/>
      <c r="U31" s="356"/>
      <c r="V31" s="356"/>
      <c r="W31" s="356"/>
      <c r="X31" s="356"/>
      <c r="Y31" s="356"/>
      <c r="Z31" s="356"/>
      <c r="AA31" s="356"/>
      <c r="AB31" s="356"/>
      <c r="AC31" s="356"/>
    </row>
    <row r="32" spans="1:29" x14ac:dyDescent="0.25">
      <c r="A32" s="195"/>
      <c r="B32" s="195"/>
      <c r="C32" s="195"/>
      <c r="D32" s="359"/>
      <c r="E32" s="359"/>
      <c r="F32" s="359"/>
      <c r="G32" s="359"/>
      <c r="H32" s="359"/>
      <c r="I32" s="359"/>
      <c r="J32" s="359"/>
      <c r="K32" s="359"/>
      <c r="L32" s="359"/>
      <c r="M32" s="359"/>
      <c r="N32" s="359"/>
      <c r="O32" s="359"/>
      <c r="P32" s="359"/>
      <c r="Q32" s="195"/>
      <c r="R32" s="356"/>
      <c r="S32" s="356"/>
      <c r="T32" s="356"/>
      <c r="U32" s="356"/>
      <c r="V32" s="356"/>
      <c r="W32" s="356"/>
      <c r="X32" s="356"/>
      <c r="Y32" s="356"/>
      <c r="Z32" s="356"/>
      <c r="AA32" s="356"/>
      <c r="AB32" s="356"/>
      <c r="AC32" s="356"/>
    </row>
    <row r="33" spans="1:29" x14ac:dyDescent="0.25">
      <c r="A33" s="195"/>
      <c r="B33" s="195"/>
      <c r="C33" s="195"/>
      <c r="D33" s="195"/>
      <c r="E33" s="195"/>
      <c r="F33" s="195"/>
      <c r="G33" s="195"/>
      <c r="H33" s="195"/>
      <c r="I33" s="195"/>
      <c r="J33" s="195"/>
      <c r="K33" s="195"/>
      <c r="L33" s="195"/>
      <c r="M33" s="195"/>
      <c r="N33" s="195"/>
      <c r="O33" s="195"/>
      <c r="P33" s="195"/>
      <c r="Q33" s="195"/>
      <c r="R33" s="356"/>
      <c r="S33" s="356"/>
      <c r="T33" s="356"/>
      <c r="U33" s="356"/>
      <c r="V33" s="356"/>
      <c r="W33" s="356"/>
      <c r="X33" s="356"/>
      <c r="Y33" s="356"/>
      <c r="Z33" s="356"/>
      <c r="AA33" s="356"/>
      <c r="AB33" s="356"/>
      <c r="AC33" s="356"/>
    </row>
    <row r="34" spans="1:29" x14ac:dyDescent="0.25">
      <c r="A34" s="195"/>
      <c r="B34" s="195"/>
      <c r="C34" s="195"/>
      <c r="D34" s="195"/>
      <c r="E34" s="195"/>
      <c r="F34" s="195"/>
      <c r="G34" s="195"/>
      <c r="H34" s="195"/>
      <c r="I34" s="195"/>
      <c r="J34" s="195"/>
      <c r="K34" s="195"/>
      <c r="L34" s="195"/>
      <c r="M34" s="195"/>
      <c r="N34" s="195"/>
      <c r="O34" s="195"/>
      <c r="P34" s="195"/>
      <c r="Q34" s="195"/>
      <c r="R34" s="356"/>
      <c r="S34" s="356"/>
      <c r="T34" s="356"/>
      <c r="U34" s="356"/>
      <c r="V34" s="356"/>
      <c r="W34" s="356"/>
      <c r="X34" s="356"/>
      <c r="Y34" s="356"/>
      <c r="Z34" s="356"/>
      <c r="AA34" s="356"/>
      <c r="AB34" s="356"/>
      <c r="AC34" s="356"/>
    </row>
    <row r="35" spans="1:29" x14ac:dyDescent="0.25">
      <c r="A35" s="195"/>
      <c r="B35" s="195"/>
      <c r="C35" s="195"/>
      <c r="D35" s="195"/>
      <c r="E35" s="195"/>
      <c r="F35" s="195"/>
      <c r="G35" s="195"/>
      <c r="H35" s="195"/>
      <c r="I35" s="195"/>
      <c r="J35" s="195"/>
      <c r="K35" s="195"/>
      <c r="L35" s="195"/>
      <c r="M35" s="195"/>
      <c r="N35" s="195"/>
      <c r="O35" s="195"/>
      <c r="P35" s="195"/>
      <c r="Q35" s="195"/>
      <c r="R35" s="356"/>
      <c r="S35" s="356"/>
      <c r="T35" s="356"/>
      <c r="U35" s="356"/>
      <c r="V35" s="356"/>
      <c r="W35" s="356"/>
      <c r="X35" s="356"/>
      <c r="Y35" s="356"/>
      <c r="Z35" s="356"/>
      <c r="AA35" s="356"/>
      <c r="AB35" s="356"/>
      <c r="AC35" s="356"/>
    </row>
    <row r="36" spans="1:29" x14ac:dyDescent="0.25">
      <c r="A36" s="195"/>
      <c r="B36" s="204" t="s">
        <v>407</v>
      </c>
      <c r="C36" s="204" t="s">
        <v>408</v>
      </c>
      <c r="D36" s="195"/>
      <c r="E36" s="195"/>
      <c r="F36" s="195"/>
      <c r="G36" s="195"/>
      <c r="H36" s="195"/>
      <c r="I36" s="195"/>
      <c r="J36" s="195"/>
      <c r="K36" s="195"/>
      <c r="L36" s="195"/>
      <c r="M36" s="195"/>
      <c r="N36" s="195"/>
      <c r="O36" s="195"/>
      <c r="R36" s="356"/>
      <c r="S36" s="356"/>
      <c r="T36" s="356"/>
      <c r="U36" s="356"/>
      <c r="V36" s="356"/>
      <c r="W36" s="356"/>
      <c r="X36" s="356"/>
      <c r="Y36" s="356"/>
      <c r="Z36" s="356"/>
      <c r="AA36" s="356"/>
      <c r="AB36" s="356"/>
      <c r="AC36" s="356"/>
    </row>
    <row r="37" spans="1:29" x14ac:dyDescent="0.25">
      <c r="A37" s="195"/>
      <c r="B37" s="204"/>
      <c r="C37" s="204"/>
      <c r="D37" s="195"/>
      <c r="E37" s="195"/>
      <c r="F37" s="195"/>
      <c r="G37" s="195"/>
      <c r="H37" s="195"/>
      <c r="I37" s="195"/>
      <c r="J37" s="195"/>
      <c r="K37" s="195"/>
      <c r="L37" s="195"/>
      <c r="M37" s="195"/>
      <c r="N37" s="195"/>
      <c r="O37" s="195"/>
      <c r="R37" s="356"/>
      <c r="S37" s="356"/>
      <c r="T37" s="356"/>
      <c r="U37" s="356"/>
      <c r="V37" s="356"/>
      <c r="W37" s="356"/>
      <c r="X37" s="356"/>
      <c r="Y37" s="356"/>
      <c r="Z37" s="356"/>
      <c r="AA37" s="356"/>
      <c r="AB37" s="356"/>
      <c r="AC37" s="356"/>
    </row>
    <row r="38" spans="1:29" x14ac:dyDescent="0.25">
      <c r="A38" s="195"/>
      <c r="B38" s="195"/>
      <c r="C38" s="195"/>
      <c r="D38" s="195"/>
      <c r="E38" s="195"/>
      <c r="F38" s="195"/>
      <c r="G38" s="195"/>
      <c r="H38" s="195"/>
      <c r="I38" s="195"/>
      <c r="J38" s="195"/>
      <c r="K38" s="195"/>
      <c r="L38" s="195"/>
      <c r="M38" s="195"/>
      <c r="N38" s="195"/>
      <c r="O38" s="195"/>
      <c r="P38" s="195"/>
      <c r="Q38" s="195"/>
      <c r="R38" s="356"/>
      <c r="S38" s="356"/>
      <c r="T38" s="356"/>
      <c r="U38" s="356"/>
      <c r="V38" s="356"/>
      <c r="W38" s="356"/>
      <c r="X38" s="356"/>
      <c r="Y38" s="356"/>
      <c r="Z38" s="356"/>
      <c r="AA38" s="356"/>
      <c r="AB38" s="356"/>
      <c r="AC38" s="356"/>
    </row>
    <row r="39" spans="1:29" x14ac:dyDescent="0.25">
      <c r="A39" s="195"/>
      <c r="B39" s="195"/>
      <c r="C39" s="195"/>
      <c r="D39" s="195"/>
      <c r="E39" s="195"/>
      <c r="F39" s="195"/>
      <c r="G39" s="195"/>
      <c r="H39" s="195"/>
      <c r="I39" s="195"/>
      <c r="J39" s="195"/>
      <c r="K39" s="195"/>
      <c r="L39" s="195"/>
      <c r="M39" s="195"/>
      <c r="N39" s="195"/>
      <c r="O39" s="195"/>
      <c r="P39" s="195"/>
      <c r="Q39" s="195"/>
      <c r="R39" s="356"/>
      <c r="S39" s="356"/>
      <c r="T39" s="356"/>
      <c r="U39" s="356"/>
      <c r="V39" s="356"/>
      <c r="W39" s="356"/>
      <c r="X39" s="356"/>
      <c r="Y39" s="356"/>
      <c r="Z39" s="356"/>
      <c r="AA39" s="356"/>
      <c r="AB39" s="356"/>
      <c r="AC39" s="356"/>
    </row>
    <row r="40" spans="1:29" x14ac:dyDescent="0.25">
      <c r="A40" s="195"/>
      <c r="B40" s="195"/>
      <c r="C40" s="195"/>
      <c r="D40" s="195"/>
      <c r="E40" s="195"/>
      <c r="F40" s="195"/>
      <c r="G40" s="195"/>
      <c r="H40" s="195"/>
      <c r="I40" s="195"/>
      <c r="J40" s="195"/>
      <c r="K40" s="195"/>
      <c r="L40" s="195"/>
      <c r="M40" s="195"/>
      <c r="N40" s="195"/>
      <c r="O40" s="195"/>
      <c r="P40" s="195"/>
      <c r="Q40" s="195"/>
      <c r="R40" s="356"/>
      <c r="S40" s="356"/>
      <c r="T40" s="356"/>
      <c r="U40" s="356"/>
      <c r="V40" s="356"/>
      <c r="W40" s="356"/>
      <c r="X40" s="356"/>
      <c r="Y40" s="356"/>
      <c r="Z40" s="356"/>
      <c r="AA40" s="356"/>
      <c r="AB40" s="356"/>
      <c r="AC40" s="356"/>
    </row>
    <row r="41" spans="1:29" x14ac:dyDescent="0.25">
      <c r="A41" s="195"/>
      <c r="B41" s="195"/>
      <c r="C41" s="195"/>
      <c r="D41" s="195"/>
      <c r="E41" s="195"/>
      <c r="F41" s="195"/>
      <c r="G41" s="195"/>
      <c r="H41" s="195"/>
      <c r="I41" s="195"/>
      <c r="J41" s="195"/>
      <c r="K41" s="195"/>
      <c r="L41" s="195"/>
      <c r="M41" s="195"/>
      <c r="N41" s="195"/>
      <c r="O41" s="195"/>
      <c r="P41" s="195"/>
      <c r="Q41" s="195"/>
      <c r="R41" s="356"/>
      <c r="S41" s="356"/>
      <c r="T41" s="356"/>
      <c r="U41" s="356"/>
      <c r="V41" s="356"/>
      <c r="W41" s="356"/>
      <c r="X41" s="356"/>
      <c r="Y41" s="356"/>
      <c r="Z41" s="356"/>
      <c r="AA41" s="356"/>
      <c r="AB41" s="356"/>
      <c r="AC41" s="356"/>
    </row>
    <row r="42" spans="1:29" x14ac:dyDescent="0.25">
      <c r="A42" s="195"/>
      <c r="B42" s="195"/>
      <c r="C42" s="195"/>
      <c r="D42" s="195"/>
      <c r="E42" s="195"/>
      <c r="F42" s="195"/>
      <c r="G42" s="195"/>
      <c r="H42" s="195"/>
      <c r="I42" s="195"/>
      <c r="J42" s="195"/>
      <c r="K42" s="195"/>
      <c r="L42" s="195"/>
      <c r="M42" s="195"/>
      <c r="N42" s="195"/>
      <c r="O42" s="195"/>
      <c r="P42" s="195"/>
      <c r="Q42" s="195"/>
      <c r="R42" s="356"/>
      <c r="S42" s="356"/>
      <c r="T42" s="356"/>
      <c r="U42" s="356"/>
      <c r="V42" s="356"/>
      <c r="W42" s="356"/>
      <c r="X42" s="356"/>
      <c r="Y42" s="356"/>
      <c r="Z42" s="356"/>
      <c r="AA42" s="356"/>
      <c r="AB42" s="356"/>
      <c r="AC42" s="356"/>
    </row>
  </sheetData>
  <mergeCells count="7">
    <mergeCell ref="R7:AC42"/>
    <mergeCell ref="R4:AC6"/>
    <mergeCell ref="D2:P3"/>
    <mergeCell ref="D9:P32"/>
    <mergeCell ref="D4:P4"/>
    <mergeCell ref="D5:P5"/>
    <mergeCell ref="D6:P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heckAccess">
                <anchor moveWithCells="1" sizeWithCells="1">
                  <from>
                    <xdr:col>1</xdr:col>
                    <xdr:colOff>114300</xdr:colOff>
                    <xdr:row>33</xdr:row>
                    <xdr:rowOff>66675</xdr:rowOff>
                  </from>
                  <to>
                    <xdr:col>2</xdr:col>
                    <xdr:colOff>561975</xdr:colOff>
                    <xdr:row>34</xdr:row>
                    <xdr:rowOff>114300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F13"/>
  <sheetViews>
    <sheetView showGridLines="0" zoomScaleNormal="100" workbookViewId="0">
      <selection activeCell="I32" sqref="I32"/>
    </sheetView>
  </sheetViews>
  <sheetFormatPr defaultRowHeight="15" x14ac:dyDescent="0.25"/>
  <cols>
    <col min="1" max="1" width="8.875" customWidth="1"/>
    <col min="7" max="7" width="8.875" customWidth="1"/>
  </cols>
  <sheetData>
    <row r="2" spans="2:6" x14ac:dyDescent="0.25">
      <c r="B2" s="364"/>
      <c r="C2" s="364"/>
      <c r="D2" s="364"/>
      <c r="E2" s="364"/>
      <c r="F2" s="364"/>
    </row>
    <row r="3" spans="2:6" x14ac:dyDescent="0.25">
      <c r="B3" s="211"/>
      <c r="C3" s="211"/>
      <c r="D3" s="211"/>
      <c r="E3" s="211"/>
      <c r="F3" s="211"/>
    </row>
    <row r="4" spans="2:6" x14ac:dyDescent="0.25">
      <c r="B4" s="211"/>
      <c r="C4" s="211"/>
      <c r="D4" s="211"/>
      <c r="E4" s="211"/>
      <c r="F4" s="211"/>
    </row>
    <row r="5" spans="2:6" x14ac:dyDescent="0.25">
      <c r="B5" s="361" t="s">
        <v>444</v>
      </c>
      <c r="C5" s="362"/>
      <c r="D5" s="365"/>
      <c r="E5" s="365"/>
      <c r="F5" s="211"/>
    </row>
    <row r="6" spans="2:6" x14ac:dyDescent="0.25">
      <c r="B6" s="364"/>
      <c r="C6" s="364"/>
      <c r="D6" s="364"/>
      <c r="E6" s="364"/>
      <c r="F6" s="211"/>
    </row>
    <row r="7" spans="2:6" x14ac:dyDescent="0.25">
      <c r="B7" s="361" t="s">
        <v>402</v>
      </c>
      <c r="C7" s="362"/>
      <c r="D7" s="363"/>
      <c r="E7" s="363"/>
      <c r="F7" s="211"/>
    </row>
    <row r="8" spans="2:6" x14ac:dyDescent="0.25">
      <c r="B8" s="211"/>
      <c r="C8" s="211"/>
      <c r="D8" s="211"/>
      <c r="E8" s="211"/>
      <c r="F8" s="211"/>
    </row>
    <row r="9" spans="2:6" x14ac:dyDescent="0.25">
      <c r="B9" s="211"/>
      <c r="C9" s="211"/>
      <c r="D9" s="211"/>
      <c r="E9" s="211"/>
      <c r="F9" s="211"/>
    </row>
    <row r="10" spans="2:6" x14ac:dyDescent="0.25">
      <c r="B10" s="210"/>
      <c r="C10" s="210"/>
      <c r="D10" s="210"/>
      <c r="E10" s="210"/>
      <c r="F10" s="210"/>
    </row>
    <row r="11" spans="2:6" x14ac:dyDescent="0.25">
      <c r="B11" s="210"/>
      <c r="C11" s="210"/>
      <c r="D11" s="210"/>
      <c r="E11" s="210"/>
      <c r="F11" s="210"/>
    </row>
    <row r="12" spans="2:6" x14ac:dyDescent="0.25">
      <c r="B12" s="210"/>
      <c r="C12" s="210"/>
      <c r="D12" s="210"/>
      <c r="E12" s="210"/>
      <c r="F12" s="210"/>
    </row>
    <row r="13" spans="2:6" x14ac:dyDescent="0.25">
      <c r="B13" s="210"/>
      <c r="C13" s="210"/>
      <c r="D13" s="210"/>
      <c r="E13" s="210"/>
      <c r="F13" s="210"/>
    </row>
  </sheetData>
  <mergeCells count="7">
    <mergeCell ref="B7:C7"/>
    <mergeCell ref="D7:E7"/>
    <mergeCell ref="B2:F2"/>
    <mergeCell ref="B5:C5"/>
    <mergeCell ref="B6:C6"/>
    <mergeCell ref="D5:E5"/>
    <mergeCell ref="D6:E6"/>
  </mergeCells>
  <pageMargins left="0.7" right="0.7" top="0.75" bottom="0.75" header="0.3" footer="0.3"/>
  <pageSetup orientation="portrait" r:id="rId1"/>
  <drawing r:id="rId2"/>
  <legacyDrawing r:id="rId3"/>
  <controls>
    <mc:AlternateContent xmlns:mc="http://schemas.openxmlformats.org/markup-compatibility/2006">
      <mc:Choice Requires="x14">
        <control shapeId="6151" r:id="rId4" name="pwd_3">
          <controlPr defaultSize="0" autoLine="0" r:id="rId5">
            <anchor moveWithCells="1">
              <from>
                <xdr:col>3</xdr:col>
                <xdr:colOff>85725</xdr:colOff>
                <xdr:row>5</xdr:row>
                <xdr:rowOff>142875</xdr:rowOff>
              </from>
              <to>
                <xdr:col>4</xdr:col>
                <xdr:colOff>419100</xdr:colOff>
                <xdr:row>6</xdr:row>
                <xdr:rowOff>161925</xdr:rowOff>
              </to>
            </anchor>
          </controlPr>
        </control>
      </mc:Choice>
      <mc:Fallback>
        <control shapeId="6151" r:id="rId4" name="pwd_3"/>
      </mc:Fallback>
    </mc:AlternateContent>
    <mc:AlternateContent xmlns:mc="http://schemas.openxmlformats.org/markup-compatibility/2006">
      <mc:Choice Requires="x14">
        <control shapeId="6150" r:id="rId6" name="UserID2">
          <controlPr defaultSize="0" autoLine="0" r:id="rId7">
            <anchor moveWithCells="1">
              <from>
                <xdr:col>3</xdr:col>
                <xdr:colOff>76200</xdr:colOff>
                <xdr:row>3</xdr:row>
                <xdr:rowOff>171450</xdr:rowOff>
              </from>
              <to>
                <xdr:col>4</xdr:col>
                <xdr:colOff>400050</xdr:colOff>
                <xdr:row>5</xdr:row>
                <xdr:rowOff>0</xdr:rowOff>
              </to>
            </anchor>
          </controlPr>
        </control>
      </mc:Choice>
      <mc:Fallback>
        <control shapeId="6150" r:id="rId6" name="UserID2"/>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1C22011AE94304C93A0CE7507DD2FF2" ma:contentTypeVersion="0" ma:contentTypeDescription="Create a new document." ma:contentTypeScope="" ma:versionID="12353f9912a80d346bb55c058c1c9f44">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EECD94C-6209-42CE-B5B5-361E387C5F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749A8B8A-D836-4EFE-8081-E8731F0C94D6}">
  <ds:schemaRefs>
    <ds:schemaRef ds:uri="http://schemas.microsoft.com/sharepoint/v3/contenttype/forms"/>
  </ds:schemaRefs>
</ds:datastoreItem>
</file>

<file path=customXml/itemProps3.xml><?xml version="1.0" encoding="utf-8"?>
<ds:datastoreItem xmlns:ds="http://schemas.openxmlformats.org/officeDocument/2006/customXml" ds:itemID="{783E4172-6EC2-4C2D-A89A-6B2C4EE36847}">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18</vt:i4>
      </vt:variant>
    </vt:vector>
  </HeadingPairs>
  <TitlesOfParts>
    <vt:vector size="26" baseType="lpstr">
      <vt:lpstr>ReportServerPwd</vt:lpstr>
      <vt:lpstr>Input</vt:lpstr>
      <vt:lpstr>Compliance-ByProp</vt:lpstr>
      <vt:lpstr>Compliance-ByProj</vt:lpstr>
      <vt:lpstr>Dashboard</vt:lpstr>
      <vt:lpstr>Data Dictionary</vt:lpstr>
      <vt:lpstr>Help</vt:lpstr>
      <vt:lpstr>Settings</vt:lpstr>
      <vt:lpstr>D</vt:lpstr>
      <vt:lpstr>deadline</vt:lpstr>
      <vt:lpstr>from_date</vt:lpstr>
      <vt:lpstr>org_code</vt:lpstr>
      <vt:lpstr>PEC</vt:lpstr>
      <vt:lpstr>pgm_annc</vt:lpstr>
      <vt:lpstr>pwd_2</vt:lpstr>
      <vt:lpstr>pwd_3</vt:lpstr>
      <vt:lpstr>rps_end_date</vt:lpstr>
      <vt:lpstr>rps_from_date</vt:lpstr>
      <vt:lpstr>rps_start_date</vt:lpstr>
      <vt:lpstr>rps_to_date</vt:lpstr>
      <vt:lpstr>rpt_pwd</vt:lpstr>
      <vt:lpstr>rptp2</vt:lpstr>
      <vt:lpstr>to_date</vt:lpstr>
      <vt:lpstr>user_id</vt:lpstr>
      <vt:lpstr>UserID2</vt:lpstr>
      <vt:lpstr>UserID3</vt:lpstr>
    </vt:vector>
  </TitlesOfParts>
  <Company>National Science Foundation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Yuan, Grace</dc:creator>
  <cp:lastModifiedBy>Loera, Maria</cp:lastModifiedBy>
  <dcterms:created xsi:type="dcterms:W3CDTF">2016-03-22T02:14:15Z</dcterms:created>
  <dcterms:modified xsi:type="dcterms:W3CDTF">2017-10-25T17:38:01Z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0x01010041C22011AE94304C93A0CE7507DD2FF2</vt:lpwstr>
  </property>
  <property fmtid="{D5CDD505-2E9C-101B-9397-08002B2CF9AE}" pid="3" name="Microsoft.ReportingServices.InteractiveReport.Excel.SheetName">
    <vt:i4>2</vt:i4>
  </property>
  <property fmtid="{D5CDD505-2E9C-101B-9397-08002B2CF9AE}" pid="4" name="SV_QUERY_LIST_4F35BF76-6C0D-4D9B-82B2-816C12CF3733">
    <vt:lpwstr>empty_477D106A-C0D6-4607-AEBD-E2C9D60EA279</vt:lpwstr>
  </property>
</Properties>
</file>