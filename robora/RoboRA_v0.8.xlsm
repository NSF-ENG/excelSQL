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tables/table7.xml" ContentType="application/vnd.openxmlformats-officedocument.spreadsheetml.table+xml"/>
  <Override PartName="/xl/queryTables/queryTable2.xml" ContentType="application/vnd.openxmlformats-officedocument.spreadsheetml.queryTable+xml"/>
  <Override PartName="/xl/comments3.xml" ContentType="application/vnd.openxmlformats-officedocument.spreadsheetml.comments+xml"/>
  <Override PartName="/xl/drawings/drawing4.xml" ContentType="application/vnd.openxmlformats-officedocument.drawing+xml"/>
  <Override PartName="/xl/tables/table8.xml" ContentType="application/vnd.openxmlformats-officedocument.spreadsheetml.table+xml"/>
  <Override PartName="/xl/queryTables/queryTable3.xml" ContentType="application/vnd.openxmlformats-officedocument.spreadsheetml.queryTable+xml"/>
  <Override PartName="/xl/comments4.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tables/table9.xml" ContentType="application/vnd.openxmlformats-officedocument.spreadsheetml.table+xml"/>
  <Override PartName="/xl/queryTables/queryTable4.xml" ContentType="application/vnd.openxmlformats-officedocument.spreadsheetml.queryTable+xml"/>
  <Override PartName="/xl/comments5.xml" ContentType="application/vnd.openxmlformats-officedocument.spreadsheetml.comments+xml"/>
  <Override PartName="/xl/drawings/drawing6.xml" ContentType="application/vnd.openxmlformats-officedocument.drawing+xml"/>
  <Override PartName="/xl/ctrlProps/ctrlProp8.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tables/table10.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tables/table11.xml" ContentType="application/vnd.openxmlformats-officedocument.spreadsheetml.table+xml"/>
  <Override PartName="/xl/queryTables/queryTable6.xml" ContentType="application/vnd.openxmlformats-officedocument.spreadsheetml.queryTable+xml"/>
  <Override PartName="/xl/tables/table12.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drawings/drawing9.xml" ContentType="application/vnd.openxmlformats-officedocument.drawing+xml"/>
  <Override PartName="/xl/tables/table13.xml" ContentType="application/vnd.openxmlformats-officedocument.spreadsheetml.table+xml"/>
  <Override PartName="/xl/queryTables/queryTable8.xml" ContentType="application/vnd.openxmlformats-officedocument.spreadsheetml.queryTable+xml"/>
  <Override PartName="/xl/comments7.xml" ContentType="application/vnd.openxmlformats-officedocument.spreadsheetml.comments+xml"/>
  <Override PartName="/xl/drawings/drawing10.xml" ContentType="application/vnd.openxmlformats-officedocument.drawing+xml"/>
  <Override PartName="/xl/ctrlProps/ctrlProp9.xml" ContentType="application/vnd.ms-excel.controlproperties+xml"/>
  <Override PartName="/xl/tables/table14.xml" ContentType="application/vnd.openxmlformats-officedocument.spreadsheetml.table+xml"/>
  <Override PartName="/xl/queryTables/queryTable9.xml" ContentType="application/vnd.openxmlformats-officedocument.spreadsheetml.queryTable+xml"/>
  <Override PartName="/xl/drawings/drawing11.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queryTables/queryTable10.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40" windowHeight="5190" firstSheet="6" activeTab="10"/>
  </bookViews>
  <sheets>
    <sheet name="RoboRA" sheetId="7" r:id="rId1"/>
    <sheet name="ckCoding" sheetId="3" r:id="rId2"/>
    <sheet name="ckAwd" sheetId="10" r:id="rId3"/>
    <sheet name="Budgets" sheetId="13" r:id="rId4"/>
    <sheet name="RAData" sheetId="2" r:id="rId5"/>
    <sheet name="Advanced" sheetId="1" r:id="rId6"/>
    <sheet name="Conflict" sheetId="15" r:id="rId7"/>
    <sheet name="PRCs" sheetId="11" r:id="rId8"/>
    <sheet name="ckSplits" sheetId="12" r:id="rId9"/>
    <sheet name="ProjText" sheetId="6" r:id="rId10"/>
    <sheet name="Prefs" sheetId="16" r:id="rId11"/>
    <sheet name="HiddenSettings" sheetId="9" state="hidden" r:id="rId12"/>
  </sheets>
  <functionGroups builtInGroupCount="18"/>
  <definedNames>
    <definedName name="AwdTemplate">RoboRA!$B$14</definedName>
    <definedName name="codes_prop_stts">HiddenSettings!$E$7:$E$11</definedName>
    <definedName name="DeclTemplate">RoboRA!$E$14</definedName>
    <definedName name="delaytime">Prefs!$B$48</definedName>
    <definedName name="dir_div_abbr">Advanced!$E$17</definedName>
    <definedName name="dirRAoutput">Prefs!$C$39</definedName>
    <definedName name="dirRAtemplate">Prefs!$C$21</definedName>
    <definedName name="fiscalyear" localSheetId="3">Budgets!$L$2</definedName>
    <definedName name="from_date">Advanced!$E$12</definedName>
    <definedName name="Mac_connect_string" localSheetId="11">HiddenSettings!$B$5</definedName>
    <definedName name="menu_prop_stts">HiddenSettings!$D$7:$D$11</definedName>
    <definedName name="natr_rqst_abbr">Advanced!$E$19</definedName>
    <definedName name="obj_clas_code">Advanced!$E$20</definedName>
    <definedName name="org_code">Advanced!$E$16</definedName>
    <definedName name="overwrite_option">RoboRA!$J$2</definedName>
    <definedName name="panl_id">Advanced!$E$13</definedName>
    <definedName name="PC_connect_string" localSheetId="11">HiddenSettings!$B$4</definedName>
    <definedName name="pgm_annc_id">Advanced!$E$15</definedName>
    <definedName name="pgm_ele_code">Advanced!$E$18</definedName>
    <definedName name="pm_ibm_logn_id">Advanced!$E$14</definedName>
    <definedName name="prop_atr_code">Advanced!$E$22</definedName>
    <definedName name="prop_stts_code" localSheetId="5">Advanced!$E$23</definedName>
    <definedName name="prop_titl_txt">Advanced!$E$21</definedName>
    <definedName name="Query_from_RPTSERVER" localSheetId="3" hidden="1">Budgets!$A$3:$AC$4</definedName>
    <definedName name="Query_from_RPTSERVER" localSheetId="2" hidden="1">ckAwd!$A$1:$AX$2</definedName>
    <definedName name="Query_from_RPTSERVER" localSheetId="1" hidden="1">ckCoding!$A$1:$BL$2</definedName>
    <definedName name="Query_from_RPTSERVER" localSheetId="8" hidden="1">ckSplits!$A$1:$AH$2</definedName>
    <definedName name="Query_from_RPTSERVER" localSheetId="6" hidden="1">Conflict!$A$2:$C$3</definedName>
    <definedName name="Query_from_RPTSERVER" localSheetId="7" hidden="1">PRCs!$A$2:$B$3</definedName>
    <definedName name="Query_from_RPTSERVER" localSheetId="10" hidden="1">Prefs!$F$10:$G$11</definedName>
    <definedName name="Query_from_RPTSERVER" localSheetId="9" hidden="1">ProjText!$B$1:$P$2</definedName>
    <definedName name="Query_from_RPTSERVER" localSheetId="4" hidden="1">RAData!$A$1:$EF$2</definedName>
    <definedName name="Query_from_RPTSERVER_1" localSheetId="7" hidden="1">PRCs!$D$2:$E$3</definedName>
    <definedName name="query_params" localSheetId="5">Advanced!$E$12:$F$22</definedName>
    <definedName name="query_params" localSheetId="11">HiddenSettings!$A$8:$B$18</definedName>
    <definedName name="RA_allRAdata" localSheetId="11">HiddenSettings!$C$29</definedName>
    <definedName name="RA_allRAdata2" localSheetId="11">HiddenSettings!$C$41</definedName>
    <definedName name="RA_awdCheck" localSheetId="11">HiddenSettings!$C$31</definedName>
    <definedName name="RA_budgBlocks" localSheetId="11">HiddenSettings!$C$34</definedName>
    <definedName name="RA_ckConfRevrInst" localSheetId="11">HiddenSettings!$C$39</definedName>
    <definedName name="RA_confl" localSheetId="11">HiddenSettings!$C$40</definedName>
    <definedName name="RA_leads" localSheetId="11">HiddenSettings!$C$24</definedName>
    <definedName name="RA_panl" localSheetId="11">HiddenSettings!$C$28</definedName>
    <definedName name="RA_PECglossary" localSheetId="11">HiddenSettings!$C$38</definedName>
    <definedName name="RA_pidCreate" localSheetId="11">HiddenSettings!$C$36</definedName>
    <definedName name="RA_pidSelect" localSheetId="11">HiddenSettings!$C$37</definedName>
    <definedName name="RA_PRCglossary" localSheetId="11">HiddenSettings!$C$30</definedName>
    <definedName name="RA_projText" localSheetId="11">HiddenSettings!$C$33</definedName>
    <definedName name="RA_prop" localSheetId="11">HiddenSettings!$C$26</definedName>
    <definedName name="RA_propCheck" localSheetId="11">HiddenSettings!$C$32</definedName>
    <definedName name="RA_propPRCs" localSheetId="11">HiddenSettings!$C$25</definedName>
    <definedName name="RA_revs" localSheetId="11">HiddenSettings!$C$27</definedName>
    <definedName name="RA_splits" localSheetId="11">HiddenSettings!$C$35</definedName>
    <definedName name="revtable" localSheetId="11">HiddenSettings!$C$23</definedName>
    <definedName name="RoboRAFolder">HiddenSettings!$B$6</definedName>
    <definedName name="rpt_pwd" comment="reportserver password" localSheetId="11">HiddenSettings!$B$3</definedName>
    <definedName name="select_prop_stts">HiddenSettings!$E$6</definedName>
    <definedName name="signer1">Prefs!$C$42</definedName>
    <definedName name="signer2">Prefs!$C$43</definedName>
    <definedName name="StdDeclTemplate">RoboRA!$H$14</definedName>
    <definedName name="StdNDPDeclTemplate" localSheetId="0">RoboRA!$K$14</definedName>
    <definedName name="to_date">Advanced!$F$12</definedName>
    <definedName name="user_id" comment="reportserver user_id" localSheetId="11">HiddenSettings!$B$2</definedName>
  </definedNames>
  <calcPr calcId="171027" concurrentCalc="0"/>
  <pivotCaches>
    <pivotCache cacheId="0" r:id="rId13"/>
    <pivotCache cacheId="1" r:id="rId1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6" i="16" l="1"/>
  <c r="G64" i="16"/>
  <c r="R2" i="2"/>
  <c r="U2" i="2"/>
  <c r="V2" i="2"/>
  <c r="W2" i="2"/>
  <c r="X2" i="2"/>
  <c r="Y2" i="2"/>
  <c r="AE2" i="2"/>
  <c r="P3" i="6"/>
  <c r="L2" i="13"/>
  <c r="E23" i="1"/>
</calcChain>
</file>

<file path=xl/comments1.xml><?xml version="1.0" encoding="utf-8"?>
<comments xmlns="http://schemas.openxmlformats.org/spreadsheetml/2006/main">
  <authors>
    <author>Jack Snoeyink</author>
  </authors>
  <commentList>
    <comment ref="H15" authorId="0" shapeId="0">
      <text>
        <r>
          <rPr>
            <sz val="9"/>
            <color indexed="81"/>
            <rFont val="Tahoma"/>
            <family val="2"/>
          </rPr>
          <t xml:space="preserve">Std templates are automatically put into eJacket. </t>
        </r>
      </text>
    </comment>
    <comment ref="K15" authorId="0" shapeId="0">
      <text>
        <r>
          <rPr>
            <sz val="9"/>
            <color indexed="81"/>
            <rFont val="Tahoma"/>
            <family val="2"/>
          </rPr>
          <t>Optional, just in case you have more than one type of Std Decline, e.g., for Not Discussed proposals that did not pass triage.</t>
        </r>
      </text>
    </comment>
  </commentList>
</comments>
</file>

<file path=xl/comments2.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3.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4.xml><?xml version="1.0" encoding="utf-8"?>
<comments xmlns="http://schemas.openxmlformats.org/spreadsheetml/2006/main">
  <authors>
    <author>Snoeyink, Jack S.</author>
  </authors>
  <commentList>
    <comment ref="K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5.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6.xml><?xml version="1.0" encoding="utf-8"?>
<comments xmlns="http://schemas.openxmlformats.org/spreadsheetml/2006/main">
  <authors>
    <author>Jack Snoeyink</author>
  </authors>
  <commentList>
    <comment ref="C11" authorId="0" shapeId="0">
      <text>
        <r>
          <rPr>
            <b/>
            <sz val="10"/>
            <color indexed="9"/>
            <rFont val="Corbel"/>
            <family val="2"/>
          </rPr>
          <t>The chosen proposals are the AND of all entered restrictions.</t>
        </r>
      </text>
    </comment>
    <comment ref="E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14" authorId="0" shapeId="0">
      <text>
        <r>
          <rPr>
            <b/>
            <sz val="10"/>
            <color indexed="9"/>
            <rFont val="Corbel"/>
            <family val="2"/>
          </rPr>
          <t>Another common query: all the RAs a PD must write
7-letter ibm login id, not the 8-letter lan id.</t>
        </r>
      </text>
    </comment>
    <comment ref="C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6" authorId="0" shapeId="0">
      <text>
        <r>
          <rPr>
            <b/>
            <sz val="10"/>
            <color indexed="9"/>
            <rFont val="Corbel"/>
            <family val="2"/>
          </rPr>
          <t>8-digit org code, but you can use wildcards to restrict to directorate (05% for CISE) or divisions (050[125]0000 is CCF, IIS, &amp; CNS)</t>
        </r>
      </text>
    </comment>
    <comment ref="C17" authorId="0" shapeId="0">
      <text>
        <r>
          <rPr>
            <b/>
            <sz val="10"/>
            <color indexed="9"/>
            <rFont val="Corbel"/>
            <family val="2"/>
          </rPr>
          <t>Can restrict proposals by division abbreviation instead of numeric org code.</t>
        </r>
      </text>
    </comment>
    <comment ref="C18" authorId="0" shapeId="0">
      <text>
        <r>
          <rPr>
            <b/>
            <sz val="10"/>
            <color indexed="9"/>
            <rFont val="Corbel"/>
            <family val="2"/>
          </rPr>
          <t>4-digit program element code.</t>
        </r>
      </text>
    </comment>
    <comment ref="C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20" authorId="0" shapeId="0">
      <text>
        <r>
          <rPr>
            <b/>
            <sz val="10"/>
            <color indexed="9"/>
            <rFont val="Corbel"/>
            <family val="2"/>
          </rPr>
          <t>4-digit object class.  Common possibilities
 4101 - Personnel Mobility
 4110 - Research Grants
 4118 - SBIR Grant
 4144 - Equipment Grant
 4160 - Conference</t>
        </r>
      </text>
    </comment>
    <comment ref="C21" authorId="0" shapeId="0">
      <text>
        <r>
          <rPr>
            <b/>
            <sz val="10"/>
            <color indexed="9"/>
            <rFont val="Corbel"/>
            <family val="2"/>
          </rPr>
          <t>%Medium%  or %GOALI% can be used to restrict proposals to those that follow title conventions; ~%GOALI% to exclude.</t>
        </r>
      </text>
    </comment>
    <comment ref="C22" authorId="0" shapeId="0">
      <text>
        <r>
          <rPr>
            <b/>
            <sz val="10"/>
            <color indexed="9"/>
            <rFont val="Corbel"/>
            <family val="2"/>
          </rPr>
          <t>4-digit PRCs. The PRC table doesn't have an index, so this query slow; use a narrow date range</t>
        </r>
      </text>
    </comment>
    <comment ref="C23" authorId="0" shapeId="0">
      <text>
        <r>
          <rPr>
            <sz val="9"/>
            <color indexed="81"/>
            <rFont val="Tahoma"/>
            <family val="2"/>
          </rPr>
          <t>Please select status codes range from menu.</t>
        </r>
      </text>
    </comment>
  </commentList>
</comments>
</file>

<file path=xl/comments7.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 _x000d__x000a_CREATE TABLE #myPid (prop_id char(7), lead_prop_id char(7) null, pi_id char(9), inst_id char(10), PO char(7), RAtemplate varchar(63))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 _x000d__x000a_CREATE TABLE #myPid (prop_id char(7), lead_prop_id char(7) null, pi_id char(9), inst_id char(10), PO char(7), RAtemplate varchar(63))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 _x000d__x000a_CREATE TABLE #myPid (prop_id char(7), lead_prop_id char(7) null, pi_id char(9), inst_id char(10), PO char(7), RAtemplate varchar(63))_x000d__x000a_INSERT INTO #myPid SELECT DISTINCT prop.prop_id, prop.lead_prop_id, prop.pi_id, prop.inst_id, prop.pm_ibm_logn_id as PO, _x000d__x000a_'Decline RAt.docx' as RAtemplate FROM csd.prop prop WHERE prop_stts_code like '%' AND prop_id IN  ('','1713686','1714598','1714682','1714751','1714847','1714900','1715852','1716048','1717331','1718006')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PConfl, #myPanl, #myProjPanl, #myProjPanlSumm"/>
  </connection>
  <connection id="4" name="PECGlossaryQuery" type="1" refreshedVersion="6" background="1" saveData="1">
    <dbPr connection="dsn=RPTSERVER;database=rptdb;server=RPTSQL.nsf.gov;port=5000;UID=ccfuser;" command="SET NOCOUNT ON _x000d__x000a_CREATE TABLE #myPid (prop_id char(7), lead_prop_id char(7) null, pi_id char(9), inst_id char(10), PO char(7), RAtemplate varchar(63))_x000d__x000a_INSERT INTO #myPid SELECT DISTINCT prop.prop_id, prop.lead_prop_id, prop.pi_id, prop.inst_id, prop.pm_ibm_logn_id as PO, _x000d__x000a_'Decline RAt.docx' as RAtemplate FROM csd.prop prop WHERE prop_stts_code like '%' AND prop_id IN  ('','1713686','1714598','1714682','1714751','1714847','1714900','1715852','1716048','1717331','1718006')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 _x000d__x000a_SELECT p.pgm_ele_code AS PEC, pec.pgm_ele_name AS PEC_Description_x000d__x000a_FROM (SELECT DISTINCT pgm_ele_code FROM #myProp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rop, #myLead, #myRA"/>
  </connection>
  <connection id="5" name="PRCGlossaryQuery" type="1" refreshedVersion="6" background="1" saveData="1">
    <dbPr connection="dsn=RPTSERVER;database=rptdb;server=RPTSQL.nsf.gov;port=5000;UID=ccfuser;" command="SET NOCOUNT ON _x000d__x000a_CREATE TABLE #myPid (prop_id char(7), lead_prop_id char(7) null, pi_id char(9), inst_id char(10), PO char(7), RAtemplate varchar(63))_x000d__x000a_INSERT INTO #myPid SELECT DISTINCT prop.prop_id, prop.lead_prop_id, prop.pi_id, prop.inst_id, prop.pm_ibm_logn_id as PO, _x000d__x000a_'Decline RAt.docx' as RAtemplate FROM csd.prop prop WHERE prop_stts_code like '%' AND prop_id IN  ('','1713686','1714598','1714682','1714751','1714847','1714900','1715852','1716048','1717331','1718006')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CGlossaryQuery1" type="1" refreshedVersion="6" background="1" saveData="1">
    <dbPr connection="dsn=RPTSERVER;database=rptdb;server=RPTSQL.nsf.gov;port=5000;UID=ccfuser;" command="SET NOCOUNT ON _x000d__x000a_CREATE TABLE #myPid (prop_id char(7), lead_prop_id char(7) null, pi_id char(9), inst_id char(10), PO char(7), RAtemplate varchar(63))_x000d__x000a_INSERT INTO #myPid SELECT DISTINCT prop.prop_id, prop.lead_prop_id, prop.pi_id, prop.inst_id, prop.pm_ibm_logn_id as PO, _x000d__x000a_'Decline RAt.docx' as RAtemplate FROM csd.prop prop WHERE prop_stts_code like '%' AND prop_id IN  ('','1713686','1714598','1714682','1714751','1714847','1714900','1715852','1716048','1717331','1718006')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Lead)_x000d__x000a_SELECT r.revr_id, i.inst_shrt_name, rtrim(revr.revr_last_name) + ', ' + rtrim(revr.revr_frst_name) AS Panelist_x000d__x000a_FROM (SELECT DISTINCT rp.revr_id FROM #myLead p_x000d__x000a_     JOIN csd.rev_prop rp ON rp.prop_id = p.lead AND rp.rev_stts_code = 'C') as r_x000d__x000a_JOIN csd.revr revr ON revr.revr_id = r.revr_id_x000d__x000a_LEFT JOIN csd.inst i ON i.inst_id = revr.inst_id_x000d__x000a_ORDER BY i.inst_shrt_name, Panelist_x000d__x000a_DROP TABLE #myProp, #myLead, #myRA"/>
  </connection>
  <connection id="7" name="ProjTextQuery" type="1" refreshedVersion="6" saveData="1">
    <dbPr connection="dsn=RPTSERVER;database=rptdb;server=RPTSQL.nsf.gov;port=5000;UID=ccfuser;" command="SET NOCOUNT ON _x000d__x000a_CREATE TABLE #myPid (prop_id char(7), lead_prop_id char(7) null, pi_id char(9), inst_id char(10), PO char(7), RAtemplate varchar(63))_x000d__x000a_INSERT INTO #myPid SELECT DISTINCT prop.prop_id, prop.lead_prop_id, prop.pi_id, prop.inst_id, prop.pm_ibm_logn_id as PO, _x000d__x000a_'Decline RAt.docx' as RAtemplate FROM csd.prop prop WHERE prop_stts_code like '%' AND prop_id IN  ('','1713686','1714598','1714682','1714751','1714847','1714900','1715852','1716048','1717331','1718006')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8" name="RAMailMerge" type="1" refreshedVersion="6" background="1" saveData="1">
    <dbPr connection="dsn=RPTSERVER;database=rptdb;server=RPTSQL.nsf.gov;port=5000;UID=ccfuser;" command="SET NOCOUNT ON _x000d__x000a_CREATE TABLE #myPid (prop_id char(7), lead_prop_id char(7) null, pi_id char(9), inst_id char(10), PO char(7), RAtemplate varchar(63))_x000d__x000a_INSERT INTO #myPid SELECT DISTINCT prop.prop_id, prop.lead_prop_id, prop.pi_id, prop.inst_id, prop.pm_ibm_logn_id as PO, _x000d__x000a_'Decline RAt.docx' as RAtemplate FROM csd.prop prop WHERE prop_stts_code like '%' AND prop_id IN  ('','1713686','1714598','1714682','1714751','1714847','1714900','1715852','1716048','1717331','1718006')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 pn0.CR as conflrev0,_x000d__x000a_ pn1.I AS panl_id1, pn1.RT AS RCOM_TXT1, pn1.RK AS rank1, pn1.PN AS panl_name1,pn1.E AS panl_end1,pn1.V AS revs1,pn1.S AS PanlString1,pn1.P as pnlst1, pn1.C as confl1, pn1.CR as conflrev1,_x000d__x000a_ pn2.I AS panl_id2, pn2.RT AS RCOM_TXT2, pn2.RK AS rank2, pn2.PN AS panl_name2,pn2.E AS panl_end2,pn2.V AS revs2,pn2.S AS PanlString2,pn2.P as pnlst2, pn2.C as confl2, pn2.CR as conflrev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PConfl, #myPanl, #myProjPanl, #myProjPanlSumm DROP TABLE #myDmog"/>
  </connection>
  <connection id="9" name="SplitsQuery" type="1" refreshedVersion="6" background="1" saveData="1">
    <dbPr connection="dsn=RPTSERVER;database=rptdb;server=RPTSQL.nsf.gov;port=5000;UID=ccfuser;" command="SET NOCOUNT ON _x000d__x000a_CREATE TABLE #myPid (prop_id char(7), lead_prop_id char(7) null, pi_id char(9), inst_id char(10), PO char(7), RAtemplate varchar(63))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 id="10" name="TablePermissionQuery" type="1" refreshedVersion="6" background="1" saveData="1">
    <dbPr connection="dsn=RPTSERVER;database=rptdb;server=RPTSQL.nsf.gov;port=5000;UID=ccfuser;" command="select dbu.name AS db_name, so.name AS tbl_name FROM FLflpdb.dbo.sysobjects so_x000d__x000a_JOIN FLflpdb.dbo.sysusers dbu ON so.uid = dbu.uid_x000d__x000a_WHERE dbu.name = 'flp' AND so.name in ('addl_pi_invl_pars', 'obj_clas_pars',, 'budg', 'DMP_PLAN_DOC', 'FAC_EQUP',, 'inst', 'MENT_PLAN_DOC', 'pi', 'pi_copi_char', 'PI_COPI_PRIR_SUPT', 'PROJ_DESC', 'proj_summ', 'PROP_COVR', 'prop_pars', 'PROP_SPCL_ITEM', 'prop_stts_pars', 'prop_subm_ctl'')_x000d__x000a_and not exists (SELECT su.name FROM FLflpdb.dbo.sysprotects sp_x000d__x000a_ JOIN FLflpdb.dbo.sysusers su on sp.uid = su.uid_x000d__x000a_ WHERE sp.id = so.id and sp.action = 193 and su.name in ('public','ccfuser'))_x000d__x000a_UNION ALL SELECT dbu.name, so.name FROM sysobjects so _x000d__x000a_JOIN sysusers dbu ON so.uid = dbu.uid_x000d__x000a_WHERE dbu.name = 'csd' AND so.name in ('natr_rqst','eps_blip')_x000d__x000a_and not exists (SELECT su.name FROM sysprotects sp_x000d__x000a_ JOIN sysusers su on sp.uid = su.uid_x000d__x000a_ WHERE sp.id = so.id and sp.action = 193 and su.name in ('public','ccfuser'))_x000d__x000a_order by dbu.name, so.name"/>
  </connection>
</connections>
</file>

<file path=xl/sharedStrings.xml><?xml version="1.0" encoding="utf-8"?>
<sst xmlns="http://schemas.openxmlformats.org/spreadsheetml/2006/main" count="686" uniqueCount="499">
  <si>
    <t>prop_id</t>
  </si>
  <si>
    <t>eJ</t>
  </si>
  <si>
    <t>solicitation</t>
  </si>
  <si>
    <t>pgm_ele_code</t>
  </si>
  <si>
    <t>org_code</t>
  </si>
  <si>
    <t>Column1</t>
  </si>
  <si>
    <t>nsf_rcvd_date</t>
  </si>
  <si>
    <t>pgm_annc_id</t>
  </si>
  <si>
    <t>lead</t>
  </si>
  <si>
    <t>pi_last_name</t>
  </si>
  <si>
    <t>inst_name</t>
  </si>
  <si>
    <t>PRCs</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</si>
  <si>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</si>
  <si>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</si>
  <si>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</si>
  <si>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</si>
  <si>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</si>
  <si>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</si>
  <si>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</si>
  <si>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</si>
  <si>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</si>
  <si>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</si>
  <si>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</si>
  <si>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</si>
  <si>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</si>
  <si>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</si>
  <si>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</si>
  <si>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</si>
  <si>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</si>
  <si>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</si>
  <si>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</si>
  <si>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</si>
  <si>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</si>
  <si>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</si>
  <si>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</si>
  <si>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</si>
  <si>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</si>
  <si>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</si>
  <si>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</si>
  <si>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</si>
  <si>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</si>
  <si>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</si>
  <si>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</si>
  <si>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</si>
  <si>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</si>
  <si>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</si>
  <si>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</si>
  <si>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</si>
  <si>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</si>
  <si>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</si>
  <si>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</si>
  <si>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</si>
  <si>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</si>
  <si>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</si>
  <si>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</si>
  <si>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</si>
  <si>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</si>
  <si>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</si>
  <si>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</si>
  <si>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</si>
  <si>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</si>
  <si>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</si>
  <si>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</si>
  <si>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</si>
  <si>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</si>
  <si>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</si>
  <si>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</si>
  <si>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</si>
  <si>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</si>
  <si>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</si>
  <si>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</si>
  <si>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</si>
  <si>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</si>
  <si>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</si>
  <si>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</si>
  <si>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</si>
  <si>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</si>
  <si>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</si>
  <si>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</si>
  <si>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</si>
  <si>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</si>
  <si>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</si>
  <si>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</si>
  <si>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</si>
  <si>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</si>
  <si>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</si>
  <si>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</si>
  <si>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</si>
  <si>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</si>
  <si>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</si>
  <si>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</si>
  <si>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</si>
  <si>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</si>
  <si>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</si>
  <si>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</si>
  <si>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</si>
  <si>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</si>
  <si>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</si>
  <si>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</si>
  <si>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</si>
  <si>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</si>
  <si>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</si>
  <si>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</si>
  <si>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</si>
  <si>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</si>
  <si>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</si>
  <si>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</si>
  <si>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</si>
  <si>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</si>
  <si>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</si>
  <si>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</si>
  <si>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</si>
  <si>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</si>
  <si>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</si>
  <si>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</si>
  <si>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</si>
  <si>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</si>
  <si>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</si>
  <si>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</si>
  <si>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</si>
  <si>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</si>
  <si>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</si>
  <si>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</si>
  <si>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</si>
  <si>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</si>
  <si>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</si>
  <si>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</si>
  <si>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</si>
  <si>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</si>
  <si>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</si>
  <si>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</si>
  <si>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</si>
  <si>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</si>
  <si>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</si>
  <si>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</si>
  <si>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</si>
  <si>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</si>
  <si>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</si>
  <si>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</si>
  <si>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</si>
  <si>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</si>
  <si>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</si>
  <si>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</si>
  <si>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</si>
  <si>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</si>
  <si>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</si>
  <si>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</si>
  <si>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</si>
  <si>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</si>
  <si>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</si>
  <si>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</si>
  <si>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</si>
  <si>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</si>
  <si>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</si>
  <si>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</si>
  <si>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</si>
  <si>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</si>
  <si>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</si>
  <si>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</si>
  <si>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</si>
  <si>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</si>
  <si>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Awd RAt.docx</t>
  </si>
  <si>
    <t>Decline RAt.docx</t>
  </si>
  <si>
    <t>sign_blck_name</t>
  </si>
  <si>
    <t>RecRkMin</t>
  </si>
  <si>
    <t>docType</t>
  </si>
  <si>
    <t>pm_logn_id</t>
  </si>
  <si>
    <t>panl_revr_id</t>
  </si>
  <si>
    <t>name</t>
  </si>
  <si>
    <t>info</t>
  </si>
  <si>
    <t>type</t>
  </si>
  <si>
    <t>stts</t>
  </si>
  <si>
    <t>due</t>
  </si>
  <si>
    <t>returned</t>
  </si>
  <si>
    <t>nchars</t>
  </si>
  <si>
    <t>nwords</t>
  </si>
  <si>
    <t>score</t>
  </si>
  <si>
    <t>text</t>
  </si>
  <si>
    <t>Total</t>
  </si>
  <si>
    <t>@PI</t>
  </si>
  <si>
    <t>Decline: select template</t>
  </si>
  <si>
    <t>Awds: select template</t>
  </si>
  <si>
    <t>Autoload to eJacket Preferences</t>
  </si>
  <si>
    <t>Standard Declines: autoloaded to eJacket</t>
  </si>
  <si>
    <t>international?</t>
  </si>
  <si>
    <t>Revs &amp; Panl release</t>
  </si>
  <si>
    <t>Human &amp; Vertibrate</t>
  </si>
  <si>
    <t>demographics</t>
  </si>
  <si>
    <t>Set Autoload Preferences on RoboRA tab</t>
  </si>
  <si>
    <t>delay (increase if eJacket can't keep up.)</t>
  </si>
  <si>
    <t>email PI</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</si>
  <si>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</si>
  <si>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</si>
  <si>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</si>
  <si>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</si>
  <si>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</si>
  <si>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</si>
  <si>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</si>
  <si>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</si>
  <si>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</si>
  <si>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</si>
  <si>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</si>
  <si>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</si>
  <si>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</si>
  <si>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</si>
  <si>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</si>
  <si>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</si>
  <si>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</si>
  <si>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</si>
  <si>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</si>
  <si>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</si>
  <si>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</si>
  <si>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</si>
  <si>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</si>
  <si>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</si>
  <si>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</si>
  <si>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</si>
  <si>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</si>
  <si>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</si>
  <si>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</si>
  <si>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</si>
  <si>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</si>
  <si>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</si>
  <si>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</si>
  <si>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</si>
  <si>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</si>
  <si>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</si>
  <si>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</si>
  <si>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</si>
  <si>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</si>
  <si>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</si>
  <si>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</si>
  <si>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</si>
  <si>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</si>
  <si>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</si>
  <si>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</si>
  <si>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</si>
  <si>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</si>
  <si>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</si>
  <si>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</si>
  <si>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</si>
  <si>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</si>
  <si>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</si>
  <si>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</si>
  <si>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</si>
  <si>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</si>
  <si>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</si>
  <si>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</si>
  <si>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</si>
  <si>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</si>
  <si>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</si>
  <si>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</si>
  <si>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</si>
  <si>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</si>
  <si>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</si>
  <si>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</si>
  <si>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</si>
  <si>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</si>
  <si>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</si>
  <si>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</si>
  <si>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</si>
  <si>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</si>
  <si>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</si>
  <si>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rec0</t>
  </si>
  <si>
    <t>rec1</t>
  </si>
  <si>
    <t>rec2</t>
  </si>
  <si>
    <t>minScore</t>
  </si>
  <si>
    <t>maxScore</t>
  </si>
  <si>
    <t>PanlString0</t>
  </si>
  <si>
    <t>pnlst0</t>
  </si>
  <si>
    <t>confl0</t>
  </si>
  <si>
    <t>PanlString1</t>
  </si>
  <si>
    <t>pnlst1</t>
  </si>
  <si>
    <t>confl1</t>
  </si>
  <si>
    <t>PanlString2</t>
  </si>
  <si>
    <t>pnlst2</t>
  </si>
  <si>
    <t>confl2</t>
  </si>
  <si>
    <t>Div_name</t>
  </si>
  <si>
    <t>natr_rqst_txt</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</si>
  <si>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</si>
  <si>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</si>
  <si>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</si>
  <si>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</si>
  <si>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</si>
  <si>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</si>
  <si>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</si>
  <si>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</si>
  <si>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</si>
  <si>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</si>
  <si>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</si>
  <si>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</si>
  <si>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</si>
  <si>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</si>
  <si>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</si>
  <si>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</si>
  <si>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</si>
  <si>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</si>
  <si>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</si>
  <si>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</si>
  <si>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</si>
  <si>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</si>
  <si>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</si>
  <si>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</si>
  <si>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</si>
  <si>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</si>
  <si>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</si>
  <si>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</si>
  <si>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</si>
  <si>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</si>
  <si>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</si>
  <si>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</si>
  <si>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</si>
  <si>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</si>
  <si>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</si>
  <si>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</si>
  <si>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</si>
  <si>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</si>
  <si>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</si>
  <si>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</si>
  <si>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</si>
  <si>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</si>
  <si>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</si>
  <si>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</si>
  <si>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</si>
  <si>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</si>
  <si>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</si>
  <si>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</si>
  <si>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</si>
  <si>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</si>
  <si>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</si>
  <si>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</si>
  <si>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</si>
  <si>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</si>
  <si>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</si>
  <si>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</si>
  <si>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</si>
  <si>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</si>
  <si>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</si>
  <si>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</si>
  <si>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</si>
  <si>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</si>
  <si>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</si>
  <si>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</si>
  <si>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</si>
  <si>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</si>
  <si>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</si>
  <si>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</si>
  <si>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</si>
  <si>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</si>
  <si>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</si>
  <si>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</si>
  <si>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</si>
  <si>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</si>
  <si>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</si>
  <si>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RAData, or edit template</t>
  </si>
  <si>
    <t>Add note to DGA</t>
  </si>
  <si>
    <t>Countries &amp; foreign travel $</t>
  </si>
  <si>
    <t>Research %age</t>
  </si>
  <si>
    <t>blocks to copy for RA or budget calculations</t>
  </si>
  <si>
    <t>Table of EPSCoR states</t>
  </si>
  <si>
    <t>Available RA templates</t>
  </si>
  <si>
    <t>Project revs, panel summ, etc.</t>
  </si>
  <si>
    <t>pdf from ProjText</t>
  </si>
  <si>
    <t>ckSplits</t>
  </si>
  <si>
    <t>Budget splits by year/co-funding</t>
  </si>
  <si>
    <t>Count of lead</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</si>
  <si>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</si>
  <si>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Obj</t>
  </si>
  <si>
    <t>RAps_note</t>
  </si>
  <si>
    <t>divergentReviews</t>
  </si>
  <si>
    <t>Revised budget totals by year</t>
  </si>
  <si>
    <t>PEC Glossary; program element codes on proposals</t>
  </si>
  <si>
    <t>PEC_Description</t>
  </si>
  <si>
    <t>Glossaries of PRC/PECs used</t>
  </si>
  <si>
    <t>RA_PECglossary</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</si>
  <si>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</si>
  <si>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</si>
  <si>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</si>
  <si>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</si>
  <si>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</si>
  <si>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</si>
  <si>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</si>
  <si>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</si>
  <si>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All needing PM recommendation (0-2,8,9)</t>
  </si>
  <si>
    <t>PM recommended (03-0Z)</t>
  </si>
  <si>
    <t>All Pending = not DD concurred (0%)</t>
  </si>
  <si>
    <t>All proposals (%)</t>
  </si>
  <si>
    <t>Cognizant Program Director</t>
  </si>
  <si>
    <t xml:space="preserve">SELECT DISTINCT prop.prop_id, prop.lead_prop_id, prop.pi_id, prop.inst_id, prop.pm_ibm_logn_id as PO, _x000D_
</t>
  </si>
  <si>
    <t>2. List panels, solicitations, and/or PDs</t>
  </si>
  <si>
    <t>1. Have your reportserver password ready.</t>
  </si>
  <si>
    <t>MT</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</si>
  <si>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</si>
  <si>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 xml:space="preserve">       &amp; click Make Indicated RA Drafts</t>
  </si>
  <si>
    <r>
      <t xml:space="preserve">Signature block: </t>
    </r>
    <r>
      <rPr>
        <sz val="10"/>
        <color theme="5" tint="-0.499984740745262"/>
        <rFont val="Calibri"/>
        <family val="2"/>
        <scheme val="minor"/>
      </rPr>
      <t xml:space="preserve"> PD=managing pgm dir, blank=draft uploader, or Name T. Use.</t>
    </r>
  </si>
  <si>
    <t>Where to save filled-in RA drafts:</t>
  </si>
  <si>
    <t>Questionable '?' in abstract</t>
  </si>
  <si>
    <t>Reviews&amp;panel summ released</t>
  </si>
  <si>
    <t>Folder to save RA drafts</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</si>
  <si>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</si>
  <si>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Std Triage NDP RAt.docx</t>
  </si>
  <si>
    <t>RoboRAFolder (sharepoint or onedrive)</t>
  </si>
  <si>
    <t>https://collaboration.inside.nsf.gov/eng/meritreview/SiteAssets/ENG%20Tools%20Websites%20and%20Best%20Practices/RoboRA/</t>
  </si>
  <si>
    <t>Review package produced (02)</t>
  </si>
  <si>
    <t>Human/vertebrate</t>
  </si>
  <si>
    <t>Need more releasable reviews</t>
  </si>
  <si>
    <t>link</t>
  </si>
  <si>
    <t>(blank)</t>
  </si>
  <si>
    <t>if making RAs:</t>
  </si>
  <si>
    <t xml:space="preserve">Here is what to do:  </t>
  </si>
  <si>
    <t>and finally:</t>
  </si>
  <si>
    <t>restrict prop status:</t>
  </si>
  <si>
    <t>Check affiliations for these reviewers with listed conflicts</t>
  </si>
  <si>
    <t xml:space="preserve">--Needs: RA_lead(#myProp) _x000D_
SELECT p.pgm_ele_code AS PEC, pec.pgm_ele_name AS PEC_Description_x000D_
FROM (SELECT DISTINCT pgm_ele_code FROM #myProp pid _x000D_
JOIN csd.prop p ON p.prop_id = pid.prop_id) p_x000D_
JOIN csd.pgm_ele pec ON pec.pgm_ele_code = p.pgm_ele_code_x000D_
ORDER BY PEC_x000D_
</t>
  </si>
  <si>
    <t>RA_ckConfRevrInst</t>
  </si>
  <si>
    <t xml:space="preserve">--Needs: RA_lead(#myLead)_x000D_
SELECT r.revr_id, i.inst_shrt_name, rtrim(revr.revr_last_name) + ', ' + rtrim(revr.revr_frst_name) AS Panelist_x000D_
FROM (SELECT DISTINCT rp.revr_id FROM #myLead p_x000D_
     JOIN csd.rev_prop rp ON rp.prop_id = p.lead AND rp.rev_stts_code = 'C') as r_x000D_
JOIN csd.revr revr ON revr.revr_id = r.revr_id_x000D_
LEFT JOIN csd.inst i ON i.inst_id = revr.inst_id_x000D_
ORDER BY i.inst_shrt_name, Panelist_x000D_
</t>
  </si>
  <si>
    <t>RA_confl</t>
  </si>
  <si>
    <t xml:space="preserve">--Needs: #myRevs, #myRevPanl_x000D_
--DROP TABLE #myPPConfl_x000D_
select rp.lead, rp.panl_id, rtrim(r.revr_frst_name) + ' ' + rtrim(r.revr_last_name) +', ' + rtrim(i.inst_shrt_name) as confl,_x000D_
--c.revr_id, r.revr_last_name, r.revr_frst_name, i.inst_shrt_name, _x000D_
id=identity(18), 0 as seq_x000D_
INTO #myPConfl FROM #myRevPanl rp_x000D_
JOIN #myRevs c ON c.panl_id = rp.panl_id and c.lead = rp.lead and c.confl=1_x000D_
JOIN csd.revr r ON r.revr_id = c.revr_id_x000D_
LEFT JOIN csd.inst i ON i.inst_id = r.inst_id_x000D_
ORDER BY rp.lead, rp.panl_id, r.revr_last_name_x000D_
_x000D_
SELECT lead, panl_id, MIN(id) as start INTO #myCStarts FROM #myPConfl GROUP BY lead, panl_id_x000D_
UPDATE #myPConfl SET seq = id-M.start FROM #myPConfl r, #myCStarts M  WHERE r.lead = M.lead and r.panl_id = M.panl_id_x000D_
DROP TABLE #myCStarts_x000D_
_x000D_
SELECT lead, panl_id, count(confl) as C,  _x000D_
 MAX(CASE r.seq WHEN  0 THEN r.confl ELSE '' END)+_x000D_
 MAX(CASE r.seq WHEN  1 THEN '; '+r.confl ELSE '' END)+_x000D_
 MAX(CASE r.seq WHEN  2 THEN ','+r.confl ELSE '' END)+_x000D_
 MAX(CASE r.seq WHEN  3 THEN ','+r.confl ELSE '' END)+_x000D_
 MAX(CASE r.seq WHEN  4 THEN ','+r.confl ELSE '' END)+_x000D_
 MAX(CASE r.seq WHEN  5 THEN ','+r.confl ELSE '' END)+_x000D_
 MAX(CASE r.seq WHEN  6 THEN ','+r.confl ELSE '' END) AS CR_x000D_
INTO #myPPConfl  FROM #myPConfl r _x000D_
GROUP BY lead, panl_id_x000D_
CREATE INDEX myPPConfl_ix ON #myPPConfl(lead, panl_id)_x000D_
DROP TABLE #myPConfl_x000D_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</si>
  <si>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 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_x000D_
--per project panel summary _x000D_
SELECT rp.lead, ps.*, rp.N, rp.V, s.RCOM_SEQ_NUM AS RS, d.RCOM_ABBR as RA, d.RCOM_TXT as RT, s.PROP_ORDR as RK,_x000D_
c.C, C.CR,_x000D_
--nullif((SELECT count(*) FROM #myRevs c WHERE confl=1 AND c.panl_id = rp.panl_id AND c.lead = rp.lead ),0) as C2,_x000D_
CASE WHEN panl_summ_unrl_flag = 'Y' THEN 1 ELSE 0 END as summ_unrls, _x000D_
CASE WHEN panl_summ_unrl_flag = 'Y' OR panl_summ_rlse_flag = 'Y'  THEN 0 ELSE 1 END as summ_unmrkd, id=identity(18), 0 as seq_x000D_
INTO #myProjPanl FROM #myRevPanl rp_x000D_
JOIN #myPanl ps ON ps.I = rp.panl_id_x000D_
LEFT JOIN #myPPConfl c ON c.lead = rp.lead AND c.panl_id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</si>
  <si>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 pn0.CR as conflrev0,_x000D_
 pn1.I AS panl_id1, pn1.RT AS RCOM_TXT1, pn1.RK AS rank1, pn1.PN AS panl_name1,pn1.E AS panl_end1,pn1.V AS revs1,pn1.S AS PanlString1,pn1.P as pnlst1, pn1.C as confl1, pn1.CR as conflrev1,_x000D_
 pn2.I AS panl_id2, pn2.RT AS RCOM_TXT2, pn2.RK AS rank2, pn2.PN AS panl_name2,pn2.E AS panl_end2,pn2.V AS revs2,pn2.S AS PanlString2,pn2.P as pnlst2, pn2.C as confl2, pn2.CR as conflrev2,_x000D_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t>
  </si>
  <si>
    <t>RA_allRAdata2</t>
  </si>
  <si>
    <t xml:space="preserve">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</si>
  <si>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revr_id</t>
  </si>
  <si>
    <t>inst_shrt_name</t>
  </si>
  <si>
    <t>Panelist</t>
  </si>
  <si>
    <t>conflrev0</t>
  </si>
  <si>
    <t>conflrev1</t>
  </si>
  <si>
    <t>conflrev2</t>
  </si>
  <si>
    <t>on PC/Citrix WIn7:</t>
  </si>
  <si>
    <r>
      <t xml:space="preserve">Std are autoloaded to eJ. Use Word (PC or Mac) to complete drafts &amp; </t>
    </r>
    <r>
      <rPr>
        <i/>
        <sz val="11"/>
        <color theme="5" tint="-0.499984740745262"/>
        <rFont val="Calibri"/>
        <family val="2"/>
        <scheme val="minor"/>
      </rPr>
      <t>CleanCopy</t>
    </r>
    <r>
      <rPr>
        <sz val="11"/>
        <color theme="5" tint="-0.499984740745262"/>
        <rFont val="Calibri"/>
        <family val="2"/>
        <scheme val="minor"/>
      </rPr>
      <t xml:space="preserve"> to eJacket.  </t>
    </r>
  </si>
  <si>
    <t>Select folder to save RA drafts and project review docs:</t>
  </si>
  <si>
    <t>Check/set output folder pref. at right</t>
  </si>
  <si>
    <t>usu. R: or local:</t>
  </si>
  <si>
    <t>Preferences</t>
  </si>
  <si>
    <t>Check signature&amp;autoload prefs.</t>
  </si>
  <si>
    <t>paste values:</t>
  </si>
  <si>
    <t>use during panel!</t>
  </si>
  <si>
    <t>Conflict</t>
  </si>
  <si>
    <t>If Std Declines have Es</t>
  </si>
  <si>
    <t>Reviewers with some conflict</t>
  </si>
  <si>
    <t>above or Advanced</t>
  </si>
  <si>
    <r>
      <t xml:space="preserve">       in table below, and press </t>
    </r>
    <r>
      <rPr>
        <b/>
        <sz val="11"/>
        <color theme="5" tint="-0.499984740745262"/>
        <rFont val="Calibri"/>
        <family val="2"/>
        <scheme val="minor"/>
      </rPr>
      <t>GO</t>
    </r>
    <r>
      <rPr>
        <sz val="11"/>
        <color theme="5" tint="-0.499984740745262"/>
        <rFont val="Calibri"/>
        <family val="2"/>
        <scheme val="minor"/>
      </rPr>
      <t>.</t>
    </r>
  </si>
  <si>
    <r>
      <t xml:space="preserve">3. Click </t>
    </r>
    <r>
      <rPr>
        <b/>
        <sz val="11"/>
        <color theme="5" tint="-0.499984740745262"/>
        <rFont val="Calibri"/>
        <family val="2"/>
        <scheme val="minor"/>
      </rPr>
      <t>PDF</t>
    </r>
    <r>
      <rPr>
        <sz val="11"/>
        <color theme="5" tint="-0.499984740745262"/>
        <rFont val="Calibri"/>
        <family val="2"/>
        <scheme val="minor"/>
      </rPr>
      <t xml:space="preserve"> to gather review documents.</t>
    </r>
  </si>
  <si>
    <r>
      <rPr>
        <b/>
        <sz val="11"/>
        <rFont val="Calibri"/>
        <family val="2"/>
        <scheme val="minor"/>
      </rPr>
      <t>RoboRA</t>
    </r>
    <r>
      <rPr>
        <sz val="11"/>
        <rFont val="Calibri"/>
        <family val="2"/>
        <scheme val="minor"/>
      </rPr>
      <t xml:space="preserve"> fills RA drafts from reportserver &amp; shows coding and project review documents.</t>
    </r>
  </si>
  <si>
    <r>
      <t xml:space="preserve">Check RA templates </t>
    </r>
    <r>
      <rPr>
        <sz val="9"/>
        <rFont val="Calibri"/>
        <family val="2"/>
        <scheme val="minor"/>
      </rPr>
      <t>(above each table)</t>
    </r>
  </si>
  <si>
    <r>
      <t xml:space="preserve">Paste prop_id </t>
    </r>
    <r>
      <rPr>
        <sz val="10"/>
        <rFont val="Calibri"/>
        <family val="2"/>
        <scheme val="minor"/>
      </rPr>
      <t>(values)</t>
    </r>
    <r>
      <rPr>
        <sz val="11"/>
        <rFont val="Calibri"/>
        <family val="2"/>
        <scheme val="minor"/>
      </rPr>
      <t xml:space="preserve"> into tables </t>
    </r>
  </si>
  <si>
    <t>Awards begin with Awd; autoloaded begin with Std</t>
  </si>
  <si>
    <t>Rqd: rptServer connection (NSF PC, Citrix Win Desktop, or Mac+openlink)</t>
  </si>
  <si>
    <t xml:space="preserve">Note: Template file names must end in RAt.docx </t>
  </si>
  <si>
    <t>Std NC-LC RAt.docx</t>
  </si>
  <si>
    <t>Std Decline RAt.docx</t>
  </si>
  <si>
    <t xml:space="preserve">         &lt;-- click to select folder of RA templates for your div/pgm/solic</t>
  </si>
  <si>
    <t xml:space="preserve">                 &lt;-- click button to select where RAs drafts should be stored</t>
  </si>
  <si>
    <t>0. Select output folder for filled-in RA drafts.</t>
  </si>
  <si>
    <t>.first line.</t>
  </si>
  <si>
    <t>..please</t>
  </si>
  <si>
    <t>keep</t>
  </si>
  <si>
    <t>for</t>
  </si>
  <si>
    <t>mail</t>
  </si>
  <si>
    <t>merge</t>
  </si>
  <si>
    <t>formatting.</t>
  </si>
  <si>
    <t>thx.</t>
  </si>
  <si>
    <t>NRFP</t>
  </si>
  <si>
    <t>zztemplateFname RAt.docx</t>
  </si>
  <si>
    <t>Divn</t>
  </si>
  <si>
    <t>1234567</t>
  </si>
  <si>
    <t>E,E/V,V,V/G,G,G/F,F,F/P,P</t>
  </si>
  <si>
    <t>This first row is needed so that mail merge formatting will be correct. Please do not remove it.  Mail merge takes its formatting from the first rows of the table............</t>
  </si>
  <si>
    <t>E,V,G,F,P</t>
  </si>
  <si>
    <t>P123456</t>
  </si>
  <si>
    <t>Dont remove this line for panel rec formatting....</t>
  </si>
  <si>
    <t>Panel name spelled out; keep this line for formatting.......</t>
  </si>
  <si>
    <t>Reports rank &amp; all recs (HC, etc.) from Interactive Panel System (IPS).  I suggest Standard competition rank  (wikipedia) .</t>
  </si>
  <si>
    <t>List of conflicted panelists separated by semicolons. Not everyone will need this list, but some divisions request this information, so I am seeing if we can provide it. There is a limit of seven names returned, though all will be counted.</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</si>
  <si>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</si>
  <si>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</si>
  <si>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</si>
  <si>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</si>
  <si>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</si>
  <si>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</si>
  <si>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</si>
  <si>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Name for PO signature</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</si>
  <si>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</si>
  <si>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</si>
  <si>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</si>
  <si>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</si>
  <si>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</si>
  <si>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</si>
  <si>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</si>
  <si>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r>
      <t xml:space="preserve">Welcome to </t>
    </r>
    <r>
      <rPr>
        <b/>
        <sz val="18"/>
        <color theme="1"/>
        <rFont val="Palatino Linotype"/>
        <family val="1"/>
      </rPr>
      <t>RoboRA!</t>
    </r>
  </si>
  <si>
    <t xml:space="preserve">Please set some preferences the first time you start RoboRA; </t>
  </si>
  <si>
    <t xml:space="preserve">you can return to this "Prefs" tab if you change your mind later. </t>
  </si>
  <si>
    <t>Reference source for RA templates:</t>
  </si>
  <si>
    <t>Personal folder for RA templates, if desired:</t>
  </si>
  <si>
    <t>Where to install your personal copy of RoboRA</t>
  </si>
  <si>
    <r>
      <t xml:space="preserve">1. Test table permissions </t>
    </r>
    <r>
      <rPr>
        <sz val="11"/>
        <color theme="5" tint="-0.499984740745262"/>
        <rFont val="Calibri"/>
        <family val="2"/>
        <scheme val="minor"/>
      </rPr>
      <t>(You'll need a reportserver password; check "Remember Me" to save.)</t>
    </r>
  </si>
  <si>
    <t xml:space="preserve">2. Specify RA templates for division, solicitation, or program.  </t>
  </si>
  <si>
    <t>db_name</t>
  </si>
  <si>
    <t>tbl_name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</si>
</sst>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40"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theme="5" tint="-0.499984740745262"/>
      <name val="Calibri"/>
      <family val="2"/>
      <scheme val="minor"/>
    </font>
    <font>
      <i/>
      <sz val="11"/>
      <color theme="5" tint="-0.499984740745262"/>
      <name val="Calibri"/>
      <family val="2"/>
      <scheme val="minor"/>
    </font>
    <font>
      <b/>
      <sz val="11"/>
      <name val="Calibri"/>
      <family val="2"/>
      <scheme val="minor"/>
    </font>
    <font>
      <sz val="9"/>
      <name val="Calibri"/>
      <family val="2"/>
      <scheme val="minor"/>
    </font>
    <font>
      <sz val="10"/>
      <name val="Calibri"/>
      <family val="2"/>
      <scheme val="minor"/>
    </font>
    <font>
      <sz val="10"/>
      <color theme="1"/>
      <name val="Calibri"/>
      <family val="2"/>
      <scheme val="minor"/>
    </font>
    <font>
      <sz val="11"/>
      <color theme="1"/>
      <name val="Palatino Linotype"/>
      <family val="1"/>
    </font>
    <font>
      <sz val="18"/>
      <color theme="1"/>
      <name val="Palatino Linotype"/>
      <family val="1"/>
    </font>
    <font>
      <b/>
      <sz val="18"/>
      <color theme="1"/>
      <name val="Palatino Linotype"/>
      <family val="1"/>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6">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49">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applyNumberFormat="1" applyFont="1"/>
    <xf numFmtId="9" fontId="0" fillId="0" borderId="0" xfId="5" applyFont="1"/>
    <xf numFmtId="0" fontId="15" fillId="0" borderId="0" xfId="0" applyFont="1"/>
    <xf numFmtId="164" fontId="15" fillId="0" borderId="0" xfId="0" applyNumberFormat="1" applyFont="1"/>
    <xf numFmtId="166" fontId="15" fillId="0" borderId="0" xfId="2" applyNumberFormat="1" applyFont="1"/>
    <xf numFmtId="14" fontId="0" fillId="0" borderId="0" xfId="0" applyNumberFormat="1"/>
    <xf numFmtId="0" fontId="16" fillId="0" borderId="0" xfId="0" applyFont="1"/>
    <xf numFmtId="0" fontId="17" fillId="0" borderId="0" xfId="0" applyFont="1"/>
    <xf numFmtId="2" fontId="0" fillId="0" borderId="0" xfId="0" applyNumberFormat="1" applyBorder="1"/>
    <xf numFmtId="0" fontId="20" fillId="3" borderId="0" xfId="0" applyFont="1" applyFill="1"/>
    <xf numFmtId="0" fontId="20" fillId="3" borderId="0" xfId="0" applyFont="1" applyFill="1" applyAlignment="1">
      <alignment horizontal="left" vertical="center"/>
    </xf>
    <xf numFmtId="0" fontId="20" fillId="2" borderId="0" xfId="0" applyFont="1" applyFill="1"/>
    <xf numFmtId="0" fontId="21" fillId="2" borderId="0" xfId="0" applyFont="1" applyFill="1" applyAlignment="1">
      <alignment horizontal="center" vertical="center"/>
    </xf>
    <xf numFmtId="0" fontId="0" fillId="0" borderId="0" xfId="0" applyFont="1" applyFill="1" applyAlignment="1">
      <alignment horizontal="right" vertical="center"/>
    </xf>
    <xf numFmtId="165" fontId="23" fillId="0" borderId="2" xfId="0" applyNumberFormat="1" applyFont="1" applyFill="1" applyBorder="1" applyAlignment="1" applyProtection="1">
      <alignment horizontal="left" vertical="center"/>
    </xf>
    <xf numFmtId="49" fontId="23" fillId="0" borderId="3" xfId="0" applyNumberFormat="1" applyFont="1" applyFill="1" applyBorder="1" applyAlignment="1" applyProtection="1">
      <alignment horizontal="left" vertical="center"/>
    </xf>
    <xf numFmtId="49" fontId="23" fillId="0" borderId="4" xfId="0" applyNumberFormat="1" applyFont="1" applyFill="1" applyBorder="1" applyAlignment="1" applyProtection="1">
      <alignment horizontal="left" vertical="center"/>
    </xf>
    <xf numFmtId="49" fontId="23" fillId="0" borderId="3" xfId="0" quotePrefix="1" applyNumberFormat="1" applyFont="1" applyFill="1" applyBorder="1" applyAlignment="1" applyProtection="1">
      <alignment horizontal="left" vertical="center"/>
    </xf>
    <xf numFmtId="49" fontId="23" fillId="0" borderId="4" xfId="0" quotePrefix="1" applyNumberFormat="1" applyFont="1" applyFill="1" applyBorder="1" applyAlignment="1" applyProtection="1">
      <alignment horizontal="left" vertical="center"/>
    </xf>
    <xf numFmtId="0" fontId="17" fillId="0" borderId="0" xfId="0" applyFont="1" applyFill="1" applyAlignment="1">
      <alignment horizontal="right" vertical="center"/>
    </xf>
    <xf numFmtId="0" fontId="0" fillId="0" borderId="0" xfId="0" applyFill="1" applyProtection="1"/>
    <xf numFmtId="165" fontId="23" fillId="0" borderId="3" xfId="0" applyNumberFormat="1" applyFont="1" applyFill="1" applyBorder="1" applyAlignment="1" applyProtection="1">
      <alignment horizontal="left" vertical="center"/>
    </xf>
    <xf numFmtId="0" fontId="0" fillId="0" borderId="0" xfId="0" applyFont="1" applyFill="1"/>
    <xf numFmtId="0" fontId="25" fillId="0" borderId="0" xfId="0" applyFont="1" applyAlignment="1">
      <alignment horizontal="right"/>
    </xf>
    <xf numFmtId="0" fontId="0" fillId="0" borderId="0" xfId="0" applyProtection="1">
      <protection locked="0"/>
    </xf>
    <xf numFmtId="0" fontId="26"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6" fillId="0" borderId="0" xfId="0" applyFont="1" applyAlignment="1" applyProtection="1">
      <alignment horizontal="left" vertical="top"/>
      <protection locked="0"/>
    </xf>
    <xf numFmtId="170" fontId="26" fillId="0" borderId="0" xfId="0" applyNumberFormat="1" applyFont="1" applyAlignment="1" applyProtection="1">
      <alignment horizontal="left" vertical="top"/>
      <protection locked="0" hidden="1"/>
    </xf>
    <xf numFmtId="0" fontId="26" fillId="0" borderId="5" xfId="0" applyFont="1" applyBorder="1" applyAlignment="1">
      <alignment horizontal="left" vertical="top"/>
    </xf>
    <xf numFmtId="0" fontId="26" fillId="0" borderId="6" xfId="0" applyFont="1" applyBorder="1" applyAlignment="1">
      <alignment horizontal="left" vertical="top"/>
    </xf>
    <xf numFmtId="0" fontId="26" fillId="0" borderId="1" xfId="0" applyFont="1" applyBorder="1" applyAlignment="1">
      <alignment horizontal="left" vertical="top"/>
    </xf>
    <xf numFmtId="0" fontId="26" fillId="0" borderId="7" xfId="0" applyFont="1" applyBorder="1" applyAlignment="1">
      <alignment horizontal="left" vertical="top"/>
    </xf>
    <xf numFmtId="0" fontId="26" fillId="0" borderId="8" xfId="0" applyFont="1" applyBorder="1" applyAlignment="1">
      <alignment horizontal="left" vertical="top"/>
    </xf>
    <xf numFmtId="0" fontId="26" fillId="0" borderId="9" xfId="0" applyFont="1" applyBorder="1" applyAlignment="1">
      <alignment horizontal="left" vertical="top"/>
    </xf>
    <xf numFmtId="0" fontId="19" fillId="4" borderId="10" xfId="0" applyFont="1" applyFill="1" applyBorder="1" applyAlignment="1">
      <alignment horizontal="left" vertical="top"/>
    </xf>
    <xf numFmtId="0" fontId="19"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19"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7" fillId="0" borderId="0" xfId="0" applyFont="1" applyFill="1"/>
    <xf numFmtId="0" fontId="27" fillId="0" borderId="0" xfId="0" applyFont="1"/>
    <xf numFmtId="165" fontId="27" fillId="0" borderId="0" xfId="0" applyNumberFormat="1" applyFont="1"/>
    <xf numFmtId="0" fontId="27" fillId="0" borderId="0" xfId="0" applyFont="1" applyAlignment="1">
      <alignment horizontal="right"/>
    </xf>
    <xf numFmtId="166" fontId="27" fillId="0" borderId="0" xfId="2" applyNumberFormat="1" applyFont="1"/>
    <xf numFmtId="0" fontId="28"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29"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0" fillId="0" borderId="0" xfId="0" applyFont="1" applyProtection="1">
      <protection locked="0"/>
    </xf>
    <xf numFmtId="0" fontId="23" fillId="0" borderId="0" xfId="0" applyNumberFormat="1" applyFont="1" applyFill="1" applyAlignment="1" applyProtection="1">
      <alignment horizontal="left" vertical="center"/>
    </xf>
    <xf numFmtId="0" fontId="17" fillId="0" borderId="0" xfId="0" applyFont="1" applyAlignment="1">
      <alignment vertical="top"/>
    </xf>
    <xf numFmtId="0" fontId="0" fillId="0" borderId="0" xfId="0" applyAlignment="1">
      <alignment horizontal="left" vertical="center"/>
    </xf>
    <xf numFmtId="0" fontId="0" fillId="0" borderId="0" xfId="0" applyAlignment="1"/>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49" fontId="0" fillId="0" borderId="0" xfId="0" applyNumberFormat="1" applyAlignment="1">
      <alignment wrapText="1"/>
    </xf>
    <xf numFmtId="0" fontId="0" fillId="0" borderId="0" xfId="1" applyFont="1" applyFill="1"/>
    <xf numFmtId="0" fontId="13" fillId="0" borderId="0" xfId="0" applyFont="1"/>
    <xf numFmtId="0" fontId="1" fillId="0" borderId="0" xfId="0" applyFont="1" applyFill="1" applyAlignment="1">
      <alignment horizontal="left"/>
    </xf>
    <xf numFmtId="0" fontId="6" fillId="0" borderId="0" xfId="0" applyFont="1"/>
    <xf numFmtId="0" fontId="34" fillId="0" borderId="0" xfId="0" applyFont="1"/>
    <xf numFmtId="0" fontId="6" fillId="0" borderId="0" xfId="0" applyFont="1" applyAlignment="1">
      <alignment wrapText="1"/>
    </xf>
    <xf numFmtId="0" fontId="6" fillId="0" borderId="0" xfId="0" quotePrefix="1" applyNumberFormat="1" applyFont="1" applyAlignment="1">
      <alignment horizontal="center"/>
    </xf>
    <xf numFmtId="0" fontId="0" fillId="0" borderId="0" xfId="0" applyFill="1" applyAlignment="1">
      <alignment vertical="top"/>
    </xf>
    <xf numFmtId="0" fontId="4" fillId="0" borderId="14" xfId="1" applyBorder="1"/>
    <xf numFmtId="0" fontId="4" fillId="0" borderId="15" xfId="1" applyBorder="1"/>
    <xf numFmtId="0" fontId="0" fillId="0" borderId="13" xfId="1" quotePrefix="1" applyFont="1" applyBorder="1"/>
    <xf numFmtId="0" fontId="0" fillId="0" borderId="0" xfId="0" quotePrefix="1" applyAlignment="1">
      <alignment horizontal="left" vertical="center"/>
    </xf>
    <xf numFmtId="0" fontId="4" fillId="0" borderId="15" xfId="1" applyBorder="1" applyAlignment="1">
      <alignment horizontal="left" vertical="center"/>
    </xf>
    <xf numFmtId="0" fontId="4" fillId="0" borderId="13" xfId="1" applyBorder="1" applyAlignment="1">
      <alignment horizontal="left"/>
    </xf>
    <xf numFmtId="0" fontId="25" fillId="0" borderId="0" xfId="0" applyFont="1"/>
    <xf numFmtId="0" fontId="36" fillId="0" borderId="0" xfId="0" quotePrefix="1" applyFont="1" applyAlignment="1">
      <alignment vertical="center"/>
    </xf>
    <xf numFmtId="0" fontId="22" fillId="3" borderId="0" xfId="0" applyFont="1" applyFill="1" applyAlignment="1">
      <alignment horizontal="center" vertical="center"/>
    </xf>
    <xf numFmtId="0" fontId="0" fillId="0" borderId="13" xfId="0" applyNumberFormat="1" applyBorder="1" applyAlignment="1">
      <alignment horizontal="left"/>
    </xf>
    <xf numFmtId="0" fontId="0" fillId="0" borderId="14" xfId="0" applyNumberFormat="1" applyBorder="1" applyAlignment="1">
      <alignment horizontal="left"/>
    </xf>
    <xf numFmtId="0" fontId="0" fillId="0" borderId="15" xfId="0" applyNumberFormat="1" applyBorder="1" applyAlignment="1">
      <alignment horizontal="left"/>
    </xf>
    <xf numFmtId="0" fontId="37" fillId="0" borderId="0" xfId="0" applyFont="1"/>
    <xf numFmtId="0" fontId="38" fillId="0" borderId="0" xfId="0" applyFont="1"/>
    <xf numFmtId="0" fontId="0" fillId="0" borderId="0" xfId="1" quotePrefix="1" applyFont="1" applyBorder="1"/>
    <xf numFmtId="0" fontId="4" fillId="0" borderId="0" xfId="1" applyBorder="1"/>
  </cellXfs>
  <cellStyles count="6">
    <cellStyle name="Currency" xfId="2" builtinId="4"/>
    <cellStyle name="Hyperlink" xfId="1" builtinId="8"/>
    <cellStyle name="Normal" xfId="0" builtinId="0"/>
    <cellStyle name="Percent" xfId="5" builtinId="5"/>
    <cellStyle name="Subtotal" xfId="4"/>
    <cellStyle name="Subtotal Label" xfId="3"/>
  </cellStyles>
  <dxfs count="286">
    <dxf>
      <fill>
        <patternFill patternType="none">
          <fgColor indexed="64"/>
          <bgColor indexed="65"/>
        </patternFill>
      </fill>
      <protection locked="1" hidden="0"/>
    </dxf>
    <dxf>
      <fill>
        <patternFill patternType="none">
          <fgColor indexed="64"/>
          <bgColor indexed="65"/>
        </patternFill>
      </fill>
      <protection locked="1" hidden="0"/>
    </dxf>
    <dxf>
      <fill>
        <patternFill patternType="none">
          <fgColor indexed="64"/>
          <bgColor auto="1"/>
        </patternFill>
      </fill>
      <protection locked="1" hidden="0"/>
    </dxf>
    <dxf>
      <fill>
        <patternFill patternType="none">
          <fgColor indexed="64"/>
          <bgColor auto="1"/>
        </patternFill>
      </fill>
      <protection locked="1" hidden="0"/>
    </dxf>
    <dxf>
      <fill>
        <patternFill>
          <bgColor rgb="FFFEEFE2"/>
        </patternFill>
      </fill>
    </dxf>
    <dxf>
      <fill>
        <patternFill>
          <fgColor indexed="64"/>
          <bgColor rgb="FFEBF5CD"/>
        </patternFill>
      </fill>
    </dxf>
    <dxf>
      <border>
        <top style="thin">
          <color auto="1"/>
        </top>
      </border>
    </dxf>
    <dxf>
      <fill>
        <patternFill>
          <fgColor indexed="64"/>
          <bgColor rgb="FFFBC3AF" tint="0.54997405926694543"/>
        </patternFill>
      </fill>
    </dxf>
    <dxf>
      <font>
        <b val="0"/>
        <i/>
        <strike val="0"/>
        <color theme="0" tint="-0.34998626667073579"/>
      </font>
    </dxf>
    <dxf>
      <fill>
        <patternFill>
          <bgColor theme="6" tint="0.79998168889431442"/>
        </patternFill>
      </fill>
    </dxf>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FDCF"/>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9DFE0"/>
        </patternFill>
      </fill>
    </dxf>
    <dxf>
      <fill>
        <patternFill>
          <fgColor indexed="64"/>
          <bgColor rgb="FFDDECF7"/>
        </patternFill>
      </fill>
    </dxf>
    <dxf>
      <numFmt numFmtId="30" formatCode="@"/>
      <fill>
        <patternFill patternType="none">
          <fgColor indexed="64"/>
          <bgColor auto="1"/>
        </patternFill>
      </fill>
      <protection locked="0" hidden="0"/>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0" formatCode="General"/>
    </dxf>
    <dxf>
      <numFmt numFmtId="27" formatCode="m/d/yyyy\ h:mm"/>
    </dxf>
    <dxf>
      <numFmt numFmtId="165" formatCode="mm/dd/yy;@"/>
    </dxf>
    <dxf>
      <numFmt numFmtId="165" formatCode="mm/dd/yy;@"/>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166" formatCode="_(&quot;$&quot;* #,##0_);_(&quot;$&quot;* \(#,##0\);_(&quot;$&quot;* &quot;-&quot;??_);_(@_)"/>
    </dxf>
    <dxf>
      <numFmt numFmtId="171" formatCode="_(&quot;$&quot;* #,##0.0_);_(&quot;$&quot;* \(#,##0.0\);_(&quot;$&quot;* &quot;-&quot;??_);_(@_)"/>
    </dxf>
    <dxf>
      <numFmt numFmtId="34" formatCode="_(&quot;$&quot;* #,##0.00_);_(&quot;$&quot;* \(#,##0.00\);_(&quot;$&quot;* &quot;-&quot;??_);_(@_)"/>
    </dxf>
    <dxf>
      <alignment horizontal="center" vertical="bottom" textRotation="0" wrapText="0" indent="0" justifyLastLine="0" shrinkToFit="0" readingOrder="0"/>
    </dxf>
    <dxf>
      <alignment horizontal="center" vertical="bottom" textRotation="0" wrapText="0" indent="0" justifyLastLine="0" shrinkToFit="0" readingOrder="0"/>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5" formatCode="mm/dd/yy;@"/>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outline val="0"/>
        <shadow val="0"/>
        <u val="none"/>
        <vertAlign val="baseline"/>
        <sz val="11"/>
        <color auto="1"/>
        <name val="Calibri"/>
        <scheme val="none"/>
      </font>
    </dxf>
    <dxf>
      <numFmt numFmtId="27" formatCode="m/d/yyyy\ h:mm"/>
    </dxf>
    <dxf>
      <numFmt numFmtId="30" formatCode="@"/>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0" formatCode="General"/>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family val="2"/>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font>
        <b val="0"/>
        <i val="0"/>
        <strike val="0"/>
        <condense val="0"/>
        <extend val="0"/>
        <outline val="0"/>
        <shadow val="0"/>
        <u val="none"/>
        <vertAlign val="baseline"/>
        <sz val="11"/>
        <color theme="5" tint="-0.499984740745262"/>
        <name val="Calibri"/>
        <scheme val="minor"/>
      </font>
    </dxf>
    <dxf>
      <font>
        <b val="0"/>
        <i val="0"/>
        <strike val="0"/>
        <outline val="0"/>
        <shadow val="0"/>
        <u val="none"/>
        <vertAlign val="baseline"/>
        <sz val="11"/>
        <color theme="1"/>
        <name val="Calibri"/>
        <scheme val="minor"/>
      </font>
      <fill>
        <patternFill patternType="none">
          <fgColor indexed="64"/>
          <bgColor auto="1"/>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border>
        <left style="hair">
          <color auto="1"/>
        </left>
        <right style="hair">
          <color auto="1"/>
        </right>
        <top style="hair">
          <color auto="1"/>
        </top>
        <bottom style="hair">
          <color auto="1"/>
        </bottom>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6" defaultTableStyle="TableStyleMedium2" defaultPivotStyle="PivotStyleLight16">
    <tableStyle name="AddTableStyle" pivot="0" count="4">
      <tableStyleElement type="wholeTable" dxfId="285"/>
      <tableStyleElement type="headerRow" dxfId="284"/>
      <tableStyleElement type="totalRow" dxfId="283"/>
      <tableStyleElement type="firstRowStripe" dxfId="282"/>
    </tableStyle>
    <tableStyle name="OmitTableStyle" pivot="0" count="6">
      <tableStyleElement type="wholeTable" dxfId="281"/>
      <tableStyleElement type="headerRow" dxfId="280"/>
      <tableStyleElement type="totalRow" dxfId="279"/>
      <tableStyleElement type="firstColumn" dxfId="278"/>
      <tableStyleElement type="lastColumn" dxfId="277"/>
      <tableStyleElement type="firstRowStripe" dxfId="276"/>
    </tableStyle>
    <tableStyle name="Table Style 1" pivot="0" count="1">
      <tableStyleElement type="wholeTable" dxfId="275"/>
    </tableStyle>
    <tableStyle name="TableFall" pivot="0" count="4">
      <tableStyleElement type="wholeTable" dxfId="274"/>
      <tableStyleElement type="headerRow" dxfId="273"/>
      <tableStyleElement type="totalRow" dxfId="272"/>
      <tableStyleElement type="firstRowStripe" dxfId="271"/>
    </tableStyle>
    <tableStyle name="TableStyleMedium3 2" pivot="0" count="7">
      <tableStyleElement type="wholeTable" dxfId="270"/>
      <tableStyleElement type="headerRow" dxfId="269"/>
      <tableStyleElement type="totalRow" dxfId="268"/>
      <tableStyleElement type="firstColumn" dxfId="267"/>
      <tableStyleElement type="lastColumn" dxfId="266"/>
      <tableStyleElement type="firstRowStripe" dxfId="265"/>
      <tableStyleElement type="firstColumnStripe" dxfId="264"/>
    </tableStyle>
    <tableStyle name="TableStyleMedium7 2" pivot="0" count="7">
      <tableStyleElement type="wholeTable" dxfId="263"/>
      <tableStyleElement type="headerRow" dxfId="262"/>
      <tableStyleElement type="totalRow" dxfId="261"/>
      <tableStyleElement type="firstColumn" dxfId="260"/>
      <tableStyleElement type="lastColumn" dxfId="259"/>
      <tableStyleElement type="firstRowStripe" dxfId="258"/>
      <tableStyleElement type="firstColumnStripe" dxfId="257"/>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5" dropStyle="combo" dx="35" fmlaLink="HiddenSettings!$E$6" fmlaRange="HiddenSettings!$D$7:$D$11" sel="2"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5" dropStyle="combo" dx="35" fmlaLink="HiddenSettings!$E$6" fmlaRange="HiddenSettings!$D$7:$D$11" sel="2"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J3" lockText="1"/>
</file>

<file path=xl/ctrlProps/ctrlProp11.xml><?xml version="1.0" encoding="utf-8"?>
<formControlPr xmlns="http://schemas.microsoft.com/office/spreadsheetml/2009/9/main" objectType="Radio" firstButton="1" fmlaLink="J2" lockText="1"/>
</file>

<file path=xl/ctrlProps/ctrlProp12.xml><?xml version="1.0" encoding="utf-8"?>
<formControlPr xmlns="http://schemas.microsoft.com/office/spreadsheetml/2009/9/main" objectType="Radio" checked="Checked"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8" Type="http://schemas.openxmlformats.org/officeDocument/2006/relationships/hyperlink" Target="#RAData!I1"/><Relationship Id="rId3" Type="http://schemas.openxmlformats.org/officeDocument/2006/relationships/hyperlink" Target="https://collaboration.inside.nsf.gov/eng/meritreview/ENG%20Tools%20Websites%20and%20Best%20Practices/RoboRA.aspx" TargetMode="External"/><Relationship Id="rId7" Type="http://schemas.openxmlformats.org/officeDocument/2006/relationships/image" Target="../media/image5.png"/><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 Id="rId9"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hyperlink" Target="#RoboRA!A1"/></Relationships>
</file>

<file path=xl/drawings/_rels/drawing8.xml.rels><?xml version="1.0" encoding="UTF-8" standalone="yes"?>
<Relationships xmlns="http://schemas.openxmlformats.org/package/2006/relationships"><Relationship Id="rId1" Type="http://schemas.openxmlformats.org/officeDocument/2006/relationships/hyperlink" Target="#RoboRA!A1"/></Relationships>
</file>

<file path=xl/drawings/_rels/drawing9.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10.xml.rels><?xml version="1.0" encoding="UTF-8" standalone="yes"?>
<Relationships xmlns="http://schemas.openxmlformats.org/package/2006/relationships"><Relationship Id="rId1" Type="http://schemas.openxmlformats.org/officeDocument/2006/relationships/hyperlink" Target="#RoboRA!A1"/></Relationships>
</file>

<file path=xl/drawings/_rels/drawing11.xml.rels><?xml version="1.0" encoding="UTF-8" standalone="yes"?>
<Relationships xmlns="http://schemas.openxmlformats.org/package/2006/relationships"><Relationship Id="rId3" Type="http://schemas.openxmlformats.org/officeDocument/2006/relationships/hyperlink" Target="https://collaboration.inside.nsf.gov/eng/meritreview/ENG%20Tools%20Websites%20and%20Best%20Practices/RoboRA.aspx" TargetMode="External"/><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31750</xdr:colOff>
          <xdr:row>6</xdr:row>
          <xdr:rowOff>69850</xdr:rowOff>
        </xdr:from>
        <xdr:to>
          <xdr:col>7</xdr:col>
          <xdr:colOff>622300</xdr:colOff>
          <xdr:row>7</xdr:row>
          <xdr:rowOff>31750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Pull project data from rptServer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9</xdr:row>
          <xdr:rowOff>76200</xdr:rowOff>
        </xdr:from>
        <xdr:to>
          <xdr:col>7</xdr:col>
          <xdr:colOff>571500</xdr:colOff>
          <xdr:row>10</xdr:row>
          <xdr:rowOff>19050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Create RA Drafts</a:t>
              </a:r>
            </a:p>
          </xdr:txBody>
        </xdr:sp>
        <xdr:clientData/>
      </xdr:twoCellAnchor>
    </mc:Choice>
    <mc:Fallback/>
  </mc:AlternateContent>
  <xdr:twoCellAnchor editAs="absolute">
    <xdr:from>
      <xdr:col>12</xdr:col>
      <xdr:colOff>314007</xdr:colOff>
      <xdr:row>0</xdr:row>
      <xdr:rowOff>0</xdr:rowOff>
    </xdr:from>
    <xdr:to>
      <xdr:col>14</xdr:col>
      <xdr:colOff>238538</xdr:colOff>
      <xdr:row>7</xdr:row>
      <xdr:rowOff>140819</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6233618" y="0"/>
          <a:ext cx="2210531" cy="1777708"/>
          <a:chOff x="3153963" y="0"/>
          <a:chExt cx="2672189"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153963" y="0"/>
            <a:ext cx="2672189" cy="961828"/>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48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absolute">
        <xdr:from>
          <xdr:col>4</xdr:col>
          <xdr:colOff>31750</xdr:colOff>
          <xdr:row>7</xdr:row>
          <xdr:rowOff>88900</xdr:rowOff>
        </xdr:from>
        <xdr:to>
          <xdr:col>7</xdr:col>
          <xdr:colOff>622300</xdr:colOff>
          <xdr:row>8</xdr:row>
          <xdr:rowOff>50800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Project review docs to PDF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xdr:row>
          <xdr:rowOff>50800</xdr:rowOff>
        </xdr:from>
        <xdr:to>
          <xdr:col>7</xdr:col>
          <xdr:colOff>628650</xdr:colOff>
          <xdr:row>5</xdr:row>
          <xdr:rowOff>228600</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737306</xdr:colOff>
          <xdr:row>7</xdr:row>
          <xdr:rowOff>230011</xdr:rowOff>
        </xdr:from>
        <xdr:to>
          <xdr:col>13</xdr:col>
          <xdr:colOff>1829506</xdr:colOff>
          <xdr:row>8</xdr:row>
          <xdr:rowOff>204611</xdr:rowOff>
        </xdr:to>
        <xdr:sp macro="" textlink="">
          <xdr:nvSpPr>
            <xdr:cNvPr id="16407" name="Button 23" hidden="1">
              <a:extLst>
                <a:ext uri="{63B3BB69-23CF-44E3-9099-C40C66FF867C}">
                  <a14:compatExt spid="_x0000_s16407"/>
                </a:ext>
                <a:ext uri="{FF2B5EF4-FFF2-40B4-BE49-F238E27FC236}">
                  <a16:creationId xmlns:a16="http://schemas.microsoft.com/office/drawing/2014/main" id="{00000000-0008-0000-0000-000017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Paste eJ MyWork</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395111</xdr:colOff>
          <xdr:row>7</xdr:row>
          <xdr:rowOff>223661</xdr:rowOff>
        </xdr:from>
        <xdr:to>
          <xdr:col>13</xdr:col>
          <xdr:colOff>527756</xdr:colOff>
          <xdr:row>8</xdr:row>
          <xdr:rowOff>204611</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20</xdr:col>
      <xdr:colOff>442</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1</xdr:row>
      <xdr:rowOff>79236</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 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69850</xdr:rowOff>
        </xdr:from>
        <xdr:to>
          <xdr:col>16</xdr:col>
          <xdr:colOff>895350</xdr:colOff>
          <xdr:row>0</xdr:row>
          <xdr:rowOff>323850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4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4</xdr:col>
      <xdr:colOff>763639</xdr:colOff>
      <xdr:row>0</xdr:row>
      <xdr:rowOff>0</xdr:rowOff>
    </xdr:from>
    <xdr:to>
      <xdr:col>7</xdr:col>
      <xdr:colOff>16781</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500-000008000000}"/>
            </a:ext>
          </a:extLst>
        </xdr:cNvPr>
        <xdr:cNvGrpSpPr>
          <a:grpSpLocks noChangeAspect="1"/>
        </xdr:cNvGrpSpPr>
      </xdr:nvGrpSpPr>
      <xdr:grpSpPr>
        <a:xfrm>
          <a:off x="3138539" y="0"/>
          <a:ext cx="2110642" cy="1680028"/>
          <a:chOff x="3257550" y="0"/>
          <a:chExt cx="2500655" cy="2054967"/>
        </a:xfrm>
      </xdr:grpSpPr>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500-00000A000000}"/>
              </a:ext>
            </a:extLst>
          </xdr:cNvPr>
          <xdr:cNvSpPr/>
        </xdr:nvSpPr>
        <xdr:spPr>
          <a:xfrm>
            <a:off x="3324969"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5</xdr:col>
      <xdr:colOff>440063</xdr:colOff>
      <xdr:row>24</xdr:row>
      <xdr:rowOff>82276</xdr:rowOff>
    </xdr:from>
    <xdr:to>
      <xdr:col>5</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4</xdr:col>
      <xdr:colOff>809404</xdr:colOff>
      <xdr:row>24</xdr:row>
      <xdr:rowOff>71821</xdr:rowOff>
    </xdr:from>
    <xdr:to>
      <xdr:col>5</xdr:col>
      <xdr:colOff>404050</xdr:colOff>
      <xdr:row>27</xdr:row>
      <xdr:rowOff>19050</xdr:rowOff>
    </xdr:to>
    <xdr:pic macro="[0]!ClearData">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184304" y="5634421"/>
          <a:ext cx="693196" cy="633029"/>
        </a:xfrm>
        <a:prstGeom prst="rect">
          <a:avLst/>
        </a:prstGeom>
      </xdr:spPr>
    </xdr:pic>
    <xdr:clientData/>
  </xdr:twoCellAnchor>
  <xdr:twoCellAnchor editAs="oneCell">
    <xdr:from>
      <xdr:col>0</xdr:col>
      <xdr:colOff>213969</xdr:colOff>
      <xdr:row>23</xdr:row>
      <xdr:rowOff>188527</xdr:rowOff>
    </xdr:from>
    <xdr:to>
      <xdr:col>2</xdr:col>
      <xdr:colOff>274220</xdr:colOff>
      <xdr:row>28</xdr:row>
      <xdr:rowOff>40306</xdr:rowOff>
    </xdr:to>
    <xdr:pic macro="[0]!RefreshFromBlock">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13969" y="5497127"/>
          <a:ext cx="1069901" cy="9757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222250</xdr:colOff>
          <xdr:row>22</xdr:row>
          <xdr:rowOff>12700</xdr:rowOff>
        </xdr:from>
        <xdr:to>
          <xdr:col>6</xdr:col>
          <xdr:colOff>260350</xdr:colOff>
          <xdr:row>23</xdr:row>
          <xdr:rowOff>12700</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5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353786</xdr:colOff>
      <xdr:row>24</xdr:row>
      <xdr:rowOff>28667</xdr:rowOff>
    </xdr:from>
    <xdr:to>
      <xdr:col>2</xdr:col>
      <xdr:colOff>1131206</xdr:colOff>
      <xdr:row>28</xdr:row>
      <xdr:rowOff>149680</xdr:rowOff>
    </xdr:to>
    <xdr:pic macro="[0]!makeProjText">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63436" y="5591267"/>
          <a:ext cx="777420" cy="990963"/>
        </a:xfrm>
        <a:prstGeom prst="rect">
          <a:avLst/>
        </a:prstGeom>
      </xdr:spPr>
    </xdr:pic>
    <xdr:clientData/>
  </xdr:twoCellAnchor>
  <xdr:twoCellAnchor editAs="oneCell">
    <xdr:from>
      <xdr:col>3</xdr:col>
      <xdr:colOff>76200</xdr:colOff>
      <xdr:row>24</xdr:row>
      <xdr:rowOff>31750</xdr:rowOff>
    </xdr:from>
    <xdr:to>
      <xdr:col>4</xdr:col>
      <xdr:colOff>730250</xdr:colOff>
      <xdr:row>28</xdr:row>
      <xdr:rowOff>80559</xdr:rowOff>
    </xdr:to>
    <xdr:pic>
      <xdr:nvPicPr>
        <xdr:cNvPr id="4" name="Picture 3">
          <a:hlinkClick xmlns:r="http://schemas.openxmlformats.org/officeDocument/2006/relationships" r:id="rId8" tooltip="Check RAData and make indicated RAs"/>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222500" y="5594350"/>
          <a:ext cx="882650" cy="91875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6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7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8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8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127000</xdr:rowOff>
        </xdr:from>
        <xdr:to>
          <xdr:col>4</xdr:col>
          <xdr:colOff>12700</xdr:colOff>
          <xdr:row>0</xdr:row>
          <xdr:rowOff>400050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9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4</xdr:col>
      <xdr:colOff>446964</xdr:colOff>
      <xdr:row>0</xdr:row>
      <xdr:rowOff>0</xdr:rowOff>
    </xdr:from>
    <xdr:to>
      <xdr:col>7</xdr:col>
      <xdr:colOff>1046307</xdr:colOff>
      <xdr:row>7</xdr:row>
      <xdr:rowOff>117734</xdr:rowOff>
    </xdr:to>
    <xdr:grpSp>
      <xdr:nvGrpSpPr>
        <xdr:cNvPr id="5" name="Group 4">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A961C907-5B45-4D45-99AE-1A3176438227}"/>
            </a:ext>
          </a:extLst>
        </xdr:cNvPr>
        <xdr:cNvGrpSpPr>
          <a:grpSpLocks noChangeAspect="1"/>
        </xdr:cNvGrpSpPr>
      </xdr:nvGrpSpPr>
      <xdr:grpSpPr>
        <a:xfrm>
          <a:off x="4587423" y="0"/>
          <a:ext cx="2109088" cy="1782989"/>
          <a:chOff x="3257550" y="0"/>
          <a:chExt cx="2500655" cy="2195471"/>
        </a:xfrm>
      </xdr:grpSpPr>
      <xdr:pic>
        <xdr:nvPicPr>
          <xdr:cNvPr id="6" name="Picture 5">
            <a:extLst>
              <a:ext uri="{FF2B5EF4-FFF2-40B4-BE49-F238E27FC236}">
                <a16:creationId xmlns:a16="http://schemas.microsoft.com/office/drawing/2014/main" id="{596C222E-A3E2-429A-95CA-3BDC1B0D19A3}"/>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7" name="Rectangle 6">
            <a:extLst>
              <a:ext uri="{FF2B5EF4-FFF2-40B4-BE49-F238E27FC236}">
                <a16:creationId xmlns:a16="http://schemas.microsoft.com/office/drawing/2014/main" id="{85FD86BA-6D5C-478C-AB8B-F4B5B0D76E3C}"/>
              </a:ext>
            </a:extLst>
          </xdr:cNvPr>
          <xdr:cNvSpPr/>
        </xdr:nvSpPr>
        <xdr:spPr>
          <a:xfrm>
            <a:off x="3642975" y="0"/>
            <a:ext cx="2115230" cy="219547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Install</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baseline="0">
                <a:ln w="9525">
                  <a:solidFill>
                    <a:schemeClr val="bg1"/>
                  </a:solidFill>
                  <a:prstDash val="solid"/>
                </a:ln>
                <a:solidFill>
                  <a:schemeClr val="tx1"/>
                </a:solidFill>
                <a:effectLst>
                  <a:outerShdw blurRad="12700" dist="38100" dir="2700000" algn="tl" rotWithShape="0">
                    <a:schemeClr val="bg1">
                      <a:lumMod val="50000"/>
                    </a:schemeClr>
                  </a:outerShdw>
                </a:effectLst>
              </a:rPr>
              <a:t> &amp; </a:t>
            </a: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Prefs</a:t>
            </a:r>
          </a:p>
        </xdr:txBody>
      </xdr:sp>
    </xdr:grpSp>
    <xdr:clientData/>
  </xdr:twoCellAnchor>
  <mc:AlternateContent xmlns:mc="http://schemas.openxmlformats.org/markup-compatibility/2006">
    <mc:Choice xmlns:a14="http://schemas.microsoft.com/office/drawing/2010/main" Requires="a14">
      <xdr:oneCellAnchor>
        <xdr:from>
          <xdr:col>1</xdr:col>
          <xdr:colOff>216029</xdr:colOff>
          <xdr:row>43</xdr:row>
          <xdr:rowOff>138793</xdr:rowOff>
        </xdr:from>
        <xdr:ext cx="1793522" cy="254000"/>
        <xdr:sp macro="" textlink="">
          <xdr:nvSpPr>
            <xdr:cNvPr id="46081" name="cbAutoloadAll" hidden="1">
              <a:extLst>
                <a:ext uri="{63B3BB69-23CF-44E3-9099-C40C66FF867C}">
                  <a14:compatExt spid="_x0000_s46081"/>
                </a:ext>
                <a:ext uri="{FF2B5EF4-FFF2-40B4-BE49-F238E27FC236}">
                  <a16:creationId xmlns:a16="http://schemas.microsoft.com/office/drawing/2014/main" id="{DFE10C10-1036-43D8-8A54-036E55C339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oneCellAnchor>
    </mc:Choice>
    <mc:Fallback/>
  </mc:AlternateContent>
  <mc:AlternateContent xmlns:mc="http://schemas.openxmlformats.org/markup-compatibility/2006">
    <mc:Choice xmlns:a14="http://schemas.microsoft.com/office/drawing/2010/main" Requires="a14">
      <xdr:oneCellAnchor>
        <xdr:from>
          <xdr:col>1</xdr:col>
          <xdr:colOff>216029</xdr:colOff>
          <xdr:row>44</xdr:row>
          <xdr:rowOff>138793</xdr:rowOff>
        </xdr:from>
        <xdr:ext cx="2076450" cy="184150"/>
        <xdr:sp macro="" textlink="">
          <xdr:nvSpPr>
            <xdr:cNvPr id="46082" name="obtnNeverOverwrite" hidden="1">
              <a:extLst>
                <a:ext uri="{63B3BB69-23CF-44E3-9099-C40C66FF867C}">
                  <a14:compatExt spid="_x0000_s46082"/>
                </a:ext>
                <a:ext uri="{FF2B5EF4-FFF2-40B4-BE49-F238E27FC236}">
                  <a16:creationId xmlns:a16="http://schemas.microsoft.com/office/drawing/2014/main" id="{27FF5C45-2905-40F3-931D-0CB9C9E93C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oneCellAnchor>
    </mc:Choice>
    <mc:Fallback/>
  </mc:AlternateContent>
  <mc:AlternateContent xmlns:mc="http://schemas.openxmlformats.org/markup-compatibility/2006">
    <mc:Choice xmlns:a14="http://schemas.microsoft.com/office/drawing/2010/main" Requires="a14">
      <xdr:oneCellAnchor>
        <xdr:from>
          <xdr:col>1</xdr:col>
          <xdr:colOff>216029</xdr:colOff>
          <xdr:row>45</xdr:row>
          <xdr:rowOff>100693</xdr:rowOff>
        </xdr:from>
        <xdr:ext cx="2146300" cy="158750"/>
        <xdr:sp macro="" textlink="">
          <xdr:nvSpPr>
            <xdr:cNvPr id="46083" name="obtnAskOverwrite" hidden="1">
              <a:extLst>
                <a:ext uri="{63B3BB69-23CF-44E3-9099-C40C66FF867C}">
                  <a14:compatExt spid="_x0000_s46083"/>
                </a:ext>
                <a:ext uri="{FF2B5EF4-FFF2-40B4-BE49-F238E27FC236}">
                  <a16:creationId xmlns:a16="http://schemas.microsoft.com/office/drawing/2014/main" id="{11BDD244-3384-4F60-BDE9-E668ED51AB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oneCellAnchor>
    </mc:Choice>
    <mc:Fallback/>
  </mc:AlternateContent>
  <mc:AlternateContent xmlns:mc="http://schemas.openxmlformats.org/markup-compatibility/2006">
    <mc:Choice xmlns:a14="http://schemas.microsoft.com/office/drawing/2010/main" Requires="a14">
      <xdr:oneCellAnchor>
        <xdr:from>
          <xdr:col>1</xdr:col>
          <xdr:colOff>216029</xdr:colOff>
          <xdr:row>46</xdr:row>
          <xdr:rowOff>11793</xdr:rowOff>
        </xdr:from>
        <xdr:ext cx="2076450" cy="189794"/>
        <xdr:sp macro="" textlink="">
          <xdr:nvSpPr>
            <xdr:cNvPr id="46084" name="Option Button 4" hidden="1">
              <a:extLst>
                <a:ext uri="{63B3BB69-23CF-44E3-9099-C40C66FF867C}">
                  <a14:compatExt spid="_x0000_s46084"/>
                </a:ext>
                <a:ext uri="{FF2B5EF4-FFF2-40B4-BE49-F238E27FC236}">
                  <a16:creationId xmlns:a16="http://schemas.microsoft.com/office/drawing/2014/main" id="{D9406499-7CC2-4826-9C6B-14A64C179C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oneCellAnchor>
    </mc:Choice>
    <mc:Fallback/>
  </mc:AlternateContent>
  <mc:AlternateContent xmlns:mc="http://schemas.openxmlformats.org/markup-compatibility/2006">
    <mc:Choice xmlns:a14="http://schemas.microsoft.com/office/drawing/2010/main" Requires="a14">
      <xdr:oneCellAnchor>
        <xdr:from>
          <xdr:col>0</xdr:col>
          <xdr:colOff>288731</xdr:colOff>
          <xdr:row>30</xdr:row>
          <xdr:rowOff>161731</xdr:rowOff>
        </xdr:from>
        <xdr:ext cx="551744" cy="213077"/>
        <xdr:sp macro="" textlink="">
          <xdr:nvSpPr>
            <xdr:cNvPr id="46085" name="Button 5" hidden="1">
              <a:extLst>
                <a:ext uri="{63B3BB69-23CF-44E3-9099-C40C66FF867C}">
                  <a14:compatExt spid="_x0000_s46085"/>
                </a:ext>
                <a:ext uri="{FF2B5EF4-FFF2-40B4-BE49-F238E27FC236}">
                  <a16:creationId xmlns:a16="http://schemas.microsoft.com/office/drawing/2014/main" id="{3FF1E2EB-0373-49A9-9C0C-4B988C48617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Change</a:t>
              </a:r>
            </a:p>
          </xdr:txBody>
        </xdr:sp>
        <xdr:clientData/>
      </xdr:oneCellAnchor>
    </mc:Choice>
    <mc:Fallback/>
  </mc:AlternateContent>
  <xdr:twoCellAnchor editAs="oneCell">
    <xdr:from>
      <xdr:col>2</xdr:col>
      <xdr:colOff>1606939</xdr:colOff>
      <xdr:row>0</xdr:row>
      <xdr:rowOff>64796</xdr:rowOff>
    </xdr:from>
    <xdr:to>
      <xdr:col>3</xdr:col>
      <xdr:colOff>253771</xdr:colOff>
      <xdr:row>1</xdr:row>
      <xdr:rowOff>54469</xdr:rowOff>
    </xdr:to>
    <xdr:pic>
      <xdr:nvPicPr>
        <xdr:cNvPr id="14" name="Picture 13">
          <a:hlinkClick xmlns:r="http://schemas.openxmlformats.org/officeDocument/2006/relationships" r:id="rId3" tooltip="Jump to Help page"/>
          <a:extLst>
            <a:ext uri="{FF2B5EF4-FFF2-40B4-BE49-F238E27FC236}">
              <a16:creationId xmlns:a16="http://schemas.microsoft.com/office/drawing/2014/main" id="{4996410C-123B-4F32-823D-0DCDC5E9863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36327" y="64796"/>
          <a:ext cx="441679" cy="391408"/>
        </a:xfrm>
        <a:prstGeom prst="rect">
          <a:avLst/>
        </a:prstGeom>
      </xdr:spPr>
    </xdr:pic>
    <xdr:clientData/>
  </xdr:twoCellAnchor>
  <mc:AlternateContent xmlns:mc="http://schemas.openxmlformats.org/markup-compatibility/2006">
    <mc:Choice xmlns:a14="http://schemas.microsoft.com/office/drawing/2010/main" Requires="a14">
      <xdr:oneCellAnchor>
        <xdr:from>
          <xdr:col>0</xdr:col>
          <xdr:colOff>165100</xdr:colOff>
          <xdr:row>20</xdr:row>
          <xdr:rowOff>12700</xdr:rowOff>
        </xdr:from>
        <xdr:ext cx="571500" cy="190500"/>
        <xdr:sp macro="" textlink="">
          <xdr:nvSpPr>
            <xdr:cNvPr id="46086" name="Button 6" hidden="1">
              <a:extLst>
                <a:ext uri="{63B3BB69-23CF-44E3-9099-C40C66FF867C}">
                  <a14:compatExt spid="_x0000_s46086"/>
                </a:ext>
                <a:ext uri="{FF2B5EF4-FFF2-40B4-BE49-F238E27FC236}">
                  <a16:creationId xmlns:a16="http://schemas.microsoft.com/office/drawing/2014/main" id="{D3BDE822-15F5-4CF5-A3B3-E7D15EE772A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Change</a:t>
              </a:r>
            </a:p>
          </xdr:txBody>
        </xdr:sp>
        <xdr:clientData/>
      </xdr:oneCellAnchor>
    </mc:Choice>
    <mc:Fallback/>
  </mc:AlternateContent>
  <mc:AlternateContent xmlns:mc="http://schemas.openxmlformats.org/markup-compatibility/2006">
    <mc:Choice xmlns:a14="http://schemas.microsoft.com/office/drawing/2010/main" Requires="a14">
      <xdr:oneCellAnchor>
        <xdr:from>
          <xdr:col>0</xdr:col>
          <xdr:colOff>184150</xdr:colOff>
          <xdr:row>54</xdr:row>
          <xdr:rowOff>203200</xdr:rowOff>
        </xdr:from>
        <xdr:ext cx="571500" cy="215900"/>
        <xdr:sp macro="" textlink="">
          <xdr:nvSpPr>
            <xdr:cNvPr id="46087" name="Button 7" hidden="1">
              <a:extLst>
                <a:ext uri="{63B3BB69-23CF-44E3-9099-C40C66FF867C}">
                  <a14:compatExt spid="_x0000_s46087"/>
                </a:ext>
                <a:ext uri="{FF2B5EF4-FFF2-40B4-BE49-F238E27FC236}">
                  <a16:creationId xmlns:a16="http://schemas.microsoft.com/office/drawing/2014/main" id="{23081BC1-4E69-4A53-B3C7-5C59CC3AA4C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Change</a:t>
              </a:r>
            </a:p>
          </xdr:txBody>
        </xdr:sp>
        <xdr:clientData/>
      </xdr:oneCellAnchor>
    </mc:Choice>
    <mc:Fallback/>
  </mc:AlternateContent>
  <xdr:twoCellAnchor>
    <xdr:from>
      <xdr:col>0</xdr:col>
      <xdr:colOff>239744</xdr:colOff>
      <xdr:row>3</xdr:row>
      <xdr:rowOff>45358</xdr:rowOff>
    </xdr:from>
    <xdr:to>
      <xdr:col>4</xdr:col>
      <xdr:colOff>12959</xdr:colOff>
      <xdr:row>6</xdr:row>
      <xdr:rowOff>174949</xdr:rowOff>
    </xdr:to>
    <xdr:sp macro="" textlink="">
      <xdr:nvSpPr>
        <xdr:cNvPr id="8" name="Arrow: Chevron 7">
          <a:extLst>
            <a:ext uri="{FF2B5EF4-FFF2-40B4-BE49-F238E27FC236}">
              <a16:creationId xmlns:a16="http://schemas.microsoft.com/office/drawing/2014/main" id="{5799326C-F6F7-4A3E-9138-FD60EB2FB652}"/>
            </a:ext>
          </a:extLst>
        </xdr:cNvPr>
        <xdr:cNvSpPr/>
      </xdr:nvSpPr>
      <xdr:spPr>
        <a:xfrm flipH="1">
          <a:off x="239744" y="933062"/>
          <a:ext cx="3913674" cy="712754"/>
        </a:xfrm>
        <a:prstGeom prst="chevron">
          <a:avLst>
            <a:gd name="adj" fmla="val 18795"/>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chemeClr val="tx1"/>
              </a:solidFill>
              <a:latin typeface="Arial" panose="020B0604020202020204" pitchFamily="34" charset="0"/>
              <a:cs typeface="Arial" panose="020B0604020202020204" pitchFamily="34" charset="0"/>
            </a:rPr>
            <a:t>Skip</a:t>
          </a:r>
          <a:r>
            <a:rPr lang="en-US" sz="1400" baseline="0">
              <a:solidFill>
                <a:schemeClr val="tx1"/>
              </a:solidFill>
              <a:latin typeface="Arial" panose="020B0604020202020204" pitchFamily="34" charset="0"/>
              <a:cs typeface="Arial" panose="020B0604020202020204" pitchFamily="34" charset="0"/>
            </a:rPr>
            <a:t> to               or                  &amp; use defaults</a:t>
          </a:r>
          <a:endParaRPr lang="en-US" sz="1400">
            <a:solidFill>
              <a:schemeClr val="tx1"/>
            </a:solidFill>
            <a:latin typeface="Arial" panose="020B0604020202020204" pitchFamily="34" charset="0"/>
            <a:cs typeface="Arial" panose="020B0604020202020204" pitchFamily="34" charset="0"/>
          </a:endParaRPr>
        </a:p>
      </xdr:txBody>
    </xdr:sp>
    <xdr:clientData/>
  </xdr:twoCellAnchor>
  <xdr:twoCellAnchor editAs="oneCell">
    <xdr:from>
      <xdr:col>2</xdr:col>
      <xdr:colOff>168470</xdr:colOff>
      <xdr:row>3</xdr:row>
      <xdr:rowOff>90714</xdr:rowOff>
    </xdr:from>
    <xdr:to>
      <xdr:col>2</xdr:col>
      <xdr:colOff>881222</xdr:colOff>
      <xdr:row>6</xdr:row>
      <xdr:rowOff>116438</xdr:rowOff>
    </xdr:to>
    <xdr:pic>
      <xdr:nvPicPr>
        <xdr:cNvPr id="10" name="Picture 9">
          <a:extLst>
            <a:ext uri="{FF2B5EF4-FFF2-40B4-BE49-F238E27FC236}">
              <a16:creationId xmlns:a16="http://schemas.microsoft.com/office/drawing/2014/main" id="{AC4A45E6-D130-436B-9B87-5DF45944945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97858" y="978418"/>
          <a:ext cx="712752" cy="608887"/>
        </a:xfrm>
        <a:prstGeom prst="rect">
          <a:avLst/>
        </a:prstGeom>
      </xdr:spPr>
    </xdr:pic>
    <xdr:clientData/>
  </xdr:twoCellAnchor>
  <xdr:twoCellAnchor editAs="oneCell">
    <xdr:from>
      <xdr:col>2</xdr:col>
      <xdr:colOff>1114486</xdr:colOff>
      <xdr:row>3</xdr:row>
      <xdr:rowOff>97194</xdr:rowOff>
    </xdr:from>
    <xdr:to>
      <xdr:col>3</xdr:col>
      <xdr:colOff>136071</xdr:colOff>
      <xdr:row>6</xdr:row>
      <xdr:rowOff>116089</xdr:rowOff>
    </xdr:to>
    <xdr:pic>
      <xdr:nvPicPr>
        <xdr:cNvPr id="12" name="Picture 11">
          <a:extLst>
            <a:ext uri="{FF2B5EF4-FFF2-40B4-BE49-F238E27FC236}">
              <a16:creationId xmlns:a16="http://schemas.microsoft.com/office/drawing/2014/main" id="{D85085E2-80B1-45A4-A8A7-0CEA83C4A271}"/>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43874" y="984898"/>
          <a:ext cx="816432" cy="602058"/>
        </a:xfrm>
        <a:prstGeom prst="rect">
          <a:avLst/>
        </a:prstGeom>
      </xdr:spPr>
    </xdr:pic>
    <xdr:clientData/>
  </xdr:twoCellAnchor>
  <mc:AlternateContent xmlns:mc="http://schemas.openxmlformats.org/markup-compatibility/2006">
    <mc:Choice xmlns:a14="http://schemas.microsoft.com/office/drawing/2010/main" Requires="a14">
      <xdr:oneCellAnchor>
        <xdr:from>
          <xdr:col>0</xdr:col>
          <xdr:colOff>165100</xdr:colOff>
          <xdr:row>16</xdr:row>
          <xdr:rowOff>12700</xdr:rowOff>
        </xdr:from>
        <xdr:ext cx="571500" cy="190500"/>
        <xdr:sp macro="" textlink="">
          <xdr:nvSpPr>
            <xdr:cNvPr id="46088" name="Button 8" hidden="1">
              <a:extLst>
                <a:ext uri="{63B3BB69-23CF-44E3-9099-C40C66FF867C}">
                  <a14:compatExt spid="_x0000_s46088"/>
                </a:ext>
                <a:ext uri="{FF2B5EF4-FFF2-40B4-BE49-F238E27FC236}">
                  <a16:creationId xmlns:a16="http://schemas.microsoft.com/office/drawing/2014/main" id="{625A3B8C-0775-489A-84C3-51B18E9349B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Change</a:t>
              </a:r>
            </a:p>
          </xdr:txBody>
        </xdr:sp>
        <xdr:clientData/>
      </xdr:oneCellAnchor>
    </mc:Choice>
    <mc:Fallback/>
  </mc:AlternateContent>
  <mc:AlternateContent xmlns:mc="http://schemas.openxmlformats.org/markup-compatibility/2006">
    <mc:Choice xmlns:a14="http://schemas.microsoft.com/office/drawing/2010/main" Requires="a14">
      <xdr:oneCellAnchor>
        <xdr:from>
          <xdr:col>0</xdr:col>
          <xdr:colOff>165100</xdr:colOff>
          <xdr:row>30</xdr:row>
          <xdr:rowOff>12700</xdr:rowOff>
        </xdr:from>
        <xdr:ext cx="571500" cy="190500"/>
        <xdr:sp macro="" textlink="">
          <xdr:nvSpPr>
            <xdr:cNvPr id="46090" name="Button 10" hidden="1">
              <a:extLst>
                <a:ext uri="{63B3BB69-23CF-44E3-9099-C40C66FF867C}">
                  <a14:compatExt spid="_x0000_s46090"/>
                </a:ext>
                <a:ext uri="{FF2B5EF4-FFF2-40B4-BE49-F238E27FC236}">
                  <a16:creationId xmlns:a16="http://schemas.microsoft.com/office/drawing/2014/main" id="{D56E4908-EF03-47D5-BD97-BE46F9216BF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Change</a:t>
              </a:r>
            </a:p>
          </xdr:txBody>
        </xdr:sp>
        <xdr:clientData/>
      </xdr:oneCellAnchor>
    </mc:Choice>
    <mc:Fallback/>
  </mc:AlternateContent>
  <mc:AlternateContent xmlns:mc="http://schemas.openxmlformats.org/markup-compatibility/2006">
    <mc:Choice xmlns:a14="http://schemas.microsoft.com/office/drawing/2010/main" Requires="a14">
      <xdr:twoCellAnchor editAs="oneCell">
        <xdr:from>
          <xdr:col>0</xdr:col>
          <xdr:colOff>265663</xdr:colOff>
          <xdr:row>9</xdr:row>
          <xdr:rowOff>22548</xdr:rowOff>
        </xdr:from>
        <xdr:to>
          <xdr:col>2</xdr:col>
          <xdr:colOff>5313</xdr:colOff>
          <xdr:row>10</xdr:row>
          <xdr:rowOff>15939</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CA961E65-5ACB-4C66-8D84-86472636BA5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Test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91.882873726849" missingItemsLimit="0" createdVersion="6" refreshedVersion="6" minRefreshableVersion="3" recordCount="1">
  <cacheSource type="worksheet">
    <worksheetSource name="ckSplitsQ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String="0" containsBlank="1" count="1">
        <m/>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unt="1">
        <m/>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String="0" containsBlank="1" count="1">
        <m/>
      </sharedItems>
    </cacheField>
    <cacheField name="pi_last_name" numFmtId="22">
      <sharedItems containsNonDate="0" containsString="0" containsBlank="1" count="1">
        <m/>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91.882873842595" missingItemsLimit="0" createdVersion="6" refreshedVersion="6" minRefreshableVersion="3" recordCount="1">
  <cacheSource type="worksheet">
    <worksheetSource name="RADataQTable"/>
  </cacheSource>
  <cacheFields count="136">
    <cacheField name="dd_rcom_date" numFmtId="165">
      <sharedItems containsSemiMixedTypes="0" containsNonDate="0" containsDate="1" containsString="0" minDate="2000-01-01T00:00:00" maxDate="2000-01-02T00:00:00"/>
    </cacheField>
    <cacheField name="nsf_rcvd_date" numFmtId="168">
      <sharedItems containsSemiMixedTypes="0" containsNonDate="0" containsDate="1" containsString="0" minDate="2000-01-01T00:00:00" maxDate="2000-01-02T00:00: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acheField>
    <cacheField name="PO" numFmtId="0">
      <sharedItems/>
    </cacheField>
    <cacheField name="RAupdate" numFmtId="168">
      <sharedItems containsSemiMixedTypes="0" containsNonDate="0" containsDate="1" containsString="0" minDate="2000-01-01T00:00:00" maxDate="2000-01-02T00:00:00"/>
    </cacheField>
    <cacheField name="nPanl" numFmtId="0">
      <sharedItems containsSemiMixedTypes="0" containsString="0" containsNumber="1" containsInteger="1" minValue="0" maxValue="0"/>
    </cacheField>
    <cacheField name="RecRkMin" numFmtId="2">
      <sharedItems containsSemiMixedTypes="0" containsString="0" containsNumber="1" minValue="-0.99999998999999995" maxValue="-0.99999998999999995"/>
    </cacheField>
    <cacheField name="rec0" numFmtId="0">
      <sharedItems/>
    </cacheField>
    <cacheField name="rec1" numFmtId="0">
      <sharedItems/>
    </cacheField>
    <cacheField name="rec2" numFmtId="0">
      <sharedItems/>
    </cacheField>
    <cacheField name="RAtemplate" numFmtId="49">
      <sharedItems count="1">
        <s v="zztemplateFname RAt.docx"/>
      </sharedItems>
    </cacheField>
    <cacheField name="Radraft_filename" numFmtId="49">
      <sharedItems/>
    </cacheField>
    <cacheField name="RApre_note" numFmtId="49">
      <sharedItems containsNonDate="0" containsString="0" containsBlank="1"/>
    </cacheField>
    <cacheField name="RAps_note" numFmtId="49">
      <sharedItems containsNonDate="0" containsString="0" containsBlank="1"/>
    </cacheField>
    <cacheField name="RAsigner" numFmtId="0">
      <sharedItems/>
    </cacheField>
    <cacheField name="RAsigner2" numFmtId="49">
      <sharedItems/>
    </cacheField>
    <cacheField name="ej" numFmtId="0">
      <sharedItems/>
    </cacheField>
    <cacheField name="@PI" numFmtId="0">
      <sharedItems/>
    </cacheField>
    <cacheField name="@allPIs" numFmtId="0">
      <sharedItems/>
    </cacheField>
    <cacheField name="Div" numFmtId="0">
      <sharedItems/>
    </cacheField>
    <cacheField name="lead" numFmtId="0">
      <sharedItems/>
    </cacheField>
    <cacheField name="Nrev" numFmtId="0">
      <sharedItems containsSemiMixedTypes="0" containsString="0" containsNumber="1" containsInteger="1" minValue="0" maxValue="0"/>
    </cacheField>
    <cacheField name="Nunmkd" numFmtId="0">
      <sharedItems containsSemiMixedTypes="0" containsString="0" containsNumber="1" containsInteger="1" minValue="0" maxValue="0"/>
    </cacheField>
    <cacheField name="Nunrlsbl" numFmtId="0">
      <sharedItems containsSemiMixedTypes="0" containsString="0" containsNumber="1" containsInteger="1" minValue="0" maxValue="0"/>
    </cacheField>
    <cacheField name="divergentReviews" numFmtId="0">
      <sharedItems/>
    </cacheField>
    <cacheField name="minScore" numFmtId="0">
      <sharedItems containsSemiMixedTypes="0" containsString="0" containsNumber="1" containsInteger="1" minValue="1" maxValue="1"/>
    </cacheField>
    <cacheField name="avg_score" numFmtId="2">
      <sharedItems containsSemiMixedTypes="0" containsString="0" containsNumber="1" minValue="4.5" maxValue="4.5"/>
    </cacheField>
    <cacheField name="maxScore" numFmtId="0">
      <sharedItems containsSemiMixedTypes="0" containsString="0" containsNumber="1" containsInteger="1" minValue="9" maxValue="9"/>
    </cacheField>
    <cacheField name="allReviews" numFmtId="0">
      <sharedItems/>
    </cacheField>
    <cacheField name="last_rev_date" numFmtId="165">
      <sharedItems containsSemiMixedTypes="0" containsNonDate="0" containsDate="1" containsString="0" minDate="2000-01-01T00:00:00" maxDate="2000-01-02T00:00:00"/>
    </cacheField>
    <cacheField name="rqst_tot" numFmtId="166">
      <sharedItems containsSemiMixedTypes="0" containsString="0" containsNumber="1" containsInteger="1" minValue="99999999" maxValue="99999999"/>
    </cacheField>
    <cacheField name="budg_tot" numFmtId="166">
      <sharedItems containsSemiMixedTypes="0" containsString="0" containsNumber="1" containsInteger="1" minValue="99999999" maxValue="99999999"/>
    </cacheField>
    <cacheField name="budRevnMax" numFmtId="0">
      <sharedItems containsSemiMixedTypes="0" containsString="0" containsNumber="1" containsInteger="1" minValue="0" maxValue="0"/>
    </cacheField>
    <cacheField name="rqst_eff_date" numFmtId="165">
      <sharedItems containsSemiMixedTypes="0" containsNonDate="0" containsDate="1" containsString="0" minDate="2000-01-01T00:00:00" maxDate="2000-01-02T00:00:00"/>
    </cacheField>
    <cacheField name="rqst_mnth_cnt" numFmtId="0">
      <sharedItems containsSemiMixedTypes="0" containsString="0" containsNumber="1" containsInteger="1" minValue="36" maxValue="36"/>
    </cacheField>
    <cacheField name="prop_titl_txt" numFmtId="0">
      <sharedItems/>
    </cacheField>
    <cacheField name="AhNrev" numFmtId="0">
      <sharedItems containsSemiMixedTypes="0" containsString="0" containsNumber="1" containsInteger="1" minValue="0" maxValue="0"/>
    </cacheField>
    <cacheField name="AhRevs" numFmtId="0">
      <sharedItems/>
    </cacheField>
    <cacheField name="AhLast" numFmtId="165">
      <sharedItems containsSemiMixedTypes="0" containsNonDate="0" containsDate="1" containsString="0" minDate="2000-01-01T00:00:00" maxDate="2000-01-02T00:00:00"/>
    </cacheField>
    <cacheField name="panl_id0" numFmtId="0">
      <sharedItems/>
    </cacheField>
    <cacheField name="RCOM_TXT0" numFmtId="0">
      <sharedItems/>
    </cacheField>
    <cacheField name="rank0" numFmtId="0">
      <sharedItems containsSemiMixedTypes="0" containsString="0" containsNumber="1" containsInteger="1" minValue="99" maxValue="99"/>
    </cacheField>
    <cacheField name="panl_name0" numFmtId="0">
      <sharedItems/>
    </cacheField>
    <cacheField name="panl_end0" numFmtId="165">
      <sharedItems containsSemiMixedTypes="0" containsNonDate="0" containsDate="1" containsString="0" minDate="2000-01-01T00:00:00" maxDate="2000-01-02T00:00:00"/>
    </cacheField>
    <cacheField name="revs0" numFmtId="0">
      <sharedItems/>
    </cacheField>
    <cacheField name="PanlString0" numFmtId="0">
      <sharedItems/>
    </cacheField>
    <cacheField name="pnlst0" numFmtId="0">
      <sharedItems containsSemiMixedTypes="0" containsString="0" containsNumber="1" containsInteger="1" minValue="0" maxValue="0"/>
    </cacheField>
    <cacheField name="confl0" numFmtId="0">
      <sharedItems containsSemiMixedTypes="0" containsString="0" containsNumber="1" containsInteger="1" minValue="0" maxValue="0"/>
    </cacheField>
    <cacheField name="panl_id1" numFmtId="0">
      <sharedItems/>
    </cacheField>
    <cacheField name="RCOM_TXT1" numFmtId="0">
      <sharedItems/>
    </cacheField>
    <cacheField name="rank1" numFmtId="0">
      <sharedItems containsSemiMixedTypes="0" containsString="0" containsNumber="1" containsInteger="1" minValue="99" maxValue="99"/>
    </cacheField>
    <cacheField name="panl_name1" numFmtId="0">
      <sharedItems/>
    </cacheField>
    <cacheField name="panl_end1" numFmtId="165">
      <sharedItems containsSemiMixedTypes="0" containsNonDate="0" containsDate="1" containsString="0" minDate="2000-01-01T00:00:00" maxDate="2000-01-02T00:00:00"/>
    </cacheField>
    <cacheField name="revs1" numFmtId="0">
      <sharedItems/>
    </cacheField>
    <cacheField name="PanlString1" numFmtId="0">
      <sharedItems/>
    </cacheField>
    <cacheField name="pnlst1" numFmtId="0">
      <sharedItems containsSemiMixedTypes="0" containsString="0" containsNumber="1" containsInteger="1" minValue="0" maxValue="0"/>
    </cacheField>
    <cacheField name="confl1" numFmtId="0">
      <sharedItems containsSemiMixedTypes="0" containsString="0" containsNumber="1" containsInteger="1" minValue="0" maxValue="0"/>
    </cacheField>
    <cacheField name="panl_id2" numFmtId="0">
      <sharedItems/>
    </cacheField>
    <cacheField name="RCOM_TXT2" numFmtId="0">
      <sharedItems/>
    </cacheField>
    <cacheField name="rank2" numFmtId="0">
      <sharedItems containsSemiMixedTypes="0" containsString="0" containsNumber="1" containsInteger="1" minValue="99" maxValue="99"/>
    </cacheField>
    <cacheField name="panl_name2" numFmtId="0">
      <sharedItems/>
    </cacheField>
    <cacheField name="panl_end2" numFmtId="165">
      <sharedItems containsSemiMixedTypes="0" containsNonDate="0" containsDate="1" containsString="0" minDate="2000-01-01T00:00:00" maxDate="2000-01-02T00:00:00"/>
    </cacheField>
    <cacheField name="revs2" numFmtId="0">
      <sharedItems/>
    </cacheField>
    <cacheField name="PanlString2" numFmtId="0">
      <sharedItems/>
    </cacheField>
    <cacheField name="pnlst2" numFmtId="0">
      <sharedItems containsSemiMixedTypes="0" containsString="0" containsNumber="1" containsInteger="1" minValue="0" maxValue="0"/>
    </cacheField>
    <cacheField name="confl2" numFmtId="0">
      <sharedItems containsSemiMixedTypes="0" containsString="0" containsNumber="1" containsInteger="1" minValue="0" maxValue="0"/>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99999999" maxValue="99999999"/>
    </cacheField>
    <cacheField name="b0tot" numFmtId="166">
      <sharedItems containsSemiMixedTypes="0" containsString="0" containsNumber="1" containsInteger="1" minValue="99999999" maxValue="99999999"/>
    </cacheField>
    <cacheField name="PRC0" numFmtId="0">
      <sharedItems/>
    </cacheField>
    <cacheField name="prop_id1" numFmtId="0">
      <sharedItems/>
    </cacheField>
    <cacheField name="last1" numFmtId="0">
      <sharedItems/>
    </cacheField>
    <cacheField name="frst1" numFmtId="0">
      <sharedItems/>
    </cacheField>
    <cacheField name="inst1" numFmtId="0">
      <sharedItems/>
    </cacheField>
    <cacheField name="rqst1" numFmtId="166">
      <sharedItems containsSemiMixedTypes="0" containsString="0" containsNumber="1" containsInteger="1" minValue="99999999" maxValue="99999999"/>
    </cacheField>
    <cacheField name="b1tot" numFmtId="166">
      <sharedItems containsSemiMixedTypes="0" containsString="0" containsNumber="1" containsInteger="1" minValue="99999999" maxValue="99999999"/>
    </cacheField>
    <cacheField name="PRC1" numFmtId="0">
      <sharedItems/>
    </cacheField>
    <cacheField name="prop_id2" numFmtId="0">
      <sharedItems/>
    </cacheField>
    <cacheField name="last2" numFmtId="0">
      <sharedItems/>
    </cacheField>
    <cacheField name="frst2" numFmtId="0">
      <sharedItems/>
    </cacheField>
    <cacheField name="inst2" numFmtId="0">
      <sharedItems/>
    </cacheField>
    <cacheField name="rqst2" numFmtId="166">
      <sharedItems containsSemiMixedTypes="0" containsString="0" containsNumber="1" containsInteger="1" minValue="99999999" maxValue="99999999"/>
    </cacheField>
    <cacheField name="b2tot" numFmtId="166">
      <sharedItems containsSemiMixedTypes="0" containsString="0" containsNumber="1" containsInteger="1" minValue="99999999" maxValue="99999999"/>
    </cacheField>
    <cacheField name="PRC2" numFmtId="0">
      <sharedItems/>
    </cacheField>
    <cacheField name="prop_id3" numFmtId="0">
      <sharedItems/>
    </cacheField>
    <cacheField name="last3" numFmtId="0">
      <sharedItems/>
    </cacheField>
    <cacheField name="frst3" numFmtId="0">
      <sharedItems/>
    </cacheField>
    <cacheField name="inst3" numFmtId="0">
      <sharedItems/>
    </cacheField>
    <cacheField name="rqst3" numFmtId="166">
      <sharedItems containsSemiMixedTypes="0" containsString="0" containsNumber="1" containsInteger="1" minValue="99999999" maxValue="99999999"/>
    </cacheField>
    <cacheField name="b3tot" numFmtId="166">
      <sharedItems containsSemiMixedTypes="0" containsString="0" containsNumber="1" containsInteger="1" minValue="99999999" maxValue="99999999"/>
    </cacheField>
    <cacheField name="PRC3" numFmtId="0">
      <sharedItems/>
    </cacheField>
    <cacheField name="prop_id4" numFmtId="0">
      <sharedItems/>
    </cacheField>
    <cacheField name="last4" numFmtId="0">
      <sharedItems/>
    </cacheField>
    <cacheField name="frst4" numFmtId="0">
      <sharedItems/>
    </cacheField>
    <cacheField name="inst4" numFmtId="0">
      <sharedItems/>
    </cacheField>
    <cacheField name="rqst4" numFmtId="166">
      <sharedItems containsSemiMixedTypes="0" containsString="0" containsNumber="1" containsInteger="1" minValue="99999999" maxValue="99999999"/>
    </cacheField>
    <cacheField name="b4tot" numFmtId="166">
      <sharedItems containsSemiMixedTypes="0" containsString="0" containsNumber="1" containsInteger="1" minValue="99999999" maxValue="99999999"/>
    </cacheField>
    <cacheField name="PRC4" numFmtId="0">
      <sharedItems/>
    </cacheField>
    <cacheField name="prop_id5" numFmtId="0">
      <sharedItems/>
    </cacheField>
    <cacheField name="last5" numFmtId="0">
      <sharedItems/>
    </cacheField>
    <cacheField name="frst5" numFmtId="0">
      <sharedItems/>
    </cacheField>
    <cacheField name="inst5" numFmtId="0">
      <sharedItems/>
    </cacheField>
    <cacheField name="rqst5" numFmtId="166">
      <sharedItems containsSemiMixedTypes="0" containsString="0" containsNumber="1" containsInteger="1" minValue="99999999" maxValue="99999999"/>
    </cacheField>
    <cacheField name="b5tot" numFmtId="166">
      <sharedItems containsSemiMixedTypes="0" containsString="0" containsNumber="1" containsInteger="1" minValue="99999999" maxValue="99999999"/>
    </cacheField>
    <cacheField name="PRC5" numFmtId="0">
      <sharedItems/>
    </cacheField>
    <cacheField name="prop_id6" numFmtId="0">
      <sharedItems/>
    </cacheField>
    <cacheField name="last6" numFmtId="0">
      <sharedItems/>
    </cacheField>
    <cacheField name="frst6" numFmtId="0">
      <sharedItems/>
    </cacheField>
    <cacheField name="inst6" numFmtId="0">
      <sharedItems/>
    </cacheField>
    <cacheField name="rqst6" numFmtId="166">
      <sharedItems containsSemiMixedTypes="0" containsString="0" containsNumber="1" containsInteger="1" minValue="99999999" maxValue="99999999"/>
    </cacheField>
    <cacheField name="b6tot" numFmtId="166">
      <sharedItems containsSemiMixedTypes="0" containsString="0" containsNumber="1" containsInteger="1" minValue="99999999" maxValue="99999999"/>
    </cacheField>
    <cacheField name="PRC6" numFmtId="0">
      <sharedItems/>
    </cacheField>
    <cacheField name="solicitation" numFmtId="0">
      <sharedItems/>
    </cacheField>
    <cacheField name="Div_name" numFmtId="0">
      <sharedItems/>
    </cacheField>
    <cacheField name="pgm_ele_name" numFmtId="0">
      <sharedItems/>
    </cacheField>
    <cacheField name="sign_blck_name" numFmtId="49">
      <sharedItems/>
    </cacheField>
    <cacheField name="prop_stts_txt" numFmtId="0">
      <sharedItems/>
    </cacheField>
    <cacheField name="natr_rqst_txt" numFmtId="0">
      <sharedItems/>
    </cacheField>
    <cacheField name="obj_clas_name"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00-01-02T00:00:00"/>
    </cacheField>
    <cacheField name="email" numFmtId="0">
      <sharedItems/>
    </cacheField>
    <cacheField name="allPIemail" numFmtId="0">
      <sharedItems/>
    </cacheField>
    <cacheField name="conflrev0" numFmtId="0">
      <sharedItems/>
    </cacheField>
    <cacheField name="conflrev1" numFmtId="0">
      <sharedItems/>
    </cacheField>
    <cacheField name="conflrev2"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Cache/pivotCacheRecords2.xml><?xml version="1.0" encoding="utf-8"?>
<pivotCacheRecords xmlns="http://schemas.openxmlformats.org/spreadsheetml/2006/main" xmlns:r="http://schemas.openxmlformats.org/officeDocument/2006/relationships" count="1">
  <r>
    <d v="2000-01-01T00:00:00"/>
    <d v="2000-01-01T00:00:00"/>
    <s v=".first line."/>
    <s v="..please"/>
    <s v="keep"/>
    <s v="for"/>
    <s v="mail"/>
    <s v="merge"/>
    <s v="formatting."/>
    <s v="thx."/>
    <d v="2000-01-01T00:00:00"/>
    <n v="0"/>
    <n v="-0.99999998999999995"/>
    <s v="NRFP"/>
    <s v="NRFP"/>
    <s v="NRFP"/>
    <x v="0"/>
    <s v="zztemplateFname  1234567 PI last name for format."/>
    <m/>
    <m/>
    <s v="Name for PO signature"/>
    <s v="Cognizant Program Director"/>
    <s v="eJ"/>
    <s v="Email of lead PI on the project"/>
    <s v="PIs@"/>
    <s v="Divn"/>
    <s v="1234567"/>
    <n v="0"/>
    <n v="0"/>
    <n v="0"/>
    <s v="Y"/>
    <n v="1"/>
    <n v="4.5"/>
    <n v="9"/>
    <s v="E,E/V,V,V/G,G,G/F,F,F/P,P"/>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Object Class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s v="List of conflicted panelists separated by semicolons. Not everyone will need this list, but some divisions request this information, so I am seeing if we can provide it. There is a limit of seven names returned, though all will be counted."/>
    <s v="List of conflicted panelists separated by semicolons. Not everyone will need this list, but some divisions request this information, so I am seeing if we can provide it. There is a limit of seven names returned, though all will be counted."/>
    <s v="List of conflicted panelists separated by semicolons. Not everyone will need this list, but some divisions request this information, so I am seeing if we can provide it. There is a limit of seven names returned, though all will be counte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ubtotalTop="0" showAll="0"/>
    <pivotField subtotalTop="0" showAll="0"/>
    <pivotField subtotalTop="0" showAll="0"/>
    <pivotField axis="axisCol" subtotalTop="0" showAll="0">
      <items count="2">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1">
        <item x="0"/>
      </items>
    </pivotField>
    <pivotField axis="axisRow" subtotalTop="0" showAll="0" defaultSubtotal="0">
      <items count="1">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x/>
    </i>
    <i r="2">
      <x/>
    </i>
    <i t="grand">
      <x/>
    </i>
  </rowItems>
  <colFields count="1">
    <field x="15"/>
  </colFields>
  <colItems count="2">
    <i>
      <x/>
    </i>
    <i t="grand">
      <x/>
    </i>
  </colItems>
  <dataFields count="1">
    <dataField name="Sum of budg_splt_tot_dol" fld="17" baseField="0" baseItem="0" numFmtId="166"/>
  </dataFields>
  <formats count="3">
    <format dxfId="62">
      <pivotArea outline="0" collapsedLevelsAreSubtotals="1" fieldPosition="0"/>
    </format>
    <format dxfId="61">
      <pivotArea outline="0" collapsedLevelsAreSubtotals="1" fieldPosition="0"/>
    </format>
    <format dxfId="6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5:E17" firstHeaderRow="1" firstDataRow="1" firstDataCol="1"/>
  <pivotFields count="136">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 showAll="0"/>
    <pivotField showAll="0"/>
    <pivotField showAll="0"/>
  </pivotFields>
  <rowFields count="1">
    <field x="16"/>
  </rowFields>
  <rowItems count="2">
    <i>
      <x/>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29">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148">
    <queryTableFields count="136">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 id="145" name="conflrev0" tableColumnId="126"/>
      <queryTableField id="146" name="conflrev1" tableColumnId="127"/>
      <queryTableField id="147" name="conflrev2" tableColumnId="128"/>
    </queryTableFields>
  </queryTableRefresh>
</queryTable>
</file>

<file path=xl/queryTables/queryTable5.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283">
    <queryTableFields count="3">
      <queryTableField id="280" name="revr_id" tableColumnId="1"/>
      <queryTableField id="281" name="inst_shrt_name" tableColumnId="2"/>
      <queryTableField id="282" name="Panelist" tableColumnId="3"/>
    </queryTableFields>
  </queryTableRefresh>
</queryTable>
</file>

<file path=xl/queryTables/queryTable6.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8.xml><?xml version="1.0" encoding="utf-8"?>
<queryTable xmlns="http://schemas.openxmlformats.org/spreadsheetml/2006/main" name="Query from RPTSERVER" adjustColumnWidth="0" connectionId="9"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9.xml><?xml version="1.0" encoding="utf-8"?>
<queryTable xmlns="http://schemas.openxmlformats.org/spreadsheetml/2006/main" name="Query from RPTSERVER" backgroundRefresh="0" adjustColumnWidth="0" connectionId="7"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queryTables/queryTable10.xml><?xml version="1.0" encoding="utf-8"?>
<queryTable xmlns="http://schemas.openxmlformats.org/spreadsheetml/2006/main" name="Query from RPTSERVER" connectionId="10" autoFormatId="16" applyNumberFormats="0" applyBorderFormats="0" applyFontFormats="0" applyPatternFormats="0" applyAlignmentFormats="0" applyWidthHeightFormats="0">
  <queryTableRefresh nextId="5">
    <queryTableFields count="2">
      <queryTableField id="3" name="db_name" tableColumnId="3"/>
      <queryTableField id="4" name="tbl_name" tableColumnId="4"/>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id="8" name="AwdPropTable" displayName="AwdPropTable" ref="B15:B16" insertRow="1" totalsRowShown="0" dataDxfId="256">
  <autoFilter ref="B15:B16"/>
  <tableColumns count="1">
    <tableColumn id="1" name="prop_id" dataDxfId="255"/>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5:E16" insertRow="1" totalsRowShown="0" dataDxfId="254">
  <autoFilter ref="E15:E16"/>
  <tableColumns count="1">
    <tableColumn id="1" name="prop_id" dataDxfId="253"/>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5:H16" insertRow="1" totalsRowShown="0" dataDxfId="252">
  <autoFilter ref="H15:H16"/>
  <tableColumns count="1">
    <tableColumn id="1" name="prop_id" dataDxfId="251"/>
  </tableColumns>
  <tableStyleInfo name="TableStyleMedium3 2" showFirstColumn="0" showLastColumn="0" showRowStripes="1" showColumnStripes="0"/>
</table>
</file>

<file path=xl/tables/table4.xml><?xml version="1.0" encoding="utf-8"?>
<table xmlns="http://schemas.openxmlformats.org/spreadsheetml/2006/main" id="14" name="StdNDPDeclPropTable" displayName="StdNDPDeclPropTable" ref="K15:K16" insertRow="1" totalsRowShown="0" dataDxfId="250">
  <autoFilter ref="K15:K16"/>
  <tableColumns count="1">
    <tableColumn id="1" name="prop_id" dataDxfId="249"/>
  </tableColumns>
  <tableStyleInfo name="TableStyleMedium8" showFirstColumn="0" showLastColumn="0" showRowStripes="1" showColumnStripes="0"/>
</table>
</file>

<file path=xl/tables/table5.xml><?xml version="1.0" encoding="utf-8"?>
<table xmlns="http://schemas.openxmlformats.org/spreadsheetml/2006/main" id="15" name="Table15" displayName="Table15" ref="N14:O35" totalsRowShown="0" headerRowDxfId="248">
  <tableColumns count="2">
    <tableColumn id="1" name="Where to find:" dataDxfId="247"/>
    <tableColumn id="2" name="link" dataCellStyle="Hyperlink"/>
  </tableColumns>
  <tableStyleInfo name="Table Style 1" showFirstColumn="0" showLastColumn="0" showRowStripes="1" showColumnStripes="0"/>
</table>
</file>

<file path=xl/tables/table6.xml><?xml version="1.0" encoding="utf-8"?>
<table xmlns="http://schemas.openxmlformats.org/spreadsheetml/2006/main" id="3" name="ckCodingQTable" displayName="ckCodingQTable" ref="A1:BL2" tableType="queryTable" insertRow="1" totalsRowShown="0">
  <autoFilter ref="A1:BL2"/>
  <tableColumns count="64">
    <tableColumn id="123" uniqueName="123" name="dd_rcom_date" queryTableFieldId="1" dataDxfId="246"/>
    <tableColumn id="124" uniqueName="124" name="nsf_rcvd_date" queryTableFieldId="2" dataDxfId="245"/>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44"/>
    <tableColumn id="131" uniqueName="131" name="bas_rsch_pct" queryTableFieldId="9" dataDxfId="243"/>
    <tableColumn id="132" uniqueName="132" name="other_pct" queryTableFieldId="10" dataDxfId="242"/>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IF(SUM(ckCodingQTable[[#This Row],[NfmlPIs]:[NnonWhtAsnPIs]])&gt;0,"WMD","")</calculatedColumnFormula>
    </tableColumn>
    <tableColumn id="188" uniqueName="188" name="epscor" queryTableFieldId="67">
      <calculatedColumnFormula>_xlfn.XOR(IFERROR(MATCH(ckCodingQTable[[#This Row],[st_code]],EpscorTable[],0)&gt;0,FALSE),IFERROR(FIND("9150",ckCodingQTable[[#This Row],[propPRCs]])&gt;0,FALSE))</calculatedColumnFormula>
    </tableColumn>
    <tableColumn id="189" uniqueName="189" name="dmog" queryTableFieldId="66" dataDxfId="241">
      <calculatedColumnFormula>_xlfn.XOR(ckCodingQTable[[#This Row],[wmd]]&lt;&gt;"",IFERROR(FIND("9102",ckCodingQTable[[#This Row],[propPRCs]])&gt;0,FALSE))</calculatedColumnFormula>
    </tableColumn>
    <tableColumn id="135" uniqueName="135" name="propPRCs" queryTableFieldId="13"/>
    <tableColumn id="137" uniqueName="137" name="RAupdate" queryTableFieldId="15" dataDxfId="240"/>
    <tableColumn id="186" uniqueName="186" name="0" queryTableFieldId="65" dataDxfId="239">
      <calculatedColumnFormula>S1+(ckCodingQTable[[#This Row],[ILN]]&lt;"M")</calculatedColumnFormula>
    </tableColumn>
    <tableColumn id="139" uniqueName="139" name="ILN" queryTableFieldId="17" dataDxfId="238"/>
    <tableColumn id="138" uniqueName="138" name="lead" queryTableFieldId="16"/>
    <tableColumn id="185" uniqueName="185" name="eJ" queryTableFieldId="64" dataCellStyle="Hyperlink">
      <calculatedColumnFormula>HYPERLINK("https://www.ejacket.nsf.gov/ej/showProposal.do?ID="&amp;ckCodingQTable[[#This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37" dataCellStyle="Hyperlink">
      <calculatedColumnFormula>HYPERLINK("mailto:"&amp;ckCodingQTable[[#This Row],[email]]&amp;"&amp;subject=Your NSF Proposal:  "&amp;ckCodingQTable[[#This Row],[Div]]&amp;" "&amp;ckCodingQTable[[#This Row],[prop_id]], ckCodingQTable[[#This Row],[email]])</calculatedColumnFormula>
    </tableColumn>
    <tableColumn id="145" uniqueName="145" name="rqst_eff_date" queryTableFieldId="23" dataDxfId="236"/>
    <tableColumn id="146" uniqueName="146" name="rqst_mnth_cnt" queryTableFieldId="24"/>
    <tableColumn id="147" uniqueName="147" name="nPanl" queryTableFieldId="25"/>
    <tableColumn id="149" uniqueName="149" name="nPSunrls" queryTableFieldId="27"/>
    <tableColumn id="148" uniqueName="148" name="nPSunmrkd" queryTableFieldId="26" dataDxfId="235"/>
    <tableColumn id="152" uniqueName="152" name="allReviews" queryTableFieldId="30"/>
    <tableColumn id="153" uniqueName="153" name="avg_score" queryTableFieldId="31" dataDxfId="234"/>
    <tableColumn id="154" uniqueName="154" name="last_rev_date" queryTableFieldId="32" dataDxfId="233"/>
    <tableColumn id="156" uniqueName="156" name="Nconfl" queryTableFieldId="34" dataDxfId="232"/>
    <tableColumn id="151" uniqueName="151" name="nRev" queryTableFieldId="29"/>
    <tableColumn id="157" uniqueName="157" name="Nunrlsbl" queryTableFieldId="35"/>
    <tableColumn id="155" uniqueName="155" name="Nunmkd" queryTableFieldId="33" dataDxfId="231"/>
    <tableColumn id="158" uniqueName="158" name="NrlsdCDNPS" queryTableFieldId="36" dataDxfId="230"/>
    <tableColumn id="159" uniqueName="159" name="NpendSlct" queryTableFieldId="37" dataDxfId="229"/>
    <tableColumn id="160" uniqueName="160" name="NdiffFLeJ" queryTableFieldId="38" dataDxfId="228"/>
    <tableColumn id="5" uniqueName="5" name="eJ again" queryTableFieldId="81" dataCellStyle="Hyperlink">
      <calculatedColumnFormula>HYPERLINK("https://www.ejacket.nsf.gov/ej/showProposal.do?ID="&amp;ckCodingQTable[[#This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IF(ckCodingQTable[[#This Row],[ILN]]="N",SUBSTITUTE(AT1," ","")&lt;&gt;SUBSTITUTE(ckCodingQTable[[#This Row],[prop_titl_txt]]," ",""), FALSE)</calculatedColumnFormula>
    </tableColumn>
    <tableColumn id="163" uniqueName="163" name="brevn" queryTableFieldId="41"/>
    <tableColumn id="164" uniqueName="164" name="rqst_tot" queryTableFieldId="42" dataDxfId="227" dataCellStyle="Currency"/>
    <tableColumn id="165" uniqueName="165" name="budg_tot" queryTableFieldId="43" dataDxfId="226" dataCellStyle="Currency"/>
    <tableColumn id="166" uniqueName="166" name="sub_ctr_tot" queryTableFieldId="44" dataDxfId="225" dataCellStyle="Currency"/>
    <tableColumn id="167" uniqueName="167" name="frgn_trav_tot" queryTableFieldId="45" dataDxfId="224" dataCellStyle="Currency"/>
    <tableColumn id="168" uniqueName="168" name="pdoc_tot" queryTableFieldId="46" dataDxfId="223" dataCellStyle="Currency"/>
    <tableColumn id="169" uniqueName="169" name="part_tot_dol" queryTableFieldId="47" dataDxfId="222"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7.xml><?xml version="1.0" encoding="utf-8"?>
<table xmlns="http://schemas.openxmlformats.org/spreadsheetml/2006/main" id="7" name="ckAwdQTable" displayName="ckAwdQTable" ref="A1:AX2" tableType="queryTable" insertRow="1" totalsRowShown="0">
  <autoFilter ref="A1:AX2"/>
  <tableColumns count="50">
    <tableColumn id="1" uniqueName="1" name="dd_rcom_date" queryTableFieldId="214" dataDxfId="221"/>
    <tableColumn id="4" uniqueName="4" name="nsf_rcvd_date" queryTableFieldId="4" dataDxfId="220"/>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219"/>
    <tableColumn id="39" uniqueName="39" name="natr_rqst_abbr" queryTableFieldId="280" dataDxfId="218"/>
    <tableColumn id="49" uniqueName="49" name="rcom_istr_abbr" queryTableFieldId="281" dataDxfId="217"/>
    <tableColumn id="19" uniqueName="19" name="obj_clas_code" queryTableFieldId="221"/>
    <tableColumn id="11" uniqueName="11" name="cntx_stmt_id" queryTableFieldId="11"/>
    <tableColumn id="32" uniqueName="32" name="RAupdate" queryTableFieldId="254" dataDxfId="216"/>
    <tableColumn id="25" uniqueName="25" name="0" queryTableFieldId="230" dataDxfId="215">
      <calculatedColumnFormula xml:space="preserve"> M1+(ckAwdQTable[ILN]&lt;"M")</calculatedColumnFormula>
    </tableColumn>
    <tableColumn id="2" uniqueName="2" name="ILN" queryTableFieldId="215"/>
    <tableColumn id="3" uniqueName="3" name="lead" queryTableFieldId="216"/>
    <tableColumn id="205" uniqueName="205" name="eJ" queryTableFieldId="213" dataDxfId="214" dataCellStyle="Hyperlink">
      <calculatedColumnFormula>HYPERLINK("https://www.ejacket.nsf.gov/ej/showProposal.do?ID="&amp;ckAwdQTable[[#This Row],[prop_id]],"eJ")</calculatedColumnFormula>
    </tableColumn>
    <tableColumn id="27" uniqueName="27" name="Div" queryTableFieldId="282" dataDxfId="213"/>
    <tableColumn id="12" uniqueName="12" name="prop_id" queryTableFieldId="12"/>
    <tableColumn id="13" uniqueName="13" name="pi_last_name" queryTableFieldId="13"/>
    <tableColumn id="14" uniqueName="14" name="pi_frst_name" queryTableFieldId="14"/>
    <tableColumn id="24" uniqueName="24" name="inst" queryTableFieldId="283" dataDxfId="212"/>
    <tableColumn id="23" uniqueName="23" name="st_code" queryTableFieldId="225"/>
    <tableColumn id="206" uniqueName="206" name="@pi email" queryTableFieldId="212" dataDxfId="211" dataCellStyle="Hyperlink">
      <calculatedColumnFormula>HYPERLINK("mailto:"&amp; ckAwdQTable[[#This Row],[email]]&amp;"&amp;subject=Your NSF Proposal:  "&amp;ckAwdQTable[[#This Row],[prop_id]], ckAwdQTable[[#This Row],[email]])</calculatedColumnFormula>
    </tableColumn>
    <tableColumn id="16" uniqueName="16" name="rqst_eff_date" queryTableFieldId="16" dataDxfId="210"/>
    <tableColumn id="17" uniqueName="17" name="rqst_mnth_cnt" queryTableFieldId="17"/>
    <tableColumn id="9" uniqueName="9" name="humn_date" queryTableFieldId="218"/>
    <tableColumn id="28" uniqueName="28" name="hum_asur" queryTableFieldId="301" dataDxfId="209"/>
    <tableColumn id="29" uniqueName="29" name="HUM_EXPT" queryTableFieldId="302" dataDxfId="208"/>
    <tableColumn id="10" uniqueName="10" name="vrtb_date" queryTableFieldId="219"/>
    <tableColumn id="37" uniqueName="37" name="vrtb_asur" queryTableFieldId="303" dataDxfId="207"/>
    <tableColumn id="30" uniqueName="30" name="Country" queryTableFieldId="250" dataDxfId="206"/>
    <tableColumn id="34" uniqueName="34" name="rqst_tot" queryTableFieldId="288" dataDxfId="205" dataCellStyle="Currency"/>
    <tableColumn id="35" uniqueName="35" name="brevn" queryTableFieldId="289" dataDxfId="204"/>
    <tableColumn id="36" uniqueName="36" name="budg_tot" queryTableFieldId="290" dataDxfId="203"/>
    <tableColumn id="40" uniqueName="40" name="sub_ctr_tot" queryTableFieldId="292" dataDxfId="202"/>
    <tableColumn id="41" uniqueName="41" name="frgn_trav_tot" queryTableFieldId="293" dataDxfId="201"/>
    <tableColumn id="42" uniqueName="42" name="pdoc_tot" queryTableFieldId="294" dataDxfId="200"/>
    <tableColumn id="43" uniqueName="43" name="part_tot_dol" queryTableFieldId="295" dataDxfId="199"/>
    <tableColumn id="44" uniqueName="44" name="grad_tot_cnt" queryTableFieldId="296" dataDxfId="198"/>
    <tableColumn id="45" uniqueName="45" name="sr_tot_cnt" queryTableFieldId="297" dataDxfId="197"/>
    <tableColumn id="46" uniqueName="46" name="sr_sumr_mnths" queryTableFieldId="298" dataDxfId="196"/>
    <tableColumn id="47" uniqueName="47" name="sr_acad_mnths" queryTableFieldId="299" dataDxfId="195"/>
    <tableColumn id="48" uniqueName="48" name="sr_cal_mnths" queryTableFieldId="300" dataDxfId="194"/>
    <tableColumn id="8" uniqueName="8" name="prop_stts_txt" queryTableFieldId="278" dataDxfId="193"/>
    <tableColumn id="54" uniqueName="54" name="OTH_AGCY_SUBM_FLAG" queryTableFieldId="287" dataDxfId="192"/>
    <tableColumn id="53" uniqueName="53" name="Abstr?marks" queryTableFieldId="320" dataDxfId="191">
      <calculatedColumnFormula>SummarizeQuestMarks(ckAwdQTable[[#This Row],[abst_narr_txt]])</calculatedColumnFormula>
    </tableColumn>
    <tableColumn id="51" uniqueName="51" name="abst_narr_txt" queryTableFieldId="251" dataDxfId="190"/>
    <tableColumn id="83" uniqueName="83" name="prop_titl_txt" queryTableFieldId="83"/>
    <tableColumn id="52" uniqueName="52" name="titl_ck" queryTableFieldId="322">
      <calculatedColumnFormula>AND(ckAwdQTable[[#This Row],[ILN]]&gt;"M", SUBSTITUTE(ckAwdQTable[[#This Row],[prop_titl_txt]]," ","")&lt;&gt;SUBSTITUTE(AV1," ",""))</calculatedColumnFormula>
    </tableColumn>
    <tableColumn id="26" uniqueName="26" name="email" queryTableFieldId="284" dataDxfId="189"/>
  </tableColumns>
  <tableStyleInfo name="TableStyleLight11" showFirstColumn="0" showLastColumn="0" showRowStripes="0" showColumnStripes="0"/>
</table>
</file>

<file path=xl/tables/table8.xml><?xml version="1.0" encoding="utf-8"?>
<table xmlns="http://schemas.openxmlformats.org/spreadsheetml/2006/main" id="5" name="BudgetsQTable" displayName="BudgetsQTable" ref="A3:AC4" tableType="queryTable" insertRow="1" totalsRowShown="0" dataDxfId="188">
  <autoFilter ref="A3:AC4"/>
  <tableColumns count="29">
    <tableColumn id="10" uniqueName="10" name="prop_id" queryTableFieldId="10" dataDxfId="187"/>
    <tableColumn id="9" uniqueName="9" name="ILN" queryTableFieldId="89" dataDxfId="186" dataCellStyle="Hyperlink"/>
    <tableColumn id="31" uniqueName="31" name="10" queryTableFieldId="98" dataDxfId="185" dataCellStyle="Hyperlink">
      <calculatedColumnFormula>C3+(BudgetsQTable[[#This Row],[lead]]&lt;&gt;K3)</calculatedColumnFormula>
    </tableColumn>
    <tableColumn id="32" uniqueName="32" name="0" queryTableFieldId="97" dataDxfId="184" dataCellStyle="Hyperlink">
      <calculatedColumnFormula>D3*(BudgetsQTable[[#This Row],[lead]]=K3)+(BudgetsQTable[[#This Row],[prop_id]]&lt;&gt;A3)</calculatedColumnFormula>
    </tableColumn>
    <tableColumn id="3" uniqueName="3" name="nsf_rcvd_date" queryTableFieldId="63" dataDxfId="183" dataCellStyle="Hyperlink"/>
    <tableColumn id="4" uniqueName="4" name="pgm_annc_id" queryTableFieldId="64" dataDxfId="182" dataCellStyle="Hyperlink"/>
    <tableColumn id="5" uniqueName="5" name="org_code" queryTableFieldId="65" dataDxfId="181" dataCellStyle="Hyperlink"/>
    <tableColumn id="6" uniqueName="6" name="pgm_ele_code" queryTableFieldId="66" dataDxfId="180" dataCellStyle="Hyperlink"/>
    <tableColumn id="27" uniqueName="27" name="PO" queryTableFieldId="91" dataDxfId="179" dataCellStyle="Hyperlink"/>
    <tableColumn id="28" uniqueName="28" name="pi_email" queryTableFieldId="92" dataDxfId="178" dataCellStyle="Hyperlink"/>
    <tableColumn id="8" uniqueName="8" name="lead" queryTableFieldId="68" dataDxfId="177" dataCellStyle="Hyperlink"/>
    <tableColumn id="1" uniqueName="1" name="eJ" queryTableFieldId="55" dataCellStyle="Hyperlink">
      <calculatedColumnFormula>IF(BudgetsQTable[[#This Row],[pi_last_name]]=" ","",HYPERLINK("https://www.ejacket.nsf.gov/ej/showProposal.do?Continue=Y&amp;ID="&amp;BudgetsQTable[[#This Row],[prop_id]],BudgetsQTable[[#This Row],[prop_id]]))</calculatedColumnFormula>
    </tableColumn>
    <tableColumn id="11" uniqueName="11" name="pi_last_name" queryTableFieldId="70" dataDxfId="176" dataCellStyle="Hyperlink"/>
    <tableColumn id="30" uniqueName="30" name="@pi" queryTableFieldId="96" dataCellStyle="Hyperlink">
      <calculatedColumnFormula>IF(BudgetsQTable[[#This Row],[pi_last_name]]=" ","",HYPERLINK("mailto:"&amp;BudgetsQTable[[#This Row],[pi_email]]&amp;"&amp;subject=Your NSF Proposal:  "&amp;BudgetsQTable[[#This Row],[prop_id]],BudgetsQTable[[#This Row],[pi_email]]))</calculatedColumnFormula>
    </tableColumn>
    <tableColumn id="12" uniqueName="12" name="inst_name" queryTableFieldId="71" dataDxfId="175" dataCellStyle="Hyperlink"/>
    <tableColumn id="14" uniqueName="14" name="sr_pers_cnt" queryTableFieldId="73" dataDxfId="174" dataCellStyle="Hyperlink"/>
    <tableColumn id="15" uniqueName="15" name="sr_summ_mnth_cnt" queryTableFieldId="74" dataDxfId="173" dataCellStyle="Hyperlink"/>
    <tableColumn id="16" uniqueName="16" name="pdoc_grnt_dol" queryTableFieldId="75" dataDxfId="172" dataCellStyle="Currency"/>
    <tableColumn id="17" uniqueName="17" name="frgn_trav_dol" queryTableFieldId="76" dataDxfId="171" dataCellStyle="Currency"/>
    <tableColumn id="18" uniqueName="18" name="part_dol" queryTableFieldId="77" dataDxfId="170" dataCellStyle="Currency"/>
    <tableColumn id="19" uniqueName="19" name="budg_tot_dol" queryTableFieldId="78" dataDxfId="169" dataCellStyle="Currency"/>
    <tableColumn id="20" uniqueName="20" name="revn_num" queryTableFieldId="79" dataDxfId="168" dataCellStyle="Hyperlink"/>
    <tableColumn id="21" uniqueName="21" name="budg_seq_yr" queryTableFieldId="80" dataDxfId="167" dataCellStyle="Hyperlink"/>
    <tableColumn id="26" uniqueName="26" name="Column1" queryTableFieldId="85" dataDxfId="166" dataCellStyle="Hyperlink">
      <calculatedColumnFormula>IF(ISBLANK(BudgetsQTable[[#This Row],[budg_seq_yr]]),"FY"&amp;fiscalyear,"FY"&amp;fiscalyear-1+BudgetsQTable[[#This Row],[budg_seq_yr]])</calculatedColumnFormula>
    </tableColumn>
    <tableColumn id="22" uniqueName="22" name="dol" queryTableFieldId="81" dataDxfId="165" dataCellStyle="Currency"/>
    <tableColumn id="23" uniqueName="23" name="org_code2" queryTableFieldId="82" dataDxfId="164" dataCellStyle="Hyperlink"/>
    <tableColumn id="24" uniqueName="24" name="PEC" queryTableFieldId="83" dataDxfId="163" dataCellStyle="Hyperlink"/>
    <tableColumn id="7" uniqueName="7" name="Obj" queryTableFieldId="99" dataDxfId="162" dataCellStyle="Hyperlink"/>
    <tableColumn id="25" uniqueName="25" name="PRCs" queryTableFieldId="84" dataDxfId="161" dataCellStyle="Hyperlink"/>
  </tableColumns>
  <tableStyleInfo name="AddTableStyle" showFirstColumn="0" showLastColumn="0" showRowStripes="0" showColumnStripes="0"/>
</table>
</file>

<file path=xl/tables/table9.xml><?xml version="1.0" encoding="utf-8"?>
<table xmlns="http://schemas.openxmlformats.org/spreadsheetml/2006/main" id="2" name="RADataQTable" displayName="RADataQTable" ref="A1:EF2" tableType="queryTable" totalsRowShown="0">
  <autoFilter ref="A1:EF2">
    <filterColumn colId="12">
      <customFilters>
        <customFilter operator="greaterThan" val="0"/>
      </customFilters>
    </filterColumn>
  </autoFilter>
  <sortState ref="A2:EF2">
    <sortCondition ref="M1:M2"/>
  </sortState>
  <tableColumns count="136">
    <tableColumn id="1" uniqueName="1" name="dd_rcom_date" queryTableFieldId="1" dataDxfId="160"/>
    <tableColumn id="2" uniqueName="2" name="nsf_rcvd_date" queryTableFieldId="2" dataDxfId="159"/>
    <tableColumn id="3" uniqueName="3" name="pgm_annc_id" queryTableFieldId="3" dataDxfId="158"/>
    <tableColumn id="4" uniqueName="4" name="org_code" queryTableFieldId="4" dataDxfId="157"/>
    <tableColumn id="5" uniqueName="5" name="pgm_ele_code" queryTableFieldId="5" dataDxfId="156"/>
    <tableColumn id="6" uniqueName="6" name="natr_rqst_abbr" queryTableFieldId="6" dataDxfId="155"/>
    <tableColumn id="7" uniqueName="7" name="prop_stts_abbr" queryTableFieldId="7" dataDxfId="154"/>
    <tableColumn id="8" uniqueName="8" name="obj_clas_code" queryTableFieldId="8"/>
    <tableColumn id="9" uniqueName="9" name="cntx_stmt_id" queryTableFieldId="9"/>
    <tableColumn id="10" uniqueName="10" name="PO" queryTableFieldId="10"/>
    <tableColumn id="11" uniqueName="11" name="RAupdate" queryTableFieldId="11" dataDxfId="153"/>
    <tableColumn id="12" uniqueName="12" name="nPanl" queryTableFieldId="12"/>
    <tableColumn id="13" uniqueName="13" name="RecRkMin" queryTableFieldId="13" dataDxfId="152"/>
    <tableColumn id="14" uniqueName="14" name="rec0" queryTableFieldId="14"/>
    <tableColumn id="15" uniqueName="15" name="rec1" queryTableFieldId="15"/>
    <tableColumn id="16" uniqueName="16" name="rec2" queryTableFieldId="16"/>
    <tableColumn id="17" uniqueName="17" name="RAtemplate" queryTableFieldId="17" dataDxfId="151"/>
    <tableColumn id="133" uniqueName="133" name="Radraft_filename" queryTableFieldId="135" dataDxfId="150">
      <calculatedColumnFormula>IFERROR(MID(RADataQTable[[#This Row],[RAtemplate]],1,LEN(RADataQTable[[#This Row],[RAtemplate]])-8),"RA") &amp; " " &amp; RADataQTable[[#This Row],[prop_id0]] &amp; " " &amp; RADataQTable[[#This Row],[last0]]</calculatedColumnFormula>
    </tableColumn>
    <tableColumn id="136" uniqueName="136" name="RApre_note" queryTableFieldId="137" dataDxfId="149"/>
    <tableColumn id="137" uniqueName="137" name="RAps_note" queryTableFieldId="136" dataDxfId="148"/>
    <tableColumn id="134" uniqueName="134" name="RAsigner" queryTableFieldId="134" dataDxfId="147">
      <calculatedColumnFormula>IF(signer1="PD",IF(ISBLANK(RADataQTable[[#This Row],[sign_blck_name]]),"",RADataQTable[[#This Row],[sign_blck_name]]),IF(ISBLANK(signer1),"",signer1))</calculatedColumnFormula>
    </tableColumn>
    <tableColumn id="135" uniqueName="135" name="RAsigner2" queryTableFieldId="133" dataDxfId="146">
      <calculatedColumnFormula>signer2</calculatedColumnFormula>
    </tableColumn>
    <tableColumn id="138" uniqueName="138" name="ej" queryTableFieldId="142" dataDxfId="145" dataCellStyle="Hyperlink">
      <calculatedColumnFormula>HYPERLINK("https://www.ejacket.nsf.gov/ej/showProposal.do?Continue=Y&amp;ID="&amp;RADataQTable[[#This Row],[prop_id0]],"eJ")</calculatedColumnFormula>
    </tableColumn>
    <tableColumn id="139" uniqueName="139" name="@PI" queryTableFieldId="141" dataDxfId="144" dataCellStyle="Hyperlink">
      <calculatedColumnFormula>HYPERLINK("mailto:"&amp;RADataQTable[[#This Row],[email]]&amp;"&amp;subject=Your NSF Proposal:  "&amp;RADataQTable[[#This Row],[Div]]&amp;" "&amp;RADataQTable[[#This Row],[prop_id0]], RADataQTable[[#This Row],[email]])</calculatedColumnFormula>
    </tableColumn>
    <tableColumn id="140" uniqueName="140" name="@allPIs" queryTableFieldId="140" dataDxfId="143" dataCellStyle="Hyperlink">
      <calculatedColumnFormula>HYPERLINK("mailto:"&amp;RADataQTable[[#This Row],[allPIemail]]&amp;"&amp;subject=NSF Proposal:  "&amp;RADataQTable[[#This Row],[Div]]&amp;" "&amp;RADataQTable[[#This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calculatedColumnFormula>IF(RADataQTable[[#This Row],[maxScore]]-RADataQTable[[#This Row],[minScore]]&gt;4,"Y","")</calculatedColumnFormula>
    </tableColumn>
    <tableColumn id="22" uniqueName="22" name="minScore" queryTableFieldId="22" dataDxfId="142"/>
    <tableColumn id="23" uniqueName="23" name="avg_score" queryTableFieldId="23" dataDxfId="141"/>
    <tableColumn id="24" uniqueName="24" name="maxScore" queryTableFieldId="24"/>
    <tableColumn id="25" uniqueName="25" name="allReviews" queryTableFieldId="25"/>
    <tableColumn id="26" uniqueName="26" name="last_rev_date" queryTableFieldId="26" dataDxfId="140"/>
    <tableColumn id="28" uniqueName="28" name="rqst_tot" queryTableFieldId="28" dataDxfId="139" dataCellStyle="Currency"/>
    <tableColumn id="29" uniqueName="29" name="budg_tot" queryTableFieldId="29" dataDxfId="138" dataCellStyle="Currency"/>
    <tableColumn id="30" uniqueName="30" name="budRevnMax" queryTableFieldId="30"/>
    <tableColumn id="31" uniqueName="31" name="rqst_eff_date" queryTableFieldId="31" dataDxfId="137"/>
    <tableColumn id="32" uniqueName="32" name="rqst_mnth_cnt" queryTableFieldId="32" dataDxfId="136"/>
    <tableColumn id="33" uniqueName="33" name="prop_titl_txt" queryTableFieldId="33" dataDxfId="135"/>
    <tableColumn id="34" uniqueName="34" name="AhNrev" queryTableFieldId="34"/>
    <tableColumn id="35" uniqueName="35" name="AhRevs" queryTableFieldId="35"/>
    <tableColumn id="36" uniqueName="36" name="AhLast" queryTableFieldId="36" dataDxfId="134"/>
    <tableColumn id="37" uniqueName="37" name="panl_id0" queryTableFieldId="37"/>
    <tableColumn id="38" uniqueName="38" name="RCOM_TXT0" queryTableFieldId="38" dataDxfId="133"/>
    <tableColumn id="39" uniqueName="39" name="rank0" queryTableFieldId="39" dataDxfId="132"/>
    <tableColumn id="40" uniqueName="40" name="panl_name0" queryTableFieldId="40" dataDxfId="131"/>
    <tableColumn id="41" uniqueName="41" name="panl_end0" queryTableFieldId="41" dataDxfId="130"/>
    <tableColumn id="42" uniqueName="42" name="revs0" queryTableFieldId="42" dataDxfId="129"/>
    <tableColumn id="43" uniqueName="43" name="PanlString0" queryTableFieldId="43" dataDxfId="128"/>
    <tableColumn id="44" uniqueName="44" name="pnlst0" queryTableFieldId="44" dataDxfId="127"/>
    <tableColumn id="45" uniqueName="45" name="confl0" queryTableFieldId="45" dataDxfId="126"/>
    <tableColumn id="46" uniqueName="46" name="panl_id1" queryTableFieldId="46" dataDxfId="125"/>
    <tableColumn id="47" uniqueName="47" name="RCOM_TXT1" queryTableFieldId="47" dataDxfId="124"/>
    <tableColumn id="48" uniqueName="48" name="rank1" queryTableFieldId="48" dataDxfId="123"/>
    <tableColumn id="49" uniqueName="49" name="panl_name1" queryTableFieldId="49" dataDxfId="122"/>
    <tableColumn id="50" uniqueName="50" name="panl_end1" queryTableFieldId="50" dataDxfId="121"/>
    <tableColumn id="51" uniqueName="51" name="revs1" queryTableFieldId="51" dataDxfId="120"/>
    <tableColumn id="52" uniqueName="52" name="PanlString1" queryTableFieldId="52" dataDxfId="119"/>
    <tableColumn id="53" uniqueName="53" name="pnlst1" queryTableFieldId="53" dataDxfId="118"/>
    <tableColumn id="54" uniqueName="54" name="confl1" queryTableFieldId="54" dataDxfId="117"/>
    <tableColumn id="55" uniqueName="55" name="panl_id2" queryTableFieldId="55" dataDxfId="116"/>
    <tableColumn id="56" uniqueName="56" name="RCOM_TXT2" queryTableFieldId="56" dataDxfId="115"/>
    <tableColumn id="57" uniqueName="57" name="rank2" queryTableFieldId="57" dataDxfId="114"/>
    <tableColumn id="58" uniqueName="58" name="panl_name2" queryTableFieldId="58" dataDxfId="113"/>
    <tableColumn id="59" uniqueName="59" name="panl_end2" queryTableFieldId="59" dataDxfId="112"/>
    <tableColumn id="60" uniqueName="60" name="revs2" queryTableFieldId="60" dataDxfId="111"/>
    <tableColumn id="61" uniqueName="61" name="PanlString2" queryTableFieldId="61" dataDxfId="110"/>
    <tableColumn id="62" uniqueName="62" name="pnlst2" queryTableFieldId="62" dataDxfId="109"/>
    <tableColumn id="63" uniqueName="63" name="confl2" queryTableFieldId="63" dataDxfId="108"/>
    <tableColumn id="64" uniqueName="64" name="prop_id0" queryTableFieldId="64"/>
    <tableColumn id="65" uniqueName="65" name="last0" queryTableFieldId="65" dataDxfId="107"/>
    <tableColumn id="66" uniqueName="66" name="frst0" queryTableFieldId="66" dataDxfId="106"/>
    <tableColumn id="67" uniqueName="67" name="inst0" queryTableFieldId="67" dataDxfId="105"/>
    <tableColumn id="68" uniqueName="68" name="rqst0" queryTableFieldId="68" dataDxfId="104"/>
    <tableColumn id="69" uniqueName="69" name="b0tot" queryTableFieldId="69" dataDxfId="103"/>
    <tableColumn id="70" uniqueName="70" name="PRC0" queryTableFieldId="70"/>
    <tableColumn id="71" uniqueName="71" name="prop_id1" queryTableFieldId="71" dataDxfId="102"/>
    <tableColumn id="72" uniqueName="72" name="last1" queryTableFieldId="72" dataDxfId="101"/>
    <tableColumn id="73" uniqueName="73" name="frst1" queryTableFieldId="73" dataDxfId="100"/>
    <tableColumn id="74" uniqueName="74" name="inst1" queryTableFieldId="74" dataDxfId="99"/>
    <tableColumn id="75" uniqueName="75" name="rqst1" queryTableFieldId="75" dataDxfId="98"/>
    <tableColumn id="76" uniqueName="76" name="b1tot" queryTableFieldId="76" dataDxfId="97"/>
    <tableColumn id="77" uniqueName="77" name="PRC1" queryTableFieldId="77"/>
    <tableColumn id="78" uniqueName="78" name="prop_id2" queryTableFieldId="78" dataDxfId="96"/>
    <tableColumn id="79" uniqueName="79" name="last2" queryTableFieldId="79" dataDxfId="95"/>
    <tableColumn id="80" uniqueName="80" name="frst2" queryTableFieldId="80" dataDxfId="94"/>
    <tableColumn id="81" uniqueName="81" name="inst2" queryTableFieldId="81" dataDxfId="93"/>
    <tableColumn id="82" uniqueName="82" name="rqst2" queryTableFieldId="82" dataDxfId="92"/>
    <tableColumn id="83" uniqueName="83" name="b2tot" queryTableFieldId="83" dataDxfId="91"/>
    <tableColumn id="84" uniqueName="84" name="PRC2" queryTableFieldId="84"/>
    <tableColumn id="85" uniqueName="85" name="prop_id3" queryTableFieldId="85" dataDxfId="90"/>
    <tableColumn id="86" uniqueName="86" name="last3" queryTableFieldId="86" dataDxfId="89"/>
    <tableColumn id="87" uniqueName="87" name="frst3" queryTableFieldId="87" dataDxfId="88"/>
    <tableColumn id="88" uniqueName="88" name="inst3" queryTableFieldId="88" dataDxfId="87"/>
    <tableColumn id="89" uniqueName="89" name="rqst3" queryTableFieldId="89" dataDxfId="86"/>
    <tableColumn id="90" uniqueName="90" name="b3tot" queryTableFieldId="90" dataDxfId="85"/>
    <tableColumn id="91" uniqueName="91" name="PRC3" queryTableFieldId="91"/>
    <tableColumn id="92" uniqueName="92" name="prop_id4" queryTableFieldId="92" dataDxfId="84"/>
    <tableColumn id="93" uniqueName="93" name="last4" queryTableFieldId="93" dataDxfId="83"/>
    <tableColumn id="94" uniqueName="94" name="frst4" queryTableFieldId="94" dataDxfId="82"/>
    <tableColumn id="95" uniqueName="95" name="inst4" queryTableFieldId="95" dataDxfId="81"/>
    <tableColumn id="96" uniqueName="96" name="rqst4" queryTableFieldId="96" dataDxfId="80"/>
    <tableColumn id="97" uniqueName="97" name="b4tot" queryTableFieldId="97" dataDxfId="79"/>
    <tableColumn id="98" uniqueName="98" name="PRC4" queryTableFieldId="98"/>
    <tableColumn id="99" uniqueName="99" name="prop_id5" queryTableFieldId="99" dataDxfId="78"/>
    <tableColumn id="100" uniqueName="100" name="last5" queryTableFieldId="100" dataDxfId="77"/>
    <tableColumn id="101" uniqueName="101" name="frst5" queryTableFieldId="101" dataDxfId="76"/>
    <tableColumn id="102" uniqueName="102" name="inst5" queryTableFieldId="102" dataDxfId="75"/>
    <tableColumn id="103" uniqueName="103" name="rqst5" queryTableFieldId="103" dataDxfId="74"/>
    <tableColumn id="104" uniqueName="104" name="b5tot" queryTableFieldId="104" dataDxfId="73"/>
    <tableColumn id="105" uniqueName="105" name="PRC5" queryTableFieldId="105"/>
    <tableColumn id="106" uniqueName="106" name="prop_id6" queryTableFieldId="106" dataDxfId="72"/>
    <tableColumn id="107" uniqueName="107" name="last6" queryTableFieldId="107" dataDxfId="71"/>
    <tableColumn id="108" uniqueName="108" name="frst6" queryTableFieldId="108" dataDxfId="70"/>
    <tableColumn id="109" uniqueName="109" name="inst6" queryTableFieldId="109" dataDxfId="69"/>
    <tableColumn id="110" uniqueName="110" name="rqst6" queryTableFieldId="110" dataDxfId="68"/>
    <tableColumn id="111" uniqueName="111" name="b6tot" queryTableFieldId="111" dataDxfId="67"/>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66"/>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65"/>
    <tableColumn id="123" uniqueName="123" name="email" queryTableFieldId="123"/>
    <tableColumn id="124" uniqueName="124" name="allPIemail" queryTableFieldId="124"/>
    <tableColumn id="126" uniqueName="126" name="conflrev0" queryTableFieldId="145"/>
    <tableColumn id="127" uniqueName="127" name="conflrev1" queryTableFieldId="146"/>
    <tableColumn id="128" uniqueName="128" name="conflrev2" queryTableFieldId="147"/>
  </tableColumns>
  <tableStyleInfo name="TableFall" showFirstColumn="0" showLastColumn="0" showRowStripes="1" showColumnStripes="0"/>
</table>
</file>

<file path=xl/tables/table10.xml><?xml version="1.0" encoding="utf-8"?>
<table xmlns="http://schemas.openxmlformats.org/spreadsheetml/2006/main" id="16" name="ConflictQTable" displayName="ConflictQTable" ref="A2:C3" tableType="queryTable" insertRow="1" totalsRowShown="0" headerRowCellStyle="Normal" dataCellStyle="Normal">
  <autoFilter ref="A2:C3"/>
  <tableColumns count="3">
    <tableColumn id="1" uniqueName="1" name="revr_id" queryTableFieldId="280"/>
    <tableColumn id="2" uniqueName="2" name="inst_shrt_name" queryTableFieldId="281"/>
    <tableColumn id="3" uniqueName="3" name="Panelist" queryTableFieldId="282"/>
  </tableColumns>
  <tableStyleInfo name="TableStyleMedium2" showFirstColumn="0" showLastColumn="0" showRowStripes="1" showColumnStripes="0"/>
</table>
</file>

<file path=xl/tables/table11.xml><?xml version="1.0" encoding="utf-8"?>
<table xmlns="http://schemas.openxmlformats.org/spreadsheetml/2006/main" id="11" name="PRCGlossaryQTable" displayName="PRCGlossaryQTable" ref="A2:B3" tableType="queryTable" insertRow="1" totalsRowShown="0" headerRowCellStyle="Normal" dataCellStyle="Normal">
  <autoFilter ref="A2:B3"/>
  <tableColumns count="2">
    <tableColumn id="1" uniqueName="1" name="PRC" queryTableFieldId="278" dataDxfId="64"/>
    <tableColumn id="2" uniqueName="2" name="PRC_Description" queryTableFieldId="279"/>
  </tableColumns>
  <tableStyleInfo name="TableStyleMedium2" showFirstColumn="0" showLastColumn="0" showRowStripes="1" showColumnStripes="0"/>
</table>
</file>

<file path=xl/tables/table12.xml><?xml version="1.0" encoding="utf-8"?>
<table xmlns="http://schemas.openxmlformats.org/spreadsheetml/2006/main" id="13" name="PECGlossaryQTable" displayName="PECGlossaryQTable" ref="D2:E3" tableType="queryTable" insertRow="1" totalsRowShown="0" headerRowCellStyle="Normal" dataCellStyle="Normal">
  <autoFilter ref="D2:E3"/>
  <tableColumns count="2">
    <tableColumn id="1" uniqueName="1" name="PEC" queryTableFieldId="280" dataDxfId="63"/>
    <tableColumn id="2" uniqueName="2" name="PEC_Description" queryTableFieldId="281"/>
  </tableColumns>
  <tableStyleInfo name="TableStyleMedium2" showFirstColumn="0" showLastColumn="0" showRowStripes="1" showColumnStripes="0"/>
</table>
</file>

<file path=xl/tables/table13.xml><?xml version="1.0" encoding="utf-8"?>
<table xmlns="http://schemas.openxmlformats.org/spreadsheetml/2006/main" id="12" name="ckSplitsQTable" displayName="ckSplitsQTable" ref="A1:AH2" tableType="queryTable" insertRow="1" totalsRowShown="0">
  <autoFilter ref="A1:AH2"/>
  <tableColumns count="34">
    <tableColumn id="21" uniqueName="21" name="dd_rcom_date" queryTableFieldId="1" dataDxfId="59"/>
    <tableColumn id="22" uniqueName="22" name="nsf_rcvd_date" queryTableFieldId="2" dataDxfId="58"/>
    <tableColumn id="23" uniqueName="23" name="cntx_stmt_id" queryTableFieldId="3"/>
    <tableColumn id="24" uniqueName="24" name="pgm_annc_id" queryTableFieldId="4"/>
    <tableColumn id="60" uniqueName="60" name="pObj" queryTableFieldId="13" dataDxfId="57"/>
    <tableColumn id="61" uniqueName="61" name="bObj" queryTableFieldId="14" dataDxfId="56"/>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55"/>
    <tableColumn id="35" uniqueName="35" name="rcom_istr_abbr" queryTableFieldId="15" dataDxfId="54"/>
    <tableColumn id="57" uniqueName="57" name="budg_yr" queryTableFieldId="27" dataDxfId="53"/>
    <tableColumn id="58" uniqueName="58" name="splt_id" queryTableFieldId="28" dataDxfId="52"/>
    <tableColumn id="59" uniqueName="59" name="budg_splt_tot_dol" queryTableFieldId="29" dataDxfId="51"/>
    <tableColumn id="54" uniqueName="54" name="0" queryTableFieldId="35" dataDxfId="50">
      <calculatedColumnFormula>S1+(X2&lt;&gt;X1)</calculatedColumnFormula>
    </tableColumn>
    <tableColumn id="37" uniqueName="37" name="ILN" queryTableFieldId="17" dataDxfId="49"/>
    <tableColumn id="36" uniqueName="36" name="lead" queryTableFieldId="16" dataDxfId="48"/>
    <tableColumn id="55" uniqueName="55" name="eJ" queryTableFieldId="36" dataDxfId="47" dataCellStyle="Hyperlink">
      <calculatedColumnFormula>HYPERLINK("https://www.ejacket.nsf.gov/ej/showProposal.do?ID="&amp;ckSplitsQTable[[#This Row],[prop_id]],"eJ")</calculatedColumnFormula>
    </tableColumn>
    <tableColumn id="38" uniqueName="38" name="Div" queryTableFieldId="18" dataDxfId="46"/>
    <tableColumn id="39" uniqueName="39" name="prop_id" queryTableFieldId="19" dataDxfId="45"/>
    <tableColumn id="40" uniqueName="40" name="pi_last_name" queryTableFieldId="20" dataDxfId="44"/>
    <tableColumn id="41" uniqueName="41" name="pi_frst_name" queryTableFieldId="21" dataDxfId="43"/>
    <tableColumn id="42" uniqueName="42" name="inst" queryTableFieldId="22" dataDxfId="42"/>
    <tableColumn id="56" uniqueName="56" name="@ pi" queryTableFieldId="37" dataDxfId="41" dataCellStyle="Hyperlink">
      <calculatedColumnFormula>HYPERLINK("mailto:"&amp;ckSplitsQTable[[#This Row],[email]]&amp;"&amp;subject=Your NSF Proposal:  "&amp;ckSplitsQTable[[#This Row],[prop_id]],ckSplitsQTable[[#This Row],[email]])</calculatedColumnFormula>
    </tableColumn>
    <tableColumn id="43" uniqueName="43" name="email" queryTableFieldId="23" dataDxfId="40"/>
    <tableColumn id="44" uniqueName="44" name="propPRCs" queryTableFieldId="24" dataDxfId="39"/>
    <tableColumn id="45" uniqueName="45" name="bPRCs" queryTableFieldId="25" dataDxfId="38"/>
    <tableColumn id="46" uniqueName="46" name="awd_id" queryTableFieldId="26" dataDxfId="37"/>
    <tableColumn id="50" uniqueName="50" name="prop_stts_txt" queryTableFieldId="30" dataDxfId="36"/>
    <tableColumn id="51" uniqueName="51" name="prop_titl_txt" queryTableFieldId="31" dataDxfId="35"/>
  </tableColumns>
  <tableStyleInfo name="TableStyleLight11" showFirstColumn="0" showLastColumn="0" showRowStripes="0" showColumnStripes="0"/>
</table>
</file>

<file path=xl/tables/table14.xml><?xml version="1.0" encoding="utf-8"?>
<table xmlns="http://schemas.openxmlformats.org/spreadsheetml/2006/main" id="1" name="ProjTextQTable" displayName="ProjTextQTable" ref="A1:P3" tableType="queryTable" insertRow="1" totalsRowCount="1">
  <autoFilter ref="A1:P2"/>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34" totalsRowDxfId="33"/>
    <tableColumn id="11" uniqueName="11" name="returned" queryTableFieldId="11" dataDxfId="32"/>
    <tableColumn id="14" uniqueName="14" name="nchars" queryTableFieldId="15" dataDxfId="31">
      <calculatedColumnFormula>LEN(ProjTextQTable[[#This Row],[text]])</calculatedColumnFormula>
    </tableColumn>
    <tableColumn id="15" uniqueName="15" name="nwords" queryTableFieldId="14" dataDxfId="30">
      <calculatedColumnFormula>LEN(TRIM(CLEAN(SUBSTITUTE(ProjTextQTable[[#This Row],[text]],CHAR(10)," "))))+1 - LEN(SUBSTITUTE(CLEAN(SUBSTITUTE(ProjTextQTable[[#This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ables/table15.xml><?xml version="1.0" encoding="utf-8"?>
<table xmlns="http://schemas.openxmlformats.org/spreadsheetml/2006/main" id="6" name="AvailableTemplates" displayName="AvailableTemplates" ref="H17:H22" totalsRowShown="0" headerRowDxfId="29" dataDxfId="28">
  <autoFilter ref="H17:H22"/>
  <tableColumns count="1">
    <tableColumn id="1" name="Available templates:" dataDxfId="27"/>
  </tableColumns>
  <tableStyleInfo name="TableStyleLight8" showFirstColumn="0" showLastColumn="0" showRowStripes="1" showColumnStripes="0"/>
</table>
</file>

<file path=xl/tables/table16.xml><?xml version="1.0" encoding="utf-8"?>
<table xmlns="http://schemas.openxmlformats.org/spreadsheetml/2006/main" id="4" name="EpscorTable" displayName="EpscorTable" ref="G36:G64" totalsRowCount="1" headerRowDxfId="26" dataDxfId="25">
  <autoFilter ref="G36:G63"/>
  <tableColumns count="1">
    <tableColumn id="1" name="Epscor" totalsRowFunction="count" dataDxfId="23" totalsRowDxfId="24"/>
  </tableColumns>
  <tableStyleInfo name="TableFall" showFirstColumn="0" showLastColumn="0" showRowStripes="1" showColumnStripes="0"/>
</table>
</file>

<file path=xl/tables/table17.xml><?xml version="1.0" encoding="utf-8"?>
<table xmlns="http://schemas.openxmlformats.org/spreadsheetml/2006/main" id="17" name="Table_Query_from_RPTSERVER" displayName="Table_Query_from_RPTSERVER" ref="F10:G11" tableType="queryTable" insertRow="1" totalsRowShown="0" headerRowDxfId="3" dataDxfId="2">
  <tableColumns count="2">
    <tableColumn id="3" uniqueName="3" name="db_name" queryTableFieldId="3" dataDxfId="1"/>
    <tableColumn id="4" uniqueName="4" name="tbl_name" queryTableFieldId="4" dataDxfId="0"/>
  </tableColumns>
  <tableStyleInfo name="TableStyleMedium2" showFirstColumn="0" showLastColumn="0" showRowStripes="1"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table" Target="../tables/table2.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9.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14.xml"/><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vmlDrawing" Target="../drawings/vmlDrawing9.vml"/><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drawing" Target="../drawings/drawing11.xml"/><Relationship Id="rId16" Type="http://schemas.openxmlformats.org/officeDocument/2006/relationships/table" Target="../tables/table17.xml"/><Relationship Id="rId1" Type="http://schemas.openxmlformats.org/officeDocument/2006/relationships/printerSettings" Target="../printerSettings/printerSettings11.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table" Target="../tables/table16.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O35"/>
  <sheetViews>
    <sheetView showGridLines="0" zoomScale="90" zoomScaleNormal="90" workbookViewId="0"/>
  </sheetViews>
  <sheetFormatPr defaultRowHeight="14.5" x14ac:dyDescent="0.35"/>
  <cols>
    <col min="1" max="1" width="2" customWidth="1"/>
    <col min="2" max="2" width="12.453125" customWidth="1"/>
    <col min="3" max="3" width="3.1796875" customWidth="1"/>
    <col min="4" max="4" width="2.453125" customWidth="1"/>
    <col min="5" max="5" width="13.26953125" customWidth="1"/>
    <col min="6" max="6" width="4.81640625" customWidth="1"/>
    <col min="7" max="7" width="3.54296875" customWidth="1"/>
    <col min="8" max="8" width="12.26953125" customWidth="1"/>
    <col min="9" max="9" width="4.81640625" customWidth="1"/>
    <col min="10" max="10" width="4.54296875" customWidth="1"/>
    <col min="11" max="11" width="12.7265625" customWidth="1"/>
    <col min="12" max="12" width="8.54296875" customWidth="1"/>
    <col min="13" max="13" width="5.81640625" customWidth="1"/>
    <col min="14" max="14" width="26.81640625" customWidth="1"/>
    <col min="15" max="15" width="21.54296875" customWidth="1"/>
  </cols>
  <sheetData>
    <row r="1" spans="2:15" ht="18" customHeight="1" x14ac:dyDescent="0.35">
      <c r="B1" s="128" t="s">
        <v>443</v>
      </c>
      <c r="C1" s="128"/>
      <c r="D1" s="128"/>
      <c r="E1" s="128"/>
      <c r="F1" s="128"/>
      <c r="G1" s="128"/>
      <c r="H1" s="128"/>
      <c r="I1" s="128"/>
      <c r="J1" s="128"/>
      <c r="K1" s="128"/>
    </row>
    <row r="2" spans="2:15" ht="18" customHeight="1" x14ac:dyDescent="0.35">
      <c r="B2" s="129" t="s">
        <v>447</v>
      </c>
      <c r="C2" s="128"/>
      <c r="D2" s="128"/>
      <c r="E2" s="128"/>
      <c r="F2" s="128"/>
      <c r="G2" s="128"/>
      <c r="H2" s="128"/>
      <c r="I2" s="130"/>
      <c r="J2" s="128"/>
      <c r="K2" s="128"/>
    </row>
    <row r="3" spans="2:15" ht="18" customHeight="1" x14ac:dyDescent="0.35">
      <c r="B3" s="3"/>
      <c r="C3" s="35" t="s">
        <v>409</v>
      </c>
      <c r="D3" s="131">
        <v>0</v>
      </c>
      <c r="E3" s="128" t="s">
        <v>444</v>
      </c>
      <c r="F3" s="128"/>
      <c r="G3" s="128"/>
      <c r="H3" s="128"/>
      <c r="I3" s="33"/>
    </row>
    <row r="4" spans="2:15" ht="18" customHeight="1" x14ac:dyDescent="0.35">
      <c r="B4" s="3"/>
      <c r="C4" s="35" t="s">
        <v>432</v>
      </c>
      <c r="D4" s="131">
        <v>1</v>
      </c>
      <c r="E4" s="128" t="s">
        <v>431</v>
      </c>
      <c r="F4" s="128"/>
      <c r="G4" s="128"/>
      <c r="H4" s="128"/>
      <c r="I4" s="33"/>
    </row>
    <row r="5" spans="2:15" ht="18.399999999999999" customHeight="1" x14ac:dyDescent="0.35">
      <c r="B5" s="3"/>
      <c r="C5" s="35" t="s">
        <v>435</v>
      </c>
      <c r="D5" s="131">
        <v>2</v>
      </c>
      <c r="E5" s="128" t="s">
        <v>445</v>
      </c>
      <c r="F5" s="128"/>
      <c r="G5" s="128"/>
      <c r="H5" s="128"/>
      <c r="I5" s="33"/>
    </row>
    <row r="6" spans="2:15" ht="20.25" customHeight="1" x14ac:dyDescent="0.35">
      <c r="B6" s="3"/>
      <c r="C6" s="35" t="s">
        <v>411</v>
      </c>
      <c r="D6" s="131">
        <v>3</v>
      </c>
      <c r="E6" s="36"/>
      <c r="F6" s="36"/>
    </row>
    <row r="7" spans="2:15" ht="20.25" customHeight="1" x14ac:dyDescent="0.35">
      <c r="B7" s="3"/>
      <c r="C7" s="35" t="s">
        <v>428</v>
      </c>
      <c r="D7" s="131">
        <v>4</v>
      </c>
      <c r="E7" s="36"/>
      <c r="F7" s="36"/>
    </row>
    <row r="8" spans="2:15" ht="20.25" customHeight="1" x14ac:dyDescent="0.35">
      <c r="B8" s="3"/>
      <c r="C8" s="35" t="s">
        <v>436</v>
      </c>
      <c r="D8" s="131">
        <v>5</v>
      </c>
      <c r="E8" s="36"/>
      <c r="F8" s="36"/>
    </row>
    <row r="9" spans="2:15" ht="20.25" customHeight="1" x14ac:dyDescent="0.35">
      <c r="B9" s="3"/>
      <c r="C9" s="35" t="s">
        <v>408</v>
      </c>
      <c r="D9" s="131">
        <v>6</v>
      </c>
      <c r="E9" s="128" t="s">
        <v>434</v>
      </c>
      <c r="F9" s="128"/>
      <c r="G9" s="128"/>
      <c r="H9" s="128"/>
    </row>
    <row r="10" spans="2:15" ht="20.25" customHeight="1" x14ac:dyDescent="0.35">
      <c r="B10" s="3"/>
      <c r="C10" s="35" t="s">
        <v>410</v>
      </c>
      <c r="D10" s="131">
        <v>7</v>
      </c>
      <c r="E10" s="36"/>
      <c r="F10" s="36"/>
    </row>
    <row r="11" spans="2:15" ht="19.75" customHeight="1" x14ac:dyDescent="0.35">
      <c r="B11" s="3" t="s">
        <v>429</v>
      </c>
      <c r="C11" s="35"/>
      <c r="D11" s="37"/>
      <c r="E11" s="36"/>
      <c r="F11" s="36"/>
    </row>
    <row r="12" spans="2:15" ht="18" customHeight="1" x14ac:dyDescent="0.35">
      <c r="B12" s="3"/>
      <c r="C12" s="35"/>
      <c r="D12" s="37"/>
      <c r="E12" s="36"/>
      <c r="F12" s="36"/>
    </row>
    <row r="13" spans="2:15" x14ac:dyDescent="0.35">
      <c r="B13" s="3" t="s">
        <v>181</v>
      </c>
      <c r="C13" s="3"/>
      <c r="D13" s="34"/>
      <c r="E13" s="3" t="s">
        <v>180</v>
      </c>
      <c r="F13" s="3"/>
      <c r="G13" s="3"/>
      <c r="H13" s="3" t="s">
        <v>183</v>
      </c>
    </row>
    <row r="14" spans="2:15" x14ac:dyDescent="0.35">
      <c r="B14" t="s">
        <v>161</v>
      </c>
      <c r="E14" t="s">
        <v>162</v>
      </c>
      <c r="H14" t="s">
        <v>450</v>
      </c>
      <c r="K14" t="s">
        <v>400</v>
      </c>
      <c r="N14" s="59" t="s">
        <v>348</v>
      </c>
      <c r="O14" s="125" t="s">
        <v>406</v>
      </c>
    </row>
    <row r="15" spans="2:15" x14ac:dyDescent="0.35">
      <c r="B15" t="s">
        <v>0</v>
      </c>
      <c r="E15" t="s">
        <v>0</v>
      </c>
      <c r="H15" t="s">
        <v>0</v>
      </c>
      <c r="K15" t="s">
        <v>0</v>
      </c>
      <c r="N15" s="3" t="s">
        <v>344</v>
      </c>
      <c r="O15" s="7" t="s">
        <v>346</v>
      </c>
    </row>
    <row r="16" spans="2:15" x14ac:dyDescent="0.35">
      <c r="B16" s="25"/>
      <c r="E16" s="25"/>
      <c r="H16" s="25"/>
      <c r="K16" s="25"/>
      <c r="N16" s="3" t="s">
        <v>438</v>
      </c>
      <c r="O16" s="7" t="s">
        <v>346</v>
      </c>
    </row>
    <row r="17" spans="3:15" x14ac:dyDescent="0.35">
      <c r="N17" s="3" t="s">
        <v>361</v>
      </c>
      <c r="O17" s="7" t="s">
        <v>362</v>
      </c>
    </row>
    <row r="18" spans="3:15" x14ac:dyDescent="0.35">
      <c r="N18" s="3" t="s">
        <v>357</v>
      </c>
      <c r="O18" s="7" t="s">
        <v>342</v>
      </c>
    </row>
    <row r="19" spans="3:15" x14ac:dyDescent="0.35">
      <c r="N19" s="3" t="s">
        <v>353</v>
      </c>
      <c r="O19" s="7" t="s">
        <v>342</v>
      </c>
    </row>
    <row r="20" spans="3:15" x14ac:dyDescent="0.35">
      <c r="N20" s="3" t="s">
        <v>343</v>
      </c>
      <c r="O20" s="7" t="s">
        <v>342</v>
      </c>
    </row>
    <row r="21" spans="3:15" x14ac:dyDescent="0.35">
      <c r="N21" s="3" t="s">
        <v>405</v>
      </c>
      <c r="O21" s="7" t="s">
        <v>342</v>
      </c>
    </row>
    <row r="22" spans="3:15" x14ac:dyDescent="0.35">
      <c r="N22" s="3" t="s">
        <v>397</v>
      </c>
      <c r="O22" s="7" t="s">
        <v>342</v>
      </c>
    </row>
    <row r="23" spans="3:15" x14ac:dyDescent="0.35">
      <c r="N23" s="3" t="s">
        <v>404</v>
      </c>
      <c r="O23" s="7" t="s">
        <v>340</v>
      </c>
    </row>
    <row r="24" spans="3:15" x14ac:dyDescent="0.35">
      <c r="C24" s="42"/>
      <c r="N24" s="3" t="s">
        <v>396</v>
      </c>
      <c r="O24" s="7" t="s">
        <v>340</v>
      </c>
    </row>
    <row r="25" spans="3:15" x14ac:dyDescent="0.35">
      <c r="N25" s="3" t="s">
        <v>356</v>
      </c>
      <c r="O25" s="7" t="s">
        <v>340</v>
      </c>
    </row>
    <row r="26" spans="3:15" x14ac:dyDescent="0.35">
      <c r="N26" s="3" t="s">
        <v>373</v>
      </c>
      <c r="O26" s="7" t="s">
        <v>11</v>
      </c>
    </row>
    <row r="27" spans="3:15" x14ac:dyDescent="0.35">
      <c r="N27" s="3" t="s">
        <v>439</v>
      </c>
      <c r="O27" s="7" t="s">
        <v>437</v>
      </c>
    </row>
    <row r="28" spans="3:15" x14ac:dyDescent="0.35">
      <c r="N28" s="3" t="s">
        <v>398</v>
      </c>
      <c r="O28" s="7" t="s">
        <v>440</v>
      </c>
    </row>
    <row r="29" spans="3:15" x14ac:dyDescent="0.35">
      <c r="N29" s="3" t="s">
        <v>360</v>
      </c>
      <c r="O29" s="7" t="s">
        <v>350</v>
      </c>
    </row>
    <row r="30" spans="3:15" x14ac:dyDescent="0.35">
      <c r="N30" s="3" t="s">
        <v>359</v>
      </c>
      <c r="O30" s="7" t="s">
        <v>350</v>
      </c>
    </row>
    <row r="31" spans="3:15" x14ac:dyDescent="0.35">
      <c r="N31" s="3" t="s">
        <v>370</v>
      </c>
      <c r="O31" s="7" t="s">
        <v>341</v>
      </c>
    </row>
    <row r="32" spans="3:15" x14ac:dyDescent="0.35">
      <c r="N32" s="3" t="s">
        <v>364</v>
      </c>
      <c r="O32" s="7" t="s">
        <v>363</v>
      </c>
    </row>
    <row r="33" spans="14:15" x14ac:dyDescent="0.35">
      <c r="N33" s="3" t="s">
        <v>351</v>
      </c>
      <c r="O33" s="7" t="s">
        <v>352</v>
      </c>
    </row>
    <row r="34" spans="14:15" x14ac:dyDescent="0.35">
      <c r="N34" s="3" t="s">
        <v>349</v>
      </c>
      <c r="O34" s="7" t="s">
        <v>345</v>
      </c>
    </row>
    <row r="35" spans="14:15" x14ac:dyDescent="0.35">
      <c r="N35" s="3" t="s">
        <v>355</v>
      </c>
      <c r="O35" s="7" t="s">
        <v>354</v>
      </c>
    </row>
  </sheetData>
  <dataValidations count="1">
    <dataValidation type="list" allowBlank="1" showInputMessage="1" showErrorMessage="1" sqref="B14 E14 H14 K14">
      <formula1>INDIRECT("AvailableTemplates[Available templates:]")</formula1>
    </dataValidation>
  </dataValidations>
  <hyperlinks>
    <hyperlink ref="O18" location="ckCoding!I1" tooltip="Highlighed when total &lt; 100%" display="ckCoding"/>
    <hyperlink ref="O17" location="ProjText!A1" tooltip="see step 5 above-left; Makes a bookmarked pdf with these documents.  Not only good for quoting while writing RAs, but also to review/search during a panel, or for bulk DD concur." display="pdf from ProjText"/>
    <hyperlink ref="O35" location="RAData!T1" tooltip="Text in RAps_note is added to RA drafts after signature without modifying the template" display="RAData, or edit template"/>
    <hyperlink ref="O34" location="RAData!R1" tooltip="to change all, set above and 'Pull Data'; set individually in RAdata, or leave blank for Word to fill in." display="above, or RAData"/>
    <hyperlink ref="O33" location="ckSplits!AM1" tooltip="Feel free to edit pivot table" display="Pivot table on ckSplits"/>
    <hyperlink ref="O31" location="Budgets!L1" tooltip="Latest budget revisions shown" display="Budgets"/>
    <hyperlink ref="O29" location="Advanced!H7" tooltip="Set the template folder to your R: drive or your local machine, and RoboRA will copy the templates for you to customize. I suggest saving RoboRA in the folder with the templates. " display="Advanced"/>
    <hyperlink ref="O28" location="dirRAoutput" tooltip="Pick a folder on your R drive for archiving, your local drive to work while offline, or a shared drive to share with others." display="above or Advanced"/>
    <hyperlink ref="O30" location="Advanced!M1" tooltip="Add/remove state abbreviations here" display="Advanced"/>
    <hyperlink ref="O26" location="PRCs!A1" tooltip="Shows only those in use by projects" display="PRCs"/>
    <hyperlink ref="O24" location="ckAwd!AT1" tooltip="Shows question marks except those after a letter &amp; before a space.  Non-lead abstracts highlighted if they differ from lead." display="ckAwd"/>
    <hyperlink ref="O25" location="ckAwd!AE1" tooltip="See countries from cover and total frgn_trav bugdet" display="ckAwd"/>
    <hyperlink ref="O23" location="ckAwd!Z1" tooltip="Information from the cover pages." display="ckAwd"/>
    <hyperlink ref="O15" location="RAData!X1" tooltip="Links create outlook email to just the project lead, or to all PIs &amp; co-PIs on project." display="RAData"/>
    <hyperlink ref="O32" location="ckSplits!A1" tooltip="Mostly for IAS use; compare budget and proposal codes &amp; PRCs." display="ckSplits"/>
    <hyperlink ref="O19" location="ckCoding!M1" tooltip="Highlights state when epscor code is wrong and WMD when cover has women, minority, or disabled. " display="ckCoding"/>
    <hyperlink ref="O20" location="ckCoding!C1" tooltip="Highlights mismatches (coding, title, ...) throughout tab" display="ckCoding"/>
    <hyperlink ref="O22" location="ckCoding!AE1" tooltip="Black numbers (of panels, conflicts, reviews, unreleasable) are information.  Red numbers (unreleased, released conflicts, received reviews marked pending) should be checked out." display="ckCoding"/>
    <hyperlink ref="O21" location="ckCoding!C1" tooltip="Highlights when there aren't at least three releasable reviews." display="ckCoding"/>
    <hyperlink ref="O27" location="Conflict!A1" tooltip="You'll want to check the affiliations for reviewers that have registered conflicts, because they may be out of date in PARS." display="Conflict"/>
    <hyperlink ref="O16" location="RAData!Q1" tooltip="Green highlighting means there is an E or E/V review. Check before clicking &quot;Create RA Drafts&quot;.  " display="RAData"/>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autoFill="0" autoPict="0" macro="[0]!PullDataFromTables">
                <anchor>
                  <from>
                    <xdr:col>4</xdr:col>
                    <xdr:colOff>31750</xdr:colOff>
                    <xdr:row>6</xdr:row>
                    <xdr:rowOff>69850</xdr:rowOff>
                  </from>
                  <to>
                    <xdr:col>7</xdr:col>
                    <xdr:colOff>622300</xdr:colOff>
                    <xdr:row>7</xdr:row>
                    <xdr:rowOff>31750</xdr:rowOff>
                  </to>
                </anchor>
              </controlPr>
            </control>
          </mc:Choice>
        </mc:AlternateContent>
        <mc:AlternateContent xmlns:mc="http://schemas.openxmlformats.org/markup-compatibility/2006">
          <mc:Choice Requires="x14">
            <control shapeId="16388" r:id="rId5" name="Button 4">
              <controlPr defaultSize="0" autoFill="0" autoPict="0" macro="[0]!MakeIndicatedRAs">
                <anchor>
                  <from>
                    <xdr:col>4</xdr:col>
                    <xdr:colOff>19050</xdr:colOff>
                    <xdr:row>9</xdr:row>
                    <xdr:rowOff>76200</xdr:rowOff>
                  </from>
                  <to>
                    <xdr:col>7</xdr:col>
                    <xdr:colOff>571500</xdr:colOff>
                    <xdr:row>10</xdr:row>
                    <xdr:rowOff>19050</xdr:rowOff>
                  </to>
                </anchor>
              </controlPr>
            </control>
          </mc:Choice>
        </mc:AlternateContent>
        <mc:AlternateContent xmlns:mc="http://schemas.openxmlformats.org/markup-compatibility/2006">
          <mc:Choice Requires="x14">
            <control shapeId="16402" r:id="rId6" name="Button 18">
              <controlPr defaultSize="0" autoFill="0" autoPict="0" macro="[0]!makeProjText">
                <anchor>
                  <from>
                    <xdr:col>4</xdr:col>
                    <xdr:colOff>31750</xdr:colOff>
                    <xdr:row>7</xdr:row>
                    <xdr:rowOff>88900</xdr:rowOff>
                  </from>
                  <to>
                    <xdr:col>7</xdr:col>
                    <xdr:colOff>622300</xdr:colOff>
                    <xdr:row>8</xdr:row>
                    <xdr:rowOff>50800</xdr:rowOff>
                  </to>
                </anchor>
              </controlPr>
            </control>
          </mc:Choice>
        </mc:AlternateContent>
        <mc:AlternateContent xmlns:mc="http://schemas.openxmlformats.org/markup-compatibility/2006">
          <mc:Choice Requires="x14">
            <control shapeId="16403" r:id="rId7" name="ddPropStts_RoboRA">
              <controlPr defaultSize="0" autoLine="0" autoPict="0">
                <anchor moveWithCells="1">
                  <from>
                    <xdr:col>4</xdr:col>
                    <xdr:colOff>12700</xdr:colOff>
                    <xdr:row>5</xdr:row>
                    <xdr:rowOff>50800</xdr:rowOff>
                  </from>
                  <to>
                    <xdr:col>7</xdr:col>
                    <xdr:colOff>628650</xdr:colOff>
                    <xdr:row>5</xdr:row>
                    <xdr:rowOff>228600</xdr:rowOff>
                  </to>
                </anchor>
              </controlPr>
            </control>
          </mc:Choice>
        </mc:AlternateContent>
        <mc:AlternateContent xmlns:mc="http://schemas.openxmlformats.org/markup-compatibility/2006">
          <mc:Choice Requires="x14">
            <control shapeId="16407" r:id="rId8" name="Button 23">
              <controlPr defaultSize="0" autoFill="0" autoPict="0" macro="[0]!PasteFromMyWork">
                <anchor>
                  <from>
                    <xdr:col>13</xdr:col>
                    <xdr:colOff>736600</xdr:colOff>
                    <xdr:row>7</xdr:row>
                    <xdr:rowOff>228600</xdr:rowOff>
                  </from>
                  <to>
                    <xdr:col>13</xdr:col>
                    <xdr:colOff>1828800</xdr:colOff>
                    <xdr:row>8</xdr:row>
                    <xdr:rowOff>203200</xdr:rowOff>
                  </to>
                </anchor>
              </controlPr>
            </control>
          </mc:Choice>
        </mc:AlternateContent>
        <mc:AlternateContent xmlns:mc="http://schemas.openxmlformats.org/markup-compatibility/2006">
          <mc:Choice Requires="x14">
            <control shapeId="16409" r:id="rId9" name="Button 25">
              <controlPr defaultSize="0" autoFill="0" autoPict="0" macro="[0]!ClearData">
                <anchor>
                  <from>
                    <xdr:col>12</xdr:col>
                    <xdr:colOff>393700</xdr:colOff>
                    <xdr:row>7</xdr:row>
                    <xdr:rowOff>222250</xdr:rowOff>
                  </from>
                  <to>
                    <xdr:col>13</xdr:col>
                    <xdr:colOff>527050</xdr:colOff>
                    <xdr:row>8</xdr:row>
                    <xdr:rowOff>203200</xdr:rowOff>
                  </to>
                </anchor>
              </controlPr>
            </control>
          </mc:Choice>
        </mc:AlternateContent>
      </controls>
    </mc:Choice>
  </mc:AlternateContent>
  <tableParts count="5">
    <tablePart r:id="rId10"/>
    <tablePart r:id="rId11"/>
    <tablePart r:id="rId12"/>
    <tablePart r:id="rId13"/>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2"/>
  <sheetViews>
    <sheetView topLeftCell="AC1" zoomScale="99" zoomScaleNormal="99" workbookViewId="0">
      <selection activeCell="AH17" sqref="AH17"/>
    </sheetView>
  </sheetViews>
  <sheetFormatPr defaultRowHeight="14.5" x14ac:dyDescent="0.35"/>
  <cols>
    <col min="1" max="1" width="8.7265625" style="17" customWidth="1"/>
    <col min="2" max="2" width="8.7265625" style="30" customWidth="1"/>
    <col min="3" max="3" width="11.26953125" customWidth="1"/>
    <col min="4" max="4" width="9.81640625" customWidth="1"/>
    <col min="5" max="5" width="5.453125" customWidth="1"/>
    <col min="6" max="6" width="5.7265625" style="18" customWidth="1"/>
    <col min="7" max="7" width="5.54296875" style="18" customWidth="1"/>
    <col min="8" max="8" width="5.26953125" style="21" customWidth="1"/>
    <col min="9" max="9" width="5.7265625" customWidth="1"/>
    <col min="10" max="10" width="5.1796875" customWidth="1"/>
    <col min="11" max="11" width="11.54296875" customWidth="1"/>
    <col min="12" max="12" width="9.26953125" hidden="1" customWidth="1"/>
    <col min="13" max="13" width="4.26953125" customWidth="1"/>
    <col min="14" max="14" width="3.81640625" customWidth="1"/>
    <col min="15" max="15" width="5.54296875" hidden="1" customWidth="1"/>
    <col min="16" max="16" width="6.54296875" style="21" hidden="1" customWidth="1"/>
    <col min="17" max="17" width="14.1796875" customWidth="1"/>
    <col min="18" max="18" width="14.26953125" style="22" customWidth="1"/>
    <col min="19" max="19" width="4.1796875" style="106" customWidth="1"/>
    <col min="20" max="20" width="2.1796875" style="89" customWidth="1"/>
    <col min="21" max="21" width="8.1796875" style="38" customWidth="1"/>
    <col min="22" max="22" width="2.7265625" style="38" customWidth="1"/>
    <col min="23" max="23" width="3.7265625" customWidth="1"/>
    <col min="24" max="24" width="8.1796875" customWidth="1"/>
    <col min="25" max="25" width="11.1796875" customWidth="1"/>
    <col min="26" max="26" width="9.54296875" style="17" customWidth="1"/>
    <col min="27" max="27" width="18.453125" customWidth="1"/>
    <col min="28" max="28" width="8.1796875" style="107" customWidth="1"/>
    <col min="29" max="29" width="8.7265625" style="30" customWidth="1"/>
    <col min="30" max="30" width="3.54296875" style="18" customWidth="1"/>
    <col min="31" max="33" width="2.1796875" customWidth="1"/>
    <col min="34" max="34" width="24.36328125" customWidth="1"/>
    <col min="35" max="35" width="4.54296875" customWidth="1"/>
    <col min="36" max="36" width="14.453125" style="26" customWidth="1"/>
    <col min="37" max="37" width="2.1796875" style="21" customWidth="1"/>
    <col min="38" max="44" width="2.81640625" customWidth="1"/>
    <col min="45" max="45" width="23" customWidth="1"/>
    <col min="46" max="46" width="80.54296875" bestFit="1" customWidth="1"/>
    <col min="47" max="47" width="7.81640625" hidden="1" customWidth="1"/>
    <col min="48" max="48" width="4.54296875" customWidth="1"/>
    <col min="49" max="49" width="11.7265625" customWidth="1"/>
    <col min="50" max="50" width="11.453125" customWidth="1"/>
    <col min="51" max="51" width="11.1796875" customWidth="1"/>
    <col min="52" max="52" width="10.81640625" customWidth="1"/>
    <col min="53" max="53" width="11.1796875" customWidth="1"/>
    <col min="54" max="54" width="9.81640625" customWidth="1"/>
    <col min="55" max="59" width="4.7265625" customWidth="1"/>
    <col min="60" max="63" width="4.26953125" customWidth="1"/>
    <col min="64" max="64" width="18.26953125" customWidth="1"/>
  </cols>
  <sheetData>
    <row r="1" spans="1:64" ht="53.15" customHeight="1" x14ac:dyDescent="0.35">
      <c r="A1" s="17" t="s">
        <v>85</v>
      </c>
      <c r="B1" s="30" t="s">
        <v>6</v>
      </c>
      <c r="C1" t="s">
        <v>7</v>
      </c>
      <c r="D1" t="s">
        <v>4</v>
      </c>
      <c r="E1" t="s">
        <v>3</v>
      </c>
      <c r="F1" t="s">
        <v>159</v>
      </c>
      <c r="G1" t="s">
        <v>157</v>
      </c>
      <c r="H1" s="89" t="s">
        <v>90</v>
      </c>
      <c r="I1" s="38" t="s">
        <v>121</v>
      </c>
      <c r="J1" s="38" t="s">
        <v>122</v>
      </c>
      <c r="K1" t="s">
        <v>15</v>
      </c>
      <c r="L1" t="s">
        <v>89</v>
      </c>
      <c r="M1" t="s">
        <v>91</v>
      </c>
      <c r="N1" t="s">
        <v>330</v>
      </c>
      <c r="O1" t="s">
        <v>331</v>
      </c>
      <c r="P1" s="21" t="s">
        <v>332</v>
      </c>
      <c r="Q1" t="s">
        <v>245</v>
      </c>
      <c r="R1" s="22" t="s">
        <v>14</v>
      </c>
      <c r="S1" s="106" t="s">
        <v>97</v>
      </c>
      <c r="T1" s="21" t="s">
        <v>86</v>
      </c>
      <c r="U1" t="s">
        <v>8</v>
      </c>
      <c r="V1" t="s">
        <v>1</v>
      </c>
      <c r="W1" s="14" t="s">
        <v>137</v>
      </c>
      <c r="X1" t="s">
        <v>0</v>
      </c>
      <c r="Y1" t="s">
        <v>9</v>
      </c>
      <c r="Z1" t="s">
        <v>16</v>
      </c>
      <c r="AA1" t="s">
        <v>244</v>
      </c>
      <c r="AB1" s="108" t="s">
        <v>325</v>
      </c>
      <c r="AC1" s="30" t="s">
        <v>17</v>
      </c>
      <c r="AD1" t="s">
        <v>18</v>
      </c>
      <c r="AE1" s="104" t="s">
        <v>145</v>
      </c>
      <c r="AF1" s="105" t="s">
        <v>246</v>
      </c>
      <c r="AG1" s="104" t="s">
        <v>146</v>
      </c>
      <c r="AH1" t="s">
        <v>248</v>
      </c>
      <c r="AI1" s="26" t="s">
        <v>21</v>
      </c>
      <c r="AJ1" s="22" t="s">
        <v>141</v>
      </c>
      <c r="AK1" s="119" t="s">
        <v>318</v>
      </c>
      <c r="AL1" s="104" t="s">
        <v>247</v>
      </c>
      <c r="AM1" s="104" t="s">
        <v>249</v>
      </c>
      <c r="AN1" s="104" t="s">
        <v>140</v>
      </c>
      <c r="AO1" s="104" t="s">
        <v>250</v>
      </c>
      <c r="AP1" s="104" t="s">
        <v>251</v>
      </c>
      <c r="AQ1" s="104" t="s">
        <v>252</v>
      </c>
      <c r="AR1" t="s">
        <v>376</v>
      </c>
      <c r="AS1" t="s">
        <v>160</v>
      </c>
      <c r="AT1" t="s">
        <v>34</v>
      </c>
      <c r="AU1" t="s">
        <v>333</v>
      </c>
      <c r="AV1" t="s">
        <v>253</v>
      </c>
      <c r="AW1" t="s">
        <v>19</v>
      </c>
      <c r="AX1" t="s">
        <v>20</v>
      </c>
      <c r="AY1" t="s">
        <v>254</v>
      </c>
      <c r="AZ1" t="s">
        <v>255</v>
      </c>
      <c r="BA1" t="s">
        <v>256</v>
      </c>
      <c r="BB1" t="s">
        <v>257</v>
      </c>
      <c r="BC1" t="s">
        <v>258</v>
      </c>
      <c r="BD1" t="s">
        <v>259</v>
      </c>
      <c r="BE1" t="s">
        <v>260</v>
      </c>
      <c r="BF1" t="s">
        <v>261</v>
      </c>
      <c r="BG1" t="s">
        <v>262</v>
      </c>
      <c r="BH1" t="s">
        <v>129</v>
      </c>
      <c r="BI1" t="s">
        <v>130</v>
      </c>
      <c r="BJ1" t="s">
        <v>132</v>
      </c>
      <c r="BK1" t="s">
        <v>131</v>
      </c>
      <c r="BL1" t="s">
        <v>139</v>
      </c>
    </row>
    <row r="2" spans="1:64" x14ac:dyDescent="0.35">
      <c r="A2" s="30"/>
      <c r="F2"/>
      <c r="G2"/>
      <c r="I2" s="85"/>
      <c r="J2" s="85"/>
      <c r="T2" s="21"/>
      <c r="U2"/>
      <c r="V2" s="7"/>
      <c r="Z2"/>
      <c r="AB2" s="109"/>
      <c r="AD2"/>
      <c r="AG2" s="110"/>
      <c r="AI2" s="26"/>
      <c r="AJ2" s="22"/>
      <c r="AN2" s="110"/>
      <c r="AO2" s="110"/>
      <c r="AP2" s="110"/>
      <c r="AQ2" s="110"/>
      <c r="AR2" s="7"/>
      <c r="AW2" s="13"/>
      <c r="AX2" s="13"/>
      <c r="AY2" s="13"/>
      <c r="AZ2" s="13"/>
      <c r="BA2" s="13"/>
      <c r="BB2" s="13"/>
    </row>
  </sheetData>
  <conditionalFormatting sqref="A2:BL2">
    <cfRule type="expression" dxfId="22" priority="6">
      <formula>MOD($S2,2)</formula>
    </cfRule>
  </conditionalFormatting>
  <conditionalFormatting sqref="AL2:AM2">
    <cfRule type="expression" dxfId="21" priority="5">
      <formula>AND($T2&lt;"M",$AL2&lt;$AM2+3)</formula>
    </cfRule>
  </conditionalFormatting>
  <conditionalFormatting sqref="AT2">
    <cfRule type="expression" dxfId="20" priority="3">
      <formula>$AU2</formula>
    </cfRule>
  </conditionalFormatting>
  <conditionalFormatting sqref="I2:J2">
    <cfRule type="expression" dxfId="19" priority="2">
      <formula>($J2+$I2)&lt;&gt;1</formula>
    </cfRule>
  </conditionalFormatting>
  <conditionalFormatting sqref="M2:N2">
    <cfRule type="expression" dxfId="18" priority="1">
      <formula>O2</formula>
    </cfRule>
  </conditionalFormatting>
  <conditionalFormatting sqref="C2:L2">
    <cfRule type="expression" dxfId="17" priority="4">
      <formula>AND($T2="N", C2&lt;&gt;C1)</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2"/>
  <sheetViews>
    <sheetView topLeftCell="AN880" zoomScale="98" workbookViewId="0">
      <selection activeCell="AN926" sqref="A1:XFD1048576"/>
    </sheetView>
  </sheetViews>
  <sheetFormatPr defaultRowHeight="15" customHeight="1" x14ac:dyDescent="0.35"/>
  <cols>
    <col min="1" max="1" width="8.7265625" style="30" customWidth="1"/>
    <col min="2" max="2" width="8.54296875" customWidth="1"/>
    <col min="3" max="3" width="10.453125" customWidth="1"/>
    <col min="4" max="4" width="8.81640625" customWidth="1"/>
    <col min="5" max="5" width="5.54296875" customWidth="1"/>
    <col min="6" max="6" width="7.7265625" style="30" customWidth="1"/>
    <col min="7" max="8" width="5.81640625" style="30" customWidth="1"/>
    <col min="9" max="9" width="5.81640625" style="21" customWidth="1"/>
    <col min="10" max="10" width="5.26953125" style="30" customWidth="1"/>
    <col min="11" max="11" width="8.54296875" customWidth="1"/>
    <col min="12" max="12" width="14.26953125" customWidth="1"/>
    <col min="13" max="13" width="4.453125" style="107" customWidth="1"/>
    <col min="14" max="14" width="1.81640625" customWidth="1"/>
    <col min="15" max="15" width="8.453125" style="22" customWidth="1"/>
    <col min="16" max="16" width="2.81640625" style="38" customWidth="1"/>
    <col min="17" max="17" width="3.54296875" style="38" customWidth="1"/>
    <col min="18" max="18" width="8.453125" style="38" customWidth="1"/>
    <col min="19" max="19" width="10.81640625" customWidth="1"/>
    <col min="20" max="20" width="10.26953125" customWidth="1"/>
    <col min="21" max="21" width="13.7265625" customWidth="1"/>
    <col min="22" max="22" width="3.7265625" style="30" customWidth="1"/>
    <col min="23" max="23" width="9.54296875" style="107" customWidth="1"/>
    <col min="24" max="24" width="9.26953125" style="30"/>
    <col min="25" max="25" width="4.26953125" style="30" customWidth="1"/>
    <col min="26" max="26" width="9" customWidth="1"/>
    <col min="27" max="27" width="10" customWidth="1"/>
    <col min="28" max="28" width="8.81640625" style="81" customWidth="1"/>
    <col min="29" max="30" width="8.81640625" style="21" customWidth="1"/>
    <col min="31" max="31" width="17.453125" style="21" customWidth="1"/>
    <col min="32" max="32" width="11.7265625" customWidth="1"/>
    <col min="33" max="33" width="3.54296875" style="122" customWidth="1"/>
    <col min="34" max="34" width="10.7265625" customWidth="1"/>
    <col min="35" max="35" width="11.453125" style="13" customWidth="1"/>
    <col min="36" max="36" width="7.54296875" customWidth="1"/>
    <col min="37" max="38" width="10.453125" style="1" customWidth="1"/>
    <col min="39" max="41" width="4.81640625" style="1" customWidth="1"/>
    <col min="42" max="43" width="4.81640625" style="81" customWidth="1"/>
    <col min="44" max="44" width="22.1796875" style="122" customWidth="1"/>
    <col min="45" max="45" width="3.54296875" customWidth="1"/>
    <col min="46" max="46" width="18.54296875" customWidth="1"/>
    <col min="47" max="47" width="5.26953125" style="29" customWidth="1"/>
    <col min="48" max="48" width="90" customWidth="1"/>
    <col min="49" max="49" width="7.26953125" hidden="1" customWidth="1"/>
    <col min="50" max="50" width="29.453125" hidden="1" customWidth="1"/>
    <col min="51" max="51" width="10.1796875" style="21" customWidth="1"/>
    <col min="52" max="52" width="58.81640625" style="21" customWidth="1"/>
    <col min="53" max="53" width="21.26953125" style="21" customWidth="1"/>
    <col min="54" max="56" width="5.54296875" style="21" customWidth="1"/>
    <col min="57" max="57" width="4.453125" customWidth="1"/>
    <col min="58" max="63" width="3" customWidth="1"/>
    <col min="64" max="64" width="9.26953125" style="1"/>
    <col min="66" max="66" width="85.54296875" customWidth="1"/>
    <col min="67" max="67" width="10.453125" customWidth="1"/>
    <col min="68" max="68" width="9.54296875" style="13" customWidth="1"/>
    <col min="69" max="69" width="10.453125" customWidth="1"/>
    <col min="70" max="70" width="15.453125" customWidth="1"/>
    <col min="71" max="71" width="11.7265625" customWidth="1"/>
    <col min="72" max="72" width="9.26953125" hidden="1" customWidth="1"/>
    <col min="73" max="73" width="11" hidden="1" customWidth="1"/>
    <col min="74" max="77" width="4.26953125" customWidth="1"/>
  </cols>
  <sheetData>
    <row r="1" spans="1:68" ht="15" customHeight="1" x14ac:dyDescent="0.35">
      <c r="A1" s="30" t="s">
        <v>85</v>
      </c>
      <c r="B1" s="30" t="s">
        <v>6</v>
      </c>
      <c r="C1" t="s">
        <v>7</v>
      </c>
      <c r="D1" t="s">
        <v>4</v>
      </c>
      <c r="E1" t="s">
        <v>3</v>
      </c>
      <c r="F1" t="s">
        <v>89</v>
      </c>
      <c r="G1" t="s">
        <v>159</v>
      </c>
      <c r="H1" t="s">
        <v>157</v>
      </c>
      <c r="I1" s="21" t="s">
        <v>303</v>
      </c>
      <c r="J1" t="s">
        <v>90</v>
      </c>
      <c r="K1" t="s">
        <v>15</v>
      </c>
      <c r="L1" s="22" t="s">
        <v>14</v>
      </c>
      <c r="M1" s="108" t="s">
        <v>97</v>
      </c>
      <c r="N1" t="s">
        <v>86</v>
      </c>
      <c r="O1" t="s">
        <v>8</v>
      </c>
      <c r="P1" t="s">
        <v>1</v>
      </c>
      <c r="Q1" t="s">
        <v>137</v>
      </c>
      <c r="R1" t="s">
        <v>0</v>
      </c>
      <c r="S1" t="s">
        <v>9</v>
      </c>
      <c r="T1" t="s">
        <v>16</v>
      </c>
      <c r="U1" t="s">
        <v>244</v>
      </c>
      <c r="V1" t="s">
        <v>91</v>
      </c>
      <c r="W1" s="108" t="s">
        <v>126</v>
      </c>
      <c r="X1" s="30" t="s">
        <v>17</v>
      </c>
      <c r="Y1" t="s">
        <v>18</v>
      </c>
      <c r="Z1" t="s">
        <v>87</v>
      </c>
      <c r="AA1" s="21" t="s">
        <v>319</v>
      </c>
      <c r="AB1" s="21" t="s">
        <v>320</v>
      </c>
      <c r="AC1" t="s">
        <v>88</v>
      </c>
      <c r="AD1" s="21" t="s">
        <v>321</v>
      </c>
      <c r="AE1" s="21" t="s">
        <v>127</v>
      </c>
      <c r="AF1" s="13" t="s">
        <v>19</v>
      </c>
      <c r="AG1" s="121" t="s">
        <v>253</v>
      </c>
      <c r="AH1" s="1" t="s">
        <v>20</v>
      </c>
      <c r="AI1" s="1" t="s">
        <v>254</v>
      </c>
      <c r="AJ1" s="1" t="s">
        <v>255</v>
      </c>
      <c r="AK1" s="1" t="s">
        <v>256</v>
      </c>
      <c r="AL1" s="1" t="s">
        <v>257</v>
      </c>
      <c r="AM1" s="21" t="s">
        <v>258</v>
      </c>
      <c r="AN1" s="21" t="s">
        <v>259</v>
      </c>
      <c r="AO1" s="21" t="s">
        <v>260</v>
      </c>
      <c r="AP1" s="21" t="s">
        <v>261</v>
      </c>
      <c r="AQ1" s="21" t="s">
        <v>262</v>
      </c>
      <c r="AR1" s="122" t="s">
        <v>160</v>
      </c>
      <c r="AS1" s="21" t="s">
        <v>310</v>
      </c>
      <c r="AT1" s="21" t="s">
        <v>347</v>
      </c>
      <c r="AU1" s="29" t="s">
        <v>128</v>
      </c>
      <c r="AV1" t="s">
        <v>34</v>
      </c>
      <c r="AW1" t="s">
        <v>333</v>
      </c>
      <c r="AX1" t="s">
        <v>139</v>
      </c>
      <c r="AY1"/>
      <c r="AZ1"/>
      <c r="BA1"/>
      <c r="BB1"/>
      <c r="BC1"/>
      <c r="BD1"/>
      <c r="BL1"/>
      <c r="BP1"/>
    </row>
    <row r="2" spans="1:68" ht="15" customHeight="1" x14ac:dyDescent="0.35">
      <c r="B2" s="30"/>
      <c r="F2"/>
      <c r="G2" s="8"/>
      <c r="H2" s="8"/>
      <c r="J2"/>
      <c r="L2" s="22"/>
      <c r="O2"/>
      <c r="P2" s="15"/>
      <c r="Q2" s="8"/>
      <c r="R2"/>
      <c r="U2" s="8"/>
      <c r="V2"/>
      <c r="W2" s="111"/>
      <c r="Y2"/>
      <c r="AA2" s="21"/>
      <c r="AB2" s="21"/>
      <c r="AC2"/>
      <c r="AF2" s="13"/>
      <c r="AG2" s="121"/>
      <c r="AH2" s="1"/>
      <c r="AI2" s="1"/>
      <c r="AJ2" s="1"/>
      <c r="AM2" s="21"/>
      <c r="AN2" s="21"/>
      <c r="AO2" s="21"/>
      <c r="AP2" s="21"/>
      <c r="AQ2" s="21"/>
      <c r="AR2" s="123"/>
      <c r="AS2" s="21"/>
      <c r="AT2" s="21"/>
      <c r="AU2" s="124"/>
      <c r="AX2" s="8"/>
      <c r="AY2"/>
      <c r="AZ2"/>
      <c r="BA2"/>
      <c r="BB2"/>
      <c r="BC2"/>
      <c r="BD2"/>
      <c r="BL2"/>
      <c r="BP2"/>
    </row>
  </sheetData>
  <conditionalFormatting sqref="A2:AX2">
    <cfRule type="expression" dxfId="16" priority="4">
      <formula>MOD($M2,2)</formula>
    </cfRule>
  </conditionalFormatting>
  <conditionalFormatting sqref="C2:K2">
    <cfRule type="expression" dxfId="15" priority="3">
      <formula>AND($N2="N",C2&lt;&gt;C1)</formula>
    </cfRule>
  </conditionalFormatting>
  <conditionalFormatting sqref="X2:AE2">
    <cfRule type="expression" dxfId="14" priority="2">
      <formula>AND($N2="N",TRIM(X2)&lt;&gt;TRIM(X1))</formula>
    </cfRule>
  </conditionalFormatting>
  <conditionalFormatting sqref="AV2">
    <cfRule type="expression" dxfId="13"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C4"/>
  <sheetViews>
    <sheetView topLeftCell="E1" workbookViewId="0">
      <selection activeCell="O4" sqref="O4"/>
    </sheetView>
  </sheetViews>
  <sheetFormatPr defaultRowHeight="14.5" x14ac:dyDescent="0.35"/>
  <cols>
    <col min="1" max="1" width="6.453125" style="6" hidden="1" customWidth="1"/>
    <col min="2" max="2" width="1.7265625" hidden="1" customWidth="1"/>
    <col min="3" max="3" width="2.81640625" hidden="1" customWidth="1"/>
    <col min="4" max="4" width="2.1796875" hidden="1" customWidth="1"/>
    <col min="5" max="5" width="9.26953125" customWidth="1"/>
    <col min="6" max="6" width="11.81640625" customWidth="1"/>
    <col min="7" max="7" width="9" style="30" customWidth="1"/>
    <col min="8" max="8" width="5.81640625" customWidth="1"/>
    <col min="9" max="9" width="6.7265625" customWidth="1"/>
    <col min="10" max="10" width="5.81640625" hidden="1" customWidth="1"/>
    <col min="11" max="11" width="8.453125" customWidth="1"/>
    <col min="12" max="12" width="8.7265625" customWidth="1"/>
    <col min="13" max="13" width="7.81640625" customWidth="1"/>
    <col min="14" max="14" width="7.26953125" customWidth="1"/>
    <col min="15" max="15" width="4.7265625" customWidth="1"/>
    <col min="16" max="16" width="3.26953125" customWidth="1"/>
    <col min="17" max="17" width="2.453125" customWidth="1"/>
    <col min="18" max="18" width="10.26953125" style="13" customWidth="1"/>
    <col min="19" max="20" width="10.26953125" customWidth="1"/>
    <col min="21" max="21" width="10.54296875" customWidth="1"/>
    <col min="22" max="22" width="3.7265625" customWidth="1"/>
    <col min="23" max="23" width="3.7265625" style="6" customWidth="1"/>
    <col min="24" max="24" width="4.26953125" customWidth="1"/>
    <col min="25" max="25" width="11.1796875" customWidth="1"/>
    <col min="26" max="26" width="9.1796875" customWidth="1"/>
    <col min="27" max="27" width="6.1796875" customWidth="1"/>
    <col min="28" max="28" width="6.453125" customWidth="1"/>
    <col min="29" max="29" width="19.54296875" customWidth="1"/>
  </cols>
  <sheetData>
    <row r="1" spans="1:29" x14ac:dyDescent="0.35">
      <c r="A1" s="6" t="s">
        <v>125</v>
      </c>
      <c r="P1" s="3"/>
    </row>
    <row r="2" spans="1:29" s="98" customFormat="1" x14ac:dyDescent="0.35">
      <c r="A2" s="97"/>
      <c r="F2" s="99" t="s">
        <v>13</v>
      </c>
      <c r="G2" s="99"/>
      <c r="I2" s="100"/>
      <c r="K2" s="100" t="s">
        <v>12</v>
      </c>
      <c r="L2" s="98">
        <f ca="1">YEAR(NOW())+(MONTH(NOW())&gt;9)-2000</f>
        <v>18</v>
      </c>
      <c r="P2" s="99" t="s">
        <v>123</v>
      </c>
      <c r="Q2" s="99"/>
      <c r="R2" s="101"/>
      <c r="T2" s="98" t="s">
        <v>124</v>
      </c>
      <c r="X2" s="98" t="s">
        <v>358</v>
      </c>
    </row>
    <row r="3" spans="1:29" ht="33" customHeight="1" x14ac:dyDescent="0.35">
      <c r="A3" s="6" t="s">
        <v>0</v>
      </c>
      <c r="B3" t="s">
        <v>86</v>
      </c>
      <c r="C3" t="s">
        <v>285</v>
      </c>
      <c r="D3" t="s">
        <v>97</v>
      </c>
      <c r="E3" s="30" t="s">
        <v>6</v>
      </c>
      <c r="F3" t="s">
        <v>7</v>
      </c>
      <c r="G3" t="s">
        <v>4</v>
      </c>
      <c r="H3" t="s">
        <v>3</v>
      </c>
      <c r="I3" t="s">
        <v>89</v>
      </c>
      <c r="J3" t="s">
        <v>309</v>
      </c>
      <c r="K3" t="s">
        <v>8</v>
      </c>
      <c r="L3" t="s">
        <v>1</v>
      </c>
      <c r="M3" t="s">
        <v>9</v>
      </c>
      <c r="N3" s="14" t="s">
        <v>338</v>
      </c>
      <c r="O3" t="s">
        <v>10</v>
      </c>
      <c r="P3" t="s">
        <v>286</v>
      </c>
      <c r="Q3" t="s">
        <v>287</v>
      </c>
      <c r="R3" s="13" t="s">
        <v>288</v>
      </c>
      <c r="S3" t="s">
        <v>289</v>
      </c>
      <c r="T3" t="s">
        <v>290</v>
      </c>
      <c r="U3" s="6" t="s">
        <v>291</v>
      </c>
      <c r="V3" t="s">
        <v>292</v>
      </c>
      <c r="W3" t="s">
        <v>293</v>
      </c>
      <c r="X3" t="s">
        <v>5</v>
      </c>
      <c r="Y3" t="s">
        <v>294</v>
      </c>
      <c r="Z3" t="s">
        <v>295</v>
      </c>
      <c r="AA3" t="s">
        <v>296</v>
      </c>
      <c r="AB3" t="s">
        <v>367</v>
      </c>
      <c r="AC3" t="s">
        <v>11</v>
      </c>
    </row>
    <row r="4" spans="1:29" x14ac:dyDescent="0.35">
      <c r="A4" s="10"/>
      <c r="B4" s="76"/>
      <c r="C4" s="76"/>
      <c r="D4" s="76"/>
      <c r="E4" s="77"/>
      <c r="F4" s="78"/>
      <c r="G4" s="78"/>
      <c r="H4" s="78"/>
      <c r="I4" s="76"/>
      <c r="J4" s="76"/>
      <c r="K4" s="78"/>
      <c r="L4" s="7"/>
      <c r="M4" s="78"/>
      <c r="N4" s="7"/>
      <c r="O4" s="78"/>
      <c r="P4" s="78"/>
      <c r="Q4" s="78"/>
      <c r="R4" s="79"/>
      <c r="S4" s="79"/>
      <c r="T4" s="79"/>
      <c r="U4" s="80"/>
      <c r="V4" s="78"/>
      <c r="W4" s="78"/>
      <c r="X4" s="11"/>
      <c r="Y4" s="79"/>
      <c r="Z4" s="78"/>
      <c r="AA4" s="78"/>
      <c r="AB4" s="102"/>
      <c r="AC4" s="78"/>
    </row>
  </sheetData>
  <conditionalFormatting sqref="A4:AC4">
    <cfRule type="expression" dxfId="12" priority="1689">
      <formula>MOD($C4,2)</formula>
    </cfRule>
  </conditionalFormatting>
  <conditionalFormatting sqref="L4:AC4">
    <cfRule type="expression" dxfId="11" priority="1684">
      <formula>MOD($D4+1,2)</formula>
    </cfRule>
    <cfRule type="expression" dxfId="10" priority="1690">
      <formula>ISBLANK($W4)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F2"/>
  <sheetViews>
    <sheetView zoomScale="95" workbookViewId="0">
      <selection activeCell="I1" sqref="I1"/>
    </sheetView>
  </sheetViews>
  <sheetFormatPr defaultRowHeight="14.5" x14ac:dyDescent="0.35"/>
  <cols>
    <col min="1" max="1" width="8.453125" customWidth="1"/>
    <col min="2" max="2" width="13.81640625" style="22" customWidth="1"/>
    <col min="3" max="3" width="11.453125" style="22" customWidth="1"/>
    <col min="4" max="4" width="8.54296875" customWidth="1"/>
    <col min="5" max="5" width="4.7265625" style="5" customWidth="1"/>
    <col min="6" max="6" width="4.54296875" customWidth="1"/>
    <col min="7" max="7" width="4.7265625" customWidth="1"/>
    <col min="8" max="8" width="4.81640625" customWidth="1"/>
    <col min="9" max="9" width="10.54296875" customWidth="1"/>
    <col min="10" max="10" width="9.26953125" bestFit="1" customWidth="1"/>
    <col min="11" max="11" width="15.54296875" style="22" customWidth="1"/>
    <col min="12" max="12" width="3.26953125" customWidth="1"/>
    <col min="13" max="13" width="6" style="26" customWidth="1"/>
    <col min="14" max="16" width="4.1796875" customWidth="1"/>
    <col min="17" max="17" width="19.453125" style="29" customWidth="1"/>
    <col min="18" max="18" width="20.54296875" style="29" customWidth="1"/>
    <col min="19" max="19" width="8.81640625" style="29" customWidth="1"/>
    <col min="20" max="22" width="7.26953125" style="29" customWidth="1"/>
    <col min="23" max="23" width="2.81640625" style="21" customWidth="1"/>
    <col min="24" max="24" width="7.26953125" style="21" customWidth="1"/>
    <col min="25" max="25" width="5.453125" style="21" customWidth="1"/>
    <col min="26" max="26" width="5.26953125" customWidth="1"/>
    <col min="27" max="27" width="7.81640625" bestFit="1" customWidth="1"/>
    <col min="28" max="29" width="3.54296875" customWidth="1"/>
    <col min="30" max="30" width="3.54296875" style="21" customWidth="1"/>
    <col min="31" max="31" width="2.453125" style="21" customWidth="1"/>
    <col min="32" max="32" width="3.26953125" style="26" customWidth="1"/>
    <col min="33" max="33" width="4.453125" customWidth="1"/>
    <col min="34" max="34" width="3.453125" customWidth="1"/>
    <col min="35" max="35" width="13.7265625" style="30" customWidth="1"/>
    <col min="36" max="36" width="9.26953125" customWidth="1"/>
    <col min="37" max="38" width="12.7265625" style="13" customWidth="1"/>
    <col min="39" max="39" width="4.54296875" style="5" customWidth="1"/>
    <col min="40" max="40" width="9.26953125" customWidth="1"/>
    <col min="41" max="41" width="4.453125" style="21" customWidth="1"/>
    <col min="42" max="42" width="72" style="21" bestFit="1" customWidth="1"/>
    <col min="43" max="43" width="3.26953125" customWidth="1"/>
    <col min="44" max="44" width="7.7265625" customWidth="1"/>
    <col min="45" max="45" width="8.7265625" style="26" bestFit="1" customWidth="1"/>
    <col min="46" max="46" width="9.1796875" customWidth="1"/>
    <col min="47" max="47" width="13.453125" style="21" customWidth="1"/>
    <col min="48" max="48" width="4.1796875" style="21" customWidth="1"/>
    <col min="49" max="49" width="17.54296875" style="21" customWidth="1"/>
    <col min="50" max="50" width="8.7265625" style="26" customWidth="1"/>
    <col min="51" max="51" width="11.54296875" style="21" customWidth="1"/>
    <col min="52" max="52" width="34.1796875" style="21" customWidth="1"/>
    <col min="53" max="53" width="4.453125" style="21" customWidth="1"/>
    <col min="54" max="54" width="3.54296875" style="21" customWidth="1"/>
    <col min="55" max="58" width="2.81640625" style="21" customWidth="1"/>
    <col min="59" max="59" width="2.81640625" customWidth="1"/>
    <col min="60" max="67" width="2.81640625" style="21" customWidth="1"/>
    <col min="68" max="68" width="2.81640625" style="27" customWidth="1"/>
    <col min="69" max="72" width="2.81640625" style="21" customWidth="1"/>
    <col min="73" max="73" width="10.54296875" bestFit="1" customWidth="1"/>
    <col min="74" max="74" width="14.453125" style="21" customWidth="1"/>
    <col min="75" max="75" width="11.453125" style="21" customWidth="1"/>
    <col min="76" max="76" width="24.54296875" style="21" bestFit="1" customWidth="1"/>
    <col min="77" max="77" width="12" bestFit="1" customWidth="1"/>
    <col min="78" max="78" width="12" customWidth="1"/>
    <col min="79" max="79" width="18.453125" customWidth="1"/>
    <col min="80" max="83" width="2.7265625" style="21" customWidth="1"/>
    <col min="84" max="86" width="2.7265625" customWidth="1"/>
    <col min="87" max="90" width="2.7265625" style="21" customWidth="1"/>
    <col min="91" max="93" width="2.7265625" customWidth="1"/>
    <col min="94" max="97" width="2.7265625" style="21" customWidth="1"/>
    <col min="98" max="100" width="2.7265625" customWidth="1"/>
    <col min="101" max="104" width="2.7265625" style="21" customWidth="1"/>
    <col min="105" max="107" width="2.7265625" customWidth="1"/>
    <col min="108" max="111" width="2.7265625" style="21" customWidth="1"/>
    <col min="112" max="114" width="2.7265625" customWidth="1"/>
    <col min="115" max="118" width="2.7265625" style="21" customWidth="1"/>
    <col min="119" max="121" width="2.7265625" customWidth="1"/>
    <col min="122" max="122" width="36.54296875" customWidth="1"/>
    <col min="123" max="123" width="45.7265625" customWidth="1"/>
    <col min="124" max="124" width="27.1796875" customWidth="1"/>
    <col min="125" max="125" width="15.26953125" customWidth="1"/>
    <col min="126" max="126" width="30" bestFit="1" customWidth="1"/>
    <col min="127" max="127" width="11.7265625" customWidth="1"/>
    <col min="128" max="128" width="27.26953125" bestFit="1" customWidth="1"/>
    <col min="129" max="129" width="5.453125" bestFit="1" customWidth="1"/>
    <col min="130" max="130" width="35.1796875" customWidth="1"/>
    <col min="131" max="131" width="13.453125" style="22" bestFit="1" customWidth="1"/>
    <col min="132" max="132" width="29.26953125" hidden="1" customWidth="1"/>
    <col min="133" max="133" width="72" hidden="1" customWidth="1"/>
    <col min="134" max="136" width="72" customWidth="1"/>
  </cols>
  <sheetData>
    <row r="1" spans="1:136" ht="41.65" customHeight="1" x14ac:dyDescent="0.35">
      <c r="A1" s="5" t="s">
        <v>85</v>
      </c>
      <c r="B1" s="22" t="s">
        <v>6</v>
      </c>
      <c r="C1" s="22" t="s">
        <v>7</v>
      </c>
      <c r="D1" s="30" t="s">
        <v>4</v>
      </c>
      <c r="E1" t="s">
        <v>3</v>
      </c>
      <c r="F1" t="s">
        <v>157</v>
      </c>
      <c r="G1" s="2" t="s">
        <v>159</v>
      </c>
      <c r="H1" t="s">
        <v>90</v>
      </c>
      <c r="I1" t="s">
        <v>15</v>
      </c>
      <c r="J1" t="s">
        <v>89</v>
      </c>
      <c r="K1" s="22" t="s">
        <v>14</v>
      </c>
      <c r="L1" t="s">
        <v>145</v>
      </c>
      <c r="M1" s="45" t="s">
        <v>164</v>
      </c>
      <c r="N1" t="s">
        <v>263</v>
      </c>
      <c r="O1" s="6" t="s">
        <v>264</v>
      </c>
      <c r="P1" s="6" t="s">
        <v>265</v>
      </c>
      <c r="Q1" s="91" t="s">
        <v>334</v>
      </c>
      <c r="R1" s="91" t="s">
        <v>335</v>
      </c>
      <c r="S1" s="91" t="s">
        <v>136</v>
      </c>
      <c r="T1" s="91" t="s">
        <v>368</v>
      </c>
      <c r="U1" s="91" t="s">
        <v>135</v>
      </c>
      <c r="V1" s="91" t="s">
        <v>336</v>
      </c>
      <c r="W1" s="92" t="s">
        <v>337</v>
      </c>
      <c r="X1" s="93" t="s">
        <v>179</v>
      </c>
      <c r="Y1" s="93" t="s">
        <v>339</v>
      </c>
      <c r="Z1" s="6" t="s">
        <v>137</v>
      </c>
      <c r="AA1" s="6" t="s">
        <v>8</v>
      </c>
      <c r="AB1" t="s">
        <v>133</v>
      </c>
      <c r="AC1" s="14" t="s">
        <v>140</v>
      </c>
      <c r="AD1" s="14" t="s">
        <v>249</v>
      </c>
      <c r="AE1" s="14" t="s">
        <v>369</v>
      </c>
      <c r="AF1" s="21" t="s">
        <v>266</v>
      </c>
      <c r="AG1" s="90" t="s">
        <v>21</v>
      </c>
      <c r="AH1" s="14" t="s">
        <v>267</v>
      </c>
      <c r="AI1" s="14" t="s">
        <v>248</v>
      </c>
      <c r="AJ1" s="94" t="s">
        <v>141</v>
      </c>
      <c r="AK1" s="95" t="s">
        <v>19</v>
      </c>
      <c r="AL1" s="13" t="s">
        <v>20</v>
      </c>
      <c r="AM1" t="s">
        <v>153</v>
      </c>
      <c r="AN1" s="94" t="s">
        <v>17</v>
      </c>
      <c r="AO1" s="21" t="s">
        <v>18</v>
      </c>
      <c r="AP1" s="21" t="s">
        <v>34</v>
      </c>
      <c r="AQ1" s="21" t="s">
        <v>142</v>
      </c>
      <c r="AR1" s="21" t="s">
        <v>143</v>
      </c>
      <c r="AS1" s="30" t="s">
        <v>144</v>
      </c>
      <c r="AT1" s="21" t="s">
        <v>22</v>
      </c>
      <c r="AU1" s="21" t="s">
        <v>25</v>
      </c>
      <c r="AV1" s="21" t="s">
        <v>23</v>
      </c>
      <c r="AW1" s="21" t="s">
        <v>24</v>
      </c>
      <c r="AX1" s="30" t="s">
        <v>147</v>
      </c>
      <c r="AY1" s="21" t="s">
        <v>148</v>
      </c>
      <c r="AZ1" s="21" t="s">
        <v>268</v>
      </c>
      <c r="BA1" s="96" t="s">
        <v>269</v>
      </c>
      <c r="BB1" s="21" t="s">
        <v>270</v>
      </c>
      <c r="BC1" s="21" t="s">
        <v>26</v>
      </c>
      <c r="BD1" s="21" t="s">
        <v>29</v>
      </c>
      <c r="BE1" s="21" t="s">
        <v>27</v>
      </c>
      <c r="BF1" s="21" t="s">
        <v>28</v>
      </c>
      <c r="BG1" s="27" t="s">
        <v>149</v>
      </c>
      <c r="BH1" s="21" t="s">
        <v>150</v>
      </c>
      <c r="BI1" s="21" t="s">
        <v>271</v>
      </c>
      <c r="BJ1" s="21" t="s">
        <v>272</v>
      </c>
      <c r="BK1" s="21" t="s">
        <v>273</v>
      </c>
      <c r="BL1" s="21" t="s">
        <v>30</v>
      </c>
      <c r="BM1" s="21" t="s">
        <v>33</v>
      </c>
      <c r="BN1" s="21" t="s">
        <v>31</v>
      </c>
      <c r="BO1" s="21" t="s">
        <v>32</v>
      </c>
      <c r="BP1" s="30" t="s">
        <v>151</v>
      </c>
      <c r="BQ1" s="21" t="s">
        <v>152</v>
      </c>
      <c r="BR1" s="21" t="s">
        <v>274</v>
      </c>
      <c r="BS1" s="21" t="s">
        <v>275</v>
      </c>
      <c r="BT1" s="21" t="s">
        <v>276</v>
      </c>
      <c r="BU1" t="s">
        <v>35</v>
      </c>
      <c r="BV1" s="21" t="s">
        <v>36</v>
      </c>
      <c r="BW1" s="21" t="s">
        <v>37</v>
      </c>
      <c r="BX1" s="21" t="s">
        <v>38</v>
      </c>
      <c r="BY1" s="13" t="s">
        <v>39</v>
      </c>
      <c r="BZ1" s="13" t="s">
        <v>40</v>
      </c>
      <c r="CA1" t="s">
        <v>41</v>
      </c>
      <c r="CB1" s="21" t="s">
        <v>42</v>
      </c>
      <c r="CC1" s="21" t="s">
        <v>43</v>
      </c>
      <c r="CD1" s="96" t="s">
        <v>44</v>
      </c>
      <c r="CE1" s="96" t="s">
        <v>45</v>
      </c>
      <c r="CF1" s="13" t="s">
        <v>46</v>
      </c>
      <c r="CG1" s="13" t="s">
        <v>47</v>
      </c>
      <c r="CH1" t="s">
        <v>48</v>
      </c>
      <c r="CI1" s="21" t="s">
        <v>49</v>
      </c>
      <c r="CJ1" s="21" t="s">
        <v>50</v>
      </c>
      <c r="CK1" s="96" t="s">
        <v>51</v>
      </c>
      <c r="CL1" s="96" t="s">
        <v>52</v>
      </c>
      <c r="CM1" s="13" t="s">
        <v>53</v>
      </c>
      <c r="CN1" s="13" t="s">
        <v>54</v>
      </c>
      <c r="CO1" t="s">
        <v>55</v>
      </c>
      <c r="CP1" s="21" t="s">
        <v>56</v>
      </c>
      <c r="CQ1" s="21" t="s">
        <v>57</v>
      </c>
      <c r="CR1" s="96" t="s">
        <v>58</v>
      </c>
      <c r="CS1" s="96" t="s">
        <v>59</v>
      </c>
      <c r="CT1" s="13" t="s">
        <v>60</v>
      </c>
      <c r="CU1" s="13" t="s">
        <v>61</v>
      </c>
      <c r="CV1" t="s">
        <v>62</v>
      </c>
      <c r="CW1" s="21" t="s">
        <v>63</v>
      </c>
      <c r="CX1" s="21" t="s">
        <v>64</v>
      </c>
      <c r="CY1" s="96" t="s">
        <v>65</v>
      </c>
      <c r="CZ1" s="96" t="s">
        <v>66</v>
      </c>
      <c r="DA1" s="13" t="s">
        <v>67</v>
      </c>
      <c r="DB1" s="13" t="s">
        <v>68</v>
      </c>
      <c r="DC1" t="s">
        <v>69</v>
      </c>
      <c r="DD1" s="21" t="s">
        <v>70</v>
      </c>
      <c r="DE1" s="21" t="s">
        <v>71</v>
      </c>
      <c r="DF1" s="96" t="s">
        <v>72</v>
      </c>
      <c r="DG1" s="96" t="s">
        <v>73</v>
      </c>
      <c r="DH1" s="13" t="s">
        <v>74</v>
      </c>
      <c r="DI1" s="13" t="s">
        <v>75</v>
      </c>
      <c r="DJ1" t="s">
        <v>76</v>
      </c>
      <c r="DK1" s="21" t="s">
        <v>77</v>
      </c>
      <c r="DL1" s="21" t="s">
        <v>78</v>
      </c>
      <c r="DM1" s="96" t="s">
        <v>79</v>
      </c>
      <c r="DN1" s="96" t="s">
        <v>80</v>
      </c>
      <c r="DO1" s="13" t="s">
        <v>81</v>
      </c>
      <c r="DP1" s="13" t="s">
        <v>82</v>
      </c>
      <c r="DQ1" t="s">
        <v>83</v>
      </c>
      <c r="DR1" t="s">
        <v>2</v>
      </c>
      <c r="DS1" t="s">
        <v>277</v>
      </c>
      <c r="DT1" t="s">
        <v>156</v>
      </c>
      <c r="DU1" t="s">
        <v>163</v>
      </c>
      <c r="DV1" t="s">
        <v>160</v>
      </c>
      <c r="DW1" t="s">
        <v>278</v>
      </c>
      <c r="DX1" t="s">
        <v>158</v>
      </c>
      <c r="DY1" t="s">
        <v>154</v>
      </c>
      <c r="DZ1" t="s">
        <v>155</v>
      </c>
      <c r="EA1" s="22" t="s">
        <v>138</v>
      </c>
      <c r="EB1" t="s">
        <v>139</v>
      </c>
      <c r="EC1" t="s">
        <v>84</v>
      </c>
      <c r="ED1" t="s">
        <v>425</v>
      </c>
      <c r="EE1" t="s">
        <v>426</v>
      </c>
      <c r="EF1" t="s">
        <v>427</v>
      </c>
    </row>
    <row r="2" spans="1:136" hidden="1" x14ac:dyDescent="0.35">
      <c r="A2" s="30">
        <v>36526</v>
      </c>
      <c r="B2" s="22">
        <v>36526</v>
      </c>
      <c r="C2" s="22" t="s">
        <v>454</v>
      </c>
      <c r="D2" s="30" t="s">
        <v>455</v>
      </c>
      <c r="E2" s="30" t="s">
        <v>456</v>
      </c>
      <c r="F2" s="30" t="s">
        <v>457</v>
      </c>
      <c r="G2" s="30" t="s">
        <v>458</v>
      </c>
      <c r="H2" t="s">
        <v>459</v>
      </c>
      <c r="I2" t="s">
        <v>460</v>
      </c>
      <c r="J2" t="s">
        <v>461</v>
      </c>
      <c r="K2" s="22">
        <v>36526</v>
      </c>
      <c r="L2">
        <v>0</v>
      </c>
      <c r="M2" s="26">
        <v>-0.99999998999999995</v>
      </c>
      <c r="N2" t="s">
        <v>462</v>
      </c>
      <c r="O2" t="s">
        <v>462</v>
      </c>
      <c r="P2" t="s">
        <v>462</v>
      </c>
      <c r="Q2" s="29" t="s">
        <v>463</v>
      </c>
      <c r="R2" s="29" t="str">
        <f>IFERROR(MID(RADataQTable[[#This Row],[RAtemplate]],1,LEN(RADataQTable[[#This Row],[RAtemplate]])-8),"RA") &amp; " " &amp; RADataQTable[[#This Row],[prop_id0]] &amp; " " &amp; RADataQTable[[#This Row],[last0]]</f>
        <v>zztemplateFname  1234567 PI last name for format.</v>
      </c>
      <c r="U2" s="21" t="str">
        <f>IF(signer1="PD",IF(ISBLANK(RADataQTable[[#This Row],[sign_blck_name]]),"",RADataQTable[[#This Row],[sign_blck_name]]),IF(ISBLANK(signer1),"",signer1))</f>
        <v>Name for PO signature</v>
      </c>
      <c r="V2" s="29" t="str">
        <f>signer2</f>
        <v>Cognizant Program Director</v>
      </c>
      <c r="W2" s="15" t="str">
        <f>HYPERLINK("https://www.ejacket.nsf.gov/ej/showProposal.do?Continue=Y&amp;ID="&amp;RADataQTable[[#This Row],[prop_id0]],"eJ")</f>
        <v>eJ</v>
      </c>
      <c r="X2" s="15" t="str">
        <f>HYPERLINK("mailto:"&amp;RADataQTable[[#This Row],[email]]&amp;"&amp;subject=Your NSF Proposal:  "&amp;RADataQTable[[#This Row],[Div]]&amp;" "&amp;RADataQTable[[#This Row],[prop_id0]], RADataQTable[[#This Row],[email]])</f>
        <v>Email of lead PI on the project</v>
      </c>
      <c r="Y2" s="15" t="str">
        <f>HYPERLINK("mailto:"&amp;RADataQTable[[#This Row],[allPIemail]]&amp;"&amp;subject=NSF Proposal:  "&amp;RADataQTable[[#This Row],[Div]]&amp;" "&amp;RADataQTable[[#This Row],[prop_id0]], "PIs@")</f>
        <v>PIs@</v>
      </c>
      <c r="Z2" t="s">
        <v>464</v>
      </c>
      <c r="AA2" t="s">
        <v>465</v>
      </c>
      <c r="AB2">
        <v>0</v>
      </c>
      <c r="AC2">
        <v>0</v>
      </c>
      <c r="AD2">
        <v>0</v>
      </c>
      <c r="AE2" t="str">
        <f>IF(RADataQTable[[#This Row],[maxScore]]-RADataQTable[[#This Row],[minScore]]&gt;4,"Y","")</f>
        <v>Y</v>
      </c>
      <c r="AF2" s="21">
        <v>1</v>
      </c>
      <c r="AG2" s="26">
        <v>4.5</v>
      </c>
      <c r="AH2">
        <v>9</v>
      </c>
      <c r="AI2" t="s">
        <v>466</v>
      </c>
      <c r="AJ2" s="30">
        <v>36526</v>
      </c>
      <c r="AK2" s="13">
        <v>99999999</v>
      </c>
      <c r="AL2" s="13">
        <v>99999999</v>
      </c>
      <c r="AM2">
        <v>0</v>
      </c>
      <c r="AN2" s="30">
        <v>36526</v>
      </c>
      <c r="AO2" s="21">
        <v>36</v>
      </c>
      <c r="AP2" s="21" t="s">
        <v>467</v>
      </c>
      <c r="AQ2">
        <v>0</v>
      </c>
      <c r="AR2" t="s">
        <v>468</v>
      </c>
      <c r="AS2" s="30">
        <v>36526</v>
      </c>
      <c r="AT2" t="s">
        <v>469</v>
      </c>
      <c r="AU2" s="21" t="s">
        <v>470</v>
      </c>
      <c r="AV2" s="21">
        <v>99</v>
      </c>
      <c r="AW2" s="21" t="s">
        <v>471</v>
      </c>
      <c r="AX2" s="30">
        <v>36526</v>
      </c>
      <c r="AY2" s="21" t="s">
        <v>466</v>
      </c>
      <c r="AZ2" s="21" t="s">
        <v>472</v>
      </c>
      <c r="BA2" s="21">
        <v>0</v>
      </c>
      <c r="BB2" s="21">
        <v>0</v>
      </c>
      <c r="BC2" s="21" t="s">
        <v>469</v>
      </c>
      <c r="BD2" s="21" t="s">
        <v>470</v>
      </c>
      <c r="BE2" s="21">
        <v>99</v>
      </c>
      <c r="BF2" s="21" t="s">
        <v>471</v>
      </c>
      <c r="BG2" s="30">
        <v>36526</v>
      </c>
      <c r="BH2" s="21" t="s">
        <v>466</v>
      </c>
      <c r="BI2" s="21" t="s">
        <v>472</v>
      </c>
      <c r="BJ2" s="21">
        <v>0</v>
      </c>
      <c r="BK2" s="21">
        <v>0</v>
      </c>
      <c r="BL2" s="21" t="s">
        <v>469</v>
      </c>
      <c r="BM2" s="21" t="s">
        <v>470</v>
      </c>
      <c r="BN2" s="21">
        <v>99</v>
      </c>
      <c r="BO2" s="21" t="s">
        <v>471</v>
      </c>
      <c r="BP2" s="30">
        <v>36526</v>
      </c>
      <c r="BQ2" s="21" t="s">
        <v>466</v>
      </c>
      <c r="BR2" s="21" t="s">
        <v>472</v>
      </c>
      <c r="BS2" s="21">
        <v>0</v>
      </c>
      <c r="BT2" s="21">
        <v>0</v>
      </c>
      <c r="BU2" t="s">
        <v>465</v>
      </c>
      <c r="BV2" s="21" t="s">
        <v>474</v>
      </c>
      <c r="BW2" s="21" t="s">
        <v>475</v>
      </c>
      <c r="BX2" s="21" t="s">
        <v>476</v>
      </c>
      <c r="BY2" s="31">
        <v>99999999</v>
      </c>
      <c r="BZ2" s="31">
        <v>99999999</v>
      </c>
      <c r="CA2" t="s">
        <v>477</v>
      </c>
      <c r="CB2" s="21" t="s">
        <v>465</v>
      </c>
      <c r="CC2" s="21" t="s">
        <v>474</v>
      </c>
      <c r="CD2" s="21" t="s">
        <v>475</v>
      </c>
      <c r="CE2" s="21" t="s">
        <v>476</v>
      </c>
      <c r="CF2" s="31">
        <v>99999999</v>
      </c>
      <c r="CG2" s="31">
        <v>99999999</v>
      </c>
      <c r="CH2" t="s">
        <v>477</v>
      </c>
      <c r="CI2" s="21" t="s">
        <v>465</v>
      </c>
      <c r="CJ2" s="21" t="s">
        <v>474</v>
      </c>
      <c r="CK2" s="21" t="s">
        <v>475</v>
      </c>
      <c r="CL2" s="21" t="s">
        <v>476</v>
      </c>
      <c r="CM2" s="31">
        <v>99999999</v>
      </c>
      <c r="CN2" s="31">
        <v>99999999</v>
      </c>
      <c r="CO2" t="s">
        <v>477</v>
      </c>
      <c r="CP2" s="21" t="s">
        <v>465</v>
      </c>
      <c r="CQ2" s="21" t="s">
        <v>474</v>
      </c>
      <c r="CR2" s="21" t="s">
        <v>475</v>
      </c>
      <c r="CS2" s="21" t="s">
        <v>476</v>
      </c>
      <c r="CT2" s="31">
        <v>99999999</v>
      </c>
      <c r="CU2" s="31">
        <v>99999999</v>
      </c>
      <c r="CV2" t="s">
        <v>477</v>
      </c>
      <c r="CW2" s="21" t="s">
        <v>465</v>
      </c>
      <c r="CX2" s="21" t="s">
        <v>474</v>
      </c>
      <c r="CY2" s="21" t="s">
        <v>475</v>
      </c>
      <c r="CZ2" s="21" t="s">
        <v>476</v>
      </c>
      <c r="DA2" s="31">
        <v>99999999</v>
      </c>
      <c r="DB2" s="31">
        <v>99999999</v>
      </c>
      <c r="DC2" t="s">
        <v>477</v>
      </c>
      <c r="DD2" s="21" t="s">
        <v>465</v>
      </c>
      <c r="DE2" s="21" t="s">
        <v>474</v>
      </c>
      <c r="DF2" s="21" t="s">
        <v>475</v>
      </c>
      <c r="DG2" s="21" t="s">
        <v>476</v>
      </c>
      <c r="DH2" s="31">
        <v>99999999</v>
      </c>
      <c r="DI2" s="31">
        <v>99999999</v>
      </c>
      <c r="DJ2" t="s">
        <v>477</v>
      </c>
      <c r="DK2" s="21" t="s">
        <v>465</v>
      </c>
      <c r="DL2" s="21" t="s">
        <v>474</v>
      </c>
      <c r="DM2" s="21" t="s">
        <v>475</v>
      </c>
      <c r="DN2" s="21" t="s">
        <v>476</v>
      </c>
      <c r="DO2" s="31">
        <v>99999999</v>
      </c>
      <c r="DP2" s="31">
        <v>99999999</v>
      </c>
      <c r="DQ2" t="s">
        <v>477</v>
      </c>
      <c r="DR2" t="s">
        <v>478</v>
      </c>
      <c r="DS2" t="s">
        <v>479</v>
      </c>
      <c r="DT2" t="s">
        <v>480</v>
      </c>
      <c r="DU2" s="29" t="s">
        <v>481</v>
      </c>
      <c r="DV2" t="s">
        <v>482</v>
      </c>
      <c r="DW2" t="s">
        <v>483</v>
      </c>
      <c r="DX2" t="s">
        <v>484</v>
      </c>
      <c r="DY2" t="s">
        <v>485</v>
      </c>
      <c r="DZ2" t="s">
        <v>486</v>
      </c>
      <c r="EA2" s="22">
        <v>36526</v>
      </c>
      <c r="EB2" t="s">
        <v>487</v>
      </c>
      <c r="EC2" t="s">
        <v>488</v>
      </c>
      <c r="ED2" t="s">
        <v>473</v>
      </c>
      <c r="EE2" t="s">
        <v>473</v>
      </c>
      <c r="EF2" t="s">
        <v>473</v>
      </c>
    </row>
  </sheetData>
  <conditionalFormatting sqref="Q2">
    <cfRule type="expression" dxfId="9" priority="1">
      <formula>LEFT($AI2,1)="E"</formula>
    </cfRule>
  </conditionalFormatting>
  <dataValidations count="1">
    <dataValidation type="list" allowBlank="1" showInputMessage="1" showErrorMessage="1" sqref="O2 Q2">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69850</xdr:rowOff>
                  </from>
                  <to>
                    <xdr:col>16</xdr:col>
                    <xdr:colOff>895350</xdr:colOff>
                    <xdr:row>0</xdr:row>
                    <xdr:rowOff>323850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N30"/>
  <sheetViews>
    <sheetView showGridLines="0" workbookViewId="0">
      <selection activeCell="J11" sqref="J11"/>
    </sheetView>
  </sheetViews>
  <sheetFormatPr defaultRowHeight="14.5" x14ac:dyDescent="0.35"/>
  <cols>
    <col min="1" max="1" width="4" customWidth="1"/>
    <col min="2" max="2" width="10.453125" style="6" customWidth="1"/>
    <col min="3" max="3" width="16.26953125" customWidth="1"/>
    <col min="4" max="4" width="3.26953125" style="5" customWidth="1"/>
    <col min="5" max="5" width="15.7265625" style="23" customWidth="1"/>
    <col min="6" max="6" width="14.453125" customWidth="1"/>
    <col min="7" max="7" width="10.7265625" customWidth="1"/>
    <col min="8" max="8" width="6.26953125" customWidth="1"/>
    <col min="9" max="9" width="4.54296875" customWidth="1"/>
    <col min="10" max="10" width="35.26953125" customWidth="1"/>
    <col min="11" max="11" width="6.81640625" customWidth="1"/>
    <col min="12" max="12" width="9.81640625" customWidth="1"/>
    <col min="13" max="13" width="5.7265625" customWidth="1"/>
    <col min="14" max="14" width="12.54296875" style="6" customWidth="1"/>
    <col min="15" max="15" width="4" customWidth="1"/>
    <col min="16" max="16" width="23.453125" customWidth="1"/>
    <col min="17" max="17" width="12" customWidth="1"/>
    <col min="18" max="18" width="9.453125" customWidth="1"/>
    <col min="19" max="19" width="10" customWidth="1"/>
    <col min="20" max="20" width="14" customWidth="1"/>
    <col min="21" max="22" width="11.1796875" customWidth="1"/>
    <col min="23" max="23" width="81.1796875" bestFit="1" customWidth="1"/>
    <col min="24" max="24" width="20.54296875" bestFit="1" customWidth="1"/>
    <col min="25" max="25" width="18.26953125" bestFit="1" customWidth="1"/>
    <col min="26" max="26" width="45.81640625" bestFit="1" customWidth="1"/>
    <col min="27" max="27" width="36.7265625" bestFit="1" customWidth="1"/>
    <col min="28" max="28" width="10.54296875" bestFit="1" customWidth="1"/>
    <col min="29" max="29" width="9.81640625" bestFit="1" customWidth="1"/>
    <col min="30" max="30" width="20.54296875" customWidth="1"/>
    <col min="31" max="31" width="37.1796875" customWidth="1"/>
    <col min="32" max="32" width="19" customWidth="1"/>
    <col min="33" max="33" width="19.1796875" bestFit="1" customWidth="1"/>
    <col min="34" max="34" width="14.54296875" bestFit="1" customWidth="1"/>
    <col min="35" max="35" width="10" bestFit="1" customWidth="1"/>
  </cols>
  <sheetData>
    <row r="1" spans="1:7" ht="16" customHeight="1" x14ac:dyDescent="0.35">
      <c r="A1" s="59" t="s">
        <v>218</v>
      </c>
    </row>
    <row r="2" spans="1:7" ht="16" customHeight="1" x14ac:dyDescent="0.35">
      <c r="B2" s="9" t="s">
        <v>453</v>
      </c>
    </row>
    <row r="3" spans="1:7" ht="16" customHeight="1" x14ac:dyDescent="0.35">
      <c r="B3" s="9" t="s">
        <v>390</v>
      </c>
    </row>
    <row r="4" spans="1:7" ht="16" customHeight="1" x14ac:dyDescent="0.35">
      <c r="B4" s="9" t="s">
        <v>389</v>
      </c>
      <c r="D4" s="16"/>
      <c r="F4" s="4"/>
      <c r="G4" s="29"/>
    </row>
    <row r="5" spans="1:7" ht="16" customHeight="1" x14ac:dyDescent="0.35">
      <c r="B5" s="9" t="s">
        <v>441</v>
      </c>
      <c r="C5" s="4"/>
      <c r="F5" s="4"/>
      <c r="G5" s="29"/>
    </row>
    <row r="6" spans="1:7" ht="16" customHeight="1" x14ac:dyDescent="0.35">
      <c r="B6" s="127" t="s">
        <v>442</v>
      </c>
      <c r="F6" s="4"/>
      <c r="G6" s="29"/>
    </row>
    <row r="7" spans="1:7" ht="16" customHeight="1" x14ac:dyDescent="0.35">
      <c r="B7" s="9" t="s">
        <v>392</v>
      </c>
      <c r="F7" s="4"/>
      <c r="G7" s="29"/>
    </row>
    <row r="8" spans="1:7" ht="16" customHeight="1" x14ac:dyDescent="0.35">
      <c r="B8" s="9" t="s">
        <v>393</v>
      </c>
      <c r="F8" s="4"/>
      <c r="G8" s="42"/>
    </row>
    <row r="9" spans="1:7" ht="16" customHeight="1" x14ac:dyDescent="0.35">
      <c r="B9" s="9"/>
      <c r="F9" s="4"/>
      <c r="G9" s="30"/>
    </row>
    <row r="10" spans="1:7" ht="18.5" x14ac:dyDescent="0.35">
      <c r="B10" s="46"/>
      <c r="C10" s="141" t="s">
        <v>217</v>
      </c>
      <c r="D10" s="141"/>
      <c r="E10" s="141"/>
      <c r="F10" s="47"/>
    </row>
    <row r="11" spans="1:7" ht="15.5" x14ac:dyDescent="0.35">
      <c r="B11" s="48"/>
      <c r="C11" s="49" t="s">
        <v>191</v>
      </c>
      <c r="D11" s="49"/>
      <c r="E11" s="49" t="s">
        <v>192</v>
      </c>
      <c r="F11" s="49"/>
    </row>
    <row r="12" spans="1:7" ht="20.149999999999999" customHeight="1" x14ac:dyDescent="0.35">
      <c r="C12" s="50" t="s">
        <v>193</v>
      </c>
      <c r="D12" s="50"/>
      <c r="E12" s="58" t="s">
        <v>209</v>
      </c>
      <c r="F12" s="51" t="s">
        <v>210</v>
      </c>
    </row>
    <row r="13" spans="1:7" ht="20.149999999999999" customHeight="1" x14ac:dyDescent="0.35">
      <c r="C13" s="50" t="s">
        <v>204</v>
      </c>
      <c r="D13" s="50"/>
      <c r="E13" s="52" t="s">
        <v>214</v>
      </c>
      <c r="F13" s="53"/>
    </row>
    <row r="14" spans="1:7" ht="20.149999999999999" customHeight="1" x14ac:dyDescent="0.35">
      <c r="C14" s="50" t="s">
        <v>198</v>
      </c>
      <c r="D14" s="50"/>
      <c r="E14" s="52" t="s">
        <v>199</v>
      </c>
      <c r="F14" s="53"/>
    </row>
    <row r="15" spans="1:7" ht="20.149999999999999" customHeight="1" x14ac:dyDescent="0.35">
      <c r="C15" s="50" t="s">
        <v>194</v>
      </c>
      <c r="D15" s="50"/>
      <c r="E15" s="52" t="s">
        <v>213</v>
      </c>
      <c r="F15" s="53"/>
    </row>
    <row r="16" spans="1:7" ht="20.149999999999999" customHeight="1" x14ac:dyDescent="0.35">
      <c r="C16" s="50" t="s">
        <v>195</v>
      </c>
      <c r="D16" s="50"/>
      <c r="E16" s="54" t="s">
        <v>212</v>
      </c>
      <c r="F16" s="55"/>
    </row>
    <row r="17" spans="3:6" ht="20.149999999999999" customHeight="1" x14ac:dyDescent="0.35">
      <c r="C17" s="50" t="s">
        <v>196</v>
      </c>
      <c r="D17" s="50"/>
      <c r="E17" s="52" t="s">
        <v>211</v>
      </c>
      <c r="F17" s="53"/>
    </row>
    <row r="18" spans="3:6" ht="20.149999999999999" customHeight="1" x14ac:dyDescent="0.35">
      <c r="C18" s="50" t="s">
        <v>197</v>
      </c>
      <c r="D18" s="50"/>
      <c r="E18" s="52" t="s">
        <v>215</v>
      </c>
      <c r="F18" s="53"/>
    </row>
    <row r="19" spans="3:6" ht="20.149999999999999" customHeight="1" x14ac:dyDescent="0.35">
      <c r="C19" s="50" t="s">
        <v>201</v>
      </c>
      <c r="D19" s="50"/>
      <c r="E19" s="52" t="s">
        <v>216</v>
      </c>
      <c r="F19" s="53"/>
    </row>
    <row r="20" spans="3:6" ht="20.149999999999999" customHeight="1" x14ac:dyDescent="0.35">
      <c r="C20" s="50" t="s">
        <v>202</v>
      </c>
      <c r="D20" s="50"/>
      <c r="E20" s="52" t="s">
        <v>203</v>
      </c>
      <c r="F20" s="53"/>
    </row>
    <row r="21" spans="3:6" ht="20.149999999999999" customHeight="1" x14ac:dyDescent="0.35">
      <c r="C21" s="50" t="s">
        <v>205</v>
      </c>
      <c r="D21" s="50"/>
      <c r="E21" s="52" t="s">
        <v>206</v>
      </c>
      <c r="F21" s="53"/>
    </row>
    <row r="22" spans="3:6" ht="20.149999999999999" customHeight="1" x14ac:dyDescent="0.35">
      <c r="C22" s="50" t="s">
        <v>207</v>
      </c>
      <c r="D22" s="50"/>
      <c r="E22" s="52" t="s">
        <v>208</v>
      </c>
      <c r="F22" s="53"/>
    </row>
    <row r="23" spans="3:6" ht="20.149999999999999" customHeight="1" x14ac:dyDescent="0.35">
      <c r="C23" s="50" t="s">
        <v>200</v>
      </c>
      <c r="D23" s="56"/>
      <c r="E23" s="115" t="str">
        <f>INDEX(codes_prop_stts,select_prop_stts)</f>
        <v>0[01289]</v>
      </c>
      <c r="F23" s="57"/>
    </row>
    <row r="24" spans="3:6" ht="20.149999999999999" customHeight="1" x14ac:dyDescent="0.35">
      <c r="C24" s="3"/>
      <c r="D24" s="3"/>
      <c r="E24" s="3"/>
      <c r="F24" s="3"/>
    </row>
    <row r="25" spans="3:6" ht="20.149999999999999" customHeight="1" x14ac:dyDescent="0.35">
      <c r="D25"/>
      <c r="E25"/>
    </row>
    <row r="26" spans="3:6" ht="19.75" customHeight="1" x14ac:dyDescent="0.35">
      <c r="D26"/>
      <c r="E26"/>
    </row>
    <row r="27" spans="3:6" x14ac:dyDescent="0.35">
      <c r="C27" s="25"/>
      <c r="D27"/>
      <c r="E27" s="25"/>
      <c r="F27" s="25"/>
    </row>
    <row r="28" spans="3:6" x14ac:dyDescent="0.35">
      <c r="C28" s="25"/>
      <c r="D28"/>
      <c r="E28" s="25"/>
      <c r="F28" s="25"/>
    </row>
    <row r="29" spans="3:6" x14ac:dyDescent="0.35">
      <c r="C29" s="25"/>
      <c r="D29"/>
      <c r="E29" s="25"/>
    </row>
    <row r="30" spans="3:6" x14ac:dyDescent="0.35">
      <c r="E30" s="30"/>
    </row>
  </sheetData>
  <mergeCells count="1">
    <mergeCell ref="C10:E10"/>
  </mergeCells>
  <conditionalFormatting sqref="E12:F22">
    <cfRule type="expression" dxfId="8" priority="1">
      <formula>SEARCH("eg:",E12)=1</formula>
    </cfRule>
  </conditionalFormatting>
  <dataValidations count="1">
    <dataValidation type="list" allowBlank="1" showInputMessage="1" showErrorMessage="1" sqref="C25 E25:F25">
      <formula1>INDIRECT("AvailableTemplates[Available templates:]")</formula1>
    </dataValidation>
  </dataValidations>
  <pageMargins left="0.25" right="0.25" top="0.75" bottom="0.75" header="0.3" footer="0.3"/>
  <pageSetup scale="8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6" r:id="rId4" name="Drop Down 32">
              <controlPr defaultSize="0" autoLine="0" autoPict="0">
                <anchor moveWithCells="1">
                  <from>
                    <xdr:col>3</xdr:col>
                    <xdr:colOff>222250</xdr:colOff>
                    <xdr:row>22</xdr:row>
                    <xdr:rowOff>12700</xdr:rowOff>
                  </from>
                  <to>
                    <xdr:col>6</xdr:col>
                    <xdr:colOff>260350</xdr:colOff>
                    <xdr:row>23</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lict">
    <tabColor theme="4" tint="-0.499984740745262"/>
  </sheetPr>
  <dimension ref="A1:C2"/>
  <sheetViews>
    <sheetView workbookViewId="0">
      <selection activeCell="E20" sqref="E20"/>
    </sheetView>
  </sheetViews>
  <sheetFormatPr defaultRowHeight="14.5" x14ac:dyDescent="0.35"/>
  <cols>
    <col min="1" max="1" width="10.81640625" customWidth="1"/>
    <col min="2" max="2" width="23.453125" customWidth="1"/>
    <col min="3" max="3" width="29.81640625" customWidth="1"/>
  </cols>
  <sheetData>
    <row r="1" spans="1:3" ht="34" customHeight="1" x14ac:dyDescent="0.35">
      <c r="A1" s="62" t="s">
        <v>412</v>
      </c>
    </row>
    <row r="2" spans="1:3" x14ac:dyDescent="0.35">
      <c r="A2" s="6" t="s">
        <v>422</v>
      </c>
      <c r="B2" s="6" t="s">
        <v>423</v>
      </c>
      <c r="C2" s="6" t="s">
        <v>424</v>
      </c>
    </row>
  </sheetData>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4" tint="-0.499984740745262"/>
  </sheetPr>
  <dimension ref="A1:AX3"/>
  <sheetViews>
    <sheetView workbookViewId="0">
      <selection activeCell="E4" sqref="E4"/>
    </sheetView>
  </sheetViews>
  <sheetFormatPr defaultRowHeight="14.5" x14ac:dyDescent="0.35"/>
  <cols>
    <col min="1" max="1" width="6.7265625" customWidth="1"/>
    <col min="2" max="2" width="38.453125" customWidth="1"/>
    <col min="3" max="3" width="11.453125" customWidth="1"/>
    <col min="4" max="4" width="6.7265625" customWidth="1"/>
    <col min="5" max="5" width="41.81640625" customWidth="1"/>
    <col min="6" max="6" width="7.26953125" customWidth="1"/>
    <col min="7" max="7" width="41" customWidth="1"/>
    <col min="8" max="10" width="5.81640625" style="30" customWidth="1"/>
    <col min="11" max="11" width="3.26953125" style="30" customWidth="1"/>
    <col min="12" max="12" width="3.54296875" style="30" customWidth="1"/>
    <col min="13" max="13" width="13.54296875" customWidth="1"/>
    <col min="14" max="14" width="3.81640625" customWidth="1"/>
    <col min="15" max="16" width="7.453125" hidden="1" customWidth="1"/>
    <col min="17" max="17" width="5.453125" customWidth="1"/>
    <col min="18" max="18" width="11" customWidth="1"/>
    <col min="19" max="19" width="14.26953125" style="22" customWidth="1"/>
    <col min="20" max="20" width="5.26953125" style="38" customWidth="1"/>
    <col min="21" max="21" width="4.54296875" style="38" customWidth="1"/>
    <col min="22" max="22" width="11.81640625" customWidth="1"/>
    <col min="23" max="23" width="4.453125" customWidth="1"/>
    <col min="24" max="24" width="3.7265625" customWidth="1"/>
    <col min="25" max="25" width="8.7265625" style="30" customWidth="1"/>
    <col min="26" max="26" width="3.7265625" customWidth="1"/>
    <col min="27" max="27" width="9.26953125" style="30"/>
    <col min="28" max="28" width="9.54296875" style="30" customWidth="1"/>
    <col min="29" max="29" width="11.54296875" customWidth="1"/>
    <col min="30" max="30" width="12.1796875" customWidth="1"/>
    <col min="31" max="31" width="9.81640625" customWidth="1"/>
    <col min="32" max="32" width="10.1796875" customWidth="1"/>
    <col min="33" max="33" width="4.453125" customWidth="1"/>
    <col min="34" max="39" width="3" customWidth="1"/>
    <col min="40" max="40" width="9.26953125" style="1"/>
    <col min="42" max="42" width="85.54296875" customWidth="1"/>
    <col min="43" max="43" width="10.453125" customWidth="1"/>
    <col min="44" max="44" width="9.54296875" style="13" customWidth="1"/>
    <col min="45" max="45" width="10.453125" customWidth="1"/>
    <col min="46" max="46" width="15.453125" customWidth="1"/>
    <col min="47" max="47" width="11.7265625" customWidth="1"/>
    <col min="48" max="48" width="9.26953125" hidden="1" customWidth="1"/>
    <col min="49" max="49" width="11" hidden="1" customWidth="1"/>
    <col min="50" max="53" width="4.26953125" customWidth="1"/>
  </cols>
  <sheetData>
    <row r="1" spans="1:50" ht="34" customHeight="1" x14ac:dyDescent="0.35">
      <c r="A1" s="62" t="s">
        <v>241</v>
      </c>
      <c r="D1" s="62" t="s">
        <v>371</v>
      </c>
      <c r="V1" s="39" t="s">
        <v>190</v>
      </c>
      <c r="AH1" s="39" t="s">
        <v>185</v>
      </c>
      <c r="AI1" s="39"/>
      <c r="AJ1" s="39"/>
      <c r="AK1" s="39"/>
      <c r="AL1" s="39"/>
      <c r="AM1" s="39"/>
      <c r="AN1" s="40" t="s">
        <v>186</v>
      </c>
      <c r="AO1" s="39"/>
      <c r="AP1" s="39"/>
      <c r="AQ1" s="39"/>
      <c r="AR1" s="41" t="s">
        <v>184</v>
      </c>
      <c r="AS1" s="39"/>
      <c r="AT1" s="39"/>
      <c r="AU1" s="39"/>
      <c r="AV1" s="39"/>
      <c r="AW1" s="39"/>
      <c r="AX1" s="39" t="s">
        <v>187</v>
      </c>
    </row>
    <row r="2" spans="1:50" x14ac:dyDescent="0.35">
      <c r="A2" s="25" t="s">
        <v>242</v>
      </c>
      <c r="B2" t="s">
        <v>243</v>
      </c>
      <c r="D2" s="6" t="s">
        <v>296</v>
      </c>
      <c r="E2" s="6" t="s">
        <v>372</v>
      </c>
      <c r="H2"/>
      <c r="I2"/>
      <c r="J2"/>
      <c r="K2"/>
      <c r="L2"/>
      <c r="S2"/>
      <c r="T2"/>
      <c r="U2"/>
      <c r="Y2"/>
      <c r="AA2"/>
      <c r="AB2"/>
      <c r="AN2"/>
      <c r="AR2"/>
    </row>
    <row r="3" spans="1:50" x14ac:dyDescent="0.35">
      <c r="A3" s="103"/>
      <c r="D3" s="103"/>
      <c r="H3"/>
      <c r="I3"/>
      <c r="J3"/>
      <c r="K3"/>
      <c r="L3"/>
      <c r="S3"/>
      <c r="T3"/>
      <c r="U3"/>
      <c r="Y3"/>
      <c r="AA3"/>
      <c r="AB3"/>
      <c r="AN3"/>
      <c r="AR3"/>
    </row>
  </sheetData>
  <pageMargins left="0.7" right="0.7" top="0.75" bottom="0.75" header="0.3" footer="0.3"/>
  <pageSetup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10"/>
  <sheetViews>
    <sheetView topLeftCell="Y1" workbookViewId="0">
      <selection activeCell="E21" sqref="E21"/>
    </sheetView>
  </sheetViews>
  <sheetFormatPr defaultRowHeight="14.5" x14ac:dyDescent="0.35"/>
  <cols>
    <col min="1" max="2" width="8.7265625" style="30" customWidth="1"/>
    <col min="3" max="3" width="12.453125" customWidth="1"/>
    <col min="4" max="4" width="12.1796875" style="30" customWidth="1"/>
    <col min="5" max="5" width="5.453125" style="30" customWidth="1"/>
    <col min="6" max="6" width="5.26953125" style="30" customWidth="1"/>
    <col min="7" max="7" width="8.81640625" style="30" bestFit="1" customWidth="1"/>
    <col min="8" max="8" width="8.81640625" bestFit="1" customWidth="1"/>
    <col min="9" max="9" width="5.26953125" customWidth="1"/>
    <col min="10" max="10" width="5.54296875" customWidth="1"/>
    <col min="11" max="12" width="9.26953125" bestFit="1" customWidth="1"/>
    <col min="13" max="13" width="6.26953125" style="22" customWidth="1"/>
    <col min="14" max="14" width="5.81640625" style="38" customWidth="1"/>
    <col min="15" max="16" width="6.1796875" customWidth="1"/>
    <col min="17" max="17" width="3.453125" customWidth="1"/>
    <col min="18" max="18" width="11.453125" customWidth="1"/>
    <col min="19" max="19" width="4.453125" style="21" customWidth="1"/>
    <col min="20" max="20" width="2.26953125" customWidth="1"/>
    <col min="21" max="21" width="7.81640625" customWidth="1"/>
    <col min="22" max="22" width="3.1796875" customWidth="1"/>
    <col min="23" max="23" width="4.26953125" customWidth="1"/>
    <col min="24" max="24" width="9.54296875" bestFit="1" customWidth="1"/>
    <col min="25" max="25" width="10.81640625" customWidth="1"/>
    <col min="26" max="26" width="10.1796875" customWidth="1"/>
    <col min="27" max="27" width="22.7265625" customWidth="1"/>
    <col min="28" max="28" width="9.26953125" customWidth="1"/>
    <col min="29" max="29" width="14.26953125" hidden="1" customWidth="1"/>
    <col min="30" max="30" width="18.1796875" bestFit="1" customWidth="1"/>
    <col min="31" max="31" width="18.54296875" bestFit="1" customWidth="1"/>
    <col min="32" max="32" width="9.1796875" bestFit="1" customWidth="1"/>
    <col min="33" max="33" width="23.54296875" bestFit="1" customWidth="1"/>
    <col min="34" max="34" width="80.54296875" bestFit="1" customWidth="1"/>
    <col min="35" max="36" width="11.81640625" customWidth="1"/>
    <col min="37" max="37" width="22.81640625" style="21" customWidth="1"/>
    <col min="38" max="38" width="14.36328125" style="81" customWidth="1"/>
    <col min="39" max="39" width="15.26953125" style="81" customWidth="1"/>
    <col min="40" max="40" width="10.7265625" style="81" customWidth="1"/>
    <col min="41" max="42" width="9.6328125" style="81" customWidth="1"/>
    <col min="43" max="43" width="9.6328125" style="21" customWidth="1"/>
    <col min="44" max="44" width="11.1796875" style="21" customWidth="1"/>
    <col min="45" max="47" width="5.54296875" style="21" customWidth="1"/>
    <col min="48" max="49" width="11.81640625" customWidth="1"/>
    <col min="50" max="50" width="4.453125" customWidth="1"/>
    <col min="51" max="51" width="3.7265625" customWidth="1"/>
    <col min="52" max="52" width="8.7265625" style="30" customWidth="1"/>
    <col min="53" max="53" width="3.7265625" customWidth="1"/>
    <col min="54" max="54" width="9.26953125" style="30"/>
    <col min="55" max="55" width="9.54296875" style="30" customWidth="1"/>
    <col min="56" max="56" width="11.54296875" customWidth="1"/>
    <col min="57" max="57" width="12.1796875" customWidth="1"/>
    <col min="58" max="58" width="9.81640625" customWidth="1"/>
    <col min="59" max="59" width="10.1796875" customWidth="1"/>
    <col min="60" max="60" width="4.453125" customWidth="1"/>
    <col min="61" max="66" width="3" customWidth="1"/>
    <col min="67" max="67" width="9.26953125" style="1"/>
    <col min="69" max="69" width="85.54296875" customWidth="1"/>
    <col min="70" max="70" width="10.453125" customWidth="1"/>
    <col min="71" max="71" width="9.54296875" style="13" customWidth="1"/>
    <col min="72" max="72" width="10.453125" customWidth="1"/>
    <col min="73" max="73" width="15.453125" customWidth="1"/>
    <col min="74" max="74" width="11.7265625" customWidth="1"/>
    <col min="75" max="75" width="9.26953125" hidden="1" customWidth="1"/>
    <col min="76" max="76" width="11" hidden="1" customWidth="1"/>
    <col min="77" max="80" width="4.26953125" customWidth="1"/>
  </cols>
  <sheetData>
    <row r="1" spans="1:71" ht="36.4" customHeight="1" x14ac:dyDescent="0.35">
      <c r="A1" s="30" t="s">
        <v>85</v>
      </c>
      <c r="B1" s="30" t="s">
        <v>6</v>
      </c>
      <c r="C1" t="s">
        <v>15</v>
      </c>
      <c r="D1" s="14" t="s">
        <v>7</v>
      </c>
      <c r="E1" t="s">
        <v>322</v>
      </c>
      <c r="F1" t="s">
        <v>323</v>
      </c>
      <c r="G1" t="s">
        <v>297</v>
      </c>
      <c r="H1" t="s">
        <v>298</v>
      </c>
      <c r="I1" t="s">
        <v>299</v>
      </c>
      <c r="J1" t="s">
        <v>300</v>
      </c>
      <c r="K1" t="s">
        <v>301</v>
      </c>
      <c r="L1" t="s">
        <v>302</v>
      </c>
      <c r="M1" t="s">
        <v>159</v>
      </c>
      <c r="N1" t="s">
        <v>157</v>
      </c>
      <c r="O1" t="s">
        <v>303</v>
      </c>
      <c r="P1" s="21" t="s">
        <v>305</v>
      </c>
      <c r="Q1" t="s">
        <v>306</v>
      </c>
      <c r="R1" s="32" t="s">
        <v>307</v>
      </c>
      <c r="S1" s="21" t="s">
        <v>97</v>
      </c>
      <c r="T1" t="s">
        <v>86</v>
      </c>
      <c r="U1" t="s">
        <v>8</v>
      </c>
      <c r="V1" t="s">
        <v>1</v>
      </c>
      <c r="W1" t="s">
        <v>137</v>
      </c>
      <c r="X1" t="s">
        <v>0</v>
      </c>
      <c r="Y1" t="s">
        <v>9</v>
      </c>
      <c r="Z1" t="s">
        <v>16</v>
      </c>
      <c r="AA1" t="s">
        <v>244</v>
      </c>
      <c r="AB1" s="14" t="s">
        <v>325</v>
      </c>
      <c r="AC1" t="s">
        <v>139</v>
      </c>
      <c r="AD1" t="s">
        <v>245</v>
      </c>
      <c r="AE1" t="s">
        <v>308</v>
      </c>
      <c r="AF1" t="s">
        <v>304</v>
      </c>
      <c r="AG1" t="s">
        <v>160</v>
      </c>
      <c r="AH1" t="s">
        <v>34</v>
      </c>
      <c r="AK1" s="87" t="s">
        <v>328</v>
      </c>
      <c r="AL1"/>
      <c r="AM1" s="87" t="s">
        <v>326</v>
      </c>
      <c r="AN1"/>
      <c r="AO1"/>
      <c r="AP1"/>
      <c r="AQ1"/>
      <c r="AR1"/>
      <c r="AS1"/>
      <c r="AT1"/>
      <c r="AU1"/>
      <c r="AZ1"/>
      <c r="BB1"/>
      <c r="BC1"/>
      <c r="BO1"/>
      <c r="BS1"/>
    </row>
    <row r="2" spans="1:71" x14ac:dyDescent="0.35">
      <c r="D2"/>
      <c r="E2" s="8"/>
      <c r="F2" s="8"/>
      <c r="G2"/>
      <c r="M2"/>
      <c r="N2" s="8"/>
      <c r="O2" s="8"/>
      <c r="P2" s="21"/>
      <c r="Q2" s="8"/>
      <c r="R2" s="32"/>
      <c r="T2" s="8"/>
      <c r="U2" s="8"/>
      <c r="V2" s="86"/>
      <c r="W2" s="8"/>
      <c r="X2" s="8"/>
      <c r="Y2" s="8"/>
      <c r="Z2" s="8"/>
      <c r="AA2" s="8"/>
      <c r="AB2" s="86"/>
      <c r="AC2" s="8"/>
      <c r="AD2" s="8"/>
      <c r="AE2" s="8"/>
      <c r="AF2" s="8"/>
      <c r="AG2" s="8"/>
      <c r="AH2" s="8"/>
      <c r="AK2" s="87" t="s">
        <v>329</v>
      </c>
      <c r="AL2" s="87" t="s">
        <v>9</v>
      </c>
      <c r="AM2" t="s">
        <v>407</v>
      </c>
      <c r="AN2" t="s">
        <v>327</v>
      </c>
      <c r="AO2"/>
      <c r="AP2"/>
      <c r="AQ2"/>
      <c r="AR2"/>
      <c r="AS2"/>
      <c r="AT2"/>
      <c r="AU2"/>
      <c r="AZ2"/>
      <c r="BB2"/>
      <c r="BC2"/>
      <c r="BO2"/>
      <c r="BS2"/>
    </row>
    <row r="3" spans="1:71" x14ac:dyDescent="0.35">
      <c r="AK3" s="25" t="s">
        <v>407</v>
      </c>
      <c r="AL3" s="25" t="s">
        <v>407</v>
      </c>
      <c r="AM3" s="31"/>
      <c r="AN3" s="31"/>
      <c r="AO3"/>
      <c r="AP3"/>
      <c r="AQ3"/>
      <c r="AR3"/>
      <c r="AS3"/>
      <c r="AT3"/>
      <c r="AU3"/>
      <c r="AZ3"/>
      <c r="BB3"/>
      <c r="BC3"/>
      <c r="BO3"/>
      <c r="BS3"/>
    </row>
    <row r="4" spans="1:71" x14ac:dyDescent="0.35">
      <c r="AK4"/>
      <c r="AL4" s="88" t="s">
        <v>407</v>
      </c>
      <c r="AM4" s="31"/>
      <c r="AN4" s="31"/>
      <c r="AO4"/>
      <c r="AP4"/>
      <c r="AQ4"/>
      <c r="AR4"/>
      <c r="AS4"/>
      <c r="AT4"/>
      <c r="AU4"/>
      <c r="AZ4"/>
      <c r="BB4"/>
      <c r="BC4"/>
      <c r="BO4"/>
      <c r="BS4"/>
    </row>
    <row r="5" spans="1:71" x14ac:dyDescent="0.35">
      <c r="AK5" s="25" t="s">
        <v>327</v>
      </c>
      <c r="AL5"/>
      <c r="AM5" s="31"/>
      <c r="AN5" s="31"/>
      <c r="AO5"/>
      <c r="AP5"/>
      <c r="AQ5"/>
      <c r="AR5"/>
      <c r="AS5"/>
      <c r="AT5"/>
      <c r="AU5"/>
      <c r="AZ5"/>
      <c r="BB5"/>
      <c r="BC5"/>
      <c r="BO5"/>
      <c r="BS5"/>
    </row>
    <row r="6" spans="1:71" x14ac:dyDescent="0.35">
      <c r="AK6"/>
      <c r="AL6"/>
      <c r="AM6"/>
      <c r="AN6"/>
      <c r="AO6"/>
      <c r="AP6"/>
      <c r="AQ6"/>
      <c r="AR6"/>
      <c r="AS6"/>
      <c r="AT6"/>
      <c r="AU6"/>
      <c r="AZ6"/>
      <c r="BB6"/>
      <c r="BC6"/>
      <c r="BO6"/>
      <c r="BS6"/>
    </row>
    <row r="7" spans="1:71" x14ac:dyDescent="0.35">
      <c r="AK7"/>
      <c r="AL7"/>
      <c r="AM7"/>
      <c r="AN7"/>
      <c r="AO7"/>
      <c r="AP7"/>
      <c r="AQ7"/>
      <c r="AR7"/>
      <c r="AS7"/>
      <c r="AT7"/>
      <c r="AU7"/>
      <c r="AZ7"/>
      <c r="BB7"/>
      <c r="BC7"/>
      <c r="BO7"/>
      <c r="BS7"/>
    </row>
    <row r="8" spans="1:71" x14ac:dyDescent="0.35">
      <c r="AK8"/>
      <c r="AL8"/>
      <c r="AM8"/>
      <c r="AN8"/>
      <c r="AO8"/>
      <c r="AP8"/>
      <c r="AQ8"/>
      <c r="AR8"/>
      <c r="AS8"/>
      <c r="AT8"/>
      <c r="AU8"/>
      <c r="AZ8"/>
      <c r="BB8"/>
      <c r="BC8"/>
      <c r="BO8"/>
      <c r="BS8"/>
    </row>
    <row r="9" spans="1:71" x14ac:dyDescent="0.35">
      <c r="AK9"/>
      <c r="AL9"/>
      <c r="AM9"/>
      <c r="AN9"/>
      <c r="AO9"/>
      <c r="AP9"/>
      <c r="AQ9"/>
      <c r="AR9"/>
      <c r="AS9"/>
      <c r="AT9"/>
      <c r="AU9"/>
      <c r="AZ9"/>
      <c r="BB9"/>
      <c r="BC9"/>
      <c r="BO9"/>
      <c r="BS9"/>
    </row>
    <row r="10" spans="1:71" x14ac:dyDescent="0.35">
      <c r="AK10"/>
      <c r="AL10"/>
      <c r="AM10"/>
      <c r="AN10"/>
      <c r="AO10"/>
      <c r="AP10"/>
      <c r="AQ10"/>
      <c r="AR10"/>
    </row>
  </sheetData>
  <conditionalFormatting sqref="F2 H2 J2 L2 AE2">
    <cfRule type="expression" dxfId="7" priority="1">
      <formula>E2&lt;&gt;F2</formula>
    </cfRule>
  </conditionalFormatting>
  <conditionalFormatting sqref="A2:AH2">
    <cfRule type="expression" dxfId="6" priority="2">
      <formula>$U1&lt;&gt;$U2</formula>
    </cfRule>
    <cfRule type="expression" dxfId="5" priority="3">
      <formula>MOD($S2,2)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3"/>
  <sheetViews>
    <sheetView workbookViewId="0">
      <selection activeCell="P17" sqref="P17"/>
    </sheetView>
  </sheetViews>
  <sheetFormatPr defaultRowHeight="14.5" x14ac:dyDescent="0.35"/>
  <cols>
    <col min="1" max="1" width="4.453125" customWidth="1"/>
    <col min="2" max="2" width="7.81640625" bestFit="1" customWidth="1"/>
    <col min="3" max="3" width="12.1796875" customWidth="1"/>
    <col min="4" max="4" width="10.1796875" bestFit="1" customWidth="1"/>
    <col min="5" max="5" width="12.81640625" bestFit="1" customWidth="1"/>
    <col min="6" max="6" width="13.54296875" bestFit="1" customWidth="1"/>
    <col min="7" max="7" width="14.81640625" bestFit="1" customWidth="1"/>
    <col min="8" max="8" width="25.7265625" customWidth="1"/>
    <col min="9" max="10" width="3.81640625" customWidth="1"/>
    <col min="11" max="11" width="8.7265625" style="28" customWidth="1"/>
    <col min="12" max="12" width="16.1796875" customWidth="1"/>
    <col min="13" max="14" width="6.26953125" style="21" customWidth="1"/>
    <col min="15" max="15" width="5.1796875" customWidth="1"/>
    <col min="16" max="16" width="80.54296875" bestFit="1" customWidth="1"/>
  </cols>
  <sheetData>
    <row r="1" spans="1:16" ht="51.4" customHeight="1" x14ac:dyDescent="0.35">
      <c r="A1" t="s">
        <v>97</v>
      </c>
      <c r="B1" t="s">
        <v>8</v>
      </c>
      <c r="C1" t="s">
        <v>9</v>
      </c>
      <c r="D1" t="s">
        <v>165</v>
      </c>
      <c r="E1" t="s">
        <v>166</v>
      </c>
      <c r="F1" t="s">
        <v>167</v>
      </c>
      <c r="G1" t="s">
        <v>168</v>
      </c>
      <c r="H1" t="s">
        <v>169</v>
      </c>
      <c r="I1" t="s">
        <v>170</v>
      </c>
      <c r="J1" t="s">
        <v>171</v>
      </c>
      <c r="K1" s="28" t="s">
        <v>172</v>
      </c>
      <c r="L1" t="s">
        <v>173</v>
      </c>
      <c r="M1" s="21" t="s">
        <v>174</v>
      </c>
      <c r="N1" s="21" t="s">
        <v>175</v>
      </c>
      <c r="O1" t="s">
        <v>176</v>
      </c>
      <c r="P1" t="s">
        <v>177</v>
      </c>
    </row>
    <row r="2" spans="1:16" x14ac:dyDescent="0.35">
      <c r="K2" s="30"/>
      <c r="L2" s="8"/>
    </row>
    <row r="3" spans="1:16" x14ac:dyDescent="0.35">
      <c r="B3" t="s">
        <v>178</v>
      </c>
      <c r="K3" s="30"/>
      <c r="M3"/>
      <c r="N3"/>
      <c r="P3">
        <f>SUBTOTAL(103,ProjTextQTable[text])</f>
        <v>0</v>
      </c>
    </row>
  </sheetData>
  <conditionalFormatting sqref="A2:P2">
    <cfRule type="expression" dxfId="4"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127000</xdr:rowOff>
                  </from>
                  <to>
                    <xdr:col>4</xdr:col>
                    <xdr:colOff>12700</xdr:colOff>
                    <xdr:row>0</xdr:row>
                    <xdr:rowOff>400050</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A1:J70"/>
  <sheetViews>
    <sheetView tabSelected="1" zoomScale="98" zoomScaleNormal="98" workbookViewId="0">
      <selection activeCell="C10" sqref="C10"/>
    </sheetView>
  </sheetViews>
  <sheetFormatPr defaultRowHeight="14.5" x14ac:dyDescent="0.35"/>
  <cols>
    <col min="1" max="1" width="7.08984375" customWidth="1"/>
    <col min="2" max="2" width="4.81640625" customWidth="1"/>
    <col min="3" max="3" width="25.7265625" customWidth="1"/>
    <col min="4" max="4" width="21.7265625" customWidth="1"/>
    <col min="6" max="6" width="7.7265625" customWidth="1"/>
    <col min="7" max="7" width="5.1796875" customWidth="1"/>
    <col min="8" max="8" width="21.36328125" customWidth="1"/>
    <col min="10" max="10" width="5.54296875" customWidth="1"/>
  </cols>
  <sheetData>
    <row r="1" spans="1:10" ht="31.5" customHeight="1" x14ac:dyDescent="0.7">
      <c r="A1" s="146" t="s">
        <v>489</v>
      </c>
    </row>
    <row r="2" spans="1:10" ht="23" customHeight="1" x14ac:dyDescent="0.4">
      <c r="A2" s="145" t="s">
        <v>490</v>
      </c>
      <c r="B2" s="145"/>
      <c r="J2">
        <v>2</v>
      </c>
    </row>
    <row r="3" spans="1:10" ht="15.5" x14ac:dyDescent="0.4">
      <c r="A3" s="145" t="s">
        <v>491</v>
      </c>
      <c r="B3" s="145"/>
    </row>
    <row r="4" spans="1:10" ht="15.5" x14ac:dyDescent="0.4">
      <c r="A4" s="7"/>
      <c r="B4" s="145"/>
    </row>
    <row r="5" spans="1:10" ht="15.5" x14ac:dyDescent="0.4">
      <c r="A5" s="145"/>
      <c r="B5" s="145"/>
    </row>
    <row r="6" spans="1:10" ht="15.5" x14ac:dyDescent="0.4">
      <c r="A6" s="145"/>
      <c r="B6" s="145"/>
    </row>
    <row r="7" spans="1:10" ht="15.5" x14ac:dyDescent="0.4">
      <c r="A7" s="145"/>
      <c r="B7" s="145"/>
    </row>
    <row r="8" spans="1:10" ht="15.5" x14ac:dyDescent="0.4">
      <c r="A8" s="145"/>
      <c r="B8" s="145"/>
    </row>
    <row r="9" spans="1:10" ht="15.5" x14ac:dyDescent="0.4">
      <c r="A9" s="145" t="s">
        <v>495</v>
      </c>
      <c r="B9" s="145"/>
    </row>
    <row r="10" spans="1:10" ht="15.5" x14ac:dyDescent="0.4">
      <c r="A10" s="145"/>
      <c r="B10" s="145"/>
      <c r="F10" s="57" t="s">
        <v>497</v>
      </c>
      <c r="G10" s="57" t="s">
        <v>498</v>
      </c>
    </row>
    <row r="11" spans="1:10" ht="15.5" x14ac:dyDescent="0.4">
      <c r="A11" s="145"/>
      <c r="B11" s="145"/>
      <c r="F11" s="57"/>
      <c r="G11" s="57"/>
    </row>
    <row r="12" spans="1:10" ht="15.5" x14ac:dyDescent="0.4">
      <c r="A12" s="145"/>
      <c r="B12" s="145"/>
    </row>
    <row r="13" spans="1:10" ht="15.5" x14ac:dyDescent="0.4">
      <c r="A13" s="145"/>
      <c r="B13" s="145"/>
    </row>
    <row r="14" spans="1:10" ht="15.5" x14ac:dyDescent="0.4">
      <c r="A14" s="145"/>
      <c r="B14" s="145"/>
    </row>
    <row r="15" spans="1:10" ht="15.5" x14ac:dyDescent="0.4">
      <c r="A15" s="145" t="s">
        <v>496</v>
      </c>
      <c r="B15" s="145"/>
    </row>
    <row r="16" spans="1:10" ht="15.5" x14ac:dyDescent="0.4">
      <c r="A16" s="145"/>
      <c r="B16" s="117" t="s">
        <v>492</v>
      </c>
      <c r="C16" s="118"/>
    </row>
    <row r="17" spans="1:8" x14ac:dyDescent="0.35">
      <c r="B17" s="136" t="s">
        <v>451</v>
      </c>
      <c r="C17" s="135"/>
      <c r="D17" s="133"/>
      <c r="E17" s="134"/>
      <c r="H17" s="25" t="s">
        <v>134</v>
      </c>
    </row>
    <row r="18" spans="1:8" x14ac:dyDescent="0.35">
      <c r="B18" s="3" t="s">
        <v>448</v>
      </c>
      <c r="D18" s="24"/>
      <c r="H18" s="25" t="s">
        <v>161</v>
      </c>
    </row>
    <row r="19" spans="1:8" x14ac:dyDescent="0.35">
      <c r="C19" s="3" t="s">
        <v>446</v>
      </c>
      <c r="H19" s="25" t="s">
        <v>449</v>
      </c>
    </row>
    <row r="20" spans="1:8" x14ac:dyDescent="0.35">
      <c r="B20" s="117" t="s">
        <v>493</v>
      </c>
      <c r="C20" s="118"/>
      <c r="D20" s="132"/>
      <c r="E20" s="6"/>
      <c r="H20" s="25" t="s">
        <v>400</v>
      </c>
    </row>
    <row r="21" spans="1:8" x14ac:dyDescent="0.35">
      <c r="B21" s="136" t="s">
        <v>451</v>
      </c>
      <c r="C21" s="135"/>
      <c r="D21" s="133"/>
      <c r="E21" s="134"/>
      <c r="H21" s="25" t="s">
        <v>162</v>
      </c>
    </row>
    <row r="22" spans="1:8" x14ac:dyDescent="0.35">
      <c r="B22" s="136"/>
      <c r="C22" s="147"/>
      <c r="D22" s="148"/>
      <c r="E22" s="148"/>
      <c r="H22" s="25" t="s">
        <v>450</v>
      </c>
    </row>
    <row r="23" spans="1:8" x14ac:dyDescent="0.35">
      <c r="E23" s="6"/>
    </row>
    <row r="24" spans="1:8" x14ac:dyDescent="0.35">
      <c r="E24" s="6"/>
    </row>
    <row r="25" spans="1:8" x14ac:dyDescent="0.35">
      <c r="E25" s="6"/>
    </row>
    <row r="26" spans="1:8" x14ac:dyDescent="0.35">
      <c r="A26" s="21"/>
      <c r="E26" s="6"/>
    </row>
    <row r="27" spans="1:8" x14ac:dyDescent="0.35">
      <c r="A27" s="21"/>
      <c r="E27" s="6"/>
    </row>
    <row r="28" spans="1:8" x14ac:dyDescent="0.35">
      <c r="A28" s="21"/>
      <c r="E28" s="6"/>
    </row>
    <row r="29" spans="1:8" x14ac:dyDescent="0.35">
      <c r="E29" s="6"/>
    </row>
    <row r="30" spans="1:8" x14ac:dyDescent="0.35">
      <c r="B30" s="117" t="s">
        <v>494</v>
      </c>
      <c r="C30" s="118"/>
      <c r="D30" s="132"/>
      <c r="E30" s="6"/>
    </row>
    <row r="31" spans="1:8" x14ac:dyDescent="0.35">
      <c r="B31" s="136" t="s">
        <v>451</v>
      </c>
      <c r="C31" s="135"/>
      <c r="D31" s="133"/>
      <c r="E31" s="134"/>
    </row>
    <row r="32" spans="1:8" ht="15.5" x14ac:dyDescent="0.4">
      <c r="A32" s="145"/>
      <c r="B32" s="145"/>
    </row>
    <row r="33" spans="1:7" ht="15.5" x14ac:dyDescent="0.4">
      <c r="A33" s="145"/>
      <c r="B33" s="145"/>
    </row>
    <row r="34" spans="1:7" ht="15.5" x14ac:dyDescent="0.4">
      <c r="A34" s="145"/>
      <c r="B34" s="145"/>
    </row>
    <row r="35" spans="1:7" ht="15.5" x14ac:dyDescent="0.4">
      <c r="A35" s="145"/>
      <c r="B35" s="145"/>
      <c r="G35" s="20" t="s">
        <v>98</v>
      </c>
    </row>
    <row r="36" spans="1:7" ht="15.5" x14ac:dyDescent="0.4">
      <c r="A36" s="145"/>
      <c r="B36" s="145"/>
      <c r="G36" s="19" t="s">
        <v>99</v>
      </c>
    </row>
    <row r="37" spans="1:7" x14ac:dyDescent="0.35">
      <c r="B37" s="3" t="s">
        <v>433</v>
      </c>
      <c r="G37" s="19" t="s">
        <v>94</v>
      </c>
    </row>
    <row r="38" spans="1:7" x14ac:dyDescent="0.35">
      <c r="B38" s="126"/>
      <c r="C38" s="139" t="s">
        <v>430</v>
      </c>
      <c r="G38" s="19" t="s">
        <v>100</v>
      </c>
    </row>
    <row r="39" spans="1:7" x14ac:dyDescent="0.35">
      <c r="B39" s="140" t="s">
        <v>452</v>
      </c>
      <c r="C39" s="138"/>
      <c r="D39" s="137"/>
      <c r="G39" s="19" t="s">
        <v>95</v>
      </c>
    </row>
    <row r="40" spans="1:7" x14ac:dyDescent="0.35">
      <c r="B40" s="116"/>
      <c r="C40" s="44"/>
      <c r="G40" s="19" t="s">
        <v>101</v>
      </c>
    </row>
    <row r="41" spans="1:7" x14ac:dyDescent="0.35">
      <c r="B41" s="3" t="s">
        <v>394</v>
      </c>
      <c r="G41" s="19" t="s">
        <v>102</v>
      </c>
    </row>
    <row r="42" spans="1:7" x14ac:dyDescent="0.35">
      <c r="B42" s="60" t="s">
        <v>220</v>
      </c>
      <c r="C42" s="29" t="s">
        <v>219</v>
      </c>
      <c r="G42" s="19" t="s">
        <v>96</v>
      </c>
    </row>
    <row r="43" spans="1:7" x14ac:dyDescent="0.35">
      <c r="B43" s="60" t="s">
        <v>221</v>
      </c>
      <c r="C43" s="29" t="s">
        <v>387</v>
      </c>
      <c r="G43" s="19" t="s">
        <v>103</v>
      </c>
    </row>
    <row r="44" spans="1:7" x14ac:dyDescent="0.35">
      <c r="B44" s="3" t="s">
        <v>182</v>
      </c>
      <c r="G44" s="19" t="s">
        <v>104</v>
      </c>
    </row>
    <row r="45" spans="1:7" x14ac:dyDescent="0.35">
      <c r="G45" s="19" t="s">
        <v>92</v>
      </c>
    </row>
    <row r="46" spans="1:7" x14ac:dyDescent="0.35">
      <c r="G46" s="19" t="s">
        <v>105</v>
      </c>
    </row>
    <row r="47" spans="1:7" x14ac:dyDescent="0.35">
      <c r="G47" s="19" t="s">
        <v>106</v>
      </c>
    </row>
    <row r="48" spans="1:7" x14ac:dyDescent="0.35">
      <c r="B48" s="43">
        <v>50</v>
      </c>
      <c r="C48" s="44" t="s">
        <v>189</v>
      </c>
      <c r="F48" s="132"/>
      <c r="G48" s="19" t="s">
        <v>107</v>
      </c>
    </row>
    <row r="49" spans="2:7" x14ac:dyDescent="0.35">
      <c r="F49" s="132"/>
      <c r="G49" s="19" t="s">
        <v>391</v>
      </c>
    </row>
    <row r="50" spans="2:7" x14ac:dyDescent="0.35">
      <c r="G50" s="19" t="s">
        <v>108</v>
      </c>
    </row>
    <row r="51" spans="2:7" x14ac:dyDescent="0.35">
      <c r="G51" s="19" t="s">
        <v>109</v>
      </c>
    </row>
    <row r="52" spans="2:7" x14ac:dyDescent="0.35">
      <c r="G52" s="19" t="s">
        <v>110</v>
      </c>
    </row>
    <row r="53" spans="2:7" x14ac:dyDescent="0.35">
      <c r="G53" s="19" t="s">
        <v>111</v>
      </c>
    </row>
    <row r="54" spans="2:7" x14ac:dyDescent="0.35">
      <c r="B54" s="3" t="s">
        <v>188</v>
      </c>
      <c r="D54" s="29"/>
      <c r="G54" s="19" t="s">
        <v>112</v>
      </c>
    </row>
    <row r="55" spans="2:7" x14ac:dyDescent="0.35">
      <c r="B55" s="25" t="s">
        <v>395</v>
      </c>
      <c r="C55" s="24"/>
      <c r="D55" s="30"/>
      <c r="E55" s="132"/>
      <c r="G55" s="19" t="s">
        <v>113</v>
      </c>
    </row>
    <row r="56" spans="2:7" x14ac:dyDescent="0.35">
      <c r="B56" s="25"/>
      <c r="C56" s="142" t="str">
        <f>IF(ISBLANK(dirRAoutput),"&lt;-- click button to select where RAs drafts should be stored",dirRAoutput)</f>
        <v>&lt;-- click button to select where RAs drafts should be stored</v>
      </c>
      <c r="D56" s="143"/>
      <c r="E56" s="144"/>
      <c r="G56" s="19" t="s">
        <v>114</v>
      </c>
    </row>
    <row r="57" spans="2:7" x14ac:dyDescent="0.35">
      <c r="D57" s="29"/>
      <c r="G57" s="19" t="s">
        <v>93</v>
      </c>
    </row>
    <row r="58" spans="2:7" x14ac:dyDescent="0.35">
      <c r="E58" s="6"/>
      <c r="G58" s="19" t="s">
        <v>115</v>
      </c>
    </row>
    <row r="59" spans="2:7" x14ac:dyDescent="0.35">
      <c r="E59" s="6"/>
      <c r="G59" s="19" t="s">
        <v>116</v>
      </c>
    </row>
    <row r="60" spans="2:7" x14ac:dyDescent="0.35">
      <c r="E60" s="6"/>
      <c r="G60" s="19" t="s">
        <v>117</v>
      </c>
    </row>
    <row r="61" spans="2:7" x14ac:dyDescent="0.35">
      <c r="E61" s="6"/>
      <c r="G61" s="19" t="s">
        <v>118</v>
      </c>
    </row>
    <row r="62" spans="2:7" x14ac:dyDescent="0.35">
      <c r="G62" s="19" t="s">
        <v>119</v>
      </c>
    </row>
    <row r="63" spans="2:7" x14ac:dyDescent="0.35">
      <c r="G63" s="19" t="s">
        <v>120</v>
      </c>
    </row>
    <row r="64" spans="2:7" x14ac:dyDescent="0.35">
      <c r="G64" s="120">
        <f>SUBTOTAL(103,EpscorTable[Epscor])</f>
        <v>27</v>
      </c>
    </row>
    <row r="65" spans="1:7" x14ac:dyDescent="0.35">
      <c r="G65" s="6"/>
    </row>
    <row r="66" spans="1:7" x14ac:dyDescent="0.35">
      <c r="C66" s="23"/>
    </row>
    <row r="67" spans="1:7" x14ac:dyDescent="0.35">
      <c r="C67" s="23"/>
    </row>
    <row r="68" spans="1:7" x14ac:dyDescent="0.35">
      <c r="A68" s="12"/>
      <c r="B68" s="5"/>
      <c r="C68" s="23"/>
    </row>
    <row r="69" spans="1:7" x14ac:dyDescent="0.35">
      <c r="B69" s="5"/>
      <c r="C69" s="23"/>
    </row>
    <row r="70" spans="1:7" x14ac:dyDescent="0.35">
      <c r="B70" s="5"/>
    </row>
  </sheetData>
  <mergeCells count="1">
    <mergeCell ref="C56:E5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cbAutoloadAll">
              <controlPr defaultSize="0" autoFill="0" autoLine="0" autoPict="0">
                <anchor moveWithCells="1">
                  <from>
                    <xdr:col>1</xdr:col>
                    <xdr:colOff>215900</xdr:colOff>
                    <xdr:row>43</xdr:row>
                    <xdr:rowOff>139700</xdr:rowOff>
                  </from>
                  <to>
                    <xdr:col>2</xdr:col>
                    <xdr:colOff>1670050</xdr:colOff>
                    <xdr:row>45</xdr:row>
                    <xdr:rowOff>31750</xdr:rowOff>
                  </to>
                </anchor>
              </controlPr>
            </control>
          </mc:Choice>
        </mc:AlternateContent>
        <mc:AlternateContent xmlns:mc="http://schemas.openxmlformats.org/markup-compatibility/2006">
          <mc:Choice Requires="x14">
            <control shapeId="46082" r:id="rId5" name="obtnNeverOverwrite">
              <controlPr defaultSize="0" autoFill="0" autoLine="0" autoPict="0">
                <anchor moveWithCells="1">
                  <from>
                    <xdr:col>1</xdr:col>
                    <xdr:colOff>215900</xdr:colOff>
                    <xdr:row>44</xdr:row>
                    <xdr:rowOff>139700</xdr:rowOff>
                  </from>
                  <to>
                    <xdr:col>3</xdr:col>
                    <xdr:colOff>158750</xdr:colOff>
                    <xdr:row>45</xdr:row>
                    <xdr:rowOff>139700</xdr:rowOff>
                  </to>
                </anchor>
              </controlPr>
            </control>
          </mc:Choice>
        </mc:AlternateContent>
        <mc:AlternateContent xmlns:mc="http://schemas.openxmlformats.org/markup-compatibility/2006">
          <mc:Choice Requires="x14">
            <control shapeId="46083" r:id="rId6" name="obtnAskOverwrite">
              <controlPr defaultSize="0" autoFill="0" autoLine="0" autoPict="0">
                <anchor moveWithCells="1">
                  <from>
                    <xdr:col>1</xdr:col>
                    <xdr:colOff>215900</xdr:colOff>
                    <xdr:row>45</xdr:row>
                    <xdr:rowOff>101600</xdr:rowOff>
                  </from>
                  <to>
                    <xdr:col>3</xdr:col>
                    <xdr:colOff>228600</xdr:colOff>
                    <xdr:row>46</xdr:row>
                    <xdr:rowOff>76200</xdr:rowOff>
                  </to>
                </anchor>
              </controlPr>
            </control>
          </mc:Choice>
        </mc:AlternateContent>
        <mc:AlternateContent xmlns:mc="http://schemas.openxmlformats.org/markup-compatibility/2006">
          <mc:Choice Requires="x14">
            <control shapeId="46084" r:id="rId7" name="Option Button 4">
              <controlPr defaultSize="0" autoFill="0" autoLine="0" autoPict="0" macro="[0]!OptionButton_AreYouSure">
                <anchor moveWithCells="1">
                  <from>
                    <xdr:col>1</xdr:col>
                    <xdr:colOff>215900</xdr:colOff>
                    <xdr:row>46</xdr:row>
                    <xdr:rowOff>12700</xdr:rowOff>
                  </from>
                  <to>
                    <xdr:col>3</xdr:col>
                    <xdr:colOff>158750</xdr:colOff>
                    <xdr:row>47</xdr:row>
                    <xdr:rowOff>19050</xdr:rowOff>
                  </to>
                </anchor>
              </controlPr>
            </control>
          </mc:Choice>
        </mc:AlternateContent>
        <mc:AlternateContent xmlns:mc="http://schemas.openxmlformats.org/markup-compatibility/2006">
          <mc:Choice Requires="x14">
            <control shapeId="46085" r:id="rId8" name="Button 5">
              <controlPr defaultSize="0" autoFill="0" autoPict="0" macro="[0]!Picker_dirRAoutput">
                <anchor moveWithCells="1">
                  <from>
                    <xdr:col>0</xdr:col>
                    <xdr:colOff>285750</xdr:colOff>
                    <xdr:row>30</xdr:row>
                    <xdr:rowOff>158750</xdr:rowOff>
                  </from>
                  <to>
                    <xdr:col>2</xdr:col>
                    <xdr:colOff>12700</xdr:colOff>
                    <xdr:row>31</xdr:row>
                    <xdr:rowOff>190500</xdr:rowOff>
                  </to>
                </anchor>
              </controlPr>
            </control>
          </mc:Choice>
        </mc:AlternateContent>
        <mc:AlternateContent xmlns:mc="http://schemas.openxmlformats.org/markup-compatibility/2006">
          <mc:Choice Requires="x14">
            <control shapeId="46086" r:id="rId9" name="Button 6">
              <controlPr defaultSize="0" autoFill="0" autoPict="0" macro="[0]!Picker_dirRAtemplate">
                <anchor moveWithCells="1">
                  <from>
                    <xdr:col>0</xdr:col>
                    <xdr:colOff>165100</xdr:colOff>
                    <xdr:row>20</xdr:row>
                    <xdr:rowOff>12700</xdr:rowOff>
                  </from>
                  <to>
                    <xdr:col>1</xdr:col>
                    <xdr:colOff>241300</xdr:colOff>
                    <xdr:row>21</xdr:row>
                    <xdr:rowOff>19050</xdr:rowOff>
                  </to>
                </anchor>
              </controlPr>
            </control>
          </mc:Choice>
        </mc:AlternateContent>
        <mc:AlternateContent xmlns:mc="http://schemas.openxmlformats.org/markup-compatibility/2006">
          <mc:Choice Requires="x14">
            <control shapeId="46087" r:id="rId10" name="Button 7">
              <controlPr defaultSize="0" autoFill="0" autoPict="0" macro="[0]!Picker_dirRAoutput">
                <anchor moveWithCells="1">
                  <from>
                    <xdr:col>0</xdr:col>
                    <xdr:colOff>184150</xdr:colOff>
                    <xdr:row>54</xdr:row>
                    <xdr:rowOff>203200</xdr:rowOff>
                  </from>
                  <to>
                    <xdr:col>1</xdr:col>
                    <xdr:colOff>260350</xdr:colOff>
                    <xdr:row>56</xdr:row>
                    <xdr:rowOff>31750</xdr:rowOff>
                  </to>
                </anchor>
              </controlPr>
            </control>
          </mc:Choice>
        </mc:AlternateContent>
        <mc:AlternateContent xmlns:mc="http://schemas.openxmlformats.org/markup-compatibility/2006">
          <mc:Choice Requires="x14">
            <control shapeId="46088" r:id="rId11" name="Button 8">
              <controlPr defaultSize="0" autoFill="0" autoPict="0" macro="[0]!Picker_dirRAtemplate">
                <anchor moveWithCells="1">
                  <from>
                    <xdr:col>0</xdr:col>
                    <xdr:colOff>165100</xdr:colOff>
                    <xdr:row>16</xdr:row>
                    <xdr:rowOff>12700</xdr:rowOff>
                  </from>
                  <to>
                    <xdr:col>1</xdr:col>
                    <xdr:colOff>241300</xdr:colOff>
                    <xdr:row>17</xdr:row>
                    <xdr:rowOff>19050</xdr:rowOff>
                  </to>
                </anchor>
              </controlPr>
            </control>
          </mc:Choice>
        </mc:AlternateContent>
        <mc:AlternateContent xmlns:mc="http://schemas.openxmlformats.org/markup-compatibility/2006">
          <mc:Choice Requires="x14">
            <control shapeId="46090" r:id="rId12" name="Button 10">
              <controlPr defaultSize="0" autoFill="0" autoPict="0" macro="[0]!Picker_dirRAtemplate">
                <anchor moveWithCells="1">
                  <from>
                    <xdr:col>0</xdr:col>
                    <xdr:colOff>165100</xdr:colOff>
                    <xdr:row>30</xdr:row>
                    <xdr:rowOff>12700</xdr:rowOff>
                  </from>
                  <to>
                    <xdr:col>1</xdr:col>
                    <xdr:colOff>241300</xdr:colOff>
                    <xdr:row>31</xdr:row>
                    <xdr:rowOff>19050</xdr:rowOff>
                  </to>
                </anchor>
              </controlPr>
            </control>
          </mc:Choice>
        </mc:AlternateContent>
        <mc:AlternateContent xmlns:mc="http://schemas.openxmlformats.org/markup-compatibility/2006">
          <mc:Choice Requires="x14">
            <control shapeId="46091" r:id="rId13" name="Button 11">
              <controlPr defaultSize="0" autoFill="0" autoPict="0" macro="[0]!Picker_dirRAtemplate">
                <anchor moveWithCells="1">
                  <from>
                    <xdr:col>0</xdr:col>
                    <xdr:colOff>266700</xdr:colOff>
                    <xdr:row>9</xdr:row>
                    <xdr:rowOff>25400</xdr:rowOff>
                  </from>
                  <to>
                    <xdr:col>2</xdr:col>
                    <xdr:colOff>6350</xdr:colOff>
                    <xdr:row>10</xdr:row>
                    <xdr:rowOff>19050</xdr:rowOff>
                  </to>
                </anchor>
              </controlPr>
            </control>
          </mc:Choice>
        </mc:AlternateContent>
      </controls>
    </mc:Choice>
  </mc:AlternateContent>
  <tableParts count="3">
    <tablePart r:id="rId14"/>
    <tablePart r:id="rId15"/>
    <tablePart r:id="rId1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41"/>
  <sheetViews>
    <sheetView zoomScale="80" zoomScaleNormal="80" workbookViewId="0">
      <selection activeCell="E6" sqref="E6"/>
    </sheetView>
  </sheetViews>
  <sheetFormatPr defaultColWidth="9.26953125" defaultRowHeight="14.5" x14ac:dyDescent="0.35"/>
  <cols>
    <col min="1" max="1" width="16.7265625" style="63" customWidth="1"/>
    <col min="2" max="2" width="16.54296875" style="63" customWidth="1"/>
    <col min="3" max="3" width="98.54296875" style="82" customWidth="1"/>
    <col min="4" max="4" width="24" style="61" customWidth="1"/>
    <col min="5" max="5" width="12.6328125" style="61" customWidth="1"/>
    <col min="6" max="16384" width="9.26953125" style="61"/>
  </cols>
  <sheetData>
    <row r="1" spans="1:5" x14ac:dyDescent="0.35">
      <c r="A1" s="63" t="s">
        <v>222</v>
      </c>
    </row>
    <row r="2" spans="1:5" x14ac:dyDescent="0.35">
      <c r="A2" s="64" t="s">
        <v>223</v>
      </c>
      <c r="B2" s="65"/>
    </row>
    <row r="3" spans="1:5" x14ac:dyDescent="0.35">
      <c r="A3" s="64" t="s">
        <v>224</v>
      </c>
      <c r="B3" s="66"/>
    </row>
    <row r="4" spans="1:5" x14ac:dyDescent="0.35">
      <c r="A4" s="63" t="s">
        <v>225</v>
      </c>
      <c r="B4" s="65" t="s">
        <v>226</v>
      </c>
    </row>
    <row r="5" spans="1:5" x14ac:dyDescent="0.35">
      <c r="A5" s="63" t="s">
        <v>227</v>
      </c>
      <c r="B5" s="65" t="s">
        <v>228</v>
      </c>
    </row>
    <row r="6" spans="1:5" x14ac:dyDescent="0.35">
      <c r="A6" s="63" t="s">
        <v>401</v>
      </c>
      <c r="B6" s="6" t="s">
        <v>402</v>
      </c>
      <c r="D6" s="61" t="s">
        <v>378</v>
      </c>
      <c r="E6" s="61">
        <v>2</v>
      </c>
    </row>
    <row r="7" spans="1:5" ht="15.5" x14ac:dyDescent="0.35">
      <c r="B7"/>
      <c r="D7" s="114" t="s">
        <v>403</v>
      </c>
      <c r="E7" s="112" t="s">
        <v>381</v>
      </c>
    </row>
    <row r="8" spans="1:5" ht="15.5" x14ac:dyDescent="0.35">
      <c r="A8" s="67" t="s">
        <v>209</v>
      </c>
      <c r="B8" s="68" t="s">
        <v>210</v>
      </c>
      <c r="D8" s="114" t="s">
        <v>383</v>
      </c>
      <c r="E8" s="113" t="s">
        <v>379</v>
      </c>
    </row>
    <row r="9" spans="1:5" ht="15.5" x14ac:dyDescent="0.35">
      <c r="A9" s="69" t="s">
        <v>214</v>
      </c>
      <c r="B9" s="70"/>
      <c r="D9" s="114" t="s">
        <v>384</v>
      </c>
      <c r="E9" s="113" t="s">
        <v>380</v>
      </c>
    </row>
    <row r="10" spans="1:5" ht="15.5" x14ac:dyDescent="0.35">
      <c r="A10" s="69" t="s">
        <v>199</v>
      </c>
      <c r="B10" s="70"/>
      <c r="D10" s="114" t="s">
        <v>385</v>
      </c>
      <c r="E10" s="113" t="s">
        <v>382</v>
      </c>
    </row>
    <row r="11" spans="1:5" ht="15.5" x14ac:dyDescent="0.35">
      <c r="A11" s="69" t="s">
        <v>213</v>
      </c>
      <c r="B11" s="70"/>
      <c r="D11" s="114" t="s">
        <v>386</v>
      </c>
      <c r="E11" s="113" t="s">
        <v>377</v>
      </c>
    </row>
    <row r="12" spans="1:5" x14ac:dyDescent="0.35">
      <c r="A12" s="69" t="s">
        <v>212</v>
      </c>
      <c r="B12" s="70"/>
    </row>
    <row r="13" spans="1:5" x14ac:dyDescent="0.35">
      <c r="A13" s="69" t="s">
        <v>211</v>
      </c>
      <c r="B13" s="70"/>
    </row>
    <row r="14" spans="1:5" x14ac:dyDescent="0.35">
      <c r="A14" s="69" t="s">
        <v>215</v>
      </c>
      <c r="B14" s="70"/>
    </row>
    <row r="15" spans="1:5" x14ac:dyDescent="0.35">
      <c r="A15" s="69" t="s">
        <v>216</v>
      </c>
      <c r="B15" s="70"/>
      <c r="D15" s="87" t="s">
        <v>329</v>
      </c>
      <c r="E15" t="s">
        <v>365</v>
      </c>
    </row>
    <row r="16" spans="1:5" x14ac:dyDescent="0.35">
      <c r="A16" s="69" t="s">
        <v>203</v>
      </c>
      <c r="B16" s="70"/>
      <c r="D16" s="25" t="s">
        <v>463</v>
      </c>
      <c r="E16" s="21">
        <v>1</v>
      </c>
    </row>
    <row r="17" spans="1:5" x14ac:dyDescent="0.35">
      <c r="A17" s="69" t="s">
        <v>206</v>
      </c>
      <c r="B17" s="70"/>
      <c r="D17" s="25" t="s">
        <v>327</v>
      </c>
      <c r="E17" s="21">
        <v>1</v>
      </c>
    </row>
    <row r="18" spans="1:5" x14ac:dyDescent="0.35">
      <c r="A18" s="71" t="s">
        <v>208</v>
      </c>
      <c r="B18" s="72"/>
      <c r="D18"/>
      <c r="E18"/>
    </row>
    <row r="19" spans="1:5" x14ac:dyDescent="0.35">
      <c r="D19"/>
      <c r="E19"/>
    </row>
    <row r="20" spans="1:5" x14ac:dyDescent="0.35">
      <c r="D20"/>
      <c r="E20"/>
    </row>
    <row r="21" spans="1:5" x14ac:dyDescent="0.35">
      <c r="D21"/>
      <c r="E21"/>
    </row>
    <row r="22" spans="1:5" ht="22.75" customHeight="1" x14ac:dyDescent="0.35">
      <c r="A22" s="73" t="s">
        <v>168</v>
      </c>
      <c r="B22" s="74" t="s">
        <v>229</v>
      </c>
      <c r="C22" s="83" t="s">
        <v>230</v>
      </c>
    </row>
    <row r="23" spans="1:5" ht="35.65" customHeight="1" x14ac:dyDescent="0.35">
      <c r="A23" s="63" t="s">
        <v>231</v>
      </c>
      <c r="B23" s="75">
        <v>43088.782083333332</v>
      </c>
      <c r="C23" s="84" t="s">
        <v>282</v>
      </c>
    </row>
    <row r="24" spans="1:5" ht="35.65" customHeight="1" x14ac:dyDescent="0.35">
      <c r="A24" s="63" t="s">
        <v>232</v>
      </c>
      <c r="B24" s="75">
        <v>43088.782083333332</v>
      </c>
      <c r="C24" s="84" t="s">
        <v>311</v>
      </c>
    </row>
    <row r="25" spans="1:5" ht="35.65" customHeight="1" x14ac:dyDescent="0.35">
      <c r="A25" s="63" t="s">
        <v>233</v>
      </c>
      <c r="B25" s="75">
        <v>43088.782083333332</v>
      </c>
      <c r="C25" s="84" t="s">
        <v>312</v>
      </c>
    </row>
    <row r="26" spans="1:5" ht="35.65" customHeight="1" x14ac:dyDescent="0.35">
      <c r="A26" s="63" t="s">
        <v>234</v>
      </c>
      <c r="B26" s="75">
        <v>43088.782083333332</v>
      </c>
      <c r="C26" s="84" t="s">
        <v>313</v>
      </c>
    </row>
    <row r="27" spans="1:5" ht="35.65" customHeight="1" x14ac:dyDescent="0.35">
      <c r="A27" s="63" t="s">
        <v>235</v>
      </c>
      <c r="B27" s="75">
        <v>43088.782083333332</v>
      </c>
      <c r="C27" s="84" t="s">
        <v>314</v>
      </c>
    </row>
    <row r="28" spans="1:5" ht="35.65" customHeight="1" x14ac:dyDescent="0.35">
      <c r="A28" s="63" t="s">
        <v>236</v>
      </c>
      <c r="B28" s="75">
        <v>43088.782083333332</v>
      </c>
      <c r="C28" s="84" t="s">
        <v>418</v>
      </c>
    </row>
    <row r="29" spans="1:5" ht="35.65" customHeight="1" x14ac:dyDescent="0.35">
      <c r="A29" s="63" t="s">
        <v>237</v>
      </c>
      <c r="B29" s="75">
        <v>43088.782083333332</v>
      </c>
      <c r="C29" s="84" t="s">
        <v>419</v>
      </c>
    </row>
    <row r="30" spans="1:5" ht="35.65" customHeight="1" x14ac:dyDescent="0.35">
      <c r="A30" s="63" t="s">
        <v>238</v>
      </c>
      <c r="B30" s="75">
        <v>43088.782083333332</v>
      </c>
      <c r="C30" s="84" t="s">
        <v>283</v>
      </c>
    </row>
    <row r="31" spans="1:5" ht="35.65" customHeight="1" x14ac:dyDescent="0.35">
      <c r="A31" s="63" t="s">
        <v>239</v>
      </c>
      <c r="B31" s="75">
        <v>43088.782083333332</v>
      </c>
      <c r="C31" s="84" t="s">
        <v>317</v>
      </c>
    </row>
    <row r="32" spans="1:5" ht="35.65" customHeight="1" x14ac:dyDescent="0.35">
      <c r="A32" s="63" t="s">
        <v>240</v>
      </c>
      <c r="B32" s="75">
        <v>43088.782083333332</v>
      </c>
      <c r="C32" s="84" t="s">
        <v>316</v>
      </c>
    </row>
    <row r="33" spans="1:3" ht="35.65" customHeight="1" x14ac:dyDescent="0.35">
      <c r="A33" s="63" t="s">
        <v>279</v>
      </c>
      <c r="B33" s="75">
        <v>43088.782083333332</v>
      </c>
      <c r="C33" s="84" t="s">
        <v>399</v>
      </c>
    </row>
    <row r="34" spans="1:3" ht="35.65" customHeight="1" x14ac:dyDescent="0.35">
      <c r="A34" s="63" t="s">
        <v>281</v>
      </c>
      <c r="B34" s="75">
        <v>43088.782083333332</v>
      </c>
      <c r="C34" s="84" t="s">
        <v>366</v>
      </c>
    </row>
    <row r="35" spans="1:3" ht="36" customHeight="1" x14ac:dyDescent="0.35">
      <c r="A35" s="63" t="s">
        <v>280</v>
      </c>
      <c r="B35" s="75">
        <v>43088.782083333332</v>
      </c>
      <c r="C35" s="84" t="s">
        <v>324</v>
      </c>
    </row>
    <row r="36" spans="1:3" ht="36" customHeight="1" x14ac:dyDescent="0.35">
      <c r="A36" s="63" t="s">
        <v>315</v>
      </c>
      <c r="B36" s="75">
        <v>43088.782083333332</v>
      </c>
      <c r="C36" s="84" t="s">
        <v>375</v>
      </c>
    </row>
    <row r="37" spans="1:3" ht="35.65" customHeight="1" x14ac:dyDescent="0.35">
      <c r="A37" s="63" t="s">
        <v>284</v>
      </c>
      <c r="B37" s="75">
        <v>43088.782083333332</v>
      </c>
      <c r="C37" s="84" t="s">
        <v>388</v>
      </c>
    </row>
    <row r="38" spans="1:3" ht="35.65" customHeight="1" x14ac:dyDescent="0.35">
      <c r="A38" s="63" t="s">
        <v>374</v>
      </c>
      <c r="B38" s="75">
        <v>43088.782083333332</v>
      </c>
      <c r="C38" s="84" t="s">
        <v>413</v>
      </c>
    </row>
    <row r="39" spans="1:3" ht="35.65" customHeight="1" x14ac:dyDescent="0.35">
      <c r="A39" s="63" t="s">
        <v>414</v>
      </c>
      <c r="B39" s="75">
        <v>43088.782083333332</v>
      </c>
      <c r="C39" s="84" t="s">
        <v>415</v>
      </c>
    </row>
    <row r="40" spans="1:3" ht="35.65" customHeight="1" x14ac:dyDescent="0.35">
      <c r="A40" s="63" t="s">
        <v>416</v>
      </c>
      <c r="B40" s="75">
        <v>43088.782083333332</v>
      </c>
      <c r="C40" s="84" t="s">
        <v>417</v>
      </c>
    </row>
    <row r="41" spans="1:3" ht="35.65" customHeight="1" x14ac:dyDescent="0.35">
      <c r="A41" s="63" t="s">
        <v>420</v>
      </c>
      <c r="B41" s="75">
        <v>43088.782083333332</v>
      </c>
      <c r="C41" s="84" t="s">
        <v>421</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E06AAFA8F9984CAFC6287E16BADFE6" ma:contentTypeVersion="0" ma:contentTypeDescription="Create a new document." ma:contentTypeScope="" ma:versionID="3bfdfc741f4cc3bdc45d9a9ab868a84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602AF29-2074-4C67-B827-8D84F341BCB4}">
  <ds:schemaRefs>
    <ds:schemaRef ds:uri="http://schemas.microsoft.com/sharepoint/v3/contenttype/forms"/>
  </ds:schemaRefs>
</ds:datastoreItem>
</file>

<file path=customXml/itemProps2.xml><?xml version="1.0" encoding="utf-8"?>
<ds:datastoreItem xmlns:ds="http://schemas.openxmlformats.org/officeDocument/2006/customXml" ds:itemID="{31D5C83E-ADB6-400A-B9F2-B1A74DA31A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2ADB11A6-7F28-4369-9B55-3636E52D10EF}">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53</vt:i4>
      </vt:variant>
    </vt:vector>
  </HeadingPairs>
  <TitlesOfParts>
    <vt:vector size="65" baseType="lpstr">
      <vt:lpstr>RoboRA</vt:lpstr>
      <vt:lpstr>ckCoding</vt:lpstr>
      <vt:lpstr>ckAwd</vt:lpstr>
      <vt:lpstr>Budgets</vt:lpstr>
      <vt:lpstr>RAData</vt:lpstr>
      <vt:lpstr>Advanced</vt:lpstr>
      <vt:lpstr>Conflict</vt:lpstr>
      <vt:lpstr>PRCs</vt:lpstr>
      <vt:lpstr>ckSplits</vt:lpstr>
      <vt:lpstr>ProjText</vt:lpstr>
      <vt:lpstr>Prefs</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Advanced!prop_stts_code</vt:lpstr>
      <vt:lpstr>prop_titl_txt</vt:lpstr>
      <vt:lpstr>Advanced!query_params</vt:lpstr>
      <vt:lpstr>HiddenSettings!query_params</vt:lpstr>
      <vt:lpstr>HiddenSettings!RA_allRAdata</vt:lpstr>
      <vt:lpstr>HiddenSettings!RA_allRAdata2</vt:lpstr>
      <vt:lpstr>HiddenSettings!RA_awdCheck</vt:lpstr>
      <vt:lpstr>HiddenSettings!RA_budgBlocks</vt:lpstr>
      <vt:lpstr>HiddenSettings!RA_ckConfRevrInst</vt:lpstr>
      <vt:lpstr>HiddenSettings!RA_confl</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RoboRAFolder</vt:lpstr>
      <vt:lpstr>HiddenSettings!rpt_pwd</vt:lpstr>
      <vt:lpstr>select_prop_stts</vt:lpstr>
      <vt:lpstr>signer1</vt:lpstr>
      <vt:lpstr>signer2</vt:lpstr>
      <vt:lpstr>StdDeclTemplate</vt:lpstr>
      <vt:lpstr>RoboRA!StdNDPDeclTemplate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2017-12-25T02:48:17Z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r8>0</vt:r8>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0x0101008EE06AAFA8F9984CAFC6287E16BADFE6</vt:lpwstr>
  </property>
</Properties>
</file>