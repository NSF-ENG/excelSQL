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timelines/timeline2.xml" ContentType="application/vnd.ms-excel.timeline+xml"/>
  <Override PartName="/xl/drawings/drawing6.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timelines/timeline3.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tables/table8.xml" ContentType="application/vnd.openxmlformats-officedocument.spreadsheetml.table+xml"/>
  <Override PartName="/xl/queryTables/queryTable5.xml" ContentType="application/vnd.openxmlformats-officedocument.spreadsheetml.queryTable+xml"/>
  <Override PartName="/xl/drawings/drawing9.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drawings/drawing10.xml" ContentType="application/vnd.openxmlformats-officedocument.drawing+xml"/>
  <Override PartName="/xl/tables/table1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tables/table11.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tables/table12.xml" ContentType="application/vnd.openxmlformats-officedocument.spreadsheetml.table+xml"/>
  <Override PartName="/xl/queryTables/queryTable9.xml" ContentType="application/vnd.openxmlformats-officedocument.spreadsheetml.queryTable+xml"/>
  <Override PartName="/xl/drawings/drawing13.xml" ContentType="application/vnd.openxmlformats-officedocument.drawing+xml"/>
  <Override PartName="/xl/tables/table13.xml" ContentType="application/vnd.openxmlformats-officedocument.spreadsheetml.table+xml"/>
  <Override PartName="/xl/queryTables/queryTable10.xml" ContentType="application/vnd.openxmlformats-officedocument.spreadsheetml.queryTable+xml"/>
  <Override PartName="/xl/comments2.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queryTables/queryTable11.xml" ContentType="application/vnd.openxmlformats-officedocument.spreadsheetml.queryTable+xml"/>
  <Override PartName="/xl/drawings/drawing15.xml" ContentType="application/vnd.openxmlformats-officedocument.drawing+xml"/>
  <Override PartName="/xl/tables/table15.xml" ContentType="application/vnd.openxmlformats-officedocument.spreadsheetml.table+xml"/>
  <Override PartName="/xl/queryTables/queryTable12.xml" ContentType="application/vnd.openxmlformats-officedocument.spreadsheetml.queryTable+xml"/>
  <Override PartName="/xl/drawings/drawing16.xml" ContentType="application/vnd.openxmlformats-officedocument.drawing+xml"/>
  <Override PartName="/xl/tables/table16.xml" ContentType="application/vnd.openxmlformats-officedocument.spreadsheetml.table+xml"/>
  <Override PartName="/xl/queryTables/queryTable13.xml" ContentType="application/vnd.openxmlformats-officedocument.spreadsheetml.queryTable+xml"/>
  <Override PartName="/xl/drawings/drawing17.xml" ContentType="application/vnd.openxmlformats-officedocument.drawing+xml"/>
  <Override PartName="/xl/ctrlProps/ctrlProp4.xml" ContentType="application/vnd.ms-excel.controlproperties+xml"/>
  <Override PartName="/xl/tables/table17.xml" ContentType="application/vnd.openxmlformats-officedocument.spreadsheetml.table+xml"/>
  <Override PartName="/xl/queryTables/queryTable14.xml" ContentType="application/vnd.openxmlformats-officedocument.spreadsheetml.queryTable+xml"/>
  <Override PartName="/xl/tables/table18.xml" ContentType="application/vnd.openxmlformats-officedocument.spreadsheetml.table+xml"/>
  <Override PartName="/xl/drawings/drawing18.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9.xml" ContentType="application/vnd.openxmlformats-officedocument.spreadsheetml.table+xml"/>
  <Override PartName="/xl/queryTables/queryTable15.xml" ContentType="application/vnd.openxmlformats-officedocument.spreadsheetml.queryTable+xml"/>
  <Override PartName="/xl/tables/table20.xml" ContentType="application/vnd.openxmlformats-officedocument.spreadsheetml.table+xml"/>
  <Override PartName="/xl/queryTables/queryTable16.xml" ContentType="application/vnd.openxmlformats-officedocument.spreadsheetml.queryTable+xml"/>
  <Override PartName="/xl/drawings/drawing19.xml" ContentType="application/vnd.openxmlformats-officedocument.drawing+xml"/>
  <Override PartName="/xl/tables/table21.xml" ContentType="application/vnd.openxmlformats-officedocument.spreadsheetml.table+xml"/>
  <Override PartName="/xl/tables/table22.xml" ContentType="application/vnd.openxmlformats-officedocument.spreadsheetml.table+xml"/>
  <Override PartName="/xl/drawings/drawing20.xml" ContentType="application/vnd.openxmlformats-officedocument.drawing+xml"/>
  <Override PartName="/xl/tables/table23.xml" ContentType="application/vnd.openxmlformats-officedocument.spreadsheetml.table+xml"/>
  <Override PartName="/xl/comments3.xml" ContentType="application/vnd.openxmlformats-officedocument.spreadsheetml.comments+xml"/>
  <Override PartName="/xl/drawings/drawing21.xml" ContentType="application/vnd.openxmlformats-officedocument.drawing+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hidePivotFieldList="1"/>
  <mc:AlternateContent xmlns:mc="http://schemas.openxmlformats.org/markup-compatibility/2006">
    <mc:Choice Requires="x15">
      <x15ac:absPath xmlns:x15ac="http://schemas.microsoft.com/office/spreadsheetml/2010/11/ac" url="C:\Users\JSNOEYIN\excelSQL\PD-3PO\"/>
    </mc:Choice>
  </mc:AlternateContent>
  <bookViews>
    <workbookView xWindow="0" yWindow="0" windowWidth="7474" windowHeight="1860" tabRatio="724"/>
  </bookViews>
  <sheets>
    <sheet name="Input" sheetId="37" r:id="rId1"/>
    <sheet name="Projects" sheetId="17" r:id="rId2"/>
    <sheet name="DB_Projs" sheetId="40" r:id="rId3"/>
    <sheet name="PersInst" sheetId="44" r:id="rId4"/>
    <sheet name="DB_PersInst" sheetId="43" r:id="rId5"/>
    <sheet name="Proposals" sheetId="52" r:id="rId6"/>
    <sheet name="DB_Props" sheetId="53" r:id="rId7"/>
    <sheet name="Panels" sheetId="27" r:id="rId8"/>
    <sheet name="PropsOnPanls" sheetId="32" r:id="rId9"/>
    <sheet name="ProjSumKey" sheetId="51" r:id="rId10"/>
    <sheet name="Orphans" sheetId="50" r:id="rId11"/>
    <sheet name="NewInst" sheetId="26" r:id="rId12"/>
    <sheet name="SubAwards" sheetId="29" r:id="rId13"/>
    <sheet name="Transfers" sheetId="30" r:id="rId14"/>
    <sheet name="SuggRevrs" sheetId="28" r:id="rId15"/>
    <sheet name="Reviewers" sheetId="23" r:id="rId16"/>
    <sheet name="Panelists" sheetId="31" r:id="rId17"/>
    <sheet name="BulkCOI" sheetId="47" r:id="rId18"/>
    <sheet name="Help" sheetId="38" r:id="rId19"/>
    <sheet name="Favorites" sheetId="48" r:id="rId20"/>
    <sheet name="Settings" sheetId="36" r:id="rId21"/>
  </sheets>
  <functionGroups builtInGroupCount="18"/>
  <externalReferences>
    <externalReference r:id="rId22"/>
  </externalReferences>
  <definedNames>
    <definedName name="add_prop_ids">AddProjIDTable[Projects to Include]</definedName>
    <definedName name="AllPIs" localSheetId="17" hidden="1">BulkCOI!$B$7:$F$8</definedName>
    <definedName name="AllPIs" localSheetId="14" hidden="1">SuggRevrs!$B$6:$T$7</definedName>
    <definedName name="DBPBack1" localSheetId="2">DB_Projs!$AG$1</definedName>
    <definedName name="DBPBack2" localSheetId="2">DB_Projs!$A$1</definedName>
    <definedName name="DBPBack3" localSheetId="2">DB_Projs!$AZ$1</definedName>
    <definedName name="DBPIBack1" localSheetId="4">DB_PersInst!$A$1</definedName>
    <definedName name="DBPIBack1" localSheetId="6">DB_Props!$A$1</definedName>
    <definedName name="DBPIStop1" localSheetId="6">DB_Props!$AG$1</definedName>
    <definedName name="DBPIStop1">DB_PersInst!$AA$1</definedName>
    <definedName name="DBPStop2" localSheetId="2">DB_Projs!$BA$1</definedName>
    <definedName name="DBPStop3" localSheetId="2">DB_Projs!$BO$1</definedName>
    <definedName name="dd_from_date">Input!$E$10</definedName>
    <definedName name="dd_to_date">Input!$F$10</definedName>
    <definedName name="dir_div_abbr">Input!$E$13</definedName>
    <definedName name="ExternalData_1" localSheetId="7" hidden="1">Panels!#REF!</definedName>
    <definedName name="ExternalData_1" localSheetId="12" hidden="1">SubAwards!$B$6:$X$7</definedName>
    <definedName name="ExternalData_1" localSheetId="13" hidden="1">Transfers!$C$6:$X$7</definedName>
    <definedName name="from_date">Input!$E$9</definedName>
    <definedName name="inst_id">Input!$E$20</definedName>
    <definedName name="NativeTimeline_nsf_rcvd_date">#N/A</definedName>
    <definedName name="NativeTimeline_nsf_rcvd_date1">#N/A</definedName>
    <definedName name="NativeTimeline_nsf_rcvd_date2">#N/A</definedName>
    <definedName name="natr_rqst_abbr">Input!$E$17</definedName>
    <definedName name="obj_clas_code">Input!$E$18</definedName>
    <definedName name="omit_prop_ids">OmitPropIDTable[Proposals to Exclude]</definedName>
    <definedName name="org_code">Input!$E$12</definedName>
    <definedName name="panels_since_date" localSheetId="16">Panelists!$AB$4</definedName>
    <definedName name="panl_id">Input!$E$19</definedName>
    <definedName name="parameters" localSheetId="0">Input!$E$9:$F$24</definedName>
    <definedName name="pgm_annc_id">Input!$E$11</definedName>
    <definedName name="pgm_ele_code">Input!$E$14</definedName>
    <definedName name="pi_id">Input!$E$21</definedName>
    <definedName name="pm_ibm_logn_id">Input!$E$15</definedName>
    <definedName name="prop_atr_code">Input!$E$23</definedName>
    <definedName name="prop_stts_abbr">Input!$E$16</definedName>
    <definedName name="prop_titl_txt">Input!$E$22</definedName>
    <definedName name="Query_from_RPTSERVER" localSheetId="17" hidden="1">BulkCOI!$I$7:$L$8</definedName>
    <definedName name="Query_from_RPTSERVER" localSheetId="4" hidden="1">DB_PersInst!#REF!</definedName>
    <definedName name="Query_from_RPTSERVER" localSheetId="2" hidden="1">DB_Projs!#REF!</definedName>
    <definedName name="Query_from_RPTSERVER" localSheetId="6" hidden="1">DB_Props!#REF!</definedName>
    <definedName name="Query_from_RPTSERVER" localSheetId="11" hidden="1">NewInst!$B$6:$X$7</definedName>
    <definedName name="Query_from_RPTSERVER" localSheetId="10" hidden="1">Orphans!$B$6:$W$7</definedName>
    <definedName name="Query_from_RPTSERVER" localSheetId="16" hidden="1">Panelists!$D$6:$AJ$7</definedName>
    <definedName name="Query_from_RPTSERVER" localSheetId="7" hidden="1">Panels!$B$7:$K$8</definedName>
    <definedName name="Query_from_RPTSERVER" localSheetId="1" hidden="1">Projects!$B$6:$AN$7</definedName>
    <definedName name="Query_from_RPTSERVER" localSheetId="9" hidden="1">ProjSumKey!$B$6:$AB$7</definedName>
    <definedName name="Query_from_RPTSERVER" localSheetId="15" hidden="1">Reviewers!$B$6:$W$7</definedName>
    <definedName name="Query_from_RPTSERVER_1" localSheetId="0" hidden="1">Input!$K$1:$K$2</definedName>
    <definedName name="Query_from_RPTSERVER_1" localSheetId="3" hidden="1">PersInst!$B$6:$AF$7</definedName>
    <definedName name="Query_from_RPTSERVER_1" localSheetId="5" hidden="1">Proposals!$B$6:$AG$7</definedName>
    <definedName name="reviews_since_date" localSheetId="15">Reviewers!$O$3</definedName>
    <definedName name="routing.CODE">Input!$E$24</definedName>
    <definedName name="rpt_pwd" localSheetId="20">Settings!$E$8</definedName>
    <definedName name="run_datetime" localSheetId="17">BulkCOI!$C$2</definedName>
    <definedName name="run_datetime" localSheetId="4">DB_PersInst!$C$2</definedName>
    <definedName name="run_datetime" localSheetId="2">DB_Projs!$C$2</definedName>
    <definedName name="run_datetime" localSheetId="6">DB_Props!$C$2</definedName>
    <definedName name="run_datetime" localSheetId="11">NewInst!$C$2</definedName>
    <definedName name="run_datetime" localSheetId="10">Orphans!$C$2</definedName>
    <definedName name="run_datetime" localSheetId="16">Panelists!$C$2</definedName>
    <definedName name="run_datetime" localSheetId="7">Panels!$C$2</definedName>
    <definedName name="run_datetime" localSheetId="3">PersInst!$C$2</definedName>
    <definedName name="run_datetime" localSheetId="1">Projects!$C$2</definedName>
    <definedName name="run_datetime" localSheetId="9">ProjSumKey!$C$2</definedName>
    <definedName name="run_datetime" localSheetId="5">Proposals!$C$2</definedName>
    <definedName name="run_datetime" localSheetId="8">PropsOnPanls!$C$2</definedName>
    <definedName name="run_datetime" localSheetId="15">Reviewers!$C$2</definedName>
    <definedName name="run_datetime" localSheetId="12">SubAwards!$C$2</definedName>
    <definedName name="run_datetime" localSheetId="14">SuggRevrs!$C$2</definedName>
    <definedName name="run_datetime" localSheetId="13">Transfers!$C$2</definedName>
    <definedName name="run_nrows" localSheetId="17">BulkCOI!$C$3</definedName>
    <definedName name="run_nrows" localSheetId="11">NewInst!$C$3</definedName>
    <definedName name="run_nrows" localSheetId="10">Orphans!$C$3</definedName>
    <definedName name="run_nrows" localSheetId="16">Panelists!$C$3</definedName>
    <definedName name="run_nrows" localSheetId="7">Panels!$C$3</definedName>
    <definedName name="run_nrows" localSheetId="3">PersInst!$C$3</definedName>
    <definedName name="run_nrows" localSheetId="1">Projects!$C$3</definedName>
    <definedName name="run_nrows" localSheetId="9">ProjSumKey!$C$3</definedName>
    <definedName name="run_nrows" localSheetId="5">Proposals!$C$3</definedName>
    <definedName name="run_nrows" localSheetId="8">PropsOnPanls!$C$3</definedName>
    <definedName name="run_nrows" localSheetId="15">Reviewers!$C$3</definedName>
    <definedName name="run_nrows" localSheetId="12">SubAwards!$C$3</definedName>
    <definedName name="run_nrows" localSheetId="14">SuggRevrs!$C$3</definedName>
    <definedName name="run_nrows" localSheetId="13">Transfers!$C$3</definedName>
    <definedName name="SearchText" localSheetId="9">ProjSumKey!$AG$1</definedName>
    <definedName name="SectionA" localSheetId="18">Help!$A$17</definedName>
    <definedName name="SectionB" localSheetId="18">Help!$A$54</definedName>
    <definedName name="SectionC" localSheetId="18">Help!$A$98</definedName>
    <definedName name="SectionD" localSheetId="18">Help!$A$115</definedName>
    <definedName name="seta2" localSheetId="8" hidden="1">PropsOnPanls!$B$6:$AV$7</definedName>
    <definedName name="Slicer_Dir">#N/A</definedName>
    <definedName name="Slicer_Dir1">#N/A</definedName>
    <definedName name="Slicer_Dir2">#N/A</definedName>
    <definedName name="Slicer_Div">#N/A</definedName>
    <definedName name="Slicer_Div1">#N/A</definedName>
    <definedName name="Slicer_Div2">#N/A</definedName>
    <definedName name="Slicer_natr_rqst_abbr">#N/A</definedName>
    <definedName name="Slicer_natr_rqst_abbr1">#N/A</definedName>
    <definedName name="Slicer_natr_rqst_abbr2">#N/A</definedName>
    <definedName name="Slicer_obj_clas_code">#N/A</definedName>
    <definedName name="Slicer_obj_clas_code1">#N/A</definedName>
    <definedName name="Slicer_obj_clas_code2">#N/A</definedName>
    <definedName name="Slicer_Pgm">#N/A</definedName>
    <definedName name="Slicer_pgm_annc_id">#N/A</definedName>
    <definedName name="Slicer_pgm_annc_id1">#N/A</definedName>
    <definedName name="Slicer_pgm_annc_id2">#N/A</definedName>
    <definedName name="Slicer_Pgm1">#N/A</definedName>
    <definedName name="Slicer_Pgm2">#N/A</definedName>
    <definedName name="Slicer_PO">#N/A</definedName>
    <definedName name="Slicer_PO1">#N/A</definedName>
    <definedName name="Slicer_PO2">#N/A</definedName>
    <definedName name="Slicer_prop_stts_abbr">#N/A</definedName>
    <definedName name="Slicer_prop_stts_abbr1">#N/A</definedName>
    <definedName name="Slicer_prop_stts_abbr2">#N/A</definedName>
    <definedName name="to_date">Input!$F$9</definedName>
    <definedName name="user_id" localSheetId="20">Settings!$C$8</definedName>
  </definedNames>
  <calcPr calcId="171027"/>
  <pivotCaches>
    <pivotCache cacheId="0" r:id="rId23"/>
    <pivotCache cacheId="1" r:id="rId24"/>
    <pivotCache cacheId="2"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50"/>
        <x15:timelineCacheRef r:id="rId51"/>
        <x15:timelineCacheRef r:id="rId52"/>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8" i="47" l="1"/>
  <c r="G8" i="30"/>
  <c r="J8" i="28"/>
  <c r="P8" i="44"/>
  <c r="C4" i="44" s="1"/>
  <c r="F9" i="47"/>
  <c r="N8" i="52"/>
  <c r="AG8" i="44"/>
  <c r="T8" i="17"/>
  <c r="C4" i="17" s="1"/>
  <c r="G8" i="26"/>
  <c r="L8" i="29"/>
  <c r="N8" i="51"/>
  <c r="E8" i="23"/>
  <c r="C4" i="23" s="1"/>
  <c r="P8" i="23"/>
  <c r="Q8" i="23"/>
  <c r="R8" i="23"/>
  <c r="S8" i="23"/>
  <c r="T8" i="23"/>
  <c r="U8" i="23"/>
  <c r="V8" i="23"/>
  <c r="W8" i="23"/>
  <c r="E8" i="31"/>
  <c r="F8" i="31"/>
  <c r="R8" i="31"/>
  <c r="S8" i="31"/>
  <c r="T8" i="31"/>
  <c r="U8" i="31"/>
  <c r="V8" i="31"/>
  <c r="W8" i="31"/>
  <c r="X8" i="31"/>
  <c r="Y8" i="31"/>
  <c r="Z8" i="31"/>
  <c r="AA8" i="31"/>
  <c r="AB8" i="31"/>
  <c r="AC8" i="31"/>
  <c r="AD8" i="31"/>
  <c r="AE8" i="31"/>
  <c r="AF8" i="31"/>
  <c r="AG8" i="31"/>
  <c r="AH8" i="31"/>
  <c r="AI8" i="31"/>
  <c r="AJ8" i="31"/>
  <c r="Q8" i="50"/>
  <c r="P8" i="32"/>
  <c r="AP8" i="32"/>
  <c r="C9" i="27"/>
  <c r="E9" i="27"/>
  <c r="AG8" i="51"/>
  <c r="C4" i="30"/>
  <c r="L25" i="37"/>
  <c r="M25" i="37"/>
  <c r="L24" i="37"/>
  <c r="M24" i="37"/>
  <c r="L23" i="37"/>
  <c r="M23" i="37"/>
  <c r="L22" i="37"/>
  <c r="M22" i="37"/>
  <c r="L21" i="37"/>
  <c r="M21" i="37"/>
  <c r="L20" i="37"/>
  <c r="M20" i="37"/>
  <c r="L19" i="37"/>
  <c r="M19" i="37"/>
  <c r="L18" i="37"/>
  <c r="M18" i="37"/>
  <c r="L17" i="37"/>
  <c r="M17" i="37"/>
  <c r="L16" i="37"/>
  <c r="M16" i="37"/>
  <c r="L15" i="37"/>
  <c r="M15" i="37"/>
  <c r="M14" i="37"/>
  <c r="L13" i="37"/>
  <c r="M13" i="37"/>
  <c r="M12" i="37"/>
  <c r="L11" i="37"/>
  <c r="M11" i="37"/>
  <c r="M10" i="37"/>
  <c r="L9" i="37"/>
  <c r="M9" i="37"/>
  <c r="C4" i="50"/>
  <c r="C4" i="52"/>
  <c r="C4" i="51"/>
  <c r="C4" i="47"/>
  <c r="C4" i="29"/>
  <c r="C4" i="26"/>
  <c r="C4" i="32"/>
  <c r="C4" i="28"/>
  <c r="C4" i="27"/>
  <c r="C5" i="38"/>
  <c r="C4" i="31"/>
</calcChain>
</file>

<file path=xl/comments1.xml><?xml version="1.0" encoding="utf-8"?>
<comments xmlns="http://schemas.openxmlformats.org/spreadsheetml/2006/main">
  <authors>
    <author>Jack Snoeyink</author>
  </authors>
  <commentList>
    <comment ref="C8" authorId="0" shapeId="0">
      <text>
        <r>
          <rPr>
            <b/>
            <sz val="10"/>
            <color indexed="9"/>
            <rFont val="Corbel"/>
            <family val="2"/>
          </rPr>
          <t>The chosen proposals are the AND of all entered restrictions.</t>
        </r>
      </text>
    </comment>
    <comment ref="E8" authorId="0" shapeId="0">
      <text>
        <r>
          <rPr>
            <b/>
            <sz val="10"/>
            <color indexed="9"/>
            <rFont val="Corbel"/>
            <family val="2"/>
          </rPr>
          <t>Any parameter can be omitted; ANDs all given restrictions.
Non-date parameters can be:
1. a single value (SQL EQUALS)
2. a list of values separated by commas (SQL IN)
3. an expression with SQL wildcards: (SQL LIKE)
   % match all, _ match 1 character, [125] match char  from set.
4. Precede the above by ~ to negate. (NOT EQUALS/IN/LIKE)</t>
        </r>
      </text>
    </comment>
    <comment ref="H8" authorId="0" shapeId="0">
      <text>
        <r>
          <rPr>
            <b/>
            <sz val="10"/>
            <color indexed="9"/>
            <rFont val="Corbel"/>
            <family val="2"/>
          </rPr>
          <t>Y means construct an outlook email with this tab as an attachment when the email button below is pressed.  You will enter the recipient, subject and mail body in Outlook.</t>
        </r>
      </text>
    </comment>
    <comment ref="I8" authorId="0" shapeId="0">
      <text>
        <r>
          <rPr>
            <b/>
            <sz val="10"/>
            <color indexed="9"/>
            <rFont val="Corbel"/>
            <family val="2"/>
          </rPr>
          <t>Click Tab name to visit a non-hidden tab.
To visit a hidden tab, first change H to n or blank under 'Ref?'.</t>
        </r>
      </text>
    </comment>
    <comment ref="J8" authorId="0" shapeId="0">
      <text>
        <r>
          <rPr>
            <b/>
            <sz val="10"/>
            <color indexed="9"/>
            <rFont val="Corbel"/>
            <family val="2"/>
          </rPr>
          <t xml:space="preserve">Refresh?  Has 5 options:
 blank (default): refresh data on next GO 
 n/No: no refresh, and keep tab visible
 H/Hide: hide tab, but preserve data
 C: clear data and hide tab
 X: permanently delete tab (asks for confirmation)
Notes: ctrl-D  (fill down) helps to set or clear many values.
To clear all data, use the Reset button. 
Tabs may also be deleted by selecting them along the bottom of the workbook, right clicking to delete (confirming once), then deleting the corresponding rows in this table. </t>
        </r>
      </text>
    </comment>
    <comment ref="K8" authorId="0" shapeId="0">
      <text>
        <r>
          <rPr>
            <b/>
            <sz val="10"/>
            <color indexed="9"/>
            <rFont val="Corbel"/>
            <family val="2"/>
          </rPr>
          <t>Limits the number of rows retrieved to avoid asking for too much data. (E.g., limit DDReviews to a few hundred.)</t>
        </r>
      </text>
    </comment>
    <comment ref="L8" authorId="0" shapeId="0">
      <text>
        <r>
          <rPr>
            <b/>
            <sz val="10"/>
            <color indexed="9"/>
            <rFont val="Corbel"/>
            <family val="2"/>
          </rPr>
          <t>Number of rows last retrieved by query for each tab.</t>
        </r>
      </text>
    </comment>
    <comment ref="M8" authorId="0" shapeId="0">
      <text>
        <r>
          <rPr>
            <b/>
            <sz val="10"/>
            <color indexed="9"/>
            <rFont val="Corbel"/>
            <family val="2"/>
          </rPr>
          <t xml:space="preserve">Query status: 4 options
 - querying...
 - unsuccessful
 - completion time (if in last 24 hours) 
 - date (if completed &gt; 24 hours ago.) </t>
        </r>
      </text>
    </comment>
    <comment ref="C9"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0" authorId="0" shapeId="0">
      <text>
        <r>
          <rPr>
            <b/>
            <sz val="10"/>
            <color indexed="9"/>
            <rFont val="Corbel"/>
            <family val="2"/>
          </rPr>
          <t xml:space="preserve">Enter date range proposals were DD Concurred.  
Either specify a time, or remember that days begin at midnight and add a day to end dates. 
Use narrow date ranges for faster queries.
</t>
        </r>
      </text>
    </comment>
    <comment ref="C11"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2" authorId="0" shapeId="0">
      <text>
        <r>
          <rPr>
            <b/>
            <sz val="10"/>
            <color indexed="9"/>
            <rFont val="Corbel"/>
            <family val="2"/>
          </rPr>
          <t>8-digit org code, but you can use wildcards to restrict to directorate (05% for CISE) or divisions (050[125]0000 is CCF, IIS, &amp; CNS)</t>
        </r>
      </text>
    </comment>
    <comment ref="C13" authorId="0" shapeId="0">
      <text>
        <r>
          <rPr>
            <b/>
            <sz val="10"/>
            <color indexed="9"/>
            <rFont val="Corbel"/>
            <family val="2"/>
          </rPr>
          <t>Can restrict proposals by division abbreviation instead of numeric org code.</t>
        </r>
      </text>
    </comment>
    <comment ref="C14" authorId="0" shapeId="0">
      <text>
        <r>
          <rPr>
            <b/>
            <sz val="10"/>
            <color indexed="9"/>
            <rFont val="Corbel"/>
            <family val="2"/>
          </rPr>
          <t>4-digit program element code.</t>
        </r>
      </text>
    </comment>
    <comment ref="C15" authorId="0" shapeId="0">
      <text>
        <r>
          <rPr>
            <b/>
            <sz val="10"/>
            <color indexed="9"/>
            <rFont val="Corbel"/>
            <family val="2"/>
          </rPr>
          <t>7-letter ibm login id, not the 8-letter lan id.</t>
        </r>
      </text>
    </comment>
    <comment ref="C16" authorId="0" shapeId="0">
      <text>
        <r>
          <rPr>
            <b/>
            <sz val="10"/>
            <color indexed="9"/>
            <rFont val="Corbel"/>
            <family val="2"/>
          </rPr>
          <t>Here are all 20 possibilities, in case you are curious
 PEND: all types of pending
 DECL: decline concurred by DD
 AWD, RCOM, CLO: awarded, recommended, or closed
 WTH, RTNR: all types of withdrawn/return without review
 ENC,INVT,DSCR,NIVT: full prop encouraged/invited/discouraged/not invited
 CAN,DAWD,DEL,ERR,INAP,OCGI,PRTN,WPRE,ZER: uncommon on proposals</t>
        </r>
      </text>
    </comment>
    <comment ref="C17"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18" authorId="0" shapeId="0">
      <text>
        <r>
          <rPr>
            <b/>
            <sz val="10"/>
            <color indexed="9"/>
            <rFont val="Corbel"/>
            <family val="2"/>
          </rPr>
          <t>4-digit object class.  Common possibilities
 4101 - Personnel Mobility
 4110 - Research Grants
 4118 - SBIR Grant
 4144 - Equipment Grant
 4160 - Conference</t>
        </r>
      </text>
    </comment>
    <comment ref="C19" authorId="0" shapeId="0">
      <text>
        <r>
          <rPr>
            <b/>
            <sz val="10"/>
            <color indexed="9"/>
            <rFont val="Corbel"/>
            <family val="2"/>
          </rPr>
          <t>letter+6-digit id: Letter can be upper or lower case.
   p=panel, v=site visit, c=committee of visitors.
E.g., P% would retrieve panels only, no site visits</t>
        </r>
      </text>
    </comment>
    <comment ref="C20" authorId="0" shapeId="0">
      <text>
        <r>
          <rPr>
            <b/>
            <sz val="10"/>
            <color indexed="9"/>
            <rFont val="Corbel"/>
            <family val="2"/>
          </rPr>
          <t>10-digit institution id</t>
        </r>
      </text>
    </comment>
    <comment ref="C21" authorId="0" shapeId="0">
      <text>
        <r>
          <rPr>
            <b/>
            <sz val="10"/>
            <color indexed="9"/>
            <rFont val="Corbel"/>
            <family val="2"/>
          </rPr>
          <t xml:space="preserve">9-digit PI id.  
Note: you can copy a column of ids from, say, All Personnel, and use Paste CSV to paste a comma separated list. 
</t>
        </r>
      </text>
    </comment>
    <comment ref="C22" authorId="0" shapeId="0">
      <text>
        <r>
          <rPr>
            <b/>
            <sz val="10"/>
            <color indexed="9"/>
            <rFont val="Corbel"/>
            <family val="2"/>
          </rPr>
          <t>%Medium%  or %GOALI% can be used to restrict proposals to those that follow title conventions; ~%GOALI% to exclude.</t>
        </r>
      </text>
    </comment>
    <comment ref="C23" authorId="0" shapeId="0">
      <text>
        <r>
          <rPr>
            <b/>
            <sz val="10"/>
            <color indexed="9"/>
            <rFont val="Corbel"/>
            <family val="2"/>
          </rPr>
          <t>4-digit PRCs. The PRC table doesn't have an index, so this query slow; use a narrow date range</t>
        </r>
      </text>
    </comment>
    <comment ref="C24" authorId="0" shapeId="0">
      <text>
        <r>
          <rPr>
            <b/>
            <sz val="10"/>
            <color indexed="9"/>
            <rFont val="Corbel"/>
            <family val="2"/>
          </rPr>
          <t>Original routing PECs retrieves proposals by both primary and secondary PEC.  It is a slow query, but useful to find possible transfers.  Use a narrow date range, and optionally exclude the primary PEC above.</t>
        </r>
      </text>
    </comment>
    <comment ref="C25" authorId="0" shapeId="0">
      <text>
        <r>
          <rPr>
            <b/>
            <sz val="10"/>
            <color indexed="9"/>
            <rFont val="Corbel"/>
            <family val="2"/>
          </rPr>
          <t xml:space="preserve">This is a rudimentary way to bookmark and save favorite queries.  Remember to save if you want to preserve your bookmarks.
</t>
        </r>
      </text>
    </comment>
    <comment ref="C28" authorId="0" shapeId="0">
      <text>
        <r>
          <rPr>
            <b/>
            <sz val="10"/>
            <color indexed="9"/>
            <rFont val="Corbel"/>
            <family val="2"/>
          </rPr>
          <t xml:space="preserve">Listing any proposal id from a collaborative project will bring in all proposals from the project.  
E.g., add in ad hoc only projects to compare with those on panels...
Include/exclude lists must be less than about 1200 ids. </t>
        </r>
      </text>
    </comment>
    <comment ref="E28" authorId="0" shapeId="0">
      <text>
        <r>
          <rPr>
            <b/>
            <sz val="10"/>
            <color indexed="9"/>
            <rFont val="Corbel"/>
            <family val="2"/>
          </rPr>
          <t>Proposals to exclude, such as that travel grant that was awarded under the core solicitation, or the subaward you declined while awarding the lead.  
Unlike the Include list,  Exclude is by proposal; to exclude a collaboration, you must least each proposal in the collaboration.  (Only way to support the scenario of excluding a non-lead.)
Again, limit Include+Exclude to at most 1200 ids.</t>
        </r>
      </text>
    </comment>
    <comment ref="H29" authorId="0" shapeId="0">
      <text>
        <r>
          <rPr>
            <b/>
            <sz val="10"/>
            <color indexed="9"/>
            <rFont val="Corbel"/>
            <family val="2"/>
          </rPr>
          <t xml:space="preserve">Create an email with selected results attached.  
Use this to send data only; Input tab recording parameters is included but hidden. 
[PC only, Mac version to come.]
</t>
        </r>
      </text>
    </comment>
    <comment ref="J30" authorId="0" shapeId="0">
      <text>
        <r>
          <rPr>
            <b/>
            <sz val="10"/>
            <color indexed="9"/>
            <rFont val="Corbel"/>
            <family val="2"/>
          </rPr>
          <t>Run queries for refreshable tabs.  
No need to reset first.</t>
        </r>
      </text>
    </comment>
    <comment ref="M30" authorId="0" shapeId="0">
      <text>
        <r>
          <rPr>
            <b/>
            <sz val="10"/>
            <color indexed="9"/>
            <rFont val="Corbel"/>
            <family val="2"/>
          </rPr>
          <t xml:space="preserve">Clears data from all tabs, hidden or not.
</t>
        </r>
      </text>
    </comment>
  </commentList>
</comments>
</file>

<file path=xl/comments2.xml><?xml version="1.0" encoding="utf-8"?>
<comments xmlns="http://schemas.openxmlformats.org/spreadsheetml/2006/main">
  <authors>
    <author>Jack Snoeyink</author>
  </authors>
  <commentList>
    <comment ref="U5" authorId="0" shapeId="0">
      <text>
        <r>
          <rPr>
            <b/>
            <sz val="10"/>
            <color indexed="9"/>
            <rFont val="Corbel"/>
            <family val="2"/>
          </rPr>
          <t xml:space="preserve">Non-zero when cover sheets that don't match budgets, and when subawards have subawards.  (Should that even be possible? It is the proposal organization that makes the reps and certs!)
</t>
        </r>
      </text>
    </comment>
    <comment ref="W5" authorId="0" shapeId="0">
      <text>
        <r>
          <rPr>
            <b/>
            <sz val="10"/>
            <color indexed="9"/>
            <rFont val="Corbel"/>
            <family val="2"/>
          </rPr>
          <t xml:space="preserve">Small amounts due to rounding; larger amounts are usually subcontracts without separate budgets, often because consultants or services are listed as subawards in budget justification. 
</t>
        </r>
      </text>
    </comment>
  </commentList>
</comments>
</file>

<file path=xl/comments3.xml><?xml version="1.0" encoding="utf-8"?>
<comments xmlns="http://schemas.openxmlformats.org/spreadsheetml/2006/main">
  <authors>
    <author>Jack Snoeyink</author>
  </authors>
  <commentList>
    <comment ref="B40" authorId="0" shapeId="0">
      <text>
        <r>
          <rPr>
            <b/>
            <sz val="10"/>
            <color indexed="9"/>
            <rFont val="Corbel"/>
            <family val="2"/>
          </rPr>
          <t>Click Tab name to visit a non-hidden tab.
To visit a hidden tab, first change H to n or blank under 'Ref?'.</t>
        </r>
      </text>
    </comment>
  </commentList>
</comments>
</file>

<file path=xl/connections.xml><?xml version="1.0" encoding="utf-8"?>
<connections xmlns="http://schemas.openxmlformats.org/spreadsheetml/2006/main">
  <connection id="1" name="AllPIs" type="1" refreshedVersion="5" background="1"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 WHERE prop.prop_id IN ('1612999')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SELECT DISTINCT prop.prop_id, pa.prop_atr_code, id=identity(18), 0 as 'seq' INTO #myPRCs_x000d__x000a_FROM #myProps prop, csd.prop_atr pa WHERE pa.prop_id = prop.prop_id  AND pa.prop_atr_type_code = 'PRC'_x000d__x000a_ORDER BY prop.prop_id, pa.prop_atr_code_x000d__x000a_SELECT prop_id, MIN(id) as 'start' INTO #mySt2 FROM #myPRCs GROUP BY prop_id_x000d__x000a_UPDATE #myPRCs set seq = id-M.start FROM #myPRCs r, #mySt2 M WHERE r.prop_id = M.prop_id_x000d__x000a_DROP TABLE #mySt2_x000d__x000a_CREATE INDEX myPropsPIx ON #myProps(prop_id)_x000d__x000a__x000d__x000a_SELECT prop.prop_id, prop.ILN, prop.prop_titl_txt, ' PI' as pers, pi.pi_last_name, pi.pi_frst_name, prop.inst_name,  pi.pi_gend_code, pi.pi_emai_addr, pi.pi_dept_name, prop.st_code, prop.inst_id, pi.pi_id, prop.rqst_dol_x000d__x000a_INTO #myPers _x000d__x000a_FROM #myProps prop, csd.pi_vw pi_x000d__x000a_WHERE prop.pi_id = pi.pi_id AND (pi.prim_addr_flag='Y') _x000d__x000a_UNION ALL SELECT prop.prop_id, prop.ILN, '', 'coPI', pi.pi_last_name, pi.pi_frst_name, inst.inst_shrt_name,  pi.pi_gend_code, pi.pi_emai_addr, pi.pi_dept_name, pi.st_code, pi.inst_id, pi.pi_id, 0_x000d__x000a_FROM csd.addl_pi_invl addl_pi_invl, csd.inst inst, csd.pi_vw pi, #myProps prop_x000d__x000a_  WHERE prop.prop_id = addl_pi_invl.prop_id AND addl_pi_invl.pi_id = pi.pi_id AND pi.inst_id = inst.inst_id AND (pi.prim_addr_flag='Y') _x000d__x000a_CREATE INDEX myPersPIx  ON #myPers(prop_id)_x000d__x000a__x000d__x000a_INSERT #myPers (prop_id, ILN, prop_titl_txt, pers, pi_last_name, pi_frst_name, inst_name, pi_gend_code, pi_emai_addr, pi_dept_name, st_code, inst_id, pi_id, rqst_dol)_x000d__x000a_SELECT DISTINCT prop.prop_id, prop.ILN, '', 'srPers', s.SR_LAST_NAME AS pi_last_name, s.SR_FRST_NAME AS pi_frst_name, inst.inst_shrt_name AS inst_name, '', '', '', inst.st_code, inst.inst_id, '', 0_x000d__x000a_FROM #myProps prop_x000d__x000a_JOIN csd.prop_subm_ctl_vw psc ON prop.prop_id = psc.PROP_ID_x000d__x000a_JOIN csd.sr_pers_resc_vw s ON psc.TEMP_PROP_ID = s.TEMP_PROP_ID_x000d__x000a_JOIN csd.inst inst ON s.PERF_INST_ID = inst.inst_id_x000d__x000a_  WHERE NOT EXISTS (SELECT * FROM #myPers p_x000d__x000a_WHERE prop.prop_id = p.prop_id  AND s.SR_LAST_NAME = p.pi_last_name AND s.SR_FRST_NAME = pi_frst_name AND inst.inst_shrt_name = p.inst_name)_x000d__x000a_INSERT #myPers (prop_id, ILN, prop_titl_txt, pers, pi_last_name, pi_frst_name, inst_name, pi_gend_code, pi_emai_addr, pi_dept_name, st_code, inst_id, pi_id, rqst_dol)_x000d__x000a_SELECT DISTINCT prop.prop_id, prop.ILN, '', 'subAwd', s.PI_LAST_NAME AS pi_last_name, s.PI_FRST_NAME AS pi_frst_name, inst.inst_shrt_name AS inst_name, '', '', '', inst.st_code, inst.inst_id, '', 0_x000d__x000a_FROM #myProps prop_x000d__x000a_JOIN csd.prop_subm_ctl_vw psc ON prop.prop_id = psc.PROP_ID_x000d__x000a_JOIN csd.subconpi_vw s ON psc.TEMP_PROP_ID = s.TEMP_PROP_ID_x000d__x000a_JOIN csd.inst inst ON s.PERF_INST_ID = inst.inst_id_x000d__x000a_ WHERE NOT EXISTS (SELECT * FROM #myPers p_x000d__x000a_   WHERE prop.prop_id = p.prop_id  AND s.PI_LAST_NAME = p.pi_last_name AND s.PI_FRST_NAME = pi_frst_name AND inst.inst_shrt_name = p.inst_name)SELECT  prop.nsf_rcvd_date, prop.dd_rcom_date, prop.pgm_annc_id, prop.Dir, prop.org_code, prop.Pgm, prop.PO,_x000d__x000a_ prop.obj_clas_code, prop.natr_rqst_abbr, prop.prop_stts_abbr, prop.lead, prop.Div, pr.*, prop.rqst_mnth_cnt, prop.rqst_eff_date_x000d__x000a_FROM #myProps prop, #myPers pr_x000d__x000a_WHERE pr.prop_id = prop.prop_id_x000d__x000a_ORDER BY prop.lead, pr.ILN, pr.prop_id, pr.pers, pr.pi_last_name_x000d__x000a__x000d__x000a_DROP TABLE #myPers  DROP TABLE #myProps"/>
  </connection>
  <connection id="2" name="AllPIs1" type="1" refreshedVersion="5" background="1"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 WHERE prop.prop_id IN ('1612999')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SELECT sp1.TEMP_PROP_ID, ctry.ctry_name, id=identity(18), 0 as 'seq' INTO #myCtry_x000d__x000a_FROM #myProps prop_x000d__x000a_JOIN csd.prop_subm_ctl_vw psc ON prop.prop_id = psc.prop_id_x000d__x000a_JOIN csd.prop_spcl_item_vw sp1 ON sp1.TEMP_PROP_ID = psc.TEMP_PROP_ID_x000d__x000a_JOIN csd.ctry ctry ON sp1.SPCL_ITEM_CODE = ctry.ctry_code_x000d__x000a_WHERE end_date Is Null_x000d__x000a_ORDER BY sp1.TEMP_PROP_ID, ctry.ctry_name_x000d__x000a_SELECT TEMP_PROP_ID, MIN(id) as 'start' INTO #myStart FROM #myCtry GROUP BY TEMP_PROP_ID_x000d__x000a_UPDATE #myCtry set seq = id-M.start FROM #myCtry r, #myStart M WHERE r.TEMP_PROP_ID = M.TEMP_PROP_ID_x000d__x000a_DROP TABLE #myStart_x000d__x000a_SELECT DISTINCT prop.prop_id, pa.prop_atr_code, id=identity(18), 0 as 'seq' INTO #myPRCs_x000d__x000a_FROM #myProps prop, csd.prop_atr pa WHERE pa.prop_id = prop.prop_id  AND pa.prop_atr_type_code = 'PRC'_x000d__x000a_ORDER BY prop.prop_id, pa.prop_atr_code_x000d__x000a_SELECT prop_id, MIN(id) as 'start' INTO #mySt2 FROM #myPRCs GROUP BY prop_id_x000d__x000a_UPDATE #myPRCs set seq = id-M.start FROM #myPRCs r, #mySt2 M WHERE r.prop_id = M.prop_id_x000d__x000a_DROP TABLE #mySt2_x000d__x000a_SELECT  nsf_rcvd_date, dd_rcom_date, prop.pgm_annc_id, Dir, prop.org_code, Pgm, PO,_x000d__x000a_obj_clas_code, prop.natr_rqst_abbr, prop.prop_stts_abbr, ILN, prop.lead, Div, prop.prop_id, pi_last_name, pi_frst_name, inst_name,_x000d__x000a_prop.prop_titl_txt, prop.rqst_dol, prop.rqst_eff_date, prop.rqst_mnth_cnt, prop.cntx_stmt_id, prop.inst_id, prop.pi_id, st_code,_x000d__x000a_(SELECT MAX( CASE pa.seq WHEN 0 THEN     rtrim(pa.prop_atr_code) END)+_x000d__x000a_        MAX( CASE pa.seq WHEN 1 THEN ','+rtrim(pa.prop_atr_code) END)+_x000d__x000a_        MAX( CASE pa.seq WHEN 2 THEN ','+rtrim(pa.prop_atr_code) END)+ _x000d__x000a_        MAX( CASE pa.seq WHEN 3 THEN ','+rtrim(pa.prop_atr_code) END)+_x000d__x000a_        MAX( CASE pa.seq WHEN 4 THEN ','+rtrim(pa.prop_atr_code) END)+_x000d__x000a_        MAX( CASE pa.seq WHEN 5 THEN ','+rtrim(pa.prop_atr_code) END)+_x000d__x000a_        MAX( CASE pa.seq WHEN 6 THEN ','+rtrim(pa.prop_atr_code) END)_x000d__x000a_        FROM #myPRCs pa WHERE pa.prop_id = prop.prop_id) AS 'PRCs',_x000d__x000a_CASE WHEN PROP_COVR.HUM_DATE is not NULL THEN convert(varchar(10),PROP_COVR.HUM_DATE,1) WHEN PROP_COVR.humn_date_pend_flag='Y' THEN 'Pend' END AS humn_date,_x000d__x000a_CASE WHEN PROP_COVR.VERT_DATE is not NULL THEN convert(varchar(10),PROP_COVR.VERT_DATE,1) WHEN PROP_COVR.vrtb_date_pend_flag='Y' THEN 'Pend' END AS vrtb_date,_x000d__x000a_(SELECT  MAX( CASE mySeq.seq WHEN 0 THEN mySeq.CODE ELSE '' END ) + ' ' +_x000d__x000a_                 MAX( CASE mySeq.seq WHEN 1 THEN mySeq.CODE ELSE '' END ) + ' ' +_x000d__x000a_                MAX( CASE mySeq.seq WHEN 2 THEN mySeq.CODE ELSE '' END ) + ' ' +_x000d__x000a_                MAX( CASE mySeq.seq WHEN 3 THEN mySeq.CODE ELSE '' END )_x000d__x000a_  FROM (SELECT  r1.TEMP_PROP_ID, r1.CODE,_x000d__x000a_                            (SELECT  count(*) FROM FLflpdb.flp.routing r2_x000d__x000a_                              WHERE r2.TEMP_PROP_ID = r1.TEMP_PROP_ID_x000d__x000a_                                             AND r2.SEQUENCE &lt; r1.SEQUENCE ) as 'seq'_x000d__x000a_                 FROM FLflpdb.flp.routing r1) mySeq_x000d__x000a_  WHERE psc.TEMP_PROP_ID = mySeq.TEMP_PROP_ID)  AS 'rout_PECs',_x000d__x000a_(SELECT MAX(CASE b.seq WHEN 1 THEN b.ctry_name ELSE '' END)+_x000d__x000a_    MAX(CASE b.seq WHEN 2 THEN '; '+b.ctry_name ELSE '' END)+_x000d__x000a_    MAX(CASE b.seq WHEN 3 THEN '; '+b.ctry_name ELSE '' END)+_x000d__x000a_    MAX(CASE b.seq WHEN 4 THEN '; '+b.ctry_name ELSE '' END)+_x000d__x000a_    MAX(CASE b.seq WHEN 5 THEN '; '+b.ctry_name ELSE '' END)+_x000d__x000a_    MAX(CASE b.seq WHEN 6 THEN '; '+b.ctry_name ELSE '' END)+_x000d__x000a_    MAX(CASE b.seq WHEN 7 THEN '; '+b.ctry_name ELSE '' END)+_x000d__x000a_    MAX(CASE b.seq WHEN 8 THEN '; '+b.ctry_name ELSE '' END) _x000d__x000a_    FROM #myCtry b WHERE b.TEMP_PROP_ID = psc.TEMP_PROP_ID) AS Country_x000d__x000a_FROM #myProps prop_x000d__x000a_JOIN csd.prop_subm_ctl_vw psc ON prop.prop_id = psc.prop_id _x000d__x000a_JOIN FLflpdb.flp.PROP_COVR PROP_COVR ON psc.TEMP_PROP_ID = PROP_COVR.TEMP_PROP_ID_x000d__x000a_ORDER BY prop.lead, ILN, prop.prop_id_x000d__x000a__x000d__x000a_DROP TABLE #myPRCs  DROP TABLE #myProps"/>
    <parameters count="15">
      <parameter name="Parameter1" parameterType="cell" cell="Proposals!#REF!"/>
      <parameter name="Parameter2" parameterType="cell" cell="Proposals!#REF!"/>
      <parameter name="Parameter3" parameterType="cell" cell="Proposals!#REF!"/>
      <parameter name="Parameter4" parameterType="cell" cell="Proposals!#REF!"/>
      <parameter name="Parameter5" parameterType="cell" cell="Proposals!#REF!"/>
      <parameter name="Parameter6" parameterType="cell" cell="Proposals!#REF!"/>
      <parameter name="Parameter7" parameterType="cell" cell="Proposals!#REF!"/>
      <parameter name="Parameter8" parameterType="cell" cell="Proposals!#REF!"/>
      <parameter name="Parameter9" parameterType="cell" cell="Proposals!#REF!"/>
      <parameter name="Parameter10" parameterType="cell" cell="Proposals!#REF!"/>
      <parameter name="Parameter11" parameterType="cell" cell="Proposals!#REF!"/>
      <parameter name="Parameter12" parameterType="cell" cell="Proposals!#REF!"/>
      <parameter name="Parameter13" parameterType="cell" cell="Proposals!#REF!"/>
      <parameter name="Parameter14" parameterType="cell" cell="Proposals!#REF!"/>
      <parameter name="Parameter15" parameterType="cell" cell="Proposals!#REF!"/>
    </parameters>
  </connection>
  <connection id="3" name="Get assigned reviewers" type="1" refreshedVersion="5" saveData="1">
    <dbPr connection="dsn=RPTSERVER;database=rptdb;server=RPTSQL.nsf.gov;port=5000;UID=ccfuser;" command="SELECT DISTINCT revr.revr_last_name, revr.revr_frst_name, a.revr_addr_txt AS 'email'_x000d__x000a_FROM csd.rev_prop rp_x000d__x000a_JOIN csd.revr revr ON rp.revr_id = revr.revr_id_x000d__x000a_LEFT OUTER JOIN csd.revr_opt_addr_line a ON rp.revr_id = a.revr_id AND a.addr_lne_type_code='E'_x000d__x000a_ WHERE rp.prop_id IN ('1612999','1613905','1614150','1614385','1614562','1614584','1615458','1615584','1615704','1615845','1616248','1617166','1617193','1617256','1617354','1617461','1617546','1617605','1617617','1617641','1617735','1617819','1617830','1617951','1618034','1618116','1618345','1618380','1618469','1618501','1618593','1618657','1618717','1618818','1618866','1618894','1618900','1618981','1619064','1619095','1619107','1619144','1619256','1619257','1619325','1619330','1619345','1619350','1619402','1623212','1624382','1629809','1636571','1637380','1637534','1637566','1639912','1640970','1644747','1649473','1651569','1651932','1651987','1651999','1652218','1652640','1652695','1652857','1652909','1653504','1654106','1654261','1654850','1655367','1655422','1656905','1657069','1657147','1657316','1657325','1657472','1657939','1659001','1660636','1665252')_x000a_ ORDER BY revr.revr_last_name, revr.revr_frst_name_x000d__x000a_"/>
  </connection>
  <connection id="4" name="Input Counting" type="1" refreshedVersion="5" background="1" saveData="1">
    <dbPr connection="dsn=RPTSERVER;database=rptdb;server=RPTSQL.nsf.gov;port=5000;UID=ccfuser;" command="SELECT count(*) as num_retrieved FROM csd.prop prop_x000d__x000a_ WHERE prop.pgm_annc_id = 'nsf 16-578'_x000a_ AND prop.pgm_ele_code = '7796'_x000a_"/>
  </connection>
  <connection id="5" name="Orphans Query" type="1" refreshedVersion="5" background="1"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_x000d__x000a_JOIN csd.prop_stts prop_stts ON prop.prop_stts_code = prop_stts.prop_stts_code_x000a_JOIN csd.natr_rqst natr_rqst ON prop.natr_rqst_code = natr_rqst.natr_rqst_code_x000a_JOIN csd.org org ON prop.org_code = org.org_code_x000a_WHERE prop.dd_rcom_date &gt;= {ts '2015-10-01 00:00:00'} _x000d__x000a_AND prop.dd_rcom_date &lt;= {ts '2016-12-09 00:00:00'} _x000d__x000a_ AND prop.pgm_ele_code IN ('5373','1591')_x000a_ AND prop_stts.prop_stts_abbr = 'AWD'_x000a_ AND natr_rqst.natr_rqst_abbr = 'NEW'_x000a_ AND org.dir_div_abbr = 'IIP'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SELECT nsf_rcvd_date, Dir, org_code, Pgm, PO,  nullif(Count(rev_prop.rev_sent_date),0) as sent_adhoc, nullif(Count(rev_prop.rev_sent_date)-Count(rev_prop.rev_rtrn_date),0) as out_adhoc, MAX(rev_prop.rev_due_date) as last_due,_x000d__x000a_obj_clas_code, natr_rqst_abbr, prop_stts_abbr, ILN, lead, Div, prop.prop_id, pi_last_name, pi_frst_name, inst_name, prop_titl_txt, prop_stts_txt_x000d__x000a_FROM #myProps prop_x000d__x000a_LEFT OUTER JOIN  csd.rev_prop rev_prop ON prop.prop_id = rev_prop.prop_id AND rev_prop.rev_type_code='R'_x000d__x000a_WHERE not exists (select pp.panl_id FROM csd.panl_prop pp WHERE prop.prop_id = pp.prop_id)_x000d__x000a_GROUP BY prop_stts_txt, Pgm, PO, natr_rqst_abbr, Dir, ILN, lead, Div, prop.prop_id, pi_last_name, pi_frst_name, inst_name, prop_titl_txt, nsf_rcvd_date, prop_stts_abbr_x000d__x000a_ORDER BY prop_stts_abbr, lead, ILN_x000d__x000a_DROP TABLE #myProps"/>
    <parameters count="4">
      <parameter name="Parameter1" parameterType="cell" refreshOnChange="1" cell="Orphans!#REF!"/>
      <parameter name="Parameter2" parameterType="cell" refreshOnChange="1" cell="Orphans!#REF!"/>
      <parameter name="Parameter3" parameterType="cell" refreshOnChange="1" cell="Orphans!#REF!"/>
      <parameter name="Parameter4" parameterType="cell" refreshOnChange="1" cell="Orphans!#REF!"/>
    </parameters>
  </connection>
  <connection id="6" name="Panelists on panels" type="1" refreshedVersion="5" background="1" saveData="1">
    <dbPr connection="dsn=RPTSERVER;database=rptdb;server=RPTSQL.nsf.gov;port=5000;UID=ccfuser;" command="SET NOCOUNT ON SELECT pr.revr_id, pr.revr_id, revr.revr_last_name, revr.revr_frst_name, revr.gend_code,_x000d__x000a_revr.inst_id, inst.inst_shrt_name, inst.st_code, revr.revr_dept_name, f.fos_txt as field, _x000d__x000a_COUNT(pr.panl_id) as nPanls, MAX(panl.panl_bgn_date) as latest,_x000d__x000a_'' AS 'nProps', '' as 'min_score', '' as 'avg_score', '' as 'max_score', '' as 'std_score',_x000d__x000a_'' AS 'avg_len', '' AS 'std_len', '' AS 'avg_days_early', ''  AS 'std_days_early',_x000d__x000a_'' as 'nProps_all', '' as 'latest_all', '' as 'min_score_all', '' as 'avg_score_all', '' as 'max_score_all', '' as 'std_score_all',_x000d__x000a_'' AS 'avg_len_all', '' AS 'std_len_all', '' AS 'avg_days_early_all', ''  AS 'std_days_early_all',_x000d__x000a_ra.revr_addr_txt as 'revr_email', revr.pi_id, pi.pi_emai_addr_x000d__x000a_FROM csd.panl_revr pr_x000d__x000a_JOIN csd.revr revr ON pr.revr_id = revr.revr_id _x000d__x000a_JOIN csd.panl panl ON pr.panl_id = panl.panl_id_x000d__x000a_LEFT OUTER JOIN csd.fos f on f.prmy_fos_code = revr.prmy_fos_code_x000d__x000a_LEFT OUTER JOIN csd.revr_opt_addr_line ra ON pr.revr_id = ra.revr_id AND ra.addr_lne_type_code='E'_x000d__x000a_LEFT OUTER JOIN csd.inst inst ON revr.inst_id = inst.inst_id _x000d__x000a_LEFT OUTER JOIN csd.pi_vw pi ON revr.pi_id = pi.pi_id_x000d__x000a_WHERE pr.panl_id IN ('p170288')_x000a_GROUP BY pr.revr_id, revr.revr_last_name, revr.revr_frst_name, revr.gend_code, revr.inst_id, inst.inst_shrt_name, inst.st_code, revr.revr_dept_name, f.fos_txt, ra.revr_addr_txt, revr.pi_id, pi.pi_emai_addr_x000d__x000a_ORDER BY revr.revr_last_name, revr.revr_frst_name_x000d__x000a_"/>
  </connection>
  <connection id="7" name="panelsQuery" type="1" refreshedVersion="5" background="1"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_x000d__x000a_JOIN csd.prop_stts prop_stts ON prop.prop_stts_code = prop_stts.prop_stts_code_x000a_JOIN csd.natr_rqst natr_rqst ON prop.natr_rqst_code = natr_rqst.natr_rqst_code_x000a_JOIN csd.org org ON prop.org_code = org.org_code_x000a_WHERE prop.dd_rcom_date &gt;= {ts '2015-10-01 00:00:00'} _x000d__x000a_AND prop.dd_rcom_date &lt;= {ts '2016-12-09 00:00:00'} _x000d__x000a_ AND prop.pgm_ele_code IN ('5373','1591')_x000a_ AND prop_stts.prop_stts_abbr = 'AWD'_x000a_ AND natr_rqst.natr_rqst_abbr = 'NEW'_x000a_ AND org.dir_div_abbr = 'IIP'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SELECT panl_prop.panl_id, panl.panl_name, panl.pm_logn_id, Count(prop.lead) AS numProps, panl.panl_bgn_date, panl.panl_loc, panl.pgm_ele_code, panl.fund_org_code, panl.fund_pgm_ele_code_x000d__x000a_INTO #myPanls FROM #myProps prop_x000d__x000a_JOIN csd.panl_prop panl_prop ON prop.prop_id = panl_prop.prop_id _x000d__x000a_JOIN csd.panl panl ON panl_prop.panl_id = panl.panl_id_x000d__x000a_WHERE prop.ILN &lt; 'M' _x000d__x000a_GROUP BY panl_prop.panl_id, panl.panl_name, panl.pm_logn_id, panl.panl_bgn_date, panl.panl_loc, panl.pgm_ele_code, panl.fund_org_code, panl.fund_pgm_ele_code_x000d__x000a_SELECT  mp.*, convert(varchar,SUM(ps.rtCount)) + ' rated projects: ' +_x000d__x000a_   MAX( CASE ps.RCOM_SEQ_NUM WHEN 1 THEN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 as 'panlSumm'_x000d__x000a_FROM #myPanls mp_x000d__x000a_LEFT OUTER JOIN (SELECT pl.panl_id,  panl_rcom_def.RCOM_SEQ_NUM, panl_rcom_def.RCOM_ABBR, Count(panl_prop_summ.PROP_ID) AS rtCount_x000d__x000a_    FROM (SELECT DISTINCT panl_id FROM #myPanls) pl_x000d__x000a_    JOIN FLflpdb.flp.panl_prop_summ panl_prop_summ ON pl.panl_id = panl_prop_summ.PANL_ID_x000d__x000a_    JOIN FLflpdb.flp.panl_rcom_def panl_rcom_def ON panl_prop_summ.PANL_ID = panl_rcom_def.PANL_ID AND panl_prop_summ.RCOM_SEQ_NUM = panl_rcom_def.RCOM_SEQ_NUM_x000d__x000a_    JOIN csd.prop pr ON panl_prop_summ.PROP_ID = pr.prop_id AND pr.prop_id=isnull(pr.lead_prop_id,pr.prop_id) _x000d__x000a_    GROUP BY pl.panl_id, panl_rcom_def.RCOM_SEQ_NUM, panl_rcom_def.RCOM_ABBR ) ps ON mp.panl_id = ps.panl_id_x000d__x000a_GROUP BY mp.panl_id  ORDER BY mp.panl_bgn_date_x000d__x000a_DROP TABLE #myProps DROP TABLE #myPanls"/>
    <parameters count="6">
      <parameter name="Parameter1" sqlType="1" parameterType="cell" cell="'R:\[ResultsCollector.xlsx]Dashboard'!$A$3"/>
      <parameter name="Parameter2" parameterType="cell" cell="'R:\[ResultsCollector.xlsx]Dashboard'!$B$3"/>
      <parameter name="Parameter3" parameterType="cell" cell="'R:\[ResultsCollector.xlsx]Dashboard'!$C$3"/>
      <parameter name="Parameter4" parameterType="cell" cell="'R:\[ResultsCollector.xlsx]Dashboard'!$D$3"/>
      <parameter name="Parameter5" parameterType="cell" refreshOnChange="1" cell="'R:\[ResultsCollector.xlsx]Dashboard'!$E$3"/>
      <parameter name="Parameter6" parameterType="cell" cell="'R:\[ResultsCollector.xlsx]Dashboard'!$F$3"/>
    </parameters>
  </connection>
  <connection id="8" name="PendingPropsFromNewAwardees" type="1" refreshedVersion="5" background="1"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_x000d__x000a_JOIN csd.natr_rqst natr_rqst ON prop.natr_rqst_code = natr_rqst.natr_rqst_code_x000a_WHERE prop.nsf_rcvd_date &gt;= {ts '2016-11-15 00:00:00'} _x000d__x000a_ AND prop.pgm_ele_code = '1271'_x000a_ AND prop.obj_clas_code &lt;&gt; '4160'_x000a_ AND natr_rqst.natr_rqst_abbr IN ('NEW','RNEW','abr')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SELECT p.nsf_rcvd_date,  p.Dir, p.org_code, Pgm, PO, newInst.inst_id, inst.inst_name, inst.st_code, inst.ctry_code,  _x000d__x000a_inst.awd_perf_inst_code, inst.duns_id, inst.perf_org_code, perf_org.perf_org_txt as perf_org_type, _x000d__x000a_prop_stts_abbr, natr_rqst_abbr, Div, p.prop_id, pi_last_name, pi_frst_name, inst.inst_shrt_name,  _x000d__x000a_prop_stts_txt, p.prop_titl_txt_x000d__x000a_FROM (SELECT pendInst.inst_id_x000d__x000a_    FROM (SELECT distinct prop.inst_id FROM #myProps prop WHERE prop.prop_stts_abbr in ('PEND','RCOM') ) pendInst_x000d__x000a_    WHERE NOT EXISTS (SELECT * FROM csd.awd awd WHERE awd.AWD_EXP_DATE &gt;= dateadd(mm, -58, getdate()) AND awd.INST_ID = pendInst.INST_ID ) ) newInst_x000d__x000a_LEFT OUTER JOIN csd.inst inst ON inst.inst_id = newInst.inst_id_x000d__x000a_LEFT OUTER JOIN csd.perf_org perf_org ON perf_org.perf_org_code = inst.perf_org_code _x000d__x000a_JOIN #myProps p ON p.inst_id = newInst.inst_id _x000d__x000a_ORDER BY inst_name_x000d__x000a_DROP TABLE #myProps_x000d__x000a_"/>
    <parameters count="1">
      <parameter name="Parameter1" sqlType="12" parameterType="cell" refreshOnChange="1" cell="NewInst!#REF!"/>
    </parameters>
  </connection>
  <connection id="9" name="Projs Query" type="1" refreshedVersion="5" background="1"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 WHERE prop.prop_id IN ('1612999')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CREATE INDEX myProps_ix ON #myProps(lead)_x000d__x000a_SELECT mp.lead, COUNT(panl_id) AS nPanl, MAX(panl_id) AS panl_idmax_x000d__x000a_INTO #myPanlCnt FROM #myProps mp_x000d__x000a_JOIN csd.panl_prop pp ON pp.prop_id = mp.lead_x000d__x000a_WHERE mp.ILN &lt; 'M' GROUP BY mp.lead_x000d__x000a__x000d__x000a_SELECT   nsf_rcvd_date, dd_rcom_date, mp.pgm_annc_id, Dir, mp.org_code, origORG, Pgm, origPEC, PO, mp.obj_clas_code, natr_rqst_abbr, prop_stts_abbr,_x000d__x000a_PropPICnt.nProp, PropPICnt.nPI, isnull(PanlCnt.nPanl,0) as nPanl, PanlCnt.panl_idmax,_x000d__x000a_ILN, mp.Div, mp.prop_id, pi_last_name, pi_frst_name, inst_name, st_code, pi_emai_addr, pi_id, inst_id, _x000d__x000a_prop_titl_txt, (SELECT sum(p.rqst_dol) FROM #myProps p where p.lead = mp.lead) AS rqst_dol_tot, mp.rqst_eff_date, mp.rqst_mnth_cnt,_x000d__x000a_cntx_stmt_id, prop_stts_code, prop_stts_txt, pgm_annc.dflt_prop_titl_txt as Solicitation, org.org_txt as Organization, oc.obj_clas_name,_x000d__x000a_CASE s.SPCL_CHAR_PDF WHEN 'Y' THEN 'PDF' WHEN 'N' THEN 'Text' ELSE NULL END AS SPCL_CHAR_PDF_x000d__x000a_FROM #myProps mp_x000d__x000a_JOIN csd.pgm_annc pgm_annc ON mp.pgm_annc_id = pgm_annc.pgm_annc_id_x000d__x000a_JOIN csd.org org ON mp.org_code = org.org_code_x000d__x000a_JOIN FLflpdb.flp.obj_clas_pars oc ON mp.obj_clas_code = oc.obj_clas_code_x000d__x000a_JOIN FLflpdb.flp.prop_subm_ctl psc ON mp.prop_id = psc.PROP_ID_x000d__x000a_LEFT OUTER JOIN FLflpdb.flp.proj_summ s ON psc.TEMP_PROP_ID = s.TEMP_PROP_ID_x000d__x000a_LEFT OUTER JOIN #myPanlCnt PanlCnt ON PanlCnt.lead = mp.lead_x000d__x000a_JOIN (SELECT lead, sum(1) as nProp, sum(1+nCoPI) as nPI_x000d__x000a_      FROM (SELECT p.lead, (SELECT count(*) FROM csd.addl_pi_invl ap WHERE ap.prop_id = p.prop_id) AS nCoPI FROM #myProps p) PropCoPIs_x000d__x000a_      GROUP BY lead) PropPICnt ON PropPICnt.lead = mp.lead_x000d__x000a_WHERE mp.ILN &lt; 'M'_x000d__x000a_ORDER BY mp.lead_x000d__x000a_DROP TABLE #myProps DROP TABLE #myPanlCnt"/>
  </connection>
  <connection id="10" name="Projs Query1" type="1" refreshedVersion="5" background="1"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_x000d__x000a_JOIN csd.natr_rqst natr_rqst ON prop.natr_rqst_code = natr_rqst.natr_rqst_code_x000a_WHERE prop.nsf_rcvd_date &gt;= {ts '2016-11-15 00:00:00'} _x000d__x000a_ AND prop.pgm_ele_code = '1271'_x000a_ AND prop.obj_clas_code &lt;&gt; '4160'_x000a_ AND natr_rqst.natr_rqst_abbr IN ('NEW','RNEW','abr')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SELECT   nsf_rcvd_date, dd_rcom_date, mp.pgm_annc_id, Dir, mp.org_code,  Pgm,  PO, mp.obj_clas_code, natr_rqst_abbr, prop_stts_abbr,_x000d__x000a_ILN, mp.Div, mp.prop_id, pi_last_name, pi_frst_name, inst_name, st_code, pi_emai_addr, pi_id, inst_id, _x000d__x000a_prop_titl_txt, (SELECT sum(p.rqst_dol) FROM #myProps p where p.lead = mp.lead) AS rqst_dol_tot, mp.rqst_eff_date, mp.rqst_mnth_cnt,_x000d__x000a_s.SPCL_CHAR_PDF, s.PROJ_SUMM_TXT, s.INTUL_MERT, s.BRODR_IMPT_x000d__x000a_FROM #myProps mp_x000d__x000a_JOIN csd.pgm_annc pgm_annc ON mp.pgm_annc_id = pgm_annc.pgm_annc_id_x000d__x000a_JOIN csd.org org ON mp.org_code = org.org_code_x000d__x000a_JOIN FLflpdb.flp.obj_clas_pars oc ON mp.obj_clas_code = oc.obj_clas_code_x000d__x000a_JOIN FLflpdb.flp.prop_subm_ctl psc ON mp.prop_id = psc.PROP_ID_x000d__x000a_LEFT OUTER JOIN FLflpdb.flp.proj_summ s ON psc.TEMP_PROP_ID = s.TEMP_PROP_ID_x000d__x000a_WHERE mp.ILN &lt; 'M'_x000d__x000a_ORDER BY mp.lead_x000d__x000a_DROP TABLE #myProps"/>
  </connection>
  <connection id="11" name="ProposalPanelInfo" type="1" refreshedVersion="5"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_x000d__x000a_JOIN csd.prop_stts prop_stts ON prop.prop_stts_code = prop_stts.prop_stts_code_x000a_JOIN csd.natr_rqst natr_rqst ON prop.natr_rqst_code = natr_rqst.natr_rqst_code_x000a_JOIN csd.org org ON prop.org_code = org.org_code_x000a_WHERE prop.dd_rcom_date &gt;= {ts '2015-10-01 00:00:00'} _x000d__x000a_AND prop.dd_rcom_date &lt;= {ts '2016-12-09 00:00:00'} _x000d__x000a_ AND prop.pgm_ele_code IN ('5373','1591')_x000a_ AND prop_stts.prop_stts_abbr = 'AWD'_x000a_ AND natr_rqst.natr_rqst_abbr = 'NEW'_x000a_ AND org.dir_div_abbr = 'IIP'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create table #revScores(yn char(5) primary key, string varchar(10), score real null)_x000d__x000a_insert into #revScores_x000d__x000a_select 'NNNNN', 'R', null  union all_x000d__x000a_select 'NNNNY', 'P', 1 union all_x000d__x000a_select 'NNNYN', 'F', 3 union all_x000d__x000a_select 'NNNYY', 'F/P', 2 union all_x000d__x000a_select 'NNYNN', 'G', 5 union all_x000d__x000a_select 'NNYNY', 'G/P', 2.98 union all_x000d__x000a_select 'NNYYN', 'G/F', 4 union all_x000d__x000a_select 'NNYYY', 'G/F/P', 2.99 union all_x000d__x000a_select 'NYNNN', 'V', 7 union all_x000d__x000a_select 'NYNNY', 'V/P', 3.98 union all_x000d__x000a_select 'NYNYN', 'V/F', 4.98 union all_x000d__x000a_select 'NYNYY', 'V/F/P', 3.65 union all_x000d__x000a_select 'NYYNN', 'V/G', 6 union all_x000d__x000a_select 'NYYNY', 'V/G/P', 4.32 union all_x000d__x000a_select 'NYYYN', 'V/G/F', 4.99 union all_x000d__x000a_select 'NYYYY', 'V/G/F/P', 3.97 union all_x000d__x000a_select 'YNNNN', 'E', 9 union all_x000d__x000a_select 'YNNNY', 'E/P', 4.992 union all_x000d__x000a_select 'YNNYN', 'E/F', 5.98 union all_x000d__x000a_select 'YNNYY', 'E/F/P', 4.325 union all_x000d__x000a_select 'YNYNN', 'E/G', 6.98 union all_x000d__x000a_select 'YNYNY', 'E/G/P', 4.995 union all_x000d__x000a_select 'YNYYN', 'E/G/F', 5.66 union all_x000d__x000a_select 'YNYYY', 'E/G/F/P', 4.5 union all_x000d__x000a_select 'YYNNN', 'E/V', 8 union all_x000d__x000a_select 'YYNNY', 'E/V/P', 5.666 union all_x000d__x000a_select 'YYNYN', 'E/V/F', 6.33 union all_x000d__x000a_select 'YYNYY', 'E/V/F/P', 4.996 union all_x000d__x000a_select 'YYYNN', 'E/V/G', 6.99 union all_x000d__x000a_select 'YYYNY', 'E/V/G/P', 5.5 union all_x000d__x000a_select 'YYYYN', 'E/V/G/F', 5.99 union all_x000d__x000a_select 'YYYYY', 'E/V/G/F/P', 4.997_x000d__x000a_SELECT p.lead, rs.string, rs.score, rev_prop_vw.revr_id, rev_prop_vw.rev_rtrn_date, id=identity(18), 0 as 'seq'_x000d__x000a_INTO #myRevs_x000d__x000a_FROM #myProps p_x000d__x000a_JOIN csd.rev_prop_vw rev_prop_vw ON p.lead = rev_prop_vw.prop_id_x000d__x000a_JOIN csd.rev_prop rev_prop ON p.lead = rev_prop.prop_id AND rev_prop_vw.revr_id = rev_prop.revr_id_x000d__x000a_JOIN #revScores rs ON rev_prop_vw.rev_prop_rtng_ind = rs.yn _x000d__x000a_WHERE p.ILN &lt; 'M' AND rev_prop.rev_stts_code &lt;&gt; 'C'_x000d__x000a_ORDER BY lead, score DESC_x000d__x000a_SELECT lead, MIN(id) as 'start' INTO #myStarts FROM #myRevs GROUP BY lead_x000d__x000a_UPDATE #myRevs set seq = id-M.start FROM #myRevs r, #myStarts M WHERE r.lead = M.lead_x000d__x000a_DROP TABLE #myStarts_x000d__x000a_SELECT prop.lead, pp.prop_seq_num as disc_ordr, pp.panl_id, CASE WHEN pps.panl_id IS NOT NULL THEN 'Y' END AS panl_held, _x000d__x000a_pps.panl_summ_rlse_flag as summ_rlse, pps.PROP_ORDR as rank, pps.RCOM_SEQ_NUM as rcom_seq, prd.rcom_abbr, prd.rcom_txt_x000d__x000a_INTO #myPanlProp _x000d__x000a_FROM #myProps prop_x000d__x000a_JOIN csd.panl_prop pp ON prop.lead = pp.prop_id_x000d__x000a_LEFT OUTER JOIN FLflpdb.flp.panl_prop_summ pps ON prop.lead = pps.PROP_ID AND pp.panl_id = pps.panl_id_x000d__x000a_LEFT OUTER JOIN FLflpdb.flp.panl_rcom_def prd ON pp.panl_id = prd.panl_id AND pps.RCOM_SEQ_NUM = prd.RCOM_SEQ_NUM_x000d__x000a_WHERE prop.ILN &lt; 'M' _x000d__x000a_SELECT pl.panl_id, panl.panl_name, panl.panl_bgn_date, panl.panl_loc, convert(varchar,SUM(ps.rtCount)) + ' proj: ' +_x000d__x000a_   MAX( CASE ps.RCOM_SEQ_NUM WHEN 1 THEN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 as 'panlSumm'_x000d__x000a_INTO #myPanls_x000d__x000a_FROM (SELECT DISTINCT panl_id FROM #myPanlProp) pl_x000d__x000a_JOIN csd.panl panl ON pl.panl_id = panl.panl_id_x000d__x000a_LEFT OUTER JOIN (SELECT p2.panl_id, panl_rcom_def.RCOM_SEQ_NUM, panl_rcom_def.RCOM_ABBR, Count(panl_prop_summ.PROP_ID) AS rtCount_x000d__x000a_    FROM (SELECT DISTINCT panl_id FROM #myPanlProp) p2_x000d__x000a_    JOIN FLflpdb.flp.panl_prop_summ panl_prop_summ ON p2.panl_id = panl_prop_summ.PANL_ID_x000d__x000a_    JOIN FLflpdb.flp.panl_rcom_def panl_rcom_def ON panl_prop_summ.PANL_ID = panl_rcom_def.PANL_ID AND panl_prop_summ.RCOM_SEQ_NUM = panl_rcom_def.RCOM_SEQ_NUM_x000d__x000a_    JOIN csd.prop pr ON panl_prop_summ.PROP_ID = pr.prop_id AND pr.prop_id=isnull(pr.lead_prop_id,pr.prop_id) _x000d__x000a_    GROUP BY p2.panl_id, panl_rcom_def.RCOM_SEQ_NUM, panl_rcom_def.RCOM_ABBR ) ps ON pl.panl_id = ps.panl_id_x000d__x000a_GROUP BY pl.panl_id, panl.panl_name, panl.panl_bgn_date, panl.panl_loc _x000d__x000a_SELECT  prop.*, pp.panl_id, pn.panl_bgn_date, pn.panl_loc, pp.disc_ordr, pn.panl_name, _x000d__x000a_pp.panl_held, pp.summ_rlse, pp.rank, pp.rcom_seq, pp.rcom_abbr, pp.rcom_txt,_x000d__x000a_CASE WHEN pp.rank IS NOT NULL THEN 'rk '+convert(varchar,pp.rank)+' of ' ELSE '' END + pn.panlSumm AS rankInPanl, _x000d__x000a_CASE WHEN PROP_COVR.HUM_DATE is not NULL THEN convert(varchar(10),PROP_COVR.HUM_DATE,1) WHEN PROP_COVR.humn_date_pend_flag='Y' THEN 'Pend' END AS humn_date,_x000d__x000a_CASE WHEN PROP_COVR.VERT_DATE is not NULL THEN convert(varchar(10),PROP_COVR.VERT_DATE,1) WHEN PROP_COVR.vrtb_date_pend_flag='Y' THEN 'Pend' END AS vrtb_date,_x000d__x000a_revs.reviews, revs.avg_score, revs.last_rev_date,_x000d__x000a_(SELECT MAX(CASE b.seq WHEN 1 THEN b.ctry_name ELSE '' END)+_x000d__x000a_    MAX(CASE b.seq WHEN 2 THEN '; '+b.ctry_name ELSE '' END)+_x000d__x000a_    MAX(CASE b.seq WHEN 3 THEN '; '+b.ctry_name ELSE '' END)+_x000d__x000a_    MAX(CASE b.seq WHEN 4 THEN '; '+b.ctry_name ELSE '' END)+_x000d__x000a_    MAX(CASE b.seq WHEN 5 THEN '; '+b.ctry_name ELSE '' END)+_x000d__x000a_    MAX(CASE b.seq WHEN 6 THEN '; '+b.ctry_name ELSE '' END)+_x000d__x000a_    MAX(CASE b.seq WHEN 7 THEN '; '+b.ctry_name ELSE '' END)+_x000d__x000a_    MAX(CASE b.seq WHEN 8 THEN '; '+b.ctry_name ELSE '' END) _x000d__x000a_    FROM (SELECT prop_spcl_item_vw.TEMP_PROP_ID, prop_spcl_item_vw.SPCL_ITEM_CODE, ctry.ctry_name, _x000d__x000a_            (SELECT COUNT(*) FROM csd.prop_spcl_item_vw sp2_x000d__x000a_             JOIN csd.ctry ctry2 ON sp2.SPCL_ITEM_CODE = ctry2.ctry_code AND ctry.ctry_code &gt;= ctry2.ctry_code_x000d__x000a_             WHERE sp2.TEMP_PROP_ID = prop_spcl_item_vw.TEMP_PROP_ID) as seq_x000d__x000a_          FROM csd.prop_spcl_item_vw prop_spcl_item_vw_x000d__x000a_          JOIN csd.ctry ctry ON prop_spcl_item_vw.SPCL_ITEM_CODE = ctry.ctry_code ) b _x000d__x000a_     WHERE b.TEMP_PROP_ID = prop_subm_ctl_vw.TEMP_PROP_ID_x000d__x000a_     GROUP BY b.TEMP_PROP_ID) AS country _x000d__x000a_FROM #myProps prop_x000d__x000a_JOIN csd.prop_subm_ctl_vw prop_subm_ctl_vw ON prop.prop_id = prop_subm_ctl_vw.PROP_ID_x000d__x000a_JOIN FLflpdb.flp.PROP_COVR PROP_COVR ON prop_subm_ctl_vw.TEMP_PROP_ID = PROP_COVR.TEMP_PROP_ID_x000d__x000a_LEFT OUTER JOIN #myPanlProp pp ON prop.lead = pp.lead_x000d__x000a_LEFT OUTER JOIN #myPanls pn ON pp.panl_id = pn.panl_id _x000d__x000a_LEFT OUTER JOIN (SELECT r.lead, AVG(r.score) AS avg_score, MAX(r.rev_rtrn_date) AS last_rev_date,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 AS reviews_x000d__x000a_    FROM #myRevs r _x000d__x000a_    GROUP BY r.lead) revs ON prop.lead = revs.lead_x000d__x000a_ORDER BY pn.panl_bgn_date, pn.panl_id, pp.disc_ordr, prop.lead, prop.ILN_x000d__x000a_DROP TABLE #myProps DROP TABLE #myPanls DROP TABLE #revScores DROP TABLE #myRevs_x000d__x000a_"/>
  </connection>
  <connection id="12" name="Reviewers Query" type="1" refreshedVersion="5" background="1"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_x000d__x000a_JOIN csd.prop_stts prop_stts ON prop.prop_stts_code = prop_stts.prop_stts_code_x000a_JOIN csd.natr_rqst natr_rqst ON prop.natr_rqst_code = natr_rqst.natr_rqst_code_x000a_JOIN csd.org org ON prop.org_code = org.org_code_x000a_WHERE prop.dd_rcom_date &gt;= {ts '2015-10-01 00:00:00'} _x000d__x000a_AND prop.dd_rcom_date &lt;= {ts '2016-12-09 00:00:00'} _x000d__x000a_ AND prop.pgm_ele_code IN ('5373','1591')_x000a_ AND prop_stts.prop_stts_abbr = 'AWD'_x000a_ AND natr_rqst.natr_rqst_abbr = 'NEW'_x000a_ AND org.dir_div_abbr = 'IIP'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SELECT   r.revr_id, COUNT(r.prop_id) as nProps, MAX(r.rev_rtrn_date) as latest, revr.revr_last_name, revr.revr_frst_name, revr.gend_code,_x000d__x000a_revr.inst_id, inst.inst_shrt_name, inst.st_code, revr.revr_dept_name, f.fos_txt as field, _x000d__x000a_'' as 'min_score', '' as 'avg_score', '' as 'max_score', '' as 'std_score',_x000d__x000a_'' AS 'avg_len', '' AS 'std_len', '' AS 'avg_days_early', ''  AS 'std_days_early',_x000d__x000a_ra.revr_addr_txt as 'revr_email', revr.pi_id, pi.pi_emai_addr_x000d__x000a_FROM (SELECT rp.revr_id, rp.prop_id, rp.rev_rtrn_date _x000d__x000a_    FROM (SELECT DISTINCT lead FROM #myProps) p_x000d__x000a_    JOIN csd.rev_prop rp ON rp.prop_id = p.lead_x000d__x000a_    WHERE rp.rev_rtrn_date is not NULL and rp.rev_type_code &lt;&gt; 'C') r_x000d__x000a_JOIN csd.revr revr ON revr.revr_id = r.revr_id_x000d__x000a_LEFT OUTER JOIN csd.fos f on f.prmy_fos_code = revr.prmy_fos_code_x000d__x000a_LEFT OUTER JOIN csd.revr_opt_addr_line ra ON ra.revr_id = r.revr_id AND ra.addr_lne_type_code='E'_x000d__x000a_LEFT OUTER JOIN csd.inst inst ON revr.inst_id = inst.inst_id _x000d__x000a_LEFT OUTER JOIN csd.pi_vw pi ON revr.pi_id = pi.pi_id_x000d__x000a_GROUP BY r.revr_id, revr.revr_last_name, revr.revr_frst_name, revr.gend_code, f.fos_txt, revr.inst_id, inst.inst_shrt_name, inst.st_code, revr.revr_dept_name, ra.revr_addr_txt, revr.pi_id, pi.pi_emai_addr_x000d__x000a_ORDER BY nProps DESC, revr.revr_last_name, revr.revr_frst_name_x000d__x000a_DROP TABLE #myProps DROP TABLE #revScores"/>
  </connection>
  <connection id="13" name="SubAwardees" type="1" refreshedVersion="5" background="1"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_x000d__x000a_JOIN csd.natr_rqst natr_rqst ON prop.natr_rqst_code = natr_rqst.natr_rqst_code_x000a_WHERE prop.nsf_rcvd_date &gt;= {ts '2016-11-15 00:00:00'} _x000d__x000a_ AND prop.pgm_ele_code = '1271'_x000a_ AND prop.obj_clas_code &lt;&gt; '4160'_x000a_ AND natr_rqst.natr_rqst_abbr IN ('NEW','RNEW','abr')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SELECT p.prop_id, psc.temp_prop_id _x000d__x000a_INTO #hasSubAwd_x000d__x000a_FROM #myProps p _x000d__x000a_JOIN csd.prop_subm_ctl_vw psc ON p.prop_id = psc.prop_id _x000d__x000a_WHERE EXISTS (SELECT * FROM csd.budg_vw b WHERE psc.TEMP_PROP_ID = b.TEMP_PROP_ID AND b.sub_ctr_req_dol&gt;0)  _x000d__x000a_SELECT prop_id, perf_inst_id, revn_num, round(sum(subAwd),0) AS subAwd, round(sum(bud_tot),0) AS bud_tot  _x000d__x000a_INTO #myBudg_x000d__x000a_FROM ( _x000d__x000a_  SELECT p.prop_id, b.perf_inst_id, b.revn_num, isnull(b.sub_ctr_req_dol,0) as subAwd, _x000d__x000a_    isnull(OTHR_SR_REQ_DOL,0)+isnull(PDOC_REQ_DOL,0)+isnull(OTH_PROF_REQ_DOL,0)+isnull(GRAD_REQ_DOL,0)+isnull(UN_GRAD_REQ_DOL,0)+ _x000d__x000a_    isnull(SEC_REQ_DOL,0)+isnull(OTH_PERS_REQ_DOL,0)+isnull(FRIN_BNFT_REQ_DOL,0)+isnull(DOM_TRAV_REQ_DOL,0)+isnull(FRGN_TRAV_REQ_DOL,0)+ _x000d__x000a_    isnull(PART_SUPT_STPD_DOL,0)+isnull(PART_SUPT_TRAV_DOL,0)+isnull(PART_SUPT_SUBS_DOL,0)+isnull(PART_SUPT_OTH_DOL,0)+isnull(MATL_REQ_DOL,0)+ _x000d__x000a_    isnull(PUB_REQ_DOL,0)+isnull(CNSL_REQ_DOL,0)+isnull(CPTR_SERV_REQ_DOL,0)+isnull(SUB_CTR_REQ_DOL,0)+isnull(OTH_DRCT_CST_REQ_DOL,0)+isnull(RSID_REQ_DOL,0) AS bud_tot _x000d__x000a_   FROM #hasSubAwd p _x000d__x000a_   JOIN csd.budg_vw b ON p.TEMP_PROP_ID = b.TEMP_PROP_ID _x000d__x000a_  UNION ALL SELECT p.prop_id, sr.perf_inst_id, sr.revn_num, 0, sr_req_dol _x000d__x000a_   FROM #hasSubAwd p_x000d__x000a_   JOIN csd.sr_pers_resc_vw sr ON p.TEMP_PROP_ID = sr.TEMP_PROP_ID _x000d__x000a_  UNION ALL SELECT p.prop_id, e.perf_inst_id, e.revn_num, 0, isnull(e.equp_cst_dol_req,0)_x000d__x000a_   FROM #hasSubAwd p _x000d__x000a_   JOIN csd.equp_cst_vw e ON p.TEMP_PROP_ID = e.TEMP_PROP_ID _x000d__x000a_  UNION ALL SELECT p.prop_id, i.perf_inst_id, i.revn_num, 0, round(isnull(i.IDIR_CST_RATE*i.idir_cst_dol_req/100,0),0)_x000d__x000a_   FROM #hasSubAwd p_x000d__x000a_   JOIN csd.idir_cst_vw i ON p.TEMP_PROP_ID = i.TEMP_PROP_ID) b_x000d__x000a_GROUP BY prop_id, perf_inst_id, revn_num  _x000d__x000a_ORDER BY prop_id, subAwd DESC, bud_tot DESC _x000d__x000a_CREATE INDEX myBudg_ix ON #myBudg(prop_id) _x000d__x000a_SELECT  nsf_rcvd_date, dd_rcom_date, Dir, prop.org_code, Pgm, PO, prop.natr_rqst_abbr AS natr_rqst, prop.prop_stts_abbr AS prop_stts,_x000d__x000a_prop.ILN, prop.lead, Div, prop.prop_id, prop.pi_last_name, prop.inst_name,_x000d__x000a_ x.inst_shrt_name AS perf_inst, x.revn_num, x.bud_tot AS budg_total, x.budg_diff, x.subAwd, sub_diff as subAwd_diff,  _x000d__x000a_prop.prop_titl_txt_x000d__x000a_FROM #myProps prop_x000d__x000a_JOIN (SELECT prop_id, inst.inst_shrt_name, revn_num,  _x000d__x000a_    bud_tot,  NULLIF(bud_tot - (SELECT SUM(b.budg_tot_dol) FROM csd.eps_blip b WHERE b.prop_id = p.prop_id AND b.revn_num = 0),0) AS budg_diff,  _x000d__x000a_    subAwd, NULLIF(subAwd - (SELECT ISNULL(SUM(bud_tot),0) FROM #myBudg s WHERE subAwd = 0 AND s.prop_id = p.prop_id AND s.revn_num = p.revn_num),0) AS sub_diff  _x000d__x000a_    FROM #myBudg p _x000d__x000a_JOIN csd.inst inst ON p.perf_inst_id = inst.inst_id _x000d__x000a_WHERE subAwd &gt; 0) x  ON prop.prop_id = x.prop_id_x000d__x000a_ORDER BY prop.lead, prop.ILN, prop.prop_id_x000d__x000a_DROP TABLE #myProps DROP TABLE #hasSubAwd DROP TABLE #myBudg_x000d__x000a_"/>
    <parameters count="15">
      <parameter name="Parameter1"/>
      <parameter name="Parameter2"/>
      <parameter name="Parameter3"/>
      <parameter name="Parameter4"/>
      <parameter name="Parameter5"/>
      <parameter name="Parameter6"/>
      <parameter name="Parameter7"/>
      <parameter name="Parameter8"/>
      <parameter name="Parameter9"/>
      <parameter name="Parameter10"/>
      <parameter name="Parameter11"/>
      <parameter name="Parameter12"/>
      <parameter name="Parameter13"/>
      <parameter name="Parameter14"/>
      <parameter name="Parameter15"/>
    </parameters>
  </connection>
  <connection id="14" name="SuggReviewers" type="1" refreshedVersion="5" background="1"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_x000d__x000a_ WHERE prop.pgm_annc_id = 'nsf 16-578'_x000a_ AND prop.pgm_ele_code = '7796'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SELECT prop.nsf_rcvd_date, Dir, org_code, Pgm, PO, prop.natr_rqst_abbr as natr_rqst, prop.prop_stts_abbr as prop_stts,_x000d__x000a_prop.ILN, prop.lead, Div, prop.prop_id, prop.pi_last_name, prop.pi_frst_name, prop.inst_name,_x000d__x000a_srevr.revr_want as Suggested_Reviewers, srevr.revr_dont_want as Unwanted_Reviewers, _x000d__x000a_prop.prop_titl_txt, len(srevr.revr_want)+len(srevr.revr_dont_want) as len_tot_x000d__x000a_FROM #myProps prop _x000d__x000a_JOIN csd.prop_subm_ctl_vw ctl ON prop.PROP_ID=ctl.PROP_ID _x000d__x000a_JOIN csd.sugg_revr_vw srevr ON ctl.TEMP_PROP_ID=srevr.TEMP_PROP_ID _x000d__x000a_ORDER BY prop.lead, prop.ILN, prop.prop_id_x000d__x000a_DROP TABLE #myProps"/>
    <parameters count="15">
      <parameter name="Parameter1"/>
      <parameter name="Parameter2"/>
      <parameter name="Parameter3"/>
      <parameter name="Parameter4"/>
      <parameter name="Parameter5"/>
      <parameter name="Parameter6"/>
      <parameter name="Parameter7"/>
      <parameter name="Parameter8"/>
      <parameter name="Parameter9"/>
      <parameter name="Parameter10"/>
      <parameter name="Parameter11"/>
      <parameter name="Parameter12"/>
      <parameter name="Parameter13"/>
      <parameter name="Parameter14"/>
      <parameter name="Parameter15"/>
    </parameters>
  </connection>
  <connection id="15" name="SuggReviewers1" type="1" refreshedVersion="5" background="1"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 WHERE prop.prop_id IN ('1612999')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SELECT Div, prop_id, ILN, pi_last_name, inst_name FROM #myProps prop WHERE ILN &lt; 'M' AND prop_stts_abbr NOT IN ('WTH','RTNR') ORDER BY lead, ILN, prop_id_x000d__x000a_DROP TABLE #myProps"/>
    <parameters count="15">
      <parameter name="Parameter1"/>
      <parameter name="Parameter2"/>
      <parameter name="Parameter3"/>
      <parameter name="Parameter4"/>
      <parameter name="Parameter5"/>
      <parameter name="Parameter6"/>
      <parameter name="Parameter7"/>
      <parameter name="Parameter8"/>
      <parameter name="Parameter9"/>
      <parameter name="Parameter10"/>
      <parameter name="Parameter11"/>
      <parameter name="Parameter12"/>
      <parameter name="Parameter13"/>
      <parameter name="Parameter14"/>
      <parameter name="Parameter15"/>
    </parameters>
  </connection>
  <connection id="16" name="Transfers" type="1" refreshedVersion="5" background="1" saveData="1">
    <dbPr connection="dsn=RPTSERVER;database=rptdb;server=RPTSQL.nsf.gov;port=5000;UID=ccfuser;" command="SET NOCOUNT ON_x000d__x000a_SELECT CASE WHEN prop.lead_prop_id IS NULL THEN 'I' WHEN prop.lead_prop_id &lt;&gt; prop.prop_id THEN 'N' ELSE 'L' END AS ILN,_x000d__x000a_isnull(prop.lead_prop_id,prop.prop_id) AS lead, prop.prop_id_x000d__x000a_INTO #myPids FROM csd.prop prop_x000d__x000a_ WHERE prop.pgm_annc_id = 'nsf 16-578'_x000a_ AND prop.pgm_ele_code = '7796'_x000a_INSERT INTO #myPids SELECT CASE WHEN prop.lead_prop_id &lt;&gt; prop.prop_id THEN 'N' ELSE 'L' END as ILN, p.lead, prop.prop_id_x000d__x000a_FROM #myPids p, csd.prop prop WHERE p.ILN &lt;&gt; 'I' AND p.lead = prop.lead_prop_id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_x000d__x000a_create index myProps_ix ON #myProps(prop_id)_x000d__x000a_select p.Pgm, p.natr_rqst_abbr, p.prop_stts_abbr, p.ILN, p.lead,p.Div, p.prop_id, a.awd_id_x000d__x000a_into #myPropsAwds_x000d__x000a_from #myProps p  _x000d__x000a_JOIN csd.amd a ON p.prop_id = a.prop_id _x000d__x000a_UNION select p.Pgm, p.natr_rqst_abbr, p.prop_stts_abbr, p.ILN, p.lead, p.Div, p.prop_id, c.PREV_AWD_ID _x000d__x000a_from #myProps p _x000d__x000a_join csd.prop_subm_ctl_vw ctl on p.prop_id = ctl.prop_id _x000d__x000a_join csd.prop_covr_vw c on c.TEMP_PROP_ID = ctl.TEMP_PROP_ID _x000d__x000a_WHERE c.PREV_AWD_ID &lt;&gt; '' AND p.natr_rqst_abbr not in ('NEW','RNEW','ABR') _x000d__x000a_SELECT distinct a.Pgm, a.natr_rqst_abbr, a.prop_stts_abbr, a.ILN, a.lead, a.Div, a.prop_id, a.awd_id, min(l.last_prop_id) as last_prop_id, pi.pi_last_name, inst.inst_shrt_name, 'awd ' as xfer_type, _x000d__x000a_    CASE WHEN l.org_code &lt;&gt; prop.org_code THEN prop.org_code END as fromORG, _x000d__x000a_    CASE WHEN l.pgm_ele_code &lt;&gt; prop.pgm_ele_code THEN prop.pgm_ele_code END as fromPEC,_x000d__x000a_    CASE WHEN l.pm_ibm_logn_id &lt;&gt; prop.pm_ibm_logn_id THEN prop.pm_ibm_logn_id END as fromPA_PO,  _x000d__x000a_    l.org_code as toORG, l.pgm_ele_code as toPEC, l.pm_ibm_logn_id as toPA_PO, min(l.awd_chg_date) as crtd_date, convert(varchar(255),null) as note_x000d__x000a_INTO #myXfers_x000d__x000a_FROM #myPropsAwds a _x000d__x000a_JOIN csd.awd_chg_log l ON l.awd_id = a.awd_id_x000d__x000a_JOIN csd.prop prop ON prop.prop_id = l.last_prop_id_x000d__x000a_JOIN csd.pi_vw pi ON prop.pi_id = pi.pi_id_x000d__x000a_JOIN csd.inst inst ON prop.inst_id = inst.inst_id_x000d__x000a_WHERE a.awd_id &lt;&gt; '' _x000d__x000a_Group by a.Pgm, a.prop_stts_abbr, a.natr_rqst_abbr, a.lead, a.ILN, a.Div, a.prop_id, a.awd_id, pi.pi_last_name, inst.inst_shrt_name, l.pm_ibm_logn_id, l.org_code, l.pgm_ele_code, prop.pm_ibm_logn_id, prop.org_code, prop.pgm_ele_code_x000d__x000a_insert into #myXfers SELECT x.*, 'prop' as xfer_type, _x000d__x000a_    CASE WHEN to_org_code &lt;&gt; from_org_code THEN from_org_code END as fromORG, _x000d__x000a_    CASE WHEN to_pgm_ele_code &lt;&gt; from_pgm_ele_code THEN from_pgm_ele_code END as fromPEC,_x000d__x000a_    CASE WHEN to_lan_id &lt;&gt; from_lan_id THEN from_lan_id END as fromPA_PO, _x000d__x000a_    to_org_code as toORG, to_pgm_ele_code as toPEC, to_lan_id as toPA_PO, h.crtd_date, isnull(h.note,'') as note _x000d__x000a_FROM ( SELECT a.Pgm, a.natr_rqst_abbr, a.prop_stts_abbr,  a.ILN,a.lead, a.Div, a.prop_id, a.awd_id, a.last_prop_id, a.pi_last_name, a.inst_shrt_name_x000d__x000a_       FROM #myXfers a _x000d__x000a_       WHERE a.prop_id &lt;&gt; a.last_prop_id _x000d__x000a_ UNION SELECT p.Pgm, p.natr_rqst_abbr, p.prop_stts_abbr,  p.ILN, p.lead, p.Div, p.prop_id, a.awd_id, p.prop_id, p.pi_last_name, p.inst_name _x000d__x000a_       FROM #myProps p _x000d__x000a_       LEFT OUTER JOIN #myPropsAwds a ON p.prop_id = a.prop_id ) x_x000d__x000a_JOIN FLflpdb.flp.prop_ownr_hist h ON h.prop_id = x.last_prop_id _x000d__x000a_WHERE h.ownr_stts_code = 9 _x000d__x000a_select  * from #myXfers order by lead, ILN, prop_id, awd_id, crtd_date_x000d__x000a_DROP TABLE #myProps DROP TABLE #myPropsAwds DROP TABLE #myXfers_x000d__x000a_"/>
    <parameters count="15">
      <parameter name="Parameter1"/>
      <parameter name="Parameter2"/>
      <parameter name="Parameter3"/>
      <parameter name="Parameter4"/>
      <parameter name="Parameter5"/>
      <parameter name="Parameter6"/>
      <parameter name="Parameter7"/>
      <parameter name="Parameter8"/>
      <parameter name="Parameter9"/>
      <parameter name="Parameter10"/>
      <parameter name="Parameter11"/>
      <parameter name="Parameter12"/>
      <parameter name="Parameter13"/>
      <parameter name="Parameter14"/>
      <parameter name="Parameter15"/>
    </parameters>
  </connection>
</connections>
</file>

<file path=xl/sharedStrings.xml><?xml version="1.0" encoding="utf-8"?>
<sst xmlns="http://schemas.openxmlformats.org/spreadsheetml/2006/main" count="1470" uniqueCount="608">
  <si>
    <t>nsf_rcvd_date</t>
  </si>
  <si>
    <t>pgm_annc_id</t>
  </si>
  <si>
    <t>org_code</t>
  </si>
  <si>
    <t>pgm_ele_code</t>
  </si>
  <si>
    <t>panl_id</t>
  </si>
  <si>
    <t>prop_id</t>
  </si>
  <si>
    <t>prop_stts_abbr</t>
  </si>
  <si>
    <t>pi_last_name</t>
  </si>
  <si>
    <t>pi_frst_name</t>
  </si>
  <si>
    <t>inst_name</t>
  </si>
  <si>
    <t>prop_titl_txt</t>
  </si>
  <si>
    <t>rqst_dol</t>
  </si>
  <si>
    <t>rqst_eff_date</t>
  </si>
  <si>
    <t>rqst_mnth_cnt</t>
  </si>
  <si>
    <t>pi_emai_addr</t>
  </si>
  <si>
    <t>prop_stts_txt</t>
  </si>
  <si>
    <t>PROJ_SUMM_TXT</t>
  </si>
  <si>
    <t>eJ</t>
  </si>
  <si>
    <t>ILN</t>
  </si>
  <si>
    <t>lead</t>
  </si>
  <si>
    <t>0</t>
  </si>
  <si>
    <t>pi_gend_code</t>
  </si>
  <si>
    <t>pi_dept_name</t>
  </si>
  <si>
    <t>st_code</t>
  </si>
  <si>
    <t>epscor?</t>
  </si>
  <si>
    <t>Row Labels</t>
  </si>
  <si>
    <t>Grand Total</t>
  </si>
  <si>
    <t>pi_id</t>
  </si>
  <si>
    <t xml:space="preserve"> </t>
  </si>
  <si>
    <t>pm_logn_id</t>
  </si>
  <si>
    <t>natr_rqst_abbr</t>
  </si>
  <si>
    <t>cntx_stmt_id</t>
  </si>
  <si>
    <t>dd_rcom_date</t>
  </si>
  <si>
    <t>Rptserver user:</t>
  </si>
  <si>
    <t>Password:</t>
  </si>
  <si>
    <t>MO</t>
  </si>
  <si>
    <t>HI</t>
  </si>
  <si>
    <t>Epscor</t>
  </si>
  <si>
    <t>AL</t>
  </si>
  <si>
    <t>AK</t>
  </si>
  <si>
    <t>AR</t>
  </si>
  <si>
    <t>DE</t>
  </si>
  <si>
    <t>GU</t>
  </si>
  <si>
    <t>ID</t>
  </si>
  <si>
    <t>KS</t>
  </si>
  <si>
    <t>KY</t>
  </si>
  <si>
    <t>LA</t>
  </si>
  <si>
    <t>ME</t>
  </si>
  <si>
    <t>MS</t>
  </si>
  <si>
    <t>MT</t>
  </si>
  <si>
    <t>NE</t>
  </si>
  <si>
    <t>NV</t>
  </si>
  <si>
    <t>NH</t>
  </si>
  <si>
    <t>NM</t>
  </si>
  <si>
    <t>ND</t>
  </si>
  <si>
    <t>OK</t>
  </si>
  <si>
    <t>PR</t>
  </si>
  <si>
    <t>RI</t>
  </si>
  <si>
    <t>SC</t>
  </si>
  <si>
    <t>SD</t>
  </si>
  <si>
    <t>VI</t>
  </si>
  <si>
    <t>VT</t>
  </si>
  <si>
    <t>WV</t>
  </si>
  <si>
    <t>WY</t>
  </si>
  <si>
    <t>nProp</t>
  </si>
  <si>
    <t>origORG</t>
  </si>
  <si>
    <t>origPEC</t>
  </si>
  <si>
    <t>SPCL_CHAR_PDF</t>
  </si>
  <si>
    <t>INTUL_MERT</t>
  </si>
  <si>
    <t>BRODR_IMPT</t>
  </si>
  <si>
    <t>Sum of nProp</t>
  </si>
  <si>
    <t>Column1</t>
  </si>
  <si>
    <t>Solicitation</t>
  </si>
  <si>
    <t>Dir</t>
  </si>
  <si>
    <t>Div</t>
  </si>
  <si>
    <t>Pgm</t>
  </si>
  <si>
    <t>PO</t>
  </si>
  <si>
    <t>revr_id</t>
  </si>
  <si>
    <t>revr_last_name</t>
  </si>
  <si>
    <t>revr_frst_name</t>
  </si>
  <si>
    <t>gend_code</t>
  </si>
  <si>
    <t>revr_dept_name</t>
  </si>
  <si>
    <t>inst_shrt_name</t>
  </si>
  <si>
    <t>nProps</t>
  </si>
  <si>
    <t>latest</t>
  </si>
  <si>
    <t>inst_id</t>
  </si>
  <si>
    <t>reviewer</t>
  </si>
  <si>
    <t># reviewed</t>
  </si>
  <si>
    <t>highlights when pi addresses differs from revr.</t>
  </si>
  <si>
    <t>blank inst_ids should be fixed in database</t>
  </si>
  <si>
    <t>origORG or origPEC is non-blank for xfers</t>
  </si>
  <si>
    <t>submit or ddconcur date</t>
  </si>
  <si>
    <t>proposal details</t>
  </si>
  <si>
    <t>Long names useful for labeling pivot tables</t>
  </si>
  <si>
    <t>ctry_code</t>
  </si>
  <si>
    <t>duns_id</t>
  </si>
  <si>
    <t>awd_perf_inst_code</t>
  </si>
  <si>
    <t>perf_org_code</t>
  </si>
  <si>
    <t>perf_org_type</t>
  </si>
  <si>
    <t>panl_name</t>
  </si>
  <si>
    <t>numProps</t>
  </si>
  <si>
    <t>panl_bgn_date</t>
  </si>
  <si>
    <t>fund_org_code</t>
  </si>
  <si>
    <t>fund_pgm_ele_code</t>
  </si>
  <si>
    <t>panl_loc</t>
  </si>
  <si>
    <t>panlSumm</t>
  </si>
  <si>
    <t>Total</t>
  </si>
  <si>
    <t>PD-3PO</t>
  </si>
  <si>
    <t>natr_rqst</t>
  </si>
  <si>
    <t>prop_stts</t>
  </si>
  <si>
    <t>Suggested_Reviewers</t>
  </si>
  <si>
    <t>Unwanted_Reviewers</t>
  </si>
  <si>
    <t>revn_num</t>
  </si>
  <si>
    <t>budg_total</t>
  </si>
  <si>
    <t>budg_diff</t>
  </si>
  <si>
    <t>subAwd</t>
  </si>
  <si>
    <t>subAwd_diff</t>
  </si>
  <si>
    <t>perf_inst</t>
  </si>
  <si>
    <t>awd_id</t>
  </si>
  <si>
    <t>xfer_type</t>
  </si>
  <si>
    <t>last_prop_id</t>
  </si>
  <si>
    <t>fromORG</t>
  </si>
  <si>
    <t>fromPEC</t>
  </si>
  <si>
    <t>fromPA_PO</t>
  </si>
  <si>
    <t>crtd_date</t>
  </si>
  <si>
    <t>toORG</t>
  </si>
  <si>
    <t>toPEC</t>
  </si>
  <si>
    <t>toPA_PO</t>
  </si>
  <si>
    <t>note</t>
  </si>
  <si>
    <t>Reviewers on panels with ids listed here:</t>
  </si>
  <si>
    <t>Solicitation and transfer information</t>
  </si>
  <si>
    <t>Proposal information</t>
  </si>
  <si>
    <t>Request information</t>
  </si>
  <si>
    <t>discuss order</t>
  </si>
  <si>
    <t>rank</t>
  </si>
  <si>
    <t>9E 7V 5G 3F 1P</t>
  </si>
  <si>
    <t>Human/Vertebrate</t>
  </si>
  <si>
    <t>International (from cover)</t>
  </si>
  <si>
    <t>disc_ordr</t>
  </si>
  <si>
    <t>panl_held</t>
  </si>
  <si>
    <t>summ_rlse</t>
  </si>
  <si>
    <t>rcom_seq</t>
  </si>
  <si>
    <t>rcom_abbr</t>
  </si>
  <si>
    <t>reviews</t>
  </si>
  <si>
    <t>avg_score</t>
  </si>
  <si>
    <t>rankInPanl</t>
  </si>
  <si>
    <t>last_rev_date</t>
  </si>
  <si>
    <t>humn_date</t>
  </si>
  <si>
    <t>vrtb_date</t>
  </si>
  <si>
    <t>country</t>
  </si>
  <si>
    <t>PRCs</t>
  </si>
  <si>
    <t>Put your RPTserver user id here.  You can also list the password, which will be masked, but can be recovered by a determined programmer.</t>
  </si>
  <si>
    <t>H</t>
  </si>
  <si>
    <t>Passwords are reset every 3 months; if this Microsoft message to Select Data Source appears, Cancel and update the password.</t>
  </si>
  <si>
    <t>Current epscor state codes</t>
  </si>
  <si>
    <t>Favorite parameters and tabs</t>
  </si>
  <si>
    <t>The favorites menu on Input places parameters here; you can make edits on this page if you like.</t>
  </si>
  <si>
    <t>fixed parameters for reset</t>
  </si>
  <si>
    <t>Menu</t>
  </si>
  <si>
    <t>favorites saved here</t>
  </si>
  <si>
    <t xml:space="preserve">NSF RECEIVED DATE RANGE </t>
  </si>
  <si>
    <t>eg: 6/1/2016</t>
  </si>
  <si>
    <t>RESET PARAMETERS / KEEP TABS</t>
  </si>
  <si>
    <t>reserved</t>
  </si>
  <si>
    <t>eg: 10/1/2015</t>
  </si>
  <si>
    <t>DD CONCUR DATE RANGE</t>
  </si>
  <si>
    <t>PREVIOUS PARAMETERS &amp; TABS</t>
  </si>
  <si>
    <t>PROGRAM DESC/ANN/SOLIC ID</t>
  </si>
  <si>
    <t>eg: NSF 15-555</t>
  </si>
  <si>
    <t>NSF 15-555</t>
  </si>
  <si>
    <t>ADD CURRENT TO FAVORITES</t>
  </si>
  <si>
    <t>ORGANIZATION CODE</t>
  </si>
  <si>
    <t>eg: 07%</t>
  </si>
  <si>
    <t>DELETE FROM FAVORITES</t>
  </si>
  <si>
    <t>DIVISION</t>
  </si>
  <si>
    <t>eg: CBET,CMMI,IIP</t>
  </si>
  <si>
    <t>PROGRAM ELEMENT CODE</t>
  </si>
  <si>
    <t>eg: 7796,7797</t>
  </si>
  <si>
    <t>PROGRAM DIRECTOR LOG ID</t>
  </si>
  <si>
    <t>PROPOSAL STATUS</t>
  </si>
  <si>
    <t xml:space="preserve">eg: ~WTH,RTNR or PEND,DECL,RCOM,AWD </t>
  </si>
  <si>
    <t>eg: p160849,p160850</t>
  </si>
  <si>
    <t>NATURE OF REQUEST</t>
  </si>
  <si>
    <t>eg: NEW,RNEW,SUPP</t>
  </si>
  <si>
    <t>eg: 123456789</t>
  </si>
  <si>
    <t>PANEL ID</t>
  </si>
  <si>
    <t>INSTITUTION ID</t>
  </si>
  <si>
    <t>eg: 0123456789</t>
  </si>
  <si>
    <t>INVESTIGATOR PI ID</t>
  </si>
  <si>
    <t>eg: %Medium%</t>
  </si>
  <si>
    <t>PROPOSAL TITLE TEXT</t>
  </si>
  <si>
    <t>eg: 9150</t>
  </si>
  <si>
    <t>PROPOSAL PRCS</t>
  </si>
  <si>
    <t>eg: 7796</t>
  </si>
  <si>
    <t>1652909</t>
  </si>
  <si>
    <t>num_retrieved</t>
  </si>
  <si>
    <t>Program Director Proposal Panel Portfolio Organizer</t>
  </si>
  <si>
    <t xml:space="preserve">VERSION   </t>
  </si>
  <si>
    <t xml:space="preserve">CONTACT    </t>
  </si>
  <si>
    <t>GRACE YUAN (ENG/OAD) &amp; JACK SNOEYINK (CISE/CCF)</t>
  </si>
  <si>
    <t>1A. SET QUERY PARAMETERS</t>
  </si>
  <si>
    <t>Name</t>
  </si>
  <si>
    <t>Values</t>
  </si>
  <si>
    <t>Ref?</t>
  </si>
  <si>
    <t>Limit</t>
  </si>
  <si>
    <t>#Rows</t>
  </si>
  <si>
    <t>Status</t>
  </si>
  <si>
    <t>Description</t>
  </si>
  <si>
    <t>Phase</t>
  </si>
  <si>
    <t>Order</t>
  </si>
  <si>
    <t>Panels</t>
  </si>
  <si>
    <t>Panelists</t>
  </si>
  <si>
    <t>Reviewers</t>
  </si>
  <si>
    <t>SuggRevrs</t>
  </si>
  <si>
    <t>Panel schedule and results</t>
  </si>
  <si>
    <t>Orphans</t>
  </si>
  <si>
    <t>Report 'Orphans': proposals not on panels</t>
  </si>
  <si>
    <t>NewInst</t>
  </si>
  <si>
    <t>SubAwards</t>
  </si>
  <si>
    <t>Transfers</t>
  </si>
  <si>
    <t>1B. LIST PROPOSAL IDS</t>
  </si>
  <si>
    <t>Projects to Include</t>
  </si>
  <si>
    <t>Proposals to Exclude</t>
  </si>
  <si>
    <t xml:space="preserve">LAST UPDATE DATE </t>
  </si>
  <si>
    <t xml:space="preserve">VERSION  </t>
  </si>
  <si>
    <t xml:space="preserve">CONTACT  </t>
  </si>
  <si>
    <t>Grace Yuan (ENG/OAD)</t>
  </si>
  <si>
    <t>Jack Snoeyink (CISE/CCF)</t>
  </si>
  <si>
    <t>A.</t>
  </si>
  <si>
    <t>Usage</t>
  </si>
  <si>
    <t>Proposal Transfer History</t>
  </si>
  <si>
    <t>Help</t>
  </si>
  <si>
    <t>Button</t>
  </si>
  <si>
    <t>Button Description</t>
  </si>
  <si>
    <t>Click to run the queries and refresh the tabs indicated.</t>
  </si>
  <si>
    <t xml:space="preserve">C. </t>
  </si>
  <si>
    <t>Top 10 Use Cases:</t>
  </si>
  <si>
    <t>Help Button</t>
  </si>
  <si>
    <t>Click to get to this page for help.</t>
  </si>
  <si>
    <t>Use Case 1.</t>
  </si>
  <si>
    <t>Click to clear tables on all tabs that can be refreshed.</t>
  </si>
  <si>
    <t xml:space="preserve">Use Case 2. </t>
  </si>
  <si>
    <t>Use Case 3.</t>
  </si>
  <si>
    <t xml:space="preserve">B. </t>
  </si>
  <si>
    <t xml:space="preserve">*  </t>
  </si>
  <si>
    <t>1A</t>
  </si>
  <si>
    <t>1B</t>
  </si>
  <si>
    <t>1A &amp; 1B</t>
  </si>
  <si>
    <t>Use Case 10.</t>
  </si>
  <si>
    <t xml:space="preserve">D. </t>
  </si>
  <si>
    <t>If you have any feedback or suggestions, please let us know.</t>
  </si>
  <si>
    <t>ORIGINAL ROUTING PECS</t>
  </si>
  <si>
    <t>nPI</t>
  </si>
  <si>
    <t>Organization</t>
  </si>
  <si>
    <t xml:space="preserve">Tab    </t>
  </si>
  <si>
    <t>PersInst</t>
  </si>
  <si>
    <t>Settings</t>
  </si>
  <si>
    <t>Workbook Settings</t>
  </si>
  <si>
    <t xml:space="preserve">RUN DATE </t>
  </si>
  <si>
    <t># ROWS RTND</t>
  </si>
  <si>
    <t xml:space="preserve"># ROWS SHOWN </t>
  </si>
  <si>
    <t>Dashboard for Projects</t>
  </si>
  <si>
    <t>Go Button</t>
  </si>
  <si>
    <t>Reset Button</t>
  </si>
  <si>
    <t>Count of prop_id</t>
  </si>
  <si>
    <t>Project Count</t>
  </si>
  <si>
    <t>Proposal Status</t>
  </si>
  <si>
    <t>Project Count by Proposal Status and Program</t>
  </si>
  <si>
    <t>Request Dollar Amount by Program</t>
  </si>
  <si>
    <t>Top 10 PIs</t>
  </si>
  <si>
    <t>information and link for the retrieving proposal</t>
  </si>
  <si>
    <t>information for changing proposal/award</t>
  </si>
  <si>
    <t>note from eJacket</t>
  </si>
  <si>
    <t>Proposals with suggested or unwanted reviewers</t>
  </si>
  <si>
    <t>Proposals with subawards in original budgets</t>
  </si>
  <si>
    <t>Projects</t>
  </si>
  <si>
    <t>DB_Projs</t>
  </si>
  <si>
    <t>DB_PersInst</t>
  </si>
  <si>
    <t>eg: 9/1/2016</t>
  </si>
  <si>
    <t>nPanl</t>
  </si>
  <si>
    <r>
      <rPr>
        <b/>
        <sz val="11"/>
        <color theme="4" tint="-0.499984740745262"/>
        <rFont val="Calibri"/>
        <family val="2"/>
        <scheme val="minor"/>
      </rPr>
      <t>from</t>
    </r>
    <r>
      <rPr>
        <sz val="11"/>
        <color theme="4" tint="-0.499984740745262"/>
        <rFont val="Calibri"/>
        <family val="2"/>
        <scheme val="minor"/>
      </rPr>
      <t xml:space="preserve"> shows only what changed</t>
    </r>
  </si>
  <si>
    <t>lower=prop/UPPER=awd</t>
  </si>
  <si>
    <t>Indiv(single), Lead, NonLd</t>
  </si>
  <si>
    <t>Tab</t>
  </si>
  <si>
    <t>HelpText</t>
  </si>
  <si>
    <t>pi_name</t>
  </si>
  <si>
    <t>panl_idmax</t>
  </si>
  <si>
    <t>p170288</t>
  </si>
  <si>
    <t>PARAMETER SETTINGS</t>
  </si>
  <si>
    <t>OBJECT CLASS CODE</t>
  </si>
  <si>
    <t>obj_clas_code</t>
  </si>
  <si>
    <t>eg: 4110,4118</t>
  </si>
  <si>
    <t>pers</t>
  </si>
  <si>
    <t>nsf_rcvd_date2</t>
  </si>
  <si>
    <t>obj_clas_name</t>
  </si>
  <si>
    <t>Column Labels</t>
  </si>
  <si>
    <t>Top 10 Institutions and PIs</t>
  </si>
  <si>
    <t>Top 20 Personnel by Proposal Count</t>
  </si>
  <si>
    <t>Top 10 Insts Per State by Proposal Count</t>
  </si>
  <si>
    <t>Top 30 Insts by Proposal Count</t>
  </si>
  <si>
    <t>eg: jsnoeyi, not 8-letter lan id</t>
  </si>
  <si>
    <t>BulkCOI</t>
  </si>
  <si>
    <t>email</t>
  </si>
  <si>
    <t>proposals to check</t>
  </si>
  <si>
    <t>whole name</t>
  </si>
  <si>
    <t>prospective reviewer names; either paste last &amp; first, or paste whole names; paste emails to check institutions.</t>
  </si>
  <si>
    <t>Title</t>
  </si>
  <si>
    <t>ProjSumm</t>
  </si>
  <si>
    <t>KEY WORDS</t>
  </si>
  <si>
    <t>SearchText:</t>
  </si>
  <si>
    <t>Search will be performed on both proposal title and project summary text. Results are shown in column "Title" and "ProjSumm" respectively.</t>
  </si>
  <si>
    <t>missing summaries can be pasted from project pdfs, but they will vanish if you refresh the tab, so set Ref? to N on Input Tab.</t>
  </si>
  <si>
    <t>request details (cumulative)</t>
  </si>
  <si>
    <t>Project codes: I=individual, L=collab Lead, N=collab Non-lead</t>
  </si>
  <si>
    <t>pers:   PI, coPI, SrPers, or subAwd</t>
  </si>
  <si>
    <t>institutions come from: proposal inst (PI), PI inst (coPI), perf inst (srPers &amp; subAwd).</t>
  </si>
  <si>
    <t>Database does not record pi_ids for srPers &amp; subAwd</t>
  </si>
  <si>
    <t>rcom_txt</t>
  </si>
  <si>
    <t>#props, #pis, #panels for project</t>
  </si>
  <si>
    <t>field</t>
  </si>
  <si>
    <t>min_score</t>
  </si>
  <si>
    <t>max_score</t>
  </si>
  <si>
    <t>std_score</t>
  </si>
  <si>
    <t>avg_len</t>
  </si>
  <si>
    <t>std_len</t>
  </si>
  <si>
    <t>avg_days_early</t>
  </si>
  <si>
    <t>std_days_early</t>
  </si>
  <si>
    <t>revr_email</t>
  </si>
  <si>
    <t>score key: 9E, 7V, 5G, 3F, 1P</t>
  </si>
  <si>
    <t>length(chars)</t>
  </si>
  <si>
    <r>
      <t>days early</t>
    </r>
    <r>
      <rPr>
        <sz val="11"/>
        <color rgb="FFFF0000"/>
        <rFont val="Calibri"/>
        <family val="2"/>
        <scheme val="minor"/>
      </rPr>
      <t xml:space="preserve"> (late)</t>
    </r>
  </si>
  <si>
    <t>Proj Summary Format</t>
  </si>
  <si>
    <t>FOUND</t>
  </si>
  <si>
    <t>rqst_dol_tot</t>
  </si>
  <si>
    <t>1621773</t>
  </si>
  <si>
    <t>1622136</t>
  </si>
  <si>
    <t>Min of rqst_dol_tot</t>
  </si>
  <si>
    <t>Average of rqst_dol_tot</t>
  </si>
  <si>
    <t>Max of rqst_dol_tot2</t>
  </si>
  <si>
    <t>1230192</t>
  </si>
  <si>
    <t>1230458</t>
  </si>
  <si>
    <t>1026885</t>
  </si>
  <si>
    <t>1045836</t>
  </si>
  <si>
    <t>1126916</t>
  </si>
  <si>
    <t>1127360</t>
  </si>
  <si>
    <t>1152551</t>
  </si>
  <si>
    <t>ccfuser</t>
  </si>
  <si>
    <t>1708642</t>
  </si>
  <si>
    <t>&lt;-0</t>
  </si>
  <si>
    <t>NEW</t>
  </si>
  <si>
    <t xml:space="preserve"> PI</t>
  </si>
  <si>
    <t>Favorites</t>
  </si>
  <si>
    <t>Email?</t>
  </si>
  <si>
    <t>sent_adhoc</t>
  </si>
  <si>
    <t>out_adhoc</t>
  </si>
  <si>
    <t>last_due</t>
  </si>
  <si>
    <t>ej</t>
  </si>
  <si>
    <t>ProjSumKey</t>
  </si>
  <si>
    <t>Project information, including total request.</t>
  </si>
  <si>
    <t>Proposals</t>
  </si>
  <si>
    <t>DB_Props</t>
  </si>
  <si>
    <t>Settings: Rptserver password and EPSCoR states</t>
  </si>
  <si>
    <t>rout_PECs</t>
  </si>
  <si>
    <t>EPSCoR should have 9150 PRC</t>
  </si>
  <si>
    <t>cover page info: routing, human/vert, international</t>
  </si>
  <si>
    <t>Cell</t>
  </si>
  <si>
    <t>Pop-up</t>
  </si>
  <si>
    <t>Contents</t>
  </si>
  <si>
    <t>Country</t>
  </si>
  <si>
    <t>nProps_all</t>
  </si>
  <si>
    <t>latest_all</t>
  </si>
  <si>
    <t>min_score_all</t>
  </si>
  <si>
    <t>avg_score_all</t>
  </si>
  <si>
    <t>max_score_all</t>
  </si>
  <si>
    <t>std_score_all</t>
  </si>
  <si>
    <t>avg_len_all</t>
  </si>
  <si>
    <t>std_len_all</t>
  </si>
  <si>
    <t>avg_days_early_all</t>
  </si>
  <si>
    <t>std_days_early_all</t>
  </si>
  <si>
    <t>Statistics on reviews completed on chosen panels</t>
  </si>
  <si>
    <t>revr_name</t>
  </si>
  <si>
    <t>Note: duplicate reviewer ids may cause duplicates here and under-reporting in statistics.</t>
  </si>
  <si>
    <t>$C$8</t>
  </si>
  <si>
    <t>The chosen proposals are the AND of all entered restrictions.</t>
  </si>
  <si>
    <t>$E$8</t>
  </si>
  <si>
    <t>Any parameter can be omitted; ANDs all given restrictions.
Non-date parameters can be:
1. a single value (SQL EQUALS)
2. a list of values separated by commas (SQL IN)
3. an expression with SQL wildcards: (SQL LIKE)
   % match all, _ match 1 character, [125] match char  from set.
4. Precede the above by ~ to negate. (NOT EQUALS/IN/LIKE)</t>
  </si>
  <si>
    <t>$H$8</t>
  </si>
  <si>
    <t>Y means construct an outlook email with this tab as an attachment when the email button below is pressed.  You will enter the recipient, subject and mail body in Outlook.</t>
  </si>
  <si>
    <t>$I$8</t>
  </si>
  <si>
    <t>Click Tab name to visit a non-hidden tab.
To visit a hidden tab, first change H to n or blank under 'Ref?'.</t>
  </si>
  <si>
    <t>$J$8</t>
  </si>
  <si>
    <t xml:space="preserve">Refresh?  Has 5 options:
 blank (default): refresh data on next GO 
 n/No: no refresh, and keep tab visible
 H/Hide: hide tab, but preserve data
 C: clear data and hide tab
 X: permanently delete tab (asks for confirmation)
Notes: ctrl-D  (fill down) helps to set or clear many values.
To clear all data, use the Reset button. 
Tabs may also be deleted by selecting them along the bottom of the workbook, right clicking to delete (confirming once), then deleting the corresponding rows in this table. </t>
  </si>
  <si>
    <t>$K$8</t>
  </si>
  <si>
    <t>Limits the number of rows retrieved to avoid asking for too much data. (E.g., limit DDReviews to a few hundred.)</t>
  </si>
  <si>
    <t>$L$8</t>
  </si>
  <si>
    <t>Number of rows last retrieved by query for each tab.</t>
  </si>
  <si>
    <t>$M$8</t>
  </si>
  <si>
    <t xml:space="preserve">Query status: 4 options
 - querying...
 - unsuccessful
 - completion time (if in last 24 hours) 
 - date (if completed &gt; 24 hours ago.) </t>
  </si>
  <si>
    <t>$C$9</t>
  </si>
  <si>
    <t xml:space="preserve">Enter date range proposals were received by NSF.  
Either specify a time, or remember that days begin at midnight and add a day to end dates. 
Use narrow date ranges for faster queries.
</t>
  </si>
  <si>
    <t>$C$10</t>
  </si>
  <si>
    <t xml:space="preserve">Enter date range proposals were DD Concurred.  
Either specify a time, or remember that days begin at midnight and add a day to end dates. 
Use narrow date ranges for faster queries.
</t>
  </si>
  <si>
    <t>$C$11</t>
  </si>
  <si>
    <t xml:space="preserve">Include the NSF or PD that is part of the id for solicitations or program descriptions. Google can help you find ids.
You can list ids separated by commas; Extra spaces will be removed.
</t>
  </si>
  <si>
    <t>$C$12</t>
  </si>
  <si>
    <t>8-digit org code, but you can use wildcards to restrict to directorate (05% for CISE) or divisions (050[125]0000 is CCF, IIS, &amp; CNS)</t>
  </si>
  <si>
    <t>$C$13</t>
  </si>
  <si>
    <t>Can restrict proposals by division abbreviation instead of numeric org code.</t>
  </si>
  <si>
    <t>$C$14</t>
  </si>
  <si>
    <t>4-digit program element code.</t>
  </si>
  <si>
    <t>$C$15</t>
  </si>
  <si>
    <t>7-letter ibm login id, not the 8-letter lan id.</t>
  </si>
  <si>
    <t>$C$16</t>
  </si>
  <si>
    <t>Here are all 20 possibilities, in case you are curious
 PEND: all types of pending
 DECL: decline concurred by DD
 AWD, RCOM, CLO: awarded, recommended, or closed
 WTH, RTNR: all types of withdrawn/return without review
 ENC,INVT,DSCR,NIVT: full prop encouraged/invited/discouraged/not invited
 CAN,DAWD,DEL,ERR,INAP,OCGI,PRTN,WPRE,ZER: uncommon on proposals</t>
  </si>
  <si>
    <t>$C$17</t>
  </si>
  <si>
    <t>There are 14 types possible here
 NEW,RNEW,ABR: new, renew, or accomplishment-based renewal
 SUPP,INCR,FRWD: supplement / increment / forward fund
 TRSF: PI transfer 
 EXT,GEXT,CREX: no cost, grantee, or creativity extension
 RDCT,CNCL: reduction, cancelation
 BOA,OTHR: basic ordering agrmt, other admin action</t>
  </si>
  <si>
    <t>$C$18</t>
  </si>
  <si>
    <t xml:space="preserve">4-digit object class.  Common possibilities
 4101 - Personnel Mobility
 4110 - Research Grants
 4118 - SBIR Grant
 4144 - Equipment Grant
 4160 - Conference
</t>
  </si>
  <si>
    <t>$C$19</t>
  </si>
  <si>
    <t>letter+6-digit id: Letter can be upper or lower case.
   p=panel, v=site visit, c=committee of visitors.
E.g., P% would retrieve panels only, no site visits</t>
  </si>
  <si>
    <t>$C$20</t>
  </si>
  <si>
    <t>10-digit institution id</t>
  </si>
  <si>
    <t>$C$21</t>
  </si>
  <si>
    <t xml:space="preserve">9-digit PI id.  
Note: you can copy a column of ids from, say, All Personnel, and use Paste CSV to paste a comma separated list. 
</t>
  </si>
  <si>
    <t>$C$22</t>
  </si>
  <si>
    <t>%Medium%  or %GOALI% can be used to restrict proposals to those that follow title conventions; ~%GOALI% to exclude.</t>
  </si>
  <si>
    <t>$C$23</t>
  </si>
  <si>
    <t>4-digit PRCs. The PRC table doesn't have an index, so this query slow; use a narrow date range</t>
  </si>
  <si>
    <t>$C$24</t>
  </si>
  <si>
    <t>Original routing PECs retrieves proposals by both primary and secondary PEC.  It is a slow query, but useful to find possible transfers.  Use a narrow date range, and optionally exclude the primary PEC above.</t>
  </si>
  <si>
    <t>$C$25</t>
  </si>
  <si>
    <t xml:space="preserve">This is a rudimentary way to bookmark and save favorite queries.  Remember to save if you want to preserve your bookmarks.
</t>
  </si>
  <si>
    <t>$C$28</t>
  </si>
  <si>
    <t xml:space="preserve">Listing any proposal id from a collaborative project will bring in all proposals from the project.  
E.g., add in ad hoc only projects to compare with those on panels...
Include/exclude lists must be less than about 1200 ids. </t>
  </si>
  <si>
    <t>$E$28</t>
  </si>
  <si>
    <t>Proposals to exclude, such as that travel grant that was awarded under the core solicitation, or the subaward you declined while awarding the lead.  
Unlike the Include list, to Excluding is by proposal; to exclude a collaboration, you must least each proposal in the collaboration.  (Only way to support the scenario of excluding a non-lead.)
Again, limit Include+Exclude to at most 1200 ids.</t>
  </si>
  <si>
    <t>$H$36</t>
  </si>
  <si>
    <t>Create an email with selected results attached.
[Not yet implemented]</t>
  </si>
  <si>
    <t>$J$37</t>
  </si>
  <si>
    <t>Run queries for refreshable tabs.  
No need to reset first.</t>
  </si>
  <si>
    <t>$M$37</t>
  </si>
  <si>
    <t xml:space="preserve">Clears data from all tabs, hidden or not.
</t>
  </si>
  <si>
    <t>Email Button</t>
  </si>
  <si>
    <t>Tips &amp; pop-up help from Input Tab:</t>
  </si>
  <si>
    <t>B. Tips &amp; pop-up help from Input Tab</t>
  </si>
  <si>
    <t>C. Top 10 use cases</t>
  </si>
  <si>
    <t>Dashboard for Proposals</t>
  </si>
  <si>
    <t>Non-International</t>
  </si>
  <si>
    <t>State Submission by Proposal Cnt</t>
  </si>
  <si>
    <t>Identifying all participants on a proposal for easy determination of COI's</t>
  </si>
  <si>
    <t>Use Case 4.</t>
  </si>
  <si>
    <t xml:space="preserve">Use Case 5. </t>
  </si>
  <si>
    <t>Use Case 6.</t>
  </si>
  <si>
    <t>Use Case 7.</t>
  </si>
  <si>
    <t xml:space="preserve">Use Case 8. </t>
  </si>
  <si>
    <t>Use Case 9.</t>
  </si>
  <si>
    <t>Quick check for unwanted reviewers and suggested reviewers by PI</t>
  </si>
  <si>
    <t>Find out average request dollar amount for a given program in past three years.</t>
  </si>
  <si>
    <t>11/08/16 5:16:37 am</t>
  </si>
  <si>
    <t>Panel information: held, summ rel'sed, rank, rec#,...</t>
  </si>
  <si>
    <t>Panels considering chosen projects</t>
  </si>
  <si>
    <t>Check for CoI with potential reviewers</t>
  </si>
  <si>
    <t>&lt;-30</t>
  </si>
  <si>
    <t>&lt;-70</t>
  </si>
  <si>
    <t>Include/Exclude</t>
  </si>
  <si>
    <t>Saves parameter and tab refresh settings</t>
  </si>
  <si>
    <t>ad hocs requested &amp; outstanding</t>
  </si>
  <si>
    <t>Projects detailed information</t>
  </si>
  <si>
    <t>Reports one line per project for summary in the Project Dashboard. Under the proposal id of the lead, counts all proposals, PIs, and panels, and totals the requested dollar amount.</t>
  </si>
  <si>
    <t>Personnel &amp; Insts from cover &amp; budget pages</t>
  </si>
  <si>
    <t>Personnel &amp; Institutions</t>
  </si>
  <si>
    <t>Dashboard: Personnel &amp; Institutions</t>
  </si>
  <si>
    <t>Pivot tables summarizing personnel and institutions, which draw their data from PersInst.</t>
  </si>
  <si>
    <t>Proposal Specific Information</t>
  </si>
  <si>
    <t>Lists all panels considering the chosen proposals, with the number of them on each panel. If the panel has met, summarizes the recommendations for all proposals (not just the chosen).</t>
  </si>
  <si>
    <t>Proposals on Panels</t>
  </si>
  <si>
    <t>Shows panels handling the chosen proposals. Can sort by dates &amp; discussion order to know when you want to attend, or by recommendation and score to see results. Note: All review scores are listed with each panel to make sure ad hocs are considered.</t>
  </si>
  <si>
    <t>Project summaries &amp; keywords</t>
  </si>
  <si>
    <t>Retrieves text project summaries for search. Reports keywords, if present. You can paste in summaries entered as pdf, then set Ref? to n for No Refresh.</t>
  </si>
  <si>
    <t>Orphan Check: proposals not paneled</t>
  </si>
  <si>
    <t>New Awardee Institutions</t>
  </si>
  <si>
    <t>Returns the pending and recommended proposals those for which the lead institution has not managed a funded award in the last 58 months.  New awardee institutions (none in last 60 months) have extra paperwork to be able to receive an award.</t>
  </si>
  <si>
    <t>Subaward Details</t>
  </si>
  <si>
    <t>Identifies proposals with non-zero subaward amounts in the original budgets, and checks that sub award amounts match. Has to recalculate indirect costs, so small discrepancies will be due to rounding. Large discrepancies are often missing budgets for subawards, or confusing consultants with subawards. Note: does not check budget revisions.</t>
  </si>
  <si>
    <t>Reports all proposal and award transfers for the listed proposals. Note: this is proposal-based; for award management see the award-based query.</t>
  </si>
  <si>
    <t>Suggested &amp; unwanted reviewers</t>
  </si>
  <si>
    <t>Reviewers who have done reviews</t>
  </si>
  <si>
    <t>Panelists on panels</t>
  </si>
  <si>
    <t>List panels, which you might get from the Panels tab, and click refresh to see all the panelists, and statistics on scores, length, and days early, both for the chosen panels and all panels since a selected date.  Slow, but useful; usually keep hidden.   Used mostly to find past panelists email addresses, so for those that have linked pi_ids, pulls those emails and flags differences.</t>
  </si>
  <si>
    <t>Bulk COI Checking</t>
  </si>
  <si>
    <t>Help Documentation</t>
  </si>
  <si>
    <t>Favorite Settings</t>
  </si>
  <si>
    <t>Holds favorite parameters and tab refresh setting; you may edit them directly if you are careful.</t>
  </si>
  <si>
    <t>You can enter your division's report server user and, optionally, password here, and update when the password changes. (See your office admin) Can also update current EPSCoR states</t>
  </si>
  <si>
    <t>A. Tab Descriptions</t>
  </si>
  <si>
    <t>Tab Descriptions :</t>
  </si>
  <si>
    <t>Contents :</t>
  </si>
  <si>
    <t>Find all transfers to my division in past whole year.</t>
  </si>
  <si>
    <t>Find all proposals for a specific solicitation that crosses many programs, such as CAREER.</t>
  </si>
  <si>
    <t>Find all panel schedules or review results for a cross-cutting program (such as INFEWS).</t>
  </si>
  <si>
    <t>Quick check for orphan proposals that did not get assigned to any panels.</t>
  </si>
  <si>
    <t xml:space="preserve">Find out all reviewers or all panelists who served in my program  in the past 5 years, and their review statistics. </t>
  </si>
  <si>
    <t>Find  all the projects and proposals received for a specific period for the chosen program and/or PD.</t>
  </si>
  <si>
    <t>Find proposals that listed your program element code as secondary, for which you may receive transfer requests.</t>
  </si>
  <si>
    <t>PD-3PO release 1.0 is focused on proposal processing, aiming to assist PDs with finding reviewers, identifying COIs etc.</t>
  </si>
  <si>
    <t>[slow]Pend&amp;Rcom from New Awardee Institutions</t>
  </si>
  <si>
    <t xml:space="preserve">Budg_tot - proposal budget.  </t>
  </si>
  <si>
    <t>prop budget subAward$ - total of subaward budgets</t>
  </si>
  <si>
    <t>[slow]All transfers for proposals</t>
  </si>
  <si>
    <t>Comparative statistics on all panel reviews completed by these panelists since date:</t>
  </si>
  <si>
    <t>(Omitted if panelist only did the chosen panels in the date range.)</t>
  </si>
  <si>
    <r>
      <rPr>
        <sz val="11"/>
        <color rgb="FF002060"/>
        <rFont val="Calibri"/>
        <family val="2"/>
        <scheme val="minor"/>
      </rPr>
      <t>days early</t>
    </r>
    <r>
      <rPr>
        <sz val="11"/>
        <color rgb="FFFF0000"/>
        <rFont val="Calibri"/>
        <family val="2"/>
        <scheme val="minor"/>
      </rPr>
      <t xml:space="preserve"> (late)</t>
    </r>
  </si>
  <si>
    <r>
      <t xml:space="preserve">&lt;== enter </t>
    </r>
    <r>
      <rPr>
        <b/>
        <sz val="11"/>
        <color theme="7" tint="-0.499984740745262"/>
        <rFont val="Calibri"/>
        <family val="2"/>
        <scheme val="minor"/>
      </rPr>
      <t>date,</t>
    </r>
    <r>
      <rPr>
        <sz val="11"/>
        <color theme="7" tint="-0.499984740745262"/>
        <rFont val="Calibri"/>
        <family val="2"/>
        <scheme val="minor"/>
      </rPr>
      <t xml:space="preserve"> </t>
    </r>
    <r>
      <rPr>
        <b/>
        <sz val="11"/>
        <color theme="7" tint="-0.499984740745262"/>
        <rFont val="Calibri"/>
        <family val="2"/>
        <scheme val="minor"/>
      </rPr>
      <t>=today()-5*365</t>
    </r>
    <r>
      <rPr>
        <sz val="11"/>
        <color theme="7" tint="-0.499984740745262"/>
        <rFont val="Calibri"/>
        <family val="2"/>
        <scheme val="minor"/>
      </rPr>
      <t>, or leave blank to omit all stats (faster).</t>
    </r>
  </si>
  <si>
    <t>nPanls</t>
  </si>
  <si>
    <t>[slow]Panelists from given panels</t>
  </si>
  <si>
    <t>[slow]Reviewers who have completed reviews</t>
  </si>
  <si>
    <t>2. SELECT TABS</t>
  </si>
  <si>
    <r>
      <t xml:space="preserve">&lt;==  enter </t>
    </r>
    <r>
      <rPr>
        <b/>
        <sz val="11"/>
        <color theme="7" tint="-0.499984740745262"/>
        <rFont val="Calibri"/>
        <family val="2"/>
        <scheme val="minor"/>
      </rPr>
      <t>date</t>
    </r>
    <r>
      <rPr>
        <sz val="11"/>
        <color theme="7" tint="-0.499984740745262"/>
        <rFont val="Calibri"/>
        <family val="2"/>
        <scheme val="minor"/>
      </rPr>
      <t xml:space="preserve"> or </t>
    </r>
    <r>
      <rPr>
        <b/>
        <sz val="11"/>
        <color theme="7" tint="-0.499984740745262"/>
        <rFont val="Calibri"/>
        <family val="2"/>
        <scheme val="minor"/>
      </rPr>
      <t>=today()-5*365</t>
    </r>
    <r>
      <rPr>
        <sz val="11"/>
        <color theme="7" tint="-0.499984740745262"/>
        <rFont val="Calibri"/>
        <family val="2"/>
        <scheme val="minor"/>
      </rPr>
      <t xml:space="preserve"> or leave blank to skip stats for faster query]</t>
    </r>
  </si>
  <si>
    <t>request details ($ is cumulative)</t>
  </si>
  <si>
    <t>E. FAQs [on NSF sharepoint collaboration site]</t>
  </si>
  <si>
    <t>F. Other useful tools and websites in ENG [on NSF sharepoint collaboration site]</t>
  </si>
  <si>
    <t>Statistics for these reviewers since: (can handle only 700 reviewers within the 3 min timeout.)</t>
  </si>
  <si>
    <t>(Ad hoc reviews are not included in statistics on this page.)</t>
  </si>
  <si>
    <t>Pivot tables show projects received, status, etc, allowing filters on Dir, Div, PO, request, status, and object class code.</t>
  </si>
  <si>
    <t>Pulls PIs &amp; co-PIs from cover pages, the Senior Personnel that recieve funds from budget pages, and any subaward lead.  It cannot retrieve unpaid personnel that co-manage subawards or collaborators. (See the SubAwards sheet to find the proposals with non-zero subaward amounts.) People will be duplicated if names or institutions are entered differently on, say, cover and budget pages.</t>
  </si>
  <si>
    <t>For projects or personnel use other tabs, but this pulls proposal specific details like requested amounts, coversheet items (human/vertibrates &amp; international), routing PECs, and PRCs.</t>
  </si>
  <si>
    <t>Pivot tables summarizing proposal charateristics based on data in Proposals tab.  (EPSCoR, International collaboration, PRCs)</t>
  </si>
  <si>
    <t>Lists all proposals that are not paneled.  Possible reasons may be found in cols F-K:  1) reviewed by ad hocs, 2) object class is conference, etc, 3) request is Supplement, Transfer, etc. 4) status is withdrawn or returned.</t>
  </si>
  <si>
    <t>Reports the suggested and unwanted reviewers that PIs have listed in the correponding single copy documents.  Sometimes the reasons make for interesting reading.</t>
  </si>
  <si>
    <t>Shows reviewers of the chosen proposals, along with the number done and some statistics.  Reviewers with blank institutions should probably be updated.  This is intended for creating mailing lists, but can also be used to, say, track the number of reviews recieved for a panel.  As NSF adds more links between the PI and Reviewer databases, this will compare the emails stored.</t>
  </si>
  <si>
    <t>Constructs an Outlook email message to send chosen projects and potential reviewers to Paul Morris' MPS Proposal Check, which returns COI results in a spreadsheet by email to sender. This is an aid, not a cure-all; there will be false pasitives in name matches and false negatives from corrupted PDF documents (flagged) requiring manual scrutiny.  Response time depends on server load, but expect a minute per project.</t>
  </si>
  <si>
    <t>Click to send email in Outlook with all selected tabs in one single excel workbook (data only, the Input tab will be hidden).</t>
  </si>
  <si>
    <t>International Activities By Proposal Count</t>
  </si>
  <si>
    <t>CBET</t>
  </si>
  <si>
    <t>5345</t>
  </si>
  <si>
    <t>~WTH,RTNR</t>
  </si>
  <si>
    <t>1401,1417,1403,7644</t>
  </si>
  <si>
    <t>Use Case 2 - data by cluster (CBET-CBS)</t>
  </si>
  <si>
    <t>UseCase 1 - data by program (5345)</t>
  </si>
  <si>
    <t>Use Case 3 - data for 2016 NSF CAREER</t>
  </si>
  <si>
    <t>8092</t>
  </si>
  <si>
    <t>NSF 16-524</t>
  </si>
  <si>
    <t>Use Case 4 - data for 2016 NSF INFEWS</t>
  </si>
  <si>
    <t>mtoney,alewis,tkuech</t>
  </si>
  <si>
    <t>Use Case 5 - data for program 8092 (CMMI/MEP)</t>
  </si>
  <si>
    <t>Use Case 6 - get all reviewers in past 3 years from pgm 8092 (CMMI/MEP)</t>
  </si>
  <si>
    <t>jsnoeyi,mtoney,bschrag</t>
  </si>
  <si>
    <t xml:space="preserve"> ~WTH,RTNR</t>
  </si>
  <si>
    <t>Use Case 7 - FY16 data for PDs</t>
  </si>
  <si>
    <t>Proposal-specific (EPSCoR, Hum/Vrt, PRC, route PECs...)</t>
  </si>
  <si>
    <t>PropsOnPanls</t>
  </si>
  <si>
    <t>Help documentation and use cases</t>
  </si>
  <si>
    <t>Including tab and button descriptions, tips, top 10 use cases, upcoming features, link to FAQ, and link to other tools.</t>
  </si>
  <si>
    <t>eJ2</t>
  </si>
  <si>
    <t>Grace's default</t>
  </si>
  <si>
    <t>Release 1.0, 11/09/2016, the debut of PD-3PO.</t>
  </si>
  <si>
    <t>1651475</t>
  </si>
  <si>
    <t>1654137</t>
  </si>
  <si>
    <t>1664368</t>
  </si>
  <si>
    <t>Release 1.1, 11/16/2016, includes  a few bug fixes.</t>
  </si>
  <si>
    <t>Release 2.0 is planned to add new tools for panel processing, and 3.0 for portfolio analysis.</t>
  </si>
  <si>
    <t>Three ways to identify the set of proposals that are queried</t>
  </si>
  <si>
    <t>Specify parameters -- restrictions ANDed together.  See Values below on lists and SQL wildcards</t>
  </si>
  <si>
    <t xml:space="preserve">List proposal IDs  for projects to be Included and/or proposals to be Excluded. See pop-ups for detail. </t>
  </si>
  <si>
    <t>Use these in combination: first proposals are selected (1A), then included (1B), then excluded (1B).</t>
  </si>
  <si>
    <r>
      <t xml:space="preserve">Then click on the </t>
    </r>
    <r>
      <rPr>
        <b/>
        <sz val="11"/>
        <color theme="1"/>
        <rFont val="Calibri"/>
        <family val="2"/>
        <scheme val="minor"/>
      </rPr>
      <t xml:space="preserve">GO </t>
    </r>
    <r>
      <rPr>
        <sz val="11"/>
        <color theme="1"/>
        <rFont val="Calibri"/>
        <family val="2"/>
        <scheme val="minor"/>
      </rPr>
      <t>button to retrieve data.  Click in the Excel status bar, along the bottom, if you need to cancel.</t>
    </r>
  </si>
  <si>
    <t>eg: 10/22/2016</t>
  </si>
  <si>
    <t>NSF 16-578,NSF 16-579, NSF 16-581</t>
  </si>
  <si>
    <t>1714288</t>
  </si>
  <si>
    <t>1714351</t>
  </si>
  <si>
    <t>1716051</t>
  </si>
  <si>
    <t>1716769</t>
  </si>
  <si>
    <t>1717499</t>
  </si>
  <si>
    <t>1717697</t>
  </si>
  <si>
    <t>1717708</t>
  </si>
  <si>
    <t>1717729</t>
  </si>
  <si>
    <t>1717732</t>
  </si>
  <si>
    <t>1717989</t>
  </si>
  <si>
    <t>1718382</t>
  </si>
  <si>
    <t>1718530</t>
  </si>
  <si>
    <t>1718976</t>
  </si>
  <si>
    <t>n</t>
  </si>
  <si>
    <t>D. Release history, Known bugs, and Upcoming features</t>
  </si>
  <si>
    <t>Release History, Known Bugs, and Upcoming Features:</t>
  </si>
  <si>
    <t>Breakthrough</t>
  </si>
  <si>
    <t xml:space="preserve">*  Mac Excel 2011 does not support the SQL query engine, Outlook connection, or dashboard Slicers.  You can retrieve data via the PC Desktop on Citrix, then use the spreadsheet on a Mac.  When we get to test Excel 2016, which is being rolled out at NSF, we will improve Mac support. 
* Complex workbooks can become corrupted; save early, save often, with versioning so you can fall back to a working version.
* If a query retrieves 0 rows into Projects, PersInst, or Proposals, the corresponding dashboard lose its timeline. We have yet to develop a workaround for this Excel bug.  For now, get a new fresh copy of PD-3PO.
* Only the last entry from the favorites list can be deleted; enhancements to favorites are coming later.
* Screen updating is disabled during operations like saving and emailing, causing the screen to blink.  Especially when emailing, be patient -- it can take time to start Outlook, esp. on Citrix.
* Having the Developer's Visual Basic Environment open can slow down processing; close VBE.
* Excel may say it "can't free up space on Clipboard. Another program might be using it."  This happens when other programs are monitoring the clipboard;  still looking to see whether this Excel bug causes any loss of functionality or formatting.
</t>
  </si>
  <si>
    <t>05%</t>
  </si>
  <si>
    <t>NSF 16-1,NSF 14-579</t>
  </si>
  <si>
    <t>Known bugs</t>
  </si>
  <si>
    <t>1612999</t>
  </si>
  <si>
    <t>TX</t>
  </si>
  <si>
    <t>Text</t>
  </si>
  <si>
    <t>len_tot</t>
  </si>
  <si>
    <t>Grace's reset</t>
  </si>
  <si>
    <t>William Marsh Rice Univ</t>
  </si>
  <si>
    <t>Research Grants-Not Elsewh Cla</t>
  </si>
  <si>
    <t>William Marsh Rice Univ Total</t>
  </si>
  <si>
    <t>CSE</t>
  </si>
  <si>
    <t>7796 - ALGORITHMIC FOUNDATIONS</t>
  </si>
  <si>
    <t>DECL</t>
  </si>
  <si>
    <t>CCF</t>
  </si>
  <si>
    <t>Goldman, Ronald</t>
  </si>
  <si>
    <t>11/06/15</t>
  </si>
  <si>
    <t>12/20/16 7:22:27 am</t>
  </si>
  <si>
    <t>12/20/16 7:22:28 am</t>
  </si>
  <si>
    <t>nsf 16-578</t>
  </si>
  <si>
    <t>7796</t>
  </si>
  <si>
    <t>03/14/17 12:09:38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</si>
</sst>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5" formatCode="&quot;$&quot;#,##0_);\(&quot;$&quot;#,##0\)"/>
    <numFmt numFmtId="6" formatCode="&quot;$&quot;#,##0_);[Red]\(&quot;$&quot;#,##0\)"/>
    <numFmt numFmtId="42" formatCode="_(&quot;$&quot;* #,##0_);_(&quot;$&quot;* \(#,##0\);_(&quot;$&quot;* &quot;-&quot;_);_(@_)"/>
    <numFmt numFmtId="44" formatCode="_(&quot;$&quot;* #,##0.00_);_(&quot;$&quot;* \(#,##0.00\);_(&quot;$&quot;* &quot;-&quot;??_);_(@_)"/>
    <numFmt numFmtId="164" formatCode="mm/dd/yy;@"/>
    <numFmt numFmtId="165" formatCode="_(&quot;$&quot;* #,##0_);_(&quot;$&quot;* \(#,##0\);_(&quot;$&quot;* &quot;-&quot;??_);_(@_)"/>
    <numFmt numFmtId="166" formatCode=";;;**"/>
    <numFmt numFmtId="167" formatCode="mm/dd/yy\ hh:mm"/>
    <numFmt numFmtId="168" formatCode="mm/dd/yyyy\ hh:mm"/>
    <numFmt numFmtId="169" formatCode="yyyy\-mm\-dd\ hh:mm"/>
    <numFmt numFmtId="170" formatCode="[$-409]m/d/yy\ h:mm\ AM/PM;@"/>
    <numFmt numFmtId="171" formatCode="&quot;$&quot;#,##0.00"/>
    <numFmt numFmtId="172" formatCode="0.0"/>
    <numFmt numFmtId="173" formatCode="mm/dd/yy\ h:mm"/>
    <numFmt numFmtId="174" formatCode="0_);[Red]\(0\)"/>
    <numFmt numFmtId="175" formatCode="0.00_);[Red]\(0.00\)"/>
  </numFmts>
  <fonts count="52" x14ac:knownFonts="1">
    <font>
      <sz val="11"/>
      <color theme="1"/>
      <name val="Calibri"/>
      <family val="2"/>
      <scheme val="minor"/>
    </font>
    <font>
      <sz val="11"/>
      <color theme="1"/>
      <name val="Calibri"/>
      <family val="2"/>
      <scheme val="minor"/>
    </font>
    <font>
      <b/>
      <sz val="11"/>
      <color theme="0"/>
      <name val="Calibri"/>
      <family val="2"/>
      <scheme val="minor"/>
    </font>
    <font>
      <sz val="11"/>
      <color rgb="FF000000"/>
      <name val="Calibri"/>
      <family val="2"/>
    </font>
    <font>
      <sz val="11"/>
      <name val="Calibri"/>
      <family val="2"/>
      <scheme val="minor"/>
    </font>
    <font>
      <sz val="11"/>
      <color theme="5" tint="-0.499984740745262"/>
      <name val="Calibri"/>
      <family val="2"/>
      <scheme val="minor"/>
    </font>
    <font>
      <b/>
      <sz val="11"/>
      <color theme="1"/>
      <name val="Calibri"/>
      <family val="2"/>
      <scheme val="minor"/>
    </font>
    <font>
      <sz val="11"/>
      <color theme="0"/>
      <name val="Calibri"/>
      <family val="2"/>
      <scheme val="minor"/>
    </font>
    <font>
      <sz val="11"/>
      <color theme="4" tint="-0.499984740745262"/>
      <name val="Calibri"/>
      <family val="2"/>
      <scheme val="minor"/>
    </font>
    <font>
      <b/>
      <sz val="11"/>
      <color theme="3"/>
      <name val="Calibri"/>
      <family val="2"/>
      <scheme val="minor"/>
    </font>
    <font>
      <sz val="56"/>
      <color theme="3"/>
      <name val="Bauhaus 93"/>
      <family val="5"/>
    </font>
    <font>
      <sz val="18"/>
      <color theme="3"/>
      <name val="Bauhaus 93"/>
      <family val="5"/>
    </font>
    <font>
      <sz val="11"/>
      <color theme="3"/>
      <name val="Calibri"/>
      <family val="2"/>
      <scheme val="minor"/>
    </font>
    <font>
      <sz val="8"/>
      <color theme="3"/>
      <name val="Calibri"/>
      <family val="2"/>
      <scheme val="minor"/>
    </font>
    <font>
      <sz val="10"/>
      <color theme="3"/>
      <name val="Calibri"/>
      <family val="2"/>
      <scheme val="minor"/>
    </font>
    <font>
      <sz val="8"/>
      <color theme="4"/>
      <name val="Calibri"/>
      <family val="2"/>
      <scheme val="minor"/>
    </font>
    <font>
      <b/>
      <sz val="10"/>
      <color theme="7" tint="-0.249977111117893"/>
      <name val="Calibri"/>
      <family val="2"/>
      <scheme val="minor"/>
    </font>
    <font>
      <i/>
      <sz val="11"/>
      <color theme="3"/>
      <name val="Calibri"/>
      <family val="2"/>
      <scheme val="minor"/>
    </font>
    <font>
      <sz val="10"/>
      <color theme="7" tint="-0.249977111117893"/>
      <name val="Calibri"/>
      <family val="2"/>
      <scheme val="minor"/>
    </font>
    <font>
      <b/>
      <sz val="14"/>
      <color theme="0"/>
      <name val="Calibri"/>
      <family val="2"/>
      <scheme val="minor"/>
    </font>
    <font>
      <b/>
      <sz val="12"/>
      <color theme="0"/>
      <name val="Calibri"/>
      <family val="2"/>
      <scheme val="minor"/>
    </font>
    <font>
      <b/>
      <sz val="12"/>
      <color theme="1"/>
      <name val="Calibri"/>
      <family val="2"/>
      <scheme val="minor"/>
    </font>
    <font>
      <b/>
      <sz val="11"/>
      <color theme="7" tint="-0.249977111117893"/>
      <name val="Calibri"/>
      <family val="2"/>
      <scheme val="minor"/>
    </font>
    <font>
      <sz val="9"/>
      <color theme="1"/>
      <name val="Calibri"/>
      <family val="2"/>
      <scheme val="minor"/>
    </font>
    <font>
      <sz val="14"/>
      <color theme="1"/>
      <name val="Calibri"/>
      <family val="2"/>
      <scheme val="minor"/>
    </font>
    <font>
      <sz val="11"/>
      <color rgb="FFFF0000"/>
      <name val="Calibri"/>
      <family val="2"/>
      <scheme val="minor"/>
    </font>
    <font>
      <sz val="28"/>
      <color theme="1"/>
      <name val="Bauhaus 93"/>
      <family val="5"/>
    </font>
    <font>
      <b/>
      <sz val="28"/>
      <color theme="4" tint="-0.249977111117893"/>
      <name val="Calibri"/>
      <family val="2"/>
      <scheme val="minor"/>
    </font>
    <font>
      <b/>
      <sz val="10"/>
      <color theme="4" tint="-0.249977111117893"/>
      <name val="Calibri"/>
      <family val="2"/>
      <scheme val="minor"/>
    </font>
    <font>
      <sz val="11"/>
      <color theme="4" tint="-0.249977111117893"/>
      <name val="Calibri"/>
      <family val="2"/>
      <scheme val="minor"/>
    </font>
    <font>
      <b/>
      <sz val="14"/>
      <color theme="1"/>
      <name val="Calibri"/>
      <family val="2"/>
      <scheme val="minor"/>
    </font>
    <font>
      <i/>
      <sz val="11"/>
      <color theme="1"/>
      <name val="Calibri"/>
      <family val="2"/>
      <scheme val="minor"/>
    </font>
    <font>
      <sz val="11"/>
      <color theme="9"/>
      <name val="Calibri"/>
      <family val="2"/>
      <scheme val="minor"/>
    </font>
    <font>
      <sz val="14"/>
      <color theme="0"/>
      <name val="Calibri"/>
      <family val="2"/>
      <scheme val="minor"/>
    </font>
    <font>
      <sz val="12"/>
      <color theme="7" tint="-0.499984740745262"/>
      <name val="Calibri"/>
      <family val="2"/>
      <scheme val="minor"/>
    </font>
    <font>
      <b/>
      <sz val="11"/>
      <color theme="4" tint="-0.499984740745262"/>
      <name val="Calibri"/>
      <family val="2"/>
      <scheme val="minor"/>
    </font>
    <font>
      <sz val="14"/>
      <name val="Calibri"/>
      <family val="2"/>
      <scheme val="minor"/>
    </font>
    <font>
      <b/>
      <sz val="11"/>
      <color rgb="FFFFFFFF"/>
      <name val="Calibri"/>
      <family val="2"/>
    </font>
    <font>
      <b/>
      <sz val="10"/>
      <color indexed="9"/>
      <name val="Corbel"/>
      <family val="2"/>
    </font>
    <font>
      <sz val="11"/>
      <color theme="1" tint="0.499984740745262"/>
      <name val="Calibri"/>
      <family val="2"/>
      <scheme val="minor"/>
    </font>
    <font>
      <b/>
      <sz val="11"/>
      <color theme="1" tint="0.499984740745262"/>
      <name val="Calibri"/>
      <family val="2"/>
      <scheme val="minor"/>
    </font>
    <font>
      <sz val="9"/>
      <color theme="1" tint="0.499984740745262"/>
      <name val="Calibri"/>
      <family val="2"/>
      <scheme val="minor"/>
    </font>
    <font>
      <u/>
      <sz val="11"/>
      <color theme="7" tint="-0.24994659260841701"/>
      <name val="Calibri"/>
      <family val="2"/>
      <scheme val="minor"/>
    </font>
    <font>
      <sz val="11"/>
      <color rgb="FF002060"/>
      <name val="Calibri"/>
      <family val="2"/>
      <scheme val="minor"/>
    </font>
    <font>
      <sz val="11"/>
      <color theme="7" tint="-0.249977111117893"/>
      <name val="Calibri"/>
      <family val="2"/>
      <scheme val="minor"/>
    </font>
    <font>
      <sz val="11"/>
      <color theme="7" tint="-0.499984740745262"/>
      <name val="Calibri"/>
      <family val="2"/>
      <scheme val="minor"/>
    </font>
    <font>
      <b/>
      <u/>
      <sz val="11"/>
      <color theme="0"/>
      <name val="Calibri"/>
      <family val="2"/>
      <scheme val="minor"/>
    </font>
    <font>
      <b/>
      <u/>
      <sz val="11"/>
      <color theme="7"/>
      <name val="Calibri"/>
      <family val="2"/>
      <scheme val="minor"/>
    </font>
    <font>
      <b/>
      <sz val="14"/>
      <color theme="3"/>
      <name val="Calibri"/>
      <family val="2"/>
      <scheme val="minor"/>
    </font>
    <font>
      <i/>
      <sz val="11"/>
      <color rgb="FFFF0000"/>
      <name val="Calibri"/>
      <family val="2"/>
      <scheme val="minor"/>
    </font>
    <font>
      <b/>
      <sz val="11"/>
      <color theme="7" tint="-0.499984740745262"/>
      <name val="Calibri"/>
      <family val="2"/>
      <scheme val="minor"/>
    </font>
    <font>
      <b/>
      <u/>
      <sz val="11"/>
      <color theme="1"/>
      <name val="Calibri"/>
      <family val="2"/>
      <scheme val="minor"/>
    </font>
  </fonts>
  <fills count="22">
    <fill>
      <patternFill patternType="none"/>
    </fill>
    <fill>
      <patternFill patternType="gray125"/>
    </fill>
    <fill>
      <patternFill patternType="solid">
        <fgColor theme="0"/>
        <bgColor indexed="64"/>
      </patternFill>
    </fill>
    <fill>
      <patternFill patternType="solid">
        <fgColor rgb="FFFFF4E5"/>
        <bgColor indexed="64"/>
      </patternFill>
    </fill>
    <fill>
      <patternFill patternType="solid">
        <fgColor theme="3"/>
        <bgColor indexed="64"/>
      </patternFill>
    </fill>
    <fill>
      <patternFill patternType="solid">
        <fgColor theme="1" tint="0.499984740745262"/>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theme="7"/>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499984740745262"/>
        <bgColor indexed="64"/>
      </patternFill>
    </fill>
    <fill>
      <patternFill patternType="solid">
        <fgColor theme="11" tint="-0.499984740745262"/>
        <bgColor indexed="64"/>
      </patternFill>
    </fill>
    <fill>
      <patternFill patternType="solid">
        <fgColor rgb="FF8F4B13"/>
        <bgColor rgb="FF40BAD2"/>
      </patternFill>
    </fill>
    <fill>
      <patternFill patternType="solid">
        <fgColor rgb="FF8F4B13"/>
        <bgColor theme="4"/>
      </patternFill>
    </fill>
    <fill>
      <patternFill patternType="solid">
        <fgColor theme="5" tint="0.79998168889431442"/>
        <bgColor theme="4"/>
      </patternFill>
    </fill>
    <fill>
      <patternFill patternType="solid">
        <fgColor rgb="FFFEEFE2"/>
        <bgColor indexed="64"/>
      </patternFill>
    </fill>
    <fill>
      <patternFill patternType="solid">
        <fgColor theme="4" tint="0.59999389629810485"/>
        <bgColor indexed="64"/>
      </patternFill>
    </fill>
    <fill>
      <patternFill patternType="solid">
        <fgColor theme="7" tint="-0.24994659260841701"/>
        <bgColor theme="4"/>
      </patternFill>
    </fill>
    <fill>
      <patternFill patternType="solid">
        <fgColor theme="7" tint="-0.24994659260841701"/>
        <bgColor indexed="64"/>
      </patternFill>
    </fill>
    <fill>
      <patternFill patternType="solid">
        <fgColor theme="2" tint="0.79998168889431442"/>
        <bgColor indexed="64"/>
      </patternFill>
    </fill>
  </fills>
  <borders count="26">
    <border>
      <left/>
      <right/>
      <top/>
      <bottom/>
      <diagonal/>
    </border>
    <border>
      <left/>
      <right/>
      <top/>
      <bottom style="thin">
        <color theme="4" tint="0.39997558519241921"/>
      </bottom>
      <diagonal/>
    </border>
    <border>
      <left/>
      <right/>
      <top/>
      <bottom style="thin">
        <color auto="1"/>
      </bottom>
      <diagonal/>
    </border>
    <border>
      <left/>
      <right/>
      <top/>
      <bottom style="thin">
        <color theme="3"/>
      </bottom>
      <diagonal/>
    </border>
    <border>
      <left/>
      <right/>
      <top style="thin">
        <color theme="3"/>
      </top>
      <bottom/>
      <diagonal/>
    </border>
    <border>
      <left style="thin">
        <color theme="0"/>
      </left>
      <right/>
      <top style="thin">
        <color theme="0"/>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style="thin">
        <color auto="1"/>
      </bottom>
      <diagonal/>
    </border>
    <border>
      <left/>
      <right/>
      <top style="thin">
        <color auto="1"/>
      </top>
      <bottom style="thin">
        <color auto="1"/>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13" fillId="0" borderId="0" applyNumberFormat="0" applyFill="0" applyBorder="0" applyAlignment="0" applyProtection="0">
      <alignment horizontal="left" vertical="center"/>
    </xf>
    <xf numFmtId="171" fontId="15" fillId="0" borderId="0" applyFill="0" applyBorder="0" applyAlignment="0" applyProtection="0">
      <alignment horizontal="left" vertical="center"/>
    </xf>
  </cellStyleXfs>
  <cellXfs count="387">
    <xf numFmtId="0" fontId="0" fillId="0" borderId="0" xfId="0"/>
    <xf numFmtId="164" fontId="0" fillId="0" borderId="0" xfId="0" applyNumberFormat="1"/>
    <xf numFmtId="165" fontId="0" fillId="0" borderId="0" xfId="1" applyNumberFormat="1" applyFont="1"/>
    <xf numFmtId="0" fontId="0" fillId="0" borderId="0" xfId="0" applyNumberFormat="1"/>
    <xf numFmtId="0" fontId="0" fillId="0" borderId="0" xfId="0" applyAlignment="1">
      <alignment horizontal="left"/>
    </xf>
    <xf numFmtId="0" fontId="0" fillId="0" borderId="0" xfId="0" pivotButton="1"/>
    <xf numFmtId="167" fontId="0" fillId="0" borderId="0" xfId="0" applyNumberFormat="1"/>
    <xf numFmtId="22" fontId="0" fillId="0" borderId="0" xfId="0" applyNumberFormat="1"/>
    <xf numFmtId="165" fontId="0" fillId="0" borderId="0" xfId="0" applyNumberFormat="1"/>
    <xf numFmtId="168" fontId="0" fillId="0" borderId="0" xfId="0" applyNumberFormat="1"/>
    <xf numFmtId="0" fontId="0" fillId="0" borderId="0" xfId="0" applyAlignment="1">
      <alignment horizontal="left" indent="1"/>
    </xf>
    <xf numFmtId="0" fontId="0" fillId="2" borderId="0" xfId="0" applyFill="1"/>
    <xf numFmtId="0" fontId="0" fillId="2" borderId="0" xfId="0" applyFill="1" applyAlignment="1">
      <alignment horizontal="left" vertical="top" wrapText="1"/>
    </xf>
    <xf numFmtId="0" fontId="0" fillId="0" borderId="0" xfId="0" applyAlignment="1">
      <alignment horizontal="left" vertical="top"/>
    </xf>
    <xf numFmtId="170" fontId="0" fillId="0" borderId="0" xfId="0" applyNumberFormat="1" applyAlignment="1">
      <alignment horizontal="left" vertical="top"/>
    </xf>
    <xf numFmtId="0" fontId="0" fillId="0" borderId="0" xfId="0" applyAlignment="1">
      <alignment horizontal="left" vertical="top" wrapText="1"/>
    </xf>
    <xf numFmtId="22" fontId="0" fillId="0" borderId="0" xfId="0" applyNumberFormat="1" applyAlignment="1">
      <alignment horizontal="left"/>
    </xf>
    <xf numFmtId="0" fontId="0" fillId="0" borderId="0" xfId="0" applyFill="1" applyBorder="1"/>
    <xf numFmtId="5" fontId="0" fillId="0" borderId="0" xfId="0" applyNumberFormat="1" applyFill="1" applyBorder="1"/>
    <xf numFmtId="0" fontId="0" fillId="0" borderId="0" xfId="0" applyFill="1"/>
    <xf numFmtId="0" fontId="0" fillId="0" borderId="0" xfId="0" applyBorder="1"/>
    <xf numFmtId="22" fontId="0" fillId="0" borderId="0" xfId="0" applyNumberFormat="1" applyBorder="1" applyAlignment="1">
      <alignment horizontal="left"/>
    </xf>
    <xf numFmtId="0" fontId="0" fillId="0" borderId="0" xfId="0" applyAlignment="1">
      <alignment wrapText="1"/>
    </xf>
    <xf numFmtId="164" fontId="0" fillId="0" borderId="0" xfId="0" applyNumberFormat="1" applyAlignment="1">
      <alignment wrapText="1"/>
    </xf>
    <xf numFmtId="0" fontId="2" fillId="0" borderId="1" xfId="0" applyFont="1" applyFill="1" applyBorder="1"/>
    <xf numFmtId="0" fontId="0" fillId="0" borderId="0" xfId="0" applyNumberFormat="1" applyFill="1"/>
    <xf numFmtId="0" fontId="0" fillId="2" borderId="0" xfId="0" applyNumberFormat="1" applyFill="1" applyAlignment="1">
      <alignment horizontal="center"/>
    </xf>
    <xf numFmtId="0" fontId="0" fillId="0" borderId="0" xfId="0" applyNumberFormat="1" applyAlignment="1">
      <alignment horizontal="center"/>
    </xf>
    <xf numFmtId="6" fontId="0" fillId="0" borderId="0" xfId="0" applyNumberFormat="1" applyFill="1"/>
    <xf numFmtId="169" fontId="0" fillId="0" borderId="0" xfId="0" applyNumberFormat="1" applyFill="1" applyBorder="1" applyAlignment="1">
      <alignment horizontal="center"/>
    </xf>
    <xf numFmtId="169" fontId="0" fillId="0" borderId="0" xfId="0" applyNumberFormat="1" applyFill="1"/>
    <xf numFmtId="164" fontId="0" fillId="0" borderId="0" xfId="0" applyNumberFormat="1" applyFill="1" applyBorder="1"/>
    <xf numFmtId="164" fontId="0" fillId="0" borderId="0" xfId="0" applyNumberFormat="1" applyFill="1"/>
    <xf numFmtId="42" fontId="0" fillId="0" borderId="0" xfId="0" applyNumberFormat="1" applyFill="1" applyBorder="1"/>
    <xf numFmtId="42" fontId="0" fillId="0" borderId="0" xfId="0" applyNumberFormat="1" applyFill="1"/>
    <xf numFmtId="49" fontId="8" fillId="0" borderId="0" xfId="0" applyNumberFormat="1" applyFont="1" applyFill="1" applyProtection="1"/>
    <xf numFmtId="49" fontId="0" fillId="0" borderId="0" xfId="0" applyNumberFormat="1" applyFill="1" applyProtection="1"/>
    <xf numFmtId="49" fontId="0" fillId="0" borderId="0" xfId="0" applyNumberFormat="1" applyFill="1" applyProtection="1">
      <protection locked="0"/>
    </xf>
    <xf numFmtId="49" fontId="5" fillId="3" borderId="0" xfId="0" applyNumberFormat="1" applyFont="1" applyFill="1" applyProtection="1">
      <protection locked="0"/>
    </xf>
    <xf numFmtId="166" fontId="5" fillId="3" borderId="0" xfId="0" applyNumberFormat="1" applyFont="1" applyFill="1" applyProtection="1">
      <protection locked="0" hidden="1"/>
    </xf>
    <xf numFmtId="5" fontId="0" fillId="0" borderId="0" xfId="0" applyNumberFormat="1" applyFill="1"/>
    <xf numFmtId="164" fontId="0" fillId="0" borderId="0" xfId="0" applyNumberFormat="1" applyFill="1" applyAlignment="1">
      <alignment horizontal="center"/>
    </xf>
    <xf numFmtId="0" fontId="7" fillId="0" borderId="0" xfId="0" applyFont="1" applyFill="1"/>
    <xf numFmtId="169" fontId="0" fillId="0" borderId="0" xfId="0" applyNumberFormat="1" applyFill="1" applyAlignment="1">
      <alignment horizontal="center"/>
    </xf>
    <xf numFmtId="0" fontId="11" fillId="0" borderId="0" xfId="0" applyFont="1" applyFill="1" applyAlignment="1">
      <alignment horizontal="left"/>
    </xf>
    <xf numFmtId="0" fontId="12" fillId="0" borderId="0" xfId="0" applyFont="1" applyFill="1"/>
    <xf numFmtId="0" fontId="9" fillId="0" borderId="0" xfId="0" applyFont="1" applyFill="1" applyAlignment="1">
      <alignment horizontal="center"/>
    </xf>
    <xf numFmtId="0" fontId="14" fillId="0" borderId="3" xfId="3" applyFont="1" applyFill="1" applyBorder="1" applyAlignment="1">
      <alignment horizontal="right"/>
    </xf>
    <xf numFmtId="172" fontId="16" fillId="0" borderId="3" xfId="4" applyNumberFormat="1" applyFont="1" applyFill="1" applyBorder="1" applyAlignment="1">
      <alignment horizontal="left"/>
    </xf>
    <xf numFmtId="172" fontId="16" fillId="0" borderId="0" xfId="4" applyNumberFormat="1" applyFont="1" applyFill="1" applyBorder="1" applyAlignment="1">
      <alignment horizontal="left"/>
    </xf>
    <xf numFmtId="0" fontId="14" fillId="0" borderId="0" xfId="3" applyFont="1" applyFill="1" applyAlignment="1">
      <alignment horizontal="right" vertical="top"/>
    </xf>
    <xf numFmtId="14" fontId="16" fillId="0" borderId="4" xfId="4" applyNumberFormat="1" applyFont="1" applyFill="1" applyBorder="1" applyAlignment="1">
      <alignment horizontal="left" vertical="top"/>
    </xf>
    <xf numFmtId="0" fontId="18" fillId="0" borderId="0" xfId="4" applyNumberFormat="1" applyFont="1" applyFill="1" applyBorder="1" applyAlignment="1">
      <alignment vertical="top"/>
    </xf>
    <xf numFmtId="0" fontId="7" fillId="4" borderId="0" xfId="0" applyFont="1" applyFill="1"/>
    <xf numFmtId="0" fontId="7" fillId="4" borderId="0" xfId="0" applyFont="1" applyFill="1" applyAlignment="1">
      <alignment horizontal="left" vertical="center"/>
    </xf>
    <xf numFmtId="0" fontId="0" fillId="0" borderId="0" xfId="0" applyFont="1" applyFill="1" applyAlignment="1">
      <alignment horizontal="right" vertical="center"/>
    </xf>
    <xf numFmtId="164" fontId="22" fillId="0" borderId="0" xfId="0" applyNumberFormat="1" applyFont="1" applyFill="1" applyBorder="1" applyAlignment="1" applyProtection="1">
      <alignment horizontal="left" vertical="center"/>
    </xf>
    <xf numFmtId="49" fontId="22" fillId="0" borderId="0" xfId="0" applyNumberFormat="1" applyFont="1" applyFill="1" applyBorder="1" applyAlignment="1" applyProtection="1">
      <alignment horizontal="left" vertical="center" indent="1"/>
    </xf>
    <xf numFmtId="49" fontId="22" fillId="0" borderId="0" xfId="0" quotePrefix="1" applyNumberFormat="1" applyFont="1" applyFill="1" applyBorder="1" applyAlignment="1" applyProtection="1">
      <alignment horizontal="left" vertical="center" indent="1"/>
    </xf>
    <xf numFmtId="49" fontId="22" fillId="0" borderId="0" xfId="0" applyNumberFormat="1" applyFont="1" applyFill="1" applyBorder="1" applyAlignment="1" applyProtection="1">
      <alignment horizontal="left" vertical="center"/>
    </xf>
    <xf numFmtId="0" fontId="23" fillId="0" borderId="0" xfId="0" applyFont="1" applyFill="1" applyAlignment="1">
      <alignment horizontal="right" vertical="center"/>
    </xf>
    <xf numFmtId="49" fontId="22" fillId="0" borderId="0" xfId="0" applyNumberFormat="1" applyFont="1" applyFill="1" applyAlignment="1" applyProtection="1">
      <alignment horizontal="left" vertical="center" indent="1"/>
    </xf>
    <xf numFmtId="0" fontId="22" fillId="0" borderId="0" xfId="0" applyFont="1" applyFill="1" applyAlignment="1" applyProtection="1">
      <alignment horizontal="left" vertical="center"/>
    </xf>
    <xf numFmtId="0" fontId="0" fillId="0" borderId="0" xfId="0" applyFill="1" applyProtection="1"/>
    <xf numFmtId="0" fontId="2" fillId="0" borderId="0" xfId="0" applyFont="1" applyFill="1" applyAlignment="1">
      <alignment horizontal="center" vertical="center" wrapText="1"/>
    </xf>
    <xf numFmtId="0" fontId="8" fillId="0" borderId="0" xfId="0" applyFont="1" applyFill="1" applyBorder="1" applyAlignment="1" applyProtection="1">
      <alignment horizontal="center"/>
      <protection locked="0"/>
    </xf>
    <xf numFmtId="0" fontId="8" fillId="0" borderId="0" xfId="2" applyNumberFormat="1" applyFont="1" applyFill="1" applyBorder="1" applyAlignment="1" applyProtection="1">
      <alignment horizontal="right" vertical="center"/>
      <protection locked="0"/>
    </xf>
    <xf numFmtId="0" fontId="4" fillId="0" borderId="0" xfId="2" applyNumberFormat="1" applyFont="1" applyFill="1" applyBorder="1" applyAlignment="1" applyProtection="1">
      <alignment horizontal="right" vertical="center"/>
    </xf>
    <xf numFmtId="0" fontId="42" fillId="0" borderId="0" xfId="2" applyFill="1" applyBorder="1" applyAlignment="1" applyProtection="1">
      <alignment horizontal="right" vertical="center"/>
    </xf>
    <xf numFmtId="173" fontId="4" fillId="0" borderId="0" xfId="2" applyNumberFormat="1" applyFont="1" applyFill="1" applyBorder="1" applyAlignment="1" applyProtection="1">
      <alignment horizontal="center" vertical="center"/>
    </xf>
    <xf numFmtId="0" fontId="26" fillId="0" borderId="0" xfId="0" applyFont="1" applyAlignment="1">
      <alignment horizontal="left" vertical="top"/>
    </xf>
    <xf numFmtId="0" fontId="27" fillId="0" borderId="0" xfId="0" applyFont="1" applyFill="1" applyAlignment="1">
      <alignment horizontal="left" vertical="center"/>
    </xf>
    <xf numFmtId="0" fontId="14" fillId="0" borderId="0" xfId="3" applyFont="1" applyFill="1" applyBorder="1" applyAlignment="1">
      <alignment horizontal="right" vertical="center"/>
    </xf>
    <xf numFmtId="172" fontId="28" fillId="0" borderId="0" xfId="4" applyNumberFormat="1" applyFont="1" applyFill="1" applyBorder="1" applyAlignment="1">
      <alignment horizontal="left" vertical="center"/>
    </xf>
    <xf numFmtId="0" fontId="0" fillId="0" borderId="0" xfId="0" applyFont="1" applyFill="1"/>
    <xf numFmtId="174" fontId="28" fillId="0" borderId="0" xfId="4" applyNumberFormat="1" applyFont="1" applyFill="1" applyBorder="1" applyAlignment="1">
      <alignment horizontal="left" vertical="center"/>
    </xf>
    <xf numFmtId="0" fontId="0" fillId="0" borderId="2" xfId="0" applyBorder="1"/>
    <xf numFmtId="0" fontId="14" fillId="0" borderId="2" xfId="3" applyFont="1" applyFill="1" applyBorder="1" applyAlignment="1">
      <alignment horizontal="right" vertical="center"/>
    </xf>
    <xf numFmtId="173" fontId="18" fillId="0" borderId="2" xfId="4" applyNumberFormat="1" applyFont="1" applyFill="1" applyBorder="1" applyAlignment="1">
      <alignment horizontal="left" vertical="center"/>
    </xf>
    <xf numFmtId="174" fontId="29" fillId="0" borderId="0" xfId="0" applyNumberFormat="1" applyFont="1" applyFill="1" applyBorder="1" applyAlignment="1">
      <alignment horizontal="left" vertical="center"/>
    </xf>
    <xf numFmtId="0" fontId="0" fillId="0" borderId="0" xfId="0" applyAlignment="1">
      <alignment horizontal="right"/>
    </xf>
    <xf numFmtId="49" fontId="18" fillId="0" borderId="0" xfId="4" applyNumberFormat="1" applyFont="1" applyFill="1" applyBorder="1" applyAlignment="1">
      <alignment horizontal="left" vertical="center"/>
    </xf>
    <xf numFmtId="0" fontId="0" fillId="5" borderId="0" xfId="0" applyFill="1"/>
    <xf numFmtId="0" fontId="30" fillId="2" borderId="2" xfId="0" applyFont="1" applyFill="1" applyBorder="1" applyAlignment="1">
      <alignment horizontal="right" vertical="center"/>
    </xf>
    <xf numFmtId="0" fontId="30" fillId="2" borderId="2" xfId="0" applyFont="1" applyFill="1" applyBorder="1" applyAlignment="1">
      <alignment vertical="center"/>
    </xf>
    <xf numFmtId="0" fontId="24" fillId="2" borderId="2" xfId="0" applyFont="1" applyFill="1" applyBorder="1" applyAlignment="1">
      <alignment vertical="center"/>
    </xf>
    <xf numFmtId="0" fontId="0" fillId="2" borderId="2" xfId="0" applyFont="1" applyFill="1" applyBorder="1" applyAlignment="1">
      <alignment vertical="center"/>
    </xf>
    <xf numFmtId="0" fontId="0" fillId="2" borderId="0" xfId="0" applyFont="1" applyFill="1" applyBorder="1" applyAlignment="1">
      <alignment vertical="center"/>
    </xf>
    <xf numFmtId="0" fontId="0" fillId="2" borderId="0" xfId="0" applyFont="1" applyFill="1" applyAlignment="1">
      <alignment vertical="center"/>
    </xf>
    <xf numFmtId="0" fontId="6" fillId="0" borderId="0" xfId="0" applyFont="1"/>
    <xf numFmtId="0" fontId="0" fillId="0" borderId="0" xfId="0" applyFont="1" applyFill="1" applyBorder="1" applyAlignment="1">
      <alignment horizontal="left" vertical="center"/>
    </xf>
    <xf numFmtId="0" fontId="0" fillId="2" borderId="0" xfId="0" applyFill="1" applyAlignment="1">
      <alignment wrapText="1"/>
    </xf>
    <xf numFmtId="0" fontId="30" fillId="2" borderId="0" xfId="0" applyFont="1" applyFill="1" applyAlignment="1">
      <alignment vertical="center"/>
    </xf>
    <xf numFmtId="0" fontId="0" fillId="2" borderId="0" xfId="0" applyNumberFormat="1" applyFont="1" applyFill="1" applyAlignment="1">
      <alignment horizontal="center"/>
    </xf>
    <xf numFmtId="0" fontId="0" fillId="2" borderId="0" xfId="0" applyFont="1" applyFill="1" applyAlignment="1">
      <alignment horizontal="left"/>
    </xf>
    <xf numFmtId="0" fontId="20" fillId="0" borderId="0" xfId="0" applyFont="1" applyFill="1" applyAlignment="1">
      <alignment horizontal="center" vertical="center" wrapText="1"/>
    </xf>
    <xf numFmtId="167" fontId="8" fillId="0" borderId="0" xfId="0" applyNumberFormat="1" applyFont="1"/>
    <xf numFmtId="0" fontId="8" fillId="0" borderId="0" xfId="0" applyFont="1"/>
    <xf numFmtId="0" fontId="0" fillId="0" borderId="0" xfId="0" applyAlignment="1">
      <alignment horizontal="left" wrapText="1"/>
    </xf>
    <xf numFmtId="174" fontId="18" fillId="0" borderId="0" xfId="4" applyNumberFormat="1" applyFont="1" applyFill="1" applyBorder="1" applyAlignment="1">
      <alignment horizontal="left" vertical="center"/>
    </xf>
    <xf numFmtId="174" fontId="18" fillId="0" borderId="0" xfId="0" applyNumberFormat="1" applyFont="1" applyFill="1" applyAlignment="1">
      <alignment horizontal="left" vertical="center"/>
    </xf>
    <xf numFmtId="173" fontId="18" fillId="0" borderId="2" xfId="4" quotePrefix="1" applyNumberFormat="1" applyFont="1" applyFill="1" applyBorder="1" applyAlignment="1">
      <alignment horizontal="left" vertical="center"/>
    </xf>
    <xf numFmtId="0" fontId="7" fillId="6" borderId="0" xfId="0" applyFont="1" applyFill="1"/>
    <xf numFmtId="0" fontId="20" fillId="6" borderId="0" xfId="0" applyFont="1" applyFill="1" applyAlignment="1">
      <alignment horizontal="center" vertical="center"/>
    </xf>
    <xf numFmtId="0" fontId="32" fillId="0" borderId="0" xfId="0" applyFont="1"/>
    <xf numFmtId="167" fontId="0" fillId="4" borderId="0" xfId="0" applyNumberFormat="1" applyFill="1"/>
    <xf numFmtId="164" fontId="0" fillId="4" borderId="0" xfId="0" applyNumberFormat="1" applyFill="1"/>
    <xf numFmtId="0" fontId="0" fillId="4" borderId="0" xfId="0" applyFill="1"/>
    <xf numFmtId="6" fontId="0" fillId="0" borderId="0" xfId="0" applyNumberFormat="1"/>
    <xf numFmtId="165" fontId="0" fillId="4" borderId="0" xfId="1" applyNumberFormat="1" applyFont="1" applyFill="1"/>
    <xf numFmtId="0" fontId="21" fillId="0" borderId="0" xfId="0" applyFont="1" applyFill="1" applyBorder="1" applyAlignment="1" applyProtection="1">
      <alignment horizontal="right" vertical="center"/>
      <protection locked="0"/>
    </xf>
    <xf numFmtId="0" fontId="21" fillId="0" borderId="0" xfId="0" applyFont="1" applyFill="1" applyBorder="1" applyAlignment="1" applyProtection="1">
      <alignment horizontal="center" vertical="center"/>
      <protection locked="0"/>
    </xf>
    <xf numFmtId="0" fontId="8" fillId="2" borderId="0" xfId="0" applyFont="1" applyFill="1"/>
    <xf numFmtId="0" fontId="8" fillId="2" borderId="0" xfId="0" applyFont="1" applyFill="1" applyAlignment="1">
      <alignment horizontal="left"/>
    </xf>
    <xf numFmtId="168" fontId="8" fillId="2" borderId="0" xfId="0" applyNumberFormat="1" applyFont="1" applyFill="1"/>
    <xf numFmtId="0" fontId="20" fillId="4" borderId="0" xfId="2" applyFont="1" applyFill="1" applyBorder="1" applyAlignment="1" applyProtection="1">
      <alignment horizontal="right" vertical="center"/>
    </xf>
    <xf numFmtId="0" fontId="20" fillId="11" borderId="0" xfId="2" applyFont="1" applyFill="1" applyBorder="1" applyAlignment="1" applyProtection="1">
      <alignment horizontal="right" vertical="center"/>
    </xf>
    <xf numFmtId="0" fontId="20" fillId="12" borderId="0" xfId="2" applyFont="1" applyFill="1" applyBorder="1" applyAlignment="1" applyProtection="1">
      <alignment horizontal="right" vertical="center"/>
    </xf>
    <xf numFmtId="0" fontId="8" fillId="0" borderId="0" xfId="0" applyNumberFormat="1" applyFont="1"/>
    <xf numFmtId="0" fontId="34" fillId="0" borderId="0" xfId="0" applyFont="1" applyFill="1" applyBorder="1" applyAlignment="1" applyProtection="1">
      <alignment horizontal="left" vertical="center"/>
    </xf>
    <xf numFmtId="0" fontId="8" fillId="2" borderId="0" xfId="0" quotePrefix="1" applyFont="1" applyFill="1" applyAlignment="1">
      <alignment horizontal="left"/>
    </xf>
    <xf numFmtId="0" fontId="6" fillId="0" borderId="0" xfId="0" applyNumberFormat="1" applyFont="1"/>
    <xf numFmtId="0" fontId="0" fillId="0" borderId="6" xfId="0" applyBorder="1"/>
    <xf numFmtId="0" fontId="0" fillId="0" borderId="7" xfId="0" applyBorder="1"/>
    <xf numFmtId="0" fontId="0" fillId="0" borderId="8" xfId="0" applyBorder="1"/>
    <xf numFmtId="0" fontId="0" fillId="0" borderId="9" xfId="0" applyBorder="1"/>
    <xf numFmtId="167" fontId="0" fillId="0" borderId="0" xfId="0" applyNumberFormat="1" applyAlignment="1">
      <alignment horizontal="left"/>
    </xf>
    <xf numFmtId="164" fontId="8" fillId="0" borderId="0" xfId="0" applyNumberFormat="1" applyFont="1" applyAlignment="1">
      <alignment horizontal="left"/>
    </xf>
    <xf numFmtId="164" fontId="0" fillId="0" borderId="0" xfId="0" applyNumberFormat="1" applyAlignment="1">
      <alignment horizontal="left"/>
    </xf>
    <xf numFmtId="0" fontId="42" fillId="0" borderId="10" xfId="2" applyBorder="1"/>
    <xf numFmtId="0" fontId="0" fillId="0" borderId="9" xfId="0" applyBorder="1" applyAlignment="1">
      <alignment horizontal="left" vertical="top"/>
    </xf>
    <xf numFmtId="0" fontId="0" fillId="0" borderId="6" xfId="0" applyFill="1" applyBorder="1"/>
    <xf numFmtId="5" fontId="0" fillId="0" borderId="7" xfId="0" applyNumberFormat="1" applyFill="1" applyBorder="1"/>
    <xf numFmtId="5" fontId="0" fillId="0" borderId="8" xfId="0" applyNumberFormat="1" applyFill="1" applyBorder="1"/>
    <xf numFmtId="0" fontId="0" fillId="0" borderId="9" xfId="0" applyFill="1" applyBorder="1"/>
    <xf numFmtId="2" fontId="0" fillId="0" borderId="0" xfId="0" applyNumberFormat="1"/>
    <xf numFmtId="49" fontId="36" fillId="0" borderId="0" xfId="0" applyNumberFormat="1" applyFont="1" applyFill="1" applyAlignment="1">
      <alignment horizontal="center" vertical="center" wrapText="1"/>
    </xf>
    <xf numFmtId="0" fontId="0" fillId="0" borderId="0" xfId="0" applyFont="1" applyAlignment="1">
      <alignment vertical="center" wrapText="1"/>
    </xf>
    <xf numFmtId="167" fontId="37" fillId="14" borderId="15" xfId="0" applyNumberFormat="1" applyFont="1" applyFill="1" applyBorder="1"/>
    <xf numFmtId="0" fontId="37" fillId="14" borderId="12" xfId="0" applyFont="1" applyFill="1" applyBorder="1"/>
    <xf numFmtId="0" fontId="37" fillId="14" borderId="13" xfId="0" applyFont="1" applyFill="1" applyBorder="1"/>
    <xf numFmtId="0" fontId="37" fillId="14" borderId="11" xfId="0" applyFont="1" applyFill="1" applyBorder="1"/>
    <xf numFmtId="0" fontId="37" fillId="14" borderId="14" xfId="0" applyFont="1" applyFill="1" applyBorder="1"/>
    <xf numFmtId="164" fontId="37" fillId="14" borderId="12" xfId="0" applyNumberFormat="1" applyFont="1" applyFill="1" applyBorder="1"/>
    <xf numFmtId="0" fontId="37" fillId="14" borderId="16" xfId="0" applyFont="1" applyFill="1" applyBorder="1"/>
    <xf numFmtId="0" fontId="8" fillId="0" borderId="17" xfId="2" applyNumberFormat="1" applyFont="1" applyFill="1" applyBorder="1" applyAlignment="1" applyProtection="1">
      <alignment horizontal="center" vertical="center"/>
      <protection locked="0"/>
    </xf>
    <xf numFmtId="164" fontId="22" fillId="0" borderId="17" xfId="0" applyNumberFormat="1" applyFont="1" applyFill="1" applyBorder="1" applyAlignment="1" applyProtection="1">
      <alignment horizontal="left" vertical="center"/>
    </xf>
    <xf numFmtId="0" fontId="20" fillId="13" borderId="0" xfId="2" applyFont="1" applyFill="1" applyBorder="1" applyAlignment="1" applyProtection="1">
      <alignment horizontal="right" vertical="center"/>
    </xf>
    <xf numFmtId="0" fontId="0" fillId="0" borderId="10" xfId="0" applyBorder="1"/>
    <xf numFmtId="167" fontId="0" fillId="0" borderId="0" xfId="0" applyNumberFormat="1" applyAlignment="1">
      <alignment wrapText="1"/>
    </xf>
    <xf numFmtId="0" fontId="0" fillId="0" borderId="0" xfId="0" applyNumberFormat="1" applyAlignment="1">
      <alignment wrapText="1"/>
    </xf>
    <xf numFmtId="0" fontId="0" fillId="0" borderId="0" xfId="0" pivotButton="1" applyAlignment="1">
      <alignment wrapText="1"/>
    </xf>
    <xf numFmtId="0" fontId="33" fillId="0" borderId="0" xfId="0" applyFont="1" applyFill="1" applyAlignment="1">
      <alignment vertical="center"/>
    </xf>
    <xf numFmtId="6" fontId="42" fillId="0" borderId="10" xfId="2" applyNumberFormat="1" applyFill="1" applyBorder="1"/>
    <xf numFmtId="0" fontId="0" fillId="0" borderId="7" xfId="0" applyFill="1" applyBorder="1"/>
    <xf numFmtId="168" fontId="0" fillId="0" borderId="7" xfId="0" applyNumberFormat="1" applyBorder="1"/>
    <xf numFmtId="168" fontId="0" fillId="0" borderId="8" xfId="0" applyNumberFormat="1" applyBorder="1"/>
    <xf numFmtId="0" fontId="6" fillId="0" borderId="0" xfId="0" applyFont="1" applyAlignment="1">
      <alignment wrapText="1"/>
    </xf>
    <xf numFmtId="0" fontId="6" fillId="0" borderId="0" xfId="0" applyFont="1" applyBorder="1" applyAlignment="1">
      <alignment wrapText="1"/>
    </xf>
    <xf numFmtId="0" fontId="6" fillId="0" borderId="0" xfId="0" applyNumberFormat="1" applyFont="1" applyBorder="1" applyAlignment="1">
      <alignment wrapText="1"/>
    </xf>
    <xf numFmtId="0" fontId="6" fillId="0" borderId="6" xfId="0" applyFont="1" applyBorder="1" applyAlignment="1">
      <alignment wrapText="1"/>
    </xf>
    <xf numFmtId="0" fontId="6" fillId="0" borderId="7" xfId="0" applyFont="1" applyBorder="1" applyAlignment="1">
      <alignment wrapText="1"/>
    </xf>
    <xf numFmtId="0" fontId="6" fillId="0" borderId="8" xfId="0" applyFont="1" applyBorder="1" applyAlignment="1">
      <alignment wrapText="1"/>
    </xf>
    <xf numFmtId="0" fontId="42" fillId="0" borderId="10" xfId="2" applyBorder="1" applyAlignment="1">
      <alignment horizontal="left" vertical="top"/>
    </xf>
    <xf numFmtId="49" fontId="0" fillId="0" borderId="0" xfId="0" applyNumberFormat="1"/>
    <xf numFmtId="49" fontId="0" fillId="0" borderId="0" xfId="0" applyNumberFormat="1" applyBorder="1"/>
    <xf numFmtId="49" fontId="0" fillId="0" borderId="2" xfId="0" applyNumberFormat="1" applyBorder="1"/>
    <xf numFmtId="49" fontId="14" fillId="0" borderId="2" xfId="3" applyNumberFormat="1" applyFont="1" applyFill="1" applyBorder="1" applyAlignment="1">
      <alignment horizontal="right" vertical="center"/>
    </xf>
    <xf numFmtId="49" fontId="18" fillId="0" borderId="2" xfId="4" quotePrefix="1" applyNumberFormat="1" applyFont="1" applyFill="1" applyBorder="1" applyAlignment="1">
      <alignment horizontal="left" vertical="center"/>
    </xf>
    <xf numFmtId="49" fontId="14" fillId="0" borderId="0" xfId="3" applyNumberFormat="1" applyFont="1" applyFill="1" applyBorder="1" applyAlignment="1">
      <alignment horizontal="right" vertical="center"/>
    </xf>
    <xf numFmtId="49" fontId="18" fillId="0" borderId="0" xfId="0" applyNumberFormat="1" applyFont="1" applyFill="1" applyAlignment="1">
      <alignment horizontal="left" vertical="center"/>
    </xf>
    <xf numFmtId="164" fontId="39" fillId="2" borderId="0" xfId="0" applyNumberFormat="1" applyFont="1" applyFill="1" applyAlignment="1" applyProtection="1">
      <alignment horizontal="right" vertical="center"/>
    </xf>
    <xf numFmtId="164" fontId="40" fillId="2" borderId="20" xfId="0" applyNumberFormat="1" applyFont="1" applyFill="1" applyBorder="1" applyAlignment="1" applyProtection="1">
      <alignment horizontal="left" vertical="center"/>
    </xf>
    <xf numFmtId="164" fontId="40" fillId="0" borderId="0" xfId="0" applyNumberFormat="1" applyFont="1" applyFill="1" applyAlignment="1" applyProtection="1">
      <alignment horizontal="left" vertical="center"/>
      <protection locked="0"/>
    </xf>
    <xf numFmtId="49" fontId="39" fillId="2" borderId="0" xfId="0" applyNumberFormat="1" applyFont="1" applyFill="1" applyAlignment="1" applyProtection="1">
      <alignment horizontal="right" vertical="center"/>
    </xf>
    <xf numFmtId="49" fontId="40" fillId="0" borderId="0" xfId="0" applyNumberFormat="1" applyFont="1" applyFill="1" applyAlignment="1" applyProtection="1">
      <alignment horizontal="left" vertical="center"/>
      <protection locked="0"/>
    </xf>
    <xf numFmtId="49" fontId="41" fillId="2" borderId="0" xfId="0" applyNumberFormat="1" applyFont="1" applyFill="1" applyAlignment="1" applyProtection="1">
      <alignment horizontal="right" vertical="center"/>
    </xf>
    <xf numFmtId="49" fontId="0" fillId="0" borderId="0" xfId="0" applyNumberFormat="1" applyFill="1" applyAlignment="1" applyProtection="1">
      <alignment horizontal="left"/>
    </xf>
    <xf numFmtId="49" fontId="8" fillId="0" borderId="0" xfId="0" applyNumberFormat="1" applyFont="1" applyFill="1" applyAlignment="1" applyProtection="1">
      <alignment horizontal="left"/>
    </xf>
    <xf numFmtId="49" fontId="4" fillId="0" borderId="0" xfId="0" applyNumberFormat="1" applyFont="1" applyFill="1" applyAlignment="1" applyProtection="1">
      <alignment horizontal="left"/>
    </xf>
    <xf numFmtId="49" fontId="4" fillId="0" borderId="0" xfId="0" applyNumberFormat="1" applyFont="1" applyFill="1" applyAlignment="1" applyProtection="1">
      <alignment horizontal="left"/>
      <protection locked="0"/>
    </xf>
    <xf numFmtId="49" fontId="8" fillId="0" borderId="0" xfId="0" applyNumberFormat="1" applyFont="1" applyFill="1" applyAlignment="1" applyProtection="1">
      <alignment horizontal="left"/>
      <protection locked="0"/>
    </xf>
    <xf numFmtId="49" fontId="7" fillId="0" borderId="0" xfId="0" applyNumberFormat="1" applyFont="1" applyFill="1" applyAlignment="1" applyProtection="1">
      <alignment horizontal="left"/>
      <protection locked="0"/>
    </xf>
    <xf numFmtId="164" fontId="39" fillId="0" borderId="0" xfId="0" applyNumberFormat="1" applyFont="1" applyFill="1" applyAlignment="1" applyProtection="1">
      <alignment horizontal="left"/>
    </xf>
    <xf numFmtId="164" fontId="39" fillId="0" borderId="0" xfId="0" applyNumberFormat="1" applyFont="1" applyFill="1" applyAlignment="1" applyProtection="1">
      <alignment horizontal="left"/>
      <protection locked="0"/>
    </xf>
    <xf numFmtId="49" fontId="39" fillId="0" borderId="0" xfId="0" applyNumberFormat="1" applyFont="1" applyFill="1" applyAlignment="1" applyProtection="1">
      <alignment horizontal="left"/>
    </xf>
    <xf numFmtId="49" fontId="40" fillId="2" borderId="21" xfId="0" applyNumberFormat="1" applyFont="1" applyFill="1" applyBorder="1" applyAlignment="1" applyProtection="1">
      <alignment horizontal="left" vertical="center"/>
    </xf>
    <xf numFmtId="49" fontId="40" fillId="2" borderId="22" xfId="0" applyNumberFormat="1" applyFont="1" applyFill="1" applyBorder="1" applyAlignment="1" applyProtection="1">
      <alignment horizontal="left" vertical="center"/>
    </xf>
    <xf numFmtId="49" fontId="39" fillId="0" borderId="0" xfId="0" applyNumberFormat="1" applyFont="1" applyFill="1" applyAlignment="1" applyProtection="1">
      <alignment horizontal="left"/>
      <protection locked="0"/>
    </xf>
    <xf numFmtId="49" fontId="40" fillId="2" borderId="21" xfId="0" quotePrefix="1" applyNumberFormat="1" applyFont="1" applyFill="1" applyBorder="1" applyAlignment="1" applyProtection="1">
      <alignment horizontal="left" vertical="center"/>
    </xf>
    <xf numFmtId="49" fontId="40" fillId="2" borderId="22" xfId="0" quotePrefix="1" applyNumberFormat="1" applyFont="1" applyFill="1" applyBorder="1" applyAlignment="1" applyProtection="1">
      <alignment horizontal="left" vertical="center"/>
    </xf>
    <xf numFmtId="49" fontId="0" fillId="0" borderId="0" xfId="0" applyNumberFormat="1" applyFill="1" applyAlignment="1" applyProtection="1">
      <alignment horizontal="left"/>
      <protection locked="0"/>
    </xf>
    <xf numFmtId="164" fontId="0" fillId="0" borderId="0" xfId="1" applyNumberFormat="1" applyFont="1"/>
    <xf numFmtId="0" fontId="0" fillId="0" borderId="7" xfId="0" applyNumberFormat="1" applyBorder="1"/>
    <xf numFmtId="49" fontId="0" fillId="0" borderId="0" xfId="1" applyNumberFormat="1" applyFont="1"/>
    <xf numFmtId="0" fontId="0" fillId="0" borderId="0" xfId="1" applyNumberFormat="1" applyFont="1"/>
    <xf numFmtId="0" fontId="37" fillId="14" borderId="14" xfId="0" applyNumberFormat="1" applyFont="1" applyFill="1" applyBorder="1"/>
    <xf numFmtId="0" fontId="0" fillId="0" borderId="0" xfId="0" applyNumberFormat="1" applyFont="1"/>
    <xf numFmtId="0" fontId="8" fillId="0" borderId="0" xfId="0" applyNumberFormat="1" applyFont="1" applyAlignment="1">
      <alignment horizontal="center"/>
    </xf>
    <xf numFmtId="0" fontId="37" fillId="14" borderId="12" xfId="0" applyNumberFormat="1" applyFont="1" applyFill="1" applyBorder="1"/>
    <xf numFmtId="0" fontId="37" fillId="14" borderId="13" xfId="0" applyNumberFormat="1" applyFont="1" applyFill="1" applyBorder="1"/>
    <xf numFmtId="0" fontId="0" fillId="0" borderId="6" xfId="0" applyNumberFormat="1" applyBorder="1"/>
    <xf numFmtId="0" fontId="21" fillId="0" borderId="0" xfId="0" applyFont="1" applyFill="1" applyBorder="1" applyAlignment="1" applyProtection="1">
      <alignment horizontal="left" vertical="center"/>
      <protection locked="0"/>
    </xf>
    <xf numFmtId="173" fontId="4" fillId="0" borderId="0" xfId="2" applyNumberFormat="1" applyFont="1" applyFill="1" applyBorder="1" applyAlignment="1" applyProtection="1">
      <alignment horizontal="left" vertical="center"/>
    </xf>
    <xf numFmtId="0" fontId="43" fillId="2" borderId="0" xfId="0" applyFont="1" applyFill="1"/>
    <xf numFmtId="22" fontId="43" fillId="2" borderId="0" xfId="0" applyNumberFormat="1" applyFont="1" applyFill="1" applyAlignment="1">
      <alignment horizontal="left"/>
    </xf>
    <xf numFmtId="0" fontId="43" fillId="2" borderId="0" xfId="0" applyNumberFormat="1" applyFont="1" applyFill="1" applyAlignment="1">
      <alignment horizontal="center"/>
    </xf>
    <xf numFmtId="0" fontId="43" fillId="2" borderId="0" xfId="0" applyFont="1" applyFill="1" applyAlignment="1">
      <alignment horizontal="left" vertical="top" wrapText="1"/>
    </xf>
    <xf numFmtId="0" fontId="6" fillId="0" borderId="0" xfId="0" applyFont="1" applyBorder="1" applyAlignment="1"/>
    <xf numFmtId="0" fontId="6" fillId="0" borderId="0" xfId="0" applyFont="1" applyAlignment="1"/>
    <xf numFmtId="0" fontId="6" fillId="0" borderId="6" xfId="0" applyFont="1" applyBorder="1" applyAlignment="1"/>
    <xf numFmtId="0" fontId="6" fillId="0" borderId="7" xfId="0" applyFont="1" applyBorder="1" applyAlignment="1"/>
    <xf numFmtId="0" fontId="6" fillId="0" borderId="8" xfId="0" applyFont="1" applyBorder="1" applyAlignment="1"/>
    <xf numFmtId="0" fontId="9" fillId="16" borderId="14" xfId="0" applyFont="1" applyFill="1" applyBorder="1" applyAlignment="1">
      <alignment horizontal="left" vertical="center"/>
    </xf>
    <xf numFmtId="0" fontId="31" fillId="0" borderId="0" xfId="0" applyFont="1"/>
    <xf numFmtId="0" fontId="37" fillId="14" borderId="2" xfId="0" applyFont="1" applyFill="1" applyBorder="1"/>
    <xf numFmtId="0" fontId="43" fillId="0" borderId="0" xfId="0" applyFont="1"/>
    <xf numFmtId="167" fontId="43" fillId="0" borderId="0" xfId="0" applyNumberFormat="1" applyFont="1"/>
    <xf numFmtId="164" fontId="43" fillId="0" borderId="0" xfId="0" applyNumberFormat="1" applyFont="1"/>
    <xf numFmtId="0" fontId="43" fillId="0" borderId="0" xfId="0" applyFont="1" applyAlignment="1">
      <alignment horizontal="center"/>
    </xf>
    <xf numFmtId="49" fontId="43" fillId="0" borderId="0" xfId="1" applyNumberFormat="1" applyFont="1"/>
    <xf numFmtId="0" fontId="43" fillId="0" borderId="0" xfId="1" applyNumberFormat="1" applyFont="1"/>
    <xf numFmtId="0" fontId="43" fillId="0" borderId="0" xfId="0" applyFont="1" applyAlignment="1">
      <alignment horizontal="left"/>
    </xf>
    <xf numFmtId="165" fontId="43" fillId="0" borderId="0" xfId="1" applyNumberFormat="1" applyFont="1"/>
    <xf numFmtId="165" fontId="37" fillId="14" borderId="11" xfId="1" applyNumberFormat="1" applyFont="1" applyFill="1" applyBorder="1"/>
    <xf numFmtId="164" fontId="37" fillId="14" borderId="14" xfId="0" applyNumberFormat="1" applyFont="1" applyFill="1" applyBorder="1"/>
    <xf numFmtId="49" fontId="37" fillId="14" borderId="13" xfId="0" applyNumberFormat="1" applyFont="1" applyFill="1" applyBorder="1"/>
    <xf numFmtId="49" fontId="0" fillId="0" borderId="9" xfId="0" applyNumberFormat="1" applyBorder="1"/>
    <xf numFmtId="164" fontId="0" fillId="0" borderId="0" xfId="0" applyNumberFormat="1" applyBorder="1"/>
    <xf numFmtId="165" fontId="0" fillId="0" borderId="0" xfId="1" applyNumberFormat="1" applyFont="1" applyAlignment="1">
      <alignment horizontal="left"/>
    </xf>
    <xf numFmtId="168" fontId="0" fillId="0" borderId="0" xfId="0" applyNumberFormat="1" applyFill="1"/>
    <xf numFmtId="0" fontId="0" fillId="0" borderId="0" xfId="0" applyNumberFormat="1" applyFill="1" applyBorder="1"/>
    <xf numFmtId="165" fontId="0" fillId="0" borderId="0" xfId="1" applyNumberFormat="1" applyFont="1" applyFill="1"/>
    <xf numFmtId="165" fontId="0" fillId="0" borderId="0" xfId="1" applyNumberFormat="1" applyFont="1" applyFill="1" applyBorder="1"/>
    <xf numFmtId="168" fontId="0" fillId="0" borderId="10" xfId="0" applyNumberFormat="1" applyBorder="1"/>
    <xf numFmtId="167" fontId="8" fillId="2" borderId="0" xfId="0" applyNumberFormat="1" applyFont="1" applyFill="1"/>
    <xf numFmtId="167" fontId="0" fillId="0" borderId="7" xfId="0" applyNumberFormat="1" applyBorder="1"/>
    <xf numFmtId="0" fontId="18" fillId="0" borderId="2" xfId="4" quotePrefix="1" applyNumberFormat="1" applyFont="1" applyFill="1" applyBorder="1" applyAlignment="1">
      <alignment horizontal="left" vertical="center"/>
    </xf>
    <xf numFmtId="0" fontId="18" fillId="0" borderId="0" xfId="4" applyNumberFormat="1" applyFont="1" applyFill="1" applyBorder="1" applyAlignment="1">
      <alignment horizontal="left" vertical="center"/>
    </xf>
    <xf numFmtId="0" fontId="18" fillId="0" borderId="0" xfId="0" applyNumberFormat="1" applyFont="1" applyFill="1" applyAlignment="1">
      <alignment horizontal="left" vertical="center"/>
    </xf>
    <xf numFmtId="167" fontId="14" fillId="0" borderId="2" xfId="3" applyNumberFormat="1" applyFont="1" applyFill="1" applyBorder="1" applyAlignment="1">
      <alignment horizontal="right" vertical="center"/>
    </xf>
    <xf numFmtId="167" fontId="14" fillId="0" borderId="0" xfId="3" applyNumberFormat="1" applyFont="1" applyFill="1" applyBorder="1" applyAlignment="1">
      <alignment horizontal="right" vertical="center"/>
    </xf>
    <xf numFmtId="167" fontId="0" fillId="2" borderId="0" xfId="0" applyNumberFormat="1" applyFill="1" applyAlignment="1">
      <alignment horizontal="left"/>
    </xf>
    <xf numFmtId="167" fontId="6" fillId="0" borderId="0" xfId="0" applyNumberFormat="1" applyFont="1" applyBorder="1" applyAlignment="1">
      <alignment wrapText="1"/>
    </xf>
    <xf numFmtId="167" fontId="0" fillId="0" borderId="0" xfId="0" applyNumberFormat="1" applyAlignment="1">
      <alignment horizontal="left" vertical="top"/>
    </xf>
    <xf numFmtId="0" fontId="14" fillId="0" borderId="0" xfId="3" applyFont="1" applyFill="1" applyBorder="1" applyAlignment="1">
      <alignment horizontal="right" vertical="center" wrapText="1"/>
    </xf>
    <xf numFmtId="170" fontId="0" fillId="0" borderId="0" xfId="0" applyNumberFormat="1" applyAlignment="1">
      <alignment horizontal="left" vertical="top" wrapText="1"/>
    </xf>
    <xf numFmtId="2" fontId="0" fillId="0" borderId="0" xfId="0" applyNumberFormat="1" applyAlignment="1">
      <alignment horizontal="left"/>
    </xf>
    <xf numFmtId="0" fontId="5" fillId="0" borderId="0" xfId="0" applyFont="1" applyAlignment="1"/>
    <xf numFmtId="164" fontId="5" fillId="0" borderId="0" xfId="0" applyNumberFormat="1" applyFont="1" applyAlignment="1"/>
    <xf numFmtId="0" fontId="5" fillId="0" borderId="0" xfId="0" applyNumberFormat="1" applyFont="1" applyAlignment="1"/>
    <xf numFmtId="0" fontId="5" fillId="0" borderId="0" xfId="0" applyFont="1" applyAlignment="1">
      <alignment horizontal="left"/>
    </xf>
    <xf numFmtId="0" fontId="0" fillId="0" borderId="0" xfId="0" applyAlignment="1"/>
    <xf numFmtId="165" fontId="5" fillId="0" borderId="0" xfId="1" applyNumberFormat="1" applyFont="1" applyAlignment="1"/>
    <xf numFmtId="164" fontId="5" fillId="0" borderId="0" xfId="1" applyNumberFormat="1" applyFont="1" applyAlignment="1"/>
    <xf numFmtId="0" fontId="5" fillId="0" borderId="0" xfId="1" applyNumberFormat="1" applyFont="1" applyAlignment="1"/>
    <xf numFmtId="0" fontId="5" fillId="0" borderId="0" xfId="0" applyFont="1" applyAlignment="1">
      <alignment horizontal="center"/>
    </xf>
    <xf numFmtId="164" fontId="0" fillId="0" borderId="9" xfId="0" applyNumberFormat="1" applyBorder="1"/>
    <xf numFmtId="0" fontId="43" fillId="0" borderId="0" xfId="0" applyNumberFormat="1" applyFont="1"/>
    <xf numFmtId="0" fontId="44" fillId="0" borderId="18" xfId="0" applyFont="1" applyFill="1" applyBorder="1" applyAlignment="1" applyProtection="1">
      <alignment horizontal="center" vertical="center"/>
      <protection locked="0"/>
    </xf>
    <xf numFmtId="172" fontId="0" fillId="0" borderId="0" xfId="0" applyNumberFormat="1"/>
    <xf numFmtId="175" fontId="0" fillId="0" borderId="0" xfId="0" applyNumberFormat="1"/>
    <xf numFmtId="0" fontId="45" fillId="0" borderId="0" xfId="0" applyFont="1"/>
    <xf numFmtId="6" fontId="0" fillId="0" borderId="0" xfId="1" applyNumberFormat="1" applyFont="1" applyFill="1"/>
    <xf numFmtId="22" fontId="0" fillId="0" borderId="0" xfId="0" applyNumberFormat="1" applyAlignment="1">
      <alignment horizontal="left" vertical="top"/>
    </xf>
    <xf numFmtId="0" fontId="37" fillId="14" borderId="11" xfId="0" applyNumberFormat="1" applyFont="1" applyFill="1" applyBorder="1"/>
    <xf numFmtId="0" fontId="20" fillId="10" borderId="0" xfId="2" applyFont="1" applyFill="1" applyBorder="1" applyAlignment="1" applyProtection="1">
      <alignment horizontal="right" vertical="center"/>
    </xf>
    <xf numFmtId="0" fontId="20" fillId="7" borderId="0" xfId="2" applyFont="1" applyFill="1" applyBorder="1" applyAlignment="1" applyProtection="1">
      <alignment horizontal="right" vertical="center"/>
    </xf>
    <xf numFmtId="0" fontId="20" fillId="8" borderId="0" xfId="2" applyFont="1" applyFill="1" applyBorder="1" applyAlignment="1" applyProtection="1">
      <alignment horizontal="right" vertical="center"/>
    </xf>
    <xf numFmtId="164" fontId="8" fillId="0" borderId="0" xfId="1" applyNumberFormat="1" applyFont="1"/>
    <xf numFmtId="164" fontId="37" fillId="14" borderId="11" xfId="0" applyNumberFormat="1" applyFont="1" applyFill="1" applyBorder="1"/>
    <xf numFmtId="0" fontId="0" fillId="0" borderId="8" xfId="0" applyNumberFormat="1" applyBorder="1"/>
    <xf numFmtId="0" fontId="20" fillId="4" borderId="0" xfId="2" applyFont="1" applyFill="1" applyAlignment="1">
      <alignment horizontal="right" vertical="center" wrapText="1"/>
    </xf>
    <xf numFmtId="0" fontId="20" fillId="10" borderId="0" xfId="2" applyFont="1" applyFill="1" applyAlignment="1">
      <alignment horizontal="right" vertical="center" wrapText="1"/>
    </xf>
    <xf numFmtId="0" fontId="20" fillId="12" borderId="0" xfId="2" applyFont="1" applyFill="1" applyAlignment="1">
      <alignment horizontal="right" vertical="center" wrapText="1"/>
    </xf>
    <xf numFmtId="0" fontId="20" fillId="11" borderId="0" xfId="2" applyFont="1" applyFill="1" applyAlignment="1">
      <alignment horizontal="right" vertical="center" wrapText="1"/>
    </xf>
    <xf numFmtId="0" fontId="20" fillId="13" borderId="0" xfId="2" applyFont="1" applyFill="1" applyAlignment="1">
      <alignment horizontal="right" vertical="center" wrapText="1"/>
    </xf>
    <xf numFmtId="0" fontId="20" fillId="7" borderId="0" xfId="2" applyFont="1" applyFill="1" applyAlignment="1">
      <alignment horizontal="right" vertical="center" wrapText="1"/>
    </xf>
    <xf numFmtId="0" fontId="20" fillId="8" borderId="0" xfId="2" applyFont="1" applyFill="1" applyAlignment="1">
      <alignment horizontal="right" vertical="center" wrapText="1"/>
    </xf>
    <xf numFmtId="22" fontId="0" fillId="0" borderId="0" xfId="0" applyNumberFormat="1" applyAlignment="1">
      <alignment horizontal="fill"/>
    </xf>
    <xf numFmtId="0" fontId="0" fillId="0" borderId="0" xfId="0" applyAlignment="1">
      <alignment horizontal="fill"/>
    </xf>
    <xf numFmtId="6" fontId="0" fillId="0" borderId="0" xfId="1" applyNumberFormat="1" applyFont="1"/>
    <xf numFmtId="0" fontId="2" fillId="15" borderId="23" xfId="0" applyFont="1" applyFill="1" applyBorder="1" applyAlignment="1">
      <alignment horizontal="right" vertical="center"/>
    </xf>
    <xf numFmtId="0" fontId="2" fillId="15" borderId="24" xfId="0" applyFont="1" applyFill="1" applyBorder="1" applyAlignment="1">
      <alignment horizontal="right" vertical="center"/>
    </xf>
    <xf numFmtId="0" fontId="2" fillId="15" borderId="25" xfId="0" applyFont="1" applyFill="1" applyBorder="1" applyAlignment="1">
      <alignment horizontal="right" vertical="center"/>
    </xf>
    <xf numFmtId="0" fontId="0" fillId="0" borderId="0" xfId="0" applyNumberFormat="1" applyBorder="1"/>
    <xf numFmtId="0" fontId="0" fillId="0" borderId="9" xfId="0" applyNumberFormat="1" applyBorder="1"/>
    <xf numFmtId="0" fontId="7" fillId="8" borderId="5" xfId="2" applyFont="1" applyFill="1" applyBorder="1" applyAlignment="1">
      <alignment horizontal="right" vertical="center"/>
    </xf>
    <xf numFmtId="0" fontId="2" fillId="8" borderId="5" xfId="2" applyFont="1" applyFill="1" applyBorder="1" applyAlignment="1">
      <alignment horizontal="right" vertical="center"/>
    </xf>
    <xf numFmtId="164" fontId="8" fillId="0" borderId="0" xfId="0" applyNumberFormat="1" applyFont="1"/>
    <xf numFmtId="0" fontId="20" fillId="0" borderId="0" xfId="0" applyFont="1" applyFill="1" applyAlignment="1" applyProtection="1">
      <alignment horizontal="right" vertical="center"/>
      <protection locked="0"/>
    </xf>
    <xf numFmtId="14" fontId="0" fillId="17" borderId="0" xfId="0" applyNumberFormat="1" applyFill="1"/>
    <xf numFmtId="164" fontId="0" fillId="17" borderId="0" xfId="0" applyNumberFormat="1" applyFill="1"/>
    <xf numFmtId="172" fontId="0" fillId="0" borderId="0" xfId="0" applyNumberFormat="1" applyBorder="1"/>
    <xf numFmtId="2" fontId="0" fillId="0" borderId="0" xfId="0" applyNumberFormat="1" applyBorder="1"/>
    <xf numFmtId="0" fontId="45" fillId="0" borderId="0" xfId="0" applyNumberFormat="1" applyFont="1"/>
    <xf numFmtId="164" fontId="45" fillId="0" borderId="0" xfId="0" applyNumberFormat="1" applyFont="1"/>
    <xf numFmtId="2" fontId="45" fillId="0" borderId="0" xfId="0" applyNumberFormat="1" applyFont="1"/>
    <xf numFmtId="172" fontId="45" fillId="0" borderId="0" xfId="0" applyNumberFormat="1" applyFont="1"/>
    <xf numFmtId="0" fontId="45" fillId="0" borderId="0" xfId="0" applyFont="1" applyAlignment="1"/>
    <xf numFmtId="0" fontId="8" fillId="0" borderId="19" xfId="2" applyNumberFormat="1" applyFont="1" applyFill="1" applyBorder="1" applyAlignment="1" applyProtection="1">
      <alignment horizontal="center" vertical="center"/>
      <protection locked="0"/>
    </xf>
    <xf numFmtId="0" fontId="0" fillId="0" borderId="0" xfId="0" applyAlignment="1">
      <alignment vertical="top"/>
    </xf>
    <xf numFmtId="0" fontId="0" fillId="0" borderId="0" xfId="0" applyAlignment="1">
      <alignment vertical="top" wrapText="1"/>
    </xf>
    <xf numFmtId="0" fontId="33" fillId="9" borderId="0" xfId="0" applyFont="1" applyFill="1" applyAlignment="1">
      <alignment horizontal="center" vertical="center"/>
    </xf>
    <xf numFmtId="0" fontId="46" fillId="5" borderId="0" xfId="2" applyFont="1" applyFill="1"/>
    <xf numFmtId="0" fontId="47" fillId="0" borderId="0" xfId="2" applyFont="1" applyFill="1"/>
    <xf numFmtId="0" fontId="0" fillId="0" borderId="0" xfId="0" applyAlignment="1">
      <alignment horizontal="left" indent="2"/>
    </xf>
    <xf numFmtId="0" fontId="24" fillId="18" borderId="0" xfId="0" applyFont="1" applyFill="1"/>
    <xf numFmtId="164" fontId="0" fillId="18" borderId="0" xfId="0" applyNumberFormat="1" applyFill="1"/>
    <xf numFmtId="0" fontId="0" fillId="18" borderId="0" xfId="0" applyFill="1"/>
    <xf numFmtId="0" fontId="20" fillId="19" borderId="0" xfId="0" applyFont="1" applyFill="1" applyBorder="1" applyAlignment="1">
      <alignment horizontal="right" vertical="center"/>
    </xf>
    <xf numFmtId="0" fontId="20" fillId="4" borderId="0" xfId="2" applyFont="1" applyFill="1" applyBorder="1" applyAlignment="1">
      <alignment horizontal="right" vertical="center"/>
    </xf>
    <xf numFmtId="0" fontId="20" fillId="10" borderId="0" xfId="2" applyFont="1" applyFill="1" applyBorder="1" applyAlignment="1">
      <alignment horizontal="right" vertical="center"/>
    </xf>
    <xf numFmtId="0" fontId="20" fillId="12" borderId="0" xfId="2" applyFont="1" applyFill="1" applyBorder="1" applyAlignment="1">
      <alignment horizontal="right" vertical="center"/>
    </xf>
    <xf numFmtId="0" fontId="20" fillId="11" borderId="0" xfId="2" applyFont="1" applyFill="1" applyBorder="1" applyAlignment="1">
      <alignment horizontal="right" vertical="center"/>
    </xf>
    <xf numFmtId="0" fontId="20" fillId="13" borderId="0" xfId="2" applyFont="1" applyFill="1" applyBorder="1" applyAlignment="1">
      <alignment horizontal="right" vertical="center"/>
    </xf>
    <xf numFmtId="0" fontId="20" fillId="7" borderId="0" xfId="2" applyFont="1" applyFill="1" applyBorder="1" applyAlignment="1">
      <alignment horizontal="right" vertical="center"/>
    </xf>
    <xf numFmtId="49" fontId="0" fillId="0" borderId="0" xfId="0" applyNumberFormat="1" applyFill="1"/>
    <xf numFmtId="49" fontId="0" fillId="0" borderId="7" xfId="0" applyNumberFormat="1" applyFill="1" applyBorder="1"/>
    <xf numFmtId="49" fontId="0" fillId="20" borderId="0" xfId="0" applyNumberFormat="1" applyFill="1" applyAlignment="1" applyProtection="1">
      <alignment horizontal="left"/>
    </xf>
    <xf numFmtId="49" fontId="40" fillId="20" borderId="0" xfId="0" applyNumberFormat="1" applyFont="1" applyFill="1" applyAlignment="1" applyProtection="1">
      <alignment horizontal="left" vertical="center"/>
      <protection locked="0"/>
    </xf>
    <xf numFmtId="49" fontId="0" fillId="20" borderId="0" xfId="0" applyNumberFormat="1" applyFill="1" applyAlignment="1" applyProtection="1">
      <alignment horizontal="left"/>
      <protection locked="0"/>
    </xf>
    <xf numFmtId="49" fontId="39" fillId="20" borderId="0" xfId="0" applyNumberFormat="1" applyFont="1" applyFill="1" applyAlignment="1" applyProtection="1">
      <alignment horizontal="left"/>
    </xf>
    <xf numFmtId="49" fontId="0" fillId="6" borderId="0" xfId="0" applyNumberFormat="1" applyFill="1" applyAlignment="1" applyProtection="1">
      <alignment horizontal="left"/>
    </xf>
    <xf numFmtId="49" fontId="0" fillId="6" borderId="0" xfId="0" applyNumberFormat="1" applyFill="1" applyAlignment="1" applyProtection="1">
      <alignment horizontal="left"/>
      <protection locked="0"/>
    </xf>
    <xf numFmtId="49" fontId="7" fillId="6" borderId="0" xfId="0" applyNumberFormat="1" applyFont="1" applyFill="1" applyAlignment="1" applyProtection="1">
      <alignment horizontal="left"/>
    </xf>
    <xf numFmtId="0" fontId="42" fillId="0" borderId="10" xfId="0" applyFont="1" applyBorder="1"/>
    <xf numFmtId="0" fontId="48" fillId="0" borderId="0" xfId="3" applyFont="1" applyFill="1" applyBorder="1" applyAlignment="1">
      <alignment horizontal="right" vertical="center"/>
    </xf>
    <xf numFmtId="0" fontId="2" fillId="2" borderId="0" xfId="0" applyFont="1" applyFill="1" applyBorder="1"/>
    <xf numFmtId="0" fontId="25" fillId="0" borderId="0" xfId="0" applyFont="1" applyFill="1"/>
    <xf numFmtId="0" fontId="25" fillId="0" borderId="0" xfId="0" applyFont="1" applyFill="1" applyAlignment="1">
      <alignment horizontal="left" indent="10"/>
    </xf>
    <xf numFmtId="0" fontId="49" fillId="0" borderId="0" xfId="0" applyFont="1" applyFill="1" applyAlignment="1">
      <alignment horizontal="left" vertical="top" wrapText="1" indent="10"/>
    </xf>
    <xf numFmtId="0" fontId="25" fillId="0" borderId="0" xfId="0" applyFont="1" applyFill="1" applyAlignment="1">
      <alignment vertical="center"/>
    </xf>
    <xf numFmtId="0" fontId="25" fillId="2" borderId="0" xfId="0" applyFont="1" applyFill="1" applyBorder="1" applyProtection="1">
      <protection locked="0"/>
    </xf>
    <xf numFmtId="0" fontId="25" fillId="2" borderId="0" xfId="0" applyFont="1" applyFill="1" applyAlignment="1">
      <alignment vertical="center"/>
    </xf>
    <xf numFmtId="0" fontId="25" fillId="0" borderId="0" xfId="0" applyFont="1" applyFill="1" applyBorder="1" applyAlignment="1" applyProtection="1">
      <alignment horizontal="center"/>
      <protection locked="0"/>
    </xf>
    <xf numFmtId="0" fontId="25" fillId="0" borderId="0" xfId="0" applyFont="1" applyFill="1" applyAlignment="1" applyProtection="1">
      <alignment vertical="center"/>
      <protection locked="0"/>
    </xf>
    <xf numFmtId="0" fontId="25" fillId="0" borderId="0" xfId="0" applyFont="1" applyFill="1" applyBorder="1"/>
    <xf numFmtId="0" fontId="30" fillId="2" borderId="0" xfId="0" applyFont="1" applyFill="1" applyBorder="1" applyAlignment="1">
      <alignment horizontal="right" vertical="center"/>
    </xf>
    <xf numFmtId="0" fontId="20" fillId="2" borderId="0" xfId="0" applyFont="1" applyFill="1" applyBorder="1" applyAlignment="1">
      <alignment horizontal="right" wrapText="1"/>
    </xf>
    <xf numFmtId="0" fontId="42" fillId="0" borderId="0" xfId="2" applyFill="1"/>
    <xf numFmtId="165" fontId="43" fillId="0" borderId="0" xfId="1" applyNumberFormat="1" applyFont="1" applyFill="1"/>
    <xf numFmtId="42" fontId="43" fillId="0" borderId="0" xfId="0" applyNumberFormat="1" applyFont="1" applyFill="1" applyAlignment="1">
      <alignment horizontal="center"/>
    </xf>
    <xf numFmtId="42" fontId="43" fillId="0" borderId="0" xfId="0" applyNumberFormat="1" applyFont="1" applyFill="1"/>
    <xf numFmtId="2" fontId="43" fillId="0" borderId="0" xfId="0" applyNumberFormat="1" applyFont="1"/>
    <xf numFmtId="22" fontId="0" fillId="0" borderId="0" xfId="0" applyNumberFormat="1"/>
    <xf numFmtId="0" fontId="30" fillId="18" borderId="0" xfId="0" applyFont="1" applyFill="1" applyAlignment="1">
      <alignment horizontal="left"/>
    </xf>
    <xf numFmtId="0" fontId="30" fillId="18" borderId="0" xfId="0" applyFont="1" applyFill="1"/>
    <xf numFmtId="0" fontId="37" fillId="14" borderId="2" xfId="0" applyNumberFormat="1" applyFont="1" applyFill="1" applyBorder="1"/>
    <xf numFmtId="38" fontId="0" fillId="0" borderId="0" xfId="0" applyNumberFormat="1"/>
    <xf numFmtId="49" fontId="24" fillId="0" borderId="0" xfId="0" applyNumberFormat="1" applyFont="1" applyFill="1" applyAlignment="1">
      <alignment horizontal="right" vertical="center" wrapText="1"/>
    </xf>
    <xf numFmtId="0" fontId="8" fillId="21" borderId="17" xfId="2" applyNumberFormat="1" applyFont="1" applyFill="1" applyBorder="1" applyAlignment="1" applyProtection="1">
      <alignment horizontal="center" vertical="center"/>
      <protection locked="0"/>
    </xf>
    <xf numFmtId="0" fontId="4" fillId="21" borderId="0" xfId="2" applyNumberFormat="1" applyFont="1" applyFill="1" applyBorder="1" applyAlignment="1" applyProtection="1">
      <alignment horizontal="right" vertical="center"/>
    </xf>
    <xf numFmtId="173" fontId="4" fillId="21" borderId="0" xfId="2" applyNumberFormat="1" applyFont="1" applyFill="1" applyBorder="1" applyAlignment="1" applyProtection="1">
      <alignment horizontal="center" vertical="center"/>
    </xf>
    <xf numFmtId="173" fontId="4" fillId="21" borderId="0" xfId="2" applyNumberFormat="1" applyFont="1" applyFill="1" applyBorder="1" applyAlignment="1" applyProtection="1">
      <alignment horizontal="left" vertical="center"/>
    </xf>
    <xf numFmtId="0" fontId="20" fillId="8" borderId="0" xfId="2" applyFont="1" applyFill="1" applyBorder="1" applyAlignment="1">
      <alignment horizontal="right" vertical="center"/>
    </xf>
    <xf numFmtId="165" fontId="37" fillId="14" borderId="13" xfId="1" applyNumberFormat="1" applyFont="1" applyFill="1" applyBorder="1"/>
    <xf numFmtId="49" fontId="37" fillId="14" borderId="11" xfId="0" applyNumberFormat="1" applyFont="1" applyFill="1" applyBorder="1"/>
    <xf numFmtId="0" fontId="42" fillId="0" borderId="10" xfId="0" applyFont="1" applyBorder="1" applyAlignment="1">
      <alignment horizontal="left" vertical="top"/>
    </xf>
    <xf numFmtId="0" fontId="51" fillId="2" borderId="0" xfId="0" applyFont="1" applyFill="1" applyAlignment="1">
      <alignment vertical="center"/>
    </xf>
    <xf numFmtId="172" fontId="18" fillId="0" borderId="0" xfId="4" applyNumberFormat="1" applyFont="1" applyFill="1" applyBorder="1" applyAlignment="1">
      <alignment horizontal="left" vertical="center"/>
    </xf>
    <xf numFmtId="165" fontId="0" fillId="0" borderId="0" xfId="0" applyNumberFormat="1" applyFont="1"/>
    <xf numFmtId="0" fontId="42" fillId="0" borderId="10" xfId="0" applyFont="1" applyFill="1" applyBorder="1"/>
    <xf numFmtId="0" fontId="0" fillId="0" borderId="0" xfId="0" applyNumberFormat="1" applyFont="1" applyFill="1"/>
    <xf numFmtId="0" fontId="0" fillId="0" borderId="0" xfId="0" applyNumberFormat="1" applyAlignment="1">
      <alignment horizontal="right" wrapText="1"/>
    </xf>
    <xf numFmtId="0" fontId="0" fillId="2" borderId="0" xfId="0" applyNumberFormat="1" applyFill="1" applyAlignment="1">
      <alignment horizontal="right" vertical="top" wrapText="1"/>
    </xf>
    <xf numFmtId="0" fontId="2" fillId="0" borderId="0" xfId="0" applyNumberFormat="1" applyFont="1" applyBorder="1" applyAlignment="1">
      <alignment horizontal="left" wrapText="1"/>
    </xf>
    <xf numFmtId="0" fontId="0" fillId="0" borderId="0" xfId="0" applyNumberFormat="1" applyAlignment="1">
      <alignment horizontal="right" vertical="top" wrapText="1"/>
    </xf>
    <xf numFmtId="165" fontId="1" fillId="0" borderId="0" xfId="0" applyNumberFormat="1" applyFont="1"/>
    <xf numFmtId="0" fontId="1" fillId="0" borderId="0" xfId="0" applyNumberFormat="1" applyFont="1"/>
    <xf numFmtId="0" fontId="42" fillId="0" borderId="0" xfId="2"/>
    <xf numFmtId="168" fontId="42" fillId="0" borderId="10" xfId="2" applyNumberFormat="1" applyBorder="1"/>
    <xf numFmtId="22" fontId="42" fillId="0" borderId="0" xfId="2" applyNumberFormat="1"/>
    <xf numFmtId="49" fontId="22" fillId="0" borderId="17" xfId="0" quotePrefix="1" applyNumberFormat="1" applyFont="1" applyFill="1" applyBorder="1" applyAlignment="1" applyProtection="1">
      <alignment horizontal="left" vertical="center"/>
    </xf>
    <xf numFmtId="0" fontId="10" fillId="0" borderId="0" xfId="0" applyFont="1" applyFill="1" applyAlignment="1">
      <alignment horizontal="left" vertical="center"/>
    </xf>
    <xf numFmtId="0" fontId="17" fillId="0" borderId="0" xfId="0" applyFont="1" applyFill="1" applyAlignment="1">
      <alignment horizontal="center" vertical="top" wrapText="1"/>
    </xf>
    <xf numFmtId="0" fontId="19" fillId="4" borderId="0" xfId="0" applyFont="1" applyFill="1" applyAlignment="1">
      <alignment horizontal="center" vertical="center"/>
    </xf>
    <xf numFmtId="49" fontId="22" fillId="0" borderId="17" xfId="0" applyNumberFormat="1" applyFont="1" applyFill="1" applyBorder="1" applyAlignment="1" applyProtection="1">
      <alignment horizontal="left" vertical="center"/>
    </xf>
    <xf numFmtId="49" fontId="22" fillId="0" borderId="19" xfId="0" applyNumberFormat="1" applyFont="1" applyFill="1" applyBorder="1" applyAlignment="1" applyProtection="1">
      <alignment horizontal="left" vertical="center"/>
    </xf>
    <xf numFmtId="49" fontId="22" fillId="0" borderId="18" xfId="0" applyNumberFormat="1" applyFont="1" applyFill="1" applyBorder="1" applyAlignment="1" applyProtection="1">
      <alignment horizontal="left" vertical="center"/>
    </xf>
    <xf numFmtId="0" fontId="9" fillId="0" borderId="0" xfId="0" applyFont="1" applyFill="1" applyAlignment="1">
      <alignment horizontal="center" vertical="center"/>
    </xf>
    <xf numFmtId="0" fontId="9" fillId="0" borderId="0" xfId="0" applyFont="1" applyFill="1" applyAlignment="1">
      <alignment horizontal="left" vertical="center"/>
    </xf>
    <xf numFmtId="0" fontId="33" fillId="9" borderId="0" xfId="0" applyFont="1" applyFill="1" applyAlignment="1">
      <alignment horizontal="center" vertical="center"/>
    </xf>
    <xf numFmtId="0" fontId="33" fillId="7" borderId="0" xfId="0" applyFont="1" applyFill="1" applyAlignment="1">
      <alignment horizontal="center" vertical="center"/>
    </xf>
    <xf numFmtId="0" fontId="5" fillId="0" borderId="0" xfId="0" applyNumberFormat="1" applyFont="1" applyAlignment="1">
      <alignment horizontal="right"/>
    </xf>
    <xf numFmtId="0" fontId="5" fillId="0" borderId="0" xfId="0" quotePrefix="1" applyNumberFormat="1" applyFont="1" applyAlignment="1">
      <alignment horizontal="right"/>
    </xf>
    <xf numFmtId="0" fontId="0" fillId="2" borderId="0" xfId="0" applyFont="1" applyFill="1" applyAlignment="1">
      <alignment vertical="center" wrapText="1"/>
    </xf>
  </cellXfs>
  <cellStyles count="5">
    <cellStyle name="Currency" xfId="1" builtinId="4"/>
    <cellStyle name="Hyperlink" xfId="2" builtinId="8" customBuiltin="1"/>
    <cellStyle name="Normal" xfId="0" builtinId="0"/>
    <cellStyle name="Subtotal" xfId="4"/>
    <cellStyle name="Subtotal Label" xfId="3"/>
  </cellStyles>
  <dxfs count="387">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left"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left" textRotation="0" wrapText="0" indent="0" justifyLastLine="0" shrinkToFit="0" readingOrder="0"/>
      <protection locked="0" hidden="0"/>
    </dxf>
    <dxf>
      <font>
        <b val="0"/>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left" textRotation="0" wrapText="0" indent="0" justifyLastLine="0" shrinkToFit="0" readingOrder="0"/>
      <protection locked="0" hidden="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font>
        <b val="0"/>
      </font>
      <alignment vertical="center" textRotation="0" wrapText="1" indent="0" justifyLastLine="0" shrinkToFit="0" readingOrder="0"/>
    </dxf>
    <dxf>
      <font>
        <b val="0"/>
      </font>
      <alignment vertical="center" textRotation="0" wrapText="1" indent="0" justifyLastLine="0" shrinkToFit="0" readingOrder="0"/>
    </dxf>
    <dxf>
      <font>
        <b/>
        <i val="0"/>
        <strike val="0"/>
        <outline val="0"/>
        <shadow val="0"/>
        <u val="none"/>
        <vertAlign val="baseline"/>
        <sz val="12"/>
        <color theme="0"/>
        <name val="Calibri"/>
        <scheme val="minor"/>
      </font>
      <fill>
        <patternFill patternType="solid">
          <fgColor indexed="64"/>
          <bgColor theme="3"/>
        </patternFill>
      </fill>
      <alignment horizontal="right" vertical="center" textRotation="0" wrapText="1" indent="0" justifyLastLine="0" shrinkToFit="0" readingOrder="0"/>
    </dxf>
    <dxf>
      <font>
        <b/>
        <i val="0"/>
        <strike val="0"/>
        <condense val="0"/>
        <extend val="0"/>
        <outline val="0"/>
        <shadow val="0"/>
        <u val="none"/>
        <vertAlign val="baseline"/>
        <sz val="12"/>
        <color theme="0"/>
        <name val="Calibri"/>
        <scheme val="minor"/>
      </font>
      <fill>
        <patternFill patternType="solid">
          <fgColor indexed="64"/>
          <bgColor theme="0"/>
        </patternFill>
      </fill>
      <alignment horizontal="right" vertical="bottom" textRotation="0" wrapText="1" indent="0" justifyLastLine="0" shrinkToFit="0" readingOrder="0"/>
    </dxf>
    <dxf>
      <alignment textRotation="0" wrapText="1" indent="0" justifyLastLine="0" shrinkToFit="0" readingOrder="0"/>
    </dxf>
    <dxf>
      <font>
        <b/>
        <i val="0"/>
        <strike val="0"/>
        <condense val="0"/>
        <extend val="0"/>
        <outline val="0"/>
        <shadow val="0"/>
        <u val="none"/>
        <vertAlign val="baseline"/>
        <sz val="11"/>
        <color theme="1"/>
        <name val="Calibri"/>
        <scheme val="minor"/>
      </font>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27" formatCode="m/d/yyyy\ h:mm"/>
      <alignment horizontal="left" vertical="top" textRotation="0" wrapText="0" indent="0" justifyLastLine="0" shrinkToFit="0" readingOrder="0"/>
    </dxf>
    <dxf>
      <border diagonalUp="0" diagonalDown="0">
        <left style="medium">
          <color rgb="FF000000"/>
        </left>
        <right style="medium">
          <color rgb="FF000000"/>
        </right>
        <top style="medium">
          <color rgb="FF000000"/>
        </top>
        <bottom style="medium">
          <color rgb="FF000000"/>
        </bottom>
      </border>
    </dxf>
    <dxf>
      <alignment horizontal="left" vertical="top" textRotation="0" indent="0" justifyLastLine="0" shrinkToFit="0" readingOrder="0"/>
    </dxf>
    <dxf>
      <font>
        <b/>
      </font>
      <alignment horizontal="general" vertical="bottom" textRotation="0" wrapText="0" indent="0" justifyLastLine="0" shrinkToFit="0" readingOrder="0"/>
    </dxf>
    <dxf>
      <fill>
        <patternFill patternType="none">
          <fgColor indexed="64"/>
          <bgColor auto="1"/>
        </patternFill>
      </fill>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none">
          <fgColor indexed="64"/>
          <bgColor auto="1"/>
        </patternFill>
      </fill>
    </dxf>
    <dxf>
      <numFmt numFmtId="2" formatCode="0.00"/>
    </dxf>
    <dxf>
      <numFmt numFmtId="2" formatCode="0.00"/>
    </dxf>
    <dxf>
      <numFmt numFmtId="2" formatCode="0.00"/>
    </dxf>
    <dxf>
      <numFmt numFmtId="2" formatCode="0.00"/>
    </dxf>
    <dxf>
      <numFmt numFmtId="2" formatCode="0.00"/>
    </dxf>
    <dxf>
      <numFmt numFmtId="172" formatCode="0.0"/>
    </dxf>
    <dxf>
      <numFmt numFmtId="172" formatCode="0.0"/>
    </dxf>
    <dxf>
      <numFmt numFmtId="0" formatCode="General"/>
    </dxf>
    <dxf>
      <numFmt numFmtId="0" formatCode="General"/>
    </dxf>
    <dxf>
      <numFmt numFmtId="2" formatCode="0.00"/>
    </dxf>
    <dxf>
      <numFmt numFmtId="2" formatCode="0.00"/>
    </dxf>
    <dxf>
      <numFmt numFmtId="0" formatCode="General"/>
    </dxf>
    <dxf>
      <numFmt numFmtId="0" formatCode="General"/>
    </dxf>
    <dxf>
      <numFmt numFmtId="2" formatCode="0.00"/>
    </dxf>
    <dxf>
      <numFmt numFmtId="2" formatCode="0.00"/>
    </dxf>
    <dxf>
      <numFmt numFmtId="0" formatCode="General"/>
    </dxf>
    <dxf>
      <numFmt numFmtId="0" formatCode="General"/>
    </dxf>
    <dxf>
      <numFmt numFmtId="164" formatCode="mm/dd/yy;@"/>
    </dxf>
    <dxf>
      <numFmt numFmtId="164" formatCode="mm/dd/yy;@"/>
    </dxf>
    <dxf>
      <numFmt numFmtId="0" formatCode="General"/>
    </dxf>
    <dxf>
      <numFmt numFmtId="0" formatCode="General"/>
      <border diagonalUp="0" diagonalDown="0">
        <left style="medium">
          <color indexed="64"/>
        </left>
        <right/>
        <top/>
        <bottom/>
        <vertical/>
        <horizontal/>
      </border>
    </dxf>
    <dxf>
      <numFmt numFmtId="2" formatCode="0.00"/>
    </dxf>
    <dxf>
      <numFmt numFmtId="2" formatCode="0.00"/>
    </dxf>
    <dxf>
      <numFmt numFmtId="2" formatCode="0.00"/>
    </dxf>
    <dxf>
      <numFmt numFmtId="2" formatCode="0.00"/>
    </dxf>
    <dxf>
      <numFmt numFmtId="172" formatCode="0.0"/>
    </dxf>
    <dxf>
      <numFmt numFmtId="172" formatCode="0.0"/>
    </dxf>
    <dxf>
      <numFmt numFmtId="172" formatCode="0.0"/>
    </dxf>
    <dxf>
      <numFmt numFmtId="172" formatCode="0.0"/>
    </dxf>
    <dxf>
      <numFmt numFmtId="2" formatCode="0.00"/>
    </dxf>
    <dxf>
      <numFmt numFmtId="2" formatCode="0.00"/>
    </dxf>
    <dxf>
      <numFmt numFmtId="0" formatCode="General"/>
    </dxf>
    <dxf>
      <numFmt numFmtId="0" formatCode="General"/>
    </dxf>
    <dxf>
      <numFmt numFmtId="2" formatCode="0.00"/>
    </dxf>
    <dxf>
      <numFmt numFmtId="2" formatCode="0.00"/>
    </dxf>
    <dxf>
      <numFmt numFmtId="0" formatCode="General"/>
    </dxf>
    <dxf>
      <numFmt numFmtId="0" formatCode="General"/>
    </dxf>
    <dxf>
      <numFmt numFmtId="164" formatCode="mm/dd/yy;@"/>
    </dxf>
    <dxf>
      <numFmt numFmtId="164" formatCode="mm/dd/yy;@"/>
    </dxf>
    <dxf>
      <numFmt numFmtId="2" formatCode="0.00"/>
    </dxf>
    <dxf>
      <numFmt numFmtId="2" formatCode="0.00"/>
    </dxf>
    <dxf>
      <numFmt numFmtId="164" formatCode="mm/dd/yy;@"/>
    </dxf>
    <dxf>
      <numFmt numFmtId="164" formatCode="mm/dd/yy;@"/>
    </dxf>
    <dxf>
      <numFmt numFmtId="164" formatCode="mm/dd/yy;@"/>
    </dxf>
    <dxf>
      <numFmt numFmtId="164" formatCode="mm/dd/yy;@"/>
    </dxf>
    <dxf>
      <numFmt numFmtId="164" formatCode="mm/dd/yy;@"/>
    </dxf>
    <dxf>
      <numFmt numFmtId="164" formatCode="mm/dd/yy;@"/>
    </dxf>
    <dxf>
      <numFmt numFmtId="164" formatCode="mm/dd/yy;@"/>
    </dxf>
    <dxf>
      <numFmt numFmtId="164" formatCode="mm/dd/yy;@"/>
    </dxf>
    <dxf>
      <numFmt numFmtId="0" formatCode="General"/>
    </dxf>
    <dxf>
      <numFmt numFmtId="0" formatCode="General"/>
    </dxf>
    <dxf>
      <numFmt numFmtId="2" formatCode="0.00"/>
    </dxf>
    <dxf>
      <numFmt numFmtId="2" formatCode="0.00"/>
    </dxf>
    <dxf>
      <fill>
        <patternFill>
          <bgColor rgb="FFFFD5D5"/>
        </patternFill>
      </fill>
    </dxf>
    <dxf>
      <numFmt numFmtId="175" formatCode="0.00_);[Red]\(0.00\)"/>
    </dxf>
    <dxf>
      <numFmt numFmtId="175" formatCode="0.00_);[Red]\(0.00\)"/>
    </dxf>
    <dxf>
      <numFmt numFmtId="175" formatCode="0.00_);[Red]\(0.00\)"/>
    </dxf>
    <dxf>
      <numFmt numFmtId="175" formatCode="0.00_);[Red]\(0.00\)"/>
    </dxf>
    <dxf>
      <numFmt numFmtId="172" formatCode="0.0"/>
    </dxf>
    <dxf>
      <numFmt numFmtId="172" formatCode="0.0"/>
    </dxf>
    <dxf>
      <numFmt numFmtId="172" formatCode="0.0"/>
    </dxf>
    <dxf>
      <numFmt numFmtId="172" formatCode="0.0"/>
    </dxf>
    <dxf>
      <numFmt numFmtId="2" formatCode="0.00"/>
    </dxf>
    <dxf>
      <numFmt numFmtId="2" formatCode="0.00"/>
    </dxf>
    <dxf>
      <numFmt numFmtId="2" formatCode="0.00"/>
    </dxf>
    <dxf>
      <numFmt numFmtId="2" formatCode="0.00"/>
    </dxf>
    <dxf>
      <numFmt numFmtId="2" formatCode="0.00"/>
    </dxf>
    <dxf>
      <numFmt numFmtId="2" formatCode="0.00"/>
    </dxf>
    <dxf>
      <numFmt numFmtId="164" formatCode="mm/dd/yy;@"/>
    </dxf>
    <dxf>
      <numFmt numFmtId="164" formatCode="mm/dd/yy;@"/>
    </dxf>
    <dxf>
      <numFmt numFmtId="0" formatCode="General"/>
    </dxf>
    <dxf>
      <fill>
        <patternFill>
          <bgColor rgb="FFFEE2F3"/>
        </patternFill>
      </fill>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numFmt numFmtId="0" formatCode="General"/>
      <alignment horizontal="right" vertical="top" textRotation="0" wrapText="1" indent="0" justifyLastLine="0" shrinkToFit="0" readingOrder="0"/>
    </dxf>
    <dxf>
      <numFmt numFmtId="0" formatCode="General"/>
      <alignment horizontal="right" vertical="top" textRotation="0" wrapText="1" indent="0" justifyLastLine="0" shrinkToFit="0" readingOrder="0"/>
    </dxf>
    <dxf>
      <alignment horizontal="left" vertical="top" textRotation="0" wrapText="1" indent="0" justifyLastLine="0" shrinkToFit="0" readingOrder="0"/>
    </dxf>
    <dxf>
      <numFmt numFmtId="170" formatCode="[$-409]m/d/yy\ h:mm\ AM/PM;@"/>
      <alignment horizontal="left" vertical="top" textRotation="0" wrapText="1" indent="0" justifyLastLine="0" shrinkToFit="0" readingOrder="0"/>
    </dxf>
    <dxf>
      <alignment horizontal="left" vertical="top" textRotation="0" wrapText="0" indent="0" justifyLastLine="0" shrinkToFit="0" readingOrder="0"/>
    </dxf>
    <dxf>
      <numFmt numFmtId="170" formatCode="[$-409]m/d/yy\ h:mm\ AM/PM;@"/>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ertAlign val="baseline"/>
        <sz val="11"/>
        <color theme="7" tint="-0.24994659260841701"/>
        <name val="Calibri"/>
        <scheme val="minor"/>
      </font>
      <alignment horizontal="left" vertical="top" textRotation="0" wrapText="0" indent="0" justifyLastLine="0" shrinkToFit="0" readingOrder="0"/>
      <border diagonalUp="0" diagonalDown="0" outline="0">
        <left/>
        <right style="medium">
          <color indexed="64"/>
        </right>
        <top/>
        <bottom/>
      </border>
    </dxf>
    <dxf>
      <alignment horizontal="left" vertical="top" textRotation="0" wrapText="0" indent="0" justifyLastLine="0" shrinkToFit="0" readingOrder="0"/>
      <border diagonalUp="0" diagonalDown="0">
        <left/>
        <right style="medium">
          <color indexed="64"/>
        </right>
        <top/>
        <bottom/>
        <vertical/>
        <horizontal/>
      </border>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border diagonalUp="0" diagonalDown="0" outline="0">
        <left style="medium">
          <color indexed="64"/>
        </left>
        <right/>
        <top/>
        <bottom/>
      </border>
    </dxf>
    <dxf>
      <alignment horizontal="left" vertical="top" textRotation="0" wrapText="0" indent="0" justifyLastLine="0" shrinkToFit="0" readingOrder="0"/>
      <border diagonalUp="0" diagonalDown="0">
        <left style="medium">
          <color indexed="64"/>
        </left>
        <right/>
        <top/>
        <bottom/>
        <vertical/>
        <horizontal/>
      </border>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167" formatCode="mm/dd/yy\ hh:mm"/>
      <alignment horizontal="left" vertical="top"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left" vertical="top" textRotation="0" indent="0" justifyLastLine="0" shrinkToFit="0" readingOrder="0"/>
    </dxf>
    <dxf>
      <font>
        <b/>
      </font>
      <alignment horizontal="general" vertical="bottom" textRotation="0" wrapText="1" indent="0" justifyLastLine="0" shrinkToFit="0" readingOrder="0"/>
    </dxf>
    <dxf>
      <numFmt numFmtId="167" formatCode="mm/dd/yy\ hh:mm"/>
    </dxf>
    <dxf>
      <border diagonalUp="0" diagonalDown="0" outline="0">
        <left/>
        <right style="medium">
          <color indexed="64"/>
        </right>
        <top/>
        <bottom/>
      </border>
    </dxf>
    <dxf>
      <border diagonalUp="0" diagonalDown="0">
        <left/>
        <right style="medium">
          <color indexed="64"/>
        </right>
        <top/>
        <bottom/>
        <vertical/>
        <horizontal/>
      </border>
    </dxf>
    <dxf>
      <border diagonalUp="0" diagonalDown="0" outline="0">
        <left/>
        <right style="medium">
          <color indexed="64"/>
        </right>
        <top/>
        <bottom/>
      </border>
    </dxf>
    <dxf>
      <numFmt numFmtId="168" formatCode="mm/dd/yyyy\ hh:mm"/>
      <border diagonalUp="0" diagonalDown="0">
        <left/>
        <right style="medium">
          <color indexed="64"/>
        </right>
        <top/>
        <bottom/>
        <vertical/>
        <horizontal/>
      </border>
    </dxf>
    <dxf>
      <numFmt numFmtId="27" formatCode="m/d/yyyy\ h:mm"/>
    </dxf>
    <dxf>
      <numFmt numFmtId="27" formatCode="m/d/yyyy\ h:mm"/>
    </dxf>
    <dxf>
      <numFmt numFmtId="168" formatCode="mm/dd/yyyy\ hh:mm"/>
    </dxf>
    <dxf>
      <numFmt numFmtId="168" formatCode="mm/dd/yyyy\ hh:mm"/>
    </dxf>
    <dxf>
      <border diagonalUp="0" diagonalDown="0" outline="0">
        <left/>
        <right style="medium">
          <color indexed="64"/>
        </right>
        <top/>
        <bottom/>
      </border>
    </dxf>
    <dxf>
      <numFmt numFmtId="168" formatCode="mm/dd/yyyy\ hh:mm"/>
      <border diagonalUp="0" diagonalDown="0">
        <left/>
        <right style="medium">
          <color indexed="64"/>
        </right>
        <top/>
        <bottom/>
        <vertical/>
        <horizontal/>
      </border>
    </dxf>
    <dxf>
      <numFmt numFmtId="168" formatCode="mm/dd/yyyy\ hh:mm"/>
    </dxf>
    <dxf>
      <numFmt numFmtId="168" formatCode="mm/dd/yyyy\ hh:mm"/>
    </dxf>
    <dxf>
      <border diagonalUp="0" diagonalDown="0" outline="0">
        <left style="medium">
          <color indexed="64"/>
        </left>
        <right/>
        <top/>
        <bottom/>
      </border>
    </dxf>
    <dxf>
      <border diagonalUp="0" diagonalDown="0">
        <left style="medium">
          <color indexed="64"/>
        </left>
        <right/>
        <top/>
        <bottom/>
        <vertical/>
        <horizontal/>
      </border>
    </dxf>
    <dxf>
      <border diagonalUp="0" diagonalDown="0">
        <left style="medium">
          <color indexed="64"/>
        </left>
        <right style="medium">
          <color indexed="64"/>
        </right>
        <top style="medium">
          <color indexed="64"/>
        </top>
        <bottom style="medium">
          <color indexed="64"/>
        </bottom>
      </border>
    </dxf>
    <dxf>
      <fill>
        <patternFill>
          <bgColor rgb="FFFFF4E6"/>
        </patternFill>
      </fill>
    </dxf>
    <dxf>
      <border>
        <top style="thin">
          <color auto="1"/>
        </top>
        <bottom/>
        <vertical/>
        <horizontal/>
      </border>
    </dxf>
    <dxf>
      <fill>
        <patternFill patternType="none">
          <fgColor indexed="64"/>
          <bgColor indexed="65"/>
        </patternFill>
      </fill>
    </dxf>
    <dxf>
      <numFmt numFmtId="10" formatCode="&quot;$&quot;#,##0_);[Red]\(&quot;$&quot;#,##0\)"/>
      <fill>
        <patternFill patternType="none">
          <fgColor indexed="64"/>
          <bgColor indexed="65"/>
        </patternFill>
      </fill>
    </dxf>
    <dxf>
      <fill>
        <patternFill patternType="none">
          <fgColor indexed="64"/>
          <bgColor indexed="65"/>
        </patternFill>
      </fill>
    </dxf>
    <dxf>
      <numFmt numFmtId="10" formatCode="&quot;$&quot;#,##0_);[Red]\(&quot;$&quot;#,##0\)"/>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10" formatCode="&quot;$&quot;#,##0_);[Red]\(&quot;$&quot;#,##0\)"/>
      <fill>
        <patternFill patternType="none">
          <fgColor indexed="64"/>
          <bgColor indexed="65"/>
        </patternFill>
      </fill>
    </dxf>
    <dxf>
      <fill>
        <patternFill patternType="none">
          <fgColor indexed="64"/>
          <bgColor indexed="65"/>
        </patternFill>
      </fill>
    </dxf>
    <dxf>
      <numFmt numFmtId="10" formatCode="&quot;$&quot;#,##0_);[Red]\(&quot;$&quot;#,##0\)"/>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10" formatCode="&quot;$&quot;#,##0_);[Red]\(&quot;$&quot;#,##0\)"/>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10" formatCode="&quot;$&quot;#,##0_);[Red]\(&quot;$&quot;#,##0\)"/>
      <fill>
        <patternFill patternType="none">
          <fgColor indexed="64"/>
          <bgColor indexed="65"/>
        </patternFill>
      </fill>
    </dxf>
    <dxf>
      <fill>
        <patternFill patternType="none">
          <fgColor indexed="64"/>
          <bgColor indexed="65"/>
        </patternFill>
      </fill>
    </dxf>
    <dxf>
      <numFmt numFmtId="10" formatCode="&quot;$&quot;#,##0_);[Red]\(&quot;$&quot;#,##0\)"/>
      <fill>
        <patternFill patternType="none">
          <fgColor indexed="64"/>
          <bgColor indexed="65"/>
        </patternFill>
      </fill>
    </dxf>
    <dxf>
      <fill>
        <patternFill patternType="none">
          <fgColor indexed="64"/>
          <bgColor indexed="65"/>
        </patternFill>
      </fill>
    </dxf>
    <dxf>
      <numFmt numFmtId="10" formatCode="&quot;$&quot;#,##0_);[Red]\(&quot;$&quot;#,##0\)"/>
      <fill>
        <patternFill patternType="none">
          <fgColor indexed="64"/>
          <bgColor indexed="65"/>
        </patternFill>
      </fill>
    </dxf>
    <dxf>
      <font>
        <b val="0"/>
        <i val="0"/>
        <strike val="0"/>
        <condense val="0"/>
        <extend val="0"/>
        <outline val="0"/>
        <shadow val="0"/>
        <u/>
        <vertAlign val="baseline"/>
        <sz val="11"/>
        <color theme="7" tint="-0.24994659260841701"/>
        <name val="Calibri"/>
        <scheme val="minor"/>
      </font>
      <fill>
        <patternFill patternType="none">
          <fgColor indexed="64"/>
          <bgColor indexed="65"/>
        </patternFill>
      </fill>
      <border diagonalUp="0" diagonalDown="0" outline="0">
        <left/>
        <right style="medium">
          <color indexed="64"/>
        </right>
        <top/>
        <bottom/>
      </border>
    </dxf>
    <dxf>
      <numFmt numFmtId="10" formatCode="&quot;$&quot;#,##0_);[Red]\(&quot;$&quot;#,##0\)"/>
      <fill>
        <patternFill patternType="none">
          <fgColor indexed="64"/>
          <bgColor indexed="65"/>
        </patternFill>
      </fill>
      <border diagonalUp="0" diagonalDown="0">
        <left/>
        <right style="medium">
          <color indexed="64"/>
        </right>
        <top/>
        <bottom/>
        <vertical/>
        <horizontal/>
      </border>
    </dxf>
    <dxf>
      <numFmt numFmtId="30" formatCode="@"/>
      <fill>
        <patternFill patternType="none">
          <fgColor indexed="64"/>
          <bgColor indexed="65"/>
        </patternFill>
      </fill>
    </dxf>
    <dxf>
      <numFmt numFmtId="30" formatCode="@"/>
      <fill>
        <patternFill patternType="none">
          <fgColor indexed="64"/>
          <bgColor indexed="65"/>
        </patternFill>
      </fill>
    </dxf>
    <dxf>
      <fill>
        <patternFill patternType="none">
          <fgColor indexed="64"/>
          <bgColor indexed="65"/>
        </patternFill>
      </fill>
    </dxf>
    <dxf>
      <numFmt numFmtId="10" formatCode="&quot;$&quot;#,##0_);[Red]\(&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border diagonalUp="0" diagonalDown="0" outline="0">
        <left style="medium">
          <color indexed="64"/>
        </left>
        <right/>
        <top/>
        <bottom/>
      </border>
    </dxf>
    <dxf>
      <fill>
        <patternFill patternType="none">
          <fgColor indexed="64"/>
          <bgColor indexed="65"/>
        </patternFill>
      </fill>
      <border diagonalUp="0" diagonalDown="0">
        <left style="medium">
          <color indexed="64"/>
        </left>
        <right/>
        <top/>
        <bottom/>
        <vertical/>
        <horizontal/>
      </border>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10" formatCode="&quot;$&quot;#,##0_);[Red]\(&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0" formatCode="&quot;$&quot;#,##0_);[Red]\(&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4" formatCode="mm/dd/yy;@"/>
      <fill>
        <patternFill patternType="none">
          <fgColor indexed="64"/>
          <bgColor indexed="65"/>
        </patternFill>
      </fill>
    </dxf>
    <dxf>
      <fill>
        <patternFill patternType="none">
          <fgColor indexed="64"/>
          <bgColor indexed="65"/>
        </patternFill>
      </fill>
    </dxf>
    <dxf>
      <numFmt numFmtId="168" formatCode="mm/dd/yyyy\ hh:mm"/>
      <fill>
        <patternFill patternType="none">
          <fgColor indexed="64"/>
          <bgColor indexed="65"/>
        </patternFill>
      </fill>
    </dxf>
    <dxf>
      <border diagonalUp="0" diagonalDown="0">
        <left style="medium">
          <color indexed="64"/>
        </left>
        <right style="medium">
          <color indexed="64"/>
        </right>
        <top style="medium">
          <color indexed="64"/>
        </top>
        <bottom style="medium">
          <color indexed="64"/>
        </bottom>
      </border>
    </dxf>
    <dxf>
      <fill>
        <patternFill patternType="none">
          <fgColor indexed="64"/>
          <bgColor auto="1"/>
        </patternFill>
      </fill>
    </dxf>
    <dxf>
      <fill>
        <patternFill patternType="none">
          <fgColor indexed="64"/>
          <bgColor auto="1"/>
        </patternFill>
      </fill>
    </dxf>
    <dxf>
      <fill>
        <patternFill>
          <bgColor rgb="FFFFF4E6"/>
        </patternFill>
      </fill>
    </dxf>
    <dxf>
      <font>
        <b val="0"/>
        <i val="0"/>
        <strike val="0"/>
        <condense val="0"/>
        <extend val="0"/>
        <outline val="0"/>
        <shadow val="0"/>
        <u/>
        <vertAlign val="baseline"/>
        <sz val="11"/>
        <color theme="7" tint="-0.24994659260841701"/>
        <name val="Calibri"/>
        <scheme val="minor"/>
      </font>
      <border diagonalUp="0" diagonalDown="0" outline="0">
        <left/>
        <right style="medium">
          <color indexed="64"/>
        </right>
        <top/>
        <bottom/>
      </border>
    </dxf>
    <dxf>
      <border diagonalUp="0" diagonalDown="0">
        <left/>
        <right style="medium">
          <color indexed="64"/>
        </right>
        <top/>
        <bottom/>
        <vertical/>
        <horizontal/>
      </border>
    </dxf>
    <dxf>
      <border diagonalUp="0" diagonalDown="0" outline="0">
        <left style="medium">
          <color indexed="64"/>
        </left>
        <right/>
        <top/>
        <bottom/>
      </border>
    </dxf>
    <dxf>
      <border diagonalUp="0" diagonalDown="0">
        <left style="medium">
          <color indexed="64"/>
        </left>
        <right/>
        <top/>
        <bottom/>
        <vertical/>
        <horizontal/>
      </border>
    </dxf>
    <dxf>
      <numFmt numFmtId="167" formatCode="mm/dd/yy\ hh:mm"/>
    </dxf>
    <dxf>
      <numFmt numFmtId="167" formatCode="mm/dd/yy\ hh:mm"/>
    </dxf>
    <dxf>
      <font>
        <b val="0"/>
        <i val="0"/>
        <strike val="0"/>
        <condense val="0"/>
        <extend val="0"/>
        <outline val="0"/>
        <shadow val="0"/>
        <u/>
        <vertAlign val="baseline"/>
        <sz val="11"/>
        <color theme="7" tint="-0.24994659260841701"/>
        <name val="Calibri"/>
        <scheme val="minor"/>
      </font>
      <border diagonalUp="0" diagonalDown="0" outline="0">
        <left/>
        <right style="medium">
          <color indexed="64"/>
        </right>
        <top/>
        <bottom/>
      </border>
    </dxf>
    <dxf>
      <border diagonalUp="0" diagonalDown="0">
        <left/>
        <right style="medium">
          <color indexed="64"/>
        </right>
        <top/>
        <bottom/>
        <vertical/>
        <horizontal/>
      </border>
    </dxf>
    <dxf>
      <border diagonalUp="0" diagonalDown="0" outline="0">
        <left style="medium">
          <color indexed="64"/>
        </left>
        <right/>
        <top/>
        <bottom/>
      </border>
    </dxf>
    <dxf>
      <border diagonalUp="0" diagonalDown="0">
        <left style="medium">
          <color indexed="64"/>
        </left>
        <right/>
        <top/>
        <bottom/>
        <vertical/>
        <horizontal/>
      </border>
    </dxf>
    <dxf>
      <numFmt numFmtId="27" formatCode="m/d/yyyy\ h:mm"/>
    </dxf>
    <dxf>
      <numFmt numFmtId="164" formatCode="mm/dd/yy;@"/>
    </dxf>
    <dxf>
      <numFmt numFmtId="164" formatCode="mm/dd/yy;@"/>
    </dxf>
    <dxf>
      <numFmt numFmtId="164" formatCode="mm/dd/yy;@"/>
    </dxf>
    <dxf>
      <fill>
        <patternFill>
          <bgColor rgb="FFFFF4E6"/>
        </patternFill>
      </fill>
    </dxf>
    <dxf>
      <numFmt numFmtId="27" formatCode="m/d/yyyy\ h:mm"/>
    </dxf>
    <dxf>
      <numFmt numFmtId="27" formatCode="m/d/yyyy\ h:mm"/>
    </dxf>
    <dxf>
      <alignment horizontal="fill" vertical="bottom" textRotation="0" wrapText="0" indent="0" justifyLastLine="0" shrinkToFit="0" readingOrder="0"/>
    </dxf>
    <dxf>
      <numFmt numFmtId="27" formatCode="m/d/yyyy\ h:mm"/>
      <alignment horizontal="fill" vertical="bottom" textRotation="0" wrapText="0" indent="0" justifyLastLine="0" shrinkToFit="0" readingOrder="0"/>
    </dxf>
    <dxf>
      <numFmt numFmtId="27" formatCode="m/d/yyyy\ h:mm"/>
      <alignment horizontal="fill" vertical="bottom" textRotation="0" wrapText="0" indent="0" justifyLastLine="0" shrinkToFit="0" readingOrder="0"/>
    </dxf>
    <dxf>
      <numFmt numFmtId="27" formatCode="m/d/yyyy\ h:mm"/>
    </dxf>
    <dxf>
      <numFmt numFmtId="0" formatCode="General"/>
    </dxf>
    <dxf>
      <numFmt numFmtId="0" formatCode="General"/>
    </dxf>
    <dxf>
      <numFmt numFmtId="164" formatCode="mm/dd/yy;@"/>
    </dxf>
    <dxf>
      <numFmt numFmtId="164" formatCode="mm/dd/yy;@"/>
    </dxf>
    <dxf>
      <font>
        <b val="0"/>
        <i val="0"/>
        <strike val="0"/>
        <condense val="0"/>
        <extend val="0"/>
        <outline val="0"/>
        <shadow val="0"/>
        <u val="none"/>
        <vertAlign val="baseline"/>
        <sz val="11"/>
        <color theme="1"/>
        <name val="Calibri"/>
        <scheme val="minor"/>
      </font>
      <numFmt numFmtId="165" formatCode="_(&quot;$&quot;* #,##0_);_(&quot;$&quot;* \(#,##0\);_(&quot;$&quot;* &quot;-&quot;??_);_(@_)"/>
    </dxf>
    <dxf>
      <font>
        <b val="0"/>
        <i val="0"/>
        <strike val="0"/>
        <condense val="0"/>
        <extend val="0"/>
        <outline val="0"/>
        <shadow val="0"/>
        <u val="none"/>
        <vertAlign val="baseline"/>
        <sz val="11"/>
        <color theme="1"/>
        <name val="Calibri"/>
        <scheme val="minor"/>
      </font>
      <numFmt numFmtId="10" formatCode="&quot;$&quot;#,##0_);[Red]\(&quot;$&quot;#,##0\)"/>
    </dxf>
    <dxf>
      <border diagonalUp="0" diagonalDown="0">
        <left/>
        <right style="medium">
          <color indexed="64"/>
        </right>
        <top/>
        <bottom/>
        <vertical/>
        <horizontal/>
      </border>
    </dxf>
    <dxf>
      <border diagonalUp="0" diagonalDown="0">
        <left style="medium">
          <color indexed="64"/>
        </left>
        <right/>
        <top/>
        <bottom/>
        <vertical/>
        <horizontal/>
      </border>
    </dxf>
    <dxf>
      <numFmt numFmtId="164" formatCode="mm/dd/yy;@"/>
    </dxf>
    <dxf>
      <numFmt numFmtId="167" formatCode="mm/dd/yy\ hh:mm"/>
    </dxf>
    <dxf>
      <numFmt numFmtId="164" formatCode="mm/dd/yy;@"/>
    </dxf>
    <dxf>
      <border diagonalUp="0" diagonalDown="0" outline="0">
        <left style="medium">
          <color indexed="64"/>
        </left>
        <right/>
        <top/>
        <bottom/>
      </border>
    </dxf>
    <dxf>
      <numFmt numFmtId="164" formatCode="mm/dd/yy;@"/>
      <border diagonalUp="0" diagonalDown="0">
        <left style="medium">
          <color indexed="64"/>
        </left>
        <right/>
        <top/>
        <bottom/>
        <vertical/>
        <horizontal/>
      </border>
    </dxf>
    <dxf>
      <numFmt numFmtId="164" formatCode="mm/dd/yy;@"/>
    </dxf>
    <dxf>
      <numFmt numFmtId="2" formatCode="0.00"/>
    </dxf>
    <dxf>
      <numFmt numFmtId="2" formatCode="0.00"/>
    </dxf>
    <dxf>
      <numFmt numFmtId="164" formatCode="mm/dd/yy;@"/>
    </dxf>
    <dxf>
      <numFmt numFmtId="164" formatCode="mm/dd/yy;@"/>
    </dxf>
    <dxf>
      <numFmt numFmtId="164" formatCode="mm/dd/yy;@"/>
    </dxf>
    <dxf>
      <border diagonalUp="0" diagonalDown="0" outline="0">
        <left style="medium">
          <color indexed="64"/>
        </left>
        <right/>
        <top/>
        <bottom/>
      </border>
    </dxf>
    <dxf>
      <border diagonalUp="0" diagonalDown="0">
        <left style="medium">
          <color indexed="64"/>
        </left>
        <right/>
        <top/>
        <bottom/>
        <vertical/>
        <horizontal/>
      </border>
    </dxf>
    <dxf>
      <numFmt numFmtId="0" formatCode="General"/>
    </dxf>
    <dxf>
      <numFmt numFmtId="164" formatCode="mm/dd/yy;@"/>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10" formatCode="&quot;$&quot;#,##0_);[Red]\(&quot;$&quot;#,##0\)"/>
    </dxf>
    <dxf>
      <font>
        <b val="0"/>
        <i val="0"/>
        <strike val="0"/>
        <condense val="0"/>
        <extend val="0"/>
        <outline val="0"/>
        <shadow val="0"/>
        <u/>
        <vertAlign val="baseline"/>
        <sz val="11"/>
        <color theme="7" tint="-0.24994659260841701"/>
        <name val="Calibri"/>
        <scheme val="minor"/>
      </font>
      <border diagonalUp="0" diagonalDown="0" outline="0">
        <left/>
        <right style="medium">
          <color indexed="64"/>
        </right>
        <top/>
        <bottom/>
      </border>
    </dxf>
    <dxf>
      <border diagonalUp="0" diagonalDown="0">
        <left/>
        <right style="medium">
          <color indexed="64"/>
        </right>
        <top/>
        <bottom/>
        <vertical/>
        <horizontal/>
      </border>
    </dxf>
    <dxf>
      <border diagonalUp="0" diagonalDown="0" outline="0">
        <left style="medium">
          <color indexed="64"/>
        </left>
        <right/>
        <top/>
        <bottom/>
      </border>
    </dxf>
    <dxf>
      <border diagonalUp="0" diagonalDown="0">
        <left style="medium">
          <color indexed="64"/>
        </left>
        <right/>
        <top/>
        <bottom/>
        <vertical/>
        <horizontal/>
      </border>
    </dxf>
    <dxf>
      <numFmt numFmtId="0" formatCode="General"/>
    </dxf>
    <dxf>
      <numFmt numFmtId="164" formatCode="mm/dd/yy;@"/>
    </dxf>
    <dxf>
      <numFmt numFmtId="164" formatCode="mm/dd/yy;@"/>
    </dxf>
    <dxf>
      <numFmt numFmtId="164" formatCode="mm/dd/yy;@"/>
    </dxf>
    <dxf>
      <numFmt numFmtId="164" formatCode="mm/dd/yy;@"/>
    </dxf>
    <dxf>
      <fill>
        <patternFill>
          <bgColor rgb="FFFFF4E6"/>
        </patternFill>
      </fill>
    </dxf>
    <dxf>
      <numFmt numFmtId="164" formatCode="mm/dd/yy;@"/>
    </dxf>
    <dxf>
      <numFmt numFmtId="164" formatCode="mm/dd/yy;@"/>
    </dxf>
    <dxf>
      <numFmt numFmtId="164" formatCode="mm/dd/yy;@"/>
    </dxf>
    <dxf>
      <numFmt numFmtId="164" formatCode="mm/dd/yy;@"/>
    </dxf>
    <dxf>
      <numFmt numFmtId="164" formatCode="mm/dd/yy;@"/>
    </dxf>
    <dxf>
      <numFmt numFmtId="164" formatCode="mm/dd/yy;@"/>
    </dxf>
    <dxf>
      <numFmt numFmtId="164" formatCode="mm/dd/yy;@"/>
    </dxf>
    <dxf>
      <numFmt numFmtId="164" formatCode="mm/dd/yy;@"/>
    </dxf>
    <dxf>
      <numFmt numFmtId="27" formatCode="m/d/yyyy\ h:mm"/>
    </dxf>
    <dxf>
      <numFmt numFmtId="164" formatCode="mm/dd/yy;@"/>
    </dxf>
    <dxf>
      <numFmt numFmtId="164" formatCode="mm/dd/yy;@"/>
    </dxf>
    <dxf>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10" formatCode="&quot;$&quot;#,##0_);[Red]\(&quot;$&quot;#,##0\)"/>
    </dxf>
    <dxf>
      <numFmt numFmtId="164" formatCode="mm/dd/yy;@"/>
    </dxf>
    <dxf>
      <font>
        <b val="0"/>
        <i val="0"/>
        <strike val="0"/>
        <condense val="0"/>
        <extend val="0"/>
        <outline val="0"/>
        <shadow val="0"/>
        <u/>
        <vertAlign val="baseline"/>
        <sz val="11"/>
        <color theme="7" tint="-0.24994659260841701"/>
        <name val="Calibri"/>
        <scheme val="minor"/>
      </font>
      <border diagonalUp="0" diagonalDown="0" outline="0">
        <left/>
        <right style="medium">
          <color indexed="64"/>
        </right>
        <top/>
        <bottom/>
      </border>
    </dxf>
    <dxf>
      <border diagonalUp="0" diagonalDown="0">
        <left/>
        <right style="medium">
          <color indexed="64"/>
        </right>
        <top/>
        <bottom/>
        <vertical/>
        <horizontal/>
      </border>
    </dxf>
    <dxf>
      <numFmt numFmtId="30" formatCode="@"/>
    </dxf>
    <dxf>
      <border diagonalUp="0" diagonalDown="0" outline="0">
        <left style="medium">
          <color indexed="64"/>
        </left>
        <right/>
        <top/>
        <bottom/>
      </border>
    </dxf>
    <dxf>
      <numFmt numFmtId="30" formatCode="@"/>
      <border diagonalUp="0" diagonalDown="0">
        <left style="medium">
          <color indexed="64"/>
        </left>
        <right/>
        <top/>
        <bottom/>
        <vertical/>
        <horizontal/>
      </border>
    </dxf>
    <dxf>
      <numFmt numFmtId="164" formatCode="mm/dd/yy;@"/>
    </dxf>
    <dxf>
      <numFmt numFmtId="164" formatCode="mm/dd/yy;@"/>
    </dxf>
    <dxf>
      <numFmt numFmtId="164" formatCode="mm/dd/yy;@"/>
    </dxf>
    <dxf>
      <numFmt numFmtId="164" formatCode="mm/dd/yy;@"/>
    </dxf>
    <dxf>
      <numFmt numFmtId="164" formatCode="mm/dd/yy;@"/>
    </dxf>
    <dxf>
      <numFmt numFmtId="164" formatCode="mm/dd/yy;@"/>
    </dxf>
    <dxf>
      <numFmt numFmtId="167" formatCode="mm/dd/yy\ hh:mm"/>
    </dxf>
    <dxf>
      <fill>
        <patternFill>
          <bgColor rgb="FFFFF4E6"/>
        </patternFill>
      </fill>
    </dxf>
    <dxf>
      <numFmt numFmtId="27" formatCode="m/d/yyyy\ h:mm"/>
    </dxf>
    <dxf>
      <numFmt numFmtId="164" formatCode="mm/dd/yy;@"/>
    </dxf>
    <dxf>
      <numFmt numFmtId="164" formatCode="mm/dd/yy;@"/>
    </dxf>
    <dxf>
      <numFmt numFmtId="6" formatCode="#,##0_);[Red]\(#,##0\)"/>
    </dxf>
    <dxf>
      <numFmt numFmtId="10" formatCode="&quot;$&quot;#,##0_);[Red]\(&quot;$&quot;#,##0\)"/>
    </dxf>
    <dxf>
      <numFmt numFmtId="164" formatCode="mm/dd/yy;@"/>
    </dxf>
    <dxf>
      <numFmt numFmtId="164" formatCode="mm/dd/yy;@"/>
    </dxf>
    <dxf>
      <numFmt numFmtId="164" formatCode="mm/dd/yy;@"/>
    </dxf>
    <dxf>
      <numFmt numFmtId="30" formatCode="@"/>
    </dxf>
    <dxf>
      <numFmt numFmtId="30" formatCode="@"/>
    </dxf>
    <dxf>
      <border diagonalUp="0" diagonalDown="0">
        <left/>
        <right style="medium">
          <color indexed="64"/>
        </right>
        <top/>
        <bottom/>
        <vertical/>
        <horizontal/>
      </border>
    </dxf>
    <dxf>
      <numFmt numFmtId="30" formatCode="@"/>
    </dxf>
    <dxf>
      <numFmt numFmtId="164" formatCode="mm/dd/yy;@"/>
      <border diagonalUp="0" diagonalDown="0">
        <left style="medium">
          <color indexed="64"/>
        </left>
        <right/>
        <top/>
        <bottom/>
        <vertical/>
        <horizontal/>
      </border>
    </dxf>
    <dxf>
      <numFmt numFmtId="164" formatCode="mm/dd/yy;@"/>
    </dxf>
    <dxf>
      <numFmt numFmtId="164" formatCode="mm/dd/yy;@"/>
    </dxf>
    <dxf>
      <numFmt numFmtId="164" formatCode="mm/dd/yy;@"/>
    </dxf>
    <dxf>
      <numFmt numFmtId="164" formatCode="mm/dd/yy;@"/>
    </dxf>
    <dxf>
      <numFmt numFmtId="164" formatCode="mm/dd/yy;@"/>
    </dxf>
    <dxf>
      <numFmt numFmtId="164" formatCode="mm/dd/yy;@"/>
    </dxf>
    <dxf>
      <numFmt numFmtId="167" formatCode="mm/dd/yy\ hh:mm"/>
    </dxf>
    <dxf>
      <fill>
        <patternFill>
          <bgColor rgb="FFFFF4E6"/>
        </patternFill>
      </fill>
    </dxf>
    <dxf>
      <numFmt numFmtId="10" formatCode="&quot;$&quot;#,##0_);[Red]\(&quot;$&quot;#,##0\)"/>
    </dxf>
    <dxf>
      <font>
        <b/>
      </font>
    </dxf>
    <dxf>
      <font>
        <b/>
      </font>
    </dxf>
    <dxf>
      <alignment wrapText="1" readingOrder="0"/>
    </dxf>
    <dxf>
      <alignment wrapText="1" readingOrder="0"/>
    </dxf>
    <dxf>
      <alignment wrapText="1" readingOrder="0"/>
    </dxf>
    <dxf>
      <alignment wrapText="1" readingOrder="0"/>
    </dxf>
    <dxf>
      <numFmt numFmtId="27" formatCode="m/d/yyyy\ h:mm"/>
    </dxf>
    <dxf>
      <numFmt numFmtId="164" formatCode="mm/dd/yy;@"/>
    </dxf>
    <dxf>
      <numFmt numFmtId="164" formatCode="mm/dd/yy;@"/>
    </dxf>
    <dxf>
      <numFmt numFmtId="27" formatCode="m/d/yyyy\ h:mm"/>
    </dxf>
    <dxf>
      <numFmt numFmtId="27" formatCode="m/d/yyyy\ h:mm"/>
    </dxf>
    <dxf>
      <numFmt numFmtId="164" formatCode="mm/dd/yy;@"/>
    </dxf>
    <dxf>
      <numFmt numFmtId="164" formatCode="mm/dd/yy;@"/>
    </dxf>
    <dxf>
      <numFmt numFmtId="0" formatCode="General"/>
    </dxf>
    <dxf>
      <numFmt numFmtId="0" formatCode="General"/>
    </dxf>
    <dxf>
      <numFmt numFmtId="164" formatCode="mm/dd/yy;@"/>
    </dxf>
    <dxf>
      <numFmt numFmtId="164" formatCode="mm/dd/yy;@"/>
    </dxf>
    <dxf>
      <font>
        <b val="0"/>
        <i val="0"/>
        <strike val="0"/>
        <condense val="0"/>
        <extend val="0"/>
        <outline val="0"/>
        <shadow val="0"/>
        <u val="none"/>
        <vertAlign val="baseline"/>
        <sz val="11"/>
        <color theme="1"/>
        <name val="Calibri"/>
        <scheme val="minor"/>
      </font>
      <numFmt numFmtId="165" formatCode="_(&quot;$&quot;* #,##0_);_(&quot;$&quot;* \(#,##0\);_(&quot;$&quot;* &quot;-&quot;??_);_(@_)"/>
    </dxf>
    <dxf>
      <font>
        <b val="0"/>
        <i val="0"/>
        <strike val="0"/>
        <condense val="0"/>
        <extend val="0"/>
        <outline val="0"/>
        <shadow val="0"/>
        <u val="none"/>
        <vertAlign val="baseline"/>
        <sz val="11"/>
        <color theme="1"/>
        <name val="Calibri"/>
        <scheme val="minor"/>
      </font>
      <numFmt numFmtId="10" formatCode="&quot;$&quot;#,##0_);[Red]\(&quot;$&quot;#,##0\)"/>
    </dxf>
    <dxf>
      <numFmt numFmtId="165" formatCode="_(&quot;$&quot;* #,##0_);_(&quot;$&quot;* \(#,##0\);_(&quot;$&quot;* &quot;-&quot;??_);_(@_)"/>
    </dxf>
    <dxf>
      <border diagonalUp="0" diagonalDown="0">
        <left/>
        <right style="medium">
          <color indexed="64"/>
        </right>
        <top/>
        <bottom/>
        <vertical/>
        <horizontal/>
      </border>
    </dxf>
    <dxf>
      <border diagonalUp="0" diagonalDown="0">
        <left style="medium">
          <color indexed="64"/>
        </left>
        <right/>
        <top/>
        <bottom/>
        <vertical/>
        <horizontal/>
      </border>
    </dxf>
    <dxf>
      <numFmt numFmtId="164" formatCode="mm/dd/yy;@"/>
    </dxf>
    <dxf>
      <numFmt numFmtId="167" formatCode="mm/dd/yy\ hh:mm"/>
    </dxf>
    <dxf>
      <font>
        <strike val="0"/>
        <outline val="0"/>
        <shadow val="0"/>
        <u val="none"/>
        <vertAlign val="baseline"/>
        <sz val="11"/>
        <color rgb="FFFF0000"/>
        <name val="Calibri"/>
        <scheme val="minor"/>
      </font>
      <fill>
        <patternFill patternType="none">
          <fgColor indexed="64"/>
          <bgColor auto="1"/>
        </patternFill>
      </fill>
      <protection locked="0" hidden="0"/>
    </dxf>
    <dxf>
      <font>
        <strike val="0"/>
        <outline val="0"/>
        <shadow val="0"/>
        <u val="none"/>
        <vertAlign val="baseline"/>
        <sz val="11"/>
        <color rgb="FFFF0000"/>
        <name val="Calibri"/>
        <scheme val="minor"/>
      </font>
      <fill>
        <patternFill patternType="none">
          <fgColor indexed="64"/>
          <bgColor auto="1"/>
        </patternFill>
      </fill>
      <alignment horizontal="center" vertical="bottom" textRotation="0" wrapText="0" indent="0" justifyLastLine="0" shrinkToFit="0" readingOrder="0"/>
      <protection locked="0" hidden="0"/>
    </dxf>
    <dxf>
      <font>
        <u val="none"/>
        <color auto="1"/>
      </font>
      <numFmt numFmtId="173" formatCode="mm/dd/yy\ h:mm"/>
      <fill>
        <patternFill patternType="none">
          <fgColor indexed="64"/>
          <bgColor indexed="65"/>
        </patternFill>
      </fill>
      <alignment horizontal="left" vertical="center" textRotation="0" wrapText="0" indent="0" justifyLastLine="0" shrinkToFit="0" readingOrder="0"/>
      <protection locked="1" hidden="0"/>
    </dxf>
    <dxf>
      <font>
        <u val="none"/>
        <color auto="1"/>
      </font>
      <numFmt numFmtId="173" formatCode="mm/dd/yy\ h:mm"/>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right" vertical="center" textRotation="0" wrapText="0" indent="0" justifyLastLine="0" shrinkToFit="0" readingOrder="0"/>
      <protection locked="1" hidden="0"/>
    </dxf>
    <dxf>
      <font>
        <b val="0"/>
        <i val="0"/>
        <strike val="0"/>
        <condense val="0"/>
        <extend val="0"/>
        <outline val="0"/>
        <shadow val="0"/>
        <u val="none"/>
        <vertAlign val="baseline"/>
        <sz val="11"/>
        <color theme="4" tint="-0.499984740745262"/>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0" hidden="0"/>
    </dxf>
    <dxf>
      <font>
        <b val="0"/>
        <i val="0"/>
        <strike val="0"/>
        <condense val="0"/>
        <extend val="0"/>
        <outline val="0"/>
        <shadow val="0"/>
        <u val="none"/>
        <vertAlign val="baseline"/>
        <sz val="11"/>
        <color theme="7" tint="-0.249977111117893"/>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theme="0" tint="-0.14996795556505021"/>
        </right>
        <top style="thin">
          <color theme="0" tint="-0.14996795556505021"/>
        </top>
        <bottom style="thin">
          <color theme="0" tint="-0.14996795556505021"/>
        </bottom>
      </border>
      <protection locked="0" hidden="0"/>
    </dxf>
    <dxf>
      <font>
        <b/>
        <i val="0"/>
        <strike val="0"/>
        <outline val="0"/>
        <shadow val="0"/>
        <u val="none"/>
        <vertAlign val="baseline"/>
        <sz val="12"/>
        <color theme="0"/>
        <name val="Calibri"/>
        <scheme val="minor"/>
      </font>
      <fill>
        <patternFill patternType="solid">
          <fgColor indexed="64"/>
          <bgColor theme="3"/>
        </patternFill>
      </fill>
      <alignment horizontal="right" vertical="center" textRotation="0" wrapText="0" indent="0" justifyLastLine="0" shrinkToFit="0" readingOrder="0"/>
      <protection locked="1" hidden="0"/>
    </dxf>
    <dxf>
      <font>
        <u val="none"/>
        <color theme="4" tint="-0.499984740745262"/>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14996795556505021"/>
        </left>
        <right/>
        <top style="thin">
          <color theme="0" tint="-0.14996795556505021"/>
        </top>
        <bottom style="thin">
          <color theme="0" tint="-0.14996795556505021"/>
        </bottom>
      </border>
      <protection locked="0" hidden="0"/>
    </dxf>
    <dxf>
      <protection locked="0" hidden="0"/>
    </dxf>
    <dxf>
      <font>
        <b val="0"/>
        <i val="0"/>
        <strike val="0"/>
        <condense val="0"/>
        <extend val="0"/>
        <outline val="0"/>
        <shadow val="0"/>
        <u val="none"/>
        <vertAlign val="baseline"/>
        <sz val="11"/>
        <color theme="0"/>
        <name val="Calibri"/>
        <scheme val="minor"/>
      </font>
      <fill>
        <patternFill patternType="none">
          <fgColor indexed="64"/>
          <bgColor indexed="65"/>
        </patternFill>
      </fill>
      <protection locked="0" hidden="0"/>
    </dxf>
    <dxf>
      <font>
        <b val="0"/>
        <i val="0"/>
        <strike val="0"/>
        <condense val="0"/>
        <extend val="0"/>
        <outline val="0"/>
        <shadow val="0"/>
        <u val="none"/>
        <vertAlign val="baseline"/>
        <sz val="11"/>
        <color theme="0"/>
        <name val="Calibri"/>
        <scheme val="minor"/>
      </font>
      <fill>
        <patternFill patternType="none">
          <fgColor indexed="64"/>
          <bgColor auto="1"/>
        </patternFill>
      </fill>
      <protection locked="0" hidden="0"/>
    </dxf>
    <dxf>
      <font>
        <strike val="0"/>
        <outline val="0"/>
        <shadow val="0"/>
        <u val="none"/>
        <vertAlign val="baseline"/>
        <sz val="11"/>
        <color theme="0"/>
        <name val="Calibri"/>
        <scheme val="minor"/>
      </font>
      <fill>
        <patternFill patternType="none">
          <fgColor indexed="64"/>
          <bgColor auto="1"/>
        </patternFill>
      </fill>
    </dxf>
    <dxf>
      <font>
        <b val="0"/>
        <strike val="0"/>
        <outline val="0"/>
        <shadow val="0"/>
        <u val="none"/>
        <vertAlign val="baseline"/>
        <sz val="14"/>
        <color auto="1"/>
        <name val="Calibri"/>
        <scheme val="minor"/>
      </font>
      <numFmt numFmtId="30" formatCode="@"/>
      <fill>
        <patternFill patternType="none">
          <fgColor indexed="64"/>
          <bgColor auto="1"/>
        </patternFill>
      </fill>
    </dxf>
    <dxf>
      <font>
        <b val="0"/>
        <strike val="0"/>
        <outline val="0"/>
        <shadow val="0"/>
        <u val="none"/>
        <vertAlign val="baseline"/>
        <sz val="14"/>
        <color auto="1"/>
        <name val="Calibri"/>
        <scheme val="minor"/>
      </font>
      <numFmt numFmtId="30" formatCode="@"/>
      <fill>
        <patternFill patternType="none">
          <fgColor indexed="64"/>
          <bgColor auto="1"/>
        </patternFill>
      </fill>
    </dxf>
    <dxf>
      <font>
        <b/>
        <i val="0"/>
        <strike val="0"/>
        <condense val="0"/>
        <extend val="0"/>
        <outline val="0"/>
        <shadow val="0"/>
        <u val="none"/>
        <vertAlign val="baseline"/>
        <sz val="12"/>
        <color theme="0"/>
        <name val="Calibri"/>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4"/>
        <color theme="1"/>
        <name val="Calibri"/>
        <scheme val="minor"/>
      </font>
      <numFmt numFmtId="30" formatCode="@"/>
      <fill>
        <patternFill patternType="none">
          <fgColor indexed="64"/>
          <bgColor auto="1"/>
        </patternFill>
      </fill>
      <alignment horizontal="right" textRotation="0" indent="0" justifyLastLine="0" shrinkToFit="0" readingOrder="0"/>
    </dxf>
    <dxf>
      <font>
        <b val="0"/>
        <strike val="0"/>
        <outline val="0"/>
        <shadow val="0"/>
        <u val="none"/>
        <vertAlign val="baseline"/>
        <sz val="14"/>
        <color theme="1"/>
        <name val="Calibri"/>
        <scheme val="minor"/>
      </font>
      <numFmt numFmtId="30" formatCode="@"/>
      <fill>
        <patternFill patternType="none">
          <fgColor indexed="64"/>
          <bgColor auto="1"/>
        </patternFill>
      </fill>
      <alignment horizontal="right" textRotation="0" indent="0" justifyLastLine="0" shrinkToFit="0" readingOrder="0"/>
    </dxf>
    <dxf>
      <font>
        <b/>
        <i val="0"/>
        <strike val="0"/>
        <condense val="0"/>
        <extend val="0"/>
        <outline val="0"/>
        <shadow val="0"/>
        <u val="none"/>
        <vertAlign val="baseline"/>
        <sz val="12"/>
        <color theme="0"/>
        <name val="Calibri"/>
        <scheme val="minor"/>
      </font>
      <fill>
        <patternFill patternType="none">
          <fgColor indexed="64"/>
          <bgColor auto="1"/>
        </patternFill>
      </fill>
      <alignment horizontal="center" vertical="center" textRotation="0" wrapText="1" indent="0" justifyLastLine="0" shrinkToFit="0" readingOrder="0"/>
    </dxf>
    <dxf>
      <font>
        <b val="0"/>
        <i/>
        <strike val="0"/>
        <color theme="0" tint="-0.34998626667073579"/>
      </font>
    </dxf>
    <dxf>
      <fill>
        <patternFill patternType="solid">
          <fgColor rgb="FFFFFBEB"/>
          <bgColor rgb="FFFFF4E6"/>
        </patternFill>
      </fill>
      <border>
        <vertical/>
        <horizontal/>
      </border>
    </dxf>
    <dxf>
      <font>
        <b/>
        <color rgb="FF000000"/>
      </font>
      <border>
        <top style="double">
          <color rgb="FF40BAD2"/>
        </top>
      </border>
    </dxf>
    <dxf>
      <font>
        <b/>
        <color rgb="FFFFFFFF"/>
      </font>
      <fill>
        <patternFill patternType="solid">
          <fgColor rgb="FF40BAD2"/>
          <bgColor rgb="FF8F4B13"/>
        </patternFill>
      </fill>
      <border diagonalUp="0" diagonalDown="0">
        <left style="thin">
          <color auto="1"/>
        </left>
        <right style="thin">
          <color auto="1"/>
        </right>
        <top style="thin">
          <color auto="1"/>
        </top>
        <bottom style="thin">
          <color auto="1"/>
        </bottom>
        <vertical/>
        <horizontal/>
      </border>
    </dxf>
    <dxf>
      <border>
        <left style="thin">
          <color rgb="FF1B5F6D"/>
        </left>
        <right style="thin">
          <color rgb="FF1B5F6D"/>
        </right>
        <top style="thin">
          <color rgb="FF1B5F6D"/>
        </top>
        <bottom style="thin">
          <color rgb="FF1B5F6D"/>
        </bottom>
        <vertical style="thin">
          <color rgb="FFD8F0F5"/>
        </vertical>
        <horizontal style="thin">
          <color rgb="FFD8F0F5"/>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ont>
        <b/>
        <color theme="0"/>
      </font>
      <fill>
        <patternFill patternType="solid">
          <fgColor theme="4"/>
          <bgColor theme="7" tint="-0.24994659260841701"/>
        </patternFill>
      </fill>
    </dxf>
    <dxf>
      <fill>
        <patternFill>
          <bgColor theme="0"/>
        </patternFill>
      </fill>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Fall" defaultPivotStyle="PivotStyleLight16">
    <tableStyle name="AddTableStyle" pivot="0" count="4">
      <tableStyleElement type="wholeTable" dxfId="386"/>
      <tableStyleElement type="headerRow" dxfId="385"/>
      <tableStyleElement type="totalRow" dxfId="384"/>
      <tableStyleElement type="firstRowStripe" dxfId="383"/>
    </tableStyle>
    <tableStyle name="OmitTableStyle" pivot="0" count="6">
      <tableStyleElement type="wholeTable" dxfId="382"/>
      <tableStyleElement type="headerRow" dxfId="381"/>
      <tableStyleElement type="totalRow" dxfId="380"/>
      <tableStyleElement type="firstColumn" dxfId="379"/>
      <tableStyleElement type="lastColumn" dxfId="378"/>
      <tableStyleElement type="firstRowStripe" dxfId="377"/>
    </tableStyle>
    <tableStyle name="SheetTableStyle" pivot="0" count="2">
      <tableStyleElement type="wholeTable" dxfId="376"/>
      <tableStyleElement type="headerRow" dxfId="375"/>
    </tableStyle>
    <tableStyle name="TableFall" pivot="0" count="4">
      <tableStyleElement type="wholeTable" dxfId="374"/>
      <tableStyleElement type="headerRow" dxfId="373"/>
      <tableStyleElement type="totalRow" dxfId="372"/>
      <tableStyleElement type="firstRowStripe" dxfId="371"/>
    </tableStyle>
    <tableStyle name="TableFall 2" pivot="0" count="4">
      <tableStyleElement type="wholeTable" dxfId="370"/>
      <tableStyleElement type="headerRow" dxfId="369"/>
      <tableStyleElement type="totalRow" dxfId="368"/>
      <tableStyleElement type="firstRowStripe" dxfId="367"/>
    </tableStyle>
  </tableStyles>
  <colors>
    <mruColors>
      <color rgb="FFFEEFE2"/>
      <color rgb="FFFFF4E6"/>
      <color rgb="FFA87C00"/>
      <color rgb="FFFEE2F3"/>
      <color rgb="FFFFF8E5"/>
      <color rgb="FFFFFADD"/>
      <color rgb="FFFFCC99"/>
      <color rgb="FF7B0E13"/>
      <color rgb="FF3F4018"/>
      <color rgb="FF3544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9" Type="http://schemas.microsoft.com/office/2007/relationships/slicerCache" Target="slicerCaches/slicerCache14.xml"/><Relationship Id="rId21" Type="http://schemas.openxmlformats.org/officeDocument/2006/relationships/worksheet" Target="worksheets/sheet21.xml"/><Relationship Id="rId34" Type="http://schemas.microsoft.com/office/2007/relationships/slicerCache" Target="slicerCaches/slicerCache9.xml"/><Relationship Id="rId42" Type="http://schemas.microsoft.com/office/2007/relationships/slicerCache" Target="slicerCaches/slicerCache17.xml"/><Relationship Id="rId47" Type="http://schemas.microsoft.com/office/2007/relationships/slicerCache" Target="slicerCaches/slicerCache22.xml"/><Relationship Id="rId50" Type="http://schemas.microsoft.com/office/2011/relationships/timelineCache" Target="timelineCaches/timelineCache1.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4.xml"/><Relationship Id="rId41" Type="http://schemas.microsoft.com/office/2007/relationships/slicerCache" Target="slicerCaches/slicerCache16.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microsoft.com/office/2007/relationships/slicerCache" Target="slicerCaches/slicerCache7.xml"/><Relationship Id="rId37" Type="http://schemas.microsoft.com/office/2007/relationships/slicerCache" Target="slicerCaches/slicerCache12.xml"/><Relationship Id="rId40" Type="http://schemas.microsoft.com/office/2007/relationships/slicerCache" Target="slicerCaches/slicerCache15.xml"/><Relationship Id="rId45" Type="http://schemas.microsoft.com/office/2007/relationships/slicerCache" Target="slicerCaches/slicerCache20.xml"/><Relationship Id="rId53" Type="http://schemas.openxmlformats.org/officeDocument/2006/relationships/theme" Target="theme/theme1.xml"/><Relationship Id="rId58"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3.xml"/><Relationship Id="rId36" Type="http://schemas.microsoft.com/office/2007/relationships/slicerCache" Target="slicerCaches/slicerCache11.xml"/><Relationship Id="rId49" Type="http://schemas.microsoft.com/office/2007/relationships/slicerCache" Target="slicerCaches/slicerCache24.xml"/><Relationship Id="rId57" Type="http://schemas.openxmlformats.org/officeDocument/2006/relationships/calcChain" Target="calcChain.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6.xml"/><Relationship Id="rId44" Type="http://schemas.microsoft.com/office/2007/relationships/slicerCache" Target="slicerCaches/slicerCache19.xml"/><Relationship Id="rId52" Type="http://schemas.microsoft.com/office/2011/relationships/timelineCache" Target="timelineCaches/timelineCache3.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7/relationships/slicerCache" Target="slicerCaches/slicerCache2.xml"/><Relationship Id="rId30" Type="http://schemas.microsoft.com/office/2007/relationships/slicerCache" Target="slicerCaches/slicerCache5.xml"/><Relationship Id="rId35" Type="http://schemas.microsoft.com/office/2007/relationships/slicerCache" Target="slicerCaches/slicerCache10.xml"/><Relationship Id="rId43" Type="http://schemas.microsoft.com/office/2007/relationships/slicerCache" Target="slicerCaches/slicerCache18.xml"/><Relationship Id="rId48" Type="http://schemas.microsoft.com/office/2007/relationships/slicerCache" Target="slicerCaches/slicerCache23.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11/relationships/timelineCache" Target="timelineCaches/timelineCache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microsoft.com/office/2007/relationships/slicerCache" Target="slicerCaches/slicerCache8.xml"/><Relationship Id="rId38" Type="http://schemas.microsoft.com/office/2007/relationships/slicerCache" Target="slicerCaches/slicerCache13.xml"/><Relationship Id="rId46" Type="http://schemas.microsoft.com/office/2007/relationships/slicerCache" Target="slicerCaches/slicerCache21.xml"/><Relationship Id="rId5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[PD-3PO-v1.1.xlsm]DB_Projs!PivotTable1</c:name>
    <c:fmtId val="1"/>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solidFill>
                  <a:schemeClr val="lt1"/>
                </a:solidFill>
                <a:latin typeface="+mn-lt"/>
                <a:ea typeface="+mn-ea"/>
                <a:cs typeface="+mn-cs"/>
              </a:rPr>
              <a:t>Project Count by Proposal</a:t>
            </a:r>
            <a:r>
              <a:rPr lang="en-US" baseline="0">
                <a:solidFill>
                  <a:schemeClr val="lt1"/>
                </a:solidFill>
                <a:latin typeface="+mn-lt"/>
                <a:ea typeface="+mn-ea"/>
                <a:cs typeface="+mn-cs"/>
              </a:rPr>
              <a:t> Status</a:t>
            </a:r>
            <a:endParaRPr lang="en-US"/>
          </a:p>
        </c:rich>
      </c:tx>
      <c:overlay val="0"/>
      <c:spPr>
        <a:solidFill>
          <a:schemeClr val="accent4"/>
        </a:solidFill>
        <a:ln w="10795" cap="flat" cmpd="sng" algn="ctr">
          <a:solidFill>
            <a:schemeClr val="accent4">
              <a:shade val="50000"/>
            </a:schemeClr>
          </a:solidFill>
          <a:prstDash val="solid"/>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s>
    <c:plotArea>
      <c:layout/>
      <c:pieChart>
        <c:varyColors val="1"/>
        <c:ser>
          <c:idx val="0"/>
          <c:order val="0"/>
          <c:tx>
            <c:strRef>
              <c:f>DB_Projs!$H$72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894-4853-A2DD-A762536D6D2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894-4853-A2DD-A762536D6D2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894-4853-A2DD-A762536D6D2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894-4853-A2DD-A762536D6D2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894-4853-A2DD-A762536D6D2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894-4853-A2DD-A762536D6D29}"/>
              </c:ext>
            </c:extLst>
          </c:dPt>
          <c:dLbls>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DB_Projs!$G$73:$G$74</c:f>
              <c:strCache>
                <c:ptCount val="1"/>
                <c:pt idx="0">
                  <c:v>DECL</c:v>
                </c:pt>
              </c:strCache>
            </c:strRef>
          </c:cat>
          <c:val>
            <c:numRef>
              <c:f>DB_Projs!$H$73:$H$74</c:f>
              <c:numCache>
                <c:formatCode>General</c:formatCode>
                <c:ptCount val="1"/>
                <c:pt idx="0">
                  <c:v>1</c:v>
                </c:pt>
              </c:numCache>
            </c:numRef>
          </c:val>
          <c:extLst>
            <c:ext xmlns:c16="http://schemas.microsoft.com/office/drawing/2014/chart" uri="{C3380CC4-5D6E-409C-BE32-E72D297353CC}">
              <c16:uniqueId val="{0000000C-D894-4853-A2DD-A762536D6D29}"/>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[PD-3PO-v1.1.xlsm]DB_Projs!PivotTable2</c:name>
    <c:fmtId val="2"/>
  </c:pivotSource>
  <c:chart>
    <c:title>
      <c:tx>
        <c:rich>
          <a:bodyPr rot="0" spcFirstLastPara="1" vertOverflow="ellipsis" vert="horz" wrap="square" anchor="ctr" anchorCtr="1"/>
          <a:lstStyle/>
          <a:p>
            <a:pPr>
              <a:defRPr sz="1440" b="0" i="0" u="none" strike="noStrike" kern="1200" cap="all" spc="0" baseline="0">
                <a:solidFill>
                  <a:schemeClr val="lt1"/>
                </a:solidFill>
                <a:latin typeface="+mn-lt"/>
                <a:ea typeface="+mn-ea"/>
                <a:cs typeface="+mn-cs"/>
              </a:defRPr>
            </a:pPr>
            <a:r>
              <a:rPr lang="en-US">
                <a:solidFill>
                  <a:schemeClr val="lt1"/>
                </a:solidFill>
                <a:latin typeface="+mn-lt"/>
                <a:ea typeface="+mn-ea"/>
                <a:cs typeface="+mn-cs"/>
              </a:rPr>
              <a:t>Proposal Count by NSF Received Date</a:t>
            </a:r>
            <a:endParaRPr lang="en-US"/>
          </a:p>
        </c:rich>
      </c:tx>
      <c:overlay val="0"/>
      <c:spPr>
        <a:solidFill>
          <a:schemeClr val="accent4"/>
        </a:solidFill>
        <a:ln w="17145" cap="flat" cmpd="sng" algn="ctr">
          <a:solidFill>
            <a:schemeClr val="lt1">
              <a:shade val="95000"/>
              <a:alpha val="50000"/>
              <a:satMod val="150000"/>
            </a:schemeClr>
          </a:solidFill>
          <a:prstDash val="solid"/>
        </a:ln>
        <a:effectLst/>
      </c:spPr>
      <c:txPr>
        <a:bodyPr rot="0" spcFirstLastPara="1" vertOverflow="ellipsis" vert="horz" wrap="square" anchor="ctr" anchorCtr="1"/>
        <a:lstStyle/>
        <a:p>
          <a:pPr>
            <a:defRPr sz="1440" b="0" i="0" u="none" strike="noStrike" kern="1200" cap="all" spc="0" baseline="0">
              <a:solidFill>
                <a:schemeClr val="lt1"/>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ln w="19050" cap="rnd" cmpd="sng" algn="ctr">
            <a:solidFill>
              <a:schemeClr val="accent2">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DB_Projs!$D$70</c:f>
              <c:strCache>
                <c:ptCount val="1"/>
                <c:pt idx="0">
                  <c:v>Total</c:v>
                </c:pt>
              </c:strCache>
            </c:strRef>
          </c:tx>
          <c:spPr>
            <a:ln w="19050" cap="rnd" cmpd="sng" algn="ctr">
              <a:solidFill>
                <a:schemeClr val="accent2">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DB_Projs!$C$71:$C$72</c:f>
              <c:strCache>
                <c:ptCount val="1"/>
                <c:pt idx="0">
                  <c:v>11/06/15</c:v>
                </c:pt>
              </c:strCache>
            </c:strRef>
          </c:cat>
          <c:val>
            <c:numRef>
              <c:f>DB_Projs!$D$71:$D$72</c:f>
              <c:numCache>
                <c:formatCode>General</c:formatCode>
                <c:ptCount val="1"/>
                <c:pt idx="0">
                  <c:v>1</c:v>
                </c:pt>
              </c:numCache>
            </c:numRef>
          </c:val>
          <c:smooth val="0"/>
          <c:extLst>
            <c:ext xmlns:c16="http://schemas.microsoft.com/office/drawing/2014/chart" uri="{C3380CC4-5D6E-409C-BE32-E72D297353CC}">
              <c16:uniqueId val="{00000000-1237-46E8-B160-CCA42E23BEE6}"/>
            </c:ext>
          </c:extLst>
        </c:ser>
        <c:dLbls>
          <c:dLblPos val="ctr"/>
          <c:showLegendKey val="0"/>
          <c:showVal val="1"/>
          <c:showCatName val="0"/>
          <c:showSerName val="0"/>
          <c:showPercent val="0"/>
          <c:showBubbleSize val="0"/>
        </c:dLbls>
        <c:marker val="1"/>
        <c:smooth val="0"/>
        <c:axId val="711200064"/>
        <c:axId val="711198104"/>
      </c:lineChart>
      <c:catAx>
        <c:axId val="7112000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711198104"/>
        <c:crosses val="autoZero"/>
        <c:auto val="1"/>
        <c:lblAlgn val="ctr"/>
        <c:lblOffset val="100"/>
        <c:noMultiLvlLbl val="0"/>
      </c:catAx>
      <c:valAx>
        <c:axId val="711198104"/>
        <c:scaling>
          <c:orientation val="minMax"/>
        </c:scaling>
        <c:delete val="1"/>
        <c:axPos val="l"/>
        <c:numFmt formatCode="General" sourceLinked="1"/>
        <c:majorTickMark val="none"/>
        <c:minorTickMark val="none"/>
        <c:tickLblPos val="nextTo"/>
        <c:crossAx val="711200064"/>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[PD-3PO-v1.1.xlsm]DB_Projs!PivotTable7</c:name>
    <c:fmtId val="2"/>
  </c:pivotSource>
  <c:chart>
    <c:title>
      <c:tx>
        <c:rich>
          <a:bodyPr rot="0" spcFirstLastPara="1" vertOverflow="ellipsis" vert="horz" wrap="square" anchor="ctr" anchorCtr="1"/>
          <a:lstStyle/>
          <a:p>
            <a:pPr>
              <a:defRPr sz="1600" b="0" i="0" u="none" strike="noStrike" kern="1200" baseline="0">
                <a:solidFill>
                  <a:schemeClr val="lt1"/>
                </a:solidFill>
                <a:latin typeface="+mn-lt"/>
                <a:ea typeface="+mn-ea"/>
                <a:cs typeface="+mn-cs"/>
              </a:defRPr>
            </a:pPr>
            <a:r>
              <a:rPr lang="en-US" b="0">
                <a:solidFill>
                  <a:schemeClr val="lt1"/>
                </a:solidFill>
                <a:latin typeface="+mn-lt"/>
                <a:ea typeface="+mn-ea"/>
                <a:cs typeface="+mn-cs"/>
              </a:rPr>
              <a:t>Project Count by Nature of Request</a:t>
            </a:r>
            <a:r>
              <a:rPr lang="en-US" b="0" baseline="0">
                <a:solidFill>
                  <a:schemeClr val="lt1"/>
                </a:solidFill>
                <a:latin typeface="+mn-lt"/>
                <a:ea typeface="+mn-ea"/>
                <a:cs typeface="+mn-cs"/>
              </a:rPr>
              <a:t> and Program</a:t>
            </a:r>
            <a:endParaRPr lang="en-US" b="0"/>
          </a:p>
        </c:rich>
      </c:tx>
      <c:layout>
        <c:manualLayout>
          <c:xMode val="edge"/>
          <c:yMode val="edge"/>
          <c:x val="0.25635235163236553"/>
          <c:y val="2.3237994749469294E-2"/>
        </c:manualLayout>
      </c:layout>
      <c:overlay val="0"/>
      <c:spPr>
        <a:solidFill>
          <a:schemeClr val="accent4"/>
        </a:solidFill>
        <a:ln w="17145" cap="flat" cmpd="sng" algn="ctr">
          <a:solidFill>
            <a:schemeClr val="lt1">
              <a:shade val="95000"/>
              <a:alpha val="50000"/>
              <a:satMod val="150000"/>
            </a:schemeClr>
          </a:solidFill>
          <a:prstDash val="solid"/>
        </a:ln>
        <a:effectLst/>
      </c:spPr>
      <c:txPr>
        <a:bodyPr rot="0" spcFirstLastPara="1" vertOverflow="ellipsis" vert="horz" wrap="square" anchor="ctr" anchorCtr="1"/>
        <a:lstStyle/>
        <a:p>
          <a:pPr>
            <a:defRPr sz="1600" b="0" i="0" u="none" strike="noStrike" kern="1200" baseline="0">
              <a:solidFill>
                <a:schemeClr val="lt1"/>
              </a:solidFill>
              <a:latin typeface="+mn-lt"/>
              <a:ea typeface="+mn-ea"/>
              <a:cs typeface="+mn-cs"/>
            </a:defRPr>
          </a:pPr>
          <a:endParaRPr lang="en-US"/>
        </a:p>
      </c:txPr>
    </c:title>
    <c:autoTitleDeleted val="0"/>
    <c:pivotFmts>
      <c:pivotFmt>
        <c:idx val="0"/>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
        <c:idx val="1"/>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
        <c:idx val="2"/>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
        <c:idx val="3"/>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
        <c:idx val="4"/>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
        <c:idx val="5"/>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
        <c:idx val="6"/>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
        <c:idx val="7"/>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
        <c:idx val="8"/>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
        <c:idx val="9"/>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
        <c:idx val="10"/>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
        <c:idx val="11"/>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
        <c:idx val="15"/>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pivotFmt>
    </c:pivotFmts>
    <c:plotArea>
      <c:layout/>
      <c:barChart>
        <c:barDir val="col"/>
        <c:grouping val="stacked"/>
        <c:varyColors val="0"/>
        <c:ser>
          <c:idx val="0"/>
          <c:order val="0"/>
          <c:tx>
            <c:strRef>
              <c:f>DB_Projs!$Z$89:$Z$90</c:f>
              <c:strCache>
                <c:ptCount val="1"/>
                <c:pt idx="0">
                  <c:v>NEW</c:v>
                </c:pt>
              </c:strCache>
            </c:strRef>
          </c:tx>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DB_Projs!$Y$91:$Y$92</c:f>
              <c:strCache>
                <c:ptCount val="1"/>
                <c:pt idx="0">
                  <c:v>7796 - ALGORITHMIC FOUNDATIONS</c:v>
                </c:pt>
              </c:strCache>
            </c:strRef>
          </c:cat>
          <c:val>
            <c:numRef>
              <c:f>DB_Projs!$Z$91:$Z$92</c:f>
              <c:numCache>
                <c:formatCode>General</c:formatCode>
                <c:ptCount val="1"/>
                <c:pt idx="0">
                  <c:v>1</c:v>
                </c:pt>
              </c:numCache>
            </c:numRef>
          </c:val>
          <c:extLst>
            <c:ext xmlns:c16="http://schemas.microsoft.com/office/drawing/2014/chart" uri="{C3380CC4-5D6E-409C-BE32-E72D297353CC}">
              <c16:uniqueId val="{00000000-0AF3-40C7-9318-1B2B31DE704C}"/>
            </c:ext>
          </c:extLst>
        </c:ser>
        <c:dLbls>
          <c:dLblPos val="inEnd"/>
          <c:showLegendKey val="0"/>
          <c:showVal val="1"/>
          <c:showCatName val="0"/>
          <c:showSerName val="0"/>
          <c:showPercent val="0"/>
          <c:showBubbleSize val="0"/>
        </c:dLbls>
        <c:gapWidth val="150"/>
        <c:overlap val="100"/>
        <c:axId val="711199280"/>
        <c:axId val="711200456"/>
      </c:barChart>
      <c:catAx>
        <c:axId val="71119928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1200456"/>
        <c:crosses val="autoZero"/>
        <c:auto val="1"/>
        <c:lblAlgn val="ctr"/>
        <c:lblOffset val="100"/>
        <c:noMultiLvlLbl val="0"/>
      </c:catAx>
      <c:valAx>
        <c:axId val="711200456"/>
        <c:scaling>
          <c:orientation val="minMax"/>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1199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[PD-3PO-v1.1.xlsm]DB_Projs!PivotTable8</c:name>
    <c:fmtId val="29"/>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solidFill>
                  <a:schemeClr val="lt1"/>
                </a:solidFill>
                <a:latin typeface="+mn-lt"/>
                <a:ea typeface="+mn-ea"/>
                <a:cs typeface="+mn-cs"/>
              </a:rPr>
              <a:t>Project Count by Object Class</a:t>
            </a:r>
            <a:endParaRPr lang="en-US"/>
          </a:p>
        </c:rich>
      </c:tx>
      <c:overlay val="0"/>
      <c:spPr>
        <a:solidFill>
          <a:schemeClr val="accent4"/>
        </a:solidFill>
        <a:ln w="17145" cap="flat" cmpd="sng" algn="ctr">
          <a:solidFill>
            <a:schemeClr val="lt1">
              <a:shade val="95000"/>
              <a:alpha val="50000"/>
              <a:satMod val="150000"/>
            </a:schemeClr>
          </a:solidFill>
          <a:prstDash val="solid"/>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dLbl>
          <c:idx val="0"/>
          <c:layout>
            <c:manualLayout>
              <c:x val="0.29787238795241894"/>
              <c:y val="0.1403508315738015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s>
    <c:plotArea>
      <c:layout/>
      <c:pieChart>
        <c:varyColors val="1"/>
        <c:ser>
          <c:idx val="0"/>
          <c:order val="0"/>
          <c:tx>
            <c:strRef>
              <c:f>DB_Projs!$Z$76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28B-4797-A26A-EE72923FC0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28B-4797-A26A-EE72923FC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28B-4797-A26A-EE72923FC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28B-4797-A26A-EE72923FC0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28B-4797-A26A-EE72923FC0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28B-4797-A26A-EE72923FC099}"/>
              </c:ext>
            </c:extLst>
          </c:dPt>
          <c:dLbls>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DB_Projs!$Y$77:$Y$78</c:f>
              <c:strCache>
                <c:ptCount val="1"/>
                <c:pt idx="0">
                  <c:v>Research Grants-Not Elsewh Cla</c:v>
                </c:pt>
              </c:strCache>
            </c:strRef>
          </c:cat>
          <c:val>
            <c:numRef>
              <c:f>DB_Projs!$Z$77:$Z$78</c:f>
              <c:numCache>
                <c:formatCode>General</c:formatCode>
                <c:ptCount val="1"/>
                <c:pt idx="0">
                  <c:v>1</c:v>
                </c:pt>
              </c:numCache>
            </c:numRef>
          </c:val>
          <c:extLst>
            <c:ext xmlns:c16="http://schemas.microsoft.com/office/drawing/2014/chart" uri="{C3380CC4-5D6E-409C-BE32-E72D297353CC}">
              <c16:uniqueId val="{0000000C-528B-4797-A26A-EE72923FC09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[PD-3PO-v1.1.xlsm]DB_Projs!PivotTable9</c:name>
    <c:fmtId val="1"/>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solidFill>
                  <a:schemeClr val="lt1"/>
                </a:solidFill>
                <a:latin typeface="+mn-lt"/>
                <a:ea typeface="+mn-ea"/>
                <a:cs typeface="+mn-cs"/>
              </a:rPr>
              <a:t>Project Summary PDF</a:t>
            </a:r>
            <a:r>
              <a:rPr lang="en-US" baseline="0">
                <a:solidFill>
                  <a:schemeClr val="lt1"/>
                </a:solidFill>
                <a:latin typeface="+mn-lt"/>
                <a:ea typeface="+mn-ea"/>
                <a:cs typeface="+mn-cs"/>
              </a:rPr>
              <a:t> Percentage</a:t>
            </a:r>
            <a:endParaRPr lang="en-US"/>
          </a:p>
        </c:rich>
      </c:tx>
      <c:overlay val="0"/>
      <c:spPr>
        <a:solidFill>
          <a:schemeClr val="accent4"/>
        </a:solidFill>
        <a:ln w="17145" cap="flat" cmpd="sng" algn="ctr">
          <a:solidFill>
            <a:schemeClr val="lt1">
              <a:shade val="95000"/>
              <a:alpha val="50000"/>
              <a:satMod val="150000"/>
            </a:schemeClr>
          </a:solidFill>
          <a:prstDash val="solid"/>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DB_Projs!$BE$10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27A-4380-8293-DF21D4A987C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27A-4380-8293-DF21D4A987C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27A-4380-8293-DF21D4A987CA}"/>
              </c:ext>
            </c:extLst>
          </c:dPt>
          <c:dLbls>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DB_Projs!$BD$11:$BD$12</c:f>
              <c:strCache>
                <c:ptCount val="1"/>
                <c:pt idx="0">
                  <c:v>Text</c:v>
                </c:pt>
              </c:strCache>
            </c:strRef>
          </c:cat>
          <c:val>
            <c:numRef>
              <c:f>DB_Projs!$BE$11:$BE$12</c:f>
              <c:numCache>
                <c:formatCode>General</c:formatCode>
                <c:ptCount val="1"/>
                <c:pt idx="0">
                  <c:v>1</c:v>
                </c:pt>
              </c:numCache>
            </c:numRef>
          </c:val>
          <c:extLst>
            <c:ext xmlns:c16="http://schemas.microsoft.com/office/drawing/2014/chart" uri="{C3380CC4-5D6E-409C-BE32-E72D297353CC}">
              <c16:uniqueId val="{00000006-827A-4380-8293-DF21D4A987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[PD-3PO-v1.1.xlsm]DB_Props!PivotTable9</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solidFill>
                  <a:schemeClr val="dk1"/>
                </a:solidFill>
                <a:latin typeface="+mn-lt"/>
                <a:ea typeface="+mn-ea"/>
                <a:cs typeface="+mn-cs"/>
              </a:rPr>
              <a:t>EPSCOR  Status by Proposal Count</a:t>
            </a:r>
            <a:endParaRPr lang="en-US"/>
          </a:p>
        </c:rich>
      </c:tx>
      <c:overlay val="0"/>
      <c:spPr>
        <a:solidFill>
          <a:schemeClr val="accent1">
            <a:tint val="65000"/>
          </a:schemeClr>
        </a:solidFill>
        <a:ln w="9525" cap="flat" cmpd="sng" algn="ctr">
          <a:solidFill>
            <a:schemeClr val="accent1"/>
          </a:solidFill>
          <a:prstDash val="solid"/>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s>
    <c:plotArea>
      <c:layout/>
      <c:pieChart>
        <c:varyColors val="1"/>
        <c:ser>
          <c:idx val="0"/>
          <c:order val="0"/>
          <c:tx>
            <c:strRef>
              <c:f>DB_Props!$C$48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855-48C6-B2EB-EE658666721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855-48C6-B2EB-EE658666721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855-48C6-B2EB-EE6586667213}"/>
              </c:ext>
            </c:extLst>
          </c:dPt>
          <c:dLbls>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DB_Props!$B$49:$B$50</c:f>
              <c:strCache>
                <c:ptCount val="1"/>
              </c:strCache>
            </c:strRef>
          </c:cat>
          <c:val>
            <c:numRef>
              <c:f>DB_Props!$C$49:$C$50</c:f>
              <c:numCache>
                <c:formatCode>General</c:formatCode>
                <c:ptCount val="1"/>
                <c:pt idx="0">
                  <c:v>1</c:v>
                </c:pt>
              </c:numCache>
            </c:numRef>
          </c:val>
          <c:extLst>
            <c:ext xmlns:c16="http://schemas.microsoft.com/office/drawing/2014/chart" uri="{C3380CC4-5D6E-409C-BE32-E72D297353CC}">
              <c16:uniqueId val="{00000006-A855-48C6-B2EB-EE658666721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2" dropStyle="combo" dx="16" fmlaRange="Favorites!$G$11:$G$23"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hyperlink" Target="#Help!A1"/><Relationship Id="rId1" Type="http://schemas.openxmlformats.org/officeDocument/2006/relationships/image" Target="../media/image1.jpeg"/><Relationship Id="rId6" Type="http://schemas.openxmlformats.org/officeDocument/2006/relationships/image" Target="../media/image5.png"/><Relationship Id="rId5" Type="http://schemas.openxmlformats.org/officeDocument/2006/relationships/image" Target="../media/image4.jpg"/><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hyperlink" Target="#DB_Projs!A1"/><Relationship Id="rId2" Type="http://schemas.openxmlformats.org/officeDocument/2006/relationships/image" Target="../media/image6.jpg"/><Relationship Id="rId1" Type="http://schemas.openxmlformats.org/officeDocument/2006/relationships/hyperlink" Target="#Input!A1"/></Relationships>
</file>

<file path=xl/drawings/_rels/drawing3.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6.jpg"/><Relationship Id="rId3" Type="http://schemas.openxmlformats.org/officeDocument/2006/relationships/hyperlink" Target="#DB_Projs!DBPBack1"/><Relationship Id="rId7" Type="http://schemas.openxmlformats.org/officeDocument/2006/relationships/chart" Target="../charts/chart3.xml"/><Relationship Id="rId12" Type="http://schemas.openxmlformats.org/officeDocument/2006/relationships/hyperlink" Target="#Input!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DB_Projs!DBPBack2"/><Relationship Id="rId11" Type="http://schemas.openxmlformats.org/officeDocument/2006/relationships/hyperlink" Target="#DB_Projs!DBPStop3"/><Relationship Id="rId5" Type="http://schemas.openxmlformats.org/officeDocument/2006/relationships/hyperlink" Target="#DBPStop2"/><Relationship Id="rId10" Type="http://schemas.openxmlformats.org/officeDocument/2006/relationships/hyperlink" Target="#DB_Projs!DBPBack3"/><Relationship Id="rId4" Type="http://schemas.openxmlformats.org/officeDocument/2006/relationships/image" Target="../media/image8.jpg"/><Relationship Id="rId9" Type="http://schemas.openxmlformats.org/officeDocument/2006/relationships/chart" Target="../charts/chart5.xml"/><Relationship Id="rId14" Type="http://schemas.openxmlformats.org/officeDocument/2006/relationships/hyperlink" Target="#Projects!A1"/></Relationships>
</file>

<file path=xl/drawings/_rels/drawing4.xml.rels><?xml version="1.0" encoding="UTF-8" standalone="yes"?>
<Relationships xmlns="http://schemas.openxmlformats.org/package/2006/relationships"><Relationship Id="rId3" Type="http://schemas.openxmlformats.org/officeDocument/2006/relationships/hyperlink" Target="#DB_PersInst!A1"/><Relationship Id="rId2" Type="http://schemas.openxmlformats.org/officeDocument/2006/relationships/hyperlink" Target="#Input!A1"/><Relationship Id="rId1" Type="http://schemas.openxmlformats.org/officeDocument/2006/relationships/image" Target="../media/image6.jpg"/></Relationships>
</file>

<file path=xl/drawings/_rels/drawing5.xml.rels><?xml version="1.0" encoding="UTF-8" standalone="yes"?>
<Relationships xmlns="http://schemas.openxmlformats.org/package/2006/relationships"><Relationship Id="rId3" Type="http://schemas.openxmlformats.org/officeDocument/2006/relationships/hyperlink" Target="#DB_PersInst!DBPIBack1"/><Relationship Id="rId2" Type="http://schemas.openxmlformats.org/officeDocument/2006/relationships/image" Target="../media/image8.jpg"/><Relationship Id="rId1" Type="http://schemas.openxmlformats.org/officeDocument/2006/relationships/hyperlink" Target="#DBPIStop1"/><Relationship Id="rId6" Type="http://schemas.openxmlformats.org/officeDocument/2006/relationships/hyperlink" Target="#PersInst!A1"/><Relationship Id="rId5" Type="http://schemas.openxmlformats.org/officeDocument/2006/relationships/image" Target="../media/image6.jpg"/><Relationship Id="rId4" Type="http://schemas.openxmlformats.org/officeDocument/2006/relationships/hyperlink" Target="#Input!A1"/></Relationships>
</file>

<file path=xl/drawings/_rels/drawing6.xml.rels><?xml version="1.0" encoding="UTF-8" standalone="yes"?>
<Relationships xmlns="http://schemas.openxmlformats.org/package/2006/relationships"><Relationship Id="rId3" Type="http://schemas.openxmlformats.org/officeDocument/2006/relationships/hyperlink" Target="#DB_Props!A1"/><Relationship Id="rId2" Type="http://schemas.openxmlformats.org/officeDocument/2006/relationships/hyperlink" Target="#Input!A1"/><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3" Type="http://schemas.openxmlformats.org/officeDocument/2006/relationships/hyperlink" Target="#DB_Props!A1"/><Relationship Id="rId7" Type="http://schemas.openxmlformats.org/officeDocument/2006/relationships/hyperlink" Target="#Proposals!A1"/><Relationship Id="rId2" Type="http://schemas.openxmlformats.org/officeDocument/2006/relationships/image" Target="../media/image8.jpg"/><Relationship Id="rId1" Type="http://schemas.openxmlformats.org/officeDocument/2006/relationships/hyperlink" Target="#DBPIStop1"/><Relationship Id="rId6" Type="http://schemas.openxmlformats.org/officeDocument/2006/relationships/image" Target="../media/image6.jpg"/><Relationship Id="rId5" Type="http://schemas.openxmlformats.org/officeDocument/2006/relationships/hyperlink" Target="#Input!A1"/><Relationship Id="rId4" Type="http://schemas.openxmlformats.org/officeDocument/2006/relationships/chart" Target="../charts/chart6.xml"/></Relationships>
</file>

<file path=xl/drawings/_rels/drawing8.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hyperlink" Target="#Input!A1"/></Relationships>
</file>

<file path=xl/drawings/_rels/drawing9.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hyperlink" Target="#Input!A1"/></Relationships>
</file>

<file path=xl/drawings/_rels/drawing10.xml.rels><?xml version="1.0" encoding="UTF-8" standalone="yes"?>
<Relationships xmlns="http://schemas.openxmlformats.org/package/2006/relationships"><Relationship Id="rId3" Type="http://schemas.openxmlformats.org/officeDocument/2006/relationships/hyperlink" Target="#Input!A1"/><Relationship Id="rId2" Type="http://schemas.openxmlformats.org/officeDocument/2006/relationships/image" Target="../media/image8.jpg"/><Relationship Id="rId1" Type="http://schemas.openxmlformats.org/officeDocument/2006/relationships/hyperlink" Target="#ProjSumKey!A1"/><Relationship Id="rId5" Type="http://schemas.openxmlformats.org/officeDocument/2006/relationships/hyperlink" Target="#SearchText"/><Relationship Id="rId4" Type="http://schemas.openxmlformats.org/officeDocument/2006/relationships/image" Target="../media/image6.jpg"/></Relationships>
</file>

<file path=xl/drawings/_rels/drawing11.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hyperlink" Target="#Input!A1"/></Relationships>
</file>

<file path=xl/drawings/_rels/drawing1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hyperlink" Target="#Input!A1"/></Relationships>
</file>

<file path=xl/drawings/_rels/drawing1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hyperlink" Target="#Input!A1"/></Relationships>
</file>

<file path=xl/drawings/_rels/drawing14.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hyperlink" Target="#Input!A1"/></Relationships>
</file>

<file path=xl/drawings/_rels/drawing15.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hyperlink" Target="#Input!A1"/></Relationships>
</file>

<file path=xl/drawings/_rels/drawing16.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hyperlink" Target="#Input!A1"/></Relationships>
</file>

<file path=xl/drawings/_rels/drawing17.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hyperlink" Target="#Input!A1"/></Relationships>
</file>

<file path=xl/drawings/_rels/drawing18.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hyperlink" Target="#Input!A1"/></Relationships>
</file>

<file path=xl/drawings/_rels/drawing19.xml.rels><?xml version="1.0" encoding="UTF-8" standalone="yes"?>
<Relationships xmlns="http://schemas.openxmlformats.org/package/2006/relationships"><Relationship Id="rId8" Type="http://schemas.openxmlformats.org/officeDocument/2006/relationships/image" Target="../media/image8.jpg"/><Relationship Id="rId3" Type="http://schemas.openxmlformats.org/officeDocument/2006/relationships/image" Target="../media/image9.jpeg"/><Relationship Id="rId7" Type="http://schemas.openxmlformats.org/officeDocument/2006/relationships/hyperlink" Target="#Help!A1"/><Relationship Id="rId2" Type="http://schemas.openxmlformats.org/officeDocument/2006/relationships/image" Target="../media/image6.jpg"/><Relationship Id="rId1" Type="http://schemas.openxmlformats.org/officeDocument/2006/relationships/hyperlink" Target="#Input!A1"/><Relationship Id="rId6" Type="http://schemas.openxmlformats.org/officeDocument/2006/relationships/image" Target="../media/image4.jpg"/><Relationship Id="rId5" Type="http://schemas.openxmlformats.org/officeDocument/2006/relationships/image" Target="../media/image11.jpeg"/><Relationship Id="rId4"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3" Type="http://schemas.openxmlformats.org/officeDocument/2006/relationships/hyperlink" Target="#DB_Projs!A1"/><Relationship Id="rId2" Type="http://schemas.openxmlformats.org/officeDocument/2006/relationships/image" Target="../media/image6.jpg"/><Relationship Id="rId1" Type="http://schemas.openxmlformats.org/officeDocument/2006/relationships/hyperlink" Target="#Input!A1"/></Relationships>
</file>

<file path=xl/drawings/_rels/drawing21.xml.rels><?xml version="1.0" encoding="UTF-8" standalone="yes"?>
<Relationships xmlns="http://schemas.openxmlformats.org/package/2006/relationships"><Relationship Id="rId3" Type="http://schemas.openxmlformats.org/officeDocument/2006/relationships/image" Target="../media/image6.jpg"/><Relationship Id="rId2" Type="http://schemas.openxmlformats.org/officeDocument/2006/relationships/hyperlink" Target="#Input!A1"/><Relationship Id="rId1" Type="http://schemas.openxmlformats.org/officeDocument/2006/relationships/image" Target="../media/image1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8</xdr:col>
      <xdr:colOff>888563</xdr:colOff>
      <xdr:row>0</xdr:row>
      <xdr:rowOff>0</xdr:rowOff>
    </xdr:from>
    <xdr:to>
      <xdr:col>13</xdr:col>
      <xdr:colOff>1271435</xdr:colOff>
      <xdr:row>6</xdr:row>
      <xdr:rowOff>28111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66191" y="0"/>
          <a:ext cx="3114020" cy="18359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212271</xdr:colOff>
          <xdr:row>24</xdr:row>
          <xdr:rowOff>97971</xdr:rowOff>
        </xdr:from>
        <xdr:to>
          <xdr:col>5</xdr:col>
          <xdr:colOff>952500</xdr:colOff>
          <xdr:row>24</xdr:row>
          <xdr:rowOff>277586</xdr:rowOff>
        </xdr:to>
        <xdr:sp macro="" textlink="">
          <xdr:nvSpPr>
            <xdr:cNvPr id="36885" name="ddFavorites" hidden="1">
              <a:extLst>
                <a:ext uri="{63B3BB69-23CF-44E3-9099-C40C66FF867C}">
                  <a14:compatExt spid="_x0000_s36885"/>
                </a:ext>
                <a:ext uri="{FF2B5EF4-FFF2-40B4-BE49-F238E27FC236}">
                  <a16:creationId xmlns:a16="http://schemas.microsoft.com/office/drawing/2014/main" id="{00000000-0008-0000-0000-00001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106509</xdr:colOff>
      <xdr:row>5</xdr:row>
      <xdr:rowOff>9921</xdr:rowOff>
    </xdr:from>
    <xdr:to>
      <xdr:col>13</xdr:col>
      <xdr:colOff>41987</xdr:colOff>
      <xdr:row>5</xdr:row>
      <xdr:rowOff>242490</xdr:rowOff>
    </xdr:to>
    <xdr:sp macro="[0]!pasteRangeAsCSV" textlink="">
      <xdr:nvSpPr>
        <xdr:cNvPr id="13" name="TextBox 12">
          <a:extLst>
            <a:ext uri="{FF2B5EF4-FFF2-40B4-BE49-F238E27FC236}">
              <a16:creationId xmlns:a16="http://schemas.microsoft.com/office/drawing/2014/main" id="{00000000-0008-0000-0000-00000D000000}"/>
            </a:ext>
          </a:extLst>
        </xdr:cNvPr>
        <xdr:cNvSpPr txBox="1">
          <a:spLocks noChangeAspect="1"/>
        </xdr:cNvSpPr>
      </xdr:nvSpPr>
      <xdr:spPr>
        <a:xfrm>
          <a:off x="6375514" y="1516426"/>
          <a:ext cx="1675249" cy="2325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solidFill>
                <a:schemeClr val="bg1">
                  <a:lumMod val="50000"/>
                </a:schemeClr>
              </a:solidFill>
            </a:rPr>
            <a:t>Image</a:t>
          </a:r>
          <a:r>
            <a:rPr lang="en-US" sz="1100" i="1" baseline="0">
              <a:solidFill>
                <a:schemeClr val="bg1">
                  <a:lumMod val="50000"/>
                </a:schemeClr>
              </a:solidFill>
            </a:rPr>
            <a:t> Credit : ROBOTIS</a:t>
          </a:r>
        </a:p>
      </xdr:txBody>
    </xdr:sp>
    <xdr:clientData/>
  </xdr:twoCellAnchor>
  <xdr:twoCellAnchor editAs="oneCell">
    <xdr:from>
      <xdr:col>7</xdr:col>
      <xdr:colOff>19439</xdr:colOff>
      <xdr:row>28</xdr:row>
      <xdr:rowOff>105941</xdr:rowOff>
    </xdr:from>
    <xdr:to>
      <xdr:col>13</xdr:col>
      <xdr:colOff>1306879</xdr:colOff>
      <xdr:row>33</xdr:row>
      <xdr:rowOff>145791</xdr:rowOff>
    </xdr:to>
    <xdr:grpSp>
      <xdr:nvGrpSpPr>
        <xdr:cNvPr id="4" name="Group 3">
          <a:extLst>
            <a:ext uri="{FF2B5EF4-FFF2-40B4-BE49-F238E27FC236}">
              <a16:creationId xmlns:a16="http://schemas.microsoft.com/office/drawing/2014/main" id="{00000000-0008-0000-0000-000004000000}"/>
            </a:ext>
          </a:extLst>
        </xdr:cNvPr>
        <xdr:cNvGrpSpPr>
          <a:grpSpLocks noChangeAspect="1"/>
        </xdr:cNvGrpSpPr>
      </xdr:nvGrpSpPr>
      <xdr:grpSpPr>
        <a:xfrm>
          <a:off x="5152053" y="8754641"/>
          <a:ext cx="4634797" cy="1563850"/>
          <a:chOff x="4714875" y="10782300"/>
          <a:chExt cx="4556848" cy="1638300"/>
        </a:xfrm>
      </xdr:grpSpPr>
      <xdr:pic>
        <xdr:nvPicPr>
          <xdr:cNvPr id="8" name="Picture 7">
            <a:hlinkClick xmlns:r="http://schemas.openxmlformats.org/officeDocument/2006/relationships" r:id="rId2" tooltip="Jump to Help page"/>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47093" y="11055066"/>
            <a:ext cx="624630" cy="595055"/>
          </a:xfrm>
          <a:prstGeom prst="rect">
            <a:avLst/>
          </a:prstGeom>
        </xdr:spPr>
      </xdr:pic>
      <xdr:pic macro="[0]!ClearSheets">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7173571" y="11000807"/>
            <a:ext cx="1117261" cy="1083698"/>
          </a:xfrm>
          <a:prstGeom prst="rect">
            <a:avLst/>
          </a:prstGeom>
        </xdr:spPr>
      </xdr:pic>
      <xdr:pic macro="[0]!Mail_Sheets">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714875" y="10782300"/>
            <a:ext cx="504825" cy="504825"/>
          </a:xfrm>
          <a:prstGeom prst="rect">
            <a:avLst/>
          </a:prstGeom>
        </xdr:spPr>
      </xdr:pic>
      <xdr:pic macro="[0]!Refresh">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362575" y="10939928"/>
            <a:ext cx="1519485" cy="1480672"/>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104771</xdr:colOff>
      <xdr:row>0</xdr:row>
      <xdr:rowOff>0</xdr:rowOff>
    </xdr:from>
    <xdr:to>
      <xdr:col>19</xdr:col>
      <xdr:colOff>452439</xdr:colOff>
      <xdr:row>4</xdr:row>
      <xdr:rowOff>176213</xdr:rowOff>
    </xdr:to>
    <xdr:grpSp>
      <xdr:nvGrpSpPr>
        <xdr:cNvPr id="2" name="Group 1">
          <a:extLst>
            <a:ext uri="{FF2B5EF4-FFF2-40B4-BE49-F238E27FC236}">
              <a16:creationId xmlns:a16="http://schemas.microsoft.com/office/drawing/2014/main" id="{00000000-0008-0000-0100-000002000000}"/>
            </a:ext>
          </a:extLst>
        </xdr:cNvPr>
        <xdr:cNvGrpSpPr>
          <a:grpSpLocks/>
        </xdr:cNvGrpSpPr>
      </xdr:nvGrpSpPr>
      <xdr:grpSpPr>
        <a:xfrm>
          <a:off x="104771" y="0"/>
          <a:ext cx="9714825" cy="1302884"/>
          <a:chOff x="104771" y="0"/>
          <a:chExt cx="9177343" cy="1309688"/>
        </a:xfrm>
      </xdr:grpSpPr>
      <xdr:sp macro="[0]!ClearSortAndFilter" textlink="">
        <xdr:nvSpPr>
          <xdr:cNvPr id="10" name="tabTitle">
            <a:extLst>
              <a:ext uri="{FF2B5EF4-FFF2-40B4-BE49-F238E27FC236}">
                <a16:creationId xmlns:a16="http://schemas.microsoft.com/office/drawing/2014/main" id="{00000000-0008-0000-0100-00000A000000}"/>
              </a:ext>
            </a:extLst>
          </xdr:cNvPr>
          <xdr:cNvSpPr txBox="1"/>
        </xdr:nvSpPr>
        <xdr:spPr>
          <a:xfrm>
            <a:off x="1609724" y="9525"/>
            <a:ext cx="703897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PROJECTS DETAILED INFORMATION</a:t>
            </a:r>
            <a:endParaRPr lang="en-US" sz="2800">
              <a:solidFill>
                <a:schemeClr val="accent1"/>
              </a:solidFill>
            </a:endParaRPr>
          </a:p>
        </xdr:txBody>
      </xdr:sp>
      <xdr:sp macro="[0]!ClearSortAndFilter" textlink="">
        <xdr:nvSpPr>
          <xdr:cNvPr id="11" name="Pentagon 10">
            <a:hlinkClick xmlns:r="http://schemas.openxmlformats.org/officeDocument/2006/relationships" r:id="rId1" tooltip="Return to Input"/>
            <a:extLst>
              <a:ext uri="{FF2B5EF4-FFF2-40B4-BE49-F238E27FC236}">
                <a16:creationId xmlns:a16="http://schemas.microsoft.com/office/drawing/2014/main" id="{00000000-0008-0000-0100-00000B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0]!ClearSortAndFilter" textlink="">
        <xdr:nvSpPr>
          <xdr:cNvPr id="12" name="tabNote">
            <a:extLst>
              <a:ext uri="{FF2B5EF4-FFF2-40B4-BE49-F238E27FC236}">
                <a16:creationId xmlns:a16="http://schemas.microsoft.com/office/drawing/2014/main" id="{00000000-0008-0000-0100-00000C000000}"/>
              </a:ext>
            </a:extLst>
          </xdr:cNvPr>
          <xdr:cNvSpPr txBox="1"/>
        </xdr:nvSpPr>
        <xdr:spPr>
          <a:xfrm>
            <a:off x="2590800" y="447675"/>
            <a:ext cx="5181600"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Per-project information (non-lead PIs and budgets included under lead id) for summary in pivot tables.</a:t>
            </a:r>
          </a:p>
        </xdr:txBody>
      </xdr:sp>
      <xdr:pic macro="[0]!ClearSortAndFilter">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10576" y="0"/>
            <a:ext cx="871538" cy="1309688"/>
          </a:xfrm>
          <a:prstGeom prst="rect">
            <a:avLst/>
          </a:prstGeom>
        </xdr:spPr>
      </xdr:pic>
    </xdr:grpSp>
    <xdr:clientData/>
  </xdr:twoCellAnchor>
  <xdr:twoCellAnchor>
    <xdr:from>
      <xdr:col>20</xdr:col>
      <xdr:colOff>38100</xdr:colOff>
      <xdr:row>0</xdr:row>
      <xdr:rowOff>85725</xdr:rowOff>
    </xdr:from>
    <xdr:to>
      <xdr:col>22</xdr:col>
      <xdr:colOff>304800</xdr:colOff>
      <xdr:row>1</xdr:row>
      <xdr:rowOff>123825</xdr:rowOff>
    </xdr:to>
    <xdr:sp macro="" textlink="">
      <xdr:nvSpPr>
        <xdr:cNvPr id="14" name="Pentagon 13">
          <a:hlinkClick xmlns:r="http://schemas.openxmlformats.org/officeDocument/2006/relationships" r:id="rId3"/>
          <a:extLst>
            <a:ext uri="{FF2B5EF4-FFF2-40B4-BE49-F238E27FC236}">
              <a16:creationId xmlns:a16="http://schemas.microsoft.com/office/drawing/2014/main" id="{00000000-0008-0000-0100-00000E000000}"/>
            </a:ext>
          </a:extLst>
        </xdr:cNvPr>
        <xdr:cNvSpPr/>
      </xdr:nvSpPr>
      <xdr:spPr>
        <a:xfrm>
          <a:off x="9458325" y="85725"/>
          <a:ext cx="1285875" cy="542925"/>
        </a:xfrm>
        <a:prstGeom prst="homePlate">
          <a:avLst/>
        </a:prstGeom>
        <a:solidFill>
          <a:schemeClr val="accent1"/>
        </a:solidFill>
        <a:ln w="22225">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400" b="1"/>
            <a:t>VIEW</a:t>
          </a:r>
          <a:r>
            <a:rPr lang="en-US" sz="1400" b="1" baseline="0"/>
            <a:t> DASHBOARD</a:t>
          </a:r>
          <a:endParaRPr lang="en-US" sz="14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714374</xdr:colOff>
      <xdr:row>22</xdr:row>
      <xdr:rowOff>142876</xdr:rowOff>
    </xdr:from>
    <xdr:to>
      <xdr:col>4</xdr:col>
      <xdr:colOff>133349</xdr:colOff>
      <xdr:row>31</xdr:row>
      <xdr:rowOff>9525</xdr:rowOff>
    </xdr:to>
    <mc:AlternateContent xmlns:mc="http://schemas.openxmlformats.org/markup-compatibility/2006" xmlns:a14="http://schemas.microsoft.com/office/drawing/2010/main">
      <mc:Choice Requires="a14">
        <xdr:graphicFrame macro="">
          <xdr:nvGraphicFramePr>
            <xdr:cNvPr id="8" name="natr_rqst_abbr">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natr_rqst_abbr"/>
            </a:graphicData>
          </a:graphic>
        </xdr:graphicFrame>
      </mc:Choice>
      <mc:Fallback xmlns="">
        <xdr:sp macro="" textlink="">
          <xdr:nvSpPr>
            <xdr:cNvPr id="0" name=""/>
            <xdr:cNvSpPr>
              <a:spLocks noTextEdit="1"/>
            </xdr:cNvSpPr>
          </xdr:nvSpPr>
          <xdr:spPr>
            <a:xfrm>
              <a:off x="1838324" y="4705351"/>
              <a:ext cx="1152525" cy="1581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171449</xdr:colOff>
      <xdr:row>14</xdr:row>
      <xdr:rowOff>57151</xdr:rowOff>
    </xdr:from>
    <xdr:to>
      <xdr:col>2</xdr:col>
      <xdr:colOff>228600</xdr:colOff>
      <xdr:row>21</xdr:row>
      <xdr:rowOff>133351</xdr:rowOff>
    </xdr:to>
    <mc:AlternateContent xmlns:mc="http://schemas.openxmlformats.org/markup-compatibility/2006" xmlns:a14="http://schemas.microsoft.com/office/drawing/2010/main">
      <mc:Choice Requires="a14">
        <xdr:graphicFrame macro="">
          <xdr:nvGraphicFramePr>
            <xdr:cNvPr id="9" name="Dir">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microsoft.com/office/drawing/2010/slicer">
              <sle:slicer xmlns:sle="http://schemas.microsoft.com/office/drawing/2010/slicer" name="Dir"/>
            </a:graphicData>
          </a:graphic>
        </xdr:graphicFrame>
      </mc:Choice>
      <mc:Fallback xmlns="">
        <xdr:sp macro="" textlink="">
          <xdr:nvSpPr>
            <xdr:cNvPr id="0" name=""/>
            <xdr:cNvSpPr>
              <a:spLocks noTextEdit="1"/>
            </xdr:cNvSpPr>
          </xdr:nvSpPr>
          <xdr:spPr>
            <a:xfrm>
              <a:off x="419099" y="3095626"/>
              <a:ext cx="933451" cy="1409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371474</xdr:colOff>
      <xdr:row>14</xdr:row>
      <xdr:rowOff>66675</xdr:rowOff>
    </xdr:from>
    <xdr:to>
      <xdr:col>3</xdr:col>
      <xdr:colOff>398144</xdr:colOff>
      <xdr:row>22</xdr:row>
      <xdr:rowOff>0</xdr:rowOff>
    </xdr:to>
    <mc:AlternateContent xmlns:mc="http://schemas.openxmlformats.org/markup-compatibility/2006" xmlns:a14="http://schemas.microsoft.com/office/drawing/2010/main">
      <mc:Choice Requires="a14">
        <xdr:graphicFrame macro="">
          <xdr:nvGraphicFramePr>
            <xdr:cNvPr id="10" name="Div">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Div"/>
            </a:graphicData>
          </a:graphic>
        </xdr:graphicFrame>
      </mc:Choice>
      <mc:Fallback xmlns="">
        <xdr:sp macro="" textlink="">
          <xdr:nvSpPr>
            <xdr:cNvPr id="0" name=""/>
            <xdr:cNvSpPr>
              <a:spLocks noTextEdit="1"/>
            </xdr:cNvSpPr>
          </xdr:nvSpPr>
          <xdr:spPr>
            <a:xfrm>
              <a:off x="1495424" y="3105150"/>
              <a:ext cx="904875"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323849</xdr:colOff>
      <xdr:row>14</xdr:row>
      <xdr:rowOff>47625</xdr:rowOff>
    </xdr:from>
    <xdr:to>
      <xdr:col>7</xdr:col>
      <xdr:colOff>274318</xdr:colOff>
      <xdr:row>22</xdr:row>
      <xdr:rowOff>9524</xdr:rowOff>
    </xdr:to>
    <mc:AlternateContent xmlns:mc="http://schemas.openxmlformats.org/markup-compatibility/2006" xmlns:a14="http://schemas.microsoft.com/office/drawing/2010/main">
      <mc:Choice Requires="a14">
        <xdr:graphicFrame macro="">
          <xdr:nvGraphicFramePr>
            <xdr:cNvPr id="11" name="PO">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PO"/>
            </a:graphicData>
          </a:graphic>
        </xdr:graphicFrame>
      </mc:Choice>
      <mc:Fallback xmlns="">
        <xdr:sp macro="" textlink="">
          <xdr:nvSpPr>
            <xdr:cNvPr id="0" name=""/>
            <xdr:cNvSpPr>
              <a:spLocks noTextEdit="1"/>
            </xdr:cNvSpPr>
          </xdr:nvSpPr>
          <xdr:spPr>
            <a:xfrm>
              <a:off x="4267199" y="3086100"/>
              <a:ext cx="1304924" cy="1485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247649</xdr:colOff>
      <xdr:row>22</xdr:row>
      <xdr:rowOff>133351</xdr:rowOff>
    </xdr:from>
    <xdr:to>
      <xdr:col>5</xdr:col>
      <xdr:colOff>357435</xdr:colOff>
      <xdr:row>31</xdr:row>
      <xdr:rowOff>9525</xdr:rowOff>
    </xdr:to>
    <mc:AlternateContent xmlns:mc="http://schemas.openxmlformats.org/markup-compatibility/2006" xmlns:a14="http://schemas.microsoft.com/office/drawing/2010/main">
      <mc:Choice Requires="a14">
        <xdr:graphicFrame macro="">
          <xdr:nvGraphicFramePr>
            <xdr:cNvPr id="12" name="prop_stts_abbr">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microsoft.com/office/drawing/2010/slicer">
              <sle:slicer xmlns:sle="http://schemas.microsoft.com/office/drawing/2010/slicer" name="prop_stts_abbr"/>
            </a:graphicData>
          </a:graphic>
        </xdr:graphicFrame>
      </mc:Choice>
      <mc:Fallback xmlns="">
        <xdr:sp macro="" textlink="">
          <xdr:nvSpPr>
            <xdr:cNvPr id="0" name=""/>
            <xdr:cNvSpPr>
              <a:spLocks noTextEdit="1"/>
            </xdr:cNvSpPr>
          </xdr:nvSpPr>
          <xdr:spPr>
            <a:xfrm>
              <a:off x="3105149" y="4695826"/>
              <a:ext cx="1195636" cy="15906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419100</xdr:colOff>
      <xdr:row>6</xdr:row>
      <xdr:rowOff>180975</xdr:rowOff>
    </xdr:from>
    <xdr:to>
      <xdr:col>13</xdr:col>
      <xdr:colOff>409576</xdr:colOff>
      <xdr:row>30</xdr:row>
      <xdr:rowOff>142874</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57148</xdr:colOff>
      <xdr:row>31</xdr:row>
      <xdr:rowOff>166685</xdr:rowOff>
    </xdr:from>
    <xdr:to>
      <xdr:col>13</xdr:col>
      <xdr:colOff>161924</xdr:colOff>
      <xdr:row>56</xdr:row>
      <xdr:rowOff>28574</xdr:rowOff>
    </xdr:to>
    <xdr:graphicFrame macro="">
      <xdr:nvGraphicFramePr>
        <xdr:cNvPr id="14" name="Chart 13">
          <a:extLst>
            <a:ext uri="{FF2B5EF4-FFF2-40B4-BE49-F238E27FC236}">
              <a16:creationId xmlns:a16="http://schemas.microsoft.com/office/drawing/2014/main" id="{00000000-0008-0000-0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333375</xdr:colOff>
      <xdr:row>2</xdr:row>
      <xdr:rowOff>0</xdr:rowOff>
    </xdr:from>
    <xdr:to>
      <xdr:col>13</xdr:col>
      <xdr:colOff>866775</xdr:colOff>
      <xdr:row>4</xdr:row>
      <xdr:rowOff>114300</xdr:rowOff>
    </xdr:to>
    <xdr:pic>
      <xdr:nvPicPr>
        <xdr:cNvPr id="6" name="Picture 5">
          <a:hlinkClick xmlns:r="http://schemas.openxmlformats.org/officeDocument/2006/relationships" r:id="rId3"/>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rot="10800000">
          <a:off x="10420350" y="714375"/>
          <a:ext cx="533400" cy="533400"/>
        </a:xfrm>
        <a:prstGeom prst="rect">
          <a:avLst/>
        </a:prstGeom>
      </xdr:spPr>
    </xdr:pic>
    <xdr:clientData/>
  </xdr:twoCellAnchor>
  <xdr:twoCellAnchor editAs="oneCell">
    <xdr:from>
      <xdr:col>32</xdr:col>
      <xdr:colOff>47625</xdr:colOff>
      <xdr:row>2</xdr:row>
      <xdr:rowOff>28575</xdr:rowOff>
    </xdr:from>
    <xdr:to>
      <xdr:col>32</xdr:col>
      <xdr:colOff>561975</xdr:colOff>
      <xdr:row>4</xdr:row>
      <xdr:rowOff>142875</xdr:rowOff>
    </xdr:to>
    <xdr:pic>
      <xdr:nvPicPr>
        <xdr:cNvPr id="17" name="Picture 16">
          <a:hlinkClick xmlns:r="http://schemas.openxmlformats.org/officeDocument/2006/relationships" r:id="rId5"/>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rot="10800000">
          <a:off x="24526875" y="742950"/>
          <a:ext cx="514350" cy="533400"/>
        </a:xfrm>
        <a:prstGeom prst="rect">
          <a:avLst/>
        </a:prstGeom>
      </xdr:spPr>
    </xdr:pic>
    <xdr:clientData/>
  </xdr:twoCellAnchor>
  <xdr:twoCellAnchor editAs="oneCell">
    <xdr:from>
      <xdr:col>32</xdr:col>
      <xdr:colOff>28575</xdr:colOff>
      <xdr:row>0</xdr:row>
      <xdr:rowOff>104775</xdr:rowOff>
    </xdr:from>
    <xdr:to>
      <xdr:col>32</xdr:col>
      <xdr:colOff>552449</xdr:colOff>
      <xdr:row>1</xdr:row>
      <xdr:rowOff>133349</xdr:rowOff>
    </xdr:to>
    <xdr:pic>
      <xdr:nvPicPr>
        <xdr:cNvPr id="18" name="Picture 17">
          <a:hlinkClick xmlns:r="http://schemas.openxmlformats.org/officeDocument/2006/relationships" r:id="rId6"/>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507825" y="104775"/>
          <a:ext cx="523874" cy="533399"/>
        </a:xfrm>
        <a:prstGeom prst="rect">
          <a:avLst/>
        </a:prstGeom>
      </xdr:spPr>
    </xdr:pic>
    <xdr:clientData/>
  </xdr:twoCellAnchor>
  <xdr:twoCellAnchor editAs="oneCell">
    <xdr:from>
      <xdr:col>52</xdr:col>
      <xdr:colOff>342900</xdr:colOff>
      <xdr:row>0</xdr:row>
      <xdr:rowOff>76200</xdr:rowOff>
    </xdr:from>
    <xdr:to>
      <xdr:col>52</xdr:col>
      <xdr:colOff>876299</xdr:colOff>
      <xdr:row>1</xdr:row>
      <xdr:rowOff>104774</xdr:rowOff>
    </xdr:to>
    <xdr:pic>
      <xdr:nvPicPr>
        <xdr:cNvPr id="20" name="Picture 19">
          <a:hlinkClick xmlns:r="http://schemas.openxmlformats.org/officeDocument/2006/relationships" r:id="rId3"/>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0662225" y="76200"/>
          <a:ext cx="533399" cy="533399"/>
        </a:xfrm>
        <a:prstGeom prst="rect">
          <a:avLst/>
        </a:prstGeom>
      </xdr:spPr>
    </xdr:pic>
    <xdr:clientData/>
  </xdr:twoCellAnchor>
  <xdr:twoCellAnchor editAs="oneCell">
    <xdr:from>
      <xdr:col>6</xdr:col>
      <xdr:colOff>38099</xdr:colOff>
      <xdr:row>22</xdr:row>
      <xdr:rowOff>142875</xdr:rowOff>
    </xdr:from>
    <xdr:to>
      <xdr:col>7</xdr:col>
      <xdr:colOff>283843</xdr:colOff>
      <xdr:row>31</xdr:row>
      <xdr:rowOff>0</xdr:rowOff>
    </xdr:to>
    <mc:AlternateContent xmlns:mc="http://schemas.openxmlformats.org/markup-compatibility/2006" xmlns:a14="http://schemas.microsoft.com/office/drawing/2010/main">
      <mc:Choice Requires="a14">
        <xdr:graphicFrame macro="">
          <xdr:nvGraphicFramePr>
            <xdr:cNvPr id="16" name="obj_clas_code">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microsoft.com/office/drawing/2010/slicer">
              <sle:slicer xmlns:sle="http://schemas.microsoft.com/office/drawing/2010/slicer" name="obj_clas_code"/>
            </a:graphicData>
          </a:graphic>
        </xdr:graphicFrame>
      </mc:Choice>
      <mc:Fallback xmlns="">
        <xdr:sp macro="" textlink="">
          <xdr:nvSpPr>
            <xdr:cNvPr id="0" name=""/>
            <xdr:cNvSpPr>
              <a:spLocks noTextEdit="1"/>
            </xdr:cNvSpPr>
          </xdr:nvSpPr>
          <xdr:spPr>
            <a:xfrm>
              <a:off x="4457699" y="4705350"/>
              <a:ext cx="1123949" cy="1571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685801</xdr:colOff>
      <xdr:row>7</xdr:row>
      <xdr:rowOff>4760</xdr:rowOff>
    </xdr:from>
    <xdr:to>
      <xdr:col>21</xdr:col>
      <xdr:colOff>9525</xdr:colOff>
      <xdr:row>30</xdr:row>
      <xdr:rowOff>114300</xdr:rowOff>
    </xdr:to>
    <xdr:graphicFrame macro="">
      <xdr:nvGraphicFramePr>
        <xdr:cNvPr id="19" name="Chart 18">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714375</xdr:colOff>
      <xdr:row>31</xdr:row>
      <xdr:rowOff>171450</xdr:rowOff>
    </xdr:from>
    <xdr:to>
      <xdr:col>18</xdr:col>
      <xdr:colOff>1200150</xdr:colOff>
      <xdr:row>56</xdr:row>
      <xdr:rowOff>161925</xdr:rowOff>
    </xdr:to>
    <xdr:graphicFrame macro="">
      <xdr:nvGraphicFramePr>
        <xdr:cNvPr id="22" name="Chart 21">
          <a:extLst>
            <a:ext uri="{FF2B5EF4-FFF2-40B4-BE49-F238E27FC236}">
              <a16:creationId xmlns:a16="http://schemas.microsoft.com/office/drawing/2014/main" id="{00000000-0008-0000-02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55</xdr:col>
      <xdr:colOff>38100</xdr:colOff>
      <xdr:row>15</xdr:row>
      <xdr:rowOff>157162</xdr:rowOff>
    </xdr:from>
    <xdr:to>
      <xdr:col>58</xdr:col>
      <xdr:colOff>219075</xdr:colOff>
      <xdr:row>33</xdr:row>
      <xdr:rowOff>152400</xdr:rowOff>
    </xdr:to>
    <xdr:graphicFrame macro="">
      <xdr:nvGraphicFramePr>
        <xdr:cNvPr id="15" name="Chart 14">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54</xdr:col>
      <xdr:colOff>9525</xdr:colOff>
      <xdr:row>7</xdr:row>
      <xdr:rowOff>0</xdr:rowOff>
    </xdr:from>
    <xdr:to>
      <xdr:col>54</xdr:col>
      <xdr:colOff>28575</xdr:colOff>
      <xdr:row>44</xdr:row>
      <xdr:rowOff>38100</xdr:rowOff>
    </xdr:to>
    <xdr:cxnSp macro="">
      <xdr:nvCxnSpPr>
        <xdr:cNvPr id="24" name="Straight Connector 23">
          <a:extLst>
            <a:ext uri="{FF2B5EF4-FFF2-40B4-BE49-F238E27FC236}">
              <a16:creationId xmlns:a16="http://schemas.microsoft.com/office/drawing/2014/main" id="{00000000-0008-0000-0200-000018000000}"/>
            </a:ext>
          </a:extLst>
        </xdr:cNvPr>
        <xdr:cNvCxnSpPr/>
      </xdr:nvCxnSpPr>
      <xdr:spPr>
        <a:xfrm flipH="1">
          <a:off x="41757600" y="1704975"/>
          <a:ext cx="19050" cy="70866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65</xdr:col>
      <xdr:colOff>38100</xdr:colOff>
      <xdr:row>0</xdr:row>
      <xdr:rowOff>38100</xdr:rowOff>
    </xdr:from>
    <xdr:to>
      <xdr:col>65</xdr:col>
      <xdr:colOff>571499</xdr:colOff>
      <xdr:row>1</xdr:row>
      <xdr:rowOff>66674</xdr:rowOff>
    </xdr:to>
    <xdr:pic>
      <xdr:nvPicPr>
        <xdr:cNvPr id="25" name="Picture 24">
          <a:hlinkClick xmlns:r="http://schemas.openxmlformats.org/officeDocument/2006/relationships" r:id="rId10"/>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587275" y="38100"/>
          <a:ext cx="533399" cy="533399"/>
        </a:xfrm>
        <a:prstGeom prst="rect">
          <a:avLst/>
        </a:prstGeom>
      </xdr:spPr>
    </xdr:pic>
    <xdr:clientData/>
  </xdr:twoCellAnchor>
  <xdr:twoCellAnchor editAs="oneCell">
    <xdr:from>
      <xdr:col>52</xdr:col>
      <xdr:colOff>361950</xdr:colOff>
      <xdr:row>2</xdr:row>
      <xdr:rowOff>28575</xdr:rowOff>
    </xdr:from>
    <xdr:to>
      <xdr:col>52</xdr:col>
      <xdr:colOff>876300</xdr:colOff>
      <xdr:row>4</xdr:row>
      <xdr:rowOff>142875</xdr:rowOff>
    </xdr:to>
    <xdr:pic>
      <xdr:nvPicPr>
        <xdr:cNvPr id="29" name="Picture 28">
          <a:hlinkClick xmlns:r="http://schemas.openxmlformats.org/officeDocument/2006/relationships" r:id="rId11"/>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rot="10800000">
          <a:off x="40681275" y="742950"/>
          <a:ext cx="514350" cy="533400"/>
        </a:xfrm>
        <a:prstGeom prst="rect">
          <a:avLst/>
        </a:prstGeom>
      </xdr:spPr>
    </xdr:pic>
    <xdr:clientData/>
  </xdr:twoCellAnchor>
  <xdr:twoCellAnchor editAs="oneCell">
    <xdr:from>
      <xdr:col>1</xdr:col>
      <xdr:colOff>163513</xdr:colOff>
      <xdr:row>6</xdr:row>
      <xdr:rowOff>121444</xdr:rowOff>
    </xdr:from>
    <xdr:to>
      <xdr:col>7</xdr:col>
      <xdr:colOff>293370</xdr:colOff>
      <xdr:row>13</xdr:row>
      <xdr:rowOff>133350</xdr:rowOff>
    </xdr:to>
    <mc:AlternateContent xmlns:mc="http://schemas.openxmlformats.org/markup-compatibility/2006" xmlns:tsle="http://schemas.microsoft.com/office/drawing/2012/timeslicer">
      <mc:Choice Requires="tsle">
        <xdr:graphicFrame macro="">
          <xdr:nvGraphicFramePr>
            <xdr:cNvPr id="23" name="nsf_rcvd_date">
              <a:extLst>
                <a:ext uri="{FF2B5EF4-FFF2-40B4-BE49-F238E27FC236}">
                  <a16:creationId xmlns:a16="http://schemas.microsoft.com/office/drawing/2014/main" id="{00000000-0008-0000-0200-000017000000}"/>
                </a:ext>
              </a:extLst>
            </xdr:cNvPr>
            <xdr:cNvGraphicFramePr/>
          </xdr:nvGraphicFramePr>
          <xdr:xfrm>
            <a:off x="0" y="0"/>
            <a:ext cx="0" cy="0"/>
          </xdr:xfrm>
          <a:graphic>
            <a:graphicData uri="http://schemas.microsoft.com/office/drawing/2012/timeslicer">
              <tsle:timeslicer name="nsf_rcvd_date"/>
            </a:graphicData>
          </a:graphic>
        </xdr:graphicFrame>
      </mc:Choice>
      <mc:Fallback xmlns="">
        <xdr:sp macro="" textlink="">
          <xdr:nvSpPr>
            <xdr:cNvPr id="0" name=""/>
            <xdr:cNvSpPr>
              <a:spLocks noTextEdit="1"/>
            </xdr:cNvSpPr>
          </xdr:nvSpPr>
          <xdr:spPr>
            <a:xfrm>
              <a:off x="417513" y="1677194"/>
              <a:ext cx="3908424" cy="1321197"/>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3</xdr:col>
      <xdr:colOff>590550</xdr:colOff>
      <xdr:row>14</xdr:row>
      <xdr:rowOff>66675</xdr:rowOff>
    </xdr:from>
    <xdr:to>
      <xdr:col>5</xdr:col>
      <xdr:colOff>144780</xdr:colOff>
      <xdr:row>21</xdr:row>
      <xdr:rowOff>180974</xdr:rowOff>
    </xdr:to>
    <mc:AlternateContent xmlns:mc="http://schemas.openxmlformats.org/markup-compatibility/2006" xmlns:a14="http://schemas.microsoft.com/office/drawing/2010/main">
      <mc:Choice Requires="a14">
        <xdr:graphicFrame macro="">
          <xdr:nvGraphicFramePr>
            <xdr:cNvPr id="26" name="Pgm">
              <a:extLst>
                <a:ext uri="{FF2B5EF4-FFF2-40B4-BE49-F238E27FC236}">
                  <a16:creationId xmlns:a16="http://schemas.microsoft.com/office/drawing/2014/main" id="{00000000-0008-0000-0200-00001A000000}"/>
                </a:ext>
              </a:extLst>
            </xdr:cNvPr>
            <xdr:cNvGraphicFramePr/>
          </xdr:nvGraphicFramePr>
          <xdr:xfrm>
            <a:off x="0" y="0"/>
            <a:ext cx="0" cy="0"/>
          </xdr:xfrm>
          <a:graphic>
            <a:graphicData uri="http://schemas.microsoft.com/office/drawing/2010/slicer">
              <sle:slicer xmlns:sle="http://schemas.microsoft.com/office/drawing/2010/slicer" name="Pgm"/>
            </a:graphicData>
          </a:graphic>
        </xdr:graphicFrame>
      </mc:Choice>
      <mc:Fallback xmlns="">
        <xdr:sp macro="" textlink="">
          <xdr:nvSpPr>
            <xdr:cNvPr id="0" name=""/>
            <xdr:cNvSpPr>
              <a:spLocks noTextEdit="1"/>
            </xdr:cNvSpPr>
          </xdr:nvSpPr>
          <xdr:spPr>
            <a:xfrm>
              <a:off x="2590800" y="3105150"/>
              <a:ext cx="1495425" cy="1447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180974</xdr:colOff>
      <xdr:row>22</xdr:row>
      <xdr:rowOff>152400</xdr:rowOff>
    </xdr:from>
    <xdr:to>
      <xdr:col>2</xdr:col>
      <xdr:colOff>571499</xdr:colOff>
      <xdr:row>31</xdr:row>
      <xdr:rowOff>0</xdr:rowOff>
    </xdr:to>
    <mc:AlternateContent xmlns:mc="http://schemas.openxmlformats.org/markup-compatibility/2006" xmlns:a14="http://schemas.microsoft.com/office/drawing/2010/main">
      <mc:Choice Requires="a14">
        <xdr:graphicFrame macro="">
          <xdr:nvGraphicFramePr>
            <xdr:cNvPr id="28" name="pgm_annc_id">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microsoft.com/office/drawing/2010/slicer">
              <sle:slicer xmlns:sle="http://schemas.microsoft.com/office/drawing/2010/slicer" name="pgm_annc_id"/>
            </a:graphicData>
          </a:graphic>
        </xdr:graphicFrame>
      </mc:Choice>
      <mc:Fallback xmlns="">
        <xdr:sp macro="" textlink="">
          <xdr:nvSpPr>
            <xdr:cNvPr id="0" name=""/>
            <xdr:cNvSpPr>
              <a:spLocks noTextEdit="1"/>
            </xdr:cNvSpPr>
          </xdr:nvSpPr>
          <xdr:spPr>
            <a:xfrm>
              <a:off x="428624" y="4714875"/>
              <a:ext cx="1266825"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104771</xdr:colOff>
      <xdr:row>0</xdr:row>
      <xdr:rowOff>0</xdr:rowOff>
    </xdr:from>
    <xdr:to>
      <xdr:col>11</xdr:col>
      <xdr:colOff>374334</xdr:colOff>
      <xdr:row>4</xdr:row>
      <xdr:rowOff>176213</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04771" y="0"/>
          <a:ext cx="9326477" cy="1302884"/>
          <a:chOff x="104771" y="0"/>
          <a:chExt cx="8805868" cy="1309688"/>
        </a:xfrm>
      </xdr:grpSpPr>
      <xdr:sp macro="" textlink="">
        <xdr:nvSpPr>
          <xdr:cNvPr id="3" name="Pentagon 2">
            <a:hlinkClick xmlns:r="http://schemas.openxmlformats.org/officeDocument/2006/relationships" r:id="rId12" tooltip="Return to Input"/>
            <a:extLst>
              <a:ext uri="{FF2B5EF4-FFF2-40B4-BE49-F238E27FC236}">
                <a16:creationId xmlns:a16="http://schemas.microsoft.com/office/drawing/2014/main" id="{00000000-0008-0000-0200-000003000000}"/>
              </a:ext>
            </a:extLst>
          </xdr:cNvPr>
          <xdr:cNvSpPr>
            <a:spLocks noChangeAspect="1"/>
          </xdr:cNvSpPr>
        </xdr:nvSpPr>
        <xdr:spPr>
          <a:xfrm rot="10800000">
            <a:off x="104771" y="85722"/>
            <a:ext cx="102870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 textlink="">
        <xdr:nvSpPr>
          <xdr:cNvPr id="2" name="tabTitle">
            <a:extLst>
              <a:ext uri="{FF2B5EF4-FFF2-40B4-BE49-F238E27FC236}">
                <a16:creationId xmlns:a16="http://schemas.microsoft.com/office/drawing/2014/main" id="{00000000-0008-0000-0200-000002000000}"/>
              </a:ext>
            </a:extLst>
          </xdr:cNvPr>
          <xdr:cNvSpPr txBox="1"/>
        </xdr:nvSpPr>
        <xdr:spPr>
          <a:xfrm>
            <a:off x="3086100" y="95249"/>
            <a:ext cx="5115505" cy="6203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DASHBOARD FOR PROJECTS</a:t>
            </a:r>
            <a:endParaRPr lang="en-US" sz="2800">
              <a:solidFill>
                <a:schemeClr val="accent1"/>
              </a:solidFill>
            </a:endParaRPr>
          </a:p>
        </xdr:txBody>
      </xdr:sp>
      <xdr:sp macro="" textlink="">
        <xdr:nvSpPr>
          <xdr:cNvPr id="4" name="tabNote">
            <a:extLst>
              <a:ext uri="{FF2B5EF4-FFF2-40B4-BE49-F238E27FC236}">
                <a16:creationId xmlns:a16="http://schemas.microsoft.com/office/drawing/2014/main" id="{00000000-0008-0000-0200-000004000000}"/>
              </a:ext>
            </a:extLst>
          </xdr:cNvPr>
          <xdr:cNvSpPr txBox="1"/>
        </xdr:nvSpPr>
        <xdr:spPr>
          <a:xfrm>
            <a:off x="2838450" y="590550"/>
            <a:ext cx="574606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i="1">
                <a:solidFill>
                  <a:schemeClr val="tx1"/>
                </a:solidFill>
              </a:rPr>
              <a:t>Pivot tables for Project data; refreshed automatically.</a:t>
            </a:r>
          </a:p>
        </xdr:txBody>
      </xdr:sp>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039101" y="0"/>
            <a:ext cx="871538" cy="1309688"/>
          </a:xfrm>
          <a:prstGeom prst="rect">
            <a:avLst/>
          </a:prstGeom>
        </xdr:spPr>
      </xdr:pic>
      <xdr:sp macro="" textlink="">
        <xdr:nvSpPr>
          <xdr:cNvPr id="30" name="Pentagon 29">
            <a:hlinkClick xmlns:r="http://schemas.openxmlformats.org/officeDocument/2006/relationships" r:id="rId14"/>
            <a:extLst>
              <a:ext uri="{FF2B5EF4-FFF2-40B4-BE49-F238E27FC236}">
                <a16:creationId xmlns:a16="http://schemas.microsoft.com/office/drawing/2014/main" id="{00000000-0008-0000-0200-00001E000000}"/>
              </a:ext>
            </a:extLst>
          </xdr:cNvPr>
          <xdr:cNvSpPr/>
        </xdr:nvSpPr>
        <xdr:spPr>
          <a:xfrm rot="10800000">
            <a:off x="323850" y="828675"/>
            <a:ext cx="828675" cy="436144"/>
          </a:xfrm>
          <a:prstGeom prst="homePlate">
            <a:avLst/>
          </a:prstGeom>
          <a:solidFill>
            <a:schemeClr val="accent1"/>
          </a:solid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800000"/>
              </a:camera>
              <a:lightRig rig="threePt" dir="t"/>
            </a:scene3d>
          </a:bodyPr>
          <a:lstStyle/>
          <a:p>
            <a:pPr algn="ctr"/>
            <a:r>
              <a:rPr lang="en-US" sz="1400" b="1"/>
              <a:t>BACK</a:t>
            </a:r>
            <a:r>
              <a:rPr lang="en-US" sz="1400" b="1" baseline="0"/>
              <a:t> </a:t>
            </a:r>
            <a:endParaRPr lang="en-US" sz="1400" b="1"/>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287730</xdr:colOff>
      <xdr:row>0</xdr:row>
      <xdr:rowOff>0</xdr:rowOff>
    </xdr:from>
    <xdr:to>
      <xdr:col>15</xdr:col>
      <xdr:colOff>233725</xdr:colOff>
      <xdr:row>4</xdr:row>
      <xdr:rowOff>176213</xdr:rowOff>
    </xdr:to>
    <xdr:pic macro="[0]!ClearSortAndFilter">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07989" y="0"/>
          <a:ext cx="871538" cy="1299444"/>
        </a:xfrm>
        <a:prstGeom prst="rect">
          <a:avLst/>
        </a:prstGeom>
      </xdr:spPr>
    </xdr:pic>
    <xdr:clientData/>
  </xdr:twoCellAnchor>
  <xdr:twoCellAnchor editAs="oneCell">
    <xdr:from>
      <xdr:col>2</xdr:col>
      <xdr:colOff>281616</xdr:colOff>
      <xdr:row>0</xdr:row>
      <xdr:rowOff>9525</xdr:rowOff>
    </xdr:from>
    <xdr:to>
      <xdr:col>14</xdr:col>
      <xdr:colOff>125803</xdr:colOff>
      <xdr:row>1</xdr:row>
      <xdr:rowOff>0</xdr:rowOff>
    </xdr:to>
    <xdr:sp macro="" textlink="">
      <xdr:nvSpPr>
        <xdr:cNvPr id="2" name="tabTitle">
          <a:extLst>
            <a:ext uri="{FF2B5EF4-FFF2-40B4-BE49-F238E27FC236}">
              <a16:creationId xmlns:a16="http://schemas.microsoft.com/office/drawing/2014/main" id="{00000000-0008-0000-0300-000002000000}"/>
            </a:ext>
          </a:extLst>
        </xdr:cNvPr>
        <xdr:cNvSpPr txBox="1"/>
      </xdr:nvSpPr>
      <xdr:spPr>
        <a:xfrm>
          <a:off x="1674423" y="9525"/>
          <a:ext cx="5882677" cy="493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PERSONNEL &amp; INSTITUTIONS</a:t>
          </a:r>
          <a:endParaRPr lang="en-US" sz="2800">
            <a:solidFill>
              <a:schemeClr val="accent1"/>
            </a:solidFill>
          </a:endParaRPr>
        </a:p>
      </xdr:txBody>
    </xdr:sp>
    <xdr:clientData/>
  </xdr:twoCellAnchor>
  <xdr:twoCellAnchor editAs="oneCell">
    <xdr:from>
      <xdr:col>0</xdr:col>
      <xdr:colOff>104771</xdr:colOff>
      <xdr:row>0</xdr:row>
      <xdr:rowOff>85722</xdr:rowOff>
    </xdr:from>
    <xdr:to>
      <xdr:col>1</xdr:col>
      <xdr:colOff>685800</xdr:colOff>
      <xdr:row>0</xdr:row>
      <xdr:rowOff>466724</xdr:rowOff>
    </xdr:to>
    <xdr:sp macro="" textlink="">
      <xdr:nvSpPr>
        <xdr:cNvPr id="3" name="Pentagon 2">
          <a:hlinkClick xmlns:r="http://schemas.openxmlformats.org/officeDocument/2006/relationships" r:id="rId2" tooltip="Return to Input"/>
          <a:extLst>
            <a:ext uri="{FF2B5EF4-FFF2-40B4-BE49-F238E27FC236}">
              <a16:creationId xmlns:a16="http://schemas.microsoft.com/office/drawing/2014/main" id="{00000000-0008-0000-0300-000003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clientData/>
  </xdr:twoCellAnchor>
  <xdr:twoCellAnchor editAs="oneCell">
    <xdr:from>
      <xdr:col>3</xdr:col>
      <xdr:colOff>407779</xdr:colOff>
      <xdr:row>0</xdr:row>
      <xdr:rowOff>449292</xdr:rowOff>
    </xdr:from>
    <xdr:to>
      <xdr:col>13</xdr:col>
      <xdr:colOff>539154</xdr:colOff>
      <xdr:row>4</xdr:row>
      <xdr:rowOff>0</xdr:rowOff>
    </xdr:to>
    <xdr:sp macro="" textlink="">
      <xdr:nvSpPr>
        <xdr:cNvPr id="4" name="tabNote">
          <a:extLst>
            <a:ext uri="{FF2B5EF4-FFF2-40B4-BE49-F238E27FC236}">
              <a16:creationId xmlns:a16="http://schemas.microsoft.com/office/drawing/2014/main" id="{00000000-0008-0000-0300-000004000000}"/>
            </a:ext>
          </a:extLst>
        </xdr:cNvPr>
        <xdr:cNvSpPr txBox="1">
          <a:spLocks/>
        </xdr:cNvSpPr>
      </xdr:nvSpPr>
      <xdr:spPr>
        <a:xfrm>
          <a:off x="2429595" y="449292"/>
          <a:ext cx="4929818" cy="67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Personnel and institutions from cover pages and budget sheets.</a:t>
          </a:r>
        </a:p>
        <a:p>
          <a:pPr algn="l"/>
          <a:r>
            <a:rPr lang="en-US" sz="1400" i="1">
              <a:solidFill>
                <a:schemeClr val="tx1"/>
              </a:solidFill>
            </a:rPr>
            <a:t>Duplicates people listed with different names or institution spellings.</a:t>
          </a:r>
        </a:p>
      </xdr:txBody>
    </xdr:sp>
    <xdr:clientData/>
  </xdr:twoCellAnchor>
  <xdr:twoCellAnchor>
    <xdr:from>
      <xdr:col>15</xdr:col>
      <xdr:colOff>539151</xdr:colOff>
      <xdr:row>0</xdr:row>
      <xdr:rowOff>278561</xdr:rowOff>
    </xdr:from>
    <xdr:to>
      <xdr:col>17</xdr:col>
      <xdr:colOff>1034269</xdr:colOff>
      <xdr:row>2</xdr:row>
      <xdr:rowOff>111604</xdr:rowOff>
    </xdr:to>
    <xdr:sp macro="" textlink="">
      <xdr:nvSpPr>
        <xdr:cNvPr id="6" name="Pentagon 5">
          <a:hlinkClick xmlns:r="http://schemas.openxmlformats.org/officeDocument/2006/relationships" r:id="rId3"/>
          <a:extLst>
            <a:ext uri="{FF2B5EF4-FFF2-40B4-BE49-F238E27FC236}">
              <a16:creationId xmlns:a16="http://schemas.microsoft.com/office/drawing/2014/main" id="{00000000-0008-0000-0300-000006000000}"/>
            </a:ext>
          </a:extLst>
        </xdr:cNvPr>
        <xdr:cNvSpPr/>
      </xdr:nvSpPr>
      <xdr:spPr>
        <a:xfrm>
          <a:off x="8284953" y="278561"/>
          <a:ext cx="1285873" cy="542925"/>
        </a:xfrm>
        <a:prstGeom prst="homePlate">
          <a:avLst/>
        </a:prstGeom>
        <a:solidFill>
          <a:schemeClr val="accent1"/>
        </a:solidFill>
        <a:ln w="22225">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400" b="1"/>
            <a:t>VIEW</a:t>
          </a:r>
          <a:r>
            <a:rPr lang="en-US" sz="1400" b="1" baseline="0"/>
            <a:t> DASHBOARD</a:t>
          </a:r>
          <a:endParaRPr lang="en-US" sz="1400" b="1"/>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171450</xdr:colOff>
      <xdr:row>1</xdr:row>
      <xdr:rowOff>28575</xdr:rowOff>
    </xdr:from>
    <xdr:to>
      <xdr:col>16</xdr:col>
      <xdr:colOff>385010</xdr:colOff>
      <xdr:row>3</xdr:row>
      <xdr:rowOff>142875</xdr:rowOff>
    </xdr:to>
    <xdr:pic>
      <xdr:nvPicPr>
        <xdr:cNvPr id="14" name="Picture 13">
          <a:hlinkClick xmlns:r="http://schemas.openxmlformats.org/officeDocument/2006/relationships" r:id="rId1"/>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rot="10800000">
          <a:off x="9991725" y="533400"/>
          <a:ext cx="537410" cy="533400"/>
        </a:xfrm>
        <a:prstGeom prst="rect">
          <a:avLst/>
        </a:prstGeom>
      </xdr:spPr>
    </xdr:pic>
    <xdr:clientData/>
  </xdr:twoCellAnchor>
  <xdr:twoCellAnchor editAs="oneCell">
    <xdr:from>
      <xdr:col>25</xdr:col>
      <xdr:colOff>895350</xdr:colOff>
      <xdr:row>1</xdr:row>
      <xdr:rowOff>133350</xdr:rowOff>
    </xdr:from>
    <xdr:to>
      <xdr:col>26</xdr:col>
      <xdr:colOff>360445</xdr:colOff>
      <xdr:row>4</xdr:row>
      <xdr:rowOff>38099</xdr:rowOff>
    </xdr:to>
    <xdr:pic>
      <xdr:nvPicPr>
        <xdr:cNvPr id="17" name="Picture 16">
          <a:hlinkClick xmlns:r="http://schemas.openxmlformats.org/officeDocument/2006/relationships" r:id="rId3"/>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012150" y="647700"/>
          <a:ext cx="533399" cy="533399"/>
        </a:xfrm>
        <a:prstGeom prst="rect">
          <a:avLst/>
        </a:prstGeom>
      </xdr:spPr>
    </xdr:pic>
    <xdr:clientData/>
  </xdr:twoCellAnchor>
  <xdr:twoCellAnchor editAs="oneCell">
    <xdr:from>
      <xdr:col>1</xdr:col>
      <xdr:colOff>68179</xdr:colOff>
      <xdr:row>6</xdr:row>
      <xdr:rowOff>135856</xdr:rowOff>
    </xdr:from>
    <xdr:to>
      <xdr:col>6</xdr:col>
      <xdr:colOff>704851</xdr:colOff>
      <xdr:row>12</xdr:row>
      <xdr:rowOff>0</xdr:rowOff>
    </xdr:to>
    <mc:AlternateContent xmlns:mc="http://schemas.openxmlformats.org/markup-compatibility/2006" xmlns:tsle="http://schemas.microsoft.com/office/drawing/2012/timeslicer">
      <mc:Choice Requires="tsle">
        <xdr:graphicFrame macro="">
          <xdr:nvGraphicFramePr>
            <xdr:cNvPr id="6" name="nsf_rcvd_date 2">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microsoft.com/office/drawing/2012/timeslicer">
              <tsle:timeslicer name="nsf_rcvd_date 2"/>
            </a:graphicData>
          </a:graphic>
        </xdr:graphicFrame>
      </mc:Choice>
      <mc:Fallback xmlns="">
        <xdr:sp macro="" textlink="">
          <xdr:nvSpPr>
            <xdr:cNvPr id="0" name=""/>
            <xdr:cNvSpPr>
              <a:spLocks noTextEdit="1"/>
            </xdr:cNvSpPr>
          </xdr:nvSpPr>
          <xdr:spPr>
            <a:xfrm>
              <a:off x="315829" y="1650331"/>
              <a:ext cx="5189622" cy="117859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xdr:col>
      <xdr:colOff>118813</xdr:colOff>
      <xdr:row>12</xdr:row>
      <xdr:rowOff>188996</xdr:rowOff>
    </xdr:from>
    <xdr:to>
      <xdr:col>2</xdr:col>
      <xdr:colOff>1</xdr:colOff>
      <xdr:row>26</xdr:row>
      <xdr:rowOff>46121</xdr:rowOff>
    </xdr:to>
    <mc:AlternateContent xmlns:mc="http://schemas.openxmlformats.org/markup-compatibility/2006" xmlns:a14="http://schemas.microsoft.com/office/drawing/2010/main">
      <mc:Choice Requires="a14">
        <xdr:graphicFrame macro="">
          <xdr:nvGraphicFramePr>
            <xdr:cNvPr id="7" name="Dir 2">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0/slicer">
              <sle:slicer xmlns:sle="http://schemas.microsoft.com/office/drawing/2010/slicer" name="Dir 2"/>
            </a:graphicData>
          </a:graphic>
        </xdr:graphicFrame>
      </mc:Choice>
      <mc:Fallback xmlns="">
        <xdr:sp macro="" textlink="">
          <xdr:nvSpPr>
            <xdr:cNvPr id="0" name=""/>
            <xdr:cNvSpPr>
              <a:spLocks noTextEdit="1"/>
            </xdr:cNvSpPr>
          </xdr:nvSpPr>
          <xdr:spPr>
            <a:xfrm>
              <a:off x="366463" y="3017921"/>
              <a:ext cx="757488"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151898</xdr:colOff>
      <xdr:row>12</xdr:row>
      <xdr:rowOff>189497</xdr:rowOff>
    </xdr:from>
    <xdr:to>
      <xdr:col>2</xdr:col>
      <xdr:colOff>914400</xdr:colOff>
      <xdr:row>26</xdr:row>
      <xdr:rowOff>46622</xdr:rowOff>
    </xdr:to>
    <mc:AlternateContent xmlns:mc="http://schemas.openxmlformats.org/markup-compatibility/2006" xmlns:a14="http://schemas.microsoft.com/office/drawing/2010/main">
      <mc:Choice Requires="a14">
        <xdr:graphicFrame macro="">
          <xdr:nvGraphicFramePr>
            <xdr:cNvPr id="8" name="Div 2">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microsoft.com/office/drawing/2010/slicer">
              <sle:slicer xmlns:sle="http://schemas.microsoft.com/office/drawing/2010/slicer" name="Div 2"/>
            </a:graphicData>
          </a:graphic>
        </xdr:graphicFrame>
      </mc:Choice>
      <mc:Fallback xmlns="">
        <xdr:sp macro="" textlink="">
          <xdr:nvSpPr>
            <xdr:cNvPr id="0" name=""/>
            <xdr:cNvSpPr>
              <a:spLocks noTextEdit="1"/>
            </xdr:cNvSpPr>
          </xdr:nvSpPr>
          <xdr:spPr>
            <a:xfrm>
              <a:off x="1275848" y="3018422"/>
              <a:ext cx="762502"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22058</xdr:colOff>
      <xdr:row>13</xdr:row>
      <xdr:rowOff>0</xdr:rowOff>
    </xdr:from>
    <xdr:to>
      <xdr:col>5</xdr:col>
      <xdr:colOff>138864</xdr:colOff>
      <xdr:row>26</xdr:row>
      <xdr:rowOff>47625</xdr:rowOff>
    </xdr:to>
    <mc:AlternateContent xmlns:mc="http://schemas.openxmlformats.org/markup-compatibility/2006" xmlns:a14="http://schemas.microsoft.com/office/drawing/2010/main">
      <mc:Choice Requires="a14">
        <xdr:graphicFrame macro="">
          <xdr:nvGraphicFramePr>
            <xdr:cNvPr id="9" name="Pgm 2">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microsoft.com/office/drawing/2010/slicer">
              <sle:slicer xmlns:sle="http://schemas.microsoft.com/office/drawing/2010/slicer" name="Pgm 2"/>
            </a:graphicData>
          </a:graphic>
        </xdr:graphicFrame>
      </mc:Choice>
      <mc:Fallback xmlns="">
        <xdr:sp macro="" textlink="">
          <xdr:nvSpPr>
            <xdr:cNvPr id="0" name=""/>
            <xdr:cNvSpPr>
              <a:spLocks noTextEdit="1"/>
            </xdr:cNvSpPr>
          </xdr:nvSpPr>
          <xdr:spPr>
            <a:xfrm>
              <a:off x="2212808" y="3019425"/>
              <a:ext cx="183130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364457</xdr:colOff>
      <xdr:row>13</xdr:row>
      <xdr:rowOff>502</xdr:rowOff>
    </xdr:from>
    <xdr:to>
      <xdr:col>6</xdr:col>
      <xdr:colOff>695325</xdr:colOff>
      <xdr:row>26</xdr:row>
      <xdr:rowOff>48127</xdr:rowOff>
    </xdr:to>
    <mc:AlternateContent xmlns:mc="http://schemas.openxmlformats.org/markup-compatibility/2006" xmlns:a14="http://schemas.microsoft.com/office/drawing/2010/main">
      <mc:Choice Requires="a14">
        <xdr:graphicFrame macro="">
          <xdr:nvGraphicFramePr>
            <xdr:cNvPr id="10" name="PO 2">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0/slicer">
              <sle:slicer xmlns:sle="http://schemas.microsoft.com/office/drawing/2010/slicer" name="PO 2"/>
            </a:graphicData>
          </a:graphic>
        </xdr:graphicFrame>
      </mc:Choice>
      <mc:Fallback xmlns="">
        <xdr:sp macro="" textlink="">
          <xdr:nvSpPr>
            <xdr:cNvPr id="0" name=""/>
            <xdr:cNvSpPr>
              <a:spLocks noTextEdit="1"/>
            </xdr:cNvSpPr>
          </xdr:nvSpPr>
          <xdr:spPr>
            <a:xfrm>
              <a:off x="4269707" y="3019927"/>
              <a:ext cx="1226218"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138864</xdr:colOff>
      <xdr:row>27</xdr:row>
      <xdr:rowOff>28575</xdr:rowOff>
    </xdr:from>
    <xdr:to>
      <xdr:col>2</xdr:col>
      <xdr:colOff>447675</xdr:colOff>
      <xdr:row>40</xdr:row>
      <xdr:rowOff>76200</xdr:rowOff>
    </xdr:to>
    <mc:AlternateContent xmlns:mc="http://schemas.openxmlformats.org/markup-compatibility/2006" xmlns:a14="http://schemas.microsoft.com/office/drawing/2010/main">
      <mc:Choice Requires="a14">
        <xdr:graphicFrame macro="">
          <xdr:nvGraphicFramePr>
            <xdr:cNvPr id="11" name="pgm_annc_id 2">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0/slicer">
              <sle:slicer xmlns:sle="http://schemas.microsoft.com/office/drawing/2010/slicer" name="pgm_annc_id 2"/>
            </a:graphicData>
          </a:graphic>
        </xdr:graphicFrame>
      </mc:Choice>
      <mc:Fallback xmlns="">
        <xdr:sp macro="" textlink="">
          <xdr:nvSpPr>
            <xdr:cNvPr id="0" name=""/>
            <xdr:cNvSpPr>
              <a:spLocks noTextEdit="1"/>
            </xdr:cNvSpPr>
          </xdr:nvSpPr>
          <xdr:spPr>
            <a:xfrm>
              <a:off x="389522" y="5713496"/>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535906</xdr:colOff>
      <xdr:row>27</xdr:row>
      <xdr:rowOff>39604</xdr:rowOff>
    </xdr:from>
    <xdr:to>
      <xdr:col>3</xdr:col>
      <xdr:colOff>647700</xdr:colOff>
      <xdr:row>40</xdr:row>
      <xdr:rowOff>87229</xdr:rowOff>
    </xdr:to>
    <mc:AlternateContent xmlns:mc="http://schemas.openxmlformats.org/markup-compatibility/2006" xmlns:a14="http://schemas.microsoft.com/office/drawing/2010/main">
      <mc:Choice Requires="a14">
        <xdr:graphicFrame macro="">
          <xdr:nvGraphicFramePr>
            <xdr:cNvPr id="13" name="natr_rqst_abbr 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microsoft.com/office/drawing/2010/slicer">
              <sle:slicer xmlns:sle="http://schemas.microsoft.com/office/drawing/2010/slicer" name="natr_rqst_abbr 2"/>
            </a:graphicData>
          </a:graphic>
        </xdr:graphicFrame>
      </mc:Choice>
      <mc:Fallback xmlns="">
        <xdr:sp macro="" textlink="">
          <xdr:nvSpPr>
            <xdr:cNvPr id="0" name=""/>
            <xdr:cNvSpPr>
              <a:spLocks noTextEdit="1"/>
            </xdr:cNvSpPr>
          </xdr:nvSpPr>
          <xdr:spPr>
            <a:xfrm>
              <a:off x="1659856" y="5726029"/>
              <a:ext cx="1178594"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749467</xdr:colOff>
      <xdr:row>27</xdr:row>
      <xdr:rowOff>50132</xdr:rowOff>
    </xdr:from>
    <xdr:to>
      <xdr:col>5</xdr:col>
      <xdr:colOff>219075</xdr:colOff>
      <xdr:row>40</xdr:row>
      <xdr:rowOff>97757</xdr:rowOff>
    </xdr:to>
    <mc:AlternateContent xmlns:mc="http://schemas.openxmlformats.org/markup-compatibility/2006" xmlns:a14="http://schemas.microsoft.com/office/drawing/2010/main">
      <mc:Choice Requires="a14">
        <xdr:graphicFrame macro="">
          <xdr:nvGraphicFramePr>
            <xdr:cNvPr id="15" name="prop_stts_abbr 2">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microsoft.com/office/drawing/2010/slicer">
              <sle:slicer xmlns:sle="http://schemas.microsoft.com/office/drawing/2010/slicer" name="prop_stts_abbr 2"/>
            </a:graphicData>
          </a:graphic>
        </xdr:graphicFrame>
      </mc:Choice>
      <mc:Fallback xmlns="">
        <xdr:sp macro="" textlink="">
          <xdr:nvSpPr>
            <xdr:cNvPr id="0" name=""/>
            <xdr:cNvSpPr>
              <a:spLocks noTextEdit="1"/>
            </xdr:cNvSpPr>
          </xdr:nvSpPr>
          <xdr:spPr>
            <a:xfrm>
              <a:off x="2940217" y="5736557"/>
              <a:ext cx="1184108"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104771</xdr:colOff>
      <xdr:row>0</xdr:row>
      <xdr:rowOff>9525</xdr:rowOff>
    </xdr:from>
    <xdr:to>
      <xdr:col>13</xdr:col>
      <xdr:colOff>866526</xdr:colOff>
      <xdr:row>4</xdr:row>
      <xdr:rowOff>185738</xdr:rowOff>
    </xdr:to>
    <xdr:grpSp>
      <xdr:nvGrpSpPr>
        <xdr:cNvPr id="16" name="Group 15">
          <a:extLst>
            <a:ext uri="{FF2B5EF4-FFF2-40B4-BE49-F238E27FC236}">
              <a16:creationId xmlns:a16="http://schemas.microsoft.com/office/drawing/2014/main" id="{00000000-0008-0000-0400-000010000000}"/>
            </a:ext>
          </a:extLst>
        </xdr:cNvPr>
        <xdr:cNvGrpSpPr/>
      </xdr:nvGrpSpPr>
      <xdr:grpSpPr>
        <a:xfrm>
          <a:off x="104771" y="9525"/>
          <a:ext cx="9007684" cy="1302884"/>
          <a:chOff x="104771" y="9525"/>
          <a:chExt cx="9458080" cy="1309688"/>
        </a:xfrm>
      </xdr:grpSpPr>
      <xdr:sp macro="" textlink="">
        <xdr:nvSpPr>
          <xdr:cNvPr id="3" name="Pentagon 2">
            <a:hlinkClick xmlns:r="http://schemas.openxmlformats.org/officeDocument/2006/relationships" r:id="rId4" tooltip="Return to Input"/>
            <a:extLst>
              <a:ext uri="{FF2B5EF4-FFF2-40B4-BE49-F238E27FC236}">
                <a16:creationId xmlns:a16="http://schemas.microsoft.com/office/drawing/2014/main" id="{00000000-0008-0000-0400-000003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 textlink="">
        <xdr:nvSpPr>
          <xdr:cNvPr id="4" name="tabNote">
            <a:extLst>
              <a:ext uri="{FF2B5EF4-FFF2-40B4-BE49-F238E27FC236}">
                <a16:creationId xmlns:a16="http://schemas.microsoft.com/office/drawing/2014/main" id="{00000000-0008-0000-0400-000004000000}"/>
              </a:ext>
            </a:extLst>
          </xdr:cNvPr>
          <xdr:cNvSpPr txBox="1"/>
        </xdr:nvSpPr>
        <xdr:spPr>
          <a:xfrm>
            <a:off x="2988426" y="742949"/>
            <a:ext cx="5472539" cy="520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i="1">
                <a:solidFill>
                  <a:schemeClr val="tx1"/>
                </a:solidFill>
              </a:rPr>
              <a:t>Pivot tables summarizing data from PersInst; refreshed automatically.</a:t>
            </a:r>
          </a:p>
        </xdr:txBody>
      </xdr:sp>
      <xdr:sp macro="" textlink="">
        <xdr:nvSpPr>
          <xdr:cNvPr id="2" name="tabTitle">
            <a:extLst>
              <a:ext uri="{FF2B5EF4-FFF2-40B4-BE49-F238E27FC236}">
                <a16:creationId xmlns:a16="http://schemas.microsoft.com/office/drawing/2014/main" id="{00000000-0008-0000-0400-000002000000}"/>
              </a:ext>
            </a:extLst>
          </xdr:cNvPr>
          <xdr:cNvSpPr txBox="1"/>
        </xdr:nvSpPr>
        <xdr:spPr>
          <a:xfrm>
            <a:off x="1990725" y="161925"/>
            <a:ext cx="6820958"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baseline="0">
                <a:solidFill>
                  <a:schemeClr val="accent4">
                    <a:lumMod val="75000"/>
                  </a:schemeClr>
                </a:solidFill>
              </a:rPr>
              <a:t>DASHBOARD: PERSONNEL &amp; INSTITUTIONS</a:t>
            </a:r>
          </a:p>
        </xdr:txBody>
      </xdr:sp>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691313" y="9525"/>
            <a:ext cx="871538" cy="1309688"/>
          </a:xfrm>
          <a:prstGeom prst="rect">
            <a:avLst/>
          </a:prstGeom>
        </xdr:spPr>
      </xdr:pic>
      <xdr:sp macro="" textlink="">
        <xdr:nvSpPr>
          <xdr:cNvPr id="18" name="Pentagon 17">
            <a:hlinkClick xmlns:r="http://schemas.openxmlformats.org/officeDocument/2006/relationships" r:id="rId6"/>
            <a:extLst>
              <a:ext uri="{FF2B5EF4-FFF2-40B4-BE49-F238E27FC236}">
                <a16:creationId xmlns:a16="http://schemas.microsoft.com/office/drawing/2014/main" id="{00000000-0008-0000-0400-000012000000}"/>
              </a:ext>
            </a:extLst>
          </xdr:cNvPr>
          <xdr:cNvSpPr/>
        </xdr:nvSpPr>
        <xdr:spPr>
          <a:xfrm rot="10800000">
            <a:off x="257677" y="794586"/>
            <a:ext cx="828675" cy="436144"/>
          </a:xfrm>
          <a:prstGeom prst="homePlate">
            <a:avLst/>
          </a:prstGeom>
          <a:solidFill>
            <a:schemeClr val="accent1"/>
          </a:solid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800000"/>
              </a:camera>
              <a:lightRig rig="threePt" dir="t"/>
            </a:scene3d>
          </a:bodyPr>
          <a:lstStyle/>
          <a:p>
            <a:pPr algn="ctr"/>
            <a:r>
              <a:rPr lang="en-US" sz="1400" b="1"/>
              <a:t>BACK</a:t>
            </a:r>
            <a:r>
              <a:rPr lang="en-US" sz="1400" b="1" baseline="0"/>
              <a:t> </a:t>
            </a:r>
            <a:endParaRPr lang="en-US" sz="1400" b="1"/>
          </a:p>
        </xdr:txBody>
      </xdr:sp>
    </xdr:grpSp>
    <xdr:clientData/>
  </xdr:twoCellAnchor>
  <xdr:twoCellAnchor editAs="oneCell">
    <xdr:from>
      <xdr:col>5</xdr:col>
      <xdr:colOff>352425</xdr:colOff>
      <xdr:row>27</xdr:row>
      <xdr:rowOff>57150</xdr:rowOff>
    </xdr:from>
    <xdr:to>
      <xdr:col>6</xdr:col>
      <xdr:colOff>723900</xdr:colOff>
      <xdr:row>40</xdr:row>
      <xdr:rowOff>104775</xdr:rowOff>
    </xdr:to>
    <mc:AlternateContent xmlns:mc="http://schemas.openxmlformats.org/markup-compatibility/2006" xmlns:a14="http://schemas.microsoft.com/office/drawing/2010/main">
      <mc:Choice Requires="a14">
        <xdr:graphicFrame macro="">
          <xdr:nvGraphicFramePr>
            <xdr:cNvPr id="12" name="obj_clas_code 2">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microsoft.com/office/drawing/2010/slicer">
              <sle:slicer xmlns:sle="http://schemas.microsoft.com/office/drawing/2010/slicer" name="obj_clas_code 2"/>
            </a:graphicData>
          </a:graphic>
        </xdr:graphicFrame>
      </mc:Choice>
      <mc:Fallback xmlns="">
        <xdr:sp macro="" textlink="">
          <xdr:nvSpPr>
            <xdr:cNvPr id="0" name=""/>
            <xdr:cNvSpPr>
              <a:spLocks noTextEdit="1"/>
            </xdr:cNvSpPr>
          </xdr:nvSpPr>
          <xdr:spPr>
            <a:xfrm>
              <a:off x="4257675" y="5743575"/>
              <a:ext cx="12668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17</xdr:col>
      <xdr:colOff>0</xdr:colOff>
      <xdr:row>0</xdr:row>
      <xdr:rowOff>0</xdr:rowOff>
    </xdr:from>
    <xdr:to>
      <xdr:col>17</xdr:col>
      <xdr:colOff>871538</xdr:colOff>
      <xdr:row>4</xdr:row>
      <xdr:rowOff>176213</xdr:rowOff>
    </xdr:to>
    <xdr:pic macro="[0]!ClearSortAndFilter">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77376" y="0"/>
          <a:ext cx="871538" cy="1309688"/>
        </a:xfrm>
        <a:prstGeom prst="rect">
          <a:avLst/>
        </a:prstGeom>
      </xdr:spPr>
    </xdr:pic>
    <xdr:clientData/>
  </xdr:twoCellAnchor>
  <xdr:twoCellAnchor editAs="oneCell">
    <xdr:from>
      <xdr:col>2</xdr:col>
      <xdr:colOff>371474</xdr:colOff>
      <xdr:row>0</xdr:row>
      <xdr:rowOff>9525</xdr:rowOff>
    </xdr:from>
    <xdr:to>
      <xdr:col>17</xdr:col>
      <xdr:colOff>514350</xdr:colOff>
      <xdr:row>1</xdr:row>
      <xdr:rowOff>0</xdr:rowOff>
    </xdr:to>
    <xdr:sp macro="" textlink="">
      <xdr:nvSpPr>
        <xdr:cNvPr id="3" name="tabTitle">
          <a:extLst>
            <a:ext uri="{FF2B5EF4-FFF2-40B4-BE49-F238E27FC236}">
              <a16:creationId xmlns:a16="http://schemas.microsoft.com/office/drawing/2014/main" id="{00000000-0008-0000-0500-000003000000}"/>
            </a:ext>
          </a:extLst>
        </xdr:cNvPr>
        <xdr:cNvSpPr txBox="1"/>
      </xdr:nvSpPr>
      <xdr:spPr>
        <a:xfrm>
          <a:off x="1762124" y="9525"/>
          <a:ext cx="7448551"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PROPOSAL SPECIFIC INFORMATION</a:t>
          </a:r>
          <a:endParaRPr lang="en-US" sz="2800">
            <a:solidFill>
              <a:schemeClr val="accent1"/>
            </a:solidFill>
          </a:endParaRPr>
        </a:p>
      </xdr:txBody>
    </xdr:sp>
    <xdr:clientData/>
  </xdr:twoCellAnchor>
  <xdr:twoCellAnchor editAs="oneCell">
    <xdr:from>
      <xdr:col>0</xdr:col>
      <xdr:colOff>104771</xdr:colOff>
      <xdr:row>0</xdr:row>
      <xdr:rowOff>85722</xdr:rowOff>
    </xdr:from>
    <xdr:to>
      <xdr:col>1</xdr:col>
      <xdr:colOff>685800</xdr:colOff>
      <xdr:row>0</xdr:row>
      <xdr:rowOff>466724</xdr:rowOff>
    </xdr:to>
    <xdr:sp macro="" textlink="">
      <xdr:nvSpPr>
        <xdr:cNvPr id="4" name="Pentagon 3">
          <a:hlinkClick xmlns:r="http://schemas.openxmlformats.org/officeDocument/2006/relationships" r:id="rId2" tooltip="Return to Input"/>
          <a:extLst>
            <a:ext uri="{FF2B5EF4-FFF2-40B4-BE49-F238E27FC236}">
              <a16:creationId xmlns:a16="http://schemas.microsoft.com/office/drawing/2014/main" id="{00000000-0008-0000-0500-000004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clientData/>
  </xdr:twoCellAnchor>
  <xdr:twoCellAnchor editAs="oneCell">
    <xdr:from>
      <xdr:col>3</xdr:col>
      <xdr:colOff>695324</xdr:colOff>
      <xdr:row>0</xdr:row>
      <xdr:rowOff>466725</xdr:rowOff>
    </xdr:from>
    <xdr:to>
      <xdr:col>15</xdr:col>
      <xdr:colOff>533400</xdr:colOff>
      <xdr:row>4</xdr:row>
      <xdr:rowOff>104774</xdr:rowOff>
    </xdr:to>
    <xdr:sp macro="" textlink="">
      <xdr:nvSpPr>
        <xdr:cNvPr id="5" name="tabNote">
          <a:extLst>
            <a:ext uri="{FF2B5EF4-FFF2-40B4-BE49-F238E27FC236}">
              <a16:creationId xmlns:a16="http://schemas.microsoft.com/office/drawing/2014/main" id="{00000000-0008-0000-0500-000005000000}"/>
            </a:ext>
          </a:extLst>
        </xdr:cNvPr>
        <xdr:cNvSpPr txBox="1">
          <a:spLocks/>
        </xdr:cNvSpPr>
      </xdr:nvSpPr>
      <xdr:spPr>
        <a:xfrm>
          <a:off x="2714624" y="466725"/>
          <a:ext cx="5715001" cy="771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baseline="0">
              <a:solidFill>
                <a:schemeClr val="tx1"/>
              </a:solidFill>
            </a:rPr>
            <a:t>Requested amount, coversheet items,  (human/vertibrates &amp; international), routing PECs, PRCs. Note: most good stuff is on the Project or PersInst tabs.</a:t>
          </a:r>
          <a:endParaRPr lang="en-US" sz="1400" i="1">
            <a:solidFill>
              <a:schemeClr val="tx1"/>
            </a:solidFill>
          </a:endParaRPr>
        </a:p>
      </xdr:txBody>
    </xdr:sp>
    <xdr:clientData/>
  </xdr:twoCellAnchor>
  <xdr:twoCellAnchor>
    <xdr:from>
      <xdr:col>18</xdr:col>
      <xdr:colOff>152400</xdr:colOff>
      <xdr:row>0</xdr:row>
      <xdr:rowOff>95250</xdr:rowOff>
    </xdr:from>
    <xdr:to>
      <xdr:col>19</xdr:col>
      <xdr:colOff>428625</xdr:colOff>
      <xdr:row>1</xdr:row>
      <xdr:rowOff>133350</xdr:rowOff>
    </xdr:to>
    <xdr:sp macro="" textlink="">
      <xdr:nvSpPr>
        <xdr:cNvPr id="6" name="Pentagon 5">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9667875" y="95250"/>
          <a:ext cx="1285875" cy="542925"/>
        </a:xfrm>
        <a:prstGeom prst="homePlate">
          <a:avLst/>
        </a:prstGeom>
        <a:solidFill>
          <a:schemeClr val="accent1"/>
        </a:solidFill>
        <a:ln w="22225">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400" b="1"/>
            <a:t>VIEW</a:t>
          </a:r>
          <a:r>
            <a:rPr lang="en-US" sz="1400" b="1" baseline="0"/>
            <a:t> DASHBOARD</a:t>
          </a:r>
          <a:endParaRPr lang="en-US" sz="1400" b="1"/>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19</xdr:col>
      <xdr:colOff>574508</xdr:colOff>
      <xdr:row>2</xdr:row>
      <xdr:rowOff>33088</xdr:rowOff>
    </xdr:from>
    <xdr:to>
      <xdr:col>19</xdr:col>
      <xdr:colOff>1079834</xdr:colOff>
      <xdr:row>4</xdr:row>
      <xdr:rowOff>148390</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rot="10800000">
          <a:off x="12616113" y="744956"/>
          <a:ext cx="535405" cy="536408"/>
        </a:xfrm>
        <a:prstGeom prst="rect">
          <a:avLst/>
        </a:prstGeom>
      </xdr:spPr>
    </xdr:pic>
    <xdr:clientData/>
  </xdr:twoCellAnchor>
  <xdr:twoCellAnchor editAs="oneCell">
    <xdr:from>
      <xdr:col>31</xdr:col>
      <xdr:colOff>895350</xdr:colOff>
      <xdr:row>1</xdr:row>
      <xdr:rowOff>133350</xdr:rowOff>
    </xdr:from>
    <xdr:to>
      <xdr:col>32</xdr:col>
      <xdr:colOff>361947</xdr:colOff>
      <xdr:row>4</xdr:row>
      <xdr:rowOff>38099</xdr:rowOff>
    </xdr:to>
    <xdr:pic>
      <xdr:nvPicPr>
        <xdr:cNvPr id="7" name="Picture 6">
          <a:hlinkClick xmlns:r="http://schemas.openxmlformats.org/officeDocument/2006/relationships" r:id="rId3"/>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440775" y="638175"/>
          <a:ext cx="533398" cy="533399"/>
        </a:xfrm>
        <a:prstGeom prst="rect">
          <a:avLst/>
        </a:prstGeom>
      </xdr:spPr>
    </xdr:pic>
    <xdr:clientData/>
  </xdr:twoCellAnchor>
  <xdr:twoCellAnchor>
    <xdr:from>
      <xdr:col>7</xdr:col>
      <xdr:colOff>103771</xdr:colOff>
      <xdr:row>6</xdr:row>
      <xdr:rowOff>183483</xdr:rowOff>
    </xdr:from>
    <xdr:to>
      <xdr:col>18</xdr:col>
      <xdr:colOff>70183</xdr:colOff>
      <xdr:row>24</xdr:row>
      <xdr:rowOff>90237</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98258</xdr:colOff>
      <xdr:row>6</xdr:row>
      <xdr:rowOff>127334</xdr:rowOff>
    </xdr:from>
    <xdr:to>
      <xdr:col>6</xdr:col>
      <xdr:colOff>391027</xdr:colOff>
      <xdr:row>12</xdr:row>
      <xdr:rowOff>120316</xdr:rowOff>
    </xdr:to>
    <mc:AlternateContent xmlns:mc="http://schemas.openxmlformats.org/markup-compatibility/2006" xmlns:tsle="http://schemas.microsoft.com/office/drawing/2012/timeslicer">
      <mc:Choice Requires="tsle">
        <xdr:graphicFrame macro="">
          <xdr:nvGraphicFramePr>
            <xdr:cNvPr id="21" name="nsf_rcvd_date 1">
              <a:extLst>
                <a:ext uri="{FF2B5EF4-FFF2-40B4-BE49-F238E27FC236}">
                  <a16:creationId xmlns:a16="http://schemas.microsoft.com/office/drawing/2014/main" id="{00000000-0008-0000-0600-000015000000}"/>
                </a:ext>
              </a:extLst>
            </xdr:cNvPr>
            <xdr:cNvGraphicFramePr/>
          </xdr:nvGraphicFramePr>
          <xdr:xfrm>
            <a:off x="0" y="0"/>
            <a:ext cx="0" cy="0"/>
          </xdr:xfrm>
          <a:graphic>
            <a:graphicData uri="http://schemas.microsoft.com/office/drawing/2012/timeslicer">
              <tsle:timeslicer name="nsf_rcvd_date 1"/>
            </a:graphicData>
          </a:graphic>
        </xdr:graphicFrame>
      </mc:Choice>
      <mc:Fallback xmlns="">
        <xdr:sp macro="" textlink="">
          <xdr:nvSpPr>
            <xdr:cNvPr id="0" name=""/>
            <xdr:cNvSpPr>
              <a:spLocks noTextEdit="1"/>
            </xdr:cNvSpPr>
          </xdr:nvSpPr>
          <xdr:spPr>
            <a:xfrm>
              <a:off x="348916" y="1641308"/>
              <a:ext cx="6178216" cy="1306429"/>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xdr:col>
      <xdr:colOff>128839</xdr:colOff>
      <xdr:row>13</xdr:row>
      <xdr:rowOff>70185</xdr:rowOff>
    </xdr:from>
    <xdr:to>
      <xdr:col>2</xdr:col>
      <xdr:colOff>318839</xdr:colOff>
      <xdr:row>23</xdr:row>
      <xdr:rowOff>80211</xdr:rowOff>
    </xdr:to>
    <mc:AlternateContent xmlns:mc="http://schemas.openxmlformats.org/markup-compatibility/2006" xmlns:a14="http://schemas.microsoft.com/office/drawing/2010/main">
      <mc:Choice Requires="a14">
        <xdr:graphicFrame macro="">
          <xdr:nvGraphicFramePr>
            <xdr:cNvPr id="22" name="Dir 1">
              <a:extLst>
                <a:ext uri="{FF2B5EF4-FFF2-40B4-BE49-F238E27FC236}">
                  <a16:creationId xmlns:a16="http://schemas.microsoft.com/office/drawing/2014/main" id="{00000000-0008-0000-0600-000016000000}"/>
                </a:ext>
              </a:extLst>
            </xdr:cNvPr>
            <xdr:cNvGraphicFramePr/>
          </xdr:nvGraphicFramePr>
          <xdr:xfrm>
            <a:off x="0" y="0"/>
            <a:ext cx="0" cy="0"/>
          </xdr:xfrm>
          <a:graphic>
            <a:graphicData uri="http://schemas.microsoft.com/office/drawing/2010/slicer">
              <sle:slicer xmlns:sle="http://schemas.microsoft.com/office/drawing/2010/slicer" name="Dir 1"/>
            </a:graphicData>
          </a:graphic>
        </xdr:graphicFrame>
      </mc:Choice>
      <mc:Fallback xmlns="">
        <xdr:sp macro="" textlink="">
          <xdr:nvSpPr>
            <xdr:cNvPr id="0" name=""/>
            <xdr:cNvSpPr>
              <a:spLocks noTextEdit="1"/>
            </xdr:cNvSpPr>
          </xdr:nvSpPr>
          <xdr:spPr>
            <a:xfrm>
              <a:off x="379496" y="3088106"/>
              <a:ext cx="1355057" cy="18548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539917</xdr:colOff>
      <xdr:row>13</xdr:row>
      <xdr:rowOff>90237</xdr:rowOff>
    </xdr:from>
    <xdr:to>
      <xdr:col>3</xdr:col>
      <xdr:colOff>583532</xdr:colOff>
      <xdr:row>23</xdr:row>
      <xdr:rowOff>90236</xdr:rowOff>
    </xdr:to>
    <mc:AlternateContent xmlns:mc="http://schemas.openxmlformats.org/markup-compatibility/2006" xmlns:a14="http://schemas.microsoft.com/office/drawing/2010/main">
      <mc:Choice Requires="a14">
        <xdr:graphicFrame macro="">
          <xdr:nvGraphicFramePr>
            <xdr:cNvPr id="23" name="Div 1">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microsoft.com/office/drawing/2010/slicer">
              <sle:slicer xmlns:sle="http://schemas.microsoft.com/office/drawing/2010/slicer" name="Div 1"/>
            </a:graphicData>
          </a:graphic>
        </xdr:graphicFrame>
      </mc:Choice>
      <mc:Fallback xmlns="">
        <xdr:sp macro="" textlink="">
          <xdr:nvSpPr>
            <xdr:cNvPr id="0" name=""/>
            <xdr:cNvSpPr>
              <a:spLocks noTextEdit="1"/>
            </xdr:cNvSpPr>
          </xdr:nvSpPr>
          <xdr:spPr>
            <a:xfrm>
              <a:off x="1682917" y="3108158"/>
              <a:ext cx="1124452" cy="1904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730416</xdr:colOff>
      <xdr:row>13</xdr:row>
      <xdr:rowOff>90238</xdr:rowOff>
    </xdr:from>
    <xdr:to>
      <xdr:col>4</xdr:col>
      <xdr:colOff>1283367</xdr:colOff>
      <xdr:row>23</xdr:row>
      <xdr:rowOff>100264</xdr:rowOff>
    </xdr:to>
    <mc:AlternateContent xmlns:mc="http://schemas.openxmlformats.org/markup-compatibility/2006" xmlns:a14="http://schemas.microsoft.com/office/drawing/2010/main">
      <mc:Choice Requires="a14">
        <xdr:graphicFrame macro="">
          <xdr:nvGraphicFramePr>
            <xdr:cNvPr id="24" name="Pgm 1">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microsoft.com/office/drawing/2010/slicer">
              <sle:slicer xmlns:sle="http://schemas.microsoft.com/office/drawing/2010/slicer" name="Pgm 1"/>
            </a:graphicData>
          </a:graphic>
        </xdr:graphicFrame>
      </mc:Choice>
      <mc:Fallback xmlns="">
        <xdr:sp macro="" textlink="">
          <xdr:nvSpPr>
            <xdr:cNvPr id="0" name=""/>
            <xdr:cNvSpPr>
              <a:spLocks noTextEdit="1"/>
            </xdr:cNvSpPr>
          </xdr:nvSpPr>
          <xdr:spPr>
            <a:xfrm>
              <a:off x="2966284" y="3108159"/>
              <a:ext cx="1415216" cy="19150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2043865</xdr:colOff>
      <xdr:row>13</xdr:row>
      <xdr:rowOff>70186</xdr:rowOff>
    </xdr:from>
    <xdr:to>
      <xdr:col>6</xdr:col>
      <xdr:colOff>358443</xdr:colOff>
      <xdr:row>23</xdr:row>
      <xdr:rowOff>130344</xdr:rowOff>
    </xdr:to>
    <mc:AlternateContent xmlns:mc="http://schemas.openxmlformats.org/markup-compatibility/2006" xmlns:a14="http://schemas.microsoft.com/office/drawing/2010/main">
      <mc:Choice Requires="a14">
        <xdr:graphicFrame macro="">
          <xdr:nvGraphicFramePr>
            <xdr:cNvPr id="25" name="PO 1">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microsoft.com/office/drawing/2010/slicer">
              <sle:slicer xmlns:sle="http://schemas.microsoft.com/office/drawing/2010/slicer" name="PO 1"/>
            </a:graphicData>
          </a:graphic>
        </xdr:graphicFrame>
      </mc:Choice>
      <mc:Fallback xmlns="">
        <xdr:sp macro="" textlink="">
          <xdr:nvSpPr>
            <xdr:cNvPr id="0" name=""/>
            <xdr:cNvSpPr>
              <a:spLocks noTextEdit="1"/>
            </xdr:cNvSpPr>
          </xdr:nvSpPr>
          <xdr:spPr>
            <a:xfrm>
              <a:off x="4618122" y="3088107"/>
              <a:ext cx="1455320" cy="19651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88732</xdr:colOff>
      <xdr:row>24</xdr:row>
      <xdr:rowOff>30079</xdr:rowOff>
    </xdr:from>
    <xdr:to>
      <xdr:col>2</xdr:col>
      <xdr:colOff>469233</xdr:colOff>
      <xdr:row>33</xdr:row>
      <xdr:rowOff>30079</xdr:rowOff>
    </xdr:to>
    <mc:AlternateContent xmlns:mc="http://schemas.openxmlformats.org/markup-compatibility/2006" xmlns:a14="http://schemas.microsoft.com/office/drawing/2010/main">
      <mc:Choice Requires="a14">
        <xdr:graphicFrame macro="">
          <xdr:nvGraphicFramePr>
            <xdr:cNvPr id="26" name="pgm_annc_id 1">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microsoft.com/office/drawing/2010/slicer">
              <sle:slicer xmlns:sle="http://schemas.microsoft.com/office/drawing/2010/slicer" name="pgm_annc_id 1"/>
            </a:graphicData>
          </a:graphic>
        </xdr:graphicFrame>
      </mc:Choice>
      <mc:Fallback xmlns="">
        <xdr:sp macro="" textlink="">
          <xdr:nvSpPr>
            <xdr:cNvPr id="0" name=""/>
            <xdr:cNvSpPr>
              <a:spLocks noTextEdit="1"/>
            </xdr:cNvSpPr>
          </xdr:nvSpPr>
          <xdr:spPr>
            <a:xfrm>
              <a:off x="339390" y="5143500"/>
              <a:ext cx="1264821"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590048</xdr:colOff>
      <xdr:row>24</xdr:row>
      <xdr:rowOff>40106</xdr:rowOff>
    </xdr:from>
    <xdr:to>
      <xdr:col>3</xdr:col>
      <xdr:colOff>573504</xdr:colOff>
      <xdr:row>33</xdr:row>
      <xdr:rowOff>20053</xdr:rowOff>
    </xdr:to>
    <mc:AlternateContent xmlns:mc="http://schemas.openxmlformats.org/markup-compatibility/2006" xmlns:a14="http://schemas.microsoft.com/office/drawing/2010/main">
      <mc:Choice Requires="a14">
        <xdr:graphicFrame macro="">
          <xdr:nvGraphicFramePr>
            <xdr:cNvPr id="27" name="natr_rqst_abbr 1">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microsoft.com/office/drawing/2010/slicer">
              <sle:slicer xmlns:sle="http://schemas.microsoft.com/office/drawing/2010/slicer" name="natr_rqst_abbr 1"/>
            </a:graphicData>
          </a:graphic>
        </xdr:graphicFrame>
      </mc:Choice>
      <mc:Fallback xmlns="">
        <xdr:sp macro="" textlink="">
          <xdr:nvSpPr>
            <xdr:cNvPr id="0" name=""/>
            <xdr:cNvSpPr>
              <a:spLocks noTextEdit="1"/>
            </xdr:cNvSpPr>
          </xdr:nvSpPr>
          <xdr:spPr>
            <a:xfrm>
              <a:off x="1733048" y="5153527"/>
              <a:ext cx="1064293" cy="16944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750470</xdr:colOff>
      <xdr:row>24</xdr:row>
      <xdr:rowOff>50132</xdr:rowOff>
    </xdr:from>
    <xdr:to>
      <xdr:col>4</xdr:col>
      <xdr:colOff>1343525</xdr:colOff>
      <xdr:row>33</xdr:row>
      <xdr:rowOff>20053</xdr:rowOff>
    </xdr:to>
    <mc:AlternateContent xmlns:mc="http://schemas.openxmlformats.org/markup-compatibility/2006" xmlns:a14="http://schemas.microsoft.com/office/drawing/2010/main">
      <mc:Choice Requires="a14">
        <xdr:graphicFrame macro="">
          <xdr:nvGraphicFramePr>
            <xdr:cNvPr id="28" name="prop_stts_abbr 1">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microsoft.com/office/drawing/2010/slicer">
              <sle:slicer xmlns:sle="http://schemas.microsoft.com/office/drawing/2010/slicer" name="prop_stts_abbr 1"/>
            </a:graphicData>
          </a:graphic>
        </xdr:graphicFrame>
      </mc:Choice>
      <mc:Fallback xmlns="">
        <xdr:sp macro="" textlink="">
          <xdr:nvSpPr>
            <xdr:cNvPr id="0" name=""/>
            <xdr:cNvSpPr>
              <a:spLocks noTextEdit="1"/>
            </xdr:cNvSpPr>
          </xdr:nvSpPr>
          <xdr:spPr>
            <a:xfrm>
              <a:off x="2986338" y="5163553"/>
              <a:ext cx="1455320" cy="168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30078</xdr:colOff>
      <xdr:row>24</xdr:row>
      <xdr:rowOff>60159</xdr:rowOff>
    </xdr:from>
    <xdr:to>
      <xdr:col>6</xdr:col>
      <xdr:colOff>340896</xdr:colOff>
      <xdr:row>33</xdr:row>
      <xdr:rowOff>40107</xdr:rowOff>
    </xdr:to>
    <mc:AlternateContent xmlns:mc="http://schemas.openxmlformats.org/markup-compatibility/2006" xmlns:a14="http://schemas.microsoft.com/office/drawing/2010/main">
      <mc:Choice Requires="a14">
        <xdr:graphicFrame macro="">
          <xdr:nvGraphicFramePr>
            <xdr:cNvPr id="29" name="obj_clas_code 1">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microsoft.com/office/drawing/2010/slicer">
              <sle:slicer xmlns:sle="http://schemas.microsoft.com/office/drawing/2010/slicer" name="obj_clas_code 1"/>
            </a:graphicData>
          </a:graphic>
        </xdr:graphicFrame>
      </mc:Choice>
      <mc:Fallback xmlns="">
        <xdr:sp macro="" textlink="">
          <xdr:nvSpPr>
            <xdr:cNvPr id="0" name=""/>
            <xdr:cNvSpPr>
              <a:spLocks noTextEdit="1"/>
            </xdr:cNvSpPr>
          </xdr:nvSpPr>
          <xdr:spPr>
            <a:xfrm>
              <a:off x="4652210" y="5173580"/>
              <a:ext cx="1403685" cy="16944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104771</xdr:colOff>
      <xdr:row>0</xdr:row>
      <xdr:rowOff>0</xdr:rowOff>
    </xdr:from>
    <xdr:to>
      <xdr:col>16</xdr:col>
      <xdr:colOff>77957</xdr:colOff>
      <xdr:row>4</xdr:row>
      <xdr:rowOff>176714</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04771" y="0"/>
          <a:ext cx="10285968" cy="1299661"/>
          <a:chOff x="104771" y="0"/>
          <a:chExt cx="9708739" cy="1309688"/>
        </a:xfrm>
      </xdr:grpSpPr>
      <xdr:sp macro="" textlink="">
        <xdr:nvSpPr>
          <xdr:cNvPr id="2" name="tabTitle">
            <a:extLst>
              <a:ext uri="{FF2B5EF4-FFF2-40B4-BE49-F238E27FC236}">
                <a16:creationId xmlns:a16="http://schemas.microsoft.com/office/drawing/2014/main" id="{00000000-0008-0000-0600-000002000000}"/>
              </a:ext>
            </a:extLst>
          </xdr:cNvPr>
          <xdr:cNvSpPr txBox="1"/>
        </xdr:nvSpPr>
        <xdr:spPr>
          <a:xfrm>
            <a:off x="2389772" y="30079"/>
            <a:ext cx="7013910" cy="1093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baseline="0">
                <a:solidFill>
                  <a:schemeClr val="accent4">
                    <a:lumMod val="75000"/>
                  </a:schemeClr>
                </a:solidFill>
              </a:rPr>
              <a:t>DASHBOARD FOR PROPOSALS</a:t>
            </a:r>
          </a:p>
        </xdr:txBody>
      </xdr:sp>
      <xdr:sp macro="" textlink="">
        <xdr:nvSpPr>
          <xdr:cNvPr id="3" name="Pentagon 2">
            <a:hlinkClick xmlns:r="http://schemas.openxmlformats.org/officeDocument/2006/relationships" r:id="rId5" tooltip="Return to Input"/>
            <a:extLst>
              <a:ext uri="{FF2B5EF4-FFF2-40B4-BE49-F238E27FC236}">
                <a16:creationId xmlns:a16="http://schemas.microsoft.com/office/drawing/2014/main" id="{00000000-0008-0000-0600-000003000000}"/>
              </a:ext>
            </a:extLst>
          </xdr:cNvPr>
          <xdr:cNvSpPr>
            <a:spLocks noChangeAspect="1"/>
          </xdr:cNvSpPr>
        </xdr:nvSpPr>
        <xdr:spPr>
          <a:xfrm rot="10800000">
            <a:off x="104771" y="85722"/>
            <a:ext cx="1012662"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 textlink="">
        <xdr:nvSpPr>
          <xdr:cNvPr id="4" name="tabNote">
            <a:extLst>
              <a:ext uri="{FF2B5EF4-FFF2-40B4-BE49-F238E27FC236}">
                <a16:creationId xmlns:a16="http://schemas.microsoft.com/office/drawing/2014/main" id="{00000000-0008-0000-0600-000004000000}"/>
              </a:ext>
            </a:extLst>
          </xdr:cNvPr>
          <xdr:cNvSpPr txBox="1"/>
        </xdr:nvSpPr>
        <xdr:spPr>
          <a:xfrm>
            <a:off x="2995864" y="602080"/>
            <a:ext cx="6275471" cy="430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i="1">
                <a:solidFill>
                  <a:schemeClr val="tx1"/>
                </a:solidFill>
              </a:rPr>
              <a:t>Pivot tables summarizing data from Proposals; refreshed automatically.</a:t>
            </a:r>
          </a:p>
        </xdr:txBody>
      </xdr:sp>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941972" y="0"/>
            <a:ext cx="871538" cy="1309688"/>
          </a:xfrm>
          <a:prstGeom prst="rect">
            <a:avLst/>
          </a:prstGeom>
        </xdr:spPr>
      </xdr:pic>
      <xdr:sp macro="" textlink="">
        <xdr:nvSpPr>
          <xdr:cNvPr id="19" name="Pentagon 18">
            <a:hlinkClick xmlns:r="http://schemas.openxmlformats.org/officeDocument/2006/relationships" r:id="rId7"/>
            <a:extLst>
              <a:ext uri="{FF2B5EF4-FFF2-40B4-BE49-F238E27FC236}">
                <a16:creationId xmlns:a16="http://schemas.microsoft.com/office/drawing/2014/main" id="{00000000-0008-0000-0600-000013000000}"/>
              </a:ext>
            </a:extLst>
          </xdr:cNvPr>
          <xdr:cNvSpPr/>
        </xdr:nvSpPr>
        <xdr:spPr>
          <a:xfrm rot="10800000">
            <a:off x="290764" y="832184"/>
            <a:ext cx="828675" cy="438150"/>
          </a:xfrm>
          <a:prstGeom prst="homePlate">
            <a:avLst/>
          </a:prstGeom>
          <a:solidFill>
            <a:schemeClr val="accent1"/>
          </a:solid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800000"/>
              </a:camera>
              <a:lightRig rig="threePt" dir="t"/>
            </a:scene3d>
          </a:bodyPr>
          <a:lstStyle/>
          <a:p>
            <a:pPr algn="ctr"/>
            <a:r>
              <a:rPr lang="en-US" sz="1400" b="1"/>
              <a:t>BACK</a:t>
            </a:r>
            <a:r>
              <a:rPr lang="en-US" sz="1400" b="1" baseline="0"/>
              <a:t> </a:t>
            </a:r>
            <a:endParaRPr lang="en-US" sz="1400" b="1"/>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371474</xdr:colOff>
      <xdr:row>0</xdr:row>
      <xdr:rowOff>9525</xdr:rowOff>
    </xdr:from>
    <xdr:to>
      <xdr:col>9</xdr:col>
      <xdr:colOff>1533525</xdr:colOff>
      <xdr:row>1</xdr:row>
      <xdr:rowOff>0</xdr:rowOff>
    </xdr:to>
    <xdr:sp macro="" textlink="">
      <xdr:nvSpPr>
        <xdr:cNvPr id="12" name="tabTitle">
          <a:extLst>
            <a:ext uri="{FF2B5EF4-FFF2-40B4-BE49-F238E27FC236}">
              <a16:creationId xmlns:a16="http://schemas.microsoft.com/office/drawing/2014/main" id="{00000000-0008-0000-0700-00000C000000}"/>
            </a:ext>
          </a:extLst>
        </xdr:cNvPr>
        <xdr:cNvSpPr txBox="1"/>
      </xdr:nvSpPr>
      <xdr:spPr>
        <a:xfrm>
          <a:off x="1562099" y="9525"/>
          <a:ext cx="7162801"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PANELS CONSIDERING CHOSEN PROJECTS</a:t>
          </a:r>
          <a:endParaRPr lang="en-US" sz="2800">
            <a:solidFill>
              <a:schemeClr val="accent1"/>
            </a:solidFill>
          </a:endParaRPr>
        </a:p>
      </xdr:txBody>
    </xdr:sp>
    <xdr:clientData/>
  </xdr:twoCellAnchor>
  <xdr:twoCellAnchor editAs="oneCell">
    <xdr:from>
      <xdr:col>0</xdr:col>
      <xdr:colOff>104771</xdr:colOff>
      <xdr:row>0</xdr:row>
      <xdr:rowOff>85722</xdr:rowOff>
    </xdr:from>
    <xdr:to>
      <xdr:col>1</xdr:col>
      <xdr:colOff>504825</xdr:colOff>
      <xdr:row>0</xdr:row>
      <xdr:rowOff>466724</xdr:rowOff>
    </xdr:to>
    <xdr:sp macro="" textlink="">
      <xdr:nvSpPr>
        <xdr:cNvPr id="13" name="Pentagon 12">
          <a:hlinkClick xmlns:r="http://schemas.openxmlformats.org/officeDocument/2006/relationships" r:id="rId1" tooltip="Return to Input"/>
          <a:extLst>
            <a:ext uri="{FF2B5EF4-FFF2-40B4-BE49-F238E27FC236}">
              <a16:creationId xmlns:a16="http://schemas.microsoft.com/office/drawing/2014/main" id="{00000000-0008-0000-0700-00000D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clientData/>
  </xdr:twoCellAnchor>
  <xdr:twoCellAnchor editAs="oneCell">
    <xdr:from>
      <xdr:col>2</xdr:col>
      <xdr:colOff>2076449</xdr:colOff>
      <xdr:row>0</xdr:row>
      <xdr:rowOff>400050</xdr:rowOff>
    </xdr:from>
    <xdr:to>
      <xdr:col>9</xdr:col>
      <xdr:colOff>1190624</xdr:colOff>
      <xdr:row>4</xdr:row>
      <xdr:rowOff>19050</xdr:rowOff>
    </xdr:to>
    <xdr:sp macro="" textlink="">
      <xdr:nvSpPr>
        <xdr:cNvPr id="14" name="tabNote">
          <a:extLst>
            <a:ext uri="{FF2B5EF4-FFF2-40B4-BE49-F238E27FC236}">
              <a16:creationId xmlns:a16="http://schemas.microsoft.com/office/drawing/2014/main" id="{00000000-0008-0000-0700-00000E000000}"/>
            </a:ext>
          </a:extLst>
        </xdr:cNvPr>
        <xdr:cNvSpPr txBox="1"/>
      </xdr:nvSpPr>
      <xdr:spPr>
        <a:xfrm>
          <a:off x="3267074" y="400050"/>
          <a:ext cx="5114925" cy="752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Panels that considered num&gt;0 of the chosen projects.  The summary of recommendations, panlSumm, if given, reports all proposals on a panel, not just those chosen.</a:t>
          </a:r>
        </a:p>
      </xdr:txBody>
    </xdr:sp>
    <xdr:clientData/>
  </xdr:twoCellAnchor>
  <xdr:twoCellAnchor editAs="oneCell">
    <xdr:from>
      <xdr:col>9</xdr:col>
      <xdr:colOff>1524001</xdr:colOff>
      <xdr:row>0</xdr:row>
      <xdr:rowOff>38100</xdr:rowOff>
    </xdr:from>
    <xdr:to>
      <xdr:col>10</xdr:col>
      <xdr:colOff>800101</xdr:colOff>
      <xdr:row>4</xdr:row>
      <xdr:rowOff>179095</xdr:rowOff>
    </xdr:to>
    <xdr:pic macro="[0]!ClearSortAndFilter">
      <xdr:nvPicPr>
        <xdr:cNvPr id="15" name="Picture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20101" y="38100"/>
          <a:ext cx="933450" cy="12820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42</xdr:col>
          <xdr:colOff>87086</xdr:colOff>
          <xdr:row>2</xdr:row>
          <xdr:rowOff>0</xdr:rowOff>
        </xdr:from>
        <xdr:to>
          <xdr:col>42</xdr:col>
          <xdr:colOff>1790700</xdr:colOff>
          <xdr:row>3</xdr:row>
          <xdr:rowOff>125186</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800-0000017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Sort by Panl Recom+Rank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59871</xdr:colOff>
          <xdr:row>1</xdr:row>
          <xdr:rowOff>103414</xdr:rowOff>
        </xdr:from>
        <xdr:to>
          <xdr:col>31</xdr:col>
          <xdr:colOff>440871</xdr:colOff>
          <xdr:row>3</xdr:row>
          <xdr:rowOff>97971</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800-0000027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Sort by Panl Date+Discus Order</a:t>
              </a:r>
            </a:p>
          </xdr:txBody>
        </xdr:sp>
        <xdr:clientData fPrintsWithSheet="0"/>
      </xdr:twoCellAnchor>
    </mc:Choice>
    <mc:Fallback/>
  </mc:AlternateContent>
  <xdr:twoCellAnchor editAs="oneCell">
    <xdr:from>
      <xdr:col>0</xdr:col>
      <xdr:colOff>104771</xdr:colOff>
      <xdr:row>0</xdr:row>
      <xdr:rowOff>0</xdr:rowOff>
    </xdr:from>
    <xdr:to>
      <xdr:col>19</xdr:col>
      <xdr:colOff>300039</xdr:colOff>
      <xdr:row>4</xdr:row>
      <xdr:rowOff>176213</xdr:rowOff>
    </xdr:to>
    <xdr:grpSp>
      <xdr:nvGrpSpPr>
        <xdr:cNvPr id="4" name="Group 3">
          <a:extLst>
            <a:ext uri="{FF2B5EF4-FFF2-40B4-BE49-F238E27FC236}">
              <a16:creationId xmlns:a16="http://schemas.microsoft.com/office/drawing/2014/main" id="{00000000-0008-0000-0800-000004000000}"/>
            </a:ext>
          </a:extLst>
        </xdr:cNvPr>
        <xdr:cNvGrpSpPr>
          <a:grpSpLocks/>
        </xdr:cNvGrpSpPr>
      </xdr:nvGrpSpPr>
      <xdr:grpSpPr>
        <a:xfrm>
          <a:off x="104771" y="0"/>
          <a:ext cx="9725711" cy="1302884"/>
          <a:chOff x="104771" y="0"/>
          <a:chExt cx="9177343" cy="1309688"/>
        </a:xfrm>
      </xdr:grpSpPr>
      <xdr:sp macro="[0]!ClearSortAndFilter" textlink="">
        <xdr:nvSpPr>
          <xdr:cNvPr id="5" name="tabTitle">
            <a:extLst>
              <a:ext uri="{FF2B5EF4-FFF2-40B4-BE49-F238E27FC236}">
                <a16:creationId xmlns:a16="http://schemas.microsoft.com/office/drawing/2014/main" id="{00000000-0008-0000-0800-000005000000}"/>
              </a:ext>
            </a:extLst>
          </xdr:cNvPr>
          <xdr:cNvSpPr txBox="1"/>
        </xdr:nvSpPr>
        <xdr:spPr>
          <a:xfrm>
            <a:off x="1609724" y="9525"/>
            <a:ext cx="703897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PROPOSALS ON PANELS</a:t>
            </a:r>
            <a:endParaRPr lang="en-US" sz="2800">
              <a:solidFill>
                <a:schemeClr val="accent1"/>
              </a:solidFill>
            </a:endParaRPr>
          </a:p>
        </xdr:txBody>
      </xdr:sp>
      <xdr:sp macro="[0]!ClearSortAndFilter" textlink="">
        <xdr:nvSpPr>
          <xdr:cNvPr id="6" name="Pentagon 5">
            <a:hlinkClick xmlns:r="http://schemas.openxmlformats.org/officeDocument/2006/relationships" r:id="rId1" tooltip="Return to Input"/>
            <a:extLst>
              <a:ext uri="{FF2B5EF4-FFF2-40B4-BE49-F238E27FC236}">
                <a16:creationId xmlns:a16="http://schemas.microsoft.com/office/drawing/2014/main" id="{00000000-0008-0000-0800-000006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0]!ClearSortAndFilter" textlink="">
        <xdr:nvSpPr>
          <xdr:cNvPr id="7" name="tabNote">
            <a:extLst>
              <a:ext uri="{FF2B5EF4-FFF2-40B4-BE49-F238E27FC236}">
                <a16:creationId xmlns:a16="http://schemas.microsoft.com/office/drawing/2014/main" id="{00000000-0008-0000-0800-000007000000}"/>
              </a:ext>
            </a:extLst>
          </xdr:cNvPr>
          <xdr:cNvSpPr txBox="1"/>
        </xdr:nvSpPr>
        <xdr:spPr>
          <a:xfrm>
            <a:off x="2590799" y="504825"/>
            <a:ext cx="5667375"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Gets panel schedule and results for the chosen proposals; buttons sort by schedule or results.  Proposals on several panels are repeated.</a:t>
            </a:r>
          </a:p>
        </xdr:txBody>
      </xdr:sp>
      <xdr:pic macro="[0]!ClearSortAndFilter">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10576" y="0"/>
            <a:ext cx="871538" cy="1309688"/>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27</xdr:col>
      <xdr:colOff>1666875</xdr:colOff>
      <xdr:row>1</xdr:row>
      <xdr:rowOff>47625</xdr:rowOff>
    </xdr:from>
    <xdr:to>
      <xdr:col>27</xdr:col>
      <xdr:colOff>2190749</xdr:colOff>
      <xdr:row>3</xdr:row>
      <xdr:rowOff>161924</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470725" y="552450"/>
          <a:ext cx="523874" cy="533399"/>
        </a:xfrm>
        <a:prstGeom prst="rect">
          <a:avLst/>
        </a:prstGeom>
      </xdr:spPr>
    </xdr:pic>
    <xdr:clientData/>
  </xdr:twoCellAnchor>
  <xdr:twoCellAnchor editAs="oneCell">
    <xdr:from>
      <xdr:col>0</xdr:col>
      <xdr:colOff>104771</xdr:colOff>
      <xdr:row>0</xdr:row>
      <xdr:rowOff>0</xdr:rowOff>
    </xdr:from>
    <xdr:to>
      <xdr:col>17</xdr:col>
      <xdr:colOff>395289</xdr:colOff>
      <xdr:row>4</xdr:row>
      <xdr:rowOff>176213</xdr:rowOff>
    </xdr:to>
    <xdr:grpSp>
      <xdr:nvGrpSpPr>
        <xdr:cNvPr id="2" name="Group 1">
          <a:extLst>
            <a:ext uri="{FF2B5EF4-FFF2-40B4-BE49-F238E27FC236}">
              <a16:creationId xmlns:a16="http://schemas.microsoft.com/office/drawing/2014/main" id="{00000000-0008-0000-0900-000002000000}"/>
            </a:ext>
          </a:extLst>
        </xdr:cNvPr>
        <xdr:cNvGrpSpPr>
          <a:grpSpLocks/>
        </xdr:cNvGrpSpPr>
      </xdr:nvGrpSpPr>
      <xdr:grpSpPr>
        <a:xfrm>
          <a:off x="104771" y="0"/>
          <a:ext cx="9712104" cy="1302884"/>
          <a:chOff x="104771" y="0"/>
          <a:chExt cx="9177343" cy="1309688"/>
        </a:xfrm>
      </xdr:grpSpPr>
      <xdr:sp macro="[0]!ClearSortAndFilter" textlink="">
        <xdr:nvSpPr>
          <xdr:cNvPr id="3" name="tabTitle">
            <a:extLst>
              <a:ext uri="{FF2B5EF4-FFF2-40B4-BE49-F238E27FC236}">
                <a16:creationId xmlns:a16="http://schemas.microsoft.com/office/drawing/2014/main" id="{00000000-0008-0000-0900-000003000000}"/>
              </a:ext>
            </a:extLst>
          </xdr:cNvPr>
          <xdr:cNvSpPr txBox="1"/>
        </xdr:nvSpPr>
        <xdr:spPr>
          <a:xfrm>
            <a:off x="1609724" y="9525"/>
            <a:ext cx="703897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PROJECT SUMMARIES &amp; KEYWORDS</a:t>
            </a:r>
            <a:endParaRPr lang="en-US" sz="2800">
              <a:solidFill>
                <a:schemeClr val="accent1"/>
              </a:solidFill>
            </a:endParaRPr>
          </a:p>
        </xdr:txBody>
      </xdr:sp>
      <xdr:sp macro="[0]!ClearSortAndFilter" textlink="">
        <xdr:nvSpPr>
          <xdr:cNvPr id="4" name="Pentagon 3">
            <a:hlinkClick xmlns:r="http://schemas.openxmlformats.org/officeDocument/2006/relationships" r:id="rId3" tooltip="Return to Input"/>
            <a:extLst>
              <a:ext uri="{FF2B5EF4-FFF2-40B4-BE49-F238E27FC236}">
                <a16:creationId xmlns:a16="http://schemas.microsoft.com/office/drawing/2014/main" id="{00000000-0008-0000-0900-000004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0]!ClearSortAndFilter" textlink="">
        <xdr:nvSpPr>
          <xdr:cNvPr id="5" name="tabNote">
            <a:extLst>
              <a:ext uri="{FF2B5EF4-FFF2-40B4-BE49-F238E27FC236}">
                <a16:creationId xmlns:a16="http://schemas.microsoft.com/office/drawing/2014/main" id="{00000000-0008-0000-0900-000005000000}"/>
              </a:ext>
            </a:extLst>
          </xdr:cNvPr>
          <xdr:cNvSpPr txBox="1"/>
        </xdr:nvSpPr>
        <xdr:spPr>
          <a:xfrm>
            <a:off x="2590800" y="504825"/>
            <a:ext cx="5181600"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Retrieves text project summaries for search. Reports keywords, if present.</a:t>
            </a:r>
          </a:p>
        </xdr:txBody>
      </xdr:sp>
      <xdr:pic macro="[0]!ClearSortAndFilter">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410576" y="0"/>
            <a:ext cx="871538" cy="1309688"/>
          </a:xfrm>
          <a:prstGeom prst="rect">
            <a:avLst/>
          </a:prstGeom>
        </xdr:spPr>
      </xdr:pic>
    </xdr:grpSp>
    <xdr:clientData/>
  </xdr:twoCellAnchor>
  <xdr:twoCellAnchor>
    <xdr:from>
      <xdr:col>17</xdr:col>
      <xdr:colOff>523874</xdr:colOff>
      <xdr:row>0</xdr:row>
      <xdr:rowOff>76201</xdr:rowOff>
    </xdr:from>
    <xdr:to>
      <xdr:col>19</xdr:col>
      <xdr:colOff>95249</xdr:colOff>
      <xdr:row>1</xdr:row>
      <xdr:rowOff>104776</xdr:rowOff>
    </xdr:to>
    <xdr:sp macro="" textlink="">
      <xdr:nvSpPr>
        <xdr:cNvPr id="9" name="Pentagon 8">
          <a:hlinkClick xmlns:r="http://schemas.openxmlformats.org/officeDocument/2006/relationships" r:id="rId5"/>
          <a:extLst>
            <a:ext uri="{FF2B5EF4-FFF2-40B4-BE49-F238E27FC236}">
              <a16:creationId xmlns:a16="http://schemas.microsoft.com/office/drawing/2014/main" id="{00000000-0008-0000-0900-000009000000}"/>
            </a:ext>
          </a:extLst>
        </xdr:cNvPr>
        <xdr:cNvSpPr/>
      </xdr:nvSpPr>
      <xdr:spPr>
        <a:xfrm>
          <a:off x="9410699" y="76201"/>
          <a:ext cx="1628775" cy="533400"/>
        </a:xfrm>
        <a:prstGeom prst="homePlate">
          <a:avLst/>
        </a:prstGeom>
        <a:solidFill>
          <a:schemeClr val="accent4">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400" b="1"/>
            <a:t>SEARCH PROJECT SUMMARY</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104771</xdr:colOff>
      <xdr:row>0</xdr:row>
      <xdr:rowOff>0</xdr:rowOff>
    </xdr:from>
    <xdr:to>
      <xdr:col>19</xdr:col>
      <xdr:colOff>395289</xdr:colOff>
      <xdr:row>4</xdr:row>
      <xdr:rowOff>176213</xdr:rowOff>
    </xdr:to>
    <xdr:grpSp>
      <xdr:nvGrpSpPr>
        <xdr:cNvPr id="2" name="Group 1">
          <a:extLst>
            <a:ext uri="{FF2B5EF4-FFF2-40B4-BE49-F238E27FC236}">
              <a16:creationId xmlns:a16="http://schemas.microsoft.com/office/drawing/2014/main" id="{00000000-0008-0000-0A00-000002000000}"/>
            </a:ext>
          </a:extLst>
        </xdr:cNvPr>
        <xdr:cNvGrpSpPr>
          <a:grpSpLocks/>
        </xdr:cNvGrpSpPr>
      </xdr:nvGrpSpPr>
      <xdr:grpSpPr>
        <a:xfrm>
          <a:off x="104771" y="0"/>
          <a:ext cx="9690332" cy="1302884"/>
          <a:chOff x="104771" y="0"/>
          <a:chExt cx="9177343" cy="1309688"/>
        </a:xfrm>
      </xdr:grpSpPr>
      <xdr:sp macro="" textlink="">
        <xdr:nvSpPr>
          <xdr:cNvPr id="3" name="tabTitle">
            <a:extLst>
              <a:ext uri="{FF2B5EF4-FFF2-40B4-BE49-F238E27FC236}">
                <a16:creationId xmlns:a16="http://schemas.microsoft.com/office/drawing/2014/main" id="{00000000-0008-0000-0A00-000003000000}"/>
              </a:ext>
            </a:extLst>
          </xdr:cNvPr>
          <xdr:cNvSpPr txBox="1"/>
        </xdr:nvSpPr>
        <xdr:spPr>
          <a:xfrm>
            <a:off x="1609724" y="9525"/>
            <a:ext cx="703897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ORPHAN CHECK: PROPOSALS NOT PANELED</a:t>
            </a:r>
            <a:endParaRPr lang="en-US" sz="2800">
              <a:solidFill>
                <a:schemeClr val="accent1"/>
              </a:solidFill>
            </a:endParaRPr>
          </a:p>
        </xdr:txBody>
      </xdr:sp>
      <xdr:sp macro="" textlink="">
        <xdr:nvSpPr>
          <xdr:cNvPr id="4" name="Pentagon 3">
            <a:hlinkClick xmlns:r="http://schemas.openxmlformats.org/officeDocument/2006/relationships" r:id="rId1" tooltip="Return to Input"/>
            <a:extLst>
              <a:ext uri="{FF2B5EF4-FFF2-40B4-BE49-F238E27FC236}">
                <a16:creationId xmlns:a16="http://schemas.microsoft.com/office/drawing/2014/main" id="{00000000-0008-0000-0A00-000004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 textlink="">
        <xdr:nvSpPr>
          <xdr:cNvPr id="5" name="tabNote">
            <a:extLst>
              <a:ext uri="{FF2B5EF4-FFF2-40B4-BE49-F238E27FC236}">
                <a16:creationId xmlns:a16="http://schemas.microsoft.com/office/drawing/2014/main" id="{00000000-0008-0000-0A00-000005000000}"/>
              </a:ext>
            </a:extLst>
          </xdr:cNvPr>
          <xdr:cNvSpPr txBox="1"/>
        </xdr:nvSpPr>
        <xdr:spPr>
          <a:xfrm>
            <a:off x="2952750" y="390524"/>
            <a:ext cx="5295900"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Proposals not paneled; possible reasons in cols F-K: ad hoc only, object class is not Research Grant, request is SUPP,TRSF, status is WTH,RTNR</a:t>
            </a:r>
          </a:p>
        </xdr:txBody>
      </xdr:sp>
      <xdr:pic macro="[0]!ClearSortAndFilter">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10576" y="0"/>
            <a:ext cx="871538" cy="1309688"/>
          </a:xfrm>
          <a:prstGeom prst="rect">
            <a:avLst/>
          </a:prstGeom>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104771</xdr:colOff>
      <xdr:row>0</xdr:row>
      <xdr:rowOff>0</xdr:rowOff>
    </xdr:from>
    <xdr:to>
      <xdr:col>13</xdr:col>
      <xdr:colOff>700089</xdr:colOff>
      <xdr:row>4</xdr:row>
      <xdr:rowOff>176213</xdr:rowOff>
    </xdr:to>
    <xdr:grpSp>
      <xdr:nvGrpSpPr>
        <xdr:cNvPr id="2" name="Group 1">
          <a:extLst>
            <a:ext uri="{FF2B5EF4-FFF2-40B4-BE49-F238E27FC236}">
              <a16:creationId xmlns:a16="http://schemas.microsoft.com/office/drawing/2014/main" id="{00000000-0008-0000-0B00-000002000000}"/>
            </a:ext>
          </a:extLst>
        </xdr:cNvPr>
        <xdr:cNvGrpSpPr>
          <a:grpSpLocks/>
        </xdr:cNvGrpSpPr>
      </xdr:nvGrpSpPr>
      <xdr:grpSpPr>
        <a:xfrm>
          <a:off x="104771" y="0"/>
          <a:ext cx="9692665" cy="1308522"/>
          <a:chOff x="104771" y="0"/>
          <a:chExt cx="9177343" cy="1309688"/>
        </a:xfrm>
      </xdr:grpSpPr>
      <xdr:sp macro="" textlink="">
        <xdr:nvSpPr>
          <xdr:cNvPr id="3" name="tabTitle">
            <a:extLst>
              <a:ext uri="{FF2B5EF4-FFF2-40B4-BE49-F238E27FC236}">
                <a16:creationId xmlns:a16="http://schemas.microsoft.com/office/drawing/2014/main" id="{00000000-0008-0000-0B00-000003000000}"/>
              </a:ext>
            </a:extLst>
          </xdr:cNvPr>
          <xdr:cNvSpPr txBox="1"/>
        </xdr:nvSpPr>
        <xdr:spPr>
          <a:xfrm>
            <a:off x="1609724" y="9525"/>
            <a:ext cx="703897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NEW AWARDEE INSTITUTIONS</a:t>
            </a:r>
            <a:endParaRPr lang="en-US" sz="2800">
              <a:solidFill>
                <a:schemeClr val="accent1"/>
              </a:solidFill>
            </a:endParaRPr>
          </a:p>
        </xdr:txBody>
      </xdr:sp>
      <xdr:sp macro="" textlink="">
        <xdr:nvSpPr>
          <xdr:cNvPr id="4" name="Pentagon 3">
            <a:hlinkClick xmlns:r="http://schemas.openxmlformats.org/officeDocument/2006/relationships" r:id="rId1" tooltip="Return to Input"/>
            <a:extLst>
              <a:ext uri="{FF2B5EF4-FFF2-40B4-BE49-F238E27FC236}">
                <a16:creationId xmlns:a16="http://schemas.microsoft.com/office/drawing/2014/main" id="{00000000-0008-0000-0B00-000004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 textlink="">
        <xdr:nvSpPr>
          <xdr:cNvPr id="5" name="tabNote">
            <a:extLst>
              <a:ext uri="{FF2B5EF4-FFF2-40B4-BE49-F238E27FC236}">
                <a16:creationId xmlns:a16="http://schemas.microsoft.com/office/drawing/2014/main" id="{00000000-0008-0000-0B00-000005000000}"/>
              </a:ext>
            </a:extLst>
          </xdr:cNvPr>
          <xdr:cNvSpPr txBox="1"/>
        </xdr:nvSpPr>
        <xdr:spPr>
          <a:xfrm>
            <a:off x="2800349" y="504825"/>
            <a:ext cx="545782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For the chosen proposals that are pending, checks if any institutions have not held an NSF grant in the last 58 months. These may have additional paperwork before an award.  [Resource intensive; keep hidden]</a:t>
            </a:r>
          </a:p>
        </xdr:txBody>
      </xdr:sp>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10576" y="0"/>
            <a:ext cx="871538" cy="1309688"/>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104771</xdr:colOff>
      <xdr:row>0</xdr:row>
      <xdr:rowOff>0</xdr:rowOff>
    </xdr:from>
    <xdr:to>
      <xdr:col>16</xdr:col>
      <xdr:colOff>681039</xdr:colOff>
      <xdr:row>4</xdr:row>
      <xdr:rowOff>176213</xdr:rowOff>
    </xdr:to>
    <xdr:grpSp>
      <xdr:nvGrpSpPr>
        <xdr:cNvPr id="2" name="Group 1">
          <a:extLst>
            <a:ext uri="{FF2B5EF4-FFF2-40B4-BE49-F238E27FC236}">
              <a16:creationId xmlns:a16="http://schemas.microsoft.com/office/drawing/2014/main" id="{00000000-0008-0000-0C00-000002000000}"/>
            </a:ext>
          </a:extLst>
        </xdr:cNvPr>
        <xdr:cNvGrpSpPr>
          <a:grpSpLocks/>
        </xdr:cNvGrpSpPr>
      </xdr:nvGrpSpPr>
      <xdr:grpSpPr>
        <a:xfrm>
          <a:off x="104771" y="0"/>
          <a:ext cx="9703939" cy="1302884"/>
          <a:chOff x="104771" y="0"/>
          <a:chExt cx="9177343" cy="1309688"/>
        </a:xfrm>
      </xdr:grpSpPr>
      <xdr:sp macro="" textlink="">
        <xdr:nvSpPr>
          <xdr:cNvPr id="3" name="tabTitle">
            <a:extLst>
              <a:ext uri="{FF2B5EF4-FFF2-40B4-BE49-F238E27FC236}">
                <a16:creationId xmlns:a16="http://schemas.microsoft.com/office/drawing/2014/main" id="{00000000-0008-0000-0C00-000003000000}"/>
              </a:ext>
            </a:extLst>
          </xdr:cNvPr>
          <xdr:cNvSpPr txBox="1"/>
        </xdr:nvSpPr>
        <xdr:spPr>
          <a:xfrm>
            <a:off x="1609724" y="9525"/>
            <a:ext cx="703897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SUBAWARD DETAILS</a:t>
            </a:r>
            <a:endParaRPr lang="en-US" sz="2800">
              <a:solidFill>
                <a:schemeClr val="accent1"/>
              </a:solidFill>
            </a:endParaRPr>
          </a:p>
        </xdr:txBody>
      </xdr:sp>
      <xdr:sp macro="" textlink="">
        <xdr:nvSpPr>
          <xdr:cNvPr id="4" name="Pentagon 3">
            <a:hlinkClick xmlns:r="http://schemas.openxmlformats.org/officeDocument/2006/relationships" r:id="rId1" tooltip="Return to Input"/>
            <a:extLst>
              <a:ext uri="{FF2B5EF4-FFF2-40B4-BE49-F238E27FC236}">
                <a16:creationId xmlns:a16="http://schemas.microsoft.com/office/drawing/2014/main" id="{00000000-0008-0000-0C00-000004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 textlink="">
        <xdr:nvSpPr>
          <xdr:cNvPr id="5" name="tabNote">
            <a:extLst>
              <a:ext uri="{FF2B5EF4-FFF2-40B4-BE49-F238E27FC236}">
                <a16:creationId xmlns:a16="http://schemas.microsoft.com/office/drawing/2014/main" id="{00000000-0008-0000-0C00-000005000000}"/>
              </a:ext>
            </a:extLst>
          </xdr:cNvPr>
          <xdr:cNvSpPr txBox="1"/>
        </xdr:nvSpPr>
        <xdr:spPr>
          <a:xfrm>
            <a:off x="2695573" y="628650"/>
            <a:ext cx="5619751"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Identifies proposals with non-zero subaward amounts in their budgets, and checks if subaward budgets match.  Rounding can cause small differences.</a:t>
            </a:r>
          </a:p>
        </xdr:txBody>
      </xdr:sp>
      <xdr:pic macro="[0]!ClearSortAndFilter">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10576" y="0"/>
            <a:ext cx="871538" cy="1309688"/>
          </a:xfrm>
          <a:prstGeom prst="rect">
            <a:avLst/>
          </a:prstGeom>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104772</xdr:colOff>
      <xdr:row>0</xdr:row>
      <xdr:rowOff>0</xdr:rowOff>
    </xdr:from>
    <xdr:to>
      <xdr:col>16</xdr:col>
      <xdr:colOff>390526</xdr:colOff>
      <xdr:row>4</xdr:row>
      <xdr:rowOff>176213</xdr:rowOff>
    </xdr:to>
    <xdr:grpSp>
      <xdr:nvGrpSpPr>
        <xdr:cNvPr id="2" name="Group 1">
          <a:extLst>
            <a:ext uri="{FF2B5EF4-FFF2-40B4-BE49-F238E27FC236}">
              <a16:creationId xmlns:a16="http://schemas.microsoft.com/office/drawing/2014/main" id="{00000000-0008-0000-0D00-000002000000}"/>
            </a:ext>
          </a:extLst>
        </xdr:cNvPr>
        <xdr:cNvGrpSpPr>
          <a:grpSpLocks/>
        </xdr:cNvGrpSpPr>
      </xdr:nvGrpSpPr>
      <xdr:grpSpPr>
        <a:xfrm>
          <a:off x="104772" y="0"/>
          <a:ext cx="9516840" cy="1302884"/>
          <a:chOff x="104771" y="0"/>
          <a:chExt cx="9177343" cy="1309688"/>
        </a:xfrm>
      </xdr:grpSpPr>
      <xdr:sp macro="" textlink="">
        <xdr:nvSpPr>
          <xdr:cNvPr id="3" name="tabTitle">
            <a:extLst>
              <a:ext uri="{FF2B5EF4-FFF2-40B4-BE49-F238E27FC236}">
                <a16:creationId xmlns:a16="http://schemas.microsoft.com/office/drawing/2014/main" id="{00000000-0008-0000-0D00-000003000000}"/>
              </a:ext>
            </a:extLst>
          </xdr:cNvPr>
          <xdr:cNvSpPr txBox="1"/>
        </xdr:nvSpPr>
        <xdr:spPr>
          <a:xfrm>
            <a:off x="1609724" y="9525"/>
            <a:ext cx="703897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PROPOSAL TRANSFER HISTORY</a:t>
            </a:r>
            <a:endParaRPr lang="en-US" sz="2800">
              <a:solidFill>
                <a:schemeClr val="accent1"/>
              </a:solidFill>
            </a:endParaRPr>
          </a:p>
        </xdr:txBody>
      </xdr:sp>
      <xdr:sp macro="" textlink="">
        <xdr:nvSpPr>
          <xdr:cNvPr id="4" name="Pentagon 3">
            <a:hlinkClick xmlns:r="http://schemas.openxmlformats.org/officeDocument/2006/relationships" r:id="rId1" tooltip="Return to Input"/>
            <a:extLst>
              <a:ext uri="{FF2B5EF4-FFF2-40B4-BE49-F238E27FC236}">
                <a16:creationId xmlns:a16="http://schemas.microsoft.com/office/drawing/2014/main" id="{00000000-0008-0000-0D00-000004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 textlink="">
        <xdr:nvSpPr>
          <xdr:cNvPr id="5" name="tabNote">
            <a:extLst>
              <a:ext uri="{FF2B5EF4-FFF2-40B4-BE49-F238E27FC236}">
                <a16:creationId xmlns:a16="http://schemas.microsoft.com/office/drawing/2014/main" id="{00000000-0008-0000-0D00-000005000000}"/>
              </a:ext>
            </a:extLst>
          </xdr:cNvPr>
          <xdr:cNvSpPr txBox="1"/>
        </xdr:nvSpPr>
        <xdr:spPr>
          <a:xfrm>
            <a:off x="2590799" y="504825"/>
            <a:ext cx="5359432"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For the chosen proposals and thier related awards, list transfers and changes between programs, PDs, institutions, and PIs. Can be slow.</a:t>
            </a:r>
          </a:p>
        </xdr:txBody>
      </xdr:sp>
      <xdr:pic macro="[0]!ClearSortAndFilter">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10576" y="0"/>
            <a:ext cx="871538" cy="1309688"/>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104771</xdr:colOff>
      <xdr:row>0</xdr:row>
      <xdr:rowOff>8505</xdr:rowOff>
    </xdr:from>
    <xdr:to>
      <xdr:col>15</xdr:col>
      <xdr:colOff>363312</xdr:colOff>
      <xdr:row>4</xdr:row>
      <xdr:rowOff>184718</xdr:rowOff>
    </xdr:to>
    <xdr:grpSp>
      <xdr:nvGrpSpPr>
        <xdr:cNvPr id="7" name="Group 6">
          <a:extLst>
            <a:ext uri="{FF2B5EF4-FFF2-40B4-BE49-F238E27FC236}">
              <a16:creationId xmlns:a16="http://schemas.microsoft.com/office/drawing/2014/main" id="{00000000-0008-0000-0E00-000007000000}"/>
            </a:ext>
          </a:extLst>
        </xdr:cNvPr>
        <xdr:cNvGrpSpPr>
          <a:grpSpLocks/>
        </xdr:cNvGrpSpPr>
      </xdr:nvGrpSpPr>
      <xdr:grpSpPr>
        <a:xfrm>
          <a:off x="104771" y="8505"/>
          <a:ext cx="9293684" cy="1302884"/>
          <a:chOff x="104771" y="8465"/>
          <a:chExt cx="8778726" cy="1309688"/>
        </a:xfrm>
      </xdr:grpSpPr>
      <xdr:sp macro="" textlink="">
        <xdr:nvSpPr>
          <xdr:cNvPr id="8" name="tabTitle">
            <a:extLst>
              <a:ext uri="{FF2B5EF4-FFF2-40B4-BE49-F238E27FC236}">
                <a16:creationId xmlns:a16="http://schemas.microsoft.com/office/drawing/2014/main" id="{00000000-0008-0000-0E00-000008000000}"/>
              </a:ext>
            </a:extLst>
          </xdr:cNvPr>
          <xdr:cNvSpPr txBox="1"/>
        </xdr:nvSpPr>
        <xdr:spPr>
          <a:xfrm>
            <a:off x="1609724" y="9525"/>
            <a:ext cx="6549478"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SUGGESTED &amp; UNWANTED REVIEWERS</a:t>
            </a:r>
            <a:endParaRPr lang="en-US" sz="2800">
              <a:solidFill>
                <a:schemeClr val="accent1"/>
              </a:solidFill>
            </a:endParaRPr>
          </a:p>
        </xdr:txBody>
      </xdr:sp>
      <xdr:sp macro="" textlink="">
        <xdr:nvSpPr>
          <xdr:cNvPr id="9" name="Pentagon 8">
            <a:hlinkClick xmlns:r="http://schemas.openxmlformats.org/officeDocument/2006/relationships" r:id="rId1" tooltip="Return to Input"/>
            <a:extLst>
              <a:ext uri="{FF2B5EF4-FFF2-40B4-BE49-F238E27FC236}">
                <a16:creationId xmlns:a16="http://schemas.microsoft.com/office/drawing/2014/main" id="{00000000-0008-0000-0E00-000009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 textlink="">
        <xdr:nvSpPr>
          <xdr:cNvPr id="10" name="tabNote">
            <a:extLst>
              <a:ext uri="{FF2B5EF4-FFF2-40B4-BE49-F238E27FC236}">
                <a16:creationId xmlns:a16="http://schemas.microsoft.com/office/drawing/2014/main" id="{00000000-0008-0000-0E00-00000A000000}"/>
              </a:ext>
            </a:extLst>
          </xdr:cNvPr>
          <xdr:cNvSpPr txBox="1"/>
        </xdr:nvSpPr>
        <xdr:spPr>
          <a:xfrm>
            <a:off x="2680346" y="504825"/>
            <a:ext cx="5092054"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baseline="0">
                <a:solidFill>
                  <a:schemeClr val="tx1"/>
                </a:solidFill>
              </a:rPr>
              <a:t>Collects PIs' suggested and unwanted reviewers for those proposals that have indicated them.</a:t>
            </a:r>
            <a:endParaRPr lang="en-US" sz="1400" i="1">
              <a:solidFill>
                <a:schemeClr val="tx1"/>
              </a:solidFill>
            </a:endParaRPr>
          </a:p>
        </xdr:txBody>
      </xdr:sp>
      <xdr:pic macro="[0]!ClearSortAndFilter">
        <xdr:nvPicPr>
          <xdr:cNvPr id="11" name="Picture 10">
            <a:extLst>
              <a:ext uri="{FF2B5EF4-FFF2-40B4-BE49-F238E27FC236}">
                <a16:creationId xmlns:a16="http://schemas.microsoft.com/office/drawing/2014/main" id="{00000000-0008-0000-0E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11959" y="8465"/>
            <a:ext cx="871538" cy="1309688"/>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104771</xdr:colOff>
      <xdr:row>0</xdr:row>
      <xdr:rowOff>85722</xdr:rowOff>
    </xdr:from>
    <xdr:to>
      <xdr:col>1</xdr:col>
      <xdr:colOff>504825</xdr:colOff>
      <xdr:row>0</xdr:row>
      <xdr:rowOff>466724</xdr:rowOff>
    </xdr:to>
    <xdr:sp macro="" textlink="">
      <xdr:nvSpPr>
        <xdr:cNvPr id="8" name="Pentagon 7">
          <a:hlinkClick xmlns:r="http://schemas.openxmlformats.org/officeDocument/2006/relationships" r:id="rId1" tooltip="Return to Input"/>
          <a:extLst>
            <a:ext uri="{FF2B5EF4-FFF2-40B4-BE49-F238E27FC236}">
              <a16:creationId xmlns:a16="http://schemas.microsoft.com/office/drawing/2014/main" id="{00000000-0008-0000-0F00-000008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clientData/>
  </xdr:twoCellAnchor>
  <xdr:twoCellAnchor>
    <xdr:from>
      <xdr:col>2</xdr:col>
      <xdr:colOff>257175</xdr:colOff>
      <xdr:row>0</xdr:row>
      <xdr:rowOff>0</xdr:rowOff>
    </xdr:from>
    <xdr:to>
      <xdr:col>11</xdr:col>
      <xdr:colOff>1347788</xdr:colOff>
      <xdr:row>4</xdr:row>
      <xdr:rowOff>176213</xdr:rowOff>
    </xdr:to>
    <xdr:grpSp>
      <xdr:nvGrpSpPr>
        <xdr:cNvPr id="2" name="Group 1">
          <a:extLst>
            <a:ext uri="{FF2B5EF4-FFF2-40B4-BE49-F238E27FC236}">
              <a16:creationId xmlns:a16="http://schemas.microsoft.com/office/drawing/2014/main" id="{00000000-0008-0000-0F00-000002000000}"/>
            </a:ext>
          </a:extLst>
        </xdr:cNvPr>
        <xdr:cNvGrpSpPr/>
      </xdr:nvGrpSpPr>
      <xdr:grpSpPr>
        <a:xfrm>
          <a:off x="1710418" y="0"/>
          <a:ext cx="7975827" cy="1302884"/>
          <a:chOff x="1619250" y="0"/>
          <a:chExt cx="7586663" cy="1309688"/>
        </a:xfrm>
      </xdr:grpSpPr>
      <xdr:sp macro="" textlink="">
        <xdr:nvSpPr>
          <xdr:cNvPr id="7" name="tabTitle">
            <a:extLst>
              <a:ext uri="{FF2B5EF4-FFF2-40B4-BE49-F238E27FC236}">
                <a16:creationId xmlns:a16="http://schemas.microsoft.com/office/drawing/2014/main" id="{00000000-0008-0000-0F00-000007000000}"/>
              </a:ext>
            </a:extLst>
          </xdr:cNvPr>
          <xdr:cNvSpPr txBox="1"/>
        </xdr:nvSpPr>
        <xdr:spPr>
          <a:xfrm>
            <a:off x="1619250" y="28575"/>
            <a:ext cx="654367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REVIEWERS WHO HAVE DONE REVIEWS</a:t>
            </a:r>
            <a:endParaRPr lang="en-US" sz="2800">
              <a:solidFill>
                <a:schemeClr val="accent1"/>
              </a:solidFill>
            </a:endParaRPr>
          </a:p>
        </xdr:txBody>
      </xdr:sp>
      <xdr:sp macro="" textlink="">
        <xdr:nvSpPr>
          <xdr:cNvPr id="9" name="tabNote">
            <a:extLst>
              <a:ext uri="{FF2B5EF4-FFF2-40B4-BE49-F238E27FC236}">
                <a16:creationId xmlns:a16="http://schemas.microsoft.com/office/drawing/2014/main" id="{00000000-0008-0000-0F00-000009000000}"/>
              </a:ext>
            </a:extLst>
          </xdr:cNvPr>
          <xdr:cNvSpPr txBox="1"/>
        </xdr:nvSpPr>
        <xdr:spPr>
          <a:xfrm>
            <a:off x="2162175" y="609600"/>
            <a:ext cx="5867400"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Reviewers who have completed reviews on at least one of the chosen projects.  Can be used to check reviews on a panel, or to find prospective panelists.</a:t>
            </a:r>
          </a:p>
        </xdr:txBody>
      </xdr:sp>
      <xdr:pic macro="[0]!ClearSortAndFilter">
        <xdr:nvPicPr>
          <xdr:cNvPr id="25" name="Picture 24">
            <a:extLst>
              <a:ext uri="{FF2B5EF4-FFF2-40B4-BE49-F238E27FC236}">
                <a16:creationId xmlns:a16="http://schemas.microsoft.com/office/drawing/2014/main" id="{00000000-0008-0000-0F00-00001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34375" y="0"/>
            <a:ext cx="871538" cy="1309688"/>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364671</xdr:colOff>
          <xdr:row>4</xdr:row>
          <xdr:rowOff>212271</xdr:rowOff>
        </xdr:from>
        <xdr:to>
          <xdr:col>5</xdr:col>
          <xdr:colOff>136071</xdr:colOff>
          <xdr:row>4</xdr:row>
          <xdr:rowOff>478971</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000-0000017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Refresh Panelists</a:t>
              </a:r>
            </a:p>
          </xdr:txBody>
        </xdr:sp>
        <xdr:clientData fPrintsWithSheet="0"/>
      </xdr:twoCellAnchor>
    </mc:Choice>
    <mc:Fallback/>
  </mc:AlternateContent>
  <xdr:twoCellAnchor editAs="oneCell">
    <xdr:from>
      <xdr:col>0</xdr:col>
      <xdr:colOff>104771</xdr:colOff>
      <xdr:row>0</xdr:row>
      <xdr:rowOff>85722</xdr:rowOff>
    </xdr:from>
    <xdr:to>
      <xdr:col>1</xdr:col>
      <xdr:colOff>104775</xdr:colOff>
      <xdr:row>0</xdr:row>
      <xdr:rowOff>466724</xdr:rowOff>
    </xdr:to>
    <xdr:sp macro="" textlink="">
      <xdr:nvSpPr>
        <xdr:cNvPr id="11" name="Pentagon 10">
          <a:hlinkClick xmlns:r="http://schemas.openxmlformats.org/officeDocument/2006/relationships" r:id="rId1" tooltip="Return to Input"/>
          <a:extLst>
            <a:ext uri="{FF2B5EF4-FFF2-40B4-BE49-F238E27FC236}">
              <a16:creationId xmlns:a16="http://schemas.microsoft.com/office/drawing/2014/main" id="{00000000-0008-0000-1000-00000B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clientData/>
  </xdr:twoCellAnchor>
  <xdr:twoCellAnchor>
    <xdr:from>
      <xdr:col>2</xdr:col>
      <xdr:colOff>371474</xdr:colOff>
      <xdr:row>0</xdr:row>
      <xdr:rowOff>9525</xdr:rowOff>
    </xdr:from>
    <xdr:to>
      <xdr:col>10</xdr:col>
      <xdr:colOff>695325</xdr:colOff>
      <xdr:row>1</xdr:row>
      <xdr:rowOff>0</xdr:rowOff>
    </xdr:to>
    <xdr:sp macro="[0]!ClearSortAndFilter" textlink="">
      <xdr:nvSpPr>
        <xdr:cNvPr id="10" name="tabTitle">
          <a:extLst>
            <a:ext uri="{FF2B5EF4-FFF2-40B4-BE49-F238E27FC236}">
              <a16:creationId xmlns:a16="http://schemas.microsoft.com/office/drawing/2014/main" id="{00000000-0008-0000-1000-00000A000000}"/>
            </a:ext>
          </a:extLst>
        </xdr:cNvPr>
        <xdr:cNvSpPr txBox="1"/>
      </xdr:nvSpPr>
      <xdr:spPr>
        <a:xfrm>
          <a:off x="1904999" y="9525"/>
          <a:ext cx="7648576"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PANELISTS ON PANELS</a:t>
          </a:r>
          <a:endParaRPr lang="en-US" sz="2800">
            <a:solidFill>
              <a:schemeClr val="accent1"/>
            </a:solidFill>
          </a:endParaRPr>
        </a:p>
      </xdr:txBody>
    </xdr:sp>
    <xdr:clientData/>
  </xdr:twoCellAnchor>
  <xdr:twoCellAnchor>
    <xdr:from>
      <xdr:col>5</xdr:col>
      <xdr:colOff>28575</xdr:colOff>
      <xdr:row>1</xdr:row>
      <xdr:rowOff>28575</xdr:rowOff>
    </xdr:from>
    <xdr:to>
      <xdr:col>9</xdr:col>
      <xdr:colOff>1800225</xdr:colOff>
      <xdr:row>4</xdr:row>
      <xdr:rowOff>161925</xdr:rowOff>
    </xdr:to>
    <xdr:sp macro="[0]!ClearSortAndFilter" textlink="">
      <xdr:nvSpPr>
        <xdr:cNvPr id="12" name="tabNote">
          <a:extLst>
            <a:ext uri="{FF2B5EF4-FFF2-40B4-BE49-F238E27FC236}">
              <a16:creationId xmlns:a16="http://schemas.microsoft.com/office/drawing/2014/main" id="{00000000-0008-0000-1000-00000C000000}"/>
            </a:ext>
          </a:extLst>
        </xdr:cNvPr>
        <xdr:cNvSpPr txBox="1"/>
      </xdr:nvSpPr>
      <xdr:spPr>
        <a:xfrm>
          <a:off x="2667000" y="533400"/>
          <a:ext cx="607695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List panels, which you might get from the Panels tab, and click refresh to see all the panelists, and statistics on scores, length, and days early, both for the chosen panels and all panels since a selected date.  Slow, but useful; usually keep hidden.</a:t>
          </a:r>
        </a:p>
      </xdr:txBody>
    </xdr:sp>
    <xdr:clientData/>
  </xdr:twoCellAnchor>
  <xdr:twoCellAnchor>
    <xdr:from>
      <xdr:col>10</xdr:col>
      <xdr:colOff>0</xdr:colOff>
      <xdr:row>0</xdr:row>
      <xdr:rowOff>95250</xdr:rowOff>
    </xdr:from>
    <xdr:to>
      <xdr:col>10</xdr:col>
      <xdr:colOff>933450</xdr:colOff>
      <xdr:row>4</xdr:row>
      <xdr:rowOff>243865</xdr:rowOff>
    </xdr:to>
    <xdr:pic macro="[0]!ClearSortAndFilter">
      <xdr:nvPicPr>
        <xdr:cNvPr id="13" name="Pictur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58250" y="95250"/>
          <a:ext cx="933450" cy="128209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104771</xdr:colOff>
      <xdr:row>0</xdr:row>
      <xdr:rowOff>8505</xdr:rowOff>
    </xdr:from>
    <xdr:to>
      <xdr:col>11</xdr:col>
      <xdr:colOff>685800</xdr:colOff>
      <xdr:row>4</xdr:row>
      <xdr:rowOff>184718</xdr:rowOff>
    </xdr:to>
    <xdr:grpSp>
      <xdr:nvGrpSpPr>
        <xdr:cNvPr id="2" name="Group 1">
          <a:extLst>
            <a:ext uri="{FF2B5EF4-FFF2-40B4-BE49-F238E27FC236}">
              <a16:creationId xmlns:a16="http://schemas.microsoft.com/office/drawing/2014/main" id="{00000000-0008-0000-1100-000002000000}"/>
            </a:ext>
          </a:extLst>
        </xdr:cNvPr>
        <xdr:cNvGrpSpPr>
          <a:grpSpLocks/>
        </xdr:cNvGrpSpPr>
      </xdr:nvGrpSpPr>
      <xdr:grpSpPr>
        <a:xfrm>
          <a:off x="104771" y="8505"/>
          <a:ext cx="9567186" cy="1302884"/>
          <a:chOff x="104771" y="8465"/>
          <a:chExt cx="8778726" cy="1309688"/>
        </a:xfrm>
      </xdr:grpSpPr>
      <xdr:sp macro="" textlink="">
        <xdr:nvSpPr>
          <xdr:cNvPr id="3" name="tabTitle">
            <a:extLst>
              <a:ext uri="{FF2B5EF4-FFF2-40B4-BE49-F238E27FC236}">
                <a16:creationId xmlns:a16="http://schemas.microsoft.com/office/drawing/2014/main" id="{00000000-0008-0000-1100-000003000000}"/>
              </a:ext>
            </a:extLst>
          </xdr:cNvPr>
          <xdr:cNvSpPr txBox="1"/>
        </xdr:nvSpPr>
        <xdr:spPr>
          <a:xfrm>
            <a:off x="1609725" y="9525"/>
            <a:ext cx="526371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BULK COI CHECKING</a:t>
            </a:r>
          </a:p>
        </xdr:txBody>
      </xdr:sp>
      <xdr:sp macro="" textlink="">
        <xdr:nvSpPr>
          <xdr:cNvPr id="4" name="Pentagon 3">
            <a:hlinkClick xmlns:r="http://schemas.openxmlformats.org/officeDocument/2006/relationships" r:id="rId1" tooltip="Return to Input"/>
            <a:extLst>
              <a:ext uri="{FF2B5EF4-FFF2-40B4-BE49-F238E27FC236}">
                <a16:creationId xmlns:a16="http://schemas.microsoft.com/office/drawing/2014/main" id="{00000000-0008-0000-1100-000004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 textlink="">
        <xdr:nvSpPr>
          <xdr:cNvPr id="5" name="tabNote">
            <a:extLst>
              <a:ext uri="{FF2B5EF4-FFF2-40B4-BE49-F238E27FC236}">
                <a16:creationId xmlns:a16="http://schemas.microsoft.com/office/drawing/2014/main" id="{00000000-0008-0000-1100-000005000000}"/>
              </a:ext>
            </a:extLst>
          </xdr:cNvPr>
          <xdr:cNvSpPr txBox="1"/>
        </xdr:nvSpPr>
        <xdr:spPr>
          <a:xfrm>
            <a:off x="1952926" y="504825"/>
            <a:ext cx="5978772" cy="790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baseline="0">
                <a:solidFill>
                  <a:schemeClr val="tx1"/>
                </a:solidFill>
              </a:rPr>
              <a:t>Sends chosen projects and potential reviewers to MPS Proposal Check, which emails back a COI results spreadsheet. Expect the server to spend a minute per proposal. (Leads bring in collabs automatically.)</a:t>
            </a:r>
          </a:p>
        </xdr:txBody>
      </xdr:sp>
      <xdr:pic macro="[0]!ClearSortAndFilter">
        <xdr:nvPicPr>
          <xdr:cNvPr id="6" name="Picture 5">
            <a:extLst>
              <a:ext uri="{FF2B5EF4-FFF2-40B4-BE49-F238E27FC236}">
                <a16:creationId xmlns:a16="http://schemas.microsoft.com/office/drawing/2014/main" id="{00000000-0008-0000-11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11959" y="8465"/>
            <a:ext cx="871538" cy="1309688"/>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9</xdr:col>
          <xdr:colOff>38100</xdr:colOff>
          <xdr:row>3</xdr:row>
          <xdr:rowOff>76200</xdr:rowOff>
        </xdr:from>
        <xdr:to>
          <xdr:col>10</xdr:col>
          <xdr:colOff>0</xdr:colOff>
          <xdr:row>4</xdr:row>
          <xdr:rowOff>190500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1100-000001F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Send to COI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506186</xdr:colOff>
          <xdr:row>3</xdr:row>
          <xdr:rowOff>87086</xdr:rowOff>
        </xdr:from>
        <xdr:to>
          <xdr:col>10</xdr:col>
          <xdr:colOff>1562100</xdr:colOff>
          <xdr:row>4</xdr:row>
          <xdr:rowOff>201386</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00000000-0008-0000-1100-000002F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Clear Reviewers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1611086</xdr:colOff>
          <xdr:row>3</xdr:row>
          <xdr:rowOff>87086</xdr:rowOff>
        </xdr:from>
        <xdr:to>
          <xdr:col>11</xdr:col>
          <xdr:colOff>1485900</xdr:colOff>
          <xdr:row>4</xdr:row>
          <xdr:rowOff>201386</xdr:rowOff>
        </xdr:to>
        <xdr:sp macro="" textlink="">
          <xdr:nvSpPr>
            <xdr:cNvPr id="63492" name="Button 4" hidden="1">
              <a:extLst>
                <a:ext uri="{63B3BB69-23CF-44E3-9099-C40C66FF867C}">
                  <a14:compatExt spid="_x0000_s63492"/>
                </a:ext>
                <a:ext uri="{FF2B5EF4-FFF2-40B4-BE49-F238E27FC236}">
                  <a16:creationId xmlns:a16="http://schemas.microsoft.com/office/drawing/2014/main" id="{00000000-0008-0000-1100-000004F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List Assigned Reviewers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838200</xdr:colOff>
      <xdr:row>0</xdr:row>
      <xdr:rowOff>161927</xdr:rowOff>
    </xdr:from>
    <xdr:to>
      <xdr:col>3</xdr:col>
      <xdr:colOff>5972175</xdr:colOff>
      <xdr:row>3</xdr:row>
      <xdr:rowOff>28575</xdr:rowOff>
    </xdr:to>
    <xdr:sp macro="" textlink="">
      <xdr:nvSpPr>
        <xdr:cNvPr id="2" name="tabTitle">
          <a:extLst>
            <a:ext uri="{FF2B5EF4-FFF2-40B4-BE49-F238E27FC236}">
              <a16:creationId xmlns:a16="http://schemas.microsoft.com/office/drawing/2014/main" id="{00000000-0008-0000-1200-000002000000}"/>
            </a:ext>
          </a:extLst>
        </xdr:cNvPr>
        <xdr:cNvSpPr txBox="1"/>
      </xdr:nvSpPr>
      <xdr:spPr>
        <a:xfrm>
          <a:off x="1828800" y="161927"/>
          <a:ext cx="6858000" cy="495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chemeClr val="accent4">
                  <a:lumMod val="75000"/>
                </a:schemeClr>
              </a:solidFill>
            </a:rPr>
            <a:t>HELP DOCUMENTATION</a:t>
          </a:r>
          <a:endParaRPr lang="en-US" sz="2800">
            <a:solidFill>
              <a:schemeClr val="accent1"/>
            </a:solidFill>
          </a:endParaRPr>
        </a:p>
      </xdr:txBody>
    </xdr:sp>
    <xdr:clientData/>
  </xdr:twoCellAnchor>
  <xdr:twoCellAnchor editAs="oneCell">
    <xdr:from>
      <xdr:col>0</xdr:col>
      <xdr:colOff>104771</xdr:colOff>
      <xdr:row>0</xdr:row>
      <xdr:rowOff>85722</xdr:rowOff>
    </xdr:from>
    <xdr:to>
      <xdr:col>1</xdr:col>
      <xdr:colOff>619125</xdr:colOff>
      <xdr:row>2</xdr:row>
      <xdr:rowOff>47624</xdr:rowOff>
    </xdr:to>
    <xdr:sp macro="" textlink="">
      <xdr:nvSpPr>
        <xdr:cNvPr id="3" name="Pentagon 2">
          <a:hlinkClick xmlns:r="http://schemas.openxmlformats.org/officeDocument/2006/relationships" r:id="rId1" tooltip="Return to Input"/>
          <a:extLst>
            <a:ext uri="{FF2B5EF4-FFF2-40B4-BE49-F238E27FC236}">
              <a16:creationId xmlns:a16="http://schemas.microsoft.com/office/drawing/2014/main" id="{00000000-0008-0000-1200-000003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clientData/>
  </xdr:twoCellAnchor>
  <xdr:twoCellAnchor editAs="oneCell">
    <xdr:from>
      <xdr:col>2</xdr:col>
      <xdr:colOff>1466852</xdr:colOff>
      <xdr:row>2</xdr:row>
      <xdr:rowOff>200025</xdr:rowOff>
    </xdr:from>
    <xdr:to>
      <xdr:col>3</xdr:col>
      <xdr:colOff>5229227</xdr:colOff>
      <xdr:row>6</xdr:row>
      <xdr:rowOff>47625</xdr:rowOff>
    </xdr:to>
    <xdr:sp macro="" textlink="">
      <xdr:nvSpPr>
        <xdr:cNvPr id="4" name="tabNote">
          <a:extLst>
            <a:ext uri="{FF2B5EF4-FFF2-40B4-BE49-F238E27FC236}">
              <a16:creationId xmlns:a16="http://schemas.microsoft.com/office/drawing/2014/main" id="{00000000-0008-0000-1200-000004000000}"/>
            </a:ext>
          </a:extLst>
        </xdr:cNvPr>
        <xdr:cNvSpPr txBox="1"/>
      </xdr:nvSpPr>
      <xdr:spPr>
        <a:xfrm>
          <a:off x="2981327" y="619125"/>
          <a:ext cx="548640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i="1">
              <a:solidFill>
                <a:schemeClr val="tx1"/>
              </a:solidFill>
            </a:rPr>
            <a:t>Help documentation and use cases</a:t>
          </a:r>
          <a:endParaRPr lang="en-US" sz="1400" i="1" baseline="0">
            <a:solidFill>
              <a:schemeClr val="tx1"/>
            </a:solidFill>
          </a:endParaRPr>
        </a:p>
      </xdr:txBody>
    </xdr:sp>
    <xdr:clientData/>
  </xdr:twoCellAnchor>
  <xdr:twoCellAnchor editAs="oneCell">
    <xdr:from>
      <xdr:col>3</xdr:col>
      <xdr:colOff>5162551</xdr:colOff>
      <xdr:row>0</xdr:row>
      <xdr:rowOff>75052</xdr:rowOff>
    </xdr:from>
    <xdr:to>
      <xdr:col>3</xdr:col>
      <xdr:colOff>6019800</xdr:colOff>
      <xdr:row>6</xdr:row>
      <xdr:rowOff>99841</xdr:rowOff>
    </xdr:to>
    <xdr:pic>
      <xdr:nvPicPr>
        <xdr:cNvPr id="5" name="Picture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01051" y="75052"/>
          <a:ext cx="857249" cy="1282089"/>
        </a:xfrm>
        <a:prstGeom prst="rect">
          <a:avLst/>
        </a:prstGeom>
      </xdr:spPr>
    </xdr:pic>
    <xdr:clientData/>
  </xdr:twoCellAnchor>
  <xdr:twoCellAnchor editAs="oneCell">
    <xdr:from>
      <xdr:col>1</xdr:col>
      <xdr:colOff>209549</xdr:colOff>
      <xdr:row>40</xdr:row>
      <xdr:rowOff>76200</xdr:rowOff>
    </xdr:from>
    <xdr:to>
      <xdr:col>1</xdr:col>
      <xdr:colOff>720314</xdr:colOff>
      <xdr:row>50</xdr:row>
      <xdr:rowOff>180976</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720089" y="13350240"/>
          <a:ext cx="510765" cy="1933576"/>
          <a:chOff x="723899" y="14611350"/>
          <a:chExt cx="510765" cy="2009776"/>
        </a:xfrm>
      </xdr:grpSpPr>
      <xdr:pic>
        <xdr:nvPicPr>
          <xdr:cNvPr id="7" name="Picture 6">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23899" y="15125700"/>
            <a:ext cx="509919" cy="485775"/>
          </a:xfrm>
          <a:prstGeom prst="rect">
            <a:avLst/>
          </a:prstGeom>
        </xdr:spPr>
      </xdr:pic>
      <xdr:pic>
        <xdr:nvPicPr>
          <xdr:cNvPr id="10" name="Picture 9">
            <a:extLst>
              <a:ext uri="{FF2B5EF4-FFF2-40B4-BE49-F238E27FC236}">
                <a16:creationId xmlns:a16="http://schemas.microsoft.com/office/drawing/2014/main" id="{00000000-0008-0000-12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0" y="14611350"/>
            <a:ext cx="452720" cy="441156"/>
          </a:xfrm>
          <a:prstGeom prst="rect">
            <a:avLst/>
          </a:prstGeom>
        </xdr:spPr>
      </xdr:pic>
      <xdr:pic>
        <xdr:nvPicPr>
          <xdr:cNvPr id="11" name="Picture 10">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61999" y="15668625"/>
            <a:ext cx="472665" cy="458465"/>
          </a:xfrm>
          <a:prstGeom prst="rect">
            <a:avLst/>
          </a:prstGeom>
        </xdr:spPr>
      </xdr:pic>
      <xdr:pic>
        <xdr:nvPicPr>
          <xdr:cNvPr id="9" name="Picture 8">
            <a:extLst>
              <a:ext uri="{FF2B5EF4-FFF2-40B4-BE49-F238E27FC236}">
                <a16:creationId xmlns:a16="http://schemas.microsoft.com/office/drawing/2014/main" id="{00000000-0008-0000-12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0576" y="16240126"/>
            <a:ext cx="381000" cy="381000"/>
          </a:xfrm>
          <a:prstGeom prst="rect">
            <a:avLst/>
          </a:prstGeom>
        </xdr:spPr>
      </xdr:pic>
    </xdr:grpSp>
    <xdr:clientData/>
  </xdr:twoCellAnchor>
  <xdr:twoCellAnchor editAs="oneCell">
    <xdr:from>
      <xdr:col>3</xdr:col>
      <xdr:colOff>335859</xdr:colOff>
      <xdr:row>51</xdr:row>
      <xdr:rowOff>188019</xdr:rowOff>
    </xdr:from>
    <xdr:to>
      <xdr:col>3</xdr:col>
      <xdr:colOff>864290</xdr:colOff>
      <xdr:row>54</xdr:row>
      <xdr:rowOff>102294</xdr:rowOff>
    </xdr:to>
    <xdr:pic>
      <xdr:nvPicPr>
        <xdr:cNvPr id="13" name="Picture 12">
          <a:hlinkClick xmlns:r="http://schemas.openxmlformats.org/officeDocument/2006/relationships" r:id="rId7"/>
          <a:extLst>
            <a:ext uri="{FF2B5EF4-FFF2-40B4-BE49-F238E27FC236}">
              <a16:creationId xmlns:a16="http://schemas.microsoft.com/office/drawing/2014/main" id="{00000000-0008-0000-1200-00000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rot="5400000">
          <a:off x="3571875" y="16430628"/>
          <a:ext cx="533400" cy="528431"/>
        </a:xfrm>
        <a:prstGeom prst="rect">
          <a:avLst/>
        </a:prstGeom>
      </xdr:spPr>
    </xdr:pic>
    <xdr:clientData/>
  </xdr:twoCellAnchor>
  <xdr:twoCellAnchor editAs="oneCell">
    <xdr:from>
      <xdr:col>3</xdr:col>
      <xdr:colOff>161925</xdr:colOff>
      <xdr:row>96</xdr:row>
      <xdr:rowOff>114302</xdr:rowOff>
    </xdr:from>
    <xdr:to>
      <xdr:col>3</xdr:col>
      <xdr:colOff>690356</xdr:colOff>
      <xdr:row>99</xdr:row>
      <xdr:rowOff>28577</xdr:rowOff>
    </xdr:to>
    <xdr:pic>
      <xdr:nvPicPr>
        <xdr:cNvPr id="14" name="Picture 13">
          <a:hlinkClick xmlns:r="http://schemas.openxmlformats.org/officeDocument/2006/relationships" r:id="rId7"/>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rot="5400000">
          <a:off x="3397941" y="41931536"/>
          <a:ext cx="533400" cy="528431"/>
        </a:xfrm>
        <a:prstGeom prst="rect">
          <a:avLst/>
        </a:prstGeom>
      </xdr:spPr>
    </xdr:pic>
    <xdr:clientData/>
  </xdr:twoCellAnchor>
  <xdr:twoCellAnchor editAs="oneCell">
    <xdr:from>
      <xdr:col>3</xdr:col>
      <xdr:colOff>1504950</xdr:colOff>
      <xdr:row>113</xdr:row>
      <xdr:rowOff>9530</xdr:rowOff>
    </xdr:from>
    <xdr:to>
      <xdr:col>3</xdr:col>
      <xdr:colOff>2033381</xdr:colOff>
      <xdr:row>115</xdr:row>
      <xdr:rowOff>114305</xdr:rowOff>
    </xdr:to>
    <xdr:pic>
      <xdr:nvPicPr>
        <xdr:cNvPr id="15" name="Picture 14">
          <a:hlinkClick xmlns:r="http://schemas.openxmlformats.org/officeDocument/2006/relationships" r:id="rId7"/>
          <a:extLst>
            <a:ext uri="{FF2B5EF4-FFF2-40B4-BE49-F238E27FC236}">
              <a16:creationId xmlns:a16="http://schemas.microsoft.com/office/drawing/2014/main" id="{00000000-0008-0000-1200-00000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rot="5400000">
          <a:off x="4740966" y="42655439"/>
          <a:ext cx="533400" cy="52843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104771</xdr:colOff>
      <xdr:row>0</xdr:row>
      <xdr:rowOff>0</xdr:rowOff>
    </xdr:from>
    <xdr:to>
      <xdr:col>14</xdr:col>
      <xdr:colOff>442914</xdr:colOff>
      <xdr:row>4</xdr:row>
      <xdr:rowOff>176213</xdr:rowOff>
    </xdr:to>
    <xdr:grpSp>
      <xdr:nvGrpSpPr>
        <xdr:cNvPr id="2" name="Group 1">
          <a:extLst>
            <a:ext uri="{FF2B5EF4-FFF2-40B4-BE49-F238E27FC236}">
              <a16:creationId xmlns:a16="http://schemas.microsoft.com/office/drawing/2014/main" id="{00000000-0008-0000-1300-000002000000}"/>
            </a:ext>
          </a:extLst>
        </xdr:cNvPr>
        <xdr:cNvGrpSpPr>
          <a:grpSpLocks/>
        </xdr:cNvGrpSpPr>
      </xdr:nvGrpSpPr>
      <xdr:grpSpPr>
        <a:xfrm>
          <a:off x="104771" y="0"/>
          <a:ext cx="9797829" cy="1302884"/>
          <a:chOff x="104771" y="0"/>
          <a:chExt cx="9177343" cy="1309688"/>
        </a:xfrm>
      </xdr:grpSpPr>
      <xdr:sp macro="[0]!ClearSortAndFilter" textlink="">
        <xdr:nvSpPr>
          <xdr:cNvPr id="3" name="tabTitle">
            <a:extLst>
              <a:ext uri="{FF2B5EF4-FFF2-40B4-BE49-F238E27FC236}">
                <a16:creationId xmlns:a16="http://schemas.microsoft.com/office/drawing/2014/main" id="{00000000-0008-0000-1300-000003000000}"/>
              </a:ext>
            </a:extLst>
          </xdr:cNvPr>
          <xdr:cNvSpPr txBox="1"/>
        </xdr:nvSpPr>
        <xdr:spPr>
          <a:xfrm>
            <a:off x="1609724" y="9525"/>
            <a:ext cx="703897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FAVORITE SETTINGS</a:t>
            </a:r>
            <a:endParaRPr lang="en-US" sz="2800">
              <a:solidFill>
                <a:schemeClr val="accent1"/>
              </a:solidFill>
            </a:endParaRPr>
          </a:p>
        </xdr:txBody>
      </xdr:sp>
      <xdr:sp macro="[0]!ClearSortAndFilter" textlink="">
        <xdr:nvSpPr>
          <xdr:cNvPr id="4" name="Pentagon 3">
            <a:hlinkClick xmlns:r="http://schemas.openxmlformats.org/officeDocument/2006/relationships" r:id="rId1" tooltip="Return to Input"/>
            <a:extLst>
              <a:ext uri="{FF2B5EF4-FFF2-40B4-BE49-F238E27FC236}">
                <a16:creationId xmlns:a16="http://schemas.microsoft.com/office/drawing/2014/main" id="{00000000-0008-0000-1300-000004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0]!ClearSortAndFilter" textlink="">
        <xdr:nvSpPr>
          <xdr:cNvPr id="5" name="tabNote">
            <a:extLst>
              <a:ext uri="{FF2B5EF4-FFF2-40B4-BE49-F238E27FC236}">
                <a16:creationId xmlns:a16="http://schemas.microsoft.com/office/drawing/2014/main" id="{00000000-0008-0000-1300-000005000000}"/>
              </a:ext>
            </a:extLst>
          </xdr:cNvPr>
          <xdr:cNvSpPr txBox="1"/>
        </xdr:nvSpPr>
        <xdr:spPr>
          <a:xfrm>
            <a:off x="2590800" y="504825"/>
            <a:ext cx="5181600"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Saves parameter and tab refresh settings</a:t>
            </a:r>
          </a:p>
        </xdr:txBody>
      </xdr:sp>
      <xdr:pic macro="[0]!ClearSortAndFilter">
        <xdr:nvPicPr>
          <xdr:cNvPr id="6" name="Picture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10576" y="0"/>
            <a:ext cx="871538" cy="1309688"/>
          </a:xfrm>
          <a:prstGeom prst="rect">
            <a:avLst/>
          </a:prstGeom>
        </xdr:spPr>
      </xdr:pic>
    </xdr:grpSp>
    <xdr:clientData/>
  </xdr:twoCellAnchor>
  <xdr:twoCellAnchor>
    <xdr:from>
      <xdr:col>20</xdr:col>
      <xdr:colOff>38100</xdr:colOff>
      <xdr:row>0</xdr:row>
      <xdr:rowOff>85725</xdr:rowOff>
    </xdr:from>
    <xdr:to>
      <xdr:col>22</xdr:col>
      <xdr:colOff>304800</xdr:colOff>
      <xdr:row>1</xdr:row>
      <xdr:rowOff>123825</xdr:rowOff>
    </xdr:to>
    <xdr:sp macro="" textlink="">
      <xdr:nvSpPr>
        <xdr:cNvPr id="7" name="Pentagon 6">
          <a:hlinkClick xmlns:r="http://schemas.openxmlformats.org/officeDocument/2006/relationships" r:id="rId3"/>
          <a:extLst>
            <a:ext uri="{FF2B5EF4-FFF2-40B4-BE49-F238E27FC236}">
              <a16:creationId xmlns:a16="http://schemas.microsoft.com/office/drawing/2014/main" id="{00000000-0008-0000-1300-000007000000}"/>
            </a:ext>
          </a:extLst>
        </xdr:cNvPr>
        <xdr:cNvSpPr/>
      </xdr:nvSpPr>
      <xdr:spPr>
        <a:xfrm>
          <a:off x="9458325" y="85725"/>
          <a:ext cx="1285875" cy="542925"/>
        </a:xfrm>
        <a:prstGeom prst="homePlate">
          <a:avLst/>
        </a:prstGeom>
        <a:solidFill>
          <a:schemeClr val="accent1"/>
        </a:solidFill>
        <a:ln w="22225">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400" b="1"/>
            <a:t>VIEW</a:t>
          </a:r>
          <a:r>
            <a:rPr lang="en-US" sz="1400" b="1" baseline="0"/>
            <a:t> DASHBOARD</a:t>
          </a:r>
          <a:endParaRPr lang="en-US" sz="1400" b="1"/>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5</xdr:col>
      <xdr:colOff>193195</xdr:colOff>
      <xdr:row>7</xdr:row>
      <xdr:rowOff>5212</xdr:rowOff>
    </xdr:from>
    <xdr:to>
      <xdr:col>6</xdr:col>
      <xdr:colOff>1571266</xdr:colOff>
      <xdr:row>17</xdr:row>
      <xdr:rowOff>6027</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12720" y="386212"/>
          <a:ext cx="2206746" cy="1905815"/>
        </a:xfrm>
        <a:prstGeom prst="rect">
          <a:avLst/>
        </a:prstGeom>
      </xdr:spPr>
    </xdr:pic>
    <xdr:clientData/>
  </xdr:twoCellAnchor>
  <xdr:twoCellAnchor editAs="oneCell">
    <xdr:from>
      <xdr:col>0</xdr:col>
      <xdr:colOff>104771</xdr:colOff>
      <xdr:row>0</xdr:row>
      <xdr:rowOff>0</xdr:rowOff>
    </xdr:from>
    <xdr:to>
      <xdr:col>9</xdr:col>
      <xdr:colOff>242889</xdr:colOff>
      <xdr:row>4</xdr:row>
      <xdr:rowOff>176213</xdr:rowOff>
    </xdr:to>
    <xdr:grpSp>
      <xdr:nvGrpSpPr>
        <xdr:cNvPr id="3" name="Group 2">
          <a:extLst>
            <a:ext uri="{FF2B5EF4-FFF2-40B4-BE49-F238E27FC236}">
              <a16:creationId xmlns:a16="http://schemas.microsoft.com/office/drawing/2014/main" id="{00000000-0008-0000-1400-000003000000}"/>
            </a:ext>
          </a:extLst>
        </xdr:cNvPr>
        <xdr:cNvGrpSpPr>
          <a:grpSpLocks/>
        </xdr:cNvGrpSpPr>
      </xdr:nvGrpSpPr>
      <xdr:grpSpPr>
        <a:xfrm>
          <a:off x="104771" y="0"/>
          <a:ext cx="9426898" cy="1296353"/>
          <a:chOff x="104771" y="0"/>
          <a:chExt cx="9177343" cy="1309688"/>
        </a:xfrm>
      </xdr:grpSpPr>
      <xdr:sp macro="" textlink="">
        <xdr:nvSpPr>
          <xdr:cNvPr id="4" name="tabTitle">
            <a:extLst>
              <a:ext uri="{FF2B5EF4-FFF2-40B4-BE49-F238E27FC236}">
                <a16:creationId xmlns:a16="http://schemas.microsoft.com/office/drawing/2014/main" id="{00000000-0008-0000-1400-000004000000}"/>
              </a:ext>
            </a:extLst>
          </xdr:cNvPr>
          <xdr:cNvSpPr txBox="1"/>
        </xdr:nvSpPr>
        <xdr:spPr>
          <a:xfrm>
            <a:off x="1609724" y="9525"/>
            <a:ext cx="703897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baseline="0">
                <a:solidFill>
                  <a:schemeClr val="accent4">
                    <a:lumMod val="75000"/>
                  </a:schemeClr>
                </a:solidFill>
              </a:rPr>
              <a:t>SETTINGS</a:t>
            </a:r>
            <a:endParaRPr lang="en-US" sz="2800">
              <a:solidFill>
                <a:schemeClr val="accent1"/>
              </a:solidFill>
            </a:endParaRPr>
          </a:p>
        </xdr:txBody>
      </xdr:sp>
      <xdr:sp macro="" textlink="">
        <xdr:nvSpPr>
          <xdr:cNvPr id="5" name="Pentagon 4">
            <a:hlinkClick xmlns:r="http://schemas.openxmlformats.org/officeDocument/2006/relationships" r:id="rId2" tooltip="Return to Input"/>
            <a:extLst>
              <a:ext uri="{FF2B5EF4-FFF2-40B4-BE49-F238E27FC236}">
                <a16:creationId xmlns:a16="http://schemas.microsoft.com/office/drawing/2014/main" id="{00000000-0008-0000-1400-000005000000}"/>
              </a:ext>
            </a:extLst>
          </xdr:cNvPr>
          <xdr:cNvSpPr>
            <a:spLocks noChangeAspect="1"/>
          </xdr:cNvSpPr>
        </xdr:nvSpPr>
        <xdr:spPr>
          <a:xfrm rot="10800000">
            <a:off x="104771" y="85722"/>
            <a:ext cx="1009654" cy="381002"/>
          </a:xfrm>
          <a:prstGeom prst="homePlate">
            <a:avLst/>
          </a:prstGeom>
          <a:gradFill flip="none" rotWithShape="1">
            <a:gsLst>
              <a:gs pos="0">
                <a:schemeClr val="tx2">
                  <a:lumMod val="20000"/>
                  <a:lumOff val="80000"/>
                </a:schemeClr>
              </a:gs>
              <a:gs pos="31000">
                <a:schemeClr val="tx2">
                  <a:lumMod val="40000"/>
                  <a:lumOff val="60000"/>
                </a:schemeClr>
              </a:gs>
              <a:gs pos="60000">
                <a:schemeClr val="tx2">
                  <a:lumMod val="60000"/>
                  <a:lumOff val="40000"/>
                </a:schemeClr>
              </a:gs>
              <a:gs pos="100000">
                <a:schemeClr val="tx2">
                  <a:lumMod val="75000"/>
                </a:schemeClr>
              </a:gs>
            </a:gsLst>
            <a:lin ang="10800000" scaled="1"/>
            <a:tileRect/>
          </a:gradFill>
          <a:ln w="285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cene3d>
              <a:camera prst="orthographicFront">
                <a:rot lat="0" lon="0" rev="10799999"/>
              </a:camera>
              <a:lightRig rig="threePt" dir="t"/>
            </a:scene3d>
          </a:bodyPr>
          <a:lstStyle/>
          <a:p>
            <a:pPr algn="r"/>
            <a:r>
              <a:rPr lang="en-US" sz="1400" b="1">
                <a:solidFill>
                  <a:schemeClr val="bg1"/>
                </a:solidFill>
              </a:rPr>
              <a:t>RETURN</a:t>
            </a:r>
            <a:endParaRPr lang="en-US" sz="1400" b="1" baseline="0">
              <a:solidFill>
                <a:schemeClr val="lt1"/>
              </a:solidFill>
            </a:endParaRPr>
          </a:p>
        </xdr:txBody>
      </xdr:sp>
      <xdr:sp macro="" textlink="">
        <xdr:nvSpPr>
          <xdr:cNvPr id="6" name="tabNote">
            <a:extLst>
              <a:ext uri="{FF2B5EF4-FFF2-40B4-BE49-F238E27FC236}">
                <a16:creationId xmlns:a16="http://schemas.microsoft.com/office/drawing/2014/main" id="{00000000-0008-0000-1400-000006000000}"/>
              </a:ext>
            </a:extLst>
          </xdr:cNvPr>
          <xdr:cNvSpPr txBox="1"/>
        </xdr:nvSpPr>
        <xdr:spPr>
          <a:xfrm>
            <a:off x="2295525" y="504825"/>
            <a:ext cx="5867400"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i="1">
                <a:solidFill>
                  <a:schemeClr val="tx1"/>
                </a:solidFill>
              </a:rPr>
              <a:t>Settings for report server credentials and EPSCoR states</a:t>
            </a:r>
            <a:r>
              <a:rPr lang="en-US" sz="1400" i="1" baseline="0">
                <a:solidFill>
                  <a:schemeClr val="tx1"/>
                </a:solidFill>
              </a:rPr>
              <a:t>.  This sheet is protected to keep pasword masked.</a:t>
            </a:r>
            <a:endParaRPr lang="en-US" sz="1400" i="1">
              <a:solidFill>
                <a:schemeClr val="tx1"/>
              </a:solidFill>
            </a:endParaRPr>
          </a:p>
        </xdr:txBody>
      </xdr:sp>
      <xdr:pic>
        <xdr:nvPicPr>
          <xdr:cNvPr id="7" name="Picture 6">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410576" y="0"/>
            <a:ext cx="871538" cy="1309688"/>
          </a:xfrm>
          <a:prstGeom prst="rect">
            <a:avLst/>
          </a:prstGeom>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ResultsCollec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anels"/>
      <sheetName val="proposals"/>
      <sheetName val="combined"/>
      <sheetName val="summary"/>
      <sheetName val="panelSumm"/>
      <sheetName val="propRank"/>
      <sheetName val="reviews"/>
    </sheetNames>
    <sheetDataSet>
      <sheetData sheetId="0"/>
      <sheetData sheetId="1"/>
      <sheetData sheetId="2"/>
      <sheetData sheetId="3"/>
      <sheetData sheetId="4"/>
      <sheetData sheetId="5"/>
      <sheetData sheetId="6"/>
      <sheetData sheetId="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2724.307260416666" missingItemsLimit="0" createdVersion="5" refreshedVersion="5" minRefreshableVersion="3" recordCount="1">
  <cacheSource type="worksheet">
    <worksheetSource name="ProjTable"/>
  </cacheSource>
  <cacheFields count="41">
    <cacheField name="nsf_rcvd_date" numFmtId="167">
      <sharedItems containsSemiMixedTypes="0" containsNonDate="0" containsDate="1" containsString="0" minDate="2015-11-06T12:10:00" maxDate="2015-11-06T12:10:00" count="1">
        <d v="2015-11-06T12:10:00"/>
      </sharedItems>
    </cacheField>
    <cacheField name="dd_rcom_date" numFmtId="164">
      <sharedItems containsSemiMixedTypes="0" containsNonDate="0" containsDate="1" containsString="0" minDate="2016-04-12T16:31:03" maxDate="2016-04-12T16:31:03"/>
    </cacheField>
    <cacheField name="pgm_annc_id" numFmtId="0">
      <sharedItems count="1">
        <s v="NSF 15-573"/>
      </sharedItems>
    </cacheField>
    <cacheField name="Dir" numFmtId="0">
      <sharedItems count="1">
        <s v="CSE"/>
      </sharedItems>
    </cacheField>
    <cacheField name="org_code" numFmtId="0">
      <sharedItems/>
    </cacheField>
    <cacheField name="origORG" numFmtId="0">
      <sharedItems containsNonDate="0" containsString="0" containsBlank="1"/>
    </cacheField>
    <cacheField name="Pgm" numFmtId="0">
      <sharedItems count="1">
        <s v="7796 - ALGORITHMIC FOUNDATIONS"/>
      </sharedItems>
    </cacheField>
    <cacheField name="origPEC" numFmtId="0">
      <sharedItems/>
    </cacheField>
    <cacheField name="PO" numFmtId="0">
      <sharedItems count="1">
        <s v="JSNOEYI"/>
      </sharedItems>
    </cacheField>
    <cacheField name="obj_clas_code" numFmtId="0">
      <sharedItems count="1">
        <s v="4110"/>
      </sharedItems>
    </cacheField>
    <cacheField name="natr_rqst_abbr" numFmtId="0">
      <sharedItems count="1">
        <s v="NEW"/>
      </sharedItems>
    </cacheField>
    <cacheField name="prop_stts_abbr" numFmtId="0">
      <sharedItems count="1">
        <s v="DECL"/>
      </sharedItems>
    </cacheField>
    <cacheField name="nProp" numFmtId="0">
      <sharedItems containsSemiMixedTypes="0" containsString="0" containsNumber="1" containsInteger="1" minValue="1" maxValue="1"/>
    </cacheField>
    <cacheField name="nPI" numFmtId="0">
      <sharedItems containsSemiMixedTypes="0" containsString="0" containsNumber="1" containsInteger="1" minValue="1" maxValue="1"/>
    </cacheField>
    <cacheField name="nPanl" numFmtId="0">
      <sharedItems containsSemiMixedTypes="0" containsString="0" containsNumber="1" containsInteger="1" minValue="1" maxValue="1"/>
    </cacheField>
    <cacheField name="panl_idmax" numFmtId="0">
      <sharedItems/>
    </cacheField>
    <cacheField name="ILN" numFmtId="0">
      <sharedItems/>
    </cacheField>
    <cacheField name="Div" numFmtId="0">
      <sharedItems count="1">
        <s v="CCF"/>
      </sharedItems>
    </cacheField>
    <cacheField name="prop_id" numFmtId="0">
      <sharedItems/>
    </cacheField>
    <cacheField name="eJ" numFmtId="0">
      <sharedItems/>
    </cacheField>
    <cacheField name="pi_last_name" numFmtId="0">
      <sharedItems/>
    </cacheField>
    <cacheField name="pi_frst_name" numFmtId="0">
      <sharedItems/>
    </cacheField>
    <cacheField name="inst_name" numFmtId="0">
      <sharedItems count="1">
        <s v="William Marsh Rice Univ"/>
      </sharedItems>
    </cacheField>
    <cacheField name="st_code" numFmtId="0">
      <sharedItems/>
    </cacheField>
    <cacheField name="pi_emai_addr" numFmtId="0">
      <sharedItems/>
    </cacheField>
    <cacheField name="pi_id" numFmtId="0">
      <sharedItems/>
    </cacheField>
    <cacheField name="inst_id" numFmtId="165">
      <sharedItems/>
    </cacheField>
    <cacheField name="prop_titl_txt" numFmtId="0">
      <sharedItems/>
    </cacheField>
    <cacheField name="rqst_dol_tot" numFmtId="6">
      <sharedItems containsSemiMixedTypes="0" containsString="0" containsNumber="1" containsInteger="1" minValue="482546" maxValue="482546"/>
    </cacheField>
    <cacheField name="rqst_eff_date" numFmtId="164">
      <sharedItems containsSemiMixedTypes="0" containsNonDate="0" containsDate="1" containsString="0" minDate="2016-05-01T00:00:00" maxDate="2016-05-02T00:00:00"/>
    </cacheField>
    <cacheField name="rqst_mnth_cnt" numFmtId="0">
      <sharedItems containsSemiMixedTypes="0" containsString="0" containsNumber="1" containsInteger="1" minValue="36" maxValue="36"/>
    </cacheField>
    <cacheField name="cntx_stmt_id" numFmtId="0">
      <sharedItems/>
    </cacheField>
    <cacheField name="prop_stts_txt" numFmtId="164">
      <sharedItems/>
    </cacheField>
    <cacheField name="Solicitation" numFmtId="0">
      <sharedItems/>
    </cacheField>
    <cacheField name="Organization" numFmtId="164">
      <sharedItems/>
    </cacheField>
    <cacheField name="obj_clas_name" numFmtId="22">
      <sharedItems count="1">
        <s v="Research Grants-Not Elsewh Cla"/>
      </sharedItems>
    </cacheField>
    <cacheField name="pi_name" numFmtId="22">
      <sharedItems count="1">
        <s v="Goldman, Ronald"/>
      </sharedItems>
    </cacheField>
    <cacheField name="nsf_rcvd_date2" numFmtId="164">
      <sharedItems count="1">
        <s v="11/06/15"/>
      </sharedItems>
    </cacheField>
    <cacheField name="SPCL_CHAR_PDF" numFmtId="22">
      <sharedItems count="1">
        <s v="Text"/>
      </sharedItems>
    </cacheField>
    <cacheField name="nsf_rcvd_date-d" numFmtId="0" formula="INT(nsf_rcvd_date)" databaseField="0"/>
    <cacheField name="PI Name" numFmtId="0" formula="pi_last_name&amp;pi_frst_name" databaseField="0"/>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2724.307267824071" missingItemsLimit="0" createdVersion="5" refreshedVersion="5" minRefreshableVersion="3" recordCount="1">
  <cacheSource type="worksheet">
    <worksheetSource name="AllPIsTable"/>
  </cacheSource>
  <cacheFields count="32">
    <cacheField name="nsf_rcvd_date" numFmtId="167">
      <sharedItems containsSemiMixedTypes="0" containsNonDate="0" containsDate="1" containsString="0" minDate="2015-11-06T12:10:00" maxDate="2015-11-06T12:10:00" count="1">
        <d v="2015-11-06T12:10:00"/>
      </sharedItems>
    </cacheField>
    <cacheField name="dd_rcom_date" numFmtId="164">
      <sharedItems containsSemiMixedTypes="0" containsNonDate="0" containsDate="1" containsString="0" minDate="2016-04-12T16:31:03" maxDate="2016-04-12T16:31:03"/>
    </cacheField>
    <cacheField name="pgm_annc_id" numFmtId="0">
      <sharedItems count="1">
        <s v="NSF 15-573"/>
      </sharedItems>
    </cacheField>
    <cacheField name="Dir" numFmtId="164">
      <sharedItems count="1">
        <s v="CSE"/>
      </sharedItems>
    </cacheField>
    <cacheField name="org_code" numFmtId="0">
      <sharedItems/>
    </cacheField>
    <cacheField name="Pgm" numFmtId="164">
      <sharedItems count="1">
        <s v="7796 - ALGORITHMIC FOUNDATIONS"/>
      </sharedItems>
    </cacheField>
    <cacheField name="PO" numFmtId="164">
      <sharedItems count="1">
        <s v="JSNOEYI"/>
      </sharedItems>
    </cacheField>
    <cacheField name="obj_clas_code" numFmtId="164">
      <sharedItems count="1">
        <s v="4110"/>
      </sharedItems>
    </cacheField>
    <cacheField name="natr_rqst_abbr" numFmtId="164">
      <sharedItems count="1">
        <s v="NEW"/>
      </sharedItems>
    </cacheField>
    <cacheField name="prop_stts_abbr" numFmtId="0">
      <sharedItems count="1">
        <s v="DECL"/>
      </sharedItems>
    </cacheField>
    <cacheField name="0" numFmtId="0">
      <sharedItems containsSemiMixedTypes="0" containsString="0" containsNumber="1" containsInteger="1" minValue="1" maxValue="1"/>
    </cacheField>
    <cacheField name="ILN" numFmtId="164">
      <sharedItems/>
    </cacheField>
    <cacheField name="lead" numFmtId="0">
      <sharedItems/>
    </cacheField>
    <cacheField name="Div" numFmtId="49">
      <sharedItems count="1">
        <s v="CCF"/>
      </sharedItems>
    </cacheField>
    <cacheField name="prop_id" numFmtId="0">
      <sharedItems/>
    </cacheField>
    <cacheField name="eJ" numFmtId="0">
      <sharedItems/>
    </cacheField>
    <cacheField name="prop_titl_txt" numFmtId="49">
      <sharedItems/>
    </cacheField>
    <cacheField name="pers" numFmtId="0">
      <sharedItems count="1">
        <s v=" PI"/>
      </sharedItems>
    </cacheField>
    <cacheField name="pi_last_name" numFmtId="164">
      <sharedItems/>
    </cacheField>
    <cacheField name="pi_name" numFmtId="164">
      <sharedItems count="1">
        <s v="Goldman, Ronald"/>
      </sharedItems>
    </cacheField>
    <cacheField name="pi_frst_name" numFmtId="0">
      <sharedItems/>
    </cacheField>
    <cacheField name="inst_name" numFmtId="0">
      <sharedItems count="1">
        <s v="William Marsh Rice Univ"/>
      </sharedItems>
    </cacheField>
    <cacheField name="pi_gend_code" numFmtId="0">
      <sharedItems/>
    </cacheField>
    <cacheField name="pi_emai_addr" numFmtId="0">
      <sharedItems/>
    </cacheField>
    <cacheField name="pi_dept_name" numFmtId="0">
      <sharedItems/>
    </cacheField>
    <cacheField name="inst_id" numFmtId="0">
      <sharedItems/>
    </cacheField>
    <cacheField name="pi_id" numFmtId="0">
      <sharedItems/>
    </cacheField>
    <cacheField name="rqst_dol" numFmtId="6">
      <sharedItems containsSemiMixedTypes="0" containsString="0" containsNumber="1" containsInteger="1" minValue="482546" maxValue="482546"/>
    </cacheField>
    <cacheField name="rqst_mnth_cnt" numFmtId="38">
      <sharedItems containsSemiMixedTypes="0" containsString="0" containsNumber="1" containsInteger="1" minValue="36" maxValue="36"/>
    </cacheField>
    <cacheField name="rqst_eff_date" numFmtId="164">
      <sharedItems containsSemiMixedTypes="0" containsNonDate="0" containsDate="1" containsString="0" minDate="2016-05-01T00:00:00" maxDate="2016-05-02T00:00:00"/>
    </cacheField>
    <cacheField name="st_code" numFmtId="164">
      <sharedItems/>
    </cacheField>
    <cacheField name="epscor?" numFmtId="22">
      <sharedItems/>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Jack Snoeyink" refreshedDate="42724.307274189814" createdVersion="5" refreshedVersion="5" minRefreshableVersion="3" recordCount="1">
  <cacheSource type="worksheet">
    <worksheetSource name="ProposalTable"/>
  </cacheSource>
  <cacheFields count="33">
    <cacheField name="nsf_rcvd_date" numFmtId="167">
      <sharedItems containsSemiMixedTypes="0" containsNonDate="0" containsDate="1" containsString="0" minDate="2015-11-06T12:10:00" maxDate="2015-11-06T12:10:00" count="1">
        <d v="2015-11-06T12:10:00"/>
      </sharedItems>
    </cacheField>
    <cacheField name="dd_rcom_date" numFmtId="164">
      <sharedItems containsSemiMixedTypes="0" containsNonDate="0" containsDate="1" containsString="0" minDate="2016-04-12T16:31:03" maxDate="2016-04-12T16:31:03"/>
    </cacheField>
    <cacheField name="pgm_annc_id" numFmtId="0">
      <sharedItems count="59">
        <s v="NSF 15-573"/>
        <s v="" u="1"/>
        <s v="NSF 16-555" u="1"/>
        <s v="NSF 11-691" u="1"/>
        <s v="PD 17-8092" u="1"/>
        <s v="NSF 14-603" u="1"/>
        <s v="NSF 16-599" u="1"/>
        <s v="NSF 10-546" u="1"/>
        <s v="NSF 12-605" u="1"/>
        <s v="PD 13-7644" u="1"/>
        <s v="NSF 15-604" u="1"/>
        <s v="NSF 16-515" u="1"/>
        <s v="PD 16-8092" u="1"/>
        <s v="NSF 13-546" u="1"/>
        <s v="NSF 15-545" u="1"/>
        <s v="PD 16-1407" u="1"/>
        <s v="PD 16-1788" u="1"/>
        <s v="PD 16-5345" u="1"/>
        <s v="NSF 15-605" u="1"/>
        <s v="PD 10-1762" u="1"/>
        <s v="NSF 11-577" u="1"/>
        <s v="PD 10-1467" u="1"/>
        <s v="NSF 13-547" u="1"/>
        <s v="NSF 15-546" u="1"/>
        <s v="NSF 12-548" u="1"/>
        <s v="PD 16-1440" u="1"/>
        <s v="PD 12-8086" u="1"/>
        <s v="PD 15-1630" u="1"/>
        <s v="NSF 14-608" u="1"/>
        <s v="NSF 12-581" u="1"/>
        <s v="NSF 15-608" u="1"/>
        <s v="NSF 14-579" u="1"/>
        <s v="NSF 16-578" u="1"/>
        <s v="NSF 16-580" u="1"/>
        <s v="NSF 15-536" u="1"/>
        <s v="PD 09-6884" u="1"/>
        <s v="NSF 16-565" u="1"/>
        <s v="PD 16-1443" u="1"/>
        <s v="NSF 16-1" u="1"/>
        <s v="PD 10-1635" u="1"/>
        <s v="PD 13-8092" u="1"/>
        <s v="NSF 16-579" u="1"/>
        <s v="PD 16-7644" u="1"/>
        <s v="NSF 16-581" u="1"/>
        <s v="PD 16-1401" u="1"/>
        <s v="NSF 14-540" u="1"/>
        <s v="NSF 16-524" u="1"/>
        <s v="NSF 10-572" u="1"/>
        <s v="NSF 14-539" u="1"/>
        <s v="NSF 13-598" u="1"/>
        <s v="NSF 16-554" u="1"/>
        <s v="NSF 11-690" u="1"/>
        <s v="NSF 13-542" u="1"/>
        <s v="NSF 16-600" u="1"/>
        <s v="PD 16-1403" u="1"/>
        <s v="NSF 15-555" u="1"/>
        <s v="PD 16-1417" u="1"/>
        <s v="NSF 13-599" u="1"/>
        <s v="PD 16-1271" u="1"/>
      </sharedItems>
    </cacheField>
    <cacheField name="Dir" numFmtId="164">
      <sharedItems count="7">
        <s v="CSE"/>
        <s v="EHR" u="1"/>
        <s v="BIO" u="1"/>
        <s v="GEO" u="1"/>
        <s v="SBE" u="1"/>
        <s v="MPS" u="1"/>
        <s v="ENG" u="1"/>
      </sharedItems>
    </cacheField>
    <cacheField name="org_code" numFmtId="0">
      <sharedItems/>
    </cacheField>
    <cacheField name="Pgm" numFmtId="164">
      <sharedItems count="175">
        <s v="7796 - ALGORITHMIC FOUNDATIONS"/>
        <s v="1610 - PHYSICAL OCEANOGRAPHY" u="1"/>
        <s v="1630 - Mechanics of Materials and Str" u="1"/>
        <s v="7377 - EVOLUTIONARY ECOLOGY" u="1"/>
        <s v="7918 - CYBER-PHYSICAL SYSTEMS (CPS)" u="1"/>
        <s v="1331 - SOCIOLOGY" u="1"/>
        <s v="7946 - BIO COMPUTING" u="1"/>
        <s v="7378 - EVOLUTIONARY GENETICS" u="1"/>
        <s v="1650 - BIOLOGICAL OCEANOGRAPHY" u="1"/>
        <s v="6881 - Theory, Models, Comput. Method" u="1"/>
        <s v="7236 - BIOPHOTONICS, IMAGING &amp;SENSING" u="1"/>
        <s v="5280 - ARCTIC NATURAL SCIENCES" u="1"/>
        <s v="5373 - SMALL BUSINESS PHASE II" u="1"/>
        <s v="7626 - SCIENCE OF SCIENCE POLICY" u="1"/>
        <s v="1401 - CATALYSIS AND BIOCATALYSIS" u="1"/>
        <s v="7396 - NEES RESEARCH" u="1"/>
        <s v="006Y - Service, Manufacturing, and Op" u="1"/>
        <s v="1263 - PROBABILITY" u="1"/>
        <s v="1391 - ARCHAEOLOGY" u="1"/>
        <s v="022Y - Track 3 INFEWS" u="1"/>
        <s v="1698 - DS - Developmental Sciences" u="1"/>
        <s v="7569 - Dynamics, Control and System D" u="1"/>
        <s v="6884 - Chemical Catalysis" u="1"/>
        <s v="5740 - CLIMATE &amp; LARGE-SCALE DYNAMICS" u="1"/>
        <s v="8292 - DMREF" u="1"/>
        <s v="7909 - NANO-BIOSENSING" u="1"/>
        <s v="1407 - COMBUSTION, FIRE, &amp; PLASMA SYS" u="1"/>
        <s v="7281 - QIS - Quantum Information Scie" u="1"/>
        <s v="1332 - SOCIAL PSYCHOLOGY" u="1"/>
        <s v="1670 - CHEMICAL OCEANOGRAPHY" u="1"/>
        <s v="014Y - Engineering for Natural Hazard" u="1"/>
        <s v="7970 - Combinatorics" u="1"/>
        <s v="7659 - ANIMAL BEHAVIOR" u="1"/>
        <s v="1530 - PALEOCLIMATE PROGRAM" u="1"/>
        <s v="1241 - AMO Experiment/Atomic, Molecul" u="1"/>
        <s v="7259 - AISL" u="1"/>
        <s v="1591 - STTR PHASE II" u="1"/>
        <s v="1523 - SOLAR-TERRESTRIAL" u="1"/>
        <s v="7607 - ENERGY,POWER,ADAPTIVE SYS" u="1"/>
        <s v="6885 - Macromolec/Supramolec/Nano" u="1"/>
        <s v="7623 - BIOMATERIALS PROGRAM" u="1"/>
        <s v="1631 - CIVIL INFRASTRUCTURE SYSTEMS" u="1"/>
        <s v="7931 - COMPUTATIONAL BIOLOGY" u="1"/>
        <s v="1403 - PROCESS &amp; REACTION ENGINEERING" u="1"/>
        <s v="6882 - Environmental Chemical Science" u="1"/>
        <s v="8020 - Cyberlearn &amp; Future Learn Tech" u="1"/>
        <s v="5342 - Gen &amp; Age Rel Disabilities Eng" u="1"/>
        <s v="5345 - BIOMEDICAL ENGINEERING" u="1"/>
        <s v="7351 - THEORETICAL FOUNDATIONS (TF)" u="1"/>
        <s v="1321 - DECISION RISK &amp; MANAGEMENT SCI" u="1"/>
        <s v="1242 - PLASMA PHYSICS" u="1"/>
        <s v="5116 - ANTARCTIC GLACIOLOGY" u="1"/>
        <s v="5371 - SMALL BUSINESS PHASE I" u="1"/>
        <s v="1579 - HYDROLOGIC SCIENCES" u="1"/>
        <s v="7495 - ROBUST INTELLIGENCE" u="1"/>
        <s v="5750 - MAGNETOSPHERIC PHYSICS" u="1"/>
        <s v="7645 - DISCOVERY RESEARCH K-12" u="1"/>
        <s v="023Y - Track 4 INFEWS" u="1"/>
        <s v="1285 - NUCLEAR THEORY" u="1"/>
        <s v="7479 - Biomechanics &amp; Mechanobiology" u="1"/>
        <s v="7797 - COMM &amp; INFORMATION FOUNDATIONS" u="1"/>
        <s v="7712 - ORGANIZATION" u="1"/>
        <s v="8085 - Systems Science (SYS)" u="1"/>
        <s v="1573 - PETROLOGY AND GEOCHEMISTRY" u="1"/>
        <s v="1525 - PHYSICAL &amp; DYNAMIC METEOROLOGY" u="1"/>
        <s v="1524 - ATMOSPHERIC CHEMISTRY" u="1"/>
        <s v="1320 - ECONOMICS" u="1"/>
        <s v="1417 - CHEMICAL &amp; BIOLOGICAL SEPAR" u="1"/>
        <s v="7798 - SOFTWARE &amp; HARDWARE FOUNDATION" u="1"/>
        <s v="1265 - GEOMETRIC ANALYSIS" u="1"/>
        <s v="1045 - CAREER: FACULTY EARLY CAR DEV" u="1"/>
        <s v="6880 - Chemical Measurement &amp; Imaging" u="1"/>
        <s v="1311 - LINGUISTICS" u="1"/>
        <s v="1775 - ELECTRONIC/PHOTONIC MATERIALS" u="1"/>
        <s v="1179 - Enviro Health &amp; Safety of Nano" u="1"/>
        <s v="1998 - IUSE" u="1"/>
        <s v="1638 - INFRAST MGMT &amp; EXTREME EVENTS" u="1"/>
        <s v="1165 - ADVANCES IN BIO INFORMATICS" u="1"/>
        <s v="1765 - CONDENSED MATTER &amp; MAT THEORY" u="1"/>
        <s v="1198 - Biodiversity: Discov &amp;Analysis" u="1"/>
        <s v="1773 - POLYMERS" u="1"/>
        <s v="1112 - Genetic Mechanisms" u="1"/>
        <s v="1392 - Biological Anthropology" u="1"/>
        <s v="7252 - PERCEPTION, ACTION &amp; COGNITION" u="1"/>
        <s v="1221 - ELEMENTARY PARTICLE ACCEL USER" u="1"/>
        <s v="1574 - GEOPHYSICS" u="1"/>
        <s v="8092 - Materials Eng. &amp; Processing" u="1"/>
        <s v="7713 - ACTIVATION" u="1"/>
        <s v="6883 - Chemistry of Life Processes" u="1"/>
        <s v="1080 - EVOLUTION OF DEVELOP MECHANISM" u="1"/>
        <s v="1284 - AMO Theory/Atomic, Molecular &amp;" u="1"/>
        <s v="1491 - BIOTECH, BIOCHEM &amp; BIOMASS ENG" u="1"/>
        <s v="1269 - STATISTICS" u="1"/>
        <s v="7367 - Cyber-Human Systems (CHS)" u="1"/>
        <s v="5219 - ARCTIC SYSTEM SCIENCE PROGRAM" u="1"/>
        <s v="1415 - PARTICULATE &amp;MULTIPHASE PROCES" u="1"/>
        <s v="7657 - Integrative Ecologi Physiology" u="1"/>
        <s v="7243 - Accelerator Science" u="1"/>
        <s v="7795 - TRUSTWORTHY COMPUTING" u="1"/>
        <s v="7644 - ENERGY FOR SUSTAINABILITY" u="1"/>
        <s v="1620 - MARINE GEOLOGY AND GEOPHYSICS" u="1"/>
        <s v="9102 - Chem Struct,Dynmcs&amp;Mechansms B" u="1"/>
        <s v="1267 - TOPOLOGY" u="1"/>
        <s v="1710 - CONDENSED MATTER PHYSICS" u="1"/>
        <s v="1744 - TRIBAL COLLEGE &amp; UNIVERS PROGR" u="1"/>
        <s v="1171 - PHYLOGENETIC SYSTEMATICS" u="1"/>
        <s v="1243 - GRAVITATIONAL EXPERIMENTS" u="1"/>
        <s v="1119 - ANIMAL DEVELOPMENTAL MECHANSMS" u="1"/>
        <s v="7980 - Core R&amp;D Programs" u="1"/>
        <s v="1114 - Cellular Dynamics and Function" u="1"/>
        <s v="7295 - GEOBIOLOGY &amp; LOW TEMP GEOCHEM" u="1"/>
        <s v="1771 - METAL &amp; METALLIC NANOSTRUCTURE" u="1"/>
        <s v="7459 - SEDIMENTARY GEO &amp; PALEOBIOLOGY" u="1"/>
        <s v="1340 - ENGINEERING EDUCATION" u="1"/>
        <s v="8060 - Secure &amp;Trustworthy Cyberspace" u="1"/>
        <s v="9101 - Chem Struct,Dynmcs&amp;Mechansms A" u="1"/>
        <s v="7714 - MODULATION" u="1"/>
        <s v="7603 - SCIENCE, TECH &amp; SOCIETY" u="1"/>
        <s v="026Y - CRII CISE Research Initiation" u="1"/>
        <s v="1468 - Manufacturing Machines &amp; Equip" u="1"/>
        <s v="1699 - COGNEURO" u="1"/>
        <s v="1288 - Particle Astrophysics &amp; Cosmol" u="1"/>
        <s v="1372 - LAW AND SOCIAL SCIENCES" u="1"/>
        <s v="1233 - NUCLEAR STRUCTURE &amp; REACTIONS" u="1"/>
        <s v="1181 - ECOSYSTEM STUDIES" u="1"/>
        <s v="8011 - Systems and Synthetic Biology" u="1"/>
        <s v="1268 - FOUNDATIONS" u="1"/>
        <s v="020Y - Track 1 INFEWS" u="1"/>
        <s v="1443 - FLUID DYNAMICS" u="1"/>
        <s v="7239 - Algorithms in the Field" u="1"/>
        <s v="7246 - PHYSICS OF LIVING SYSTEMS" u="1"/>
        <s v="1464 - ENGINEERING DESIGN AND INNOVAT" u="1"/>
        <s v="8031 - Science of Organizations" u="1"/>
        <s v="7564 - COMMS, CIRCUITS &amp; SENS SYS" u="1"/>
        <s v="7680 - ENG DIVERSITY ACTIVITIES" u="1"/>
        <s v="1635 - STRUCTURAL MATERIALS AND MECH" u="1"/>
        <s v="1333 - METHOD, MEASURE &amp; STATS" u="1"/>
        <s v="1329 - PLANT GENOME RESEARCH PROJECT" u="1"/>
        <s v="1118 - PLANT FUNGAL &amp; MICROB DEV MECH" u="1"/>
        <s v="1762 - SOLID STATE &amp; MATERIALS CHEMIS" u="1"/>
        <s v="1371 - POLITICAL SCIENCE" u="1"/>
        <s v="1788 - NANOMANUFACTURING" u="1"/>
        <s v="1406 - THERMAL TRANSPORT PROCESSES" u="1"/>
        <s v="1286 - Elem. Particle Physics/Theory" u="1"/>
        <s v="1352 - GEOGRAPHY AND SPATIAL SCIENCES" u="1"/>
        <s v="1705 - BIOLOGY &amp; INFORMATION TECHNOLO" u="1"/>
        <s v="1144 - Molecular Biophysics" u="1"/>
        <s v="7656 - SYMBIOSIS DEF &amp; SELF RECOG" u="1"/>
        <s v="1643 - Particle Astrophysics/Cosmic P" u="1"/>
        <s v="7227 - ITEST" u="1"/>
        <s v="1774 - CERAMICS" u="1"/>
        <s v="1572 - TECTONICS" u="1"/>
        <s v="1637 - Structural and Architectural E" u="1"/>
        <s v="8086 - Design of Eng Materials (DEMS)" u="1"/>
        <s v="8084 - CDS&amp;E" u="1"/>
        <s v="1521 - AERONOMY" u="1"/>
        <s v="7643 - ENVIRONMENTAL SUSTAINABILITY" u="1"/>
        <s v="1281 - ANALYSIS PROGRAM" u="1"/>
        <s v="1182 - POP &amp; COMMUNITY ECOL PROG" u="1"/>
        <s v="1440 - ENVIRONMENTAL ENGINEERING" u="1"/>
        <s v="7458 - GEOMORPHOLOGY &amp; LAND USE DYNAM" u="1"/>
        <s v="6878 - Chemical Synthesis" u="1"/>
        <s v="1390 - CULTURAL ANTHROPOLOGY" u="1"/>
        <s v="021Y - Track 2 INFEWS" u="1"/>
        <s v="7658 - Physiolg Mechansms&amp;Biomechancs" u="1"/>
        <s v="7363 - RES IN NETWORKING TECH &amp; SYS" u="1"/>
        <s v="1517 - ELECT, PHOTONICS, &amp; MAG DEVICE" u="1"/>
        <s v="1505 - STTR PHASE I" u="1"/>
        <s v="7334 - MATHEMATICAL BIOLOGY" u="1"/>
        <s v="1636 - Geotechnical Engineering and M" u="1"/>
        <s v="7364 - INFO INTEGRATION &amp; INFORMATICS" u="1"/>
        <s v="7354 - COMPUTER SYSTEMS" u="1"/>
        <s v="1266 - APPLIED MATHEMATICS" u="1"/>
        <s v="1271 - COMPUTATIONAL MATHEMATICS" u="1"/>
        <s v="1264 - ALGEBRA,NUMBER THEORY,AND COM" u="1"/>
      </sharedItems>
    </cacheField>
    <cacheField name="PO" numFmtId="164">
      <sharedItems count="308">
        <s v="JSNOEYI"/>
        <s v="" u="1"/>
        <s v="JENLIN" u="1"/>
        <s v="MTONEY" u="1"/>
        <s v="DMSMITH" u="1"/>
        <s v="JCOZZEN" u="1"/>
        <s v="SSCHEIN" u="1"/>
        <s v="TBURBEY" u="1"/>
        <s v="MDUBEY" u="1"/>
        <s v="MIFORD" u="1"/>
        <s v="VLUKIN" u="1"/>
        <s v="ADPOLLI" u="1"/>
        <s v="DPAVLID" u="1"/>
        <s v="JAKKARA" u="1"/>
        <s v="MBUSHEY" u="1"/>
        <s v="SESPERA" u="1"/>
        <s v="TKORELS" u="1"/>
        <s v="JLISY" u="1"/>
        <s v="RGHOSE" u="1"/>
        <s v="EITSWEI" u="1"/>
        <s v="CFOSS" u="1"/>
        <s v="RCLEM" u="1"/>
        <s v="MTIVEY" u="1"/>
        <s v="ABANERJ" u="1"/>
        <s v="MELEKON" u="1"/>
        <s v="TTORGER" u="1"/>
        <s v="WBAUCHS" u="1"/>
        <s v="MGRIMM" u="1"/>
        <s v="ETHIELS" u="1"/>
        <s v="IROUSSE" u="1"/>
        <s v="LRISSLE" u="1"/>
        <s v="RJOSLIN" u="1"/>
        <s v="SREMOLD" u="1"/>
        <s v="CSTARK" u="1"/>
        <s v="PEMBID" u="1"/>
        <s v="BSCHRAG" u="1"/>
        <s v="SKONSEK" u="1"/>
        <s v="SSPENGL" u="1"/>
        <s v="JLAGE" u="1"/>
        <s v="GLANGST" u="1"/>
        <s v="JPALAIS" u="1"/>
        <s v="LGOLDBE" u="1"/>
        <s v="DCORMAN" u="1"/>
        <s v="JSCHADE" u="1"/>
        <s v="TMOUNTZ" u="1"/>
        <s v="WFRANCI" u="1"/>
        <s v="CREAD" u="1"/>
        <s v="JWADE" u="1"/>
        <s v="ABAMZAI" u="1"/>
        <s v="TPATTEN" u="1"/>
        <s v="MKANE" u="1"/>
        <s v="JKOZYRA" u="1"/>
        <s v="KBLAGOE" u="1"/>
        <s v="SBRECKL" u="1"/>
        <s v="KMOLOY" u="1"/>
        <s v="JCALLEN" u="1"/>
        <s v="JFRENCH" u="1"/>
        <s v="ROCHSEN" u="1"/>
        <s v="UVARSHN" u="1"/>
        <s v="MFUNK" u="1"/>
        <s v="DSHANDS" u="1"/>
        <s v="RREICHL" u="1"/>
        <s v="SRAGHAV" u="1"/>
        <s v="MHORN" u="1"/>
        <s v="MNAIR" u="1"/>
        <s v="VROYTBU" u="1"/>
        <s v="TLI" u="1"/>
        <s v="SHONG" u="1"/>
        <s v="GAKLUTK" u="1"/>
        <s v="JWROBEL" u="1"/>
        <s v="RMUTHAR" u="1"/>
        <s v="SSCHMID" u="1"/>
        <s v="KKING" u="1"/>
        <s v="SABASU" u="1"/>
        <s v="WBAINBR" u="1"/>
        <s v="DHESS" u="1"/>
        <s v="JWHITMO" u="1"/>
        <s v="MCAVAGN" u="1"/>
        <s v="LBATTLE" u="1"/>
        <s v="NANZHAN" u="1"/>
        <s v="MGONZAL" u="1"/>
        <s v="WLOU" u="1"/>
        <s v="HHAPKE" u="1"/>
        <s v="DCAMPBE" u="1"/>
        <s v="RRTHOMP" u="1"/>
        <s v="TKIMBRE" u="1"/>
        <s v="CMAJOR" u="1"/>
        <s v="DFOUNTA" u="1"/>
        <s v="DLFISHE" u="1"/>
        <s v="LHALVER" u="1"/>
        <s v="LJAMESO" u="1"/>
        <s v="RMALAK" u="1"/>
        <s v="VPIOTRO" u="1"/>
        <s v="WBEGGLE" u="1"/>
        <s v="WWISEMA" u="1"/>
        <s v="JSHANK" u="1"/>
        <s v="JBOSSAR" u="1"/>
        <s v="SNARUMA" u="1"/>
        <s v="WMILLER" u="1"/>
        <s v="DRICKEY" u="1"/>
        <s v="EZUBARE" u="1"/>
        <s v="JPESCE" u="1"/>
        <s v="DASPILL" u="1"/>
        <s v="DWINSLO" u="1"/>
        <s v="MZEMANK" u="1"/>
        <s v="CLU" u="1"/>
        <s v="ADOWLIN" u="1"/>
        <s v="IFORSET" u="1"/>
        <s v="JVERSTR" u="1"/>
        <s v="KHAMMON" u="1"/>
        <s v="BMIHAIL" u="1"/>
        <s v="DDAGENA" u="1"/>
        <s v="EBALABA" u="1"/>
        <s v="JLOPEZF" u="1"/>
        <s v="WEGRAHA" u="1"/>
        <s v="BHAMILT" u="1"/>
        <s v="YHSUAN" u="1"/>
        <s v="ACRONIN" u="1"/>
        <s v="BKITCHE" u="1"/>
        <s v="FSLOANE" u="1"/>
        <s v="RIBROWN" u="1"/>
        <s v="SRYCHNO" u="1"/>
        <s v="EDOUGLA" u="1"/>
        <s v="BTULLER" u="1"/>
        <s v="CCLIFTO" u="1"/>
        <s v="FSRIENC" u="1"/>
        <s v="RSHAH" u="1"/>
        <s v="TIVEY" u="1"/>
        <s v="RMEHTA" u="1"/>
        <s v="KHCOOPE" u="1"/>
        <s v="PMCCART" u="1"/>
        <s v="ASIMONI" u="1"/>
        <s v="DMCKNIG" u="1"/>
        <s v="LESTERO" u="1"/>
        <s v="MVONHOL" u="1"/>
        <s v="TGOOD" u="1"/>
        <s v="MBASU" u="1"/>
        <s v="FVILAS" u="1"/>
        <s v="JLELAND" u="1"/>
        <s v="MFALLAH" u="1"/>
        <s v="MMCCLUR" u="1"/>
        <s v="SPRASAD" u="1"/>
        <s v="KCOOK" u="1"/>
        <s v="KMINOR" u="1"/>
        <s v="CARRING" u="1"/>
        <s v="MRUFFIN" u="1"/>
        <s v="TPASKOV" u="1"/>
        <s v="NAMLA" u="1"/>
        <s v="ESERPER" u="1"/>
        <s v="JWJONES" u="1"/>
        <s v="STAMCHA" u="1"/>
        <s v="CASJOHN" u="1"/>
        <s v="EGOLDFI" u="1"/>
        <s v="DLEE" u="1"/>
        <s v="JPAUSCH" u="1"/>
        <s v="YSOLIHI" u="1"/>
        <s v="PATHERT" u="1"/>
        <s v="SEDGERT" u="1"/>
        <s v="TDURAKI" u="1"/>
        <s v="WJCOOPE" u="1"/>
        <s v="CNUFIO" u="1"/>
        <s v="SKLEIN" u="1"/>
        <s v="FBMOORE" u="1"/>
        <s v="SSANTOS" u="1"/>
        <s v="AUOLIVA" u="1"/>
        <s v="DSMOORE" u="1"/>
        <s v="MLANGEL" u="1"/>
        <s v="NOSAVAG" u="1"/>
        <s v="RFERREL" u="1"/>
        <s v="TSCHNEI" u="1"/>
        <s v="CPEA" u="1"/>
        <s v="JBERG" u="1"/>
        <s v="EMARTIN" u="1"/>
        <s v="JHADDOC" u="1"/>
        <s v="JSORIAN" u="1"/>
        <s v="KPETERS" u="1"/>
        <s v="RWACHTE" u="1"/>
        <s v="TNANDAG" u="1"/>
        <s v="KSCHAFE" u="1"/>
        <s v="LKAPLAN" u="1"/>
        <s v="LHE" u="1"/>
        <s v="EABED" u="1"/>
        <s v="EBLOOD" u="1"/>
        <s v="KCCONE" u="1"/>
        <s v="LASTIZ" u="1"/>
        <s v="AKLIRON" u="1"/>
        <s v="ALUEKIN" u="1"/>
        <s v="NELMASR" u="1"/>
        <s v="PBECRAF" u="1"/>
        <s v="PSESHAI" u="1"/>
        <s v="RESIMMO" u="1"/>
        <s v="DGARRIS" u="1"/>
        <s v="CXIAO" u="1"/>
        <s v="KWHANG" u="1"/>
        <s v="EGLINER" u="1"/>
        <s v="MSTIEGL" u="1"/>
        <s v="TBAERWA" u="1"/>
        <s v="AMUSHEG" u="1"/>
        <s v="GSZEKEL" u="1"/>
        <s v="KMOELLE" u="1"/>
        <s v="SCLOUSE" u="1"/>
        <s v="KCRANK" u="1"/>
        <s v="BRANSOM" u="1"/>
        <s v="CHACUNN" u="1"/>
        <s v="DROCKCL" u="1"/>
        <s v="MBUECHN" u="1"/>
        <s v="RBUCKMI" u="1"/>
        <s v="ROCONNO" u="1"/>
        <s v="ECARRIN" u="1"/>
        <s v="HEDMOND" u="1"/>
        <s v="WWONG" u="1"/>
        <s v="HXU" u="1"/>
        <s v="ALEWIS" u="1"/>
        <s v="GHAZELR" u="1"/>
        <s v="YOUYANG" u="1"/>
        <s v="DVERARD" u="1"/>
        <s v="JAMOORE" u="1"/>
        <s v="JYELLEN" u="1"/>
        <s v="TBARTOS" u="1"/>
        <s v="JKANIAB" u="1"/>
        <s v="SKIESLE" u="1"/>
        <s v="JCARO" u="1"/>
        <s v="JHUAN" u="1"/>
        <s v="SKHAN" u="1"/>
        <s v="SKONG" u="1"/>
        <s v="WZAMER" u="1"/>
        <s v="BKALYAN" u="1"/>
        <s v="MMISHKI" u="1"/>
        <s v="RMCCABE" u="1"/>
        <s v="TNOKKEN" u="1"/>
        <s v="CEAVEY" u="1"/>
        <s v="ACHTCHE" u="1"/>
        <s v="RRUCHTI" u="1"/>
        <s v="DBHAYA" u="1"/>
        <s v="LCHASE" u="1"/>
        <s v="MDOUGLA" u="1"/>
        <s v="NLUTZ" u="1"/>
        <s v="SNAIK" u="1"/>
        <s v="GRORRER" u="1"/>
        <s v="MHURWIT" u="1"/>
        <s v="PMARRON" u="1"/>
        <s v="SBARCLA" u="1"/>
        <s v="SHARLAN" u="1"/>
        <s v="JWANG" u="1"/>
        <s v="JMALING" u="1"/>
        <s v="MSTEUER" u="1"/>
        <s v="WOLBRIC" u="1"/>
        <s v="YZENG" u="1"/>
        <s v="ANWINKL" u="1"/>
        <s v="JLAWREN" u="1"/>
        <s v="SNCLARK" u="1"/>
        <s v="AISHAI" u="1"/>
        <s v="CCHANG" u="1"/>
        <s v="PBALAN" u="1"/>
        <s v="AKELKAR" u="1"/>
        <s v="CSTMARY" u="1"/>
        <s v="EWALKER" u="1"/>
        <s v="RBAHETI" u="1"/>
        <s v="JYANG" u="1"/>
        <s v="TAOLI" u="1"/>
        <s v="AOPPER" u="1"/>
        <s v="BSCHWEN" u="1"/>
        <s v="DFARKAS" u="1"/>
        <s v="JOWALKE" u="1"/>
        <s v="RSHUMAN" u="1"/>
        <s v="CVALLEJ" u="1"/>
        <s v="GPRENTI" u="1"/>
        <s v="LBILLIN" u="1"/>
        <s v="MZAGHLO" u="1"/>
        <s v="NANDERS" u="1"/>
        <s v="DLANGEN" u="1"/>
        <s v="EZANZER" u="1"/>
        <s v="ALOVING" u="1"/>
        <s v="GJANINI" u="1"/>
        <s v="GLARSEN" u="1"/>
        <s v="KDITTMA" u="1"/>
        <s v="MDEUTSC" u="1"/>
        <s v="JSKOG" u="1"/>
        <s v="TKUECH" u="1"/>
        <s v="AGGARZA" u="1"/>
        <s v="JWELLER" u="1"/>
        <s v="LMADSEN" u="1"/>
        <s v="MCHAMBE" u="1"/>
        <s v="MENDONC" u="1"/>
        <s v="RLIEBER" u="1"/>
        <s v="JJOHNSO" u="1"/>
        <s v="SMALCOM" u="1"/>
        <s v="PSOKOL" u="1"/>
        <s v="DCOSLEY" u="1"/>
        <s v="MCORNWA" u="1"/>
        <s v="MFELDMA" u="1"/>
        <s v="NSWANBE" u="1"/>
        <s v="PCHAKRA" u="1"/>
        <s v="RFRAGAZ" u="1"/>
        <s v="DLEVEY" u="1"/>
        <s v="PWHITE" u="1"/>
        <s v="ANIKOLI" u="1"/>
        <s v="AWALTON" u="1"/>
        <s v="DKSMITH" u="1"/>
        <s v="EBENSMA" u="1"/>
        <s v="SGREENS" u="1"/>
        <s v="KGYIMAH" u="1"/>
        <s v="MHJALMA" u="1"/>
        <s v="AZHANG" u="1"/>
        <s v="FKRONZ" u="1"/>
        <s v="DFYHRIE" u="1"/>
        <s v="KDIENES" u="1"/>
        <s v="RRENAUT" u="1"/>
      </sharedItems>
    </cacheField>
    <cacheField name="obj_clas_code" numFmtId="164">
      <sharedItems count="4">
        <s v="4110"/>
        <s v="4120" u="1"/>
        <s v="4160" u="1"/>
        <s v="4118" u="1"/>
      </sharedItems>
    </cacheField>
    <cacheField name="natr_rqst_abbr" numFmtId="164">
      <sharedItems count="4">
        <s v="NEW"/>
        <s v="RNEW" u="1"/>
        <s v="TRSF" u="1"/>
        <s v="SUPP" u="1"/>
      </sharedItems>
    </cacheField>
    <cacheField name="prop_stts_abbr" numFmtId="0">
      <sharedItems count="6">
        <s v="DECL"/>
        <s v="RCOM" u="1"/>
        <s v="PEND" u="1"/>
        <s v="RTNR" u="1"/>
        <s v="WTH" u="1"/>
        <s v="AWD" u="1"/>
      </sharedItems>
    </cacheField>
    <cacheField name="0" numFmtId="0">
      <sharedItems containsSemiMixedTypes="0" containsString="0" containsNumber="1" containsInteger="1" minValue="1" maxValue="1"/>
    </cacheField>
    <cacheField name="ILN" numFmtId="49">
      <sharedItems/>
    </cacheField>
    <cacheField name="lead" numFmtId="0">
      <sharedItems/>
    </cacheField>
    <cacheField name="Div" numFmtId="0">
      <sharedItems count="29">
        <s v="CCF"/>
        <s v="DUE" u="1"/>
        <s v="EEC" u="1"/>
        <s v="SMA" u="1"/>
        <s v="HRD" u="1"/>
        <s v="AST" u="1"/>
        <s v="BCS" u="1"/>
        <s v="IIP" u="1"/>
        <s v="DMR" u="1"/>
        <s v="DBI" u="1"/>
        <s v="DMS" u="1"/>
        <s v="IIS" u="1"/>
        <s v="OCE" u="1"/>
        <s v="CNS" u="1"/>
        <s v="MCB" u="1"/>
        <s v="EAR" u="1"/>
        <s v="IOS" u="1"/>
        <s v="SES" u="1"/>
        <s v="CBET" u="1"/>
        <s v="CMMI" u="1"/>
        <s v="ACI" u="1"/>
        <s v="DEB" u="1"/>
        <s v="DRL" u="1"/>
        <s v="DGE" u="1"/>
        <s v="PLR" u="1"/>
        <s v="CHE" u="1"/>
        <s v="ECCS" u="1"/>
        <s v="AGS" u="1"/>
        <s v="PHY" u="1"/>
      </sharedItems>
    </cacheField>
    <cacheField name="prop_id" numFmtId="0">
      <sharedItems/>
    </cacheField>
    <cacheField name="eJ" numFmtId="0">
      <sharedItems/>
    </cacheField>
    <cacheField name="pi_last_name" numFmtId="0">
      <sharedItems/>
    </cacheField>
    <cacheField name="pi_frst_name" numFmtId="0">
      <sharedItems/>
    </cacheField>
    <cacheField name="inst_name" numFmtId="0">
      <sharedItems/>
    </cacheField>
    <cacheField name="inst_id" numFmtId="164">
      <sharedItems/>
    </cacheField>
    <cacheField name="rqst_dol" numFmtId="6">
      <sharedItems containsSemiMixedTypes="0" containsString="0" containsNumber="1" containsInteger="1" minValue="482546" maxValue="482546"/>
    </cacheField>
    <cacheField name="rqst_mnth_cnt" numFmtId="0">
      <sharedItems containsSemiMixedTypes="0" containsString="0" containsNumber="1" containsInteger="1" minValue="36" maxValue="36"/>
    </cacheField>
    <cacheField name="rqst_eff_date" numFmtId="164">
      <sharedItems containsSemiMixedTypes="0" containsNonDate="0" containsDate="1" containsString="0" minDate="2016-05-01T00:00:00" maxDate="2016-05-02T00:00:00"/>
    </cacheField>
    <cacheField name="st_code" numFmtId="164">
      <sharedItems count="52">
        <s v="TX"/>
        <s v="MD" u="1"/>
        <s v="LA" u="1"/>
        <s v="SC" u="1"/>
        <s v="AL" u="1"/>
        <s v="KY" u="1"/>
        <s v="CT" u="1"/>
        <s v="NM" u="1"/>
        <s v="OR" u="1"/>
        <s v="VT" u="1"/>
        <s v="TN" u="1"/>
        <s v="WY" u="1"/>
        <s v="CA" u="1"/>
        <s v="FL" u="1"/>
        <s v="MN" u="1"/>
        <s v="AR" u="1"/>
        <s v="VA" u="1"/>
        <s v="ID" u="1"/>
        <s v="MT" u="1"/>
        <s v="NY" u="1"/>
        <s v="AZ" u="1"/>
        <s v="ND" u="1"/>
        <s v="MA" u="1"/>
        <s v="IL" u="1"/>
        <s v="HI" u="1"/>
        <s v="OK" u="1"/>
        <s v="CO" u="1"/>
        <s v="NH" u="1"/>
        <s v="IN" u="1"/>
        <s v="ME" u="1"/>
        <s v="SD" u="1"/>
        <s v="NJ" u="1"/>
        <s v="PR" u="1"/>
        <s v="AK" u="1"/>
        <s v="MI" u="1"/>
        <s v="WV" u="1"/>
        <s v="WA" u="1"/>
        <s v="DC" u="1"/>
        <s v="PA" u="1"/>
        <s v="DE" u="1"/>
        <s v="RI" u="1"/>
        <s v="UT" u="1"/>
        <s v="MO" u="1"/>
        <s v="IA" u="1"/>
        <s v="NV" u="1"/>
        <s v="MS" u="1"/>
        <s v="WI" u="1"/>
        <s v="GA" u="1"/>
        <s v="NC" u="1"/>
        <s v="OH" u="1"/>
        <s v="NE" u="1"/>
        <s v="KS" u="1"/>
      </sharedItems>
    </cacheField>
    <cacheField name="epscor?" numFmtId="22">
      <sharedItems count="2">
        <s v=""/>
        <b v="1" u="1"/>
      </sharedItems>
    </cacheField>
    <cacheField name="PRCs" numFmtId="164">
      <sharedItems/>
    </cacheField>
    <cacheField name="cntx_stmt_id" numFmtId="164">
      <sharedItems/>
    </cacheField>
    <cacheField name="rout_PECs" numFmtId="164">
      <sharedItems/>
    </cacheField>
    <cacheField name="humn_date" numFmtId="164">
      <sharedItems containsNonDate="0" containsString="0" containsBlank="1"/>
    </cacheField>
    <cacheField name="vrtb_date" numFmtId="164">
      <sharedItems containsNonDate="0" containsString="0" containsBlank="1"/>
    </cacheField>
    <cacheField name="Country" numFmtId="164">
      <sharedItems containsNonDate="0" containsBlank="1" count="309">
        <m/>
        <s v="Hong Kong; Singapore      " u="1"/>
        <s v="Dominican Republic; Germany; Spain     " u="1"/>
        <s v="Ukraine       " u="1"/>
        <s v="Canada; China      " u="1"/>
        <s v="Germany; Japan      " u="1"/>
        <s v="Finland; Poland      " u="1"/>
        <s v="Japan; Singapore      " u="1"/>
        <s v="Brazil; Worldwide      " u="1"/>
        <s v="Germany; Korea, South      " u="1"/>
        <s v="France; Germany; Spain; Worldwide    " u="1"/>
        <s v="Canada; France; Italy; Spain; United Kingdom   " u="1"/>
        <s v="Greece       " u="1"/>
        <s v="Germany; Sweden; Switzerland; Taiwan    " u="1"/>
        <s v="Georgia; Kazakhstan; Russia; Tajikstan    " u="1"/>
        <s v="India; Japan; Switzerland     " u="1"/>
        <s v="Brazil; Colombia; Honduras; Mexico    " u="1"/>
        <s v="Italy; Japan; Spain; United Kingdom    " u="1"/>
        <s v="China; Worldwide      " u="1"/>
        <s v="India; Italy; Spain     " u="1"/>
        <s v="Mexico; United Kingdom      " u="1"/>
        <s v="United Kingdom       " u="1"/>
        <s v="Germany; Italy; Japan     " u="1"/>
        <s v="China; Mexico; Spain; United Kingdom    " u="1"/>
        <s v="Georgia       " u="1"/>
        <s v="Canada; China; France; Japan    " u="1"/>
        <s v="Canada; France; Italy; Japan    " u="1"/>
        <s v="China; United Arab Emirates      " u="1"/>
        <s v="Korea, South; Mexico; Portugal     " u="1"/>
        <s v="Spain; United Kingdom; Worldwide     " u="1"/>
        <s v="China; Germany; Korea, South; Spain    " u="1"/>
        <s v="Spain       " u="1"/>
        <s v="Italy; Netherlands; Spain     " u="1"/>
        <s v="France; Germany; Italy; United Kingdom    " u="1"/>
        <s v="France; Germany; Spain; United Kingdom    " u="1"/>
        <s v="Poland       " u="1"/>
        <s v="China; Japan      " u="1"/>
        <s v="Netherlands; Taiwan      " u="1"/>
        <s v="East Europe and Newly Indep Sts       " u="1"/>
        <s v="Italy; United Kingdom      " u="1"/>
        <s v="Taiwan; United Kingdom      " u="1"/>
        <s v="Korea, South; Singapore      " u="1"/>
        <s v="France; Germany; United Kingdom     " u="1"/>
        <s v="Israel       " u="1"/>
        <s v="France; Germany; Mexico     " u="1"/>
        <s v="Netherlands; United Kingdom      " u="1"/>
        <s v="Switzerland; United Kingdom      " u="1"/>
        <s v="Mexico; United Arab Emirates      " u="1"/>
        <s v="Russia       " u="1"/>
        <s v="Germany       " u="1"/>
        <s v="Croatia; Italy      " u="1"/>
        <s v="Japan; United Kingdom      " u="1"/>
        <s v="Greece; United Kingdom      " u="1"/>
        <s v="Germany; Netherlands; Spain     " u="1"/>
        <s v="France; Russia; United Kingdom     " u="1"/>
        <s v="Germany; Greece; Japan; Singapore    " u="1"/>
        <s v="Norway       " u="1"/>
        <s v="China; Sweden      " u="1"/>
        <s v="India; Kenya; Nigeria     " u="1"/>
        <s v="Canada; France; Germany     " u="1"/>
        <s v="Guatemala; Tanzania      " u="1"/>
        <s v="Chile; France; Japan; South Africa    " u="1"/>
        <s v="China; Israel; Netherlands; Turkey    " u="1"/>
        <s v="France; Germany; Greece; Singapore    " u="1"/>
        <s v="South America; South Asia; Western Europe; Worldwide    " u="1"/>
        <s v="Canada; France; Spain     " u="1"/>
        <s v="United Arab Emirates       " u="1"/>
        <s v="Japan; Singapore; Worldwide     " u="1"/>
        <s v="France; Germany; Hong Kong; United Kingdom    " u="1"/>
        <s v="France; Germany; Lithuania; United Kingdom    " u="1"/>
        <s v="Singapore       " u="1"/>
        <s v="Cyprus; France      " u="1"/>
        <s v="Chile; Greece; Italy     " u="1"/>
        <s v="United Kingdom; Worldwide      " u="1"/>
        <s v="Central America; Cuba; South America; Worldwide    " u="1"/>
        <s v="Germany; Sweden      " u="1"/>
        <s v="France; Italy; Spain     " u="1"/>
        <s v="Switzerland; Western Europe      " u="1"/>
        <s v="India; Ireland; Singapore; United Arab Emirates    " u="1"/>
        <s v="East Asia and Pacific; South America; Western Europe     " u="1"/>
        <s v="Netherlands       " u="1"/>
        <s v="Spain; Worldwide      " u="1"/>
        <s v="Canada; Germany; Japan     " u="1"/>
        <s v="Canada; United Kingdom      " u="1"/>
        <s v="China; Spain; Switzerland; Tunisia    " u="1"/>
        <s v="South Asia; Southeast Asia; Western Europe     " u="1"/>
        <s v="Germany; Norway      " u="1"/>
        <s v="Canada; China; Germany; Hungary    " u="1"/>
        <s v="Hong Kong; Italy; United Kingdom     " u="1"/>
        <s v="Syria       " u="1"/>
        <s v="Vietnam       " u="1"/>
        <s v="Portugal       " u="1"/>
        <s v="Estonia; Italy      " u="1"/>
        <s v="Taiwan; Worldwide      " u="1"/>
        <s v="Israel; United Kingdom      " u="1"/>
        <s v="Japan; Latvia; Spain; Worldwide    " u="1"/>
        <s v="Germany; Hong Kong; United Kingdom     " u="1"/>
        <s v="Congo (Kinshasa); Indonesia      " u="1"/>
        <s v="China; Germany; Italy; Korea, South    " u="1"/>
        <s v="China; France; India; Spain    " u="1"/>
        <s v="Austria; Canada; Italy; Japan    " u="1"/>
        <s v="Singapore; United Arab Emirates      " u="1"/>
        <s v="Korea, South; United Arab Emirates; United Kingdom     " u="1"/>
        <s v="Ireland       " u="1"/>
        <s v="Italy; Samoa      " u="1"/>
        <s v="Finland; France      " u="1"/>
        <s v="France; Switzerland      " u="1"/>
        <s v="France; Germany; Spain     " u="1"/>
        <s v="Canada; France; Italy; Oman    " u="1"/>
        <s v="India; Italy; Mexico; Spain    " u="1"/>
        <s v="Canada; Russia; Switzerland     " u="1"/>
        <s v="France; India; United Kingdom     " u="1"/>
        <s v="France; Italy; United Kingdom     " u="1"/>
        <s v="Italy; Japan; Singapore; Spain    " u="1"/>
        <s v="Cuba; Mexico; Puerto Rico; Venezuela    " u="1"/>
        <s v="Spain; Turkey      " u="1"/>
        <s v="Canada; France      " u="1"/>
        <s v="India; Japan; United Kingdom     " u="1"/>
        <s v="Mexico       " u="1"/>
        <s v="France; Japan      " u="1"/>
        <s v="Singapore; Spain; Taiwan     " u="1"/>
        <s v="Spain; Sweden      " u="1"/>
        <s v="China; United Kingdom      " u="1"/>
        <s v="France; Israel; South Africa; United Kingdom    " u="1"/>
        <s v="Israel; Netherlands      " u="1"/>
        <s v="Germany; Italy; United Kingdom     " u="1"/>
        <s v="Germany; Japan; United Kingdom     " u="1"/>
        <s v="Ghana; India; United Arab Emirates     " u="1"/>
        <s v="Turkey       " u="1"/>
        <s v="Brazil; Japan; Korea, South; Worldwide    " u="1"/>
        <s v="Lebanon       " u="1"/>
        <s v="Switzerland       " u="1"/>
        <s v="France; Ukraine      " u="1"/>
        <s v="Worldwide       " u="1"/>
        <s v="Czech Republic; France; Greece     " u="1"/>
        <s v="France; Japan; United Arab Emirates     " u="1"/>
        <s v="New Zealand       " u="1"/>
        <s v="Israel; Worldwide      " u="1"/>
        <s v="Canada; China; Switzerland     " u="1"/>
        <s v="Chile; Germany      " u="1"/>
        <s v="Germany; Singapore      " u="1"/>
        <s v="Korea, South       " u="1"/>
        <s v="Germany; Switzerland      " u="1"/>
        <s v="Belgium; Canada; Mongolia     " u="1"/>
        <s v="East Asia and Pacific; South America; South Asia; Western Europe    " u="1"/>
        <s v="Romania       " u="1"/>
        <s v="Germany; Netherlands      " u="1"/>
        <s v="Canada; Russia; Southeast Asia; Spain    " u="1"/>
        <s v="Hong Kong; Singapore; Taiwan; Vietnam    " u="1"/>
        <s v="Chile       " u="1"/>
        <s v="Austria; Canada; United Kingdom     " u="1"/>
        <s v="China; France; India; Switzerland    " u="1"/>
        <s v="Germany; Italy; Spain; United Kingdom    " u="1"/>
        <s v="Italy; Spain      " u="1"/>
        <s v="France; Italy      " u="1"/>
        <s v="France; Spain      " u="1"/>
        <s v="Japan; Spain      " u="1"/>
        <s v="Western Europe       " u="1"/>
        <s v="Germany; Worldwide      " u="1"/>
        <s v="Singapore; Spain; Worldwide     " u="1"/>
        <s v="Tanzania; Uganda      " u="1"/>
        <s v="Germany; Japan; Korea, South; Singapore    " u="1"/>
        <s v="Hungary       " u="1"/>
        <s v="Spain; United Kingdom      " u="1"/>
        <s v="Germany; Mexico; New Zealand; Spain    " u="1"/>
        <s v="Ireland; United Kingdom; Worldwide     " u="1"/>
        <s v="Korea, South; Portugal      " u="1"/>
        <s v="Hungary; Israel; United Kingdom     " u="1"/>
        <s v="France       " u="1"/>
        <s v="Germany; Italy; Japan; Spain    " u="1"/>
        <s v="Japan; Netherlands; Poland; Spain    " u="1"/>
        <s v="Serbia and Montenegro; Worldwide      " u="1"/>
        <s v="East Asia and Pacific; Western Europe      " u="1"/>
        <s v="East Europe and Newly Indep Sts; Western Europe      " u="1"/>
        <s v="Canada; China; France     " u="1"/>
        <s v="Netherlands; Worldwide      " u="1"/>
        <s v="China; France; Greece; Mexico    " u="1"/>
        <s v="Korea, South; Western Europe      " u="1"/>
        <s v="Germany; Hong Kong; Romania; Spain    " u="1"/>
        <s v="Canada; China; Germany; United Kingdom    " u="1"/>
        <s v="Canada; France; Germany; United Kingdom    " u="1"/>
        <s v="Jordan; Sweden      " u="1"/>
        <s v="Indonesia; United Kingdom      " u="1"/>
        <s v="Hong Kong; Malaysia; Singapore; Taiwan    " u="1"/>
        <s v="China; Greece      " u="1"/>
        <s v="Italy; Taiwan      " u="1"/>
        <s v="Germany; Israel      " u="1"/>
        <s v="France; Germany; Italy; Spain    " u="1"/>
        <s v="China; France; Italy; Korea, South    " u="1"/>
        <s v="France; Netherlands; Spain; Sweden    " u="1"/>
        <s v="Germany; Japan; Singapore     " u="1"/>
        <s v="Indonesia; South America      " u="1"/>
        <s v="France; Italy; Japan; Slovenia    " u="1"/>
        <s v="France; Germany; Italy; Korea, South    " u="1"/>
        <s v="Korea, South; Spain      " u="1"/>
        <s v="Chile; Germany; Italy     " u="1"/>
        <s v="Canada; Sweden; United Kingdom     " u="1"/>
        <s v="Colombia; Germany; Italy; Spain    " u="1"/>
        <s v="France; Singapore; United Arab Emirates     " u="1"/>
        <s v="Hong Kong; Japan; Singapore; Switzerland    " u="1"/>
        <s v="Japan       " u="1"/>
        <s v="Taiwan       " u="1"/>
        <s v="China; France; Germany; Japan    " u="1"/>
        <s v="China; France; Germany; Sweden    " u="1"/>
        <s v="Ethiopia; United Arab Emirates      " u="1"/>
        <s v="Canada; India; Sweden     " u="1"/>
        <s v="Germany; Iceland; Sweden     " u="1"/>
        <s v="South Africa; United Kingdom      " u="1"/>
        <s v="Japan; Korea, South; Netherlands     " u="1"/>
        <s v="Canada; Singapore      " u="1"/>
        <s v="Canada; Germany; Netherlands     " u="1"/>
        <s v="Korea, South; United Kingdom      " u="1"/>
        <s v="Canada; Puerto Rico      " u="1"/>
        <s v="France; Germany; Japan     " u="1"/>
        <s v="France; United Kingdom      " u="1"/>
        <s v="China; Korea, South; United Kingdom     " u="1"/>
        <s v="China; Spain      " u="1"/>
        <s v="Japan; Switzerland      " u="1"/>
        <s v="China; Japan; Korea, South     " u="1"/>
        <s v="France; Italy; Japan; Worldwide    " u="1"/>
        <s v="Israel; Korea, South; Spain; United Kingdom    " u="1"/>
        <s v="Slovenia; Sweden; United Kingdom; Worldwide    " u="1"/>
        <s v="Colombia       " u="1"/>
        <s v="Canada; China; Spain     " u="1"/>
        <s v="Germany; Italy; Netherlands     " u="1"/>
        <s v="Nepal       " u="1"/>
        <s v="Kenya; Nepal      " u="1"/>
        <s v="Iceland; Sweden      " u="1"/>
        <s v="France; Portugal      " u="1"/>
        <s v="Germany; Italy; Sweden     " u="1"/>
        <s v="Germany; Spain; Sweden     " u="1"/>
        <s v="Brazil; China; Germany; Spain    " u="1"/>
        <s v="Australia; Brazil; China; Germany    " u="1"/>
        <s v="Kenya       " u="1"/>
        <s v="Germany; Taiwan      " u="1"/>
        <s v="France; Germany; Israel     " u="1"/>
        <s v="China; Germany; Japan; Turkey    " u="1"/>
        <s v="Canada; France; Italy; United Kingdom    " u="1"/>
        <s v="Germany; Korea, South; Poland; United Kingdom    " u="1"/>
        <s v="Canada       " u="1"/>
        <s v="Cyprus; Denmark      " u="1"/>
        <s v="Italy; Japan; Spain     " u="1"/>
        <s v="Brazil; Italy; Kenya; Tanzania    " u="1"/>
        <s v="China; India; Japan; Sri Lanka    " u="1"/>
        <s v="Germany; Netherlands; United Kingdom     " u="1"/>
        <s v="Germany; Switzerland; United Kingdom     " u="1"/>
        <s v="Mexico; Spain; Worldwide     " u="1"/>
        <s v="Canada; France; Singapore; United Kingdom    " u="1"/>
        <s v="China; East Asia and Pacific; Western Europe     " u="1"/>
        <s v="Italy; Norway      " u="1"/>
        <s v="Mexico; Spain      " u="1"/>
        <s v="Germany; United Kingdom      " u="1"/>
        <s v="China; Japan; Spain; Turkey    " u="1"/>
        <s v="Japan; Worldwide      " u="1"/>
        <s v="Singapore; Spain      " u="1"/>
        <s v="France; Greece; Japan     " u="1"/>
        <s v="Malaysia; Oman; United Kingdom     " u="1"/>
        <s v="South America; Western Europe      " u="1"/>
        <s v="Canada; China; Japan; United Kingdom    " u="1"/>
        <s v="Canada; Japan; Spain; United Kingdom    " u="1"/>
        <s v="China; France; Germany; United Kingdom    " u="1"/>
        <s v="Japan; Norway      " u="1"/>
        <s v="Canada; China; Germany; Turkey    " u="1"/>
        <s v="Sweden       " u="1"/>
        <s v="Hong Kong       " u="1"/>
        <s v="Canada; Japan      " u="1"/>
        <s v="France; Germany      " u="1"/>
        <s v="Uganda       " u="1"/>
        <s v="Ireland; Worldwide      " u="1"/>
        <s v="Germany; Norway; Sweden     " u="1"/>
        <s v="Kazakhstan; Russia; Ukraine     " u="1"/>
        <s v="Brazil; Kazakhstan; Uzbekistan     " u="1"/>
        <s v="Canada; Germany; Switzerland; United Kingdom    " u="1"/>
        <s v="Panama       " u="1"/>
        <s v="France; India      " u="1"/>
        <s v="Italy; Turkey      " u="1"/>
        <s v="Germany; Spain; Turkey     " u="1"/>
        <s v="Southeast Asia; Switzerland      " u="1"/>
        <s v="Korea, South; Spain; United Kingdom     " u="1"/>
        <s v="Germany; Indonesia; Korea, South; Spain    " u="1"/>
        <s v="China       " u="1"/>
        <s v="India; Mexico      " u="1"/>
        <s v="Norway; Spain      " u="1"/>
        <s v="France; Korea, South      " u="1"/>
        <s v="France; Spain; Switzerland     " u="1"/>
        <s v="Korea, South; Puerto Rico; Worldwide     " u="1"/>
        <s v="India       " u="1"/>
        <s v="Greece; Italy      " u="1"/>
        <s v="Italy; Korea, South      " u="1"/>
        <s v="Sweden; United Kingdom      " u="1"/>
        <s v="Dominican Republic; Mexico      " u="1"/>
        <s v="China; Germany; Netherlands; Sweden    " u="1"/>
        <s v="        " u="1"/>
        <s v="India; Israel; Sweden     " u="1"/>
        <s v="Italy       " u="1"/>
        <s v="Libya       " u="1"/>
        <s v="Peru; Worldwide      " u="1"/>
        <s v="Japan; Korea, South      " u="1"/>
        <s v="China; Korea, South; Spain; United Kingdom    " u="1"/>
        <s v="India; Korea, South; Sweden; United Kingdom    " u="1"/>
        <s v="Germany; Spain      " u="1"/>
        <s v="India; New Zealand      " u="1"/>
        <s v="Germany; Hungary; Switzerland     " u="1"/>
        <s v="Dominican Republic; Jamaica; Puerto Rico; Virgin Islands, British    " u="1"/>
        <s v="Malta       " u="1"/>
        <s v="Italy; Singapore      " u="1"/>
        <s v="Poland; United Kingdom      " u="1"/>
        <s v="Germany; Singapore; Switzerland     " u="1"/>
        <s v="Japan; Korea, South; Spain; Switzerland    " u="1"/>
      </sharedItems>
      <fieldGroup par="32"/>
    </cacheField>
    <cacheField name="prop_titl_txt" numFmtId="0">
      <sharedItems/>
    </cacheField>
    <cacheField name="Country2" numFmtId="0" databaseField="0">
      <fieldGroup base="30">
        <discretePr count="309">
          <x v="1"/>
          <x v="118"/>
          <x v="66"/>
          <x v="138"/>
          <x v="68"/>
          <x v="24"/>
          <x v="237"/>
          <x v="223"/>
          <x v="123"/>
          <x v="48"/>
          <x v="217"/>
          <x v="184"/>
          <x v="119"/>
          <x v="207"/>
          <x v="31"/>
          <x v="231"/>
          <x v="46"/>
          <x v="228"/>
          <x v="0"/>
          <x v="159"/>
          <x v="102"/>
          <x v="0"/>
          <x v="251"/>
          <x v="115"/>
          <x v="131"/>
          <x v="221"/>
          <x v="77"/>
          <x v="191"/>
          <x v="103"/>
          <x v="5"/>
          <x v="0"/>
          <x v="0"/>
          <x v="272"/>
          <x v="35"/>
          <x v="43"/>
          <x v="114"/>
          <x v="220"/>
          <x v="154"/>
          <x v="203"/>
          <x v="10"/>
          <x v="75"/>
          <x v="0"/>
          <x v="14"/>
          <x v="2"/>
          <x v="166"/>
          <x v="79"/>
          <x v="58"/>
          <x v="87"/>
          <x v="252"/>
          <x v="50"/>
          <x v="273"/>
          <x v="40"/>
          <x v="174"/>
          <x v="180"/>
          <x v="90"/>
          <x v="0"/>
          <x v="0"/>
          <x v="156"/>
          <x v="91"/>
          <x v="227"/>
          <x v="140"/>
          <x v="122"/>
          <x v="45"/>
          <x v="274"/>
          <x v="163"/>
          <x v="170"/>
          <x v="160"/>
          <x v="127"/>
          <x v="17"/>
          <x v="139"/>
          <x v="12"/>
          <x v="244"/>
          <x v="0"/>
          <x v="121"/>
          <x v="36"/>
          <x v="196"/>
          <x v="49"/>
          <x v="143"/>
          <x v="245"/>
          <x v="64"/>
          <x v="0"/>
          <x v="0"/>
          <x v="164"/>
          <x v="11"/>
          <x v="136"/>
          <x v="230"/>
          <x v="265"/>
          <x v="3"/>
          <x v="255"/>
          <x v="250"/>
          <x v="130"/>
          <x v="169"/>
          <x v="137"/>
          <x v="93"/>
          <x v="65"/>
          <x v="6"/>
          <x v="261"/>
          <x v="112"/>
          <x v="0"/>
          <x v="209"/>
          <x v="168"/>
          <x v="177"/>
          <x v="173"/>
          <x v="0"/>
          <x v="246"/>
          <x v="218"/>
          <x v="113"/>
          <x v="243"/>
          <x v="94"/>
          <x v="92"/>
          <x v="95"/>
          <x v="197"/>
          <x v="47"/>
          <x v="0"/>
          <x v="56"/>
          <x v="133"/>
          <x v="19"/>
          <x v="157"/>
          <x v="26"/>
          <x v="126"/>
          <x v="18"/>
          <x v="0"/>
          <x v="100"/>
          <x v="33"/>
          <x v="152"/>
          <x v="235"/>
          <x v="190"/>
          <x v="63"/>
          <x v="78"/>
          <x v="0"/>
          <x v="116"/>
          <x v="0"/>
          <x v="276"/>
          <x v="0"/>
          <x v="278"/>
          <x v="229"/>
          <x v="70"/>
          <x v="248"/>
          <x v="23"/>
          <x v="279"/>
          <x v="22"/>
          <x v="13"/>
          <x v="0"/>
          <x v="73"/>
          <x v="149"/>
          <x v="80"/>
          <x v="28"/>
          <x v="81"/>
          <x v="241"/>
          <x v="30"/>
          <x v="171"/>
          <x v="150"/>
          <x v="249"/>
          <x v="268"/>
          <x v="188"/>
          <x v="54"/>
          <x v="263"/>
          <x v="71"/>
          <x v="110"/>
          <x v="256"/>
          <x v="99"/>
          <x v="233"/>
          <x v="201"/>
          <x v="105"/>
          <x v="34"/>
          <x v="267"/>
          <x v="155"/>
          <x v="108"/>
          <x v="101"/>
          <x v="262"/>
          <x v="266"/>
          <x v="82"/>
          <x v="238"/>
          <x v="181"/>
          <x v="0"/>
          <x v="134"/>
          <x v="232"/>
          <x v="186"/>
          <x v="264"/>
          <x v="4"/>
          <x v="258"/>
          <x v="27"/>
          <x v="20"/>
          <x v="242"/>
          <x v="213"/>
          <x v="271"/>
          <x v="109"/>
          <x v="239"/>
          <x v="202"/>
          <x v="254"/>
          <x v="194"/>
          <x v="141"/>
          <x v="60"/>
          <x v="104"/>
          <x v="29"/>
          <x v="193"/>
          <x v="88"/>
          <x v="253"/>
          <x v="205"/>
          <x v="32"/>
          <x v="0"/>
          <x v="124"/>
          <x v="211"/>
          <x v="178"/>
          <x v="172"/>
          <x v="195"/>
          <x v="161"/>
          <x v="69"/>
          <x v="212"/>
          <x v="0"/>
          <x v="162"/>
          <x v="25"/>
          <x v="167"/>
          <x v="200"/>
          <x v="199"/>
          <x v="15"/>
          <x v="0"/>
          <x v="198"/>
          <x v="210"/>
          <x v="61"/>
          <x v="128"/>
          <x v="175"/>
          <x v="96"/>
          <x v="234"/>
          <x v="236"/>
          <x v="0"/>
          <x v="7"/>
          <x v="0"/>
          <x v="247"/>
          <x v="76"/>
          <x v="225"/>
          <x v="189"/>
          <x v="132"/>
          <x v="84"/>
          <x v="89"/>
          <x v="224"/>
          <x v="148"/>
          <x v="280"/>
          <x v="277"/>
          <x v="0"/>
          <x v="257"/>
          <x v="125"/>
          <x v="59"/>
          <x v="41"/>
          <x v="214"/>
          <x v="57"/>
          <x v="8"/>
          <x v="270"/>
          <x v="72"/>
          <x v="259"/>
          <x v="98"/>
          <x v="9"/>
          <x v="182"/>
          <x v="85"/>
          <x v="226"/>
          <x v="176"/>
          <x v="120"/>
          <x v="204"/>
          <x v="185"/>
          <x v="240"/>
          <x v="0"/>
          <x v="97"/>
          <x v="222"/>
          <x v="145"/>
          <x v="215"/>
          <x v="107"/>
          <x v="62"/>
          <x v="52"/>
          <x v="117"/>
          <x v="183"/>
          <x v="111"/>
          <x v="129"/>
          <x v="53"/>
          <x v="37"/>
          <x v="153"/>
          <x v="39"/>
          <x v="147"/>
          <x v="74"/>
          <x v="21"/>
          <x v="206"/>
          <x v="0"/>
          <x v="0"/>
          <x v="269"/>
          <x v="86"/>
          <x v="260"/>
          <x v="83"/>
          <x v="135"/>
          <x v="151"/>
          <x v="187"/>
          <x v="275"/>
          <x v="67"/>
          <x v="179"/>
          <x v="1"/>
          <x v="38"/>
          <x v="16"/>
          <x v="142"/>
          <x v="192"/>
          <x v="144"/>
          <x v="55"/>
          <x v="219"/>
          <x v="106"/>
          <x v="146"/>
          <x v="51"/>
          <x v="44"/>
          <x v="158"/>
          <x v="216"/>
          <x v="42"/>
          <x v="208"/>
          <x v="165"/>
        </discretePr>
        <groupItems count="281">
          <s v="Group1"/>
          <s v="Group2"/>
          <s v="Israel       "/>
          <s v="Canada; China; Germany; Hungary    "/>
          <s v="Canada; China; Germany; United Kingdom    "/>
          <s v="Spain; United Kingdom; Worldwide     "/>
          <s v="Japan; Latvia; Spain; Worldwide    "/>
          <s v="Kenya; Nepal      "/>
          <s v="Mexico; Spain; Worldwide     "/>
          <s v="Germany; United Kingdom      "/>
          <s v="Italy; United Kingdom      "/>
          <s v="Canada; United Kingdom      "/>
          <s v="Singapore       "/>
          <s v="Korea, South       "/>
          <s v="France; Germany; United Kingdom     "/>
          <s v="China; Korea, South; United Kingdom     "/>
          <s v="Italy       "/>
          <s v="France; Germany; Hong Kong; United Kingdom    "/>
          <s v="Singapore; Spain; Taiwan     "/>
          <s v="Canada; France      "/>
          <s v="Indonesia; United Kingdom      "/>
          <s v="Korea, South; Spain; United Kingdom     "/>
          <s v="Germany; Singapore      "/>
          <s v="Canada; China; Switzerland     "/>
          <s v="Germany; Japan      "/>
          <s v="Korea, South; United Kingdom      "/>
          <s v="Mexico       "/>
          <s v="Jordan; Sweden      "/>
          <s v="Germany; Netherlands      "/>
          <s v="Korea, South; Spain      "/>
          <s v="Chile       "/>
          <s v="Georgia; Kazakhstan; Russia; Tajikstan    "/>
          <s v="Hong Kong; Japan; Singapore; Switzerland    "/>
          <s v="France; Israel; South Africa; United Kingdom    "/>
          <s v="Germany; Mexico; New Zealand; Spain    "/>
          <s v="France; Germany; Italy; United Kingdom    "/>
          <s v="Central America; Cuba; South America; Worldwide    "/>
          <s v="Panama       "/>
          <s v="India; Israel; Sweden     "/>
          <s v="Italy; Turkey      "/>
          <s v="Japan; United Kingdom      "/>
          <s v="China; India; Japan; Sri Lanka    "/>
          <s v="Poland; United Kingdom      "/>
          <s v="France; Germany; Spain; United Kingdom    "/>
          <s v="Dominican Republic; Jamaica; Puerto Rico; Virgin Islands, British    "/>
          <s v="China; Israel; Netherlands; Turkey    "/>
          <s v="Brazil; Colombia; Honduras; Mexico    "/>
          <s v="France; Italy; United Kingdom     "/>
          <s v="Germany; Korea, South      "/>
          <s v="France; Italy; Spain     "/>
          <s v="Germany       "/>
          <s v="Germany; Hungary; Switzerland     "/>
          <s v="Uganda       "/>
          <s v="Canada; Germany; Switzerland; United Kingdom    "/>
          <s v="France; Spain      "/>
          <s v="China; Korea, South; Spain; United Kingdom    "/>
          <s v="Cuba; Mexico; Puerto Rico; Venezuela    "/>
          <s v="Germany; Switzerland; United Kingdom     "/>
          <s v="Switzerland; United Kingdom      "/>
          <s v="Brazil; Italy; Kenya; Tanzania    "/>
          <s v="France; Italy; Japan; Slovenia    "/>
          <s v="France; Italy; Japan; Worldwide    "/>
          <s v="France; Germany      "/>
          <s v="Ghana; India; United Arab Emirates     "/>
          <s v="East Asia and Pacific; South America; Western Europe     "/>
          <s v="Israel; United Kingdom      "/>
          <s v="Dominican Republic; Germany; Spain     "/>
          <s v="Dominican Republic; Mexico      "/>
          <s v="Canada; China      "/>
          <s v="South Africa; United Kingdom      "/>
          <s v="New Zealand       "/>
          <s v="Western Europe       "/>
          <s v="China; East Asia and Pacific; Western Europe     "/>
          <s v="Belgium; Canada; Mongolia     "/>
          <s v="Southeast Asia; Switzerland      "/>
          <s v="Taiwan; United Kingdom      "/>
          <s v="Germany; Italy; Sweden     "/>
          <s v="Canada; France; Italy; Japan    "/>
          <s v="Turkey       "/>
          <s v="Netherlands; United Kingdom      "/>
          <s v="Romania       "/>
          <s v="Canada; Russia; Southeast Asia; Spain    "/>
          <s v="Serbia and Montenegro; Worldwide      "/>
          <s v="Korea, South; Puerto Rico; Worldwide     "/>
          <s v="Kenya       "/>
          <s v="Japan; Worldwide      "/>
          <s v="France; Korea, South      "/>
          <s v="Mexico; United Arab Emirates      "/>
          <s v="Canada; Sweden; United Kingdom     "/>
          <s v="Germany; Taiwan      "/>
          <s v="France; Russia; United Kingdom     "/>
          <s v="India; Kenya; Nigeria     "/>
          <s v="India; Italy; Mexico; Spain    "/>
          <s v="Taiwan; Worldwide      "/>
          <s v="Canada; France; Italy; Oman    "/>
          <s v="Canada; Russia; Switzerland     "/>
          <s v="Colombia       "/>
          <s v="Japan; Norway      "/>
          <s v="Mexico; Spain      "/>
          <s v="Tanzania; Uganda      "/>
          <s v="China; United Kingdom      "/>
          <s v="France       "/>
          <s v="Mexico; United Kingdom      "/>
          <s v="Korea, South; Mexico; Portugal     "/>
          <s v="France; Germany; Italy; Korea, South    "/>
          <s v="Spain; United Kingdom      "/>
          <s v="Germany; Spain      "/>
          <s v="Canada; Japan      "/>
          <s v="Hungary; Israel; United Kingdom     "/>
          <s v="Germany; Israel      "/>
          <s v="Germany; Worldwide      "/>
          <s v="Kazakhstan; Russia; Ukraine     "/>
          <s v="Congo (Kinshasa); Indonesia      "/>
          <s v="France; Switzerland      "/>
          <s v="Poland       "/>
          <s v="China; Mexico; Spain; United Kingdom    "/>
          <s v="Lebanon       "/>
          <s v="Ireland; Worldwide      "/>
          <s v="Hong Kong; Singapore      "/>
          <s v="Greece       "/>
          <s v="Malaysia; Oman; United Kingdom     "/>
          <s v="United Kingdom; Worldwide      "/>
          <s v="Chile; France; Japan; South Africa    "/>
          <s v="Brazil; Worldwide      "/>
          <s v="Taiwan       "/>
          <s v="Italy; Japan; Spain     "/>
          <s v="France; Japan      "/>
          <s v="Japan; Singapore; Worldwide     "/>
          <s v="Israel; Korea, South; Spain; United Kingdom    "/>
          <s v="Brazil; Kazakhstan; Uzbekistan     "/>
          <s v="Vietnam       "/>
          <s v="Georgia       "/>
          <s v="Australia; Brazil; China; Germany    "/>
          <s v="Spain; Turkey      "/>
          <s v="Netherlands; Worldwide      "/>
          <s v="India       "/>
          <s v="China; Spain; Switzerland; Tunisia    "/>
          <s v="Estonia; Italy      "/>
          <s v="Ukraine       "/>
          <s v="France; Germany; Lithuania; United Kingdom    "/>
          <s v="Guatemala; Tanzania      "/>
          <s v="Indonesia; South America      "/>
          <s v="Libya       "/>
          <s v="Switzerland; Western Europe      "/>
          <s v="Japan; Korea, South      "/>
          <s v="Sweden       "/>
          <s v="India; New Zealand      "/>
          <s v="Germany; Spain; Turkey     "/>
          <s v="China; Germany; Japan; Turkey    "/>
          <s v="East Asia and Pacific; South America; South Asia; Western Europe    "/>
          <s v="China; France; India; Switzerland    "/>
          <s v="Greece; Italy      "/>
          <s v="Israel; Netherlands      "/>
          <s v="France; India      "/>
          <s v="Netherlands; Taiwan      "/>
          <s v="Korea, South; Portugal      "/>
          <s v="China; Sweden      "/>
          <s v="India; Japan; United Kingdom     "/>
          <s v="Malta       "/>
          <s v="India; Italy; Spain     "/>
          <s v="United Arab Emirates       "/>
          <s v="Germany; Iceland; Sweden     "/>
          <s v="Canada; Germany; Netherlands     "/>
          <s v="South America; South Asia; Western Europe; Worldwide    "/>
          <s v="Canada; Germany; Japan     "/>
          <s v="Japan; Korea, South; Spain; Switzerland    "/>
          <s v="France; Germany; Mexico     "/>
          <s v="Canada; Puerto Rico      "/>
          <s v="Austria; Canada; Italy; Japan    "/>
          <s v="Portugal       "/>
          <s v="Canada; France; Spain     "/>
          <s v="Austria; Canada; United Kingdom     "/>
          <s v="Ethiopia; United Arab Emirates      "/>
          <s v="Korea, South; United Arab Emirates; United Kingdom     "/>
          <s v="Greece; United Kingdom      "/>
          <s v="Slovenia; Sweden; United Kingdom; Worldwide    "/>
          <s v="France; Greece; Japan     "/>
          <s v="Singapore; United Arab Emirates      "/>
          <s v="China; France; Germany; Sweden    "/>
          <s v="China; Germany; Netherlands; Sweden    "/>
          <s v="Germany; Netherlands; Spain     "/>
          <s v="East Europe and Newly Indep Sts; Western Europe      "/>
          <s v="China; Japan; Spain; Turkey    "/>
          <s v="Germany; Norway; Sweden     "/>
          <s v="Canada; France; Italy; Spain; United Kingdom   "/>
          <s v="Canada; China; Japan; United Kingdom    "/>
          <s v="Korea, South; Western Europe      "/>
          <s v="Italy; Korea, South      "/>
          <s v="France; Italy      "/>
          <s v="Brazil; China; Germany; Spain    "/>
          <s v="Germany; Japan; United Kingdom     "/>
          <s v="China; United Arab Emirates      "/>
          <s v="Peru; Worldwide      "/>
          <s v="Chile; Germany; Italy     "/>
          <s v="Germany; Japan; Singapore     "/>
          <s v="Canada; India; Sweden     "/>
          <s v="Germany; Sweden      "/>
          <s v="France; India; United Kingdom     "/>
          <s v="Japan; Switzerland      "/>
          <s v="France; United Kingdom      "/>
          <s v="France; Germany; Japan     "/>
          <s v="Hungary       "/>
          <s v="China; France; Italy; Korea, South    "/>
          <s v="East Europe and Newly Indep Sts       "/>
          <s v="South America; Western Europe      "/>
          <s v="France; Singapore; United Arab Emirates     "/>
          <s v="Germany; Indonesia; Korea, South; Spain    "/>
          <s v="Germany; Sweden; Switzerland; Taiwan    "/>
          <s v="Germany; Singapore; Switzerland     "/>
          <s v="China; France; India; Spain    "/>
          <s v="China; Japan; Korea, South     "/>
          <s v="China; France; Germany; Japan    "/>
          <s v="Japan; Korea, South; Netherlands     "/>
          <s v="China; Greece      "/>
          <s v="Germany; Netherlands; United Kingdom     "/>
          <s v="Hong Kong       "/>
          <s v="Italy; Singapore      "/>
          <s v="France; Germany; Spain; Worldwide    "/>
          <s v="Finland; France      "/>
          <s v="India; Korea, South; Sweden; United Kingdom    "/>
          <s v="China; Japan      "/>
          <s v="Canada; China; France; Japan    "/>
          <s v="Canada; China; Germany; Turkey    "/>
          <s v="Japan; Singapore      "/>
          <s v="France; Germany; Israel     "/>
          <s v="Germany; Spain; Sweden     "/>
          <s v="Singapore; Spain      "/>
          <s v="Canada; France; Germany     "/>
          <s v="Italy; Japan; Spain; United Kingdom    "/>
          <s v="France; Japan; United Arab Emirates     "/>
          <s v="South Asia; Southeast Asia; Western Europe     "/>
          <s v="India; Japan; Switzerland     "/>
          <s v="China; France; Greece; Mexico    "/>
          <s v="Germany; Japan; Korea, South; Singapore    "/>
          <s v="Canada; China; Spain     "/>
          <s v="Germany; Italy; United Kingdom     "/>
          <s v="Germany; Italy; Netherlands     "/>
          <s v="Finland; Poland      "/>
          <s v="East Asia and Pacific; Western Europe      "/>
          <s v="France; Germany; Italy; Spain    "/>
          <s v="Canada; Japan; Spain; United Kingdom    "/>
          <s v="Hong Kong; Singapore; Taiwan; Vietnam    "/>
          <s v="Hong Kong; Malaysia; Singapore; Taiwan    "/>
          <s v="France; Germany; Spain     "/>
          <s v="Cyprus; France      "/>
          <s v="India; Ireland; Singapore; United Arab Emirates    "/>
          <s v="Italy; Samoa      "/>
          <s v="France; Portugal      "/>
          <s v="Israel; Worldwide      "/>
          <s v="Germany; Italy; Spain; United Kingdom    "/>
          <s v="Syria       "/>
          <s v="Germany; Italy; Japan     "/>
          <s v="Russia       "/>
          <s v="Colombia; Germany; Italy; Spain    "/>
          <s v="France; Netherlands; Spain; Sweden    "/>
          <s v="Hong Kong; Italy; United Kingdom     "/>
          <s v="Singapore; Spain; Worldwide     "/>
          <s v="Cyprus; Denmark      "/>
          <s v="Canada; France; Germany; United Kingdom    "/>
          <s v="Italy; Norway      "/>
          <s v="France; Spain; Switzerland     "/>
          <s v="Germany; Hong Kong; United Kingdom     "/>
          <s v="Germany; Italy; Japan; Spain    "/>
          <s v="Japan; Spain      "/>
          <s v="Germany; Hong Kong; Romania; Spain    "/>
          <s v="Germany; Norway      "/>
          <s v="Japan; Netherlands; Poland; Spain    "/>
          <s v="Ireland; United Kingdom; Worldwide     "/>
          <s v="Italy; Spain      "/>
          <s v="Norway; Spain      "/>
          <s v="Canada; France; Singapore; United Kingdom    "/>
          <s v="Italy; Taiwan      "/>
          <s v="Italy; Netherlands; Spain     "/>
          <s v="Croatia; Italy      "/>
          <s v="France; Germany; Greece; Singapore    "/>
          <s v="Sweden; United Kingdom      "/>
          <s v="France; Ukraine      "/>
          <s v="Germany; Korea, South; Poland; United Kingdom    "/>
          <s v="Czech Republic; France; Greece     "/>
          <s v="Chile; Germany      "/>
          <s v="Canada; France; Italy; United Kingdom    "/>
        </groupItems>
      </fieldGroup>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1">
  <r>
    <x v="0"/>
    <d v="2016-04-12T16:31:03"/>
    <x v="0"/>
    <x v="0"/>
    <s v="05010000"/>
    <m/>
    <x v="0"/>
    <s v=" "/>
    <x v="0"/>
    <x v="0"/>
    <x v="0"/>
    <x v="0"/>
    <n v="1"/>
    <n v="1"/>
    <n v="1"/>
    <s v="P160854"/>
    <s v="I"/>
    <x v="0"/>
    <s v="1612999"/>
    <s v="eJ"/>
    <s v="Goldman"/>
    <s v="Ronald"/>
    <x v="0"/>
    <s v="TX"/>
    <s v="rng@cs.rice.edu"/>
    <s v="000168374"/>
    <s v="0036046000"/>
    <s v="AF: Small: Subdivision and the Magic of Repeated Nonlinear Averaging"/>
    <n v="482546"/>
    <d v="2016-05-01T00:00:00"/>
    <n v="36"/>
    <s v="FY16CCFSM"/>
    <s v="Decline, DDConcurred"/>
    <s v="Computing and Communication Foundations (CCF): Core Programs"/>
    <s v="Division of Computing and Communication"/>
    <x v="0"/>
    <x v="0"/>
    <x v="0"/>
    <x v="0"/>
  </r>
</pivotCacheRecords>
</file>

<file path=xl/pivotCache/pivotCacheRecords2.xml><?xml version="1.0" encoding="utf-8"?>
<pivotCacheRecords xmlns="http://schemas.openxmlformats.org/spreadsheetml/2006/main" xmlns:r="http://schemas.openxmlformats.org/officeDocument/2006/relationships" count="1">
  <r>
    <x v="0"/>
    <d v="2016-04-12T16:31:03"/>
    <x v="0"/>
    <x v="0"/>
    <s v="05010000"/>
    <x v="0"/>
    <x v="0"/>
    <x v="0"/>
    <x v="0"/>
    <x v="0"/>
    <n v="1"/>
    <s v="I"/>
    <s v="1612999"/>
    <x v="0"/>
    <s v="1612999"/>
    <s v="eJ"/>
    <s v="AF: Small: Subdivision and the Magic of Repeated Nonlinear Averaging"/>
    <x v="0"/>
    <s v="Goldman"/>
    <x v="0"/>
    <s v="Ronald"/>
    <x v="0"/>
    <s v="M"/>
    <s v="rng@cs.rice.edu"/>
    <s v="Computer Science"/>
    <s v="0036046000"/>
    <s v="000168374"/>
    <n v="482546"/>
    <n v="36"/>
    <d v="2016-05-01T00:00:00"/>
    <s v="TX"/>
    <s v=""/>
  </r>
</pivotCacheRecords>
</file>

<file path=xl/pivotCache/pivotCacheRecords3.xml><?xml version="1.0" encoding="utf-8"?>
<pivotCacheRecords xmlns="http://schemas.openxmlformats.org/spreadsheetml/2006/main" xmlns:r="http://schemas.openxmlformats.org/officeDocument/2006/relationships" count="1">
  <r>
    <x v="0"/>
    <d v="2016-04-12T16:31:03"/>
    <x v="0"/>
    <x v="0"/>
    <s v="05010000"/>
    <x v="0"/>
    <x v="0"/>
    <x v="0"/>
    <x v="0"/>
    <x v="0"/>
    <n v="1"/>
    <s v="I"/>
    <s v="1612999"/>
    <x v="0"/>
    <s v="1612999"/>
    <s v="eJ"/>
    <s v="Goldman"/>
    <s v="Ronald"/>
    <s v="William Marsh Rice Univ"/>
    <s v="0036046000"/>
    <n v="482546"/>
    <n v="36"/>
    <d v="2016-05-01T00:00:00"/>
    <x v="0"/>
    <x v="0"/>
    <s v="7923,7933"/>
    <s v="FY16CCFSM"/>
    <s v="7796      "/>
    <m/>
    <m/>
    <x v="0"/>
    <s v="AF: Small: Subdivision and the Magic of Repeated Nonlinear Averagin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location ref="AZ10:BA12" firstHeaderRow="1" firstDataRow="1" firstDataCol="1"/>
  <pivotFields count="41">
    <pivotField numFmtId="167" showAll="0">
      <items count="2">
        <item x="0"/>
        <item t="default"/>
      </items>
    </pivotField>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showAll="0"/>
    <pivotField showAll="0">
      <items count="2">
        <item x="0"/>
        <item t="default"/>
      </items>
    </pivotField>
    <pivotField showAll="0" defaultSubtotal="0">
      <items count="1">
        <item x="0"/>
      </items>
    </pivotField>
    <pivotField showAll="0">
      <items count="2">
        <item x="0"/>
        <item t="default"/>
      </items>
    </pivotField>
    <pivotField showAll="0">
      <items count="2">
        <item x="0"/>
        <item t="default"/>
      </items>
    </pivotField>
    <pivotField showAll="0"/>
    <pivotField showAll="0"/>
    <pivotField showAll="0" defaultSubtotal="0"/>
    <pivotField showAll="0" defaultSubtotal="0"/>
    <pivotField showAll="0" defaultSubtotal="0"/>
    <pivotField showAll="0">
      <items count="2">
        <item x="0"/>
        <item t="default"/>
      </items>
    </pivotField>
    <pivotField dataField="1" showAll="0"/>
    <pivotField showAll="0" defaultSubtotal="0"/>
    <pivotField showAll="0" measureFilter="1" sortType="descending">
      <autoSortScope>
        <pivotArea dataOnly="0" outline="0" fieldPosition="0">
          <references count="1">
            <reference field="4294967294" count="1" selected="0">
              <x v="0"/>
            </reference>
          </references>
        </pivotArea>
      </autoSortScope>
    </pivotField>
    <pivotField showAll="0" sortType="descending">
      <autoSortScope>
        <pivotArea dataOnly="0" outline="0" fieldPosition="0">
          <references count="1">
            <reference field="4294967294" count="1" selected="0">
              <x v="0"/>
            </reference>
          </references>
        </pivotArea>
      </autoSortScope>
    </pivotField>
    <pivotField showAll="0" measureFilter="1"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defaultSubtotal="0"/>
    <pivotField numFmtId="164" showAll="0"/>
    <pivotField showAll="0"/>
    <pivotField showAll="0"/>
    <pivotField showAll="0"/>
    <pivotField showAll="0"/>
    <pivotField showAll="0"/>
    <pivotField showAll="0" defaultSubtotal="0"/>
    <pivotField axis="axisRow" showAll="0" measureFilter="1"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dragToRow="0" dragToCol="0" dragToPage="0" showAll="0" defaultSubtotal="0"/>
    <pivotField dragToRow="0" dragToCol="0" dragToPage="0" showAll="0" defaultSubtotal="0"/>
  </pivotFields>
  <rowFields count="1">
    <field x="36"/>
  </rowFields>
  <rowItems count="2">
    <i>
      <x/>
    </i>
    <i t="grand">
      <x/>
    </i>
  </rowItems>
  <colItems count="1">
    <i/>
  </colItems>
  <dataFields count="1">
    <dataField name="Count of prop_id" fld="18" subtotal="count" baseField="0" baseItem="0"/>
  </dataFields>
  <pivotTableStyleInfo name="PivotStyleMedium5" showRowHeaders="1" showColHeaders="1" showRowStripes="0" showColStripes="0" showLastColumn="1"/>
  <filters count="3">
    <filter fld="20" type="count" evalOrder="-1" id="1" iMeasureFld="0">
      <autoFilter ref="A1">
        <filterColumn colId="0">
          <top10 val="10" filterVal="10"/>
        </filterColumn>
      </autoFilter>
    </filter>
    <filter fld="22" type="count" evalOrder="-1" id="2" iMeasureFld="0">
      <autoFilter ref="A1">
        <filterColumn colId="0">
          <top10 val="10" filterVal="10"/>
        </filterColumn>
      </autoFilter>
    </filter>
    <filter fld="36"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18">
  <location ref="G72:H74" firstHeaderRow="1" firstDataRow="1" firstDataCol="1"/>
  <pivotFields count="41">
    <pivotField numFmtId="167" showAll="0">
      <items count="2">
        <item x="0"/>
        <item t="default"/>
      </items>
    </pivotField>
    <pivotField showAll="0"/>
    <pivotField showAll="0"/>
    <pivotField showAll="0">
      <items count="2">
        <item x="0"/>
        <item t="default"/>
      </items>
    </pivotField>
    <pivotField showAll="0"/>
    <pivotField showAll="0"/>
    <pivotField showAll="0">
      <items count="2">
        <item x="0"/>
        <item t="default"/>
      </items>
    </pivotField>
    <pivotField showAll="0"/>
    <pivotField showAll="0">
      <items count="2">
        <item x="0"/>
        <item t="default"/>
      </items>
    </pivotField>
    <pivotField showAll="0" defaultSubtotal="0">
      <items count="1">
        <item x="0"/>
      </items>
    </pivotField>
    <pivotField showAll="0">
      <items count="2">
        <item x="0"/>
        <item t="default"/>
      </items>
    </pivotField>
    <pivotField axis="axisRow" showAll="0">
      <items count="2">
        <item x="0"/>
        <item t="default"/>
      </items>
    </pivotField>
    <pivotField showAll="0"/>
    <pivotField showAll="0"/>
    <pivotField showAll="0" defaultSubtotal="0"/>
    <pivotField showAll="0" defaultSubtotal="0"/>
    <pivotField showAll="0" defaultSubtotal="0"/>
    <pivotField showAll="0">
      <items count="2">
        <item x="0"/>
        <item t="default"/>
      </items>
    </pivotField>
    <pivotField dataField="1" showAll="0"/>
    <pivotField showAll="0" defaultSubtotal="0"/>
    <pivotField showAll="0"/>
    <pivotField showAll="0"/>
    <pivotField showAll="0"/>
    <pivotField showAll="0"/>
    <pivotField showAll="0"/>
    <pivotField showAll="0"/>
    <pivotField showAll="0"/>
    <pivotField showAll="0"/>
    <pivotField showAll="0" defaultSubtotal="0"/>
    <pivotField numFmtId="164" showAll="0"/>
    <pivotField showAll="0"/>
    <pivotField showAll="0"/>
    <pivotField showAll="0"/>
    <pivotField showAll="0"/>
    <pivotField showAl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11"/>
  </rowFields>
  <rowItems count="2">
    <i>
      <x/>
    </i>
    <i t="grand">
      <x/>
    </i>
  </rowItems>
  <colItems count="1">
    <i/>
  </colItems>
  <dataFields count="1">
    <dataField name="Count of prop_id" fld="18" subtotal="count" baseField="10" baseItem="2"/>
  </dataFields>
  <chartFormats count="2">
    <chartFormat chart="1" format="0" series="1">
      <pivotArea type="data" outline="0" fieldPosition="0">
        <references count="1">
          <reference field="4294967294" count="1" selected="0">
            <x v="0"/>
          </reference>
        </references>
      </pivotArea>
    </chartFormat>
    <chartFormat chart="1" format="57">
      <pivotArea type="data" outline="0" fieldPosition="0">
        <references count="2">
          <reference field="4294967294" count="1" selected="0">
            <x v="0"/>
          </reference>
          <reference field="11" count="1" selected="0">
            <x v="0"/>
          </reference>
        </references>
      </pivotArea>
    </chartFormat>
  </chartFormat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location ref="AS10:AU13" firstHeaderRow="1" firstDataRow="1" firstDataCol="2"/>
  <pivotFields count="41">
    <pivotField numFmtId="167" showAll="0">
      <items count="2">
        <item x="0"/>
        <item t="default"/>
      </items>
    </pivotField>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showAll="0"/>
    <pivotField showAll="0">
      <items count="2">
        <item x="0"/>
        <item t="default"/>
      </items>
    </pivotField>
    <pivotField showAll="0" defaultSubtotal="0">
      <items count="1">
        <item x="0"/>
      </items>
    </pivotField>
    <pivotField showAll="0">
      <items count="2">
        <item x="0"/>
        <item t="default"/>
      </items>
    </pivotField>
    <pivotField showAll="0">
      <items count="2">
        <item x="0"/>
        <item t="default"/>
      </items>
    </pivotField>
    <pivotField showAll="0"/>
    <pivotField showAll="0"/>
    <pivotField showAll="0" defaultSubtotal="0"/>
    <pivotField showAll="0" defaultSubtotal="0"/>
    <pivotField showAll="0" defaultSubtotal="0"/>
    <pivotField showAll="0">
      <items count="2">
        <item x="0"/>
        <item t="default"/>
      </items>
    </pivotField>
    <pivotField dataField="1" showAll="0"/>
    <pivotField showAll="0" defaultSubtotal="0"/>
    <pivotField outline="0" showAll="0" measureFilter="1" sortType="descending" defaultSubtotal="0">
      <autoSortScope>
        <pivotArea dataOnly="0" outline="0" fieldPosition="0">
          <references count="1">
            <reference field="4294967294" count="1" selected="0">
              <x v="0"/>
            </reference>
          </references>
        </pivotArea>
      </autoSortScope>
    </pivotField>
    <pivotField outline="0" showAll="0" sortType="descending" defaultSubtotal="0">
      <autoSortScope>
        <pivotArea dataOnly="0" outline="0" fieldPosition="0">
          <references count="1">
            <reference field="4294967294" count="1" selected="0">
              <x v="0"/>
            </reference>
          </references>
        </pivotArea>
      </autoSortScope>
    </pivotField>
    <pivotField axis="axisRow" outline="0" showAll="0"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defaultSubtotal="0"/>
    <pivotField numFmtId="164" showAll="0"/>
    <pivotField showAll="0"/>
    <pivotField showAll="0"/>
    <pivotField showAll="0"/>
    <pivotField showAll="0"/>
    <pivotField showAll="0"/>
    <pivotField showAll="0" defaultSubtotal="0"/>
    <pivotField axis="axisRow" showAll="0"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dragToRow="0" dragToCol="0" dragToPage="0" showAll="0" defaultSubtotal="0"/>
    <pivotField dragToRow="0" dragToCol="0" dragToPage="0" showAll="0" defaultSubtotal="0"/>
  </pivotFields>
  <rowFields count="2">
    <field x="22"/>
    <field x="36"/>
  </rowFields>
  <rowItems count="3">
    <i>
      <x/>
      <x/>
    </i>
    <i t="default">
      <x/>
    </i>
    <i t="grand">
      <x/>
    </i>
  </rowItems>
  <colItems count="1">
    <i/>
  </colItems>
  <dataFields count="1">
    <dataField name="Count of prop_id" fld="18" subtotal="count" baseField="0" baseItem="0"/>
  </dataFields>
  <pivotTableStyleInfo name="PivotStyleMedium5" showRowHeaders="1" showColHeaders="1" showRowStripes="0" showColStripes="0" showLastColumn="1"/>
  <filters count="2">
    <filter fld="22" type="count" evalOrder="-1" id="420" iMeasureFld="0">
      <autoFilter ref="A1">
        <filterColumn colId="0">
          <top10 val="10" filterVal="10"/>
        </filterColumn>
      </autoFilter>
    </filter>
    <filter fld="2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48">
  <location ref="C70:D72" firstHeaderRow="1" firstDataRow="1" firstDataCol="1"/>
  <pivotFields count="41">
    <pivotField numFmtId="164" showAll="0">
      <items count="2">
        <item x="0"/>
        <item t="default"/>
      </items>
    </pivotField>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showAll="0"/>
    <pivotField showAll="0">
      <items count="2">
        <item x="0"/>
        <item t="default"/>
      </items>
    </pivotField>
    <pivotField showAll="0" defaultSubtotal="0">
      <items count="1">
        <item x="0"/>
      </items>
    </pivotField>
    <pivotField showAll="0">
      <items count="2">
        <item x="0"/>
        <item t="default"/>
      </items>
    </pivotField>
    <pivotField showAll="0">
      <items count="2">
        <item x="0"/>
        <item t="default"/>
      </items>
    </pivotField>
    <pivotField dataField="1" showAll="0"/>
    <pivotField showAll="0"/>
    <pivotField showAll="0" defaultSubtotal="0"/>
    <pivotField showAll="0" defaultSubtotal="0"/>
    <pivotField showAll="0" defaultSubtotal="0"/>
    <pivotField showAll="0">
      <items count="2">
        <item x="0"/>
        <item t="default"/>
      </items>
    </pivotField>
    <pivotField showAll="0"/>
    <pivotField showAll="0" defaultSubtotal="0"/>
    <pivotField showAll="0"/>
    <pivotField showAll="0"/>
    <pivotField showAll="0"/>
    <pivotField showAll="0"/>
    <pivotField showAll="0"/>
    <pivotField showAll="0"/>
    <pivotField showAll="0"/>
    <pivotField showAll="0"/>
    <pivotField showAll="0" defaultSubtotal="0"/>
    <pivotField numFmtId="164" showAll="0"/>
    <pivotField showAll="0"/>
    <pivotField showAll="0"/>
    <pivotField showAll="0"/>
    <pivotField showAll="0"/>
    <pivotField showAll="0"/>
    <pivotField showAll="0" defaultSubtotal="0"/>
    <pivotField showAll="0" defaultSubtotal="0"/>
    <pivotField axis="axisRow" showAll="0" sortType="ascending" defaultSubtotal="0">
      <items count="1">
        <item x="0"/>
      </items>
    </pivotField>
    <pivotField showAll="0" defaultSubtotal="0"/>
    <pivotField dragToRow="0" dragToCol="0" dragToPage="0" showAll="0" defaultSubtotal="0"/>
    <pivotField dragToRow="0" dragToCol="0" dragToPage="0" showAll="0" defaultSubtotal="0"/>
  </pivotFields>
  <rowFields count="1">
    <field x="37"/>
  </rowFields>
  <rowItems count="2">
    <i>
      <x/>
    </i>
    <i t="grand">
      <x/>
    </i>
  </rowItems>
  <colItems count="1">
    <i/>
  </colItems>
  <dataFields count="1">
    <dataField name="Sum of nProp" fld="12" baseField="0" baseItem="0"/>
  </dataFields>
  <chartFormats count="1">
    <chartFormat chart="2" format="1"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location ref="AK10:AN14" firstHeaderRow="0" firstDataRow="1" firstDataCol="1"/>
  <pivotFields count="41">
    <pivotField numFmtId="167" showAll="0">
      <items count="2">
        <item x="0"/>
        <item t="default"/>
      </items>
    </pivotField>
    <pivotField showAll="0"/>
    <pivotField showAll="0">
      <items count="2">
        <item x="0"/>
        <item t="default"/>
      </items>
    </pivotField>
    <pivotField axis="axisRow" showAll="0">
      <items count="2">
        <item x="0"/>
        <item t="default"/>
      </items>
    </pivotField>
    <pivotField showAll="0"/>
    <pivotField showAll="0"/>
    <pivotField axis="axisRow" showAll="0">
      <items count="2">
        <item x="0"/>
        <item t="default"/>
      </items>
    </pivotField>
    <pivotField showAll="0"/>
    <pivotField showAll="0">
      <items count="2">
        <item x="0"/>
        <item t="default"/>
      </items>
    </pivotField>
    <pivotField showAll="0" defaultSubtotal="0">
      <items count="1">
        <item x="0"/>
      </items>
    </pivotField>
    <pivotField showAll="0">
      <items count="2">
        <item x="0"/>
        <item t="default"/>
      </items>
    </pivotField>
    <pivotField showAll="0">
      <items count="2">
        <item x="0"/>
        <item t="default"/>
      </items>
    </pivotField>
    <pivotField showAll="0"/>
    <pivotField showAll="0"/>
    <pivotField showAll="0" defaultSubtotal="0"/>
    <pivotField showAll="0" defaultSubtotal="0"/>
    <pivotField showAll="0" defaultSubtotal="0"/>
    <pivotField axis="axisRow" showAll="0">
      <items count="2">
        <item x="0"/>
        <item t="default"/>
      </items>
    </pivotField>
    <pivotField showAll="0"/>
    <pivotField showAll="0" defaultSubtotal="0"/>
    <pivotField showAll="0"/>
    <pivotField showAll="0"/>
    <pivotField showAll="0"/>
    <pivotField showAll="0"/>
    <pivotField showAll="0"/>
    <pivotField showAll="0"/>
    <pivotField showAll="0"/>
    <pivotField showAll="0"/>
    <pivotField dataField="1" showAll="0" defaultSubtotal="0"/>
    <pivotField numFmtId="164" showAll="0"/>
    <pivotField showAll="0"/>
    <pivotField showAll="0"/>
    <pivotField showAll="0"/>
    <pivotField showAll="0"/>
    <pivotField showAl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3">
    <field x="3"/>
    <field x="17"/>
    <field x="6"/>
  </rowFields>
  <rowItems count="4">
    <i>
      <x/>
    </i>
    <i r="1">
      <x/>
    </i>
    <i r="2">
      <x/>
    </i>
    <i t="grand">
      <x/>
    </i>
  </rowItems>
  <colFields count="1">
    <field x="-2"/>
  </colFields>
  <colItems count="3">
    <i>
      <x/>
    </i>
    <i i="1">
      <x v="1"/>
    </i>
    <i i="2">
      <x v="2"/>
    </i>
  </colItems>
  <dataFields count="3">
    <dataField name="Min of rqst_dol_tot" fld="28" subtotal="min" baseField="6" baseItem="0"/>
    <dataField name="Average of rqst_dol_tot" fld="28" subtotal="average" baseField="6" baseItem="0"/>
    <dataField name="Max of rqst_dol_tot2" fld="28" subtotal="max" baseField="6" baseItem="0"/>
  </dataFields>
  <formats count="1">
    <format dxfId="322">
      <pivotArea outline="0" collapsedLevelsAreSubtotals="1" fieldPosition="0"/>
    </format>
  </format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olHeaderCaption="Proposal Status">
  <location ref="Y10:AA15" firstHeaderRow="1" firstDataRow="2" firstDataCol="1"/>
  <pivotFields count="41">
    <pivotField numFmtId="167" showAll="0">
      <items count="2">
        <item x="0"/>
        <item t="default"/>
      </items>
    </pivotField>
    <pivotField showAll="0"/>
    <pivotField showAll="0">
      <items count="2">
        <item x="0"/>
        <item t="default"/>
      </items>
    </pivotField>
    <pivotField axis="axisRow" showAll="0">
      <items count="2">
        <item x="0"/>
        <item t="default"/>
      </items>
    </pivotField>
    <pivotField showAll="0"/>
    <pivotField showAll="0"/>
    <pivotField axis="axisRow" showAll="0"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items count="2">
        <item x="0"/>
        <item t="default"/>
      </items>
    </pivotField>
    <pivotField showAll="0" defaultSubtotal="0">
      <items count="1">
        <item x="0"/>
      </items>
    </pivotField>
    <pivotField showAll="0">
      <items count="2">
        <item x="0"/>
        <item t="default"/>
      </items>
    </pivotField>
    <pivotField axis="axisCol" showAll="0" defaultSubtotal="0">
      <items count="1">
        <item x="0"/>
      </items>
    </pivotField>
    <pivotField showAll="0"/>
    <pivotField showAll="0"/>
    <pivotField showAll="0" defaultSubtotal="0"/>
    <pivotField showAll="0" defaultSubtotal="0"/>
    <pivotField showAll="0" defaultSubtotal="0"/>
    <pivotField axis="axisRow" showAll="0">
      <items count="2">
        <item x="0"/>
        <item t="default"/>
      </items>
    </pivotField>
    <pivotField dataField="1" showAll="0"/>
    <pivotField showAll="0" defaultSubtotal="0"/>
    <pivotField showAll="0"/>
    <pivotField showAll="0"/>
    <pivotField showAll="0"/>
    <pivotField showAll="0"/>
    <pivotField showAll="0"/>
    <pivotField showAll="0"/>
    <pivotField showAll="0"/>
    <pivotField showAll="0"/>
    <pivotField showAll="0" defaultSubtotal="0"/>
    <pivotField numFmtId="164" showAll="0"/>
    <pivotField showAll="0"/>
    <pivotField showAll="0"/>
    <pivotField showAll="0"/>
    <pivotField showAll="0"/>
    <pivotField showAl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3">
    <field x="3"/>
    <field x="17"/>
    <field x="6"/>
  </rowFields>
  <rowItems count="4">
    <i>
      <x/>
    </i>
    <i r="1">
      <x/>
    </i>
    <i r="2">
      <x/>
    </i>
    <i t="grand">
      <x/>
    </i>
  </rowItems>
  <colFields count="1">
    <field x="11"/>
  </colFields>
  <colItems count="2">
    <i>
      <x/>
    </i>
    <i t="grand">
      <x/>
    </i>
  </colItems>
  <dataFields count="1">
    <dataField name="Project Count" fld="18" subtotal="count" baseField="0" baseItem="0"/>
  </dataFields>
  <formats count="2">
    <format dxfId="324">
      <pivotArea grandCol="1" outline="0" collapsedLevelsAreSubtotals="1" fieldPosition="0"/>
    </format>
    <format dxfId="323">
      <pivotArea dataOnly="0" labelOnly="1" grandCol="1" outline="0" fieldPosition="0"/>
    </format>
  </format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19">
  <location ref="Y89:AA92" firstHeaderRow="1" firstDataRow="2" firstDataCol="1"/>
  <pivotFields count="41">
    <pivotField numFmtId="167" showAll="0">
      <items count="2">
        <item x="0"/>
        <item t="default"/>
      </items>
    </pivotField>
    <pivotField showAll="0"/>
    <pivotField showAll="0">
      <items count="2">
        <item x="0"/>
        <item t="default"/>
      </items>
    </pivotField>
    <pivotField showAll="0">
      <items count="2">
        <item x="0"/>
        <item t="default"/>
      </items>
    </pivotField>
    <pivotField showAll="0"/>
    <pivotField showAll="0"/>
    <pivotField axis="axisRow" showAll="0">
      <items count="2">
        <item x="0"/>
        <item t="default"/>
      </items>
    </pivotField>
    <pivotField showAll="0"/>
    <pivotField showAll="0">
      <items count="2">
        <item x="0"/>
        <item t="default"/>
      </items>
    </pivotField>
    <pivotField showAll="0">
      <items count="2">
        <item x="0"/>
        <item t="default"/>
      </items>
    </pivotField>
    <pivotField axis="axisCol" showAll="0">
      <items count="2">
        <item x="0"/>
        <item t="default"/>
      </items>
    </pivotField>
    <pivotField showAll="0">
      <items count="2">
        <item x="0"/>
        <item t="default"/>
      </items>
    </pivotField>
    <pivotField showAll="0"/>
    <pivotField showAll="0"/>
    <pivotField showAll="0"/>
    <pivotField showAll="0"/>
    <pivotField showAll="0"/>
    <pivotField showAll="0">
      <items count="2">
        <item x="0"/>
        <item t="default"/>
      </items>
    </pivotField>
    <pivotField dataField="1" showAll="0"/>
    <pivotField showAll="0" defaultSubtotal="0"/>
    <pivotField showAll="0"/>
    <pivotField showAll="0"/>
    <pivotField showAll="0"/>
    <pivotField showAll="0"/>
    <pivotField showAll="0"/>
    <pivotField showAll="0"/>
    <pivotField showAll="0"/>
    <pivotField showAll="0"/>
    <pivotField showAll="0" defaultSubtotal="0"/>
    <pivotField numFmtId="164" showAll="0"/>
    <pivotField showAll="0"/>
    <pivotField showAll="0"/>
    <pivotField showAll="0"/>
    <pivotField showAll="0"/>
    <pivotField showAll="0"/>
    <pivotField showAl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6"/>
  </rowFields>
  <rowItems count="2">
    <i>
      <x/>
    </i>
    <i t="grand">
      <x/>
    </i>
  </rowItems>
  <colFields count="1">
    <field x="10"/>
  </colFields>
  <colItems count="2">
    <i>
      <x/>
    </i>
    <i t="grand">
      <x/>
    </i>
  </colItems>
  <dataFields count="1">
    <dataField name="Count of prop_id" fld="18" subtotal="count" baseField="0" baseItem="0"/>
  </dataFields>
  <formats count="2">
    <format dxfId="326">
      <pivotArea field="6" type="button" dataOnly="0" labelOnly="1" outline="0" axis="axisRow" fieldPosition="0"/>
    </format>
    <format dxfId="325">
      <pivotArea dataOnly="0" labelOnly="1" grandCol="1" outline="0" fieldPosition="0"/>
    </format>
  </formats>
  <chartFormats count="2">
    <chartFormat chart="2" format="6" series="1">
      <pivotArea type="data" outline="0" fieldPosition="0">
        <references count="1">
          <reference field="4294967294" count="1" selected="0">
            <x v="0"/>
          </reference>
        </references>
      </pivotArea>
    </chartFormat>
    <chartFormat chart="2" format="13" series="1">
      <pivotArea type="data" outline="0" fieldPosition="0">
        <references count="2">
          <reference field="4294967294" count="1" selected="0">
            <x v="0"/>
          </reference>
          <reference field="10" count="1" selected="0">
            <x v="0"/>
          </reference>
        </references>
      </pivotArea>
    </chartFormat>
  </chartFormat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3">
  <location ref="BD10:BE12" firstHeaderRow="1" firstDataRow="1" firstDataCol="1"/>
  <pivotFields count="41">
    <pivotField numFmtId="167" showAll="0">
      <items count="2">
        <item x="0"/>
        <item t="default"/>
      </items>
    </pivotField>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 showAll="0"/>
    <pivotField showAll="0"/>
    <pivotField showAll="0"/>
    <pivotField showAll="0"/>
    <pivotField showAll="0">
      <items count="2">
        <item x="0"/>
        <item t="default"/>
      </items>
    </pivotField>
    <pivotField dataField="1" showAll="0"/>
    <pivotField showAll="0" defaultSubtotal="0"/>
    <pivotField showAll="0"/>
    <pivotField showAll="0"/>
    <pivotField showAll="0"/>
    <pivotField showAll="0"/>
    <pivotField showAll="0"/>
    <pivotField showAll="0"/>
    <pivotField showAll="0"/>
    <pivotField showAll="0"/>
    <pivotField showAll="0" defaultSubtotal="0"/>
    <pivotField numFmtId="164" showAll="0"/>
    <pivotField showAll="0"/>
    <pivotField showAll="0"/>
    <pivotField showAll="0"/>
    <pivotField showAll="0"/>
    <pivotField showAll="0"/>
    <pivotField showAll="0"/>
    <pivotField showAll="0" defaultSubtotal="0"/>
    <pivotField showAll="0" defaultSubtotal="0"/>
    <pivotField axis="axisRow" showAll="0">
      <items count="2">
        <item x="0"/>
        <item t="default"/>
      </items>
    </pivotField>
    <pivotField dragToRow="0" dragToCol="0" dragToPage="0" showAll="0" defaultSubtotal="0"/>
    <pivotField dragToRow="0" dragToCol="0" dragToPage="0" showAll="0" defaultSubtotal="0"/>
  </pivotFields>
  <rowFields count="1">
    <field x="38"/>
  </rowFields>
  <rowItems count="2">
    <i>
      <x/>
    </i>
    <i t="grand">
      <x/>
    </i>
  </rowItems>
  <colItems count="1">
    <i/>
  </colItems>
  <dataFields count="1">
    <dataField name="Count of prop_id" fld="18" subtotal="count" baseField="0" baseItem="0"/>
  </dataFields>
  <chartFormats count="2">
    <chartFormat chart="1" format="0" series="1">
      <pivotArea type="data" outline="0" fieldPosition="0">
        <references count="1">
          <reference field="4294967294" count="1" selected="0">
            <x v="0"/>
          </reference>
        </references>
      </pivotArea>
    </chartFormat>
    <chartFormat chart="1" format="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39">
  <location ref="Y76:Z78" firstHeaderRow="1" firstDataRow="1" firstDataCol="1"/>
  <pivotFields count="41">
    <pivotField numFmtId="167" showAll="0">
      <items count="2">
        <item x="0"/>
        <item t="default"/>
      </items>
    </pivotField>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 showAll="0"/>
    <pivotField showAll="0"/>
    <pivotField showAll="0"/>
    <pivotField showAll="0"/>
    <pivotField showAll="0">
      <items count="2">
        <item x="0"/>
        <item t="default"/>
      </items>
    </pivotField>
    <pivotField dataField="1" showAll="0"/>
    <pivotField showAll="0" defaultSubtotal="0"/>
    <pivotField showAll="0"/>
    <pivotField showAll="0"/>
    <pivotField showAll="0"/>
    <pivotField showAll="0"/>
    <pivotField showAll="0"/>
    <pivotField showAll="0"/>
    <pivotField showAll="0"/>
    <pivotField showAll="0"/>
    <pivotField showAll="0" defaultSubtotal="0"/>
    <pivotField numFmtId="164" showAll="0"/>
    <pivotField showAll="0"/>
    <pivotField showAll="0"/>
    <pivotField showAll="0"/>
    <pivotField showAll="0"/>
    <pivotField showAll="0"/>
    <pivotField axis="axisRow" showAll="0">
      <items count="2">
        <item x="0"/>
        <item t="default"/>
      </items>
    </pivotField>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35"/>
  </rowFields>
  <rowItems count="2">
    <i>
      <x/>
    </i>
    <i t="grand">
      <x/>
    </i>
  </rowItems>
  <colItems count="1">
    <i/>
  </colItems>
  <dataFields count="1">
    <dataField name="Count of prop_id" fld="18" subtotal="count" baseField="0" baseItem="0"/>
  </dataFields>
  <formats count="2">
    <format dxfId="328">
      <pivotArea field="6" type="button" dataOnly="0" labelOnly="1" outline="0"/>
    </format>
    <format dxfId="327">
      <pivotArea dataOnly="0" labelOnly="1" grandCol="1" outline="0" fieldPosition="0"/>
    </format>
  </formats>
  <chartFormats count="2">
    <chartFormat chart="29" format="0" series="1">
      <pivotArea type="data" outline="0" fieldPosition="0">
        <references count="1">
          <reference field="4294967294" count="1" selected="0">
            <x v="0"/>
          </reference>
        </references>
      </pivotArea>
    </chartFormat>
    <chartFormat chart="29" format="32">
      <pivotArea type="data" outline="0" fieldPosition="0">
        <references count="2">
          <reference field="4294967294" count="1" selected="0">
            <x v="0"/>
          </reference>
          <reference field="35" count="1" selected="0">
            <x v="0"/>
          </reference>
        </references>
      </pivotArea>
    </chartFormat>
  </chartFormat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1"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location ref="U10:V12" firstHeaderRow="1" firstDataRow="1" firstDataCol="1"/>
  <pivotFields count="32">
    <pivotField numFmtId="167" showAll="0">
      <items count="2">
        <item x="0"/>
        <item t="default"/>
      </items>
    </pivotField>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showAll="0" defaultSubtotal="0">
      <items count="1">
        <item x="0"/>
      </items>
    </pivotField>
    <pivotField showAll="0">
      <items count="2">
        <item x="0"/>
        <item t="default"/>
      </items>
    </pivotField>
    <pivotField showAll="0">
      <items count="2">
        <item x="0"/>
        <item t="default"/>
      </items>
    </pivotField>
    <pivotField showAll="0" defaultSubtotal="0"/>
    <pivotField showAll="0"/>
    <pivotField showAll="0"/>
    <pivotField showAll="0">
      <items count="2">
        <item x="0"/>
        <item t="default"/>
      </items>
    </pivotField>
    <pivotField dataField="1" showAll="0"/>
    <pivotField showAll="0"/>
    <pivotField showAll="0"/>
    <pivotField showAll="0"/>
    <pivotField showAll="0"/>
    <pivotField showAll="0" defaultSubtotal="0"/>
    <pivotField showAll="0"/>
    <pivotField axis="axisRow" showAll="0"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pivotField numFmtId="165" showAll="0" defaultSubtotal="0"/>
    <pivotField showAll="0"/>
    <pivotField numFmtId="164" showAll="0"/>
    <pivotField showAll="0" defaultSubtotal="0"/>
    <pivotField showAll="0"/>
  </pivotFields>
  <rowFields count="1">
    <field x="21"/>
  </rowFields>
  <rowItems count="2">
    <i>
      <x/>
    </i>
    <i t="grand">
      <x/>
    </i>
  </rowItems>
  <colItems count="1">
    <i/>
  </colItems>
  <dataFields count="1">
    <dataField name="Count of prop_id" fld="14" subtotal="count" baseField="0" baseItem="0"/>
  </dataFields>
  <pivotTableStyleInfo name="PivotStyleMedium14" showRowHeaders="1" showColHeaders="1" showRowStripes="0" showColStripes="0" showLastColumn="1"/>
  <filters count="1">
    <filter fld="21"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location ref="M10:O13" firstHeaderRow="1" firstDataRow="2" firstDataCol="1"/>
  <pivotFields count="32">
    <pivotField numFmtId="167" showAll="0">
      <items count="2">
        <item x="0"/>
        <item t="default"/>
      </items>
    </pivotField>
    <pivotField showAll="0"/>
    <pivotField showAll="0">
      <items count="2">
        <item x="0"/>
        <item t="default"/>
      </items>
    </pivotField>
    <pivotField showAll="0">
      <items count="2">
        <item x="0"/>
        <item t="default"/>
      </items>
    </pivotField>
    <pivotField showAll="0"/>
    <pivotField showAll="0">
      <items count="2">
        <item x="0"/>
        <item t="default"/>
      </items>
    </pivotField>
    <pivotField showAll="0">
      <items count="2">
        <item x="0"/>
        <item t="default"/>
      </items>
    </pivotField>
    <pivotField showAll="0" defaultSubtotal="0">
      <items count="1">
        <item x="0"/>
      </items>
    </pivotField>
    <pivotField showAll="0">
      <items count="2">
        <item x="0"/>
        <item t="default"/>
      </items>
    </pivotField>
    <pivotField showAll="0">
      <items count="2">
        <item x="0"/>
        <item t="default"/>
      </items>
    </pivotField>
    <pivotField showAll="0" defaultSubtotal="0"/>
    <pivotField showAll="0"/>
    <pivotField showAll="0"/>
    <pivotField showAll="0">
      <items count="2">
        <item x="0"/>
        <item t="default"/>
      </items>
    </pivotField>
    <pivotField dataField="1" showAll="0"/>
    <pivotField showAll="0"/>
    <pivotField showAll="0"/>
    <pivotField axis="axisCol" showAll="0">
      <items count="2">
        <item x="0"/>
        <item t="default"/>
      </items>
    </pivotField>
    <pivotField showAll="0"/>
    <pivotField axis="axisRow" showAll="0" measureFilter="1" sortType="descending" defaultSubtotal="0">
      <items count="1">
        <item x="0"/>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defaultSubtotal="0"/>
    <pivotField showAll="0"/>
    <pivotField numFmtId="165" showAll="0" defaultSubtotal="0"/>
    <pivotField showAll="0"/>
    <pivotField numFmtId="164" showAll="0"/>
    <pivotField showAll="0" defaultSubtotal="0"/>
    <pivotField showAll="0"/>
  </pivotFields>
  <rowFields count="1">
    <field x="19"/>
  </rowFields>
  <rowItems count="2">
    <i>
      <x/>
    </i>
    <i t="grand">
      <x/>
    </i>
  </rowItems>
  <colFields count="1">
    <field x="17"/>
  </colFields>
  <colItems count="2">
    <i>
      <x/>
    </i>
    <i t="grand">
      <x/>
    </i>
  </colItems>
  <dataFields count="1">
    <dataField name="Count of prop_id" fld="14" subtotal="count" baseField="0" baseItem="0"/>
  </dataFields>
  <pivotTableStyleInfo name="PivotStyleMedium14" showRowHeaders="1" showColHeaders="1" showRowStripes="0" showColStripes="0" showLastColumn="1"/>
  <filters count="1">
    <filter fld="19" type="count" evalOrder="-1" id="1" iMeasureFld="0">
      <autoFilter ref="A1">
        <filterColumn colId="0">
          <top10 val="20" filterVal="2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12"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location ref="Y10:Z12" firstHeaderRow="1" firstDataRow="1" firstDataCol="1"/>
  <pivotFields count="32">
    <pivotField numFmtId="167" showAll="0">
      <items count="2">
        <item x="0"/>
        <item t="default"/>
      </items>
    </pivotField>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showAll="0" defaultSubtotal="0">
      <items count="1">
        <item x="0"/>
      </items>
    </pivotField>
    <pivotField showAll="0">
      <items count="2">
        <item x="0"/>
        <item t="default"/>
      </items>
    </pivotField>
    <pivotField showAll="0">
      <items count="2">
        <item x="0"/>
        <item t="default"/>
      </items>
    </pivotField>
    <pivotField showAll="0" defaultSubtotal="0"/>
    <pivotField showAll="0"/>
    <pivotField showAll="0"/>
    <pivotField showAll="0">
      <items count="2">
        <item x="0"/>
        <item t="default"/>
      </items>
    </pivotField>
    <pivotField dataField="1" showAll="0"/>
    <pivotField showAll="0"/>
    <pivotField showAll="0"/>
    <pivotField showAll="0"/>
    <pivotField showAll="0"/>
    <pivotField showAll="0" defaultSubtotal="0"/>
    <pivotField showAll="0"/>
    <pivotField axis="axisRow" showAll="0"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pivotField numFmtId="165" showAll="0" defaultSubtotal="0"/>
    <pivotField showAll="0"/>
    <pivotField numFmtId="164" showAll="0"/>
    <pivotField showAll="0" defaultSubtotal="0"/>
    <pivotField showAll="0"/>
  </pivotFields>
  <rowFields count="1">
    <field x="21"/>
  </rowFields>
  <rowItems count="2">
    <i>
      <x/>
    </i>
    <i t="grand">
      <x/>
    </i>
  </rowItems>
  <colItems count="1">
    <i/>
  </colItems>
  <dataFields count="1">
    <dataField name="Count of prop_id" fld="14" subtotal="count" baseField="0" baseItem="0"/>
  </dataFields>
  <pivotTableStyleInfo name="PivotStyleMedium14" showRowHeaders="1" showColHeaders="1" showRowStripes="0" showColStripes="0" showLastColumn="1"/>
  <filters count="1">
    <filter fld="21" type="count" evalOrder="-1" id="1"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location ref="AB10:AC12" firstHeaderRow="1" firstDataRow="1" firstDataCol="1"/>
  <pivotFields count="33">
    <pivotField numFmtId="167" showAll="0">
      <items count="2">
        <item x="0"/>
        <item t="default"/>
      </items>
    </pivotField>
    <pivotField showAll="0"/>
    <pivotField showAll="0">
      <items count="60">
        <item m="1" x="1"/>
        <item m="1" x="7"/>
        <item m="1" x="47"/>
        <item m="1" x="20"/>
        <item m="1" x="51"/>
        <item m="1" x="3"/>
        <item m="1" x="24"/>
        <item m="1" x="29"/>
        <item m="1" x="8"/>
        <item m="1" x="52"/>
        <item m="1" x="13"/>
        <item m="1" x="22"/>
        <item m="1" x="49"/>
        <item m="1" x="57"/>
        <item m="1" x="48"/>
        <item m="1" x="45"/>
        <item m="1" x="31"/>
        <item m="1" x="5"/>
        <item m="1" x="28"/>
        <item m="1" x="34"/>
        <item m="1" x="14"/>
        <item m="1" x="23"/>
        <item m="1" x="55"/>
        <item x="0"/>
        <item m="1" x="10"/>
        <item m="1" x="18"/>
        <item m="1" x="30"/>
        <item m="1" x="38"/>
        <item m="1" x="11"/>
        <item m="1" x="46"/>
        <item m="1" x="50"/>
        <item m="1" x="2"/>
        <item m="1" x="36"/>
        <item m="1" x="32"/>
        <item m="1" x="41"/>
        <item m="1" x="33"/>
        <item m="1" x="43"/>
        <item m="1" x="6"/>
        <item m="1" x="53"/>
        <item m="1" x="35"/>
        <item m="1" x="21"/>
        <item m="1" x="39"/>
        <item m="1" x="19"/>
        <item m="1" x="26"/>
        <item m="1" x="9"/>
        <item m="1" x="40"/>
        <item m="1" x="27"/>
        <item m="1" x="58"/>
        <item m="1" x="44"/>
        <item m="1" x="54"/>
        <item m="1" x="15"/>
        <item m="1" x="56"/>
        <item m="1" x="25"/>
        <item m="1" x="37"/>
        <item m="1" x="16"/>
        <item m="1" x="17"/>
        <item m="1" x="42"/>
        <item m="1" x="12"/>
        <item m="1" x="4"/>
        <item t="default"/>
      </items>
    </pivotField>
    <pivotField showAll="0">
      <items count="8">
        <item m="1" x="2"/>
        <item x="0"/>
        <item m="1" x="1"/>
        <item m="1" x="6"/>
        <item m="1" x="3"/>
        <item m="1" x="5"/>
        <item m="1" x="4"/>
        <item t="default"/>
      </items>
    </pivotField>
    <pivotField showAll="0"/>
    <pivotField showAll="0">
      <items count="176">
        <item m="1" x="16"/>
        <item m="1" x="30"/>
        <item m="1" x="127"/>
        <item m="1" x="163"/>
        <item m="1" x="19"/>
        <item m="1" x="57"/>
        <item m="1" x="118"/>
        <item m="1" x="70"/>
        <item m="1" x="89"/>
        <item m="1" x="81"/>
        <item m="1" x="109"/>
        <item m="1" x="138"/>
        <item m="1" x="107"/>
        <item m="1" x="146"/>
        <item m="1" x="77"/>
        <item m="1" x="105"/>
        <item m="1" x="74"/>
        <item m="1" x="124"/>
        <item m="1" x="158"/>
        <item m="1" x="79"/>
        <item m="1" x="84"/>
        <item m="1" x="123"/>
        <item m="1" x="34"/>
        <item m="1" x="50"/>
        <item m="1" x="106"/>
        <item m="1" x="17"/>
        <item m="1" x="174"/>
        <item m="1" x="69"/>
        <item m="1" x="172"/>
        <item m="1" x="102"/>
        <item m="1" x="126"/>
        <item m="1" x="92"/>
        <item m="1" x="173"/>
        <item m="1" x="157"/>
        <item m="1" x="90"/>
        <item m="1" x="58"/>
        <item m="1" x="143"/>
        <item m="1" x="121"/>
        <item m="1" x="72"/>
        <item m="1" x="66"/>
        <item m="1" x="49"/>
        <item m="1" x="137"/>
        <item m="1" x="5"/>
        <item m="1" x="28"/>
        <item m="1" x="136"/>
        <item m="1" x="113"/>
        <item m="1" x="144"/>
        <item m="1" x="140"/>
        <item m="1" x="122"/>
        <item m="1" x="162"/>
        <item m="1" x="18"/>
        <item m="1" x="82"/>
        <item m="1" x="14"/>
        <item m="1" x="43"/>
        <item m="1" x="142"/>
        <item m="1" x="26"/>
        <item m="1" x="95"/>
        <item m="1" x="67"/>
        <item m="1" x="159"/>
        <item m="1" x="128"/>
        <item m="1" x="131"/>
        <item m="1" x="119"/>
        <item m="1" x="91"/>
        <item m="1" x="167"/>
        <item m="1" x="166"/>
        <item m="1" x="155"/>
        <item m="1" x="37"/>
        <item m="1" x="65"/>
        <item m="1" x="64"/>
        <item m="1" x="33"/>
        <item m="1" x="151"/>
        <item m="1" x="63"/>
        <item m="1" x="85"/>
        <item m="1" x="53"/>
        <item m="1" x="36"/>
        <item m="1" x="1"/>
        <item m="1" x="100"/>
        <item m="1" x="2"/>
        <item m="1" x="41"/>
        <item m="1" x="135"/>
        <item m="1" x="169"/>
        <item m="1" x="152"/>
        <item m="1" x="76"/>
        <item m="1" x="148"/>
        <item m="1" x="8"/>
        <item m="1" x="29"/>
        <item m="1" x="20"/>
        <item m="1" x="120"/>
        <item m="1" x="145"/>
        <item m="1" x="103"/>
        <item m="1" x="104"/>
        <item m="1" x="139"/>
        <item m="1" x="78"/>
        <item m="1" x="111"/>
        <item m="1" x="80"/>
        <item m="1" x="150"/>
        <item m="1" x="73"/>
        <item m="1" x="141"/>
        <item m="1" x="75"/>
        <item m="1" x="51"/>
        <item m="1" x="94"/>
        <item m="1" x="11"/>
        <item m="1" x="46"/>
        <item m="1" x="47"/>
        <item m="1" x="52"/>
        <item m="1" x="12"/>
        <item m="1" x="23"/>
        <item m="1" x="55"/>
        <item m="1" x="161"/>
        <item m="1" x="71"/>
        <item m="1" x="9"/>
        <item m="1" x="44"/>
        <item m="1" x="88"/>
        <item m="1" x="22"/>
        <item m="1" x="39"/>
        <item m="1" x="149"/>
        <item m="1" x="10"/>
        <item m="1" x="129"/>
        <item m="1" x="97"/>
        <item m="1" x="130"/>
        <item m="1" x="83"/>
        <item m="1" x="35"/>
        <item m="1" x="27"/>
        <item m="1" x="110"/>
        <item m="1" x="168"/>
        <item m="1" x="48"/>
        <item m="1" x="171"/>
        <item m="1" x="165"/>
        <item m="1" x="170"/>
        <item m="1" x="93"/>
        <item m="1" x="3"/>
        <item m="1" x="7"/>
        <item m="1" x="15"/>
        <item m="1" x="160"/>
        <item m="1" x="112"/>
        <item m="1" x="59"/>
        <item m="1" x="54"/>
        <item m="1" x="133"/>
        <item m="1" x="21"/>
        <item m="1" x="117"/>
        <item m="1" x="38"/>
        <item m="1" x="40"/>
        <item m="1" x="13"/>
        <item m="1" x="156"/>
        <item m="1" x="99"/>
        <item m="1" x="56"/>
        <item m="1" x="147"/>
        <item m="1" x="96"/>
        <item m="1" x="164"/>
        <item m="1" x="32"/>
        <item m="1" x="134"/>
        <item m="1" x="61"/>
        <item m="1" x="87"/>
        <item m="1" x="116"/>
        <item m="1" x="98"/>
        <item x="0"/>
        <item m="1" x="60"/>
        <item m="1" x="68"/>
        <item m="1" x="25"/>
        <item m="1" x="4"/>
        <item m="1" x="42"/>
        <item m="1" x="6"/>
        <item m="1" x="31"/>
        <item m="1" x="108"/>
        <item m="1" x="125"/>
        <item m="1" x="45"/>
        <item m="1" x="132"/>
        <item m="1" x="114"/>
        <item m="1" x="154"/>
        <item m="1" x="62"/>
        <item m="1" x="153"/>
        <item m="1" x="86"/>
        <item m="1" x="24"/>
        <item m="1" x="115"/>
        <item m="1" x="101"/>
        <item t="default"/>
      </items>
    </pivotField>
    <pivotField showAll="0">
      <items count="309">
        <item m="1" x="1"/>
        <item m="1" x="48"/>
        <item m="1" x="23"/>
        <item m="1" x="231"/>
        <item m="1" x="117"/>
        <item m="1" x="106"/>
        <item m="1" x="11"/>
        <item m="1" x="279"/>
        <item m="1" x="251"/>
        <item m="1" x="254"/>
        <item m="1" x="185"/>
        <item m="1" x="212"/>
        <item m="1" x="272"/>
        <item m="1" x="186"/>
        <item m="1" x="197"/>
        <item m="1" x="296"/>
        <item m="1" x="248"/>
        <item m="1" x="260"/>
        <item m="1" x="131"/>
        <item m="1" x="164"/>
        <item m="1" x="297"/>
        <item m="1" x="303"/>
        <item m="1" x="115"/>
        <item m="1" x="226"/>
        <item m="1" x="118"/>
        <item m="1" x="110"/>
        <item m="1" x="202"/>
        <item m="1" x="35"/>
        <item m="1" x="261"/>
        <item m="1" x="123"/>
        <item m="1" x="144"/>
        <item m="1" x="151"/>
        <item m="1" x="252"/>
        <item m="1" x="124"/>
        <item m="1" x="230"/>
        <item m="1" x="20"/>
        <item m="1" x="203"/>
        <item m="1" x="105"/>
        <item m="1" x="86"/>
        <item m="1" x="160"/>
        <item m="1" x="170"/>
        <item m="1" x="46"/>
        <item m="1" x="33"/>
        <item m="1" x="255"/>
        <item m="1" x="265"/>
        <item m="1" x="192"/>
        <item m="1" x="102"/>
        <item m="1" x="233"/>
        <item m="1" x="83"/>
        <item m="1" x="42"/>
        <item m="1" x="288"/>
        <item m="1" x="111"/>
        <item m="1" x="262"/>
        <item m="1" x="87"/>
        <item m="1" x="305"/>
        <item m="1" x="191"/>
        <item m="1" x="75"/>
        <item m="1" x="298"/>
        <item m="1" x="270"/>
        <item m="1" x="153"/>
        <item m="1" x="294"/>
        <item m="1" x="88"/>
        <item m="1" x="132"/>
        <item m="1" x="4"/>
        <item m="1" x="12"/>
        <item m="1" x="99"/>
        <item m="1" x="204"/>
        <item m="1" x="60"/>
        <item m="1" x="165"/>
        <item m="1" x="215"/>
        <item m="1" x="103"/>
        <item m="1" x="181"/>
        <item m="1" x="112"/>
        <item m="1" x="299"/>
        <item m="1" x="182"/>
        <item m="1" x="208"/>
        <item m="1" x="122"/>
        <item m="1" x="194"/>
        <item m="1" x="152"/>
        <item m="1" x="19"/>
        <item m="1" x="172"/>
        <item m="1" x="148"/>
        <item m="1" x="28"/>
        <item m="1" x="256"/>
        <item m="1" x="271"/>
        <item m="1" x="100"/>
        <item m="1" x="162"/>
        <item m="1" x="304"/>
        <item m="1" x="119"/>
        <item m="1" x="125"/>
        <item m="1" x="137"/>
        <item m="1" x="68"/>
        <item m="1" x="213"/>
        <item m="1" x="273"/>
        <item m="1" x="39"/>
        <item m="1" x="274"/>
        <item m="1" x="266"/>
        <item m="1" x="238"/>
        <item m="1" x="198"/>
        <item m="1" x="209"/>
        <item m="1" x="82"/>
        <item m="1" x="211"/>
        <item m="1" x="107"/>
        <item m="1" x="29"/>
        <item m="1" x="13"/>
        <item m="1" x="216"/>
        <item m="1" x="171"/>
        <item m="1" x="96"/>
        <item m="1" x="55"/>
        <item m="1" x="221"/>
        <item m="1" x="5"/>
        <item m="1" x="2"/>
        <item m="1" x="56"/>
        <item m="1" x="173"/>
        <item m="1" x="222"/>
        <item m="1" x="285"/>
        <item m="1" x="219"/>
        <item m="1" x="51"/>
        <item m="1" x="38"/>
        <item m="1" x="249"/>
        <item m="1" x="138"/>
        <item m="1" x="17"/>
        <item m="1" x="113"/>
        <item m="1" x="244"/>
        <item m="1" x="263"/>
        <item m="1" x="40"/>
        <item m="1" x="154"/>
        <item m="1" x="101"/>
        <item m="1" x="43"/>
        <item m="1" x="95"/>
        <item m="1" x="277"/>
        <item x="0"/>
        <item m="1" x="174"/>
        <item m="1" x="108"/>
        <item m="1" x="47"/>
        <item m="1" x="243"/>
        <item m="1" x="280"/>
        <item m="1" x="76"/>
        <item m="1" x="149"/>
        <item m="1" x="69"/>
        <item m="1" x="258"/>
        <item m="1" x="217"/>
        <item m="1" x="52"/>
        <item m="1" x="183"/>
        <item m="1" x="142"/>
        <item m="1" x="201"/>
        <item m="1" x="306"/>
        <item m="1" x="275"/>
        <item m="1" x="301"/>
        <item m="1" x="109"/>
        <item m="1" x="129"/>
        <item m="1" x="72"/>
        <item m="1" x="143"/>
        <item m="1" x="199"/>
        <item m="1" x="54"/>
        <item m="1" x="175"/>
        <item m="1" x="178"/>
        <item m="1" x="193"/>
        <item m="1" x="184"/>
        <item m="1" x="78"/>
        <item m="1" x="267"/>
        <item m="1" x="234"/>
        <item m="1" x="133"/>
        <item m="1" x="41"/>
        <item m="1" x="89"/>
        <item m="1" x="180"/>
        <item m="1" x="90"/>
        <item m="1" x="179"/>
        <item m="1" x="281"/>
        <item m="1" x="30"/>
        <item m="1" x="136"/>
        <item m="1" x="205"/>
        <item m="1" x="14"/>
        <item m="1" x="77"/>
        <item m="1" x="282"/>
        <item m="1" x="289"/>
        <item m="1" x="276"/>
        <item m="1" x="235"/>
        <item m="1" x="8"/>
        <item m="1" x="24"/>
        <item m="1" x="283"/>
        <item m="1" x="139"/>
        <item m="1" x="290"/>
        <item m="1" x="59"/>
        <item m="1" x="80"/>
        <item m="1" x="27"/>
        <item m="1" x="302"/>
        <item m="1" x="63"/>
        <item m="1" x="239"/>
        <item m="1" x="9"/>
        <item m="1" x="50"/>
        <item m="1" x="166"/>
        <item m="1" x="140"/>
        <item m="1" x="227"/>
        <item m="1" x="64"/>
        <item m="1" x="145"/>
        <item m="1" x="245"/>
        <item m="1" x="195"/>
        <item m="1" x="22"/>
        <item m="1" x="3"/>
        <item m="1" x="134"/>
        <item m="1" x="268"/>
        <item m="1" x="104"/>
        <item m="1" x="147"/>
        <item m="1" x="269"/>
        <item m="1" x="79"/>
        <item m="1" x="187"/>
        <item m="1" x="236"/>
        <item m="1" x="167"/>
        <item m="1" x="291"/>
        <item m="1" x="156"/>
        <item m="1" x="253"/>
        <item m="1" x="188"/>
        <item m="1" x="292"/>
        <item m="1" x="34"/>
        <item m="1" x="240"/>
        <item m="1" x="130"/>
        <item m="1" x="189"/>
        <item m="1" x="287"/>
        <item m="1" x="295"/>
        <item m="1" x="257"/>
        <item m="1" x="206"/>
        <item m="1" x="21"/>
        <item m="1" x="190"/>
        <item m="1" x="168"/>
        <item m="1" x="293"/>
        <item m="1" x="18"/>
        <item m="1" x="120"/>
        <item m="1" x="31"/>
        <item m="1" x="284"/>
        <item m="1" x="91"/>
        <item m="1" x="228"/>
        <item m="1" x="128"/>
        <item m="1" x="70"/>
        <item m="1" x="57"/>
        <item m="1" x="207"/>
        <item m="1" x="61"/>
        <item m="1" x="307"/>
        <item m="1" x="84"/>
        <item m="1" x="232"/>
        <item m="1" x="126"/>
        <item m="1" x="264"/>
        <item m="1" x="176"/>
        <item m="1" x="73"/>
        <item m="1" x="241"/>
        <item m="1" x="53"/>
        <item m="1" x="200"/>
        <item m="1" x="157"/>
        <item m="1" x="15"/>
        <item m="1" x="300"/>
        <item m="1" x="242"/>
        <item m="1" x="67"/>
        <item m="1" x="223"/>
        <item m="1" x="220"/>
        <item m="1" x="161"/>
        <item m="1" x="224"/>
        <item m="1" x="36"/>
        <item m="1" x="286"/>
        <item m="1" x="237"/>
        <item m="1" x="97"/>
        <item m="1" x="250"/>
        <item m="1" x="141"/>
        <item m="1" x="62"/>
        <item m="1" x="32"/>
        <item m="1" x="121"/>
        <item m="1" x="163"/>
        <item m="1" x="6"/>
        <item m="1" x="71"/>
        <item m="1" x="37"/>
        <item m="1" x="150"/>
        <item m="1" x="259"/>
        <item m="1" x="196"/>
        <item m="1" x="218"/>
        <item m="1" x="7"/>
        <item m="1" x="158"/>
        <item m="1" x="135"/>
        <item m="1" x="127"/>
        <item m="1" x="85"/>
        <item m="1" x="16"/>
        <item m="1" x="278"/>
        <item m="1" x="66"/>
        <item m="1" x="44"/>
        <item m="1" x="177"/>
        <item m="1" x="229"/>
        <item m="1" x="146"/>
        <item m="1" x="49"/>
        <item m="1" x="169"/>
        <item m="1" x="25"/>
        <item m="1" x="58"/>
        <item m="1" x="10"/>
        <item m="1" x="92"/>
        <item m="1" x="65"/>
        <item m="1" x="74"/>
        <item m="1" x="26"/>
        <item m="1" x="93"/>
        <item m="1" x="114"/>
        <item m="1" x="45"/>
        <item m="1" x="159"/>
        <item m="1" x="81"/>
        <item m="1" x="98"/>
        <item m="1" x="246"/>
        <item m="1" x="94"/>
        <item m="1" x="210"/>
        <item m="1" x="225"/>
        <item m="1" x="116"/>
        <item m="1" x="214"/>
        <item m="1" x="155"/>
        <item m="1" x="247"/>
        <item t="default"/>
      </items>
    </pivotField>
    <pivotField showAll="0">
      <items count="5">
        <item x="0"/>
        <item m="1" x="3"/>
        <item m="1" x="1"/>
        <item m="1" x="2"/>
        <item t="default"/>
      </items>
    </pivotField>
    <pivotField showAll="0">
      <items count="5">
        <item x="0"/>
        <item m="1" x="1"/>
        <item m="1" x="3"/>
        <item m="1" x="2"/>
        <item t="default"/>
      </items>
    </pivotField>
    <pivotField showAll="0">
      <items count="7">
        <item m="1" x="5"/>
        <item x="0"/>
        <item m="1" x="2"/>
        <item m="1" x="1"/>
        <item m="1" x="3"/>
        <item m="1" x="4"/>
        <item t="default"/>
      </items>
    </pivotField>
    <pivotField showAll="0"/>
    <pivotField showAll="0"/>
    <pivotField showAll="0"/>
    <pivotField showAll="0">
      <items count="30">
        <item m="1" x="20"/>
        <item m="1" x="27"/>
        <item m="1" x="5"/>
        <item m="1" x="6"/>
        <item m="1" x="18"/>
        <item x="0"/>
        <item m="1" x="25"/>
        <item m="1" x="19"/>
        <item m="1" x="13"/>
        <item m="1" x="9"/>
        <item m="1" x="21"/>
        <item m="1" x="23"/>
        <item m="1" x="8"/>
        <item m="1" x="10"/>
        <item m="1" x="22"/>
        <item m="1" x="1"/>
        <item m="1" x="15"/>
        <item m="1" x="26"/>
        <item m="1" x="2"/>
        <item m="1" x="4"/>
        <item m="1" x="7"/>
        <item m="1" x="11"/>
        <item m="1" x="16"/>
        <item m="1" x="14"/>
        <item m="1" x="12"/>
        <item m="1" x="28"/>
        <item m="1" x="24"/>
        <item m="1" x="17"/>
        <item m="1" x="3"/>
        <item t="default"/>
      </items>
    </pivotField>
    <pivotField dataField="1" showAll="0"/>
    <pivotField showAll="0"/>
    <pivotField showAll="0"/>
    <pivotField showAll="0"/>
    <pivotField showAll="0"/>
    <pivotField showAll="0"/>
    <pivotField numFmtId="6" showAll="0"/>
    <pivotField showAll="0"/>
    <pivotField numFmtId="164" showAll="0"/>
    <pivotField axis="axisRow" showAll="0" sortType="descending">
      <items count="53">
        <item m="1" x="33"/>
        <item m="1" x="4"/>
        <item m="1" x="15"/>
        <item m="1" x="20"/>
        <item m="1" x="12"/>
        <item m="1" x="26"/>
        <item m="1" x="6"/>
        <item m="1" x="37"/>
        <item m="1" x="39"/>
        <item m="1" x="13"/>
        <item m="1" x="47"/>
        <item m="1" x="24"/>
        <item m="1" x="43"/>
        <item m="1" x="17"/>
        <item m="1" x="23"/>
        <item m="1" x="28"/>
        <item m="1" x="51"/>
        <item m="1" x="5"/>
        <item m="1" x="2"/>
        <item m="1" x="22"/>
        <item m="1" x="1"/>
        <item m="1" x="29"/>
        <item m="1" x="34"/>
        <item m="1" x="14"/>
        <item m="1" x="42"/>
        <item m="1" x="45"/>
        <item m="1" x="18"/>
        <item m="1" x="48"/>
        <item m="1" x="21"/>
        <item m="1" x="50"/>
        <item m="1" x="27"/>
        <item m="1" x="31"/>
        <item m="1" x="7"/>
        <item m="1" x="44"/>
        <item m="1" x="19"/>
        <item m="1" x="49"/>
        <item m="1" x="25"/>
        <item m="1" x="8"/>
        <item m="1" x="38"/>
        <item m="1" x="32"/>
        <item m="1" x="40"/>
        <item m="1" x="3"/>
        <item m="1" x="30"/>
        <item m="1" x="10"/>
        <item x="0"/>
        <item m="1" x="41"/>
        <item m="1" x="16"/>
        <item m="1" x="9"/>
        <item m="1" x="36"/>
        <item m="1" x="46"/>
        <item m="1" x="35"/>
        <item m="1" x="1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items count="310">
        <item m="1" x="292"/>
        <item m="1" x="129"/>
        <item m="1" x="239"/>
        <item m="1" x="174"/>
        <item m="1" x="209"/>
        <item m="1" x="72"/>
        <item m="1" x="280"/>
        <item m="1" x="260"/>
        <item m="1" x="98"/>
        <item m="1" x="30"/>
        <item m="1" x="216"/>
        <item m="1" x="18"/>
        <item m="1" x="55"/>
        <item m="1" x="142"/>
        <item m="1" x="227"/>
        <item m="1" x="281"/>
        <item m="1" x="103"/>
        <item m="1" x="113"/>
        <item m="1" x="200"/>
        <item m="1" x="41"/>
        <item m="1" x="225"/>
        <item m="1" x="80"/>
        <item m="1" x="56"/>
        <item m="1" x="31"/>
        <item m="1" x="121"/>
        <item m="1" x="81"/>
        <item m="1" x="131"/>
        <item m="1" x="21"/>
        <item m="1" x="133"/>
        <item x="0"/>
        <item m="1" x="43"/>
        <item m="1" x="87"/>
        <item m="1" x="179"/>
        <item m="1" x="29"/>
        <item m="1" x="95"/>
        <item m="1" x="226"/>
        <item m="1" x="246"/>
        <item m="1" x="251"/>
        <item m="1" x="39"/>
        <item m="1" x="83"/>
        <item m="1" x="70"/>
        <item m="1" x="141"/>
        <item m="1" x="42"/>
        <item m="1" x="215"/>
        <item m="1" x="294"/>
        <item m="1" x="68"/>
        <item m="1" x="120"/>
        <item m="1" x="116"/>
        <item m="1" x="182"/>
        <item m="1" x="278"/>
        <item m="1" x="140"/>
        <item m="1" x="138"/>
        <item m="1" x="5"/>
        <item m="1" x="211"/>
        <item m="1" x="118"/>
        <item m="1" x="181"/>
        <item m="1" x="146"/>
        <item m="1" x="194"/>
        <item m="1" x="149"/>
        <item m="1" x="14"/>
        <item m="1" x="199"/>
        <item m="1" x="123"/>
        <item m="1" x="164"/>
        <item m="1" x="33"/>
        <item m="1" x="74"/>
        <item m="1" x="273"/>
        <item m="1" x="293"/>
        <item m="1" x="275"/>
        <item m="1" x="51"/>
        <item m="1" x="243"/>
        <item m="1" x="306"/>
        <item m="1" x="34"/>
        <item m="1" x="303"/>
        <item m="1" x="62"/>
        <item m="1" x="16"/>
        <item m="1" x="112"/>
        <item m="1" x="9"/>
        <item m="1" x="76"/>
        <item m="1" x="49"/>
        <item m="1" x="302"/>
        <item m="1" x="267"/>
        <item m="1" x="272"/>
        <item m="1" x="155"/>
        <item m="1" x="298"/>
        <item m="1" x="114"/>
        <item m="1" x="245"/>
        <item m="1" x="46"/>
        <item m="1" x="242"/>
        <item m="1" x="192"/>
        <item m="1" x="219"/>
        <item m="1" x="266"/>
        <item m="1" x="127"/>
        <item m="1" x="79"/>
        <item m="1" x="94"/>
        <item m="1" x="2"/>
        <item m="1" x="290"/>
        <item m="1" x="4"/>
        <item m="1" x="207"/>
        <item m="1" x="136"/>
        <item m="1" x="157"/>
        <item m="1" x="248"/>
        <item m="1" x="143"/>
        <item m="1" x="277"/>
        <item m="1" x="40"/>
        <item m="1" x="229"/>
        <item m="1" x="26"/>
        <item m="1" x="128"/>
        <item m="1" x="45"/>
        <item m="1" x="145"/>
        <item m="1" x="147"/>
        <item m="1" x="171"/>
        <item m="1" x="285"/>
        <item m="1" x="233"/>
        <item m="1" x="253"/>
        <item m="1" x="283"/>
        <item m="1" x="47"/>
        <item m="1" x="196"/>
        <item m="1" x="234"/>
        <item m="1" x="54"/>
        <item m="1" x="58"/>
        <item m="1" x="109"/>
        <item m="1" x="93"/>
        <item m="1" x="108"/>
        <item m="1" x="110"/>
        <item m="1" x="222"/>
        <item m="1" x="261"/>
        <item m="1" x="250"/>
        <item m="1" x="160"/>
        <item m="1" x="122"/>
        <item m="1" x="168"/>
        <item m="1" x="20"/>
        <item m="1" x="28"/>
        <item m="1" x="193"/>
        <item m="1" x="163"/>
        <item m="1" x="300"/>
        <item m="1" x="265"/>
        <item m="1" x="167"/>
        <item m="1" x="186"/>
        <item m="1" x="158"/>
        <item m="1" x="270"/>
        <item m="1" x="97"/>
        <item m="1" x="106"/>
        <item m="1" x="35"/>
        <item m="1" x="23"/>
        <item m="1" x="130"/>
        <item m="1" x="268"/>
        <item m="1" x="1"/>
        <item m="1" x="12"/>
        <item m="1" x="256"/>
        <item m="1" x="73"/>
        <item m="1" x="61"/>
        <item m="1" x="8"/>
        <item m="1" x="201"/>
        <item m="1" x="241"/>
        <item m="1" x="119"/>
        <item m="1" x="67"/>
        <item m="1" x="220"/>
        <item m="1" x="271"/>
        <item m="1" x="90"/>
        <item m="1" x="24"/>
        <item m="1" x="232"/>
        <item m="1" x="115"/>
        <item m="1" x="175"/>
        <item m="1" x="286"/>
        <item m="1" x="84"/>
        <item m="1" x="92"/>
        <item m="1" x="3"/>
        <item m="1" x="69"/>
        <item m="1" x="60"/>
        <item m="1" x="191"/>
        <item m="1" x="295"/>
        <item m="1" x="77"/>
        <item m="1" x="297"/>
        <item m="1" x="263"/>
        <item m="1" x="301"/>
        <item m="1" x="276"/>
        <item m="1" x="236"/>
        <item m="1" x="144"/>
        <item m="1" x="151"/>
        <item m="1" x="287"/>
        <item m="1" x="124"/>
        <item m="1" x="274"/>
        <item m="1" x="37"/>
        <item m="1" x="166"/>
        <item m="1" x="57"/>
        <item m="1" x="117"/>
        <item m="1" x="304"/>
        <item m="1" x="19"/>
        <item m="1" x="66"/>
        <item m="1" x="206"/>
        <item m="1" x="210"/>
        <item m="1" x="64"/>
        <item m="1" x="82"/>
        <item m="1" x="308"/>
        <item m="1" x="44"/>
        <item m="1" x="212"/>
        <item m="1" x="100"/>
        <item m="1" x="91"/>
        <item m="1" x="65"/>
        <item m="1" x="150"/>
        <item m="1" x="204"/>
        <item m="1" x="102"/>
        <item m="1" x="52"/>
        <item m="1" x="221"/>
        <item m="1" x="255"/>
        <item m="1" x="101"/>
        <item m="1" x="203"/>
        <item m="1" x="291"/>
        <item m="1" x="53"/>
        <item m="1" x="173"/>
        <item m="1" x="252"/>
        <item m="1" x="269"/>
        <item m="1" x="11"/>
        <item m="1" x="258"/>
        <item m="1" x="177"/>
        <item m="1" x="288"/>
        <item m="1" x="154"/>
        <item m="1" x="231"/>
        <item m="1" x="126"/>
        <item m="1" x="27"/>
        <item m="1" x="296"/>
        <item m="1" x="195"/>
        <item m="1" x="190"/>
        <item m="1" x="205"/>
        <item m="1" x="75"/>
        <item m="1" x="111"/>
        <item m="1" x="217"/>
        <item m="1" x="214"/>
        <item m="1" x="213"/>
        <item m="1" x="162"/>
        <item m="1" x="188"/>
        <item m="1" x="38"/>
        <item m="1" x="257"/>
        <item m="1" x="198"/>
        <item m="1" x="279"/>
        <item m="1" x="13"/>
        <item m="1" x="307"/>
        <item m="1" x="99"/>
        <item m="1" x="218"/>
        <item m="1" x="202"/>
        <item m="1" x="208"/>
        <item m="1" x="184"/>
        <item m="1" x="244"/>
        <item m="1" x="264"/>
        <item m="1" x="305"/>
        <item m="1" x="10"/>
        <item m="1" x="105"/>
        <item m="1" x="299"/>
        <item m="1" x="36"/>
        <item m="1" x="25"/>
        <item m="1" x="262"/>
        <item m="1" x="7"/>
        <item m="1" x="235"/>
        <item m="1" x="230"/>
        <item m="1" x="254"/>
        <item m="1" x="59"/>
        <item m="1" x="17"/>
        <item m="1" x="135"/>
        <item m="1" x="85"/>
        <item m="1" x="15"/>
        <item m="1" x="176"/>
        <item m="1" x="161"/>
        <item m="1" x="223"/>
        <item m="1" x="125"/>
        <item m="1" x="224"/>
        <item m="1" x="6"/>
        <item m="1" x="172"/>
        <item m="1" x="187"/>
        <item m="1" x="259"/>
        <item m="1" x="148"/>
        <item m="1" x="183"/>
        <item m="1" x="107"/>
        <item m="1" x="71"/>
        <item m="1" x="78"/>
        <item m="1" x="104"/>
        <item m="1" x="228"/>
        <item m="1" x="137"/>
        <item m="1" x="152"/>
        <item m="1" x="89"/>
        <item m="1" x="22"/>
        <item m="1" x="48"/>
        <item m="1" x="197"/>
        <item m="1" x="189"/>
        <item m="1" x="88"/>
        <item m="1" x="159"/>
        <item m="1" x="240"/>
        <item m="1" x="180"/>
        <item m="1" x="249"/>
        <item m="1" x="284"/>
        <item m="1" x="96"/>
        <item m="1" x="169"/>
        <item m="1" x="156"/>
        <item m="1" x="178"/>
        <item m="1" x="86"/>
        <item m="1" x="170"/>
        <item m="1" x="165"/>
        <item m="1" x="153"/>
        <item m="1" x="282"/>
        <item m="1" x="247"/>
        <item m="1" x="185"/>
        <item m="1" x="32"/>
        <item m="1" x="50"/>
        <item m="1" x="63"/>
        <item m="1" x="289"/>
        <item m="1" x="132"/>
        <item m="1" x="238"/>
        <item m="1" x="134"/>
        <item m="1" x="139"/>
        <item m="1" x="237"/>
        <item t="default"/>
      </items>
    </pivotField>
    <pivotField showAll="0"/>
    <pivotField showAll="0" defaultSubtotal="0">
      <items count="2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s>
    </pivotField>
  </pivotFields>
  <rowFields count="1">
    <field x="23"/>
  </rowFields>
  <rowItems count="2">
    <i>
      <x v="44"/>
    </i>
    <i t="grand">
      <x/>
    </i>
  </rowItems>
  <colItems count="1">
    <i/>
  </colItems>
  <dataFields count="1">
    <dataField name="Count of prop_id" fld="1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15">
  <location ref="T11:U13" firstHeaderRow="1" firstDataRow="1" firstDataCol="1"/>
  <pivotFields count="33">
    <pivotField numFmtId="167" showAll="0">
      <items count="2">
        <item x="0"/>
        <item t="default"/>
      </items>
    </pivotField>
    <pivotField showAll="0"/>
    <pivotField showAll="0">
      <items count="60">
        <item m="1" x="1"/>
        <item m="1" x="7"/>
        <item m="1" x="47"/>
        <item m="1" x="20"/>
        <item m="1" x="51"/>
        <item m="1" x="3"/>
        <item m="1" x="24"/>
        <item m="1" x="29"/>
        <item m="1" x="8"/>
        <item m="1" x="52"/>
        <item m="1" x="13"/>
        <item m="1" x="22"/>
        <item m="1" x="49"/>
        <item m="1" x="57"/>
        <item m="1" x="48"/>
        <item m="1" x="45"/>
        <item m="1" x="31"/>
        <item m="1" x="5"/>
        <item m="1" x="28"/>
        <item m="1" x="34"/>
        <item m="1" x="14"/>
        <item m="1" x="23"/>
        <item m="1" x="55"/>
        <item x="0"/>
        <item m="1" x="10"/>
        <item m="1" x="18"/>
        <item m="1" x="30"/>
        <item m="1" x="38"/>
        <item m="1" x="11"/>
        <item m="1" x="46"/>
        <item m="1" x="50"/>
        <item m="1" x="2"/>
        <item m="1" x="36"/>
        <item m="1" x="32"/>
        <item m="1" x="41"/>
        <item m="1" x="33"/>
        <item m="1" x="43"/>
        <item m="1" x="6"/>
        <item m="1" x="53"/>
        <item m="1" x="35"/>
        <item m="1" x="21"/>
        <item m="1" x="39"/>
        <item m="1" x="19"/>
        <item m="1" x="26"/>
        <item m="1" x="9"/>
        <item m="1" x="40"/>
        <item m="1" x="27"/>
        <item m="1" x="58"/>
        <item m="1" x="44"/>
        <item m="1" x="54"/>
        <item m="1" x="15"/>
        <item m="1" x="56"/>
        <item m="1" x="25"/>
        <item m="1" x="37"/>
        <item m="1" x="16"/>
        <item m="1" x="17"/>
        <item m="1" x="42"/>
        <item m="1" x="12"/>
        <item m="1" x="4"/>
        <item t="default"/>
      </items>
    </pivotField>
    <pivotField showAll="0">
      <items count="8">
        <item m="1" x="2"/>
        <item x="0"/>
        <item m="1" x="1"/>
        <item m="1" x="6"/>
        <item m="1" x="3"/>
        <item m="1" x="5"/>
        <item m="1" x="4"/>
        <item t="default"/>
      </items>
    </pivotField>
    <pivotField showAll="0"/>
    <pivotField showAll="0">
      <items count="176">
        <item m="1" x="16"/>
        <item m="1" x="30"/>
        <item m="1" x="127"/>
        <item m="1" x="163"/>
        <item m="1" x="19"/>
        <item m="1" x="57"/>
        <item m="1" x="118"/>
        <item m="1" x="70"/>
        <item m="1" x="89"/>
        <item m="1" x="81"/>
        <item m="1" x="109"/>
        <item m="1" x="138"/>
        <item m="1" x="107"/>
        <item m="1" x="146"/>
        <item m="1" x="77"/>
        <item m="1" x="105"/>
        <item m="1" x="74"/>
        <item m="1" x="124"/>
        <item m="1" x="158"/>
        <item m="1" x="79"/>
        <item m="1" x="84"/>
        <item m="1" x="123"/>
        <item m="1" x="34"/>
        <item m="1" x="50"/>
        <item m="1" x="106"/>
        <item m="1" x="17"/>
        <item m="1" x="174"/>
        <item m="1" x="69"/>
        <item m="1" x="172"/>
        <item m="1" x="102"/>
        <item m="1" x="126"/>
        <item m="1" x="92"/>
        <item m="1" x="173"/>
        <item m="1" x="157"/>
        <item m="1" x="90"/>
        <item m="1" x="58"/>
        <item m="1" x="143"/>
        <item m="1" x="121"/>
        <item m="1" x="72"/>
        <item m="1" x="66"/>
        <item m="1" x="49"/>
        <item m="1" x="137"/>
        <item m="1" x="5"/>
        <item m="1" x="28"/>
        <item m="1" x="136"/>
        <item m="1" x="113"/>
        <item m="1" x="144"/>
        <item m="1" x="140"/>
        <item m="1" x="122"/>
        <item m="1" x="162"/>
        <item m="1" x="18"/>
        <item m="1" x="82"/>
        <item m="1" x="14"/>
        <item m="1" x="43"/>
        <item m="1" x="142"/>
        <item m="1" x="26"/>
        <item m="1" x="95"/>
        <item m="1" x="67"/>
        <item m="1" x="159"/>
        <item m="1" x="128"/>
        <item m="1" x="131"/>
        <item m="1" x="119"/>
        <item m="1" x="91"/>
        <item m="1" x="167"/>
        <item m="1" x="166"/>
        <item m="1" x="155"/>
        <item m="1" x="37"/>
        <item m="1" x="65"/>
        <item m="1" x="64"/>
        <item m="1" x="33"/>
        <item m="1" x="151"/>
        <item m="1" x="63"/>
        <item m="1" x="85"/>
        <item m="1" x="53"/>
        <item m="1" x="36"/>
        <item m="1" x="1"/>
        <item m="1" x="100"/>
        <item m="1" x="2"/>
        <item m="1" x="41"/>
        <item m="1" x="135"/>
        <item m="1" x="169"/>
        <item m="1" x="152"/>
        <item m="1" x="76"/>
        <item m="1" x="148"/>
        <item m="1" x="8"/>
        <item m="1" x="29"/>
        <item m="1" x="20"/>
        <item m="1" x="120"/>
        <item m="1" x="145"/>
        <item m="1" x="103"/>
        <item m="1" x="104"/>
        <item m="1" x="139"/>
        <item m="1" x="78"/>
        <item m="1" x="111"/>
        <item m="1" x="80"/>
        <item m="1" x="150"/>
        <item m="1" x="73"/>
        <item m="1" x="141"/>
        <item m="1" x="75"/>
        <item m="1" x="51"/>
        <item m="1" x="94"/>
        <item m="1" x="11"/>
        <item m="1" x="46"/>
        <item m="1" x="47"/>
        <item m="1" x="52"/>
        <item m="1" x="12"/>
        <item m="1" x="23"/>
        <item m="1" x="55"/>
        <item m="1" x="161"/>
        <item m="1" x="71"/>
        <item m="1" x="9"/>
        <item m="1" x="44"/>
        <item m="1" x="88"/>
        <item m="1" x="22"/>
        <item m="1" x="39"/>
        <item m="1" x="149"/>
        <item m="1" x="10"/>
        <item m="1" x="129"/>
        <item m="1" x="97"/>
        <item m="1" x="130"/>
        <item m="1" x="83"/>
        <item m="1" x="35"/>
        <item m="1" x="27"/>
        <item m="1" x="110"/>
        <item m="1" x="168"/>
        <item m="1" x="48"/>
        <item m="1" x="171"/>
        <item m="1" x="165"/>
        <item m="1" x="170"/>
        <item m="1" x="93"/>
        <item m="1" x="3"/>
        <item m="1" x="7"/>
        <item m="1" x="15"/>
        <item m="1" x="160"/>
        <item m="1" x="112"/>
        <item m="1" x="59"/>
        <item m="1" x="54"/>
        <item m="1" x="133"/>
        <item m="1" x="21"/>
        <item m="1" x="117"/>
        <item m="1" x="38"/>
        <item m="1" x="40"/>
        <item m="1" x="13"/>
        <item m="1" x="156"/>
        <item m="1" x="99"/>
        <item m="1" x="56"/>
        <item m="1" x="147"/>
        <item m="1" x="96"/>
        <item m="1" x="164"/>
        <item m="1" x="32"/>
        <item m="1" x="134"/>
        <item m="1" x="61"/>
        <item m="1" x="87"/>
        <item m="1" x="116"/>
        <item m="1" x="98"/>
        <item x="0"/>
        <item m="1" x="60"/>
        <item m="1" x="68"/>
        <item m="1" x="25"/>
        <item m="1" x="4"/>
        <item m="1" x="42"/>
        <item m="1" x="6"/>
        <item m="1" x="31"/>
        <item m="1" x="108"/>
        <item m="1" x="125"/>
        <item m="1" x="45"/>
        <item m="1" x="132"/>
        <item m="1" x="114"/>
        <item m="1" x="154"/>
        <item m="1" x="62"/>
        <item m="1" x="153"/>
        <item m="1" x="86"/>
        <item m="1" x="24"/>
        <item m="1" x="115"/>
        <item m="1" x="101"/>
        <item t="default"/>
      </items>
    </pivotField>
    <pivotField showAll="0">
      <items count="309">
        <item m="1" x="1"/>
        <item m="1" x="48"/>
        <item m="1" x="23"/>
        <item m="1" x="231"/>
        <item m="1" x="117"/>
        <item m="1" x="106"/>
        <item m="1" x="11"/>
        <item m="1" x="279"/>
        <item m="1" x="251"/>
        <item m="1" x="254"/>
        <item m="1" x="185"/>
        <item m="1" x="212"/>
        <item m="1" x="272"/>
        <item m="1" x="186"/>
        <item m="1" x="197"/>
        <item m="1" x="296"/>
        <item m="1" x="248"/>
        <item m="1" x="260"/>
        <item m="1" x="131"/>
        <item m="1" x="164"/>
        <item m="1" x="297"/>
        <item m="1" x="303"/>
        <item m="1" x="115"/>
        <item m="1" x="226"/>
        <item m="1" x="118"/>
        <item m="1" x="110"/>
        <item m="1" x="202"/>
        <item m="1" x="35"/>
        <item m="1" x="261"/>
        <item m="1" x="123"/>
        <item m="1" x="144"/>
        <item m="1" x="151"/>
        <item m="1" x="252"/>
        <item m="1" x="124"/>
        <item m="1" x="230"/>
        <item m="1" x="20"/>
        <item m="1" x="203"/>
        <item m="1" x="105"/>
        <item m="1" x="86"/>
        <item m="1" x="160"/>
        <item m="1" x="170"/>
        <item m="1" x="46"/>
        <item m="1" x="33"/>
        <item m="1" x="255"/>
        <item m="1" x="265"/>
        <item m="1" x="192"/>
        <item m="1" x="102"/>
        <item m="1" x="233"/>
        <item m="1" x="83"/>
        <item m="1" x="42"/>
        <item m="1" x="288"/>
        <item m="1" x="111"/>
        <item m="1" x="262"/>
        <item m="1" x="87"/>
        <item m="1" x="305"/>
        <item m="1" x="191"/>
        <item m="1" x="75"/>
        <item m="1" x="298"/>
        <item m="1" x="270"/>
        <item m="1" x="153"/>
        <item m="1" x="294"/>
        <item m="1" x="88"/>
        <item m="1" x="132"/>
        <item m="1" x="4"/>
        <item m="1" x="12"/>
        <item m="1" x="99"/>
        <item m="1" x="204"/>
        <item m="1" x="60"/>
        <item m="1" x="165"/>
        <item m="1" x="215"/>
        <item m="1" x="103"/>
        <item m="1" x="181"/>
        <item m="1" x="112"/>
        <item m="1" x="299"/>
        <item m="1" x="182"/>
        <item m="1" x="208"/>
        <item m="1" x="122"/>
        <item m="1" x="194"/>
        <item m="1" x="152"/>
        <item m="1" x="19"/>
        <item m="1" x="172"/>
        <item m="1" x="148"/>
        <item m="1" x="28"/>
        <item m="1" x="256"/>
        <item m="1" x="271"/>
        <item m="1" x="100"/>
        <item m="1" x="162"/>
        <item m="1" x="304"/>
        <item m="1" x="119"/>
        <item m="1" x="125"/>
        <item m="1" x="137"/>
        <item m="1" x="68"/>
        <item m="1" x="213"/>
        <item m="1" x="273"/>
        <item m="1" x="39"/>
        <item m="1" x="274"/>
        <item m="1" x="266"/>
        <item m="1" x="238"/>
        <item m="1" x="198"/>
        <item m="1" x="209"/>
        <item m="1" x="82"/>
        <item m="1" x="211"/>
        <item m="1" x="107"/>
        <item m="1" x="29"/>
        <item m="1" x="13"/>
        <item m="1" x="216"/>
        <item m="1" x="171"/>
        <item m="1" x="96"/>
        <item m="1" x="55"/>
        <item m="1" x="221"/>
        <item m="1" x="5"/>
        <item m="1" x="2"/>
        <item m="1" x="56"/>
        <item m="1" x="173"/>
        <item m="1" x="222"/>
        <item m="1" x="285"/>
        <item m="1" x="219"/>
        <item m="1" x="51"/>
        <item m="1" x="38"/>
        <item m="1" x="249"/>
        <item m="1" x="138"/>
        <item m="1" x="17"/>
        <item m="1" x="113"/>
        <item m="1" x="244"/>
        <item m="1" x="263"/>
        <item m="1" x="40"/>
        <item m="1" x="154"/>
        <item m="1" x="101"/>
        <item m="1" x="43"/>
        <item m="1" x="95"/>
        <item m="1" x="277"/>
        <item x="0"/>
        <item m="1" x="174"/>
        <item m="1" x="108"/>
        <item m="1" x="47"/>
        <item m="1" x="243"/>
        <item m="1" x="280"/>
        <item m="1" x="76"/>
        <item m="1" x="149"/>
        <item m="1" x="69"/>
        <item m="1" x="258"/>
        <item m="1" x="217"/>
        <item m="1" x="52"/>
        <item m="1" x="183"/>
        <item m="1" x="142"/>
        <item m="1" x="201"/>
        <item m="1" x="306"/>
        <item m="1" x="275"/>
        <item m="1" x="301"/>
        <item m="1" x="109"/>
        <item m="1" x="129"/>
        <item m="1" x="72"/>
        <item m="1" x="143"/>
        <item m="1" x="199"/>
        <item m="1" x="54"/>
        <item m="1" x="175"/>
        <item m="1" x="178"/>
        <item m="1" x="193"/>
        <item m="1" x="184"/>
        <item m="1" x="78"/>
        <item m="1" x="267"/>
        <item m="1" x="234"/>
        <item m="1" x="133"/>
        <item m="1" x="41"/>
        <item m="1" x="89"/>
        <item m="1" x="180"/>
        <item m="1" x="90"/>
        <item m="1" x="179"/>
        <item m="1" x="281"/>
        <item m="1" x="30"/>
        <item m="1" x="136"/>
        <item m="1" x="205"/>
        <item m="1" x="14"/>
        <item m="1" x="77"/>
        <item m="1" x="282"/>
        <item m="1" x="289"/>
        <item m="1" x="276"/>
        <item m="1" x="235"/>
        <item m="1" x="8"/>
        <item m="1" x="24"/>
        <item m="1" x="283"/>
        <item m="1" x="139"/>
        <item m="1" x="290"/>
        <item m="1" x="59"/>
        <item m="1" x="80"/>
        <item m="1" x="27"/>
        <item m="1" x="302"/>
        <item m="1" x="63"/>
        <item m="1" x="239"/>
        <item m="1" x="9"/>
        <item m="1" x="50"/>
        <item m="1" x="166"/>
        <item m="1" x="140"/>
        <item m="1" x="227"/>
        <item m="1" x="64"/>
        <item m="1" x="145"/>
        <item m="1" x="245"/>
        <item m="1" x="195"/>
        <item m="1" x="22"/>
        <item m="1" x="3"/>
        <item m="1" x="134"/>
        <item m="1" x="268"/>
        <item m="1" x="104"/>
        <item m="1" x="147"/>
        <item m="1" x="269"/>
        <item m="1" x="79"/>
        <item m="1" x="187"/>
        <item m="1" x="236"/>
        <item m="1" x="167"/>
        <item m="1" x="291"/>
        <item m="1" x="156"/>
        <item m="1" x="253"/>
        <item m="1" x="188"/>
        <item m="1" x="292"/>
        <item m="1" x="34"/>
        <item m="1" x="240"/>
        <item m="1" x="130"/>
        <item m="1" x="189"/>
        <item m="1" x="287"/>
        <item m="1" x="295"/>
        <item m="1" x="257"/>
        <item m="1" x="206"/>
        <item m="1" x="21"/>
        <item m="1" x="190"/>
        <item m="1" x="168"/>
        <item m="1" x="293"/>
        <item m="1" x="18"/>
        <item m="1" x="120"/>
        <item m="1" x="31"/>
        <item m="1" x="284"/>
        <item m="1" x="91"/>
        <item m="1" x="228"/>
        <item m="1" x="128"/>
        <item m="1" x="70"/>
        <item m="1" x="57"/>
        <item m="1" x="207"/>
        <item m="1" x="61"/>
        <item m="1" x="307"/>
        <item m="1" x="84"/>
        <item m="1" x="232"/>
        <item m="1" x="126"/>
        <item m="1" x="264"/>
        <item m="1" x="176"/>
        <item m="1" x="73"/>
        <item m="1" x="241"/>
        <item m="1" x="53"/>
        <item m="1" x="200"/>
        <item m="1" x="157"/>
        <item m="1" x="15"/>
        <item m="1" x="300"/>
        <item m="1" x="242"/>
        <item m="1" x="67"/>
        <item m="1" x="223"/>
        <item m="1" x="220"/>
        <item m="1" x="161"/>
        <item m="1" x="224"/>
        <item m="1" x="36"/>
        <item m="1" x="286"/>
        <item m="1" x="237"/>
        <item m="1" x="97"/>
        <item m="1" x="250"/>
        <item m="1" x="141"/>
        <item m="1" x="62"/>
        <item m="1" x="32"/>
        <item m="1" x="121"/>
        <item m="1" x="163"/>
        <item m="1" x="6"/>
        <item m="1" x="71"/>
        <item m="1" x="37"/>
        <item m="1" x="150"/>
        <item m="1" x="259"/>
        <item m="1" x="196"/>
        <item m="1" x="218"/>
        <item m="1" x="7"/>
        <item m="1" x="158"/>
        <item m="1" x="135"/>
        <item m="1" x="127"/>
        <item m="1" x="85"/>
        <item m="1" x="16"/>
        <item m="1" x="278"/>
        <item m="1" x="66"/>
        <item m="1" x="44"/>
        <item m="1" x="177"/>
        <item m="1" x="229"/>
        <item m="1" x="146"/>
        <item m="1" x="49"/>
        <item m="1" x="169"/>
        <item m="1" x="25"/>
        <item m="1" x="58"/>
        <item m="1" x="10"/>
        <item m="1" x="92"/>
        <item m="1" x="65"/>
        <item m="1" x="74"/>
        <item m="1" x="26"/>
        <item m="1" x="93"/>
        <item m="1" x="114"/>
        <item m="1" x="45"/>
        <item m="1" x="159"/>
        <item m="1" x="81"/>
        <item m="1" x="98"/>
        <item m="1" x="246"/>
        <item m="1" x="94"/>
        <item m="1" x="210"/>
        <item m="1" x="225"/>
        <item m="1" x="116"/>
        <item m="1" x="214"/>
        <item m="1" x="155"/>
        <item m="1" x="247"/>
        <item t="default"/>
      </items>
    </pivotField>
    <pivotField showAll="0">
      <items count="5">
        <item x="0"/>
        <item m="1" x="3"/>
        <item m="1" x="1"/>
        <item m="1" x="2"/>
        <item t="default"/>
      </items>
    </pivotField>
    <pivotField showAll="0">
      <items count="5">
        <item x="0"/>
        <item m="1" x="1"/>
        <item m="1" x="3"/>
        <item m="1" x="2"/>
        <item t="default"/>
      </items>
    </pivotField>
    <pivotField showAll="0">
      <items count="7">
        <item m="1" x="5"/>
        <item x="0"/>
        <item m="1" x="2"/>
        <item m="1" x="1"/>
        <item m="1" x="3"/>
        <item m="1" x="4"/>
        <item t="default"/>
      </items>
    </pivotField>
    <pivotField showAll="0"/>
    <pivotField showAll="0"/>
    <pivotField showAll="0"/>
    <pivotField showAll="0">
      <items count="30">
        <item m="1" x="20"/>
        <item m="1" x="27"/>
        <item m="1" x="5"/>
        <item m="1" x="6"/>
        <item m="1" x="18"/>
        <item x="0"/>
        <item m="1" x="25"/>
        <item m="1" x="19"/>
        <item m="1" x="13"/>
        <item m="1" x="9"/>
        <item m="1" x="21"/>
        <item m="1" x="23"/>
        <item m="1" x="8"/>
        <item m="1" x="10"/>
        <item m="1" x="22"/>
        <item m="1" x="1"/>
        <item m="1" x="15"/>
        <item m="1" x="26"/>
        <item m="1" x="2"/>
        <item m="1" x="4"/>
        <item m="1" x="7"/>
        <item m="1" x="11"/>
        <item m="1" x="16"/>
        <item m="1" x="14"/>
        <item m="1" x="12"/>
        <item m="1" x="28"/>
        <item m="1" x="24"/>
        <item m="1" x="17"/>
        <item m="1" x="3"/>
        <item t="default"/>
      </items>
    </pivotField>
    <pivotField dataField="1" showAll="0"/>
    <pivotField showAll="0"/>
    <pivotField showAll="0"/>
    <pivotField showAll="0"/>
    <pivotField showAll="0"/>
    <pivotField showAll="0"/>
    <pivotField numFmtId="6" showAll="0"/>
    <pivotField showAll="0"/>
    <pivotField numFmtId="164" showAll="0"/>
    <pivotField showAll="0"/>
    <pivotField showAll="0"/>
    <pivotField showAll="0"/>
    <pivotField showAll="0"/>
    <pivotField showAll="0"/>
    <pivotField showAll="0"/>
    <pivotField showAll="0"/>
    <pivotField showAll="0">
      <items count="310">
        <item m="1" x="292"/>
        <item m="1" x="129"/>
        <item m="1" x="239"/>
        <item m="1" x="174"/>
        <item m="1" x="209"/>
        <item m="1" x="72"/>
        <item m="1" x="280"/>
        <item m="1" x="260"/>
        <item m="1" x="98"/>
        <item m="1" x="30"/>
        <item m="1" x="216"/>
        <item m="1" x="18"/>
        <item m="1" x="55"/>
        <item m="1" x="142"/>
        <item m="1" x="227"/>
        <item m="1" x="281"/>
        <item m="1" x="103"/>
        <item m="1" x="113"/>
        <item m="1" x="200"/>
        <item m="1" x="41"/>
        <item m="1" x="225"/>
        <item m="1" x="80"/>
        <item m="1" x="56"/>
        <item m="1" x="31"/>
        <item m="1" x="121"/>
        <item m="1" x="81"/>
        <item m="1" x="131"/>
        <item m="1" x="21"/>
        <item m="1" x="133"/>
        <item x="0"/>
        <item m="1" x="43"/>
        <item m="1" x="87"/>
        <item m="1" x="179"/>
        <item m="1" x="29"/>
        <item m="1" x="95"/>
        <item m="1" x="226"/>
        <item m="1" x="246"/>
        <item m="1" x="251"/>
        <item m="1" x="39"/>
        <item m="1" x="83"/>
        <item m="1" x="70"/>
        <item m="1" x="141"/>
        <item m="1" x="42"/>
        <item m="1" x="215"/>
        <item m="1" x="294"/>
        <item m="1" x="68"/>
        <item m="1" x="120"/>
        <item m="1" x="116"/>
        <item m="1" x="182"/>
        <item m="1" x="278"/>
        <item m="1" x="140"/>
        <item m="1" x="138"/>
        <item m="1" x="5"/>
        <item m="1" x="211"/>
        <item m="1" x="118"/>
        <item m="1" x="181"/>
        <item m="1" x="146"/>
        <item m="1" x="194"/>
        <item m="1" x="149"/>
        <item m="1" x="14"/>
        <item m="1" x="199"/>
        <item m="1" x="123"/>
        <item m="1" x="164"/>
        <item m="1" x="33"/>
        <item m="1" x="74"/>
        <item m="1" x="273"/>
        <item m="1" x="293"/>
        <item m="1" x="275"/>
        <item m="1" x="51"/>
        <item m="1" x="243"/>
        <item m="1" x="306"/>
        <item m="1" x="34"/>
        <item m="1" x="303"/>
        <item m="1" x="62"/>
        <item m="1" x="16"/>
        <item m="1" x="112"/>
        <item m="1" x="9"/>
        <item m="1" x="76"/>
        <item m="1" x="49"/>
        <item m="1" x="302"/>
        <item m="1" x="267"/>
        <item m="1" x="272"/>
        <item m="1" x="155"/>
        <item m="1" x="298"/>
        <item m="1" x="114"/>
        <item m="1" x="245"/>
        <item m="1" x="46"/>
        <item m="1" x="242"/>
        <item m="1" x="192"/>
        <item m="1" x="219"/>
        <item m="1" x="266"/>
        <item m="1" x="127"/>
        <item m="1" x="79"/>
        <item m="1" x="94"/>
        <item m="1" x="2"/>
        <item m="1" x="290"/>
        <item m="1" x="4"/>
        <item m="1" x="207"/>
        <item m="1" x="136"/>
        <item m="1" x="157"/>
        <item m="1" x="248"/>
        <item m="1" x="143"/>
        <item m="1" x="277"/>
        <item m="1" x="40"/>
        <item m="1" x="229"/>
        <item m="1" x="26"/>
        <item m="1" x="128"/>
        <item m="1" x="45"/>
        <item m="1" x="145"/>
        <item m="1" x="147"/>
        <item m="1" x="171"/>
        <item m="1" x="285"/>
        <item m="1" x="233"/>
        <item m="1" x="253"/>
        <item m="1" x="283"/>
        <item m="1" x="47"/>
        <item m="1" x="196"/>
        <item m="1" x="234"/>
        <item m="1" x="54"/>
        <item m="1" x="58"/>
        <item m="1" x="109"/>
        <item m="1" x="93"/>
        <item m="1" x="108"/>
        <item m="1" x="110"/>
        <item m="1" x="222"/>
        <item m="1" x="261"/>
        <item m="1" x="250"/>
        <item m="1" x="160"/>
        <item m="1" x="122"/>
        <item m="1" x="168"/>
        <item m="1" x="20"/>
        <item m="1" x="28"/>
        <item m="1" x="193"/>
        <item m="1" x="163"/>
        <item m="1" x="300"/>
        <item m="1" x="265"/>
        <item m="1" x="167"/>
        <item m="1" x="186"/>
        <item m="1" x="158"/>
        <item m="1" x="270"/>
        <item m="1" x="97"/>
        <item m="1" x="106"/>
        <item m="1" x="35"/>
        <item m="1" x="23"/>
        <item m="1" x="130"/>
        <item m="1" x="268"/>
        <item m="1" x="1"/>
        <item m="1" x="12"/>
        <item m="1" x="256"/>
        <item m="1" x="73"/>
        <item m="1" x="61"/>
        <item m="1" x="8"/>
        <item m="1" x="201"/>
        <item m="1" x="241"/>
        <item m="1" x="119"/>
        <item m="1" x="67"/>
        <item m="1" x="220"/>
        <item m="1" x="271"/>
        <item m="1" x="90"/>
        <item m="1" x="24"/>
        <item m="1" x="232"/>
        <item m="1" x="115"/>
        <item m="1" x="175"/>
        <item m="1" x="286"/>
        <item m="1" x="84"/>
        <item m="1" x="92"/>
        <item m="1" x="3"/>
        <item m="1" x="69"/>
        <item m="1" x="60"/>
        <item m="1" x="191"/>
        <item m="1" x="295"/>
        <item m="1" x="77"/>
        <item m="1" x="297"/>
        <item m="1" x="263"/>
        <item m="1" x="301"/>
        <item m="1" x="276"/>
        <item m="1" x="236"/>
        <item m="1" x="144"/>
        <item m="1" x="151"/>
        <item m="1" x="287"/>
        <item m="1" x="124"/>
        <item m="1" x="274"/>
        <item m="1" x="37"/>
        <item m="1" x="166"/>
        <item m="1" x="57"/>
        <item m="1" x="117"/>
        <item m="1" x="304"/>
        <item m="1" x="19"/>
        <item m="1" x="66"/>
        <item m="1" x="206"/>
        <item m="1" x="210"/>
        <item m="1" x="64"/>
        <item m="1" x="82"/>
        <item m="1" x="308"/>
        <item m="1" x="44"/>
        <item m="1" x="212"/>
        <item m="1" x="100"/>
        <item m="1" x="91"/>
        <item m="1" x="65"/>
        <item m="1" x="150"/>
        <item m="1" x="204"/>
        <item m="1" x="102"/>
        <item m="1" x="52"/>
        <item m="1" x="221"/>
        <item m="1" x="255"/>
        <item m="1" x="101"/>
        <item m="1" x="203"/>
        <item m="1" x="291"/>
        <item m="1" x="53"/>
        <item m="1" x="173"/>
        <item m="1" x="252"/>
        <item m="1" x="269"/>
        <item m="1" x="11"/>
        <item m="1" x="258"/>
        <item m="1" x="177"/>
        <item m="1" x="288"/>
        <item m="1" x="154"/>
        <item m="1" x="231"/>
        <item m="1" x="126"/>
        <item m="1" x="27"/>
        <item m="1" x="296"/>
        <item m="1" x="195"/>
        <item m="1" x="190"/>
        <item m="1" x="205"/>
        <item m="1" x="75"/>
        <item m="1" x="111"/>
        <item m="1" x="217"/>
        <item m="1" x="214"/>
        <item m="1" x="213"/>
        <item m="1" x="162"/>
        <item m="1" x="188"/>
        <item m="1" x="38"/>
        <item m="1" x="257"/>
        <item m="1" x="198"/>
        <item m="1" x="279"/>
        <item m="1" x="13"/>
        <item m="1" x="307"/>
        <item m="1" x="99"/>
        <item m="1" x="218"/>
        <item m="1" x="202"/>
        <item m="1" x="208"/>
        <item m="1" x="184"/>
        <item m="1" x="244"/>
        <item m="1" x="264"/>
        <item m="1" x="305"/>
        <item m="1" x="10"/>
        <item m="1" x="105"/>
        <item m="1" x="299"/>
        <item m="1" x="36"/>
        <item m="1" x="25"/>
        <item m="1" x="262"/>
        <item m="1" x="7"/>
        <item m="1" x="235"/>
        <item m="1" x="230"/>
        <item m="1" x="254"/>
        <item m="1" x="59"/>
        <item m="1" x="17"/>
        <item m="1" x="135"/>
        <item m="1" x="85"/>
        <item m="1" x="15"/>
        <item m="1" x="176"/>
        <item m="1" x="161"/>
        <item m="1" x="223"/>
        <item m="1" x="125"/>
        <item m="1" x="224"/>
        <item m="1" x="6"/>
        <item m="1" x="172"/>
        <item m="1" x="187"/>
        <item m="1" x="259"/>
        <item m="1" x="148"/>
        <item m="1" x="183"/>
        <item m="1" x="107"/>
        <item m="1" x="71"/>
        <item m="1" x="78"/>
        <item m="1" x="104"/>
        <item m="1" x="228"/>
        <item m="1" x="137"/>
        <item m="1" x="152"/>
        <item m="1" x="89"/>
        <item m="1" x="22"/>
        <item m="1" x="48"/>
        <item m="1" x="197"/>
        <item m="1" x="189"/>
        <item m="1" x="88"/>
        <item m="1" x="159"/>
        <item m="1" x="240"/>
        <item m="1" x="180"/>
        <item m="1" x="249"/>
        <item m="1" x="284"/>
        <item m="1" x="96"/>
        <item m="1" x="169"/>
        <item m="1" x="156"/>
        <item m="1" x="178"/>
        <item m="1" x="86"/>
        <item m="1" x="170"/>
        <item m="1" x="165"/>
        <item m="1" x="153"/>
        <item m="1" x="282"/>
        <item m="1" x="247"/>
        <item m="1" x="185"/>
        <item m="1" x="32"/>
        <item m="1" x="50"/>
        <item m="1" x="63"/>
        <item m="1" x="289"/>
        <item m="1" x="132"/>
        <item m="1" x="238"/>
        <item m="1" x="134"/>
        <item m="1" x="139"/>
        <item m="1" x="237"/>
        <item t="default"/>
      </items>
    </pivotField>
    <pivotField showAll="0"/>
    <pivotField axis="axisRow" showAll="0" defaultSubtotal="0">
      <items count="281">
        <item n="Non-International" x="1"/>
        <item n="International"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s>
    </pivotField>
  </pivotFields>
  <rowFields count="1">
    <field x="32"/>
  </rowFields>
  <rowItems count="2">
    <i>
      <x/>
    </i>
    <i t="grand">
      <x/>
    </i>
  </rowItems>
  <colItems count="1">
    <i/>
  </colItems>
  <dataFields count="1">
    <dataField name="Count of prop_id" fld="1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9" cacheId="2"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8">
  <location ref="B48:C50" firstHeaderRow="1" firstDataRow="1" firstDataCol="1"/>
  <pivotFields count="33">
    <pivotField numFmtId="167" showAll="0">
      <items count="2">
        <item x="0"/>
        <item t="default"/>
      </items>
    </pivotField>
    <pivotField showAll="0"/>
    <pivotField showAll="0">
      <items count="60">
        <item m="1" x="1"/>
        <item m="1" x="7"/>
        <item m="1" x="47"/>
        <item m="1" x="20"/>
        <item m="1" x="51"/>
        <item m="1" x="3"/>
        <item m="1" x="24"/>
        <item m="1" x="29"/>
        <item m="1" x="8"/>
        <item m="1" x="52"/>
        <item m="1" x="13"/>
        <item m="1" x="22"/>
        <item m="1" x="49"/>
        <item m="1" x="57"/>
        <item m="1" x="48"/>
        <item m="1" x="45"/>
        <item m="1" x="31"/>
        <item m="1" x="5"/>
        <item m="1" x="28"/>
        <item m="1" x="34"/>
        <item m="1" x="14"/>
        <item m="1" x="23"/>
        <item m="1" x="55"/>
        <item x="0"/>
        <item m="1" x="10"/>
        <item m="1" x="18"/>
        <item m="1" x="30"/>
        <item m="1" x="38"/>
        <item m="1" x="11"/>
        <item m="1" x="46"/>
        <item m="1" x="50"/>
        <item m="1" x="2"/>
        <item m="1" x="36"/>
        <item m="1" x="32"/>
        <item m="1" x="41"/>
        <item m="1" x="33"/>
        <item m="1" x="43"/>
        <item m="1" x="6"/>
        <item m="1" x="53"/>
        <item m="1" x="35"/>
        <item m="1" x="21"/>
        <item m="1" x="39"/>
        <item m="1" x="19"/>
        <item m="1" x="26"/>
        <item m="1" x="9"/>
        <item m="1" x="40"/>
        <item m="1" x="27"/>
        <item m="1" x="58"/>
        <item m="1" x="44"/>
        <item m="1" x="54"/>
        <item m="1" x="15"/>
        <item m="1" x="56"/>
        <item m="1" x="25"/>
        <item m="1" x="37"/>
        <item m="1" x="16"/>
        <item m="1" x="17"/>
        <item m="1" x="42"/>
        <item m="1" x="12"/>
        <item m="1" x="4"/>
        <item t="default"/>
      </items>
    </pivotField>
    <pivotField showAll="0">
      <items count="8">
        <item m="1" x="2"/>
        <item x="0"/>
        <item m="1" x="1"/>
        <item m="1" x="6"/>
        <item m="1" x="3"/>
        <item m="1" x="5"/>
        <item m="1" x="4"/>
        <item t="default"/>
      </items>
    </pivotField>
    <pivotField showAll="0"/>
    <pivotField showAll="0">
      <items count="176">
        <item m="1" x="16"/>
        <item m="1" x="30"/>
        <item m="1" x="127"/>
        <item m="1" x="163"/>
        <item m="1" x="19"/>
        <item m="1" x="57"/>
        <item m="1" x="118"/>
        <item m="1" x="70"/>
        <item m="1" x="89"/>
        <item m="1" x="81"/>
        <item m="1" x="109"/>
        <item m="1" x="138"/>
        <item m="1" x="107"/>
        <item m="1" x="146"/>
        <item m="1" x="77"/>
        <item m="1" x="105"/>
        <item m="1" x="74"/>
        <item m="1" x="124"/>
        <item m="1" x="158"/>
        <item m="1" x="79"/>
        <item m="1" x="84"/>
        <item m="1" x="123"/>
        <item m="1" x="34"/>
        <item m="1" x="50"/>
        <item m="1" x="106"/>
        <item m="1" x="17"/>
        <item m="1" x="174"/>
        <item m="1" x="69"/>
        <item m="1" x="172"/>
        <item m="1" x="102"/>
        <item m="1" x="126"/>
        <item m="1" x="92"/>
        <item m="1" x="173"/>
        <item m="1" x="157"/>
        <item m="1" x="90"/>
        <item m="1" x="58"/>
        <item m="1" x="143"/>
        <item m="1" x="121"/>
        <item m="1" x="72"/>
        <item m="1" x="66"/>
        <item m="1" x="49"/>
        <item m="1" x="137"/>
        <item m="1" x="5"/>
        <item m="1" x="28"/>
        <item m="1" x="136"/>
        <item m="1" x="113"/>
        <item m="1" x="144"/>
        <item m="1" x="140"/>
        <item m="1" x="122"/>
        <item m="1" x="162"/>
        <item m="1" x="18"/>
        <item m="1" x="82"/>
        <item m="1" x="14"/>
        <item m="1" x="43"/>
        <item m="1" x="142"/>
        <item m="1" x="26"/>
        <item m="1" x="95"/>
        <item m="1" x="67"/>
        <item m="1" x="159"/>
        <item m="1" x="128"/>
        <item m="1" x="131"/>
        <item m="1" x="119"/>
        <item m="1" x="91"/>
        <item m="1" x="167"/>
        <item m="1" x="166"/>
        <item m="1" x="155"/>
        <item m="1" x="37"/>
        <item m="1" x="65"/>
        <item m="1" x="64"/>
        <item m="1" x="33"/>
        <item m="1" x="151"/>
        <item m="1" x="63"/>
        <item m="1" x="85"/>
        <item m="1" x="53"/>
        <item m="1" x="36"/>
        <item m="1" x="1"/>
        <item m="1" x="100"/>
        <item m="1" x="2"/>
        <item m="1" x="41"/>
        <item m="1" x="135"/>
        <item m="1" x="169"/>
        <item m="1" x="152"/>
        <item m="1" x="76"/>
        <item m="1" x="148"/>
        <item m="1" x="8"/>
        <item m="1" x="29"/>
        <item m="1" x="20"/>
        <item m="1" x="120"/>
        <item m="1" x="145"/>
        <item m="1" x="103"/>
        <item m="1" x="104"/>
        <item m="1" x="139"/>
        <item m="1" x="78"/>
        <item m="1" x="111"/>
        <item m="1" x="80"/>
        <item m="1" x="150"/>
        <item m="1" x="73"/>
        <item m="1" x="141"/>
        <item m="1" x="75"/>
        <item m="1" x="51"/>
        <item m="1" x="94"/>
        <item m="1" x="11"/>
        <item m="1" x="46"/>
        <item m="1" x="47"/>
        <item m="1" x="52"/>
        <item m="1" x="12"/>
        <item m="1" x="23"/>
        <item m="1" x="55"/>
        <item m="1" x="161"/>
        <item m="1" x="71"/>
        <item m="1" x="9"/>
        <item m="1" x="44"/>
        <item m="1" x="88"/>
        <item m="1" x="22"/>
        <item m="1" x="39"/>
        <item m="1" x="149"/>
        <item m="1" x="10"/>
        <item m="1" x="129"/>
        <item m="1" x="97"/>
        <item m="1" x="130"/>
        <item m="1" x="83"/>
        <item m="1" x="35"/>
        <item m="1" x="27"/>
        <item m="1" x="110"/>
        <item m="1" x="168"/>
        <item m="1" x="48"/>
        <item m="1" x="171"/>
        <item m="1" x="165"/>
        <item m="1" x="170"/>
        <item m="1" x="93"/>
        <item m="1" x="3"/>
        <item m="1" x="7"/>
        <item m="1" x="15"/>
        <item m="1" x="160"/>
        <item m="1" x="112"/>
        <item m="1" x="59"/>
        <item m="1" x="54"/>
        <item m="1" x="133"/>
        <item m="1" x="21"/>
        <item m="1" x="117"/>
        <item m="1" x="38"/>
        <item m="1" x="40"/>
        <item m="1" x="13"/>
        <item m="1" x="156"/>
        <item m="1" x="99"/>
        <item m="1" x="56"/>
        <item m="1" x="147"/>
        <item m="1" x="96"/>
        <item m="1" x="164"/>
        <item m="1" x="32"/>
        <item m="1" x="134"/>
        <item m="1" x="61"/>
        <item m="1" x="87"/>
        <item m="1" x="116"/>
        <item m="1" x="98"/>
        <item x="0"/>
        <item m="1" x="60"/>
        <item m="1" x="68"/>
        <item m="1" x="25"/>
        <item m="1" x="4"/>
        <item m="1" x="42"/>
        <item m="1" x="6"/>
        <item m="1" x="31"/>
        <item m="1" x="108"/>
        <item m="1" x="125"/>
        <item m="1" x="45"/>
        <item m="1" x="132"/>
        <item m="1" x="114"/>
        <item m="1" x="154"/>
        <item m="1" x="62"/>
        <item m="1" x="153"/>
        <item m="1" x="86"/>
        <item m="1" x="24"/>
        <item m="1" x="115"/>
        <item m="1" x="101"/>
        <item t="default"/>
      </items>
    </pivotField>
    <pivotField showAll="0">
      <items count="309">
        <item m="1" x="1"/>
        <item m="1" x="48"/>
        <item m="1" x="23"/>
        <item m="1" x="231"/>
        <item m="1" x="117"/>
        <item m="1" x="106"/>
        <item m="1" x="11"/>
        <item m="1" x="279"/>
        <item m="1" x="251"/>
        <item m="1" x="254"/>
        <item m="1" x="185"/>
        <item m="1" x="212"/>
        <item m="1" x="272"/>
        <item m="1" x="186"/>
        <item m="1" x="197"/>
        <item m="1" x="296"/>
        <item m="1" x="248"/>
        <item m="1" x="260"/>
        <item m="1" x="131"/>
        <item m="1" x="164"/>
        <item m="1" x="297"/>
        <item m="1" x="303"/>
        <item m="1" x="115"/>
        <item m="1" x="226"/>
        <item m="1" x="118"/>
        <item m="1" x="110"/>
        <item m="1" x="202"/>
        <item m="1" x="35"/>
        <item m="1" x="261"/>
        <item m="1" x="123"/>
        <item m="1" x="144"/>
        <item m="1" x="151"/>
        <item m="1" x="252"/>
        <item m="1" x="124"/>
        <item m="1" x="230"/>
        <item m="1" x="20"/>
        <item m="1" x="203"/>
        <item m="1" x="105"/>
        <item m="1" x="86"/>
        <item m="1" x="160"/>
        <item m="1" x="170"/>
        <item m="1" x="46"/>
        <item m="1" x="33"/>
        <item m="1" x="255"/>
        <item m="1" x="265"/>
        <item m="1" x="192"/>
        <item m="1" x="102"/>
        <item m="1" x="233"/>
        <item m="1" x="83"/>
        <item m="1" x="42"/>
        <item m="1" x="288"/>
        <item m="1" x="111"/>
        <item m="1" x="262"/>
        <item m="1" x="87"/>
        <item m="1" x="305"/>
        <item m="1" x="191"/>
        <item m="1" x="75"/>
        <item m="1" x="298"/>
        <item m="1" x="270"/>
        <item m="1" x="153"/>
        <item m="1" x="294"/>
        <item m="1" x="88"/>
        <item m="1" x="132"/>
        <item m="1" x="4"/>
        <item m="1" x="12"/>
        <item m="1" x="99"/>
        <item m="1" x="204"/>
        <item m="1" x="60"/>
        <item m="1" x="165"/>
        <item m="1" x="215"/>
        <item m="1" x="103"/>
        <item m="1" x="181"/>
        <item m="1" x="112"/>
        <item m="1" x="299"/>
        <item m="1" x="182"/>
        <item m="1" x="208"/>
        <item m="1" x="122"/>
        <item m="1" x="194"/>
        <item m="1" x="152"/>
        <item m="1" x="19"/>
        <item m="1" x="172"/>
        <item m="1" x="148"/>
        <item m="1" x="28"/>
        <item m="1" x="256"/>
        <item m="1" x="271"/>
        <item m="1" x="100"/>
        <item m="1" x="162"/>
        <item m="1" x="304"/>
        <item m="1" x="119"/>
        <item m="1" x="125"/>
        <item m="1" x="137"/>
        <item m="1" x="68"/>
        <item m="1" x="213"/>
        <item m="1" x="273"/>
        <item m="1" x="39"/>
        <item m="1" x="274"/>
        <item m="1" x="266"/>
        <item m="1" x="238"/>
        <item m="1" x="198"/>
        <item m="1" x="209"/>
        <item m="1" x="82"/>
        <item m="1" x="211"/>
        <item m="1" x="107"/>
        <item m="1" x="29"/>
        <item m="1" x="13"/>
        <item m="1" x="216"/>
        <item m="1" x="171"/>
        <item m="1" x="96"/>
        <item m="1" x="55"/>
        <item m="1" x="221"/>
        <item m="1" x="5"/>
        <item m="1" x="2"/>
        <item m="1" x="56"/>
        <item m="1" x="173"/>
        <item m="1" x="222"/>
        <item m="1" x="285"/>
        <item m="1" x="219"/>
        <item m="1" x="51"/>
        <item m="1" x="38"/>
        <item m="1" x="249"/>
        <item m="1" x="138"/>
        <item m="1" x="17"/>
        <item m="1" x="113"/>
        <item m="1" x="244"/>
        <item m="1" x="263"/>
        <item m="1" x="40"/>
        <item m="1" x="154"/>
        <item m="1" x="101"/>
        <item m="1" x="43"/>
        <item m="1" x="95"/>
        <item m="1" x="277"/>
        <item x="0"/>
        <item m="1" x="174"/>
        <item m="1" x="108"/>
        <item m="1" x="47"/>
        <item m="1" x="243"/>
        <item m="1" x="280"/>
        <item m="1" x="76"/>
        <item m="1" x="149"/>
        <item m="1" x="69"/>
        <item m="1" x="258"/>
        <item m="1" x="217"/>
        <item m="1" x="52"/>
        <item m="1" x="183"/>
        <item m="1" x="142"/>
        <item m="1" x="201"/>
        <item m="1" x="306"/>
        <item m="1" x="275"/>
        <item m="1" x="301"/>
        <item m="1" x="109"/>
        <item m="1" x="129"/>
        <item m="1" x="72"/>
        <item m="1" x="143"/>
        <item m="1" x="199"/>
        <item m="1" x="54"/>
        <item m="1" x="175"/>
        <item m="1" x="178"/>
        <item m="1" x="193"/>
        <item m="1" x="184"/>
        <item m="1" x="78"/>
        <item m="1" x="267"/>
        <item m="1" x="234"/>
        <item m="1" x="133"/>
        <item m="1" x="41"/>
        <item m="1" x="89"/>
        <item m="1" x="180"/>
        <item m="1" x="90"/>
        <item m="1" x="179"/>
        <item m="1" x="281"/>
        <item m="1" x="30"/>
        <item m="1" x="136"/>
        <item m="1" x="205"/>
        <item m="1" x="14"/>
        <item m="1" x="77"/>
        <item m="1" x="282"/>
        <item m="1" x="289"/>
        <item m="1" x="276"/>
        <item m="1" x="235"/>
        <item m="1" x="8"/>
        <item m="1" x="24"/>
        <item m="1" x="283"/>
        <item m="1" x="139"/>
        <item m="1" x="290"/>
        <item m="1" x="59"/>
        <item m="1" x="80"/>
        <item m="1" x="27"/>
        <item m="1" x="302"/>
        <item m="1" x="63"/>
        <item m="1" x="239"/>
        <item m="1" x="9"/>
        <item m="1" x="50"/>
        <item m="1" x="166"/>
        <item m="1" x="140"/>
        <item m="1" x="227"/>
        <item m="1" x="64"/>
        <item m="1" x="145"/>
        <item m="1" x="245"/>
        <item m="1" x="195"/>
        <item m="1" x="22"/>
        <item m="1" x="3"/>
        <item m="1" x="134"/>
        <item m="1" x="268"/>
        <item m="1" x="104"/>
        <item m="1" x="147"/>
        <item m="1" x="269"/>
        <item m="1" x="79"/>
        <item m="1" x="187"/>
        <item m="1" x="236"/>
        <item m="1" x="167"/>
        <item m="1" x="291"/>
        <item m="1" x="156"/>
        <item m="1" x="253"/>
        <item m="1" x="188"/>
        <item m="1" x="292"/>
        <item m="1" x="34"/>
        <item m="1" x="240"/>
        <item m="1" x="130"/>
        <item m="1" x="189"/>
        <item m="1" x="287"/>
        <item m="1" x="295"/>
        <item m="1" x="257"/>
        <item m="1" x="206"/>
        <item m="1" x="21"/>
        <item m="1" x="190"/>
        <item m="1" x="168"/>
        <item m="1" x="293"/>
        <item m="1" x="18"/>
        <item m="1" x="120"/>
        <item m="1" x="31"/>
        <item m="1" x="284"/>
        <item m="1" x="91"/>
        <item m="1" x="228"/>
        <item m="1" x="128"/>
        <item m="1" x="70"/>
        <item m="1" x="57"/>
        <item m="1" x="207"/>
        <item m="1" x="61"/>
        <item m="1" x="307"/>
        <item m="1" x="84"/>
        <item m="1" x="232"/>
        <item m="1" x="126"/>
        <item m="1" x="264"/>
        <item m="1" x="176"/>
        <item m="1" x="73"/>
        <item m="1" x="241"/>
        <item m="1" x="53"/>
        <item m="1" x="200"/>
        <item m="1" x="157"/>
        <item m="1" x="15"/>
        <item m="1" x="300"/>
        <item m="1" x="242"/>
        <item m="1" x="67"/>
        <item m="1" x="223"/>
        <item m="1" x="220"/>
        <item m="1" x="161"/>
        <item m="1" x="224"/>
        <item m="1" x="36"/>
        <item m="1" x="286"/>
        <item m="1" x="237"/>
        <item m="1" x="97"/>
        <item m="1" x="250"/>
        <item m="1" x="141"/>
        <item m="1" x="62"/>
        <item m="1" x="32"/>
        <item m="1" x="121"/>
        <item m="1" x="163"/>
        <item m="1" x="6"/>
        <item m="1" x="71"/>
        <item m="1" x="37"/>
        <item m="1" x="150"/>
        <item m="1" x="259"/>
        <item m="1" x="196"/>
        <item m="1" x="218"/>
        <item m="1" x="7"/>
        <item m="1" x="158"/>
        <item m="1" x="135"/>
        <item m="1" x="127"/>
        <item m="1" x="85"/>
        <item m="1" x="16"/>
        <item m="1" x="278"/>
        <item m="1" x="66"/>
        <item m="1" x="44"/>
        <item m="1" x="177"/>
        <item m="1" x="229"/>
        <item m="1" x="146"/>
        <item m="1" x="49"/>
        <item m="1" x="169"/>
        <item m="1" x="25"/>
        <item m="1" x="58"/>
        <item m="1" x="10"/>
        <item m="1" x="92"/>
        <item m="1" x="65"/>
        <item m="1" x="74"/>
        <item m="1" x="26"/>
        <item m="1" x="93"/>
        <item m="1" x="114"/>
        <item m="1" x="45"/>
        <item m="1" x="159"/>
        <item m="1" x="81"/>
        <item m="1" x="98"/>
        <item m="1" x="246"/>
        <item m="1" x="94"/>
        <item m="1" x="210"/>
        <item m="1" x="225"/>
        <item m="1" x="116"/>
        <item m="1" x="214"/>
        <item m="1" x="155"/>
        <item m="1" x="247"/>
        <item t="default"/>
      </items>
    </pivotField>
    <pivotField showAll="0" defaultSubtotal="0">
      <items count="4">
        <item x="0"/>
        <item m="1" x="3"/>
        <item m="1" x="1"/>
        <item m="1" x="2"/>
      </items>
    </pivotField>
    <pivotField showAll="0">
      <items count="5">
        <item x="0"/>
        <item m="1" x="1"/>
        <item m="1" x="3"/>
        <item m="1" x="2"/>
        <item t="default"/>
      </items>
    </pivotField>
    <pivotField showAll="0">
      <items count="7">
        <item m="1" x="5"/>
        <item x="0"/>
        <item m="1" x="2"/>
        <item m="1" x="1"/>
        <item m="1" x="3"/>
        <item m="1" x="4"/>
        <item t="default"/>
      </items>
    </pivotField>
    <pivotField showAll="0" defaultSubtotal="0"/>
    <pivotField showAll="0"/>
    <pivotField showAll="0"/>
    <pivotField showAll="0">
      <items count="30">
        <item m="1" x="20"/>
        <item m="1" x="27"/>
        <item m="1" x="5"/>
        <item m="1" x="6"/>
        <item m="1" x="18"/>
        <item x="0"/>
        <item m="1" x="25"/>
        <item m="1" x="19"/>
        <item m="1" x="13"/>
        <item m="1" x="9"/>
        <item m="1" x="21"/>
        <item m="1" x="23"/>
        <item m="1" x="8"/>
        <item m="1" x="10"/>
        <item m="1" x="22"/>
        <item m="1" x="1"/>
        <item m="1" x="15"/>
        <item m="1" x="26"/>
        <item m="1" x="2"/>
        <item m="1" x="4"/>
        <item m="1" x="7"/>
        <item m="1" x="11"/>
        <item m="1" x="16"/>
        <item m="1" x="14"/>
        <item m="1" x="12"/>
        <item m="1" x="28"/>
        <item m="1" x="24"/>
        <item m="1" x="17"/>
        <item m="1" x="3"/>
        <item t="default"/>
      </items>
    </pivotField>
    <pivotField dataField="1" showAll="0"/>
    <pivotField showAll="0"/>
    <pivotField showAll="0"/>
    <pivotField showAll="0"/>
    <pivotField showAll="0"/>
    <pivotField showAll="0" defaultSubtotal="0"/>
    <pivotField numFmtId="165" showAll="0" defaultSubtotal="0"/>
    <pivotField showAll="0"/>
    <pivotField numFmtId="164" showAll="0"/>
    <pivotField showAll="0"/>
    <pivotField axis="axisRow" showAll="0">
      <items count="3">
        <item x="0"/>
        <item m="1" x="1"/>
        <item t="default"/>
      </items>
    </pivotField>
    <pivotField showAll="0" defaultSubtotal="0"/>
    <pivotField showAll="0" defaultSubtotal="0"/>
    <pivotField showAll="0" defaultSubtotal="0"/>
    <pivotField showAll="0" defaultSubtotal="0"/>
    <pivotField showAll="0" defaultSubtotal="0"/>
    <pivotField showAll="0" defaultSubtotal="0">
      <items count="309">
        <item m="1" x="292"/>
        <item m="1" x="129"/>
        <item m="1" x="239"/>
        <item m="1" x="174"/>
        <item m="1" x="209"/>
        <item m="1" x="72"/>
        <item m="1" x="280"/>
        <item m="1" x="260"/>
        <item m="1" x="98"/>
        <item m="1" x="30"/>
        <item m="1" x="216"/>
        <item m="1" x="18"/>
        <item m="1" x="55"/>
        <item m="1" x="142"/>
        <item m="1" x="227"/>
        <item m="1" x="281"/>
        <item m="1" x="103"/>
        <item m="1" x="113"/>
        <item m="1" x="200"/>
        <item m="1" x="41"/>
        <item m="1" x="225"/>
        <item m="1" x="80"/>
        <item m="1" x="56"/>
        <item m="1" x="31"/>
        <item m="1" x="121"/>
        <item m="1" x="81"/>
        <item m="1" x="131"/>
        <item m="1" x="21"/>
        <item m="1" x="133"/>
        <item x="0"/>
        <item m="1" x="43"/>
        <item m="1" x="87"/>
        <item m="1" x="179"/>
        <item m="1" x="29"/>
        <item m="1" x="95"/>
        <item m="1" x="226"/>
        <item m="1" x="246"/>
        <item m="1" x="251"/>
        <item m="1" x="39"/>
        <item m="1" x="83"/>
        <item m="1" x="70"/>
        <item m="1" x="141"/>
        <item m="1" x="42"/>
        <item m="1" x="215"/>
        <item m="1" x="294"/>
        <item m="1" x="68"/>
        <item m="1" x="120"/>
        <item m="1" x="116"/>
        <item m="1" x="182"/>
        <item m="1" x="278"/>
        <item m="1" x="140"/>
        <item m="1" x="138"/>
        <item m="1" x="5"/>
        <item m="1" x="211"/>
        <item m="1" x="118"/>
        <item m="1" x="181"/>
        <item m="1" x="146"/>
        <item m="1" x="194"/>
        <item m="1" x="149"/>
        <item m="1" x="14"/>
        <item m="1" x="199"/>
        <item m="1" x="123"/>
        <item m="1" x="164"/>
        <item m="1" x="33"/>
        <item m="1" x="74"/>
        <item m="1" x="273"/>
        <item m="1" x="293"/>
        <item m="1" x="275"/>
        <item m="1" x="51"/>
        <item m="1" x="243"/>
        <item m="1" x="306"/>
        <item m="1" x="34"/>
        <item m="1" x="303"/>
        <item m="1" x="62"/>
        <item m="1" x="16"/>
        <item m="1" x="112"/>
        <item m="1" x="9"/>
        <item m="1" x="76"/>
        <item m="1" x="49"/>
        <item m="1" x="302"/>
        <item m="1" x="267"/>
        <item m="1" x="272"/>
        <item m="1" x="155"/>
        <item m="1" x="298"/>
        <item m="1" x="114"/>
        <item m="1" x="245"/>
        <item m="1" x="46"/>
        <item m="1" x="242"/>
        <item m="1" x="192"/>
        <item m="1" x="219"/>
        <item m="1" x="266"/>
        <item m="1" x="127"/>
        <item m="1" x="79"/>
        <item m="1" x="94"/>
        <item m="1" x="2"/>
        <item m="1" x="290"/>
        <item m="1" x="4"/>
        <item m="1" x="207"/>
        <item m="1" x="136"/>
        <item m="1" x="157"/>
        <item m="1" x="248"/>
        <item m="1" x="143"/>
        <item m="1" x="277"/>
        <item m="1" x="40"/>
        <item m="1" x="229"/>
        <item m="1" x="26"/>
        <item m="1" x="128"/>
        <item m="1" x="45"/>
        <item m="1" x="145"/>
        <item m="1" x="147"/>
        <item m="1" x="171"/>
        <item m="1" x="285"/>
        <item m="1" x="233"/>
        <item m="1" x="253"/>
        <item m="1" x="283"/>
        <item m="1" x="47"/>
        <item m="1" x="196"/>
        <item m="1" x="234"/>
        <item m="1" x="54"/>
        <item m="1" x="58"/>
        <item m="1" x="109"/>
        <item m="1" x="93"/>
        <item m="1" x="108"/>
        <item m="1" x="110"/>
        <item m="1" x="222"/>
        <item m="1" x="261"/>
        <item m="1" x="250"/>
        <item m="1" x="160"/>
        <item m="1" x="122"/>
        <item m="1" x="168"/>
        <item m="1" x="20"/>
        <item m="1" x="28"/>
        <item m="1" x="193"/>
        <item m="1" x="163"/>
        <item m="1" x="300"/>
        <item m="1" x="265"/>
        <item m="1" x="167"/>
        <item m="1" x="186"/>
        <item m="1" x="158"/>
        <item m="1" x="270"/>
        <item m="1" x="97"/>
        <item m="1" x="106"/>
        <item m="1" x="35"/>
        <item m="1" x="23"/>
        <item m="1" x="130"/>
        <item m="1" x="268"/>
        <item m="1" x="1"/>
        <item m="1" x="12"/>
        <item m="1" x="256"/>
        <item m="1" x="73"/>
        <item m="1" x="61"/>
        <item m="1" x="8"/>
        <item m="1" x="201"/>
        <item m="1" x="241"/>
        <item m="1" x="119"/>
        <item m="1" x="67"/>
        <item m="1" x="220"/>
        <item m="1" x="271"/>
        <item m="1" x="90"/>
        <item m="1" x="24"/>
        <item m="1" x="232"/>
        <item m="1" x="115"/>
        <item m="1" x="175"/>
        <item m="1" x="286"/>
        <item m="1" x="84"/>
        <item m="1" x="92"/>
        <item m="1" x="3"/>
        <item m="1" x="69"/>
        <item m="1" x="60"/>
        <item m="1" x="191"/>
        <item m="1" x="295"/>
        <item m="1" x="77"/>
        <item m="1" x="297"/>
        <item m="1" x="263"/>
        <item m="1" x="301"/>
        <item m="1" x="276"/>
        <item m="1" x="236"/>
        <item m="1" x="144"/>
        <item m="1" x="151"/>
        <item m="1" x="287"/>
        <item m="1" x="124"/>
        <item m="1" x="274"/>
        <item m="1" x="37"/>
        <item m="1" x="166"/>
        <item m="1" x="57"/>
        <item m="1" x="117"/>
        <item m="1" x="304"/>
        <item m="1" x="19"/>
        <item m="1" x="66"/>
        <item m="1" x="206"/>
        <item m="1" x="210"/>
        <item m="1" x="64"/>
        <item m="1" x="82"/>
        <item m="1" x="308"/>
        <item m="1" x="44"/>
        <item m="1" x="212"/>
        <item m="1" x="100"/>
        <item m="1" x="91"/>
        <item m="1" x="65"/>
        <item m="1" x="150"/>
        <item m="1" x="204"/>
        <item m="1" x="102"/>
        <item m="1" x="52"/>
        <item m="1" x="221"/>
        <item m="1" x="255"/>
        <item m="1" x="101"/>
        <item m="1" x="203"/>
        <item m="1" x="291"/>
        <item m="1" x="53"/>
        <item m="1" x="173"/>
        <item m="1" x="252"/>
        <item m="1" x="269"/>
        <item m="1" x="11"/>
        <item m="1" x="258"/>
        <item m="1" x="177"/>
        <item m="1" x="288"/>
        <item m="1" x="154"/>
        <item m="1" x="231"/>
        <item m="1" x="126"/>
        <item m="1" x="27"/>
        <item m="1" x="296"/>
        <item m="1" x="195"/>
        <item m="1" x="190"/>
        <item m="1" x="205"/>
        <item m="1" x="75"/>
        <item m="1" x="111"/>
        <item m="1" x="217"/>
        <item m="1" x="214"/>
        <item m="1" x="213"/>
        <item m="1" x="162"/>
        <item m="1" x="188"/>
        <item m="1" x="38"/>
        <item m="1" x="257"/>
        <item m="1" x="198"/>
        <item m="1" x="279"/>
        <item m="1" x="13"/>
        <item m="1" x="307"/>
        <item m="1" x="99"/>
        <item m="1" x="218"/>
        <item m="1" x="202"/>
        <item m="1" x="208"/>
        <item m="1" x="184"/>
        <item m="1" x="244"/>
        <item m="1" x="264"/>
        <item m="1" x="305"/>
        <item m="1" x="10"/>
        <item m="1" x="105"/>
        <item m="1" x="299"/>
        <item m="1" x="36"/>
        <item m="1" x="25"/>
        <item m="1" x="262"/>
        <item m="1" x="7"/>
        <item m="1" x="235"/>
        <item m="1" x="230"/>
        <item m="1" x="254"/>
        <item m="1" x="59"/>
        <item m="1" x="17"/>
        <item m="1" x="135"/>
        <item m="1" x="85"/>
        <item m="1" x="15"/>
        <item m="1" x="176"/>
        <item m="1" x="161"/>
        <item m="1" x="223"/>
        <item m="1" x="125"/>
        <item m="1" x="224"/>
        <item m="1" x="6"/>
        <item m="1" x="172"/>
        <item m="1" x="187"/>
        <item m="1" x="259"/>
        <item m="1" x="148"/>
        <item m="1" x="183"/>
        <item m="1" x="107"/>
        <item m="1" x="71"/>
        <item m="1" x="78"/>
        <item m="1" x="104"/>
        <item m="1" x="228"/>
        <item m="1" x="137"/>
        <item m="1" x="152"/>
        <item m="1" x="89"/>
        <item m="1" x="22"/>
        <item m="1" x="48"/>
        <item m="1" x="197"/>
        <item m="1" x="189"/>
        <item m="1" x="88"/>
        <item m="1" x="159"/>
        <item m="1" x="240"/>
        <item m="1" x="180"/>
        <item m="1" x="249"/>
        <item m="1" x="284"/>
        <item m="1" x="96"/>
        <item m="1" x="169"/>
        <item m="1" x="156"/>
        <item m="1" x="178"/>
        <item m="1" x="86"/>
        <item m="1" x="170"/>
        <item m="1" x="165"/>
        <item m="1" x="153"/>
        <item m="1" x="282"/>
        <item m="1" x="247"/>
        <item m="1" x="185"/>
        <item m="1" x="32"/>
        <item m="1" x="50"/>
        <item m="1" x="63"/>
        <item m="1" x="289"/>
        <item m="1" x="132"/>
        <item m="1" x="238"/>
        <item m="1" x="134"/>
        <item m="1" x="139"/>
        <item m="1" x="237"/>
      </items>
    </pivotField>
    <pivotField showAll="0"/>
    <pivotField showAll="0" defaultSubtotal="0">
      <items count="2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s>
    </pivotField>
  </pivotFields>
  <rowFields count="1">
    <field x="24"/>
  </rowFields>
  <rowItems count="2">
    <i>
      <x/>
    </i>
    <i t="grand">
      <x/>
    </i>
  </rowItems>
  <colItems count="1">
    <i/>
  </colItems>
  <dataFields count="1">
    <dataField name="Count of prop_id" fld="14" subtotal="count" baseField="0" baseItem="0"/>
  </dataFields>
  <chartFormats count="6">
    <chartFormat chart="1" format="0" series="1">
      <pivotArea type="data" outline="0" fieldPosition="0">
        <references count="1">
          <reference field="4294967294" count="1" selected="0">
            <x v="0"/>
          </reference>
        </references>
      </pivotArea>
    </chartFormat>
    <chartFormat chart="1" format="18">
      <pivotArea type="data" outline="0" fieldPosition="0">
        <references count="2">
          <reference field="4294967294" count="1" selected="0">
            <x v="0"/>
          </reference>
          <reference field="24" count="1" selected="0">
            <x v="0"/>
          </reference>
        </references>
      </pivotArea>
    </chartFormat>
    <chartFormat chart="1" format="19">
      <pivotArea type="data" outline="0" fieldPosition="0">
        <references count="2">
          <reference field="4294967294" count="1" selected="0">
            <x v="0"/>
          </reference>
          <reference field="24" count="1" selected="0">
            <x v="1"/>
          </reference>
        </references>
      </pivotArea>
    </chartFormat>
    <chartFormat chart="4" format="20" series="1">
      <pivotArea type="data" outline="0" fieldPosition="0">
        <references count="1">
          <reference field="4294967294" count="1" selected="0">
            <x v="0"/>
          </reference>
        </references>
      </pivotArea>
    </chartFormat>
    <chartFormat chart="4" format="21">
      <pivotArea type="data" outline="0" fieldPosition="0">
        <references count="2">
          <reference field="4294967294" count="1" selected="0">
            <x v="0"/>
          </reference>
          <reference field="24" count="1" selected="0">
            <x v="0"/>
          </reference>
        </references>
      </pivotArea>
    </chartFormat>
    <chartFormat chart="4" format="22">
      <pivotArea type="data" outline="0" fieldPosition="0">
        <references count="2">
          <reference field="4294967294" count="1" selected="0">
            <x v="0"/>
          </reference>
          <reference field="2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4">
    <queryTableFields count="1">
      <queryTableField id="3" name="num_retrieved" tableColumnId="1"/>
    </queryTableFields>
  </queryTableRefresh>
</queryTable>
</file>

<file path=xl/queryTables/queryTable2.xml><?xml version="1.0" encoding="utf-8"?>
<queryTable xmlns="http://schemas.openxmlformats.org/spreadsheetml/2006/main" name="Query from RPTSERVER" growShrinkType="insertClear" adjustColumnWidth="0" connectionId="9" autoFormatId="16" applyNumberFormats="0" applyBorderFormats="0" applyFontFormats="0" applyPatternFormats="0" applyAlignmentFormats="0" applyWidthHeightFormats="0">
  <queryTableRefresh nextId="51">
    <queryTableFields count="39">
      <queryTableField id="1" name="nsf_rcvd_date" tableColumnId="103"/>
      <queryTableField id="2" name="dd_rcom_date" tableColumnId="104"/>
      <queryTableField id="3" name="pgm_annc_id" tableColumnId="105"/>
      <queryTableField id="4" name="Dir" tableColumnId="106"/>
      <queryTableField id="5" name="org_code" tableColumnId="107"/>
      <queryTableField id="6" name="origORG" tableColumnId="108"/>
      <queryTableField id="7" name="Pgm" tableColumnId="109"/>
      <queryTableField id="8" name="origPEC" tableColumnId="110"/>
      <queryTableField id="9" name="PO" tableColumnId="111"/>
      <queryTableField id="10" name="obj_clas_code" tableColumnId="112"/>
      <queryTableField id="11" name="natr_rqst_abbr" tableColumnId="113"/>
      <queryTableField id="12" name="prop_stts_abbr" tableColumnId="114"/>
      <queryTableField id="13" name="nProp" tableColumnId="115"/>
      <queryTableField id="14" name="nPI" tableColumnId="116"/>
      <queryTableField id="15" name="nPanl" tableColumnId="117"/>
      <queryTableField id="16" name="panl_idmax" tableColumnId="118"/>
      <queryTableField id="17" name="ILN" tableColumnId="119"/>
      <queryTableField id="18" name="Div" tableColumnId="120"/>
      <queryTableField id="19" name="prop_id" tableColumnId="121"/>
      <queryTableField id="47" dataBound="0" tableColumnId="149"/>
      <queryTableField id="20" name="pi_last_name" tableColumnId="122"/>
      <queryTableField id="21" name="pi_frst_name" tableColumnId="123"/>
      <queryTableField id="22" name="inst_name" tableColumnId="124"/>
      <queryTableField id="23" name="st_code" tableColumnId="125"/>
      <queryTableField id="24" name="pi_emai_addr" tableColumnId="126"/>
      <queryTableField id="25" name="pi_id" tableColumnId="127"/>
      <queryTableField id="26" name="inst_id" tableColumnId="128"/>
      <queryTableField id="27" name="prop_titl_txt" tableColumnId="129"/>
      <queryTableField id="28" name="rqst_dol_tot" tableColumnId="130"/>
      <queryTableField id="29" name="rqst_eff_date" tableColumnId="131"/>
      <queryTableField id="30" name="rqst_mnth_cnt" tableColumnId="132"/>
      <queryTableField id="31" name="cntx_stmt_id" tableColumnId="133"/>
      <queryTableField id="33" name="prop_stts_txt" tableColumnId="135"/>
      <queryTableField id="34" name="Solicitation" tableColumnId="136"/>
      <queryTableField id="35" name="Organization" tableColumnId="137"/>
      <queryTableField id="36" name="obj_clas_name" tableColumnId="138"/>
      <queryTableField id="49" dataBound="0" tableColumnId="151"/>
      <queryTableField id="48" dataBound="0" tableColumnId="150"/>
      <queryTableField id="37" name="SPCL_CHAR_PDF" tableColumnId="139"/>
    </queryTableFields>
    <queryTableDeletedFields count="4">
      <deletedField name="prop_stts_code"/>
      <deletedField name="PROJ_SUMM_TXT"/>
      <deletedField name="INTUL_MERT"/>
      <deletedField name="BRODR_IMPT"/>
    </queryTableDeletedFields>
  </queryTableRefresh>
</queryTable>
</file>

<file path=xl/queryTables/queryTable3.xml><?xml version="1.0" encoding="utf-8"?>
<queryTable xmlns="http://schemas.openxmlformats.org/spreadsheetml/2006/main" name="Query from RPTSERVER_1" growShrinkType="insertClear" adjustColumnWidth="0" connectionId="1" autoFormatId="16" applyNumberFormats="0" applyBorderFormats="0" applyFontFormats="0" applyPatternFormats="0" applyAlignmentFormats="0" applyWidthHeightFormats="0">
  <queryTableRefresh nextId="40" unboundColumnsRight="1">
    <queryTableFields count="32">
      <queryTableField id="1" name="nsf_rcvd_date" tableColumnId="1"/>
      <queryTableField id="2" name="dd_rcom_date" tableColumnId="2"/>
      <queryTableField id="3" name="pgm_annc_id" tableColumnId="3"/>
      <queryTableField id="4" name="Dir" tableColumnId="4"/>
      <queryTableField id="5" name="org_code" tableColumnId="5"/>
      <queryTableField id="6" name="Pgm" tableColumnId="6"/>
      <queryTableField id="7" name="PO" tableColumnId="7"/>
      <queryTableField id="8" name="obj_clas_code" tableColumnId="8"/>
      <queryTableField id="9" name="natr_rqst_abbr" tableColumnId="9"/>
      <queryTableField id="10" name="prop_stts_abbr" tableColumnId="10"/>
      <queryTableField id="34" dataBound="0" tableColumnId="34"/>
      <queryTableField id="38" name="ILN" tableColumnId="33"/>
      <queryTableField id="11" name="lead" tableColumnId="11"/>
      <queryTableField id="12" name="Div" tableColumnId="12"/>
      <queryTableField id="13" name="prop_id" tableColumnId="13"/>
      <queryTableField id="35" dataBound="0" tableColumnId="35"/>
      <queryTableField id="15" name="prop_titl_txt" tableColumnId="15"/>
      <queryTableField id="16" name="pers" tableColumnId="16"/>
      <queryTableField id="17" name="pi_last_name" tableColumnId="17"/>
      <queryTableField id="36" dataBound="0" tableColumnId="36"/>
      <queryTableField id="18" name="pi_frst_name" tableColumnId="18"/>
      <queryTableField id="19" name="inst_name" tableColumnId="19"/>
      <queryTableField id="20" name="pi_gend_code" tableColumnId="20"/>
      <queryTableField id="21" name="pi_emai_addr" tableColumnId="21"/>
      <queryTableField id="22" name="pi_dept_name" tableColumnId="22"/>
      <queryTableField id="24" name="inst_id" tableColumnId="24"/>
      <queryTableField id="25" name="pi_id" tableColumnId="25"/>
      <queryTableField id="26" name="rqst_dol" tableColumnId="26"/>
      <queryTableField id="27" name="rqst_mnth_cnt" tableColumnId="27"/>
      <queryTableField id="28" name="rqst_eff_date" tableColumnId="28"/>
      <queryTableField id="39" name="st_code" tableColumnId="23"/>
      <queryTableField id="29" dataBound="0" tableColumnId="32"/>
    </queryTableFields>
  </queryTableRefresh>
</queryTable>
</file>

<file path=xl/queryTables/queryTable4.xml><?xml version="1.0" encoding="utf-8"?>
<queryTable xmlns="http://schemas.openxmlformats.org/spreadsheetml/2006/main" name="Query from RPTSERVER_1" growShrinkType="insertClear" adjustColumnWidth="0" connectionId="2" autoFormatId="16" applyNumberFormats="0" applyBorderFormats="0" applyFontFormats="0" applyPatternFormats="0" applyAlignmentFormats="0" applyWidthHeightFormats="0">
  <queryTableRefresh nextId="51">
    <queryTableFields count="32">
      <queryTableField id="1" name="nsf_rcvd_date" tableColumnId="1"/>
      <queryTableField id="2" name="dd_rcom_date" tableColumnId="2"/>
      <queryTableField id="3" name="pgm_annc_id" tableColumnId="3"/>
      <queryTableField id="4" name="Dir" tableColumnId="4"/>
      <queryTableField id="5" name="org_code" tableColumnId="5"/>
      <queryTableField id="6" name="Pgm" tableColumnId="6"/>
      <queryTableField id="7" name="PO" tableColumnId="7"/>
      <queryTableField id="40" name="obj_clas_code" tableColumnId="34"/>
      <queryTableField id="8" name="natr_rqst_abbr" tableColumnId="8"/>
      <queryTableField id="9" name="prop_stts_abbr" tableColumnId="9"/>
      <queryTableField id="34" dataBound="0" tableColumnId="31"/>
      <queryTableField id="13" name="ILN" tableColumnId="13"/>
      <queryTableField id="10" name="lead" tableColumnId="10"/>
      <queryTableField id="11" name="Div" tableColumnId="11"/>
      <queryTableField id="12" name="prop_id" tableColumnId="12"/>
      <queryTableField id="31" dataBound="0" tableColumnId="30"/>
      <queryTableField id="17" name="pi_last_name" tableColumnId="17"/>
      <queryTableField id="18" name="pi_frst_name" tableColumnId="18"/>
      <queryTableField id="19" name="inst_name" tableColumnId="19"/>
      <queryTableField id="36" name="inst_id" tableColumnId="32"/>
      <queryTableField id="15" name="rqst_dol" tableColumnId="15"/>
      <queryTableField id="25" name="rqst_mnth_cnt" tableColumnId="25"/>
      <queryTableField id="26" name="rqst_eff_date" tableColumnId="26"/>
      <queryTableField id="23" name="st_code" tableColumnId="23"/>
      <queryTableField id="27" dataBound="0" tableColumnId="16"/>
      <queryTableField id="42" name="PRCs" tableColumnId="21"/>
      <queryTableField id="41" name="cntx_stmt_id" tableColumnId="20"/>
      <queryTableField id="45" name="rout_PECs" tableColumnId="33"/>
      <queryTableField id="43" name="humn_date" tableColumnId="22"/>
      <queryTableField id="44" name="vrtb_date" tableColumnId="27"/>
      <queryTableField id="49" name="Country" tableColumnId="35"/>
      <queryTableField id="14" name="prop_titl_txt" tableColumnId="29"/>
    </queryTableFields>
    <queryTableDeletedFields count="1">
      <deletedField name="pi_id"/>
    </queryTableDeletedFields>
  </queryTableRefresh>
</queryTable>
</file>

<file path=xl/queryTables/queryTable5.xml><?xml version="1.0" encoding="utf-8"?>
<queryTable xmlns="http://schemas.openxmlformats.org/spreadsheetml/2006/main" name="Query from RPTSERVER" growShrinkType="insertClear" adjustColumnWidth="0" connectionId="7" autoFormatId="16" applyNumberFormats="0" applyBorderFormats="0" applyFontFormats="0" applyPatternFormats="0" applyAlignmentFormats="0" applyWidthHeightFormats="0">
  <queryTableRefresh nextId="22">
    <queryTableFields count="10">
      <queryTableField id="4" name="panl_id" tableColumnId="4"/>
      <queryTableField id="5" name="panl_name" tableColumnId="5"/>
      <queryTableField id="6" name="pm_logn_id" tableColumnId="6"/>
      <queryTableField id="20" name="numProps" tableColumnId="13"/>
      <queryTableField id="7" name="panl_bgn_date" tableColumnId="1"/>
      <queryTableField id="8" name="pgm_ele_code" tableColumnId="2"/>
      <queryTableField id="9" name="fund_org_code" tableColumnId="3"/>
      <queryTableField id="10" name="fund_pgm_ele_code" tableColumnId="7"/>
      <queryTableField id="15" name="panl_loc" tableColumnId="9"/>
      <queryTableField id="19" name="panlSumm" tableColumnId="12"/>
    </queryTableFields>
  </queryTableRefresh>
</queryTable>
</file>

<file path=xl/queryTables/queryTable6.xml><?xml version="1.0" encoding="utf-8"?>
<queryTable xmlns="http://schemas.openxmlformats.org/spreadsheetml/2006/main" name="seta2" backgroundRefresh="0" growShrinkType="insertClear" adjustColumnWidth="0" connectionId="11" autoFormatId="16" applyNumberFormats="0" applyBorderFormats="0" applyFontFormats="0" applyPatternFormats="0" applyAlignmentFormats="0" applyWidthHeightFormats="0">
  <queryTableRefresh nextId="66">
    <queryTableFields count="47">
      <queryTableField id="1" name="nsf_rcvd_date" tableColumnId="1"/>
      <queryTableField id="2" name="dd_rcom_date" tableColumnId="2"/>
      <queryTableField id="3" name="pgm_annc_id" tableColumnId="3"/>
      <queryTableField id="4" name="Dir" tableColumnId="4"/>
      <queryTableField id="5" name="org_code" tableColumnId="5"/>
      <queryTableField id="6" name="origORG" tableColumnId="6"/>
      <queryTableField id="7" name="Pgm" tableColumnId="7"/>
      <queryTableField id="8" name="origPEC" tableColumnId="8"/>
      <queryTableField id="9" name="PO" tableColumnId="9"/>
      <queryTableField id="10" name="obj_clas_code" tableColumnId="10"/>
      <queryTableField id="13" name="natr_rqst_abbr" tableColumnId="13"/>
      <queryTableField id="12" name="prop_stts_abbr" tableColumnId="12"/>
      <queryTableField id="50" dataBound="0" tableColumnId="49"/>
      <queryTableField id="14" name="ILN" tableColumnId="14"/>
      <queryTableField id="15" name="lead" tableColumnId="15"/>
      <queryTableField id="16" name="Div" tableColumnId="16"/>
      <queryTableField id="17" name="prop_id" tableColumnId="17"/>
      <queryTableField id="51" dataBound="0" tableColumnId="50"/>
      <queryTableField id="18" name="pi_last_name" tableColumnId="18"/>
      <queryTableField id="19" name="pi_frst_name" tableColumnId="19"/>
      <queryTableField id="21" name="inst_name" tableColumnId="21"/>
      <queryTableField id="22" name="st_code" tableColumnId="22"/>
      <queryTableField id="30" name="pi_id" tableColumnId="30"/>
      <queryTableField id="20" name="inst_id" tableColumnId="20"/>
      <queryTableField id="24" name="prop_titl_txt" tableColumnId="24"/>
      <queryTableField id="25" name="rqst_dol" tableColumnId="25"/>
      <queryTableField id="26" name="rqst_eff_date" tableColumnId="26"/>
      <queryTableField id="27" name="rqst_mnth_cnt" tableColumnId="27"/>
      <queryTableField id="23" name="pi_emai_addr" tableColumnId="23"/>
      <queryTableField id="33" name="panl_loc" tableColumnId="33"/>
      <queryTableField id="32" name="panl_bgn_date" tableColumnId="32"/>
      <queryTableField id="34" name="disc_ordr" tableColumnId="34"/>
      <queryTableField id="31" name="panl_id" tableColumnId="31"/>
      <queryTableField id="35" name="panl_name" tableColumnId="35"/>
      <queryTableField id="36" name="panl_held" tableColumnId="36"/>
      <queryTableField id="37" name="summ_rlse" tableColumnId="37"/>
      <queryTableField id="38" name="rank" tableColumnId="38"/>
      <queryTableField id="39" name="rcom_seq" tableColumnId="39"/>
      <queryTableField id="40" name="rcom_abbr" tableColumnId="40"/>
      <queryTableField id="45" name="reviews" tableColumnId="45"/>
      <queryTableField id="46" name="avg_score" tableColumnId="46"/>
      <queryTableField id="42" name="rankInPanl" tableColumnId="42"/>
      <queryTableField id="47" name="last_rev_date" tableColumnId="47"/>
      <queryTableField id="41" name="rcom_txt" tableColumnId="41"/>
      <queryTableField id="43" name="humn_date" tableColumnId="43"/>
      <queryTableField id="44" name="vrtb_date" tableColumnId="44"/>
      <queryTableField id="48" name="country" tableColumnId="48"/>
    </queryTableFields>
    <queryTableDeletedFields count="3">
      <deletedField name="prop_stts_code"/>
      <deletedField name="cntx_stmt_id"/>
      <deletedField name="prop_stts_txt"/>
    </queryTableDeletedFields>
  </queryTableRefresh>
</queryTable>
</file>

<file path=xl/queryTables/queryTable7.xml><?xml version="1.0" encoding="utf-8"?>
<queryTable xmlns="http://schemas.openxmlformats.org/spreadsheetml/2006/main" name="Query from RPTSERVER" growShrinkType="insertClear" adjustColumnWidth="0" connectionId="10" autoFormatId="16" applyNumberFormats="0" applyBorderFormats="0" applyFontFormats="0" applyPatternFormats="0" applyAlignmentFormats="0" applyWidthHeightFormats="0">
  <queryTableRefresh nextId="51" unboundColumnsRight="5">
    <queryTableFields count="32">
      <queryTableField id="1" name="nsf_rcvd_date" tableColumnId="103"/>
      <queryTableField id="2" name="dd_rcom_date" tableColumnId="104"/>
      <queryTableField id="3" name="pgm_annc_id" tableColumnId="105"/>
      <queryTableField id="4" name="Dir" tableColumnId="106"/>
      <queryTableField id="5" name="org_code" tableColumnId="107"/>
      <queryTableField id="7" name="Pgm" tableColumnId="109"/>
      <queryTableField id="9" name="PO" tableColumnId="111"/>
      <queryTableField id="10" name="obj_clas_code" tableColumnId="112"/>
      <queryTableField id="11" name="natr_rqst_abbr" tableColumnId="113"/>
      <queryTableField id="12" name="prop_stts_abbr" tableColumnId="114"/>
      <queryTableField id="17" name="ILN" tableColumnId="119"/>
      <queryTableField id="18" name="Div" tableColumnId="120"/>
      <queryTableField id="19" name="prop_id" tableColumnId="121"/>
      <queryTableField id="47" dataBound="0" tableColumnId="149"/>
      <queryTableField id="20" name="pi_last_name" tableColumnId="122"/>
      <queryTableField id="21" name="pi_frst_name" tableColumnId="123"/>
      <queryTableField id="22" name="inst_name" tableColumnId="124"/>
      <queryTableField id="23" name="st_code" tableColumnId="125"/>
      <queryTableField id="24" name="pi_emai_addr" tableColumnId="126"/>
      <queryTableField id="27" name="prop_titl_txt" tableColumnId="129"/>
      <queryTableField id="28" name="rqst_dol_tot" tableColumnId="130"/>
      <queryTableField id="29" name="rqst_eff_date" tableColumnId="131"/>
      <queryTableField id="30" name="rqst_mnth_cnt" tableColumnId="132"/>
      <queryTableField id="37" name="SPCL_CHAR_PDF" tableColumnId="139"/>
      <queryTableField id="38" name="PROJ_SUMM_TXT" tableColumnId="140"/>
      <queryTableField id="39" name="INTUL_MERT" tableColumnId="141"/>
      <queryTableField id="40" name="BRODR_IMPT" tableColumnId="142"/>
      <queryTableField id="44" dataBound="0" tableColumnId="145"/>
      <queryTableField id="43" dataBound="0" tableColumnId="146"/>
      <queryTableField id="50" dataBound="0" tableColumnId="1"/>
      <queryTableField id="42" dataBound="0" tableColumnId="147"/>
      <queryTableField id="41" dataBound="0" tableColumnId="148"/>
    </queryTableFields>
    <queryTableDeletedFields count="14">
      <deletedField name="prop_stts_code"/>
      <deletedField name="origORG"/>
      <deletedField name="origPEC"/>
      <deletedField name="nProp"/>
      <deletedField name="nPI"/>
      <deletedField name="nPanl"/>
      <deletedField name="panl_idmax"/>
      <deletedField name="pi_id"/>
      <deletedField name="inst_id"/>
      <deletedField name="cntx_stmt_id"/>
      <deletedField name="prop_stts_txt"/>
      <deletedField name="Solicitation"/>
      <deletedField name="Organization"/>
      <deletedField name="obj_clas_name"/>
    </queryTableDeletedFields>
  </queryTableRefresh>
</queryTable>
</file>

<file path=xl/queryTables/queryTable8.xml><?xml version="1.0" encoding="utf-8"?>
<queryTable xmlns="http://schemas.openxmlformats.org/spreadsheetml/2006/main" name="Query from RPTSERVER" growShrinkType="insertClear" adjustColumnWidth="0" connectionId="5" autoFormatId="16" applyNumberFormats="0" applyBorderFormats="0" applyFontFormats="0" applyPatternFormats="0" applyAlignmentFormats="0" applyWidthHeightFormats="0">
  <queryTableRefresh nextId="26">
    <queryTableFields count="22">
      <queryTableField id="1" name="nsf_rcvd_date" tableColumnId="59"/>
      <queryTableField id="2" name="Dir" tableColumnId="60"/>
      <queryTableField id="24" name="org_code" tableColumnId="1"/>
      <queryTableField id="3" name="Pgm" tableColumnId="61"/>
      <queryTableField id="4" name="PO" tableColumnId="62"/>
      <queryTableField id="5" name="sent_adhoc" tableColumnId="63"/>
      <queryTableField id="6" name="out_adhoc" tableColumnId="64"/>
      <queryTableField id="7" name="last_due" tableColumnId="65"/>
      <queryTableField id="21" name="obj_clas_code" tableColumnId="2"/>
      <queryTableField id="9" name="natr_rqst_abbr" tableColumnId="67"/>
      <queryTableField id="8" name="prop_stts_abbr" tableColumnId="66"/>
      <queryTableField id="19" dataBound="0" tableColumnId="77"/>
      <queryTableField id="10" name="ILN" tableColumnId="68"/>
      <queryTableField id="11" name="lead" tableColumnId="69"/>
      <queryTableField id="12" name="Div" tableColumnId="70"/>
      <queryTableField id="13" name="prop_id" tableColumnId="71"/>
      <queryTableField id="20" dataBound="0" tableColumnId="78"/>
      <queryTableField id="14" name="pi_last_name" tableColumnId="72"/>
      <queryTableField id="15" name="pi_frst_name" tableColumnId="73"/>
      <queryTableField id="16" name="inst_name" tableColumnId="74"/>
      <queryTableField id="17" name="prop_titl_txt" tableColumnId="75"/>
      <queryTableField id="18" name="prop_stts_txt" tableColumnId="76"/>
    </queryTableFields>
  </queryTableRefresh>
</queryTable>
</file>

<file path=xl/queryTables/queryTable9.xml><?xml version="1.0" encoding="utf-8"?>
<queryTable xmlns="http://schemas.openxmlformats.org/spreadsheetml/2006/main" name="Query from RPTSERVER" growShrinkType="insertClear" adjustColumnWidth="0" connectionId="8" autoFormatId="16" applyNumberFormats="0" applyBorderFormats="0" applyFontFormats="0" applyPatternFormats="0" applyAlignmentFormats="0" applyWidthHeightFormats="0">
  <queryTableRefresh nextId="25">
    <queryTableFields count="23">
      <queryTableField id="1" name="nsf_rcvd_date" tableColumnId="1"/>
      <queryTableField id="2" name="Dir" tableColumnId="2"/>
      <queryTableField id="3" name="org_code" tableColumnId="3"/>
      <queryTableField id="4" name="Pgm" tableColumnId="4"/>
      <queryTableField id="5" name="PO" tableColumnId="5"/>
      <queryTableField id="6" name="inst_id" tableColumnId="6"/>
      <queryTableField id="7" name="inst_name" tableColumnId="7"/>
      <queryTableField id="8" name="st_code" tableColumnId="8"/>
      <queryTableField id="9" name="ctry_code" tableColumnId="9"/>
      <queryTableField id="10" name="awd_perf_inst_code" tableColumnId="10"/>
      <queryTableField id="11" name="duns_id" tableColumnId="11"/>
      <queryTableField id="12" name="perf_org_code" tableColumnId="12"/>
      <queryTableField id="13" name="perf_org_type" tableColumnId="13"/>
      <queryTableField id="14" name="prop_stts_abbr" tableColumnId="14"/>
      <queryTableField id="15" name="natr_rqst_abbr" tableColumnId="15"/>
      <queryTableField id="16" name="Div" tableColumnId="16"/>
      <queryTableField id="17" name="prop_id" tableColumnId="17"/>
      <queryTableField id="24" dataBound="0" tableColumnId="24"/>
      <queryTableField id="18" name="pi_last_name" tableColumnId="18"/>
      <queryTableField id="19" name="pi_frst_name" tableColumnId="19"/>
      <queryTableField id="20" name="inst_shrt_name" tableColumnId="20"/>
      <queryTableField id="21" name="prop_stts_txt" tableColumnId="21"/>
      <queryTableField id="22" name="prop_titl_txt" tableColumnId="22"/>
    </queryTableFields>
  </queryTableRefresh>
</queryTable>
</file>

<file path=xl/queryTables/queryTable10.xml><?xml version="1.0" encoding="utf-8"?>
<queryTable xmlns="http://schemas.openxmlformats.org/spreadsheetml/2006/main" name="ExternalData_1" growShrinkType="insertClear" adjustColumnWidth="0" connectionId="13" autoFormatId="16" applyNumberFormats="0" applyBorderFormats="0" applyFontFormats="0" applyPatternFormats="0" applyAlignmentFormats="0" applyWidthHeightFormats="0">
  <queryTableRefresh nextId="25">
    <queryTableFields count="23">
      <queryTableField id="1" name="nsf_rcvd_date" tableColumnId="23"/>
      <queryTableField id="2" name="dd_rcom_date" tableColumnId="24"/>
      <queryTableField id="3" name="Dir" tableColumnId="25"/>
      <queryTableField id="4" name="org_code" tableColumnId="26"/>
      <queryTableField id="5" name="Pgm" tableColumnId="27"/>
      <queryTableField id="6" name="PO" tableColumnId="28"/>
      <queryTableField id="7" name="natr_rqst" tableColumnId="29"/>
      <queryTableField id="8" name="prop_stts" tableColumnId="30"/>
      <queryTableField id="24" dataBound="0" tableColumnId="47"/>
      <queryTableField id="9" name="ILN" tableColumnId="31"/>
      <queryTableField id="10" name="lead" tableColumnId="32"/>
      <queryTableField id="11" name="Div" tableColumnId="33"/>
      <queryTableField id="12" name="prop_id" tableColumnId="34"/>
      <queryTableField id="23" dataBound="0" tableColumnId="46"/>
      <queryTableField id="13" name="pi_last_name" tableColumnId="35"/>
      <queryTableField id="14" name="inst_name" tableColumnId="36"/>
      <queryTableField id="15" name="perf_inst" tableColumnId="37"/>
      <queryTableField id="16" name="revn_num" tableColumnId="38"/>
      <queryTableField id="17" name="budg_total" tableColumnId="39"/>
      <queryTableField id="18" name="budg_diff" tableColumnId="40"/>
      <queryTableField id="19" name="subAwd" tableColumnId="41"/>
      <queryTableField id="20" name="subAwd_diff" tableColumnId="42"/>
      <queryTableField id="21" name="prop_titl_txt" tableColumnId="43"/>
    </queryTableFields>
  </queryTableRefresh>
</queryTable>
</file>

<file path=xl/queryTables/queryTable11.xml><?xml version="1.0" encoding="utf-8"?>
<queryTable xmlns="http://schemas.openxmlformats.org/spreadsheetml/2006/main" name="ExternalData_1" growShrinkType="insertClear" adjustColumnWidth="0" connectionId="16" autoFormatId="16" applyNumberFormats="0" applyBorderFormats="0" applyFontFormats="0" applyPatternFormats="0" applyAlignmentFormats="0" applyWidthHeightFormats="0">
  <queryTableRefresh nextId="27" unboundColumnsLeft="1">
    <queryTableFields count="23">
      <queryTableField id="23" dataBound="0" tableColumnId="24"/>
      <queryTableField id="1" name="Pgm" tableColumnId="25"/>
      <queryTableField id="2" name="natr_rqst_abbr" tableColumnId="26"/>
      <queryTableField id="3" name="prop_stts_abbr" tableColumnId="27"/>
      <queryTableField id="4" name="ILN" tableColumnId="28"/>
      <queryTableField id="5" name="lead" tableColumnId="29"/>
      <queryTableField id="6" name="Div" tableColumnId="30"/>
      <queryTableField id="7" name="prop_id" tableColumnId="31"/>
      <queryTableField id="26" dataBound="0" tableColumnId="50"/>
      <queryTableField id="8" name="awd_id" tableColumnId="32"/>
      <queryTableField id="12" name="xfer_type" tableColumnId="36"/>
      <queryTableField id="9" name="last_prop_id" tableColumnId="33"/>
      <queryTableField id="25" dataBound="0" tableColumnId="49"/>
      <queryTableField id="10" name="pi_last_name" tableColumnId="34"/>
      <queryTableField id="11" name="inst_shrt_name" tableColumnId="35"/>
      <queryTableField id="13" name="fromORG" tableColumnId="37"/>
      <queryTableField id="14" name="fromPEC" tableColumnId="38"/>
      <queryTableField id="15" name="fromPA_PO" tableColumnId="39"/>
      <queryTableField id="16" name="toORG" tableColumnId="40"/>
      <queryTableField id="17" name="toPEC" tableColumnId="41"/>
      <queryTableField id="18" name="toPA_PO" tableColumnId="42"/>
      <queryTableField id="19" name="crtd_date" tableColumnId="43"/>
      <queryTableField id="20" name="note" tableColumnId="44"/>
    </queryTableFields>
  </queryTableRefresh>
</queryTable>
</file>

<file path=xl/queryTables/queryTable12.xml><?xml version="1.0" encoding="utf-8"?>
<queryTable xmlns="http://schemas.openxmlformats.org/spreadsheetml/2006/main" name="AllPIs" growShrinkType="insertClear" adjustColumnWidth="0" connectionId="14" autoFormatId="16" applyNumberFormats="0" applyBorderFormats="0" applyFontFormats="0" applyPatternFormats="0" applyAlignmentFormats="0" applyWidthHeightFormats="0">
  <queryTableRefresh nextId="22">
    <queryTableFields count="19">
      <queryTableField id="1" name="nsf_rcvd_date" tableColumnId="1"/>
      <queryTableField id="2" name="Dir" tableColumnId="2"/>
      <queryTableField id="3" name="org_code" tableColumnId="3"/>
      <queryTableField id="4" name="Pgm" tableColumnId="4"/>
      <queryTableField id="5" name="PO" tableColumnId="5"/>
      <queryTableField id="6" name="natr_rqst" tableColumnId="6"/>
      <queryTableField id="7" name="prop_stts" tableColumnId="7"/>
      <queryTableField id="8" name="ILN" tableColumnId="8"/>
      <queryTableField id="9" name="lead" tableColumnId="9"/>
      <queryTableField id="10" name="Div" tableColumnId="10"/>
      <queryTableField id="11" name="prop_id" tableColumnId="11"/>
      <queryTableField id="19" dataBound="0" tableColumnId="19"/>
      <queryTableField id="12" name="pi_last_name" tableColumnId="12"/>
      <queryTableField id="13" name="pi_frst_name" tableColumnId="13"/>
      <queryTableField id="14" name="inst_name" tableColumnId="14"/>
      <queryTableField id="20" name="len_tot" tableColumnId="20"/>
      <queryTableField id="15" name="Suggested_Reviewers" tableColumnId="15"/>
      <queryTableField id="16" name="Unwanted_Reviewers" tableColumnId="16"/>
      <queryTableField id="17" name="prop_titl_txt" tableColumnId="17"/>
    </queryTableFields>
  </queryTableRefresh>
</queryTable>
</file>

<file path=xl/queryTables/queryTable13.xml><?xml version="1.0" encoding="utf-8"?>
<queryTable xmlns="http://schemas.openxmlformats.org/spreadsheetml/2006/main" name="Query from RPTSERVER" growShrinkType="insertClear" adjustColumnWidth="0" connectionId="12" autoFormatId="16" applyNumberFormats="0" applyBorderFormats="0" applyFontFormats="0" applyPatternFormats="0" applyAlignmentFormats="0" applyWidthHeightFormats="0">
  <queryTableRefresh nextId="33">
    <queryTableFields count="22">
      <queryTableField id="1" name="revr_id" tableColumnId="1"/>
      <queryTableField id="12" name="nProps" tableColumnId="14"/>
      <queryTableField id="13" name="latest" tableColumnId="15"/>
      <queryTableField id="2" name="revr_last_name" tableColumnId="2"/>
      <queryTableField id="3" name="revr_frst_name" tableColumnId="3"/>
      <queryTableField id="29" name="revr_email" tableColumnId="23"/>
      <queryTableField id="15" name="inst_id" tableColumnId="13"/>
      <queryTableField id="4" name="inst_shrt_name" tableColumnId="4"/>
      <queryTableField id="5" name="gend_code" tableColumnId="5"/>
      <queryTableField id="8" name="st_code" tableColumnId="7"/>
      <queryTableField id="9" name="revr_dept_name" tableColumnId="8"/>
      <queryTableField id="6" name="pi_id" tableColumnId="6"/>
      <queryTableField id="11" name="pi_emai_addr" tableColumnId="10"/>
      <queryTableField id="20" name="field" tableColumnId="11"/>
      <queryTableField id="21" name="min_score" tableColumnId="12"/>
      <queryTableField id="22" name="avg_score" tableColumnId="16"/>
      <queryTableField id="23" name="max_score" tableColumnId="17"/>
      <queryTableField id="24" name="std_score" tableColumnId="18"/>
      <queryTableField id="25" name="avg_len" tableColumnId="19"/>
      <queryTableField id="26" name="std_len" tableColumnId="20"/>
      <queryTableField id="27" name="avg_days_early" tableColumnId="21"/>
      <queryTableField id="28" name="std_days_early" tableColumnId="22"/>
    </queryTableFields>
  </queryTableRefresh>
</queryTable>
</file>

<file path=xl/queryTables/queryTable14.xml><?xml version="1.0" encoding="utf-8"?>
<queryTable xmlns="http://schemas.openxmlformats.org/spreadsheetml/2006/main" name="Query from RPTSERVER" growShrinkType="insertClear" adjustColumnWidth="0" connectionId="6" autoFormatId="16" applyNumberFormats="0" applyBorderFormats="0" applyFontFormats="0" applyPatternFormats="0" applyAlignmentFormats="0" applyWidthHeightFormats="0">
  <queryTableRefresh nextId="59" unboundColumnsRight="1">
    <queryTableFields count="34">
      <queryTableField id="54" name="revr_id" tableColumnId="12"/>
      <queryTableField id="57" name="nPanls" tableColumnId="14"/>
      <queryTableField id="2" name="revr_last_name" tableColumnId="2"/>
      <queryTableField id="3" name="revr_frst_name" tableColumnId="3"/>
      <queryTableField id="4" name="gend_code" tableColumnId="4"/>
      <queryTableField id="6" name="revr_dept_name" tableColumnId="6"/>
      <queryTableField id="11" name="inst_shrt_name" tableColumnId="5"/>
      <queryTableField id="28" name="revr_email" tableColumnId="21"/>
      <queryTableField id="13" name="pi_id" tableColumnId="9"/>
      <queryTableField id="14" name="pi_emai_addr" tableColumnId="10"/>
      <queryTableField id="25" name="inst_id" tableColumnId="7"/>
      <queryTableField id="26" name="st_code" tableColumnId="11"/>
      <queryTableField id="27" name="field" tableColumnId="20"/>
      <queryTableField id="53" name="nProps" tableColumnId="8"/>
      <queryTableField id="16" name="latest" tableColumnId="42"/>
      <queryTableField id="30" name="min_score" tableColumnId="23"/>
      <queryTableField id="31" name="avg_score" tableColumnId="24"/>
      <queryTableField id="32" name="max_score" tableColumnId="25"/>
      <queryTableField id="33" name="std_score" tableColumnId="26"/>
      <queryTableField id="34" name="avg_len" tableColumnId="27"/>
      <queryTableField id="35" name="std_len" tableColumnId="28"/>
      <queryTableField id="36" name="avg_days_early" tableColumnId="29"/>
      <queryTableField id="37" name="std_days_early" tableColumnId="30"/>
      <queryTableField id="39" name="nProps_all" tableColumnId="32"/>
      <queryTableField id="40" name="latest_all" tableColumnId="33"/>
      <queryTableField id="41" name="min_score_all" tableColumnId="34"/>
      <queryTableField id="42" name="avg_score_all" tableColumnId="35"/>
      <queryTableField id="43" name="max_score_all" tableColumnId="36"/>
      <queryTableField id="44" name="std_score_all" tableColumnId="37"/>
      <queryTableField id="45" name="avg_len_all" tableColumnId="38"/>
      <queryTableField id="46" name="std_len_all" tableColumnId="39"/>
      <queryTableField id="47" name="avg_days_early_all" tableColumnId="40"/>
      <queryTableField id="48" name="std_days_early_all" tableColumnId="41"/>
      <queryTableField id="51" dataBound="0" tableColumnId="43"/>
    </queryTableFields>
    <queryTableDeletedFields count="1">
      <deletedField name="revr_id"/>
    </queryTableDeletedFields>
  </queryTableRefresh>
</queryTable>
</file>

<file path=xl/queryTables/queryTable15.xml><?xml version="1.0" encoding="utf-8"?>
<queryTable xmlns="http://schemas.openxmlformats.org/spreadsheetml/2006/main" name="AllPIs" growShrinkType="insertClear" preserveFormatting="0" connectionId="15" autoFormatId="16" applyNumberFormats="0" applyBorderFormats="0" applyFontFormats="0" applyPatternFormats="0" applyAlignmentFormats="0" applyWidthHeightFormats="0">
  <queryTableRefresh preserveSortFilterLayout="0" nextId="6">
    <queryTableFields count="5">
      <queryTableField id="1" name="Div" tableColumnId="1"/>
      <queryTableField id="2" name="prop_id" tableColumnId="2"/>
      <queryTableField id="3" name="ILN" tableColumnId="3"/>
      <queryTableField id="4" name="pi_last_name" tableColumnId="4"/>
      <queryTableField id="5" name="inst_name" tableColumnId="5"/>
    </queryTableFields>
  </queryTableRefresh>
</queryTable>
</file>

<file path=xl/queryTables/queryTable16.xml><?xml version="1.0" encoding="utf-8"?>
<queryTable xmlns="http://schemas.openxmlformats.org/spreadsheetml/2006/main" name="Query from RPTSERVER" backgroundRefresh="0" growShrinkType="insertClear" adjustColumnWidth="0" connectionId="3" autoFormatId="16" applyNumberFormats="0" applyBorderFormats="0" applyFontFormats="0" applyPatternFormats="0" applyAlignmentFormats="0" applyWidthHeightFormats="0">
  <queryTableRefresh nextId="6">
    <queryTableFields count="4">
      <queryTableField id="2" name="revr_last_name" tableColumnId="2"/>
      <queryTableField id="3" name="revr_frst_name" tableColumnId="3"/>
      <queryTableField id="5" dataBound="0" tableColumnId="5"/>
      <queryTableField id="4" name="email"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natr_rqst_abbr" sourceName="natr_rqst_abbr">
  <pivotTables>
    <pivotTable tabId="40" name="PivotTable1"/>
    <pivotTable tabId="40" name="PivotTable2"/>
    <pivotTable tabId="40" name="PivotTable3"/>
    <pivotTable tabId="40" name="PivotTable4"/>
    <pivotTable tabId="40" name="PivotTable5"/>
    <pivotTable tabId="40" name="PivotTable6"/>
    <pivotTable tabId="40" name="PivotTable7"/>
    <pivotTable tabId="40" name="PivotTable8"/>
    <pivotTable tabId="40" name="PivotTable9"/>
  </pivotTables>
  <data>
    <tabular pivotCacheId="1">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ir" sourceName="Dir">
  <pivotTables>
    <pivotTable tabId="40" name="PivotTable1"/>
    <pivotTable tabId="40" name="PivotTable2"/>
    <pivotTable tabId="40" name="PivotTable3"/>
    <pivotTable tabId="40" name="PivotTable4"/>
    <pivotTable tabId="40" name="PivotTable5"/>
    <pivotTable tabId="40" name="PivotTable6"/>
    <pivotTable tabId="40" name="PivotTable7"/>
    <pivotTable tabId="40" name="PivotTable8"/>
    <pivotTable tabId="40" name="PivotTable9"/>
  </pivotTables>
  <data>
    <tabular pivotCacheId="1">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iv" sourceName="Div">
  <pivotTables>
    <pivotTable tabId="40" name="PivotTable1"/>
    <pivotTable tabId="40" name="PivotTable2"/>
    <pivotTable tabId="40" name="PivotTable3"/>
    <pivotTable tabId="40" name="PivotTable4"/>
    <pivotTable tabId="40" name="PivotTable5"/>
    <pivotTable tabId="40" name="PivotTable6"/>
    <pivotTable tabId="40" name="PivotTable7"/>
    <pivotTable tabId="40" name="PivotTable8"/>
    <pivotTable tabId="40" name="PivotTable9"/>
  </pivotTables>
  <data>
    <tabular pivotCacheId="1">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O" sourceName="PO">
  <pivotTables>
    <pivotTable tabId="40" name="PivotTable1"/>
    <pivotTable tabId="40" name="PivotTable2"/>
    <pivotTable tabId="40" name="PivotTable3"/>
    <pivotTable tabId="40" name="PivotTable4"/>
    <pivotTable tabId="40" name="PivotTable5"/>
    <pivotTable tabId="40" name="PivotTable6"/>
    <pivotTable tabId="40" name="PivotTable7"/>
    <pivotTable tabId="40" name="PivotTable8"/>
    <pivotTable tabId="40" name="PivotTable9"/>
  </pivotTables>
  <data>
    <tabular pivotCacheId="1">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p_stts_abbr" sourceName="prop_stts_abbr">
  <pivotTables>
    <pivotTable tabId="40" name="PivotTable1"/>
    <pivotTable tabId="40" name="PivotTable2"/>
    <pivotTable tabId="40" name="PivotTable3"/>
    <pivotTable tabId="40" name="PivotTable4"/>
    <pivotTable tabId="40" name="PivotTable5"/>
    <pivotTable tabId="40" name="PivotTable6"/>
    <pivotTable tabId="40" name="PivotTable7"/>
    <pivotTable tabId="40" name="PivotTable8"/>
    <pivotTable tabId="40" name="PivotTable9"/>
  </pivotTables>
  <data>
    <tabular pivotCacheId="1">
      <items count="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obj_clas_code" sourceName="obj_clas_code">
  <pivotTables>
    <pivotTable tabId="40" name="PivotTable2"/>
    <pivotTable tabId="40" name="PivotTable1"/>
    <pivotTable tabId="40" name="PivotTable3"/>
    <pivotTable tabId="40" name="PivotTable4"/>
    <pivotTable tabId="40" name="PivotTable5"/>
    <pivotTable tabId="40" name="PivotTable6"/>
    <pivotTable tabId="40" name="PivotTable7"/>
    <pivotTable tabId="40" name="PivotTable8"/>
    <pivotTable tabId="40" name="PivotTable9"/>
  </pivotTables>
  <data>
    <tabular pivotCacheId="1">
      <items count="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Pgm" sourceName="Pgm">
  <pivotTables>
    <pivotTable tabId="40" name="PivotTable2"/>
    <pivotTable tabId="40" name="PivotTable1"/>
    <pivotTable tabId="40" name="PivotTable3"/>
    <pivotTable tabId="40" name="PivotTable4"/>
    <pivotTable tabId="40" name="PivotTable5"/>
    <pivotTable tabId="40" name="PivotTable6"/>
    <pivotTable tabId="40" name="PivotTable7"/>
    <pivotTable tabId="40" name="PivotTable8"/>
    <pivotTable tabId="40" name="PivotTable9"/>
  </pivotTables>
  <data>
    <tabular pivotCacheId="1">
      <items count="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gm_annc_id" sourceName="pgm_annc_id">
  <pivotTables>
    <pivotTable tabId="40" name="PivotTable2"/>
    <pivotTable tabId="40" name="PivotTable3"/>
    <pivotTable tabId="40" name="PivotTable4"/>
    <pivotTable tabId="40" name="PivotTable5"/>
    <pivotTable tabId="40" name="PivotTable6"/>
    <pivotTable tabId="40" name="PivotTable7"/>
    <pivotTable tabId="40" name="PivotTable8"/>
    <pivotTable tabId="40" name="PivotTable9"/>
  </pivotTables>
  <data>
    <tabular pivotCacheId="1">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Dir1" sourceName="Dir">
  <pivotTables>
    <pivotTable tabId="53" name="PivotTable9"/>
    <pivotTable tabId="53" name="PivotTable1"/>
    <pivotTable tabId="53" name="PivotTable2"/>
  </pivotTables>
  <data>
    <tabular pivotCacheId="3">
      <items count="7">
        <i x="0" s="1"/>
        <i x="2" s="1" nd="1"/>
        <i x="1" s="1" nd="1"/>
        <i x="6" s="1" nd="1"/>
        <i x="3" s="1" nd="1"/>
        <i x="5" s="1" nd="1"/>
        <i x="4"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iv1" sourceName="Div">
  <pivotTables>
    <pivotTable tabId="53" name="PivotTable9"/>
    <pivotTable tabId="53" name="PivotTable1"/>
    <pivotTable tabId="53" name="PivotTable2"/>
  </pivotTables>
  <data>
    <tabular pivotCacheId="3">
      <items count="29">
        <i x="0" s="1"/>
        <i x="20" s="1" nd="1"/>
        <i x="27" s="1" nd="1"/>
        <i x="5" s="1" nd="1"/>
        <i x="6" s="1" nd="1"/>
        <i x="18" s="1" nd="1"/>
        <i x="25" s="1" nd="1"/>
        <i x="19" s="1" nd="1"/>
        <i x="13" s="1" nd="1"/>
        <i x="9" s="1" nd="1"/>
        <i x="21" s="1" nd="1"/>
        <i x="23" s="1" nd="1"/>
        <i x="8" s="1" nd="1"/>
        <i x="10" s="1" nd="1"/>
        <i x="22" s="1" nd="1"/>
        <i x="1" s="1" nd="1"/>
        <i x="15" s="1" nd="1"/>
        <i x="26" s="1" nd="1"/>
        <i x="2" s="1" nd="1"/>
        <i x="4" s="1" nd="1"/>
        <i x="7" s="1" nd="1"/>
        <i x="11" s="1" nd="1"/>
        <i x="16" s="1" nd="1"/>
        <i x="14" s="1" nd="1"/>
        <i x="12" s="1" nd="1"/>
        <i x="28" s="1" nd="1"/>
        <i x="24" s="1" nd="1"/>
        <i x="17" s="1" nd="1"/>
        <i x="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gm1" sourceName="Pgm">
  <pivotTables>
    <pivotTable tabId="53" name="PivotTable9"/>
    <pivotTable tabId="53" name="PivotTable1"/>
    <pivotTable tabId="53" name="PivotTable2"/>
  </pivotTables>
  <data>
    <tabular pivotCacheId="3">
      <items count="175">
        <i x="0" s="1"/>
        <i x="16" s="1" nd="1"/>
        <i x="30" s="1" nd="1"/>
        <i x="127" s="1" nd="1"/>
        <i x="163" s="1" nd="1"/>
        <i x="19" s="1" nd="1"/>
        <i x="57" s="1" nd="1"/>
        <i x="118" s="1" nd="1"/>
        <i x="70" s="1" nd="1"/>
        <i x="89" s="1" nd="1"/>
        <i x="81" s="1" nd="1"/>
        <i x="109" s="1" nd="1"/>
        <i x="138" s="1" nd="1"/>
        <i x="107" s="1" nd="1"/>
        <i x="146" s="1" nd="1"/>
        <i x="77" s="1" nd="1"/>
        <i x="105" s="1" nd="1"/>
        <i x="74" s="1" nd="1"/>
        <i x="124" s="1" nd="1"/>
        <i x="158" s="1" nd="1"/>
        <i x="79" s="1" nd="1"/>
        <i x="84" s="1" nd="1"/>
        <i x="123" s="1" nd="1"/>
        <i x="34" s="1" nd="1"/>
        <i x="50" s="1" nd="1"/>
        <i x="106" s="1" nd="1"/>
        <i x="17" s="1" nd="1"/>
        <i x="174" s="1" nd="1"/>
        <i x="69" s="1" nd="1"/>
        <i x="172" s="1" nd="1"/>
        <i x="102" s="1" nd="1"/>
        <i x="126" s="1" nd="1"/>
        <i x="92" s="1" nd="1"/>
        <i x="173" s="1" nd="1"/>
        <i x="157" s="1" nd="1"/>
        <i x="90" s="1" nd="1"/>
        <i x="58" s="1" nd="1"/>
        <i x="143" s="1" nd="1"/>
        <i x="121" s="1" nd="1"/>
        <i x="72" s="1" nd="1"/>
        <i x="66" s="1" nd="1"/>
        <i x="49" s="1" nd="1"/>
        <i x="137" s="1" nd="1"/>
        <i x="5" s="1" nd="1"/>
        <i x="28" s="1" nd="1"/>
        <i x="136" s="1" nd="1"/>
        <i x="113" s="1" nd="1"/>
        <i x="144" s="1" nd="1"/>
        <i x="140" s="1" nd="1"/>
        <i x="122" s="1" nd="1"/>
        <i x="162" s="1" nd="1"/>
        <i x="18" s="1" nd="1"/>
        <i x="82" s="1" nd="1"/>
        <i x="14" s="1" nd="1"/>
        <i x="43" s="1" nd="1"/>
        <i x="142" s="1" nd="1"/>
        <i x="26" s="1" nd="1"/>
        <i x="95" s="1" nd="1"/>
        <i x="67" s="1" nd="1"/>
        <i x="159" s="1" nd="1"/>
        <i x="128" s="1" nd="1"/>
        <i x="131" s="1" nd="1"/>
        <i x="119" s="1" nd="1"/>
        <i x="91" s="1" nd="1"/>
        <i x="167" s="1" nd="1"/>
        <i x="166" s="1" nd="1"/>
        <i x="155" s="1" nd="1"/>
        <i x="37" s="1" nd="1"/>
        <i x="65" s="1" nd="1"/>
        <i x="64" s="1" nd="1"/>
        <i x="33" s="1" nd="1"/>
        <i x="151" s="1" nd="1"/>
        <i x="63" s="1" nd="1"/>
        <i x="85" s="1" nd="1"/>
        <i x="53" s="1" nd="1"/>
        <i x="36" s="1" nd="1"/>
        <i x="1" s="1" nd="1"/>
        <i x="100" s="1" nd="1"/>
        <i x="2" s="1" nd="1"/>
        <i x="41" s="1" nd="1"/>
        <i x="135" s="1" nd="1"/>
        <i x="169" s="1" nd="1"/>
        <i x="152" s="1" nd="1"/>
        <i x="76" s="1" nd="1"/>
        <i x="148" s="1" nd="1"/>
        <i x="8" s="1" nd="1"/>
        <i x="29" s="1" nd="1"/>
        <i x="20" s="1" nd="1"/>
        <i x="120" s="1" nd="1"/>
        <i x="145" s="1" nd="1"/>
        <i x="103" s="1" nd="1"/>
        <i x="104" s="1" nd="1"/>
        <i x="139" s="1" nd="1"/>
        <i x="78" s="1" nd="1"/>
        <i x="111" s="1" nd="1"/>
        <i x="80" s="1" nd="1"/>
        <i x="150" s="1" nd="1"/>
        <i x="73" s="1" nd="1"/>
        <i x="141" s="1" nd="1"/>
        <i x="75" s="1" nd="1"/>
        <i x="51" s="1" nd="1"/>
        <i x="94" s="1" nd="1"/>
        <i x="11" s="1" nd="1"/>
        <i x="46" s="1" nd="1"/>
        <i x="47" s="1" nd="1"/>
        <i x="52" s="1" nd="1"/>
        <i x="12" s="1" nd="1"/>
        <i x="23" s="1" nd="1"/>
        <i x="55" s="1" nd="1"/>
        <i x="161" s="1" nd="1"/>
        <i x="71" s="1" nd="1"/>
        <i x="9" s="1" nd="1"/>
        <i x="44" s="1" nd="1"/>
        <i x="88" s="1" nd="1"/>
        <i x="22" s="1" nd="1"/>
        <i x="39" s="1" nd="1"/>
        <i x="149" s="1" nd="1"/>
        <i x="10" s="1" nd="1"/>
        <i x="129" s="1" nd="1"/>
        <i x="97" s="1" nd="1"/>
        <i x="130" s="1" nd="1"/>
        <i x="83" s="1" nd="1"/>
        <i x="35" s="1" nd="1"/>
        <i x="27" s="1" nd="1"/>
        <i x="110" s="1" nd="1"/>
        <i x="168" s="1" nd="1"/>
        <i x="48" s="1" nd="1"/>
        <i x="171" s="1" nd="1"/>
        <i x="165" s="1" nd="1"/>
        <i x="170" s="1" nd="1"/>
        <i x="93" s="1" nd="1"/>
        <i x="3" s="1" nd="1"/>
        <i x="7" s="1" nd="1"/>
        <i x="15" s="1" nd="1"/>
        <i x="160" s="1" nd="1"/>
        <i x="112" s="1" nd="1"/>
        <i x="59" s="1" nd="1"/>
        <i x="54" s="1" nd="1"/>
        <i x="133" s="1" nd="1"/>
        <i x="21" s="1" nd="1"/>
        <i x="117" s="1" nd="1"/>
        <i x="38" s="1" nd="1"/>
        <i x="40" s="1" nd="1"/>
        <i x="13" s="1" nd="1"/>
        <i x="156" s="1" nd="1"/>
        <i x="99" s="1" nd="1"/>
        <i x="56" s="1" nd="1"/>
        <i x="147" s="1" nd="1"/>
        <i x="96" s="1" nd="1"/>
        <i x="164" s="1" nd="1"/>
        <i x="32" s="1" nd="1"/>
        <i x="134" s="1" nd="1"/>
        <i x="61" s="1" nd="1"/>
        <i x="87" s="1" nd="1"/>
        <i x="116" s="1" nd="1"/>
        <i x="98" s="1" nd="1"/>
        <i x="60" s="1" nd="1"/>
        <i x="68" s="1" nd="1"/>
        <i x="25" s="1" nd="1"/>
        <i x="4" s="1" nd="1"/>
        <i x="42" s="1" nd="1"/>
        <i x="6" s="1" nd="1"/>
        <i x="31" s="1" nd="1"/>
        <i x="108" s="1" nd="1"/>
        <i x="125" s="1" nd="1"/>
        <i x="45" s="1" nd="1"/>
        <i x="132" s="1" nd="1"/>
        <i x="114" s="1" nd="1"/>
        <i x="154" s="1" nd="1"/>
        <i x="62" s="1" nd="1"/>
        <i x="153" s="1" nd="1"/>
        <i x="86" s="1" nd="1"/>
        <i x="24" s="1" nd="1"/>
        <i x="115" s="1" nd="1"/>
        <i x="101"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O1" sourceName="PO">
  <pivotTables>
    <pivotTable tabId="53" name="PivotTable9"/>
    <pivotTable tabId="53" name="PivotTable1"/>
    <pivotTable tabId="53" name="PivotTable2"/>
  </pivotTables>
  <data>
    <tabular pivotCacheId="3">
      <items count="308">
        <i x="0" s="1"/>
        <i x="1" s="1" nd="1"/>
        <i x="48" s="1" nd="1"/>
        <i x="23" s="1" nd="1"/>
        <i x="231" s="1" nd="1"/>
        <i x="117" s="1" nd="1"/>
        <i x="106" s="1" nd="1"/>
        <i x="11" s="1" nd="1"/>
        <i x="279" s="1" nd="1"/>
        <i x="251" s="1" nd="1"/>
        <i x="254" s="1" nd="1"/>
        <i x="185" s="1" nd="1"/>
        <i x="212" s="1" nd="1"/>
        <i x="272" s="1" nd="1"/>
        <i x="186" s="1" nd="1"/>
        <i x="197" s="1" nd="1"/>
        <i x="296" s="1" nd="1"/>
        <i x="248" s="1" nd="1"/>
        <i x="260" s="1" nd="1"/>
        <i x="131" s="1" nd="1"/>
        <i x="164" s="1" nd="1"/>
        <i x="297" s="1" nd="1"/>
        <i x="303" s="1" nd="1"/>
        <i x="115" s="1" nd="1"/>
        <i x="226" s="1" nd="1"/>
        <i x="118" s="1" nd="1"/>
        <i x="110" s="1" nd="1"/>
        <i x="202" s="1" nd="1"/>
        <i x="35" s="1" nd="1"/>
        <i x="261" s="1" nd="1"/>
        <i x="123" s="1" nd="1"/>
        <i x="144" s="1" nd="1"/>
        <i x="151" s="1" nd="1"/>
        <i x="252" s="1" nd="1"/>
        <i x="124" s="1" nd="1"/>
        <i x="230" s="1" nd="1"/>
        <i x="20" s="1" nd="1"/>
        <i x="203" s="1" nd="1"/>
        <i x="105" s="1" nd="1"/>
        <i x="86" s="1" nd="1"/>
        <i x="160" s="1" nd="1"/>
        <i x="170" s="1" nd="1"/>
        <i x="46" s="1" nd="1"/>
        <i x="33" s="1" nd="1"/>
        <i x="255" s="1" nd="1"/>
        <i x="265" s="1" nd="1"/>
        <i x="192" s="1" nd="1"/>
        <i x="102" s="1" nd="1"/>
        <i x="233" s="1" nd="1"/>
        <i x="83" s="1" nd="1"/>
        <i x="42" s="1" nd="1"/>
        <i x="288" s="1" nd="1"/>
        <i x="111" s="1" nd="1"/>
        <i x="262" s="1" nd="1"/>
        <i x="87" s="1" nd="1"/>
        <i x="305" s="1" nd="1"/>
        <i x="191" s="1" nd="1"/>
        <i x="75" s="1" nd="1"/>
        <i x="298" s="1" nd="1"/>
        <i x="270" s="1" nd="1"/>
        <i x="153" s="1" nd="1"/>
        <i x="294" s="1" nd="1"/>
        <i x="88" s="1" nd="1"/>
        <i x="132" s="1" nd="1"/>
        <i x="4" s="1" nd="1"/>
        <i x="12" s="1" nd="1"/>
        <i x="99" s="1" nd="1"/>
        <i x="204" s="1" nd="1"/>
        <i x="60" s="1" nd="1"/>
        <i x="165" s="1" nd="1"/>
        <i x="215" s="1" nd="1"/>
        <i x="103" s="1" nd="1"/>
        <i x="181" s="1" nd="1"/>
        <i x="112" s="1" nd="1"/>
        <i x="299" s="1" nd="1"/>
        <i x="182" s="1" nd="1"/>
        <i x="208" s="1" nd="1"/>
        <i x="122" s="1" nd="1"/>
        <i x="194" s="1" nd="1"/>
        <i x="152" s="1" nd="1"/>
        <i x="19" s="1" nd="1"/>
        <i x="172" s="1" nd="1"/>
        <i x="148" s="1" nd="1"/>
        <i x="28" s="1" nd="1"/>
        <i x="256" s="1" nd="1"/>
        <i x="271" s="1" nd="1"/>
        <i x="100" s="1" nd="1"/>
        <i x="162" s="1" nd="1"/>
        <i x="304" s="1" nd="1"/>
        <i x="119" s="1" nd="1"/>
        <i x="125" s="1" nd="1"/>
        <i x="137" s="1" nd="1"/>
        <i x="68" s="1" nd="1"/>
        <i x="213" s="1" nd="1"/>
        <i x="273" s="1" nd="1"/>
        <i x="39" s="1" nd="1"/>
        <i x="274" s="1" nd="1"/>
        <i x="266" s="1" nd="1"/>
        <i x="238" s="1" nd="1"/>
        <i x="198" s="1" nd="1"/>
        <i x="209" s="1" nd="1"/>
        <i x="82" s="1" nd="1"/>
        <i x="211" s="1" nd="1"/>
        <i x="107" s="1" nd="1"/>
        <i x="29" s="1" nd="1"/>
        <i x="13" s="1" nd="1"/>
        <i x="216" s="1" nd="1"/>
        <i x="171" s="1" nd="1"/>
        <i x="96" s="1" nd="1"/>
        <i x="55" s="1" nd="1"/>
        <i x="221" s="1" nd="1"/>
        <i x="5" s="1" nd="1"/>
        <i x="2" s="1" nd="1"/>
        <i x="56" s="1" nd="1"/>
        <i x="173" s="1" nd="1"/>
        <i x="222" s="1" nd="1"/>
        <i x="285" s="1" nd="1"/>
        <i x="219" s="1" nd="1"/>
        <i x="51" s="1" nd="1"/>
        <i x="38" s="1" nd="1"/>
        <i x="249" s="1" nd="1"/>
        <i x="138" s="1" nd="1"/>
        <i x="17" s="1" nd="1"/>
        <i x="113" s="1" nd="1"/>
        <i x="244" s="1" nd="1"/>
        <i x="263" s="1" nd="1"/>
        <i x="40" s="1" nd="1"/>
        <i x="154" s="1" nd="1"/>
        <i x="101" s="1" nd="1"/>
        <i x="43" s="1" nd="1"/>
        <i x="95" s="1" nd="1"/>
        <i x="277" s="1" nd="1"/>
        <i x="174" s="1" nd="1"/>
        <i x="108" s="1" nd="1"/>
        <i x="47" s="1" nd="1"/>
        <i x="243" s="1" nd="1"/>
        <i x="280" s="1" nd="1"/>
        <i x="76" s="1" nd="1"/>
        <i x="149" s="1" nd="1"/>
        <i x="69" s="1" nd="1"/>
        <i x="258" s="1" nd="1"/>
        <i x="217" s="1" nd="1"/>
        <i x="52" s="1" nd="1"/>
        <i x="183" s="1" nd="1"/>
        <i x="142" s="1" nd="1"/>
        <i x="201" s="1" nd="1"/>
        <i x="306" s="1" nd="1"/>
        <i x="275" s="1" nd="1"/>
        <i x="301" s="1" nd="1"/>
        <i x="109" s="1" nd="1"/>
        <i x="129" s="1" nd="1"/>
        <i x="72" s="1" nd="1"/>
        <i x="143" s="1" nd="1"/>
        <i x="199" s="1" nd="1"/>
        <i x="54" s="1" nd="1"/>
        <i x="175" s="1" nd="1"/>
        <i x="178" s="1" nd="1"/>
        <i x="193" s="1" nd="1"/>
        <i x="184" s="1" nd="1"/>
        <i x="78" s="1" nd="1"/>
        <i x="267" s="1" nd="1"/>
        <i x="234" s="1" nd="1"/>
        <i x="133" s="1" nd="1"/>
        <i x="41" s="1" nd="1"/>
        <i x="89" s="1" nd="1"/>
        <i x="180" s="1" nd="1"/>
        <i x="90" s="1" nd="1"/>
        <i x="179" s="1" nd="1"/>
        <i x="281" s="1" nd="1"/>
        <i x="30" s="1" nd="1"/>
        <i x="136" s="1" nd="1"/>
        <i x="205" s="1" nd="1"/>
        <i x="14" s="1" nd="1"/>
        <i x="77" s="1" nd="1"/>
        <i x="282" s="1" nd="1"/>
        <i x="289" s="1" nd="1"/>
        <i x="276" s="1" nd="1"/>
        <i x="235" s="1" nd="1"/>
        <i x="8" s="1" nd="1"/>
        <i x="24" s="1" nd="1"/>
        <i x="283" s="1" nd="1"/>
        <i x="139" s="1" nd="1"/>
        <i x="290" s="1" nd="1"/>
        <i x="59" s="1" nd="1"/>
        <i x="80" s="1" nd="1"/>
        <i x="27" s="1" nd="1"/>
        <i x="302" s="1" nd="1"/>
        <i x="63" s="1" nd="1"/>
        <i x="239" s="1" nd="1"/>
        <i x="9" s="1" nd="1"/>
        <i x="50" s="1" nd="1"/>
        <i x="166" s="1" nd="1"/>
        <i x="140" s="1" nd="1"/>
        <i x="227" s="1" nd="1"/>
        <i x="64" s="1" nd="1"/>
        <i x="145" s="1" nd="1"/>
        <i x="245" s="1" nd="1"/>
        <i x="195" s="1" nd="1"/>
        <i x="22" s="1" nd="1"/>
        <i x="3" s="1" nd="1"/>
        <i x="134" s="1" nd="1"/>
        <i x="268" s="1" nd="1"/>
        <i x="104" s="1" nd="1"/>
        <i x="147" s="1" nd="1"/>
        <i x="269" s="1" nd="1"/>
        <i x="79" s="1" nd="1"/>
        <i x="187" s="1" nd="1"/>
        <i x="236" s="1" nd="1"/>
        <i x="167" s="1" nd="1"/>
        <i x="291" s="1" nd="1"/>
        <i x="156" s="1" nd="1"/>
        <i x="253" s="1" nd="1"/>
        <i x="188" s="1" nd="1"/>
        <i x="292" s="1" nd="1"/>
        <i x="34" s="1" nd="1"/>
        <i x="240" s="1" nd="1"/>
        <i x="130" s="1" nd="1"/>
        <i x="189" s="1" nd="1"/>
        <i x="287" s="1" nd="1"/>
        <i x="295" s="1" nd="1"/>
        <i x="257" s="1" nd="1"/>
        <i x="206" s="1" nd="1"/>
        <i x="21" s="1" nd="1"/>
        <i x="190" s="1" nd="1"/>
        <i x="168" s="1" nd="1"/>
        <i x="293" s="1" nd="1"/>
        <i x="18" s="1" nd="1"/>
        <i x="120" s="1" nd="1"/>
        <i x="31" s="1" nd="1"/>
        <i x="284" s="1" nd="1"/>
        <i x="91" s="1" nd="1"/>
        <i x="228" s="1" nd="1"/>
        <i x="128" s="1" nd="1"/>
        <i x="70" s="1" nd="1"/>
        <i x="57" s="1" nd="1"/>
        <i x="207" s="1" nd="1"/>
        <i x="61" s="1" nd="1"/>
        <i x="307" s="1" nd="1"/>
        <i x="84" s="1" nd="1"/>
        <i x="232" s="1" nd="1"/>
        <i x="126" s="1" nd="1"/>
        <i x="264" s="1" nd="1"/>
        <i x="176" s="1" nd="1"/>
        <i x="73" s="1" nd="1"/>
        <i x="241" s="1" nd="1"/>
        <i x="53" s="1" nd="1"/>
        <i x="200" s="1" nd="1"/>
        <i x="157" s="1" nd="1"/>
        <i x="15" s="1" nd="1"/>
        <i x="300" s="1" nd="1"/>
        <i x="242" s="1" nd="1"/>
        <i x="67" s="1" nd="1"/>
        <i x="223" s="1" nd="1"/>
        <i x="220" s="1" nd="1"/>
        <i x="161" s="1" nd="1"/>
        <i x="224" s="1" nd="1"/>
        <i x="36" s="1" nd="1"/>
        <i x="286" s="1" nd="1"/>
        <i x="237" s="1" nd="1"/>
        <i x="97" s="1" nd="1"/>
        <i x="250" s="1" nd="1"/>
        <i x="141" s="1" nd="1"/>
        <i x="62" s="1" nd="1"/>
        <i x="32" s="1" nd="1"/>
        <i x="121" s="1" nd="1"/>
        <i x="163" s="1" nd="1"/>
        <i x="6" s="1" nd="1"/>
        <i x="71" s="1" nd="1"/>
        <i x="37" s="1" nd="1"/>
        <i x="150" s="1" nd="1"/>
        <i x="259" s="1" nd="1"/>
        <i x="196" s="1" nd="1"/>
        <i x="218" s="1" nd="1"/>
        <i x="7" s="1" nd="1"/>
        <i x="158" s="1" nd="1"/>
        <i x="135" s="1" nd="1"/>
        <i x="127" s="1" nd="1"/>
        <i x="85" s="1" nd="1"/>
        <i x="16" s="1" nd="1"/>
        <i x="278" s="1" nd="1"/>
        <i x="66" s="1" nd="1"/>
        <i x="44" s="1" nd="1"/>
        <i x="177" s="1" nd="1"/>
        <i x="229" s="1" nd="1"/>
        <i x="146" s="1" nd="1"/>
        <i x="49" s="1" nd="1"/>
        <i x="169" s="1" nd="1"/>
        <i x="25" s="1" nd="1"/>
        <i x="58" s="1" nd="1"/>
        <i x="10" s="1" nd="1"/>
        <i x="92" s="1" nd="1"/>
        <i x="65" s="1" nd="1"/>
        <i x="74" s="1" nd="1"/>
        <i x="26" s="1" nd="1"/>
        <i x="93" s="1" nd="1"/>
        <i x="114" s="1" nd="1"/>
        <i x="45" s="1" nd="1"/>
        <i x="159" s="1" nd="1"/>
        <i x="81" s="1" nd="1"/>
        <i x="98" s="1" nd="1"/>
        <i x="246" s="1" nd="1"/>
        <i x="94" s="1" nd="1"/>
        <i x="210" s="1" nd="1"/>
        <i x="225" s="1" nd="1"/>
        <i x="116" s="1" nd="1"/>
        <i x="214" s="1" nd="1"/>
        <i x="155" s="1" nd="1"/>
        <i x="247"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pgm_annc_id1" sourceName="pgm_annc_id">
  <pivotTables>
    <pivotTable tabId="53" name="PivotTable9"/>
    <pivotTable tabId="53" name="PivotTable1"/>
    <pivotTable tabId="53" name="PivotTable2"/>
  </pivotTables>
  <data>
    <tabular pivotCacheId="3">
      <items count="59">
        <i x="0" s="1"/>
        <i x="1" s="1" nd="1"/>
        <i x="7" s="1" nd="1"/>
        <i x="47" s="1" nd="1"/>
        <i x="20" s="1" nd="1"/>
        <i x="51" s="1" nd="1"/>
        <i x="3" s="1" nd="1"/>
        <i x="24" s="1" nd="1"/>
        <i x="29" s="1" nd="1"/>
        <i x="8" s="1" nd="1"/>
        <i x="52" s="1" nd="1"/>
        <i x="13" s="1" nd="1"/>
        <i x="22" s="1" nd="1"/>
        <i x="49" s="1" nd="1"/>
        <i x="57" s="1" nd="1"/>
        <i x="48" s="1" nd="1"/>
        <i x="45" s="1" nd="1"/>
        <i x="31" s="1" nd="1"/>
        <i x="5" s="1" nd="1"/>
        <i x="28" s="1" nd="1"/>
        <i x="34" s="1" nd="1"/>
        <i x="14" s="1" nd="1"/>
        <i x="23" s="1" nd="1"/>
        <i x="55" s="1" nd="1"/>
        <i x="10" s="1" nd="1"/>
        <i x="18" s="1" nd="1"/>
        <i x="30" s="1" nd="1"/>
        <i x="38" s="1" nd="1"/>
        <i x="11" s="1" nd="1"/>
        <i x="46" s="1" nd="1"/>
        <i x="50" s="1" nd="1"/>
        <i x="2" s="1" nd="1"/>
        <i x="36" s="1" nd="1"/>
        <i x="32" s="1" nd="1"/>
        <i x="41" s="1" nd="1"/>
        <i x="33" s="1" nd="1"/>
        <i x="43" s="1" nd="1"/>
        <i x="6" s="1" nd="1"/>
        <i x="53" s="1" nd="1"/>
        <i x="35" s="1" nd="1"/>
        <i x="21" s="1" nd="1"/>
        <i x="39" s="1" nd="1"/>
        <i x="19" s="1" nd="1"/>
        <i x="26" s="1" nd="1"/>
        <i x="9" s="1" nd="1"/>
        <i x="40" s="1" nd="1"/>
        <i x="27" s="1" nd="1"/>
        <i x="58" s="1" nd="1"/>
        <i x="44" s="1" nd="1"/>
        <i x="54" s="1" nd="1"/>
        <i x="15" s="1" nd="1"/>
        <i x="56" s="1" nd="1"/>
        <i x="25" s="1" nd="1"/>
        <i x="37" s="1" nd="1"/>
        <i x="16" s="1" nd="1"/>
        <i x="17" s="1" nd="1"/>
        <i x="42" s="1" nd="1"/>
        <i x="12" s="1" nd="1"/>
        <i x="4"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natr_rqst_abbr1" sourceName="natr_rqst_abbr">
  <pivotTables>
    <pivotTable tabId="53" name="PivotTable9"/>
    <pivotTable tabId="53" name="PivotTable1"/>
    <pivotTable tabId="53" name="PivotTable2"/>
  </pivotTables>
  <data>
    <tabular pivotCacheId="3">
      <items count="4">
        <i x="0" s="1"/>
        <i x="1" s="1" nd="1"/>
        <i x="3"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prop_stts_abbr1" sourceName="prop_stts_abbr">
  <pivotTables>
    <pivotTable tabId="53" name="PivotTable9"/>
    <pivotTable tabId="53" name="PivotTable1"/>
    <pivotTable tabId="53" name="PivotTable2"/>
  </pivotTables>
  <data>
    <tabular pivotCacheId="3">
      <items count="6">
        <i x="0" s="1"/>
        <i x="5" s="1" nd="1"/>
        <i x="2" s="1" nd="1"/>
        <i x="1" s="1" nd="1"/>
        <i x="3" s="1" nd="1"/>
        <i x="4"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obj_clas_code1" sourceName="obj_clas_code">
  <pivotTables>
    <pivotTable tabId="53" name="PivotTable9"/>
    <pivotTable tabId="53" name="PivotTable1"/>
    <pivotTable tabId="53" name="PivotTable2"/>
  </pivotTables>
  <data>
    <tabular pivotCacheId="3">
      <items count="4">
        <i x="0" s="1"/>
        <i x="3" s="1" nd="1"/>
        <i x="1" s="1" nd="1"/>
        <i x="2"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Dir2" sourceName="Dir">
  <pivotTables>
    <pivotTable tabId="43" name="PivotTable10"/>
    <pivotTable tabId="43" name="PivotTable11"/>
    <pivotTable tabId="43" name="PivotTable12"/>
  </pivotTables>
  <data>
    <tabular pivotCacheId="2">
      <items count="1">
        <i x="0" s="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Div2" sourceName="Div">
  <pivotTables>
    <pivotTable tabId="43" name="PivotTable10"/>
    <pivotTable tabId="43" name="PivotTable11"/>
    <pivotTable tabId="43" name="PivotTable12"/>
  </pivotTables>
  <data>
    <tabular pivotCacheId="2">
      <items count="1">
        <i x="0"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gm2" sourceName="Pgm">
  <pivotTables>
    <pivotTable tabId="43" name="PivotTable10"/>
  </pivotTables>
  <data>
    <tabular pivotCacheId="2">
      <items count="1">
        <i x="0"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PO2" sourceName="PO">
  <pivotTables>
    <pivotTable tabId="43" name="PivotTable10"/>
    <pivotTable tabId="43" name="PivotTable11"/>
    <pivotTable tabId="43" name="PivotTable12"/>
  </pivotTables>
  <data>
    <tabular pivotCacheId="2">
      <items count="1">
        <i x="0"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gm_annc_id2" sourceName="pgm_annc_id">
  <pivotTables>
    <pivotTable tabId="43" name="PivotTable10"/>
    <pivotTable tabId="43" name="PivotTable11"/>
    <pivotTable tabId="43" name="PivotTable12"/>
  </pivotTables>
  <data>
    <tabular pivotCacheId="2">
      <items count="1">
        <i x="0" s="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natr_rqst_abbr2" sourceName="natr_rqst_abbr">
  <pivotTables>
    <pivotTable tabId="43" name="PivotTable10"/>
    <pivotTable tabId="43" name="PivotTable11"/>
    <pivotTable tabId="43" name="PivotTable12"/>
  </pivotTables>
  <data>
    <tabular pivotCacheId="2">
      <items count="1">
        <i x="0"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prop_stts_abbr2" sourceName="prop_stts_abbr">
  <pivotTables>
    <pivotTable tabId="43" name="PivotTable10"/>
    <pivotTable tabId="43" name="PivotTable11"/>
    <pivotTable tabId="43" name="PivotTable12"/>
  </pivotTables>
  <data>
    <tabular pivotCacheId="2">
      <items count="1">
        <i x="0"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obj_clas_code2" sourceName="obj_clas_code">
  <pivotTables>
    <pivotTable tabId="43" name="PivotTable10"/>
    <pivotTable tabId="43" name="PivotTable11"/>
    <pivotTable tabId="43" name="PivotTable12"/>
  </pivotTables>
  <data>
    <tabular pivotCacheId="2">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natr_rqst_abbr" cache="Slicer_natr_rqst_abbr" caption="natr_rqst_abbr" style="SlicerStyleLight2" rowHeight="241300"/>
  <slicer name="Dir" cache="Slicer_Dir" caption="Dir" style="SlicerStyleDark4" rowHeight="241300"/>
  <slicer name="Div" cache="Slicer_Div" caption="Div" style="SlicerStyleDark4" rowHeight="241300"/>
  <slicer name="PO" cache="Slicer_PO" caption="PO" style="SlicerStyleDark4" rowHeight="241300"/>
  <slicer name="prop_stts_abbr" cache="Slicer_prop_stts_abbr" caption="prop_stts_abbr" style="SlicerStyleLight2" rowHeight="241300"/>
  <slicer name="obj_clas_code" cache="Slicer_obj_clas_code" caption="obj_clas_code" style="SlicerStyleLight2" rowHeight="241300"/>
  <slicer name="Pgm" cache="Slicer_Pgm" caption="Pgm" style="SlicerStyleDark4" rowHeight="241300"/>
  <slicer name="pgm_annc_id" cache="Slicer_pgm_annc_id" caption="pgm_annc_id" style="SlicerStyleLight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Dir 2" cache="Slicer_Dir2" caption="Dir" style="SlicerStyleLight6" rowHeight="241300"/>
  <slicer name="Div 2" cache="Slicer_Div2" caption="Div" style="SlicerStyleLight6" rowHeight="241300"/>
  <slicer name="Pgm 2" cache="Slicer_Pgm2" caption="Pgm" style="SlicerStyleLight6" rowHeight="241300"/>
  <slicer name="PO 2" cache="Slicer_PO2" caption="PO" style="SlicerStyleLight6" rowHeight="241300"/>
  <slicer name="pgm_annc_id 2" cache="Slicer_pgm_annc_id2" caption="pgm_annc_id" style="SlicerStyleLight6" rowHeight="241300"/>
  <slicer name="natr_rqst_abbr 2" cache="Slicer_natr_rqst_abbr2" caption="natr_rqst_abbr" style="SlicerStyleLight6" rowHeight="241300"/>
  <slicer name="prop_stts_abbr 2" cache="Slicer_prop_stts_abbr2" caption="prop_stts_abbr" style="SlicerStyleLight6" rowHeight="241300"/>
  <slicer name="obj_clas_code 2" cache="Slicer_obj_clas_code2" caption="obj_clas_code" style="SlicerStyleLight6"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Dir 1" cache="Slicer_Dir1" caption="Dir" rowHeight="241300"/>
  <slicer name="Div 1" cache="Slicer_Div1" caption="Div" rowHeight="241300"/>
  <slicer name="Pgm 1" cache="Slicer_Pgm1" caption="Pgm" rowHeight="241300"/>
  <slicer name="PO 1" cache="Slicer_PO1" caption="PO" rowHeight="241300"/>
  <slicer name="pgm_annc_id 1" cache="Slicer_pgm_annc_id1" caption="pgm_annc_id" rowHeight="241300"/>
  <slicer name="natr_rqst_abbr 1" cache="Slicer_natr_rqst_abbr1" caption="natr_rqst_abbr" rowHeight="241300"/>
  <slicer name="prop_stts_abbr 1" cache="Slicer_prop_stts_abbr1" caption="prop_stts_abbr" rowHeight="241300"/>
  <slicer name="obj_clas_code 1" cache="Slicer_obj_clas_code1" caption="obj_clas_code"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id="2" name="AddProjIDTable" displayName="AddProjIDTable" ref="C28:C29" insertRow="1" totalsRowShown="0" headerRowDxfId="365" dataDxfId="364">
  <tableColumns count="1">
    <tableColumn id="1" name="Projects to Include" dataDxfId="363"/>
  </tableColumns>
  <tableStyleInfo name="AddTableStyle" showFirstColumn="0" showLastColumn="0" showRowStripes="1" showColumnStripes="0"/>
</table>
</file>

<file path=xl/tables/table2.xml><?xml version="1.0" encoding="utf-8"?>
<table xmlns="http://schemas.openxmlformats.org/spreadsheetml/2006/main" id="3" name="OmitPropIDTable" displayName="OmitPropIDTable" ref="E28:E29" insertRow="1" totalsRowShown="0" headerRowDxfId="362" dataDxfId="361">
  <tableColumns count="1">
    <tableColumn id="1" name="Proposals to Exclude" dataDxfId="360"/>
  </tableColumns>
  <tableStyleInfo name="OmitTableStyle" showFirstColumn="0" showLastColumn="0" showRowStripes="1" showColumnStripes="0"/>
</table>
</file>

<file path=xl/tables/table3.xml><?xml version="1.0" encoding="utf-8"?>
<table xmlns="http://schemas.openxmlformats.org/spreadsheetml/2006/main" id="10" name="CountTable" displayName="CountTable" ref="K1:K2" tableType="queryTable" totalsRowShown="0" headerRowDxfId="359" dataDxfId="358">
  <tableColumns count="1">
    <tableColumn id="1" uniqueName="1" name="num_retrieved" queryTableFieldId="3" dataDxfId="357"/>
  </tableColumns>
  <tableStyleInfo showFirstColumn="0" showLastColumn="0" showRowStripes="0" showColumnStripes="0"/>
</table>
</file>

<file path=xl/tables/table4.xml><?xml version="1.0" encoding="utf-8"?>
<table xmlns="http://schemas.openxmlformats.org/spreadsheetml/2006/main" id="19" name="SheetTable" displayName="SheetTable" ref="H8:P28" totalsRowShown="0" headerRowDxfId="356">
  <sortState ref="H9:P28">
    <sortCondition ref="P8"/>
  </sortState>
  <tableColumns count="9">
    <tableColumn id="9" name="Email?" dataDxfId="355" dataCellStyle="Hyperlink"/>
    <tableColumn id="2" name="Tab    " dataDxfId="354" dataCellStyle="Hyperlink"/>
    <tableColumn id="1" name="Ref?" dataDxfId="353"/>
    <tableColumn id="6" name="Limit" dataDxfId="352" dataCellStyle="Hyperlink"/>
    <tableColumn id="7" name="#Rows" dataDxfId="351" dataCellStyle="Hyperlink">
      <calculatedColumnFormula>Projects!$C$3</calculatedColumnFormula>
    </tableColumn>
    <tableColumn id="8" name="Status" dataDxfId="350" dataCellStyle="Hyperlink">
      <calculatedColumnFormula>IFERROR(IF(NOW()-DATEVALUE(Projects!$C$2)&lt;1,RIGHT(Projects!$C$2,11),LEFT(Projects!$C$2,8)), Projects!$C$2)</calculatedColumnFormula>
    </tableColumn>
    <tableColumn id="3" name="Description" dataDxfId="349" dataCellStyle="Hyperlink"/>
    <tableColumn id="4" name="Phase" dataDxfId="348"/>
    <tableColumn id="5" name="Order" dataDxfId="347"/>
  </tableColumns>
  <tableStyleInfo name="SheetTableStyle" showFirstColumn="0" showLastColumn="0" showRowStripes="0" showColumnStripes="0"/>
</table>
</file>

<file path=xl/tables/table5.xml><?xml version="1.0" encoding="utf-8"?>
<table xmlns="http://schemas.openxmlformats.org/spreadsheetml/2006/main" id="11" name="ProjTable" displayName="ProjTable" ref="B6:AN8" tableType="queryTable" insertRow="1" totalsRowCount="1">
  <autoFilter ref="B6:AN7"/>
  <tableColumns count="39">
    <tableColumn id="103" uniqueName="103" name="nsf_rcvd_date" totalsRowLabel="Total" queryTableFieldId="1" dataDxfId="346"/>
    <tableColumn id="104" uniqueName="104" name="dd_rcom_date" queryTableFieldId="2" dataDxfId="345"/>
    <tableColumn id="105" uniqueName="105" name="pgm_annc_id" queryTableFieldId="3"/>
    <tableColumn id="106" uniqueName="106" name="Dir" queryTableFieldId="4"/>
    <tableColumn id="107" uniqueName="107" name="org_code" queryTableFieldId="5"/>
    <tableColumn id="108" uniqueName="108" name="origORG" queryTableFieldId="6"/>
    <tableColumn id="109" uniqueName="109" name="Pgm" queryTableFieldId="7"/>
    <tableColumn id="110" uniqueName="110" name="origPEC" queryTableFieldId="8"/>
    <tableColumn id="111" uniqueName="111" name="PO" queryTableFieldId="9"/>
    <tableColumn id="112" uniqueName="112" name="obj_clas_code" queryTableFieldId="10"/>
    <tableColumn id="113" uniqueName="113" name="natr_rqst_abbr" queryTableFieldId="11"/>
    <tableColumn id="114" uniqueName="114" name="prop_stts_abbr" queryTableFieldId="12"/>
    <tableColumn id="115" uniqueName="115" name="nProp" queryTableFieldId="13"/>
    <tableColumn id="116" uniqueName="116" name="nPI" queryTableFieldId="14"/>
    <tableColumn id="117" uniqueName="117" name="nPanl" queryTableFieldId="15"/>
    <tableColumn id="118" uniqueName="118" name="panl_idmax" queryTableFieldId="16"/>
    <tableColumn id="119" uniqueName="119" name="ILN" queryTableFieldId="17" dataDxfId="344"/>
    <tableColumn id="120" uniqueName="120" name="Div" queryTableFieldId="18"/>
    <tableColumn id="121" uniqueName="121" name="prop_id" totalsRowFunction="count" queryTableFieldId="19"/>
    <tableColumn id="149" uniqueName="149" name="eJ" queryTableFieldId="47" dataDxfId="343" dataCellStyle="Hyperlink">
      <calculatedColumnFormula>HYPERLINK(CONCATENATE("https://www.ejacket.nsf.gov/ej/showProposal.do?ID=",SUBSTITUTE(ProjTable[[#This Row],[prop_id]],CHAR(160),"")),"eJ")</calculatedColumnFormula>
    </tableColumn>
    <tableColumn id="122" uniqueName="122" name="pi_last_name" queryTableFieldId="20"/>
    <tableColumn id="123" uniqueName="123" name="pi_frst_name" queryTableFieldId="21"/>
    <tableColumn id="124" uniqueName="124" name="inst_name" queryTableFieldId="22"/>
    <tableColumn id="125" uniqueName="125" name="st_code" queryTableFieldId="23"/>
    <tableColumn id="126" uniqueName="126" name="pi_emai_addr" queryTableFieldId="24"/>
    <tableColumn id="127" uniqueName="127" name="pi_id" queryTableFieldId="25"/>
    <tableColumn id="128" uniqueName="128" name="inst_id" queryTableFieldId="26" dataDxfId="342"/>
    <tableColumn id="129" uniqueName="129" name="prop_titl_txt" queryTableFieldId="27"/>
    <tableColumn id="130" uniqueName="130" name="rqst_dol_tot" queryTableFieldId="28" dataDxfId="341" totalsRowDxfId="340" dataCellStyle="Currency"/>
    <tableColumn id="131" uniqueName="131" name="rqst_eff_date" queryTableFieldId="29" dataDxfId="339" totalsRowDxfId="338"/>
    <tableColumn id="132" uniqueName="132" name="rqst_mnth_cnt" queryTableFieldId="30" dataDxfId="337" totalsRowDxfId="336"/>
    <tableColumn id="133" uniqueName="133" name="cntx_stmt_id" queryTableFieldId="31"/>
    <tableColumn id="135" uniqueName="135" name="prop_stts_txt" queryTableFieldId="33" dataDxfId="335"/>
    <tableColumn id="136" uniqueName="136" name="Solicitation" queryTableFieldId="34"/>
    <tableColumn id="137" uniqueName="137" name="Organization" queryTableFieldId="35" dataDxfId="334"/>
    <tableColumn id="138" uniqueName="138" name="obj_clas_name" queryTableFieldId="36" dataDxfId="333"/>
    <tableColumn id="151" uniqueName="151" name="pi_name" queryTableFieldId="49" dataDxfId="332">
      <calculatedColumnFormula>ProjTable[[#This Row],[pi_last_name]] &amp;", "&amp;ProjTable[[#This Row],[pi_frst_name]]</calculatedColumnFormula>
    </tableColumn>
    <tableColumn id="150" uniqueName="150" name="nsf_rcvd_date2" queryTableFieldId="48" dataDxfId="331" totalsRowDxfId="330">
      <calculatedColumnFormula>TEXT(ProjTable[[#This Row],[nsf_rcvd_date]],"mm/dd/yy")</calculatedColumnFormula>
    </tableColumn>
    <tableColumn id="139" uniqueName="139" name="SPCL_CHAR_PDF" queryTableFieldId="37" dataDxfId="329"/>
  </tableColumns>
  <tableStyleInfo name="TableFall" showFirstColumn="0" showLastColumn="0" showRowStripes="1" showColumnStripes="0"/>
</table>
</file>

<file path=xl/tables/table6.xml><?xml version="1.0" encoding="utf-8"?>
<table xmlns="http://schemas.openxmlformats.org/spreadsheetml/2006/main" id="26" name="AllPIsTable" displayName="AllPIsTable" ref="B6:AG8" tableType="queryTable" insertRow="1" totalsRowCount="1">
  <autoFilter ref="B6:AG7"/>
  <tableColumns count="32">
    <tableColumn id="1" uniqueName="1" name="nsf_rcvd_date" totalsRowLabel="Total" queryTableFieldId="1" dataDxfId="320"/>
    <tableColumn id="2" uniqueName="2" name="dd_rcom_date" queryTableFieldId="2" dataDxfId="319"/>
    <tableColumn id="3" uniqueName="3" name="pgm_annc_id" queryTableFieldId="3"/>
    <tableColumn id="4" uniqueName="4" name="Dir" queryTableFieldId="4" dataDxfId="318"/>
    <tableColumn id="5" uniqueName="5" name="org_code" queryTableFieldId="5"/>
    <tableColumn id="6" uniqueName="6" name="Pgm" queryTableFieldId="6" dataDxfId="317"/>
    <tableColumn id="7" uniqueName="7" name="PO" queryTableFieldId="7" dataDxfId="316"/>
    <tableColumn id="8" uniqueName="8" name="obj_clas_code" queryTableFieldId="8" dataDxfId="315"/>
    <tableColumn id="9" uniqueName="9" name="natr_rqst_abbr" queryTableFieldId="9" dataDxfId="314"/>
    <tableColumn id="10" uniqueName="10" name="prop_stts_abbr" queryTableFieldId="10"/>
    <tableColumn id="34" uniqueName="34" name="0" queryTableFieldId="34">
      <calculatedColumnFormula>L6+(N7&lt;&gt;N6)</calculatedColumnFormula>
    </tableColumn>
    <tableColumn id="33" uniqueName="33" name="ILN" queryTableFieldId="38" dataDxfId="313"/>
    <tableColumn id="11" uniqueName="11" name="lead" queryTableFieldId="11"/>
    <tableColumn id="12" uniqueName="12" name="Div" queryTableFieldId="12" dataDxfId="312"/>
    <tableColumn id="13" uniqueName="13" name="prop_id" totalsRowFunction="count" queryTableFieldId="13"/>
    <tableColumn id="35" uniqueName="35" name="eJ" queryTableFieldId="35" dataDxfId="311" dataCellStyle="Hyperlink">
      <calculatedColumnFormula>HYPERLINK(CONCATENATE("https://www.ejacket.nsf.gov/ej/showProposal.do?ID=",SUBSTITUTE(AllPIsTable[[#This Row],[prop_id]],CHAR(160),"")),"eJ")</calculatedColumnFormula>
    </tableColumn>
    <tableColumn id="15" uniqueName="15" name="prop_titl_txt" queryTableFieldId="15" dataDxfId="310"/>
    <tableColumn id="16" uniqueName="16" name="pers" queryTableFieldId="16" dataDxfId="309"/>
    <tableColumn id="17" uniqueName="17" name="pi_last_name" queryTableFieldId="17" dataDxfId="308"/>
    <tableColumn id="36" uniqueName="36" name="pi_name" queryTableFieldId="36" dataDxfId="307">
      <calculatedColumnFormula>AllPIsTable[[#This Row],[pi_last_name]] &amp;", "&amp;AllPIsTable[[#This Row],[pi_frst_name]]</calculatedColumnFormula>
    </tableColumn>
    <tableColumn id="18" uniqueName="18" name="pi_frst_name" queryTableFieldId="18" dataDxfId="306"/>
    <tableColumn id="19" uniqueName="19" name="inst_name" queryTableFieldId="19"/>
    <tableColumn id="20" uniqueName="20" name="pi_gend_code" queryTableFieldId="20"/>
    <tableColumn id="21" uniqueName="21" name="pi_emai_addr" queryTableFieldId="21"/>
    <tableColumn id="22" uniqueName="22" name="pi_dept_name" queryTableFieldId="22"/>
    <tableColumn id="24" uniqueName="24" name="inst_id" queryTableFieldId="24"/>
    <tableColumn id="25" uniqueName="25" name="pi_id" queryTableFieldId="25"/>
    <tableColumn id="26" uniqueName="26" name="rqst_dol" queryTableFieldId="26" dataDxfId="305"/>
    <tableColumn id="27" uniqueName="27" name="rqst_mnth_cnt" queryTableFieldId="27" dataDxfId="304"/>
    <tableColumn id="28" uniqueName="28" name="rqst_eff_date" queryTableFieldId="28" dataDxfId="303"/>
    <tableColumn id="23" uniqueName="23" name="st_code" queryTableFieldId="39" dataDxfId="302"/>
    <tableColumn id="32" uniqueName="32" name="epscor?" totalsRowFunction="count" queryTableFieldId="29" dataDxfId="301">
      <calculatedColumnFormula>IFERROR(MATCH(AllPIsTable[[#This Row],[st_code]],EpscorTable[],0)&gt;0,"")</calculatedColumnFormula>
    </tableColumn>
  </tableColumns>
  <tableStyleInfo name="TableFall 2" showFirstColumn="0" showLastColumn="0" showRowStripes="0" showColumnStripes="0"/>
</table>
</file>

<file path=xl/tables/table7.xml><?xml version="1.0" encoding="utf-8"?>
<table xmlns="http://schemas.openxmlformats.org/spreadsheetml/2006/main" id="28" name="ProposalTable" displayName="ProposalTable" ref="B6:AG8" tableType="queryTable" insertRow="1" totalsRowCount="1">
  <autoFilter ref="B6:AG7"/>
  <tableColumns count="32">
    <tableColumn id="1" uniqueName="1" name="nsf_rcvd_date" totalsRowLabel="Total" queryTableFieldId="1" dataDxfId="299"/>
    <tableColumn id="2" uniqueName="2" name="dd_rcom_date" queryTableFieldId="2" dataDxfId="298"/>
    <tableColumn id="3" uniqueName="3" name="pgm_annc_id" queryTableFieldId="3"/>
    <tableColumn id="4" uniqueName="4" name="Dir" queryTableFieldId="4" dataDxfId="297"/>
    <tableColumn id="5" uniqueName="5" name="org_code" queryTableFieldId="5"/>
    <tableColumn id="6" uniqueName="6" name="Pgm" queryTableFieldId="6" dataDxfId="296"/>
    <tableColumn id="7" uniqueName="7" name="PO" queryTableFieldId="7" dataDxfId="295"/>
    <tableColumn id="34" uniqueName="34" name="obj_clas_code" queryTableFieldId="40" dataDxfId="294"/>
    <tableColumn id="8" uniqueName="8" name="natr_rqst_abbr" queryTableFieldId="8" dataDxfId="293"/>
    <tableColumn id="9" uniqueName="9" name="prop_stts_abbr" queryTableFieldId="9"/>
    <tableColumn id="31" uniqueName="31" name="0" queryTableFieldId="34">
      <calculatedColumnFormula>L6+(N7&lt;&gt;N6)</calculatedColumnFormula>
    </tableColumn>
    <tableColumn id="13" uniqueName="13" name="ILN" queryTableFieldId="13" dataDxfId="292" totalsRowDxfId="291"/>
    <tableColumn id="10" uniqueName="10" name="lead" totalsRowFunction="count" queryTableFieldId="10"/>
    <tableColumn id="11" uniqueName="11" name="Div" queryTableFieldId="11"/>
    <tableColumn id="12" uniqueName="12" name="prop_id" queryTableFieldId="12" dataDxfId="290"/>
    <tableColumn id="30" uniqueName="30" name="eJ" queryTableFieldId="31" dataDxfId="289" totalsRowDxfId="288" dataCellStyle="Hyperlink">
      <calculatedColumnFormula>HYPERLINK(CONCATENATE("https://www.ejacket.nsf.gov/ej/showProposal.do?ID=",SUBSTITUTE(ProposalTable[[#This Row],[prop_id]],CHAR(160),"")),"eJ")</calculatedColumnFormula>
    </tableColumn>
    <tableColumn id="17" uniqueName="17" name="pi_last_name" queryTableFieldId="17"/>
    <tableColumn id="18" uniqueName="18" name="pi_frst_name" queryTableFieldId="18"/>
    <tableColumn id="19" uniqueName="19" name="inst_name" queryTableFieldId="19"/>
    <tableColumn id="32" uniqueName="32" name="inst_id" queryTableFieldId="36" dataDxfId="287"/>
    <tableColumn id="15" uniqueName="15" name="rqst_dol" queryTableFieldId="15" dataDxfId="286" totalsRowDxfId="285" dataCellStyle="Currency"/>
    <tableColumn id="25" uniqueName="25" name="rqst_mnth_cnt" queryTableFieldId="25" dataDxfId="284"/>
    <tableColumn id="26" uniqueName="26" name="rqst_eff_date" queryTableFieldId="26" dataDxfId="283"/>
    <tableColumn id="23" uniqueName="23" name="st_code" queryTableFieldId="23" dataDxfId="282"/>
    <tableColumn id="16" uniqueName="16" name="epscor?" queryTableFieldId="27" dataDxfId="281">
      <calculatedColumnFormula>IFERROR(MATCH(ProposalTable[[#This Row],[st_code]],EpscorTable[],0)&gt;0,"")</calculatedColumnFormula>
    </tableColumn>
    <tableColumn id="21" uniqueName="21" name="PRCs" queryTableFieldId="42" dataDxfId="280"/>
    <tableColumn id="20" uniqueName="20" name="cntx_stmt_id" queryTableFieldId="41" dataDxfId="279"/>
    <tableColumn id="33" uniqueName="33" name="rout_PECs" queryTableFieldId="45" dataDxfId="278"/>
    <tableColumn id="22" uniqueName="22" name="humn_date" queryTableFieldId="43" dataDxfId="277"/>
    <tableColumn id="27" uniqueName="27" name="vrtb_date" queryTableFieldId="44" dataDxfId="276"/>
    <tableColumn id="35" uniqueName="35" name="Country" queryTableFieldId="49" dataDxfId="275"/>
    <tableColumn id="29" uniqueName="29" name="prop_titl_txt" queryTableFieldId="14"/>
  </tableColumns>
  <tableStyleInfo name="TableFall 2" showFirstColumn="0" showLastColumn="0" showRowStripes="0" showColumnStripes="0"/>
</table>
</file>

<file path=xl/tables/table8.xml><?xml version="1.0" encoding="utf-8"?>
<table xmlns="http://schemas.openxmlformats.org/spreadsheetml/2006/main" id="7" name="PanelTable" displayName="PanelTable" ref="B7:K9" tableType="queryTable" insertRow="1" totalsRowCount="1">
  <autoFilter ref="B7:K8"/>
  <tableColumns count="10">
    <tableColumn id="4" uniqueName="4" name="panl_id" totalsRowLabel="Total" queryTableFieldId="4"/>
    <tableColumn id="5" uniqueName="5" name="panl_name" totalsRowFunction="count" queryTableFieldId="5"/>
    <tableColumn id="6" uniqueName="6" name="pm_logn_id" queryTableFieldId="6"/>
    <tableColumn id="13" uniqueName="13" name="numProps" totalsRowFunction="sum" queryTableFieldId="20"/>
    <tableColumn id="1" uniqueName="1" name="panl_bgn_date" queryTableFieldId="7" dataDxfId="274"/>
    <tableColumn id="2" uniqueName="2" name="pgm_ele_code" queryTableFieldId="8" dataDxfId="273"/>
    <tableColumn id="3" uniqueName="3" name="fund_org_code" queryTableFieldId="9"/>
    <tableColumn id="7" uniqueName="7" name="fund_pgm_ele_code" queryTableFieldId="10"/>
    <tableColumn id="9" uniqueName="9" name="panl_loc" queryTableFieldId="15"/>
    <tableColumn id="12" uniqueName="12" name="panlSumm" queryTableFieldId="19"/>
  </tableColumns>
  <tableStyleInfo name="TableFall" showFirstColumn="0" showLastColumn="0" showRowStripes="1" showColumnStripes="0"/>
</table>
</file>

<file path=xl/tables/table9.xml><?xml version="1.0" encoding="utf-8"?>
<table xmlns="http://schemas.openxmlformats.org/spreadsheetml/2006/main" id="16" name="PropPanelTable" displayName="PropPanelTable" ref="B6:AV8" tableType="queryTable" insertRow="1" totalsRowCount="1">
  <autoFilter ref="B6:AV7"/>
  <sortState ref="B7:AV125">
    <sortCondition ref="AM7:AM109"/>
    <sortCondition ref="AL7:AL109"/>
    <sortCondition descending="1" ref="AP7:AP109"/>
    <sortCondition ref="P7:P109"/>
    <sortCondition ref="AH7:AH109"/>
    <sortCondition ref="O7:O109"/>
    <sortCondition ref="R7:R109"/>
  </sortState>
  <tableColumns count="47">
    <tableColumn id="1" uniqueName="1" name="nsf_rcvd_date" totalsRowLabel="Total" queryTableFieldId="1" dataDxfId="271"/>
    <tableColumn id="2" uniqueName="2" name="dd_rcom_date" queryTableFieldId="2" dataDxfId="270"/>
    <tableColumn id="3" uniqueName="3" name="pgm_annc_id" queryTableFieldId="3" dataDxfId="269"/>
    <tableColumn id="4" uniqueName="4" name="Dir" queryTableFieldId="4" dataDxfId="268"/>
    <tableColumn id="5" uniqueName="5" name="org_code" queryTableFieldId="5"/>
    <tableColumn id="6" uniqueName="6" name="origORG" queryTableFieldId="6"/>
    <tableColumn id="7" uniqueName="7" name="Pgm" queryTableFieldId="7"/>
    <tableColumn id="8" uniqueName="8" name="origPEC" queryTableFieldId="8"/>
    <tableColumn id="9" uniqueName="9" name="PO" queryTableFieldId="9"/>
    <tableColumn id="10" uniqueName="10" name="obj_clas_code" queryTableFieldId="10"/>
    <tableColumn id="13" uniqueName="13" name="natr_rqst_abbr" queryTableFieldId="13"/>
    <tableColumn id="12" uniqueName="12" name="prop_stts_abbr" queryTableFieldId="12"/>
    <tableColumn id="49" uniqueName="49" name="0" queryTableFieldId="50" dataDxfId="267">
      <calculatedColumnFormula>N6+(PropPanelTable[[#This Row],[ILN]]&lt;"M")</calculatedColumnFormula>
    </tableColumn>
    <tableColumn id="14" uniqueName="14" name="ILN" queryTableFieldId="14" dataDxfId="266" totalsRowDxfId="265"/>
    <tableColumn id="15" uniqueName="15" name="lead" totalsRowFunction="count" queryTableFieldId="15"/>
    <tableColumn id="16" uniqueName="16" name="Div" queryTableFieldId="16"/>
    <tableColumn id="17" uniqueName="17" name="prop_id" queryTableFieldId="17"/>
    <tableColumn id="50" uniqueName="50" name="eJ" queryTableFieldId="51" dataDxfId="264" totalsRowDxfId="263" dataCellStyle="Hyperlink">
      <calculatedColumnFormula>HYPERLINK(CONCATENATE("https://www.ejacket.nsf.gov/ej/showProposal.do?Continue=Y&amp;ID=",SUBSTITUTE(PropPanelTable[[#This Row],[prop_id]],CHAR(160),"")),"eJ")</calculatedColumnFormula>
    </tableColumn>
    <tableColumn id="18" uniqueName="18" name="pi_last_name" queryTableFieldId="18"/>
    <tableColumn id="19" uniqueName="19" name="pi_frst_name" queryTableFieldId="19"/>
    <tableColumn id="21" uniqueName="21" name="inst_name" queryTableFieldId="21"/>
    <tableColumn id="22" uniqueName="22" name="st_code" queryTableFieldId="22"/>
    <tableColumn id="30" uniqueName="30" name="pi_id" queryTableFieldId="30"/>
    <tableColumn id="20" uniqueName="20" name="inst_id" queryTableFieldId="20"/>
    <tableColumn id="24" uniqueName="24" name="prop_titl_txt" queryTableFieldId="24"/>
    <tableColumn id="25" uniqueName="25" name="rqst_dol" queryTableFieldId="25" dataDxfId="262" totalsRowDxfId="261" dataCellStyle="Currency"/>
    <tableColumn id="26" uniqueName="26" name="rqst_eff_date" queryTableFieldId="26" dataDxfId="260"/>
    <tableColumn id="27" uniqueName="27" name="rqst_mnth_cnt" queryTableFieldId="27" dataDxfId="259"/>
    <tableColumn id="23" uniqueName="23" name="pi_emai_addr" queryTableFieldId="23"/>
    <tableColumn id="33" uniqueName="33" name="panl_loc" queryTableFieldId="33" dataDxfId="258" totalsRowDxfId="257"/>
    <tableColumn id="32" uniqueName="32" name="panl_bgn_date" queryTableFieldId="32" dataDxfId="256" totalsRowDxfId="255"/>
    <tableColumn id="34" uniqueName="34" name="disc_ordr" queryTableFieldId="34"/>
    <tableColumn id="31" uniqueName="31" name="panl_id" queryTableFieldId="31" dataDxfId="254"/>
    <tableColumn id="35" uniqueName="35" name="panl_name" queryTableFieldId="35"/>
    <tableColumn id="36" uniqueName="36" name="panl_held" queryTableFieldId="36"/>
    <tableColumn id="37" uniqueName="37" name="summ_rlse" queryTableFieldId="37"/>
    <tableColumn id="38" uniqueName="38" name="rank" queryTableFieldId="38"/>
    <tableColumn id="39" uniqueName="39" name="rcom_seq" queryTableFieldId="39"/>
    <tableColumn id="40" uniqueName="40" name="rcom_abbr" queryTableFieldId="40"/>
    <tableColumn id="45" uniqueName="45" name="reviews" queryTableFieldId="45"/>
    <tableColumn id="46" uniqueName="46" name="avg_score" totalsRowFunction="average" queryTableFieldId="46" dataDxfId="253" totalsRowDxfId="252"/>
    <tableColumn id="42" uniqueName="42" name="rankInPanl" queryTableFieldId="42"/>
    <tableColumn id="47" uniqueName="47" name="last_rev_date" queryTableFieldId="47" dataDxfId="251"/>
    <tableColumn id="41" uniqueName="41" name="rcom_txt" queryTableFieldId="41"/>
    <tableColumn id="43" uniqueName="43" name="humn_date" queryTableFieldId="43" dataDxfId="250" totalsRowDxfId="249"/>
    <tableColumn id="44" uniqueName="44" name="vrtb_date" queryTableFieldId="44" dataDxfId="248"/>
    <tableColumn id="48" uniqueName="48" name="country" queryTableFieldId="48"/>
  </tableColumns>
  <tableStyleInfo name="TableFall" showFirstColumn="0" showLastColumn="0" showRowStripes="0" showColumnStripes="0"/>
</table>
</file>

<file path=xl/tables/table10.xml><?xml version="1.0" encoding="utf-8"?>
<table xmlns="http://schemas.openxmlformats.org/spreadsheetml/2006/main" id="27" name="ProjTable28" displayName="ProjTable28" ref="B6:AG8" tableType="queryTable" insertRow="1" totalsRowCount="1">
  <autoFilter ref="B6:AG7"/>
  <tableColumns count="32">
    <tableColumn id="103" uniqueName="103" name="nsf_rcvd_date" totalsRowLabel="Total" queryTableFieldId="1" dataDxfId="247"/>
    <tableColumn id="104" uniqueName="104" name="dd_rcom_date" queryTableFieldId="2" dataDxfId="246"/>
    <tableColumn id="105" uniqueName="105" name="pgm_annc_id" queryTableFieldId="3"/>
    <tableColumn id="106" uniqueName="106" name="Dir" queryTableFieldId="4"/>
    <tableColumn id="107" uniqueName="107" name="org_code" queryTableFieldId="5"/>
    <tableColumn id="109" uniqueName="109" name="Pgm" queryTableFieldId="7"/>
    <tableColumn id="111" uniqueName="111" name="PO" queryTableFieldId="9"/>
    <tableColumn id="112" uniqueName="112" name="obj_clas_code" queryTableFieldId="10"/>
    <tableColumn id="113" uniqueName="113" name="natr_rqst_abbr" queryTableFieldId="11"/>
    <tableColumn id="114" uniqueName="114" name="prop_stts_abbr" queryTableFieldId="12"/>
    <tableColumn id="119" uniqueName="119" name="ILN" queryTableFieldId="17" dataDxfId="245"/>
    <tableColumn id="120" uniqueName="120" name="Div" queryTableFieldId="18"/>
    <tableColumn id="121" uniqueName="121" name="prop_id" totalsRowFunction="count" queryTableFieldId="19"/>
    <tableColumn id="149" uniqueName="149" name="eJ" queryTableFieldId="47" dataDxfId="244" dataCellStyle="Hyperlink">
      <calculatedColumnFormula>HYPERLINK(CONCATENATE("https://www.ejacket.nsf.gov/ej/showProposal.do?ID=",SUBSTITUTE(ProjTable28[[#This Row],[prop_id]],CHAR(160),"")),"eJ")</calculatedColumnFormula>
    </tableColumn>
    <tableColumn id="122" uniqueName="122" name="pi_last_name" queryTableFieldId="20"/>
    <tableColumn id="123" uniqueName="123" name="pi_frst_name" queryTableFieldId="21"/>
    <tableColumn id="124" uniqueName="124" name="inst_name" queryTableFieldId="22"/>
    <tableColumn id="125" uniqueName="125" name="st_code" queryTableFieldId="23"/>
    <tableColumn id="126" uniqueName="126" name="pi_emai_addr" queryTableFieldId="24"/>
    <tableColumn id="129" uniqueName="129" name="prop_titl_txt" queryTableFieldId="27"/>
    <tableColumn id="130" uniqueName="130" name="rqst_dol_tot" queryTableFieldId="28" dataDxfId="243" totalsRowDxfId="242" dataCellStyle="Currency"/>
    <tableColumn id="131" uniqueName="131" name="rqst_eff_date" queryTableFieldId="29" dataDxfId="241" totalsRowDxfId="240"/>
    <tableColumn id="132" uniqueName="132" name="rqst_mnth_cnt" queryTableFieldId="30" dataDxfId="239" totalsRowDxfId="238"/>
    <tableColumn id="139" uniqueName="139" name="SPCL_CHAR_PDF" queryTableFieldId="37" dataDxfId="237"/>
    <tableColumn id="140" uniqueName="140" name="PROJ_SUMM_TXT" queryTableFieldId="38" dataDxfId="236"/>
    <tableColumn id="141" uniqueName="141" name="INTUL_MERT" queryTableFieldId="39" dataDxfId="235"/>
    <tableColumn id="142" uniqueName="142" name="BRODR_IMPT" queryTableFieldId="40" dataDxfId="234"/>
    <tableColumn id="145" uniqueName="145" name="Title" queryTableFieldId="44">
      <calculatedColumnFormula>IFERROR(SEARCH(SearchText,ProjTable28[[#This Row],[prop_titl_txt]])&gt;0,"")</calculatedColumnFormula>
    </tableColumn>
    <tableColumn id="146" uniqueName="146" name="ProjSumm" queryTableFieldId="43">
      <calculatedColumnFormula>IFERROR(SEARCH(SearchText,CONCATENATE(ProjTable28[[#This Row],[PROJ_SUMM_TXT]],ProjTable28[[#This Row],[INTUL_MERT]],ProjTable28[[#This Row],[BRODR_IMPT]]))&gt;0,"")</calculatedColumnFormula>
    </tableColumn>
    <tableColumn id="1" uniqueName="1" name="Column1" queryTableFieldId="50"/>
    <tableColumn id="147" uniqueName="147" name="FOUND" queryTableFieldId="42" dataDxfId="233">
      <calculatedColumnFormula>IF((ProjTable28[[#This Row],[Title]])="",IF(ProjTable28[[#This Row],[ProjSumm]]="","N","Y"),"Y")</calculatedColumnFormula>
    </tableColumn>
    <tableColumn id="148" uniqueName="148" name="KEY WORDS" totalsRowFunction="count" queryTableFieldId="41" dataDxfId="232">
      <calculatedColumnFormula>IFERROR(RIGHT(ProjTable28[[#This Row],[PROJ_SUMM_TXT]], LEN(ProjTable28[[#This Row],[PROJ_SUMM_TXT]])-SEARCH("keyword",ProjTable28[[#This Row],[PROJ_SUMM_TXT]])-7),IFERROR(RIGHT(ProjTable28[[#This Row],[PROJ_SUMM_TXT]], LEN(ProjTable28[[#This Row],[PROJ_SUMM_TXT]])-SEARCH("key word",ProjTable28[[#This Row],[PROJ_SUMM_TXT]])-8),IFERROR(RIGHT(ProjTable28[[#This Row],[BRODR_IMPT]], LEN(ProjTable28[[#This Row],[BRODR_IMPT]])-SEARCH("keyword",ProjTable28[[#This Row],[BRODR_IMPT]])-7),IFERROR(RIGHT(ProjTable28[[#This Row],[BRODR_IMPT]], LEN(ProjTable28[[#This Row],[BRODR_IMPT]])-SEARCH("key word",ProjTable28[[#This Row],[BRODR_IMPT]])-8),""))))</calculatedColumnFormula>
    </tableColumn>
  </tableColumns>
  <tableStyleInfo name="TableFall" showFirstColumn="0" showLastColumn="0" showRowStripes="1" showColumnStripes="0"/>
</table>
</file>

<file path=xl/tables/table11.xml><?xml version="1.0" encoding="utf-8"?>
<table xmlns="http://schemas.openxmlformats.org/spreadsheetml/2006/main" id="1" name="tabOrphan" displayName="tabOrphan" ref="B6:W8" tableType="queryTable" insertRow="1" totalsRowCount="1">
  <autoFilter ref="B6:W7"/>
  <tableColumns count="22">
    <tableColumn id="59" uniqueName="59" name="nsf_rcvd_date" totalsRowLabel="Total" queryTableFieldId="1" dataDxfId="230"/>
    <tableColumn id="60" uniqueName="60" name="Dir" queryTableFieldId="2" dataDxfId="229"/>
    <tableColumn id="1" uniqueName="1" name="org_code" queryTableFieldId="24"/>
    <tableColumn id="61" uniqueName="61" name="Pgm" queryTableFieldId="3"/>
    <tableColumn id="62" uniqueName="62" name="PO" queryTableFieldId="4"/>
    <tableColumn id="63" uniqueName="63" name="sent_adhoc" queryTableFieldId="5"/>
    <tableColumn id="64" uniqueName="64" name="out_adhoc" queryTableFieldId="6"/>
    <tableColumn id="65" uniqueName="65" name="last_due" queryTableFieldId="7" dataDxfId="228"/>
    <tableColumn id="2" uniqueName="2" name="obj_clas_code" queryTableFieldId="21"/>
    <tableColumn id="67" uniqueName="67" name="natr_rqst_abbr" queryTableFieldId="9"/>
    <tableColumn id="66" uniqueName="66" name="prop_stts_abbr" queryTableFieldId="8" dataDxfId="227"/>
    <tableColumn id="77" uniqueName="77" name="0" queryTableFieldId="19">
      <calculatedColumnFormula>M6+(tabOrphan[[#This Row],[ILN]]&lt;"M")</calculatedColumnFormula>
    </tableColumn>
    <tableColumn id="68" uniqueName="68" name="ILN" queryTableFieldId="10" dataDxfId="226" totalsRowDxfId="225"/>
    <tableColumn id="69" uniqueName="69" name="lead" queryTableFieldId="11"/>
    <tableColumn id="70" uniqueName="70" name="Div" queryTableFieldId="12"/>
    <tableColumn id="71" uniqueName="71" name="prop_id" totalsRowFunction="count" queryTableFieldId="13"/>
    <tableColumn id="78" uniqueName="78" name="ej" queryTableFieldId="20" dataDxfId="224" totalsRowDxfId="223" dataCellStyle="Hyperlink">
      <calculatedColumnFormula>HYPERLINK(CONCATENATE("https://www.ejacket.nsf.gov/ej/showProposal.do?ID=",SUBSTITUTE(tabOrphan[[#This Row],[prop_id]],CHAR(160),"")),"eJ")</calculatedColumnFormula>
    </tableColumn>
    <tableColumn id="72" uniqueName="72" name="pi_last_name" queryTableFieldId="14"/>
    <tableColumn id="73" uniqueName="73" name="pi_frst_name" queryTableFieldId="15"/>
    <tableColumn id="74" uniqueName="74" name="inst_name" queryTableFieldId="16"/>
    <tableColumn id="75" uniqueName="75" name="prop_titl_txt" queryTableFieldId="17"/>
    <tableColumn id="76" uniqueName="76" name="prop_stts_txt" queryTableFieldId="18"/>
  </tableColumns>
  <tableStyleInfo name="TableFall" showFirstColumn="0" showLastColumn="0" showRowStripes="0" showColumnStripes="0"/>
</table>
</file>

<file path=xl/tables/table12.xml><?xml version="1.0" encoding="utf-8"?>
<table xmlns="http://schemas.openxmlformats.org/spreadsheetml/2006/main" id="5" name="PendNewInstTable" displayName="PendNewInstTable" ref="B6:X8" tableType="queryTable" insertRow="1" totalsRowCount="1">
  <autoFilter ref="B6:X7"/>
  <tableColumns count="23">
    <tableColumn id="1" uniqueName="1" name="nsf_rcvd_date" totalsRowLabel="Total" queryTableFieldId="1" dataDxfId="222"/>
    <tableColumn id="2" uniqueName="2" name="Dir" queryTableFieldId="2"/>
    <tableColumn id="3" uniqueName="3" name="org_code" queryTableFieldId="3" dataDxfId="221"/>
    <tableColumn id="4" uniqueName="4" name="Pgm" queryTableFieldId="4"/>
    <tableColumn id="5" uniqueName="5" name="PO" queryTableFieldId="5"/>
    <tableColumn id="6" uniqueName="6" name="inst_id" totalsRowFunction="count" queryTableFieldId="6"/>
    <tableColumn id="7" uniqueName="7" name="inst_name" queryTableFieldId="7"/>
    <tableColumn id="8" uniqueName="8" name="st_code" queryTableFieldId="8"/>
    <tableColumn id="9" uniqueName="9" name="ctry_code" queryTableFieldId="9"/>
    <tableColumn id="10" uniqueName="10" name="awd_perf_inst_code" queryTableFieldId="10"/>
    <tableColumn id="11" uniqueName="11" name="duns_id" queryTableFieldId="11"/>
    <tableColumn id="12" uniqueName="12" name="perf_org_code" queryTableFieldId="12"/>
    <tableColumn id="13" uniqueName="13" name="perf_org_type" queryTableFieldId="13"/>
    <tableColumn id="14" uniqueName="14" name="prop_stts_abbr" queryTableFieldId="14"/>
    <tableColumn id="15" uniqueName="15" name="natr_rqst_abbr" queryTableFieldId="15"/>
    <tableColumn id="16" uniqueName="16" name="Div" queryTableFieldId="16" dataDxfId="220" totalsRowDxfId="219"/>
    <tableColumn id="17" uniqueName="17" name="prop_id" queryTableFieldId="17"/>
    <tableColumn id="24" uniqueName="24" name="eJ" queryTableFieldId="24" dataDxfId="218" totalsRowDxfId="217" dataCellStyle="Hyperlink">
      <calculatedColumnFormula>HYPERLINK(CONCATENATE("https://www.ejacket.nsf.gov/ej/showProposal.do?ID=",SUBSTITUTE(PendNewInstTable[[#This Row],[prop_id]],CHAR(160),"")),"eJ")</calculatedColumnFormula>
    </tableColumn>
    <tableColumn id="18" uniqueName="18" name="pi_last_name" queryTableFieldId="18"/>
    <tableColumn id="19" uniqueName="19" name="pi_frst_name" queryTableFieldId="19"/>
    <tableColumn id="20" uniqueName="20" name="inst_shrt_name" queryTableFieldId="20"/>
    <tableColumn id="21" uniqueName="21" name="prop_stts_txt" queryTableFieldId="21"/>
    <tableColumn id="22" uniqueName="22" name="prop_titl_txt" queryTableFieldId="22"/>
  </tableColumns>
  <tableStyleInfo name="TableFall" showFirstColumn="0" showLastColumn="0" showRowStripes="1" showColumnStripes="0"/>
</table>
</file>

<file path=xl/tables/table13.xml><?xml version="1.0" encoding="utf-8"?>
<table xmlns="http://schemas.openxmlformats.org/spreadsheetml/2006/main" id="12" name="tabSubAwds" displayName="tabSubAwds" ref="B6:X8" tableType="queryTable" insertRow="1" totalsRowCount="1" headerRowDxfId="215" dataDxfId="214" tableBorderDxfId="213">
  <autoFilter ref="B6:X7"/>
  <tableColumns count="23">
    <tableColumn id="23" uniqueName="23" name="nsf_rcvd_date" totalsRowLabel="Total" queryTableFieldId="1" dataDxfId="212" totalsRowDxfId="211"/>
    <tableColumn id="24" uniqueName="24" name="dd_rcom_date" queryTableFieldId="2" dataDxfId="210" totalsRowDxfId="209"/>
    <tableColumn id="25" uniqueName="25" name="Dir" queryTableFieldId="3" dataDxfId="208" totalsRowDxfId="207"/>
    <tableColumn id="26" uniqueName="26" name="org_code" queryTableFieldId="4" dataDxfId="206" totalsRowDxfId="205"/>
    <tableColumn id="27" uniqueName="27" name="Pgm" queryTableFieldId="5" dataDxfId="204" totalsRowDxfId="203"/>
    <tableColumn id="28" uniqueName="28" name="PO" queryTableFieldId="6" dataDxfId="202" totalsRowDxfId="201"/>
    <tableColumn id="29" uniqueName="29" name="natr_rqst" queryTableFieldId="7" dataDxfId="200" totalsRowDxfId="199"/>
    <tableColumn id="30" uniqueName="30" name="prop_stts" queryTableFieldId="8" dataDxfId="198" totalsRowDxfId="197"/>
    <tableColumn id="47" uniqueName="47" name="0" queryTableFieldId="24" dataDxfId="196" totalsRowDxfId="195">
      <calculatedColumnFormula>J6+(tabSubAwds[[#This Row],[ILN]]&lt;"M" )</calculatedColumnFormula>
    </tableColumn>
    <tableColumn id="31" uniqueName="31" name="ILN" queryTableFieldId="9" dataDxfId="194" totalsRowDxfId="193"/>
    <tableColumn id="32" uniqueName="32" name="lead" totalsRowFunction="count" queryTableFieldId="10" dataDxfId="192" totalsRowDxfId="191"/>
    <tableColumn id="33" uniqueName="33" name="Div" queryTableFieldId="11" dataDxfId="190" totalsRowDxfId="189"/>
    <tableColumn id="34" uniqueName="34" name="prop_id" queryTableFieldId="12" dataDxfId="188" totalsRowDxfId="187"/>
    <tableColumn id="46" uniqueName="46" name="eJ" queryTableFieldId="23" dataDxfId="186" totalsRowDxfId="185" dataCellStyle="Hyperlink">
      <calculatedColumnFormula>HYPERLINK(CONCATENATE("https://www.ejacket.nsf.gov/ej/showProposal.do?ID=",SUBSTITUTE(tabSubAwds[[#This Row],[prop_id]],CHAR(160),"")),"eJ")</calculatedColumnFormula>
    </tableColumn>
    <tableColumn id="35" uniqueName="35" name="pi_last_name" queryTableFieldId="13" dataDxfId="184" totalsRowDxfId="183"/>
    <tableColumn id="36" uniqueName="36" name="inst_name" queryTableFieldId="14" dataDxfId="182" totalsRowDxfId="181"/>
    <tableColumn id="37" uniqueName="37" name="perf_inst" queryTableFieldId="15" dataDxfId="180" totalsRowDxfId="179"/>
    <tableColumn id="38" uniqueName="38" name="revn_num" queryTableFieldId="16" dataDxfId="178" totalsRowDxfId="177"/>
    <tableColumn id="39" uniqueName="39" name="budg_total" queryTableFieldId="17" dataDxfId="176" totalsRowDxfId="175" dataCellStyle="Currency"/>
    <tableColumn id="40" uniqueName="40" name="budg_diff" queryTableFieldId="18" dataDxfId="174" totalsRowDxfId="173"/>
    <tableColumn id="41" uniqueName="41" name="subAwd" queryTableFieldId="19" dataDxfId="172" totalsRowDxfId="171" dataCellStyle="Currency"/>
    <tableColumn id="42" uniqueName="42" name="subAwd_diff" queryTableFieldId="20" dataDxfId="170" totalsRowDxfId="169"/>
    <tableColumn id="43" uniqueName="43" name="prop_titl_txt" queryTableFieldId="21" dataDxfId="168" totalsRowDxfId="167"/>
  </tableColumns>
  <tableStyleInfo name="TableFall" showFirstColumn="0" showLastColumn="0" showRowStripes="0" showColumnStripes="0"/>
</table>
</file>

<file path=xl/tables/table14.xml><?xml version="1.0" encoding="utf-8"?>
<table xmlns="http://schemas.openxmlformats.org/spreadsheetml/2006/main" id="4" name="tabTransfers" displayName="tabTransfers" ref="B6:X8" tableType="queryTable" insertRow="1" totalsRowCount="1" tableBorderDxfId="164">
  <autoFilter ref="B6:X7"/>
  <tableColumns count="23">
    <tableColumn id="24" uniqueName="24" name="0" totalsRowLabel="Total" queryTableFieldId="23">
      <calculatedColumnFormula>B6+(I6&lt;&gt;I7)</calculatedColumnFormula>
    </tableColumn>
    <tableColumn id="25" uniqueName="25" name="Pgm" queryTableFieldId="1"/>
    <tableColumn id="26" uniqueName="26" name="natr_rqst_abbr" queryTableFieldId="2"/>
    <tableColumn id="27" uniqueName="27" name="prop_stts_abbr" queryTableFieldId="3"/>
    <tableColumn id="28" uniqueName="28" name="ILN" queryTableFieldId="4" dataDxfId="163" totalsRowDxfId="162"/>
    <tableColumn id="29" uniqueName="29" name="lead" totalsRowFunction="count" queryTableFieldId="5"/>
    <tableColumn id="30" uniqueName="30" name="Div" queryTableFieldId="6" dataDxfId="161"/>
    <tableColumn id="31" uniqueName="31" name="prop_id" queryTableFieldId="7" dataDxfId="160"/>
    <tableColumn id="50" uniqueName="50" name="eJ" queryTableFieldId="26" dataDxfId="159" totalsRowDxfId="158" dataCellStyle="Hyperlink">
      <calculatedColumnFormula>IF(I7=I6,"",HYPERLINK(CONCATENATE("https://www.ejacket.nsf.gov/ej/showProposal.do?ID=",SUBSTITUTE(tabTransfers[[#This Row],[prop_id]],CHAR(160),"")),"eJ"))</calculatedColumnFormula>
    </tableColumn>
    <tableColumn id="32" uniqueName="32" name="awd_id" queryTableFieldId="8" dataDxfId="157"/>
    <tableColumn id="36" uniqueName="36" name="xfer_type" queryTableFieldId="12" dataDxfId="156"/>
    <tableColumn id="33" uniqueName="33" name="last_prop_id" queryTableFieldId="9" dataDxfId="155"/>
    <tableColumn id="49" uniqueName="49" name="eJ2" queryTableFieldId="25" dataDxfId="154" dataCellStyle="Hyperlink">
      <calculatedColumnFormula>IF(M7=M6,"",HYPERLINK(CONCATENATE("https://www.ejacket.nsf.gov/ej/showProposal.do?ID=",SUBSTITUTE(tabTransfers[[#This Row],[last_prop_id]],CHAR(160),"")),"eJ"))</calculatedColumnFormula>
    </tableColumn>
    <tableColumn id="34" uniqueName="34" name="pi_last_name" queryTableFieldId="10"/>
    <tableColumn id="35" uniqueName="35" name="inst_shrt_name" queryTableFieldId="11" dataDxfId="153" totalsRowDxfId="152"/>
    <tableColumn id="37" uniqueName="37" name="fromORG" queryTableFieldId="13"/>
    <tableColumn id="38" uniqueName="38" name="fromPEC" queryTableFieldId="14"/>
    <tableColumn id="39" uniqueName="39" name="fromPA_PO" queryTableFieldId="15"/>
    <tableColumn id="40" uniqueName="40" name="toORG" queryTableFieldId="16"/>
    <tableColumn id="41" uniqueName="41" name="toPEC" queryTableFieldId="17"/>
    <tableColumn id="42" uniqueName="42" name="toPA_PO" queryTableFieldId="18" dataDxfId="151" totalsRowDxfId="150"/>
    <tableColumn id="43" uniqueName="43" name="crtd_date" queryTableFieldId="19" dataDxfId="149"/>
    <tableColumn id="44" uniqueName="44" name="note" queryTableFieldId="20"/>
  </tableColumns>
  <tableStyleInfo name="TableFall" showFirstColumn="0" showLastColumn="0" showRowStripes="0" showColumnStripes="0"/>
</table>
</file>

<file path=xl/tables/table15.xml><?xml version="1.0" encoding="utf-8"?>
<table xmlns="http://schemas.openxmlformats.org/spreadsheetml/2006/main" id="8" name="tabSuggReviewers" displayName="tabSuggReviewers" ref="B6:T8" tableType="queryTable" insertRow="1" totalsRowCount="1" headerRowDxfId="148" dataDxfId="147" tableBorderDxfId="146">
  <autoFilter ref="B6:T7"/>
  <tableColumns count="19">
    <tableColumn id="1" uniqueName="1" name="nsf_rcvd_date" totalsRowLabel="Total" queryTableFieldId="1" dataDxfId="145" totalsRowDxfId="144"/>
    <tableColumn id="2" uniqueName="2" name="Dir" queryTableFieldId="2" dataDxfId="143" totalsRowDxfId="142"/>
    <tableColumn id="3" uniqueName="3" name="org_code" queryTableFieldId="3" dataDxfId="141" totalsRowDxfId="140"/>
    <tableColumn id="4" uniqueName="4" name="Pgm" queryTableFieldId="4" dataDxfId="139" totalsRowDxfId="138"/>
    <tableColumn id="5" uniqueName="5" name="PO" queryTableFieldId="5" dataDxfId="137" totalsRowDxfId="136"/>
    <tableColumn id="6" uniqueName="6" name="natr_rqst" queryTableFieldId="6" dataDxfId="135" totalsRowDxfId="134"/>
    <tableColumn id="7" uniqueName="7" name="prop_stts" queryTableFieldId="7" dataDxfId="133" totalsRowDxfId="132"/>
    <tableColumn id="8" uniqueName="8" name="ILN" queryTableFieldId="8" dataDxfId="131" totalsRowDxfId="130"/>
    <tableColumn id="9" uniqueName="9" name="lead" totalsRowFunction="count" queryTableFieldId="9" dataDxfId="129" totalsRowDxfId="128"/>
    <tableColumn id="10" uniqueName="10" name="Div" queryTableFieldId="10" dataDxfId="127" totalsRowDxfId="126"/>
    <tableColumn id="11" uniqueName="11" name="prop_id" queryTableFieldId="11" dataDxfId="125" totalsRowDxfId="124"/>
    <tableColumn id="19" uniqueName="19" name="eJ" queryTableFieldId="19" dataDxfId="123" totalsRowDxfId="122" dataCellStyle="Hyperlink">
      <calculatedColumnFormula>HYPERLINK(CONCATENATE("https://www.ejacket.nsf.gov/ej/showProposal.do?ID=",SUBSTITUTE(tabSuggReviewers[[#This Row],[prop_id]],CHAR(160),"")),"eJ")</calculatedColumnFormula>
    </tableColumn>
    <tableColumn id="12" uniqueName="12" name="pi_last_name" queryTableFieldId="12" dataDxfId="121" totalsRowDxfId="120"/>
    <tableColumn id="13" uniqueName="13" name="pi_frst_name" queryTableFieldId="13" dataDxfId="119" totalsRowDxfId="118"/>
    <tableColumn id="14" uniqueName="14" name="inst_name" queryTableFieldId="14" dataDxfId="117" totalsRowDxfId="116"/>
    <tableColumn id="20" uniqueName="20" name="len_tot" queryTableFieldId="20" dataDxfId="115" totalsRowDxfId="114"/>
    <tableColumn id="15" uniqueName="15" name="Suggested_Reviewers" queryTableFieldId="15" dataDxfId="113" totalsRowDxfId="112"/>
    <tableColumn id="16" uniqueName="16" name="Unwanted_Reviewers" queryTableFieldId="16" dataDxfId="111" totalsRowDxfId="110"/>
    <tableColumn id="17" uniqueName="17" name="prop_titl_txt" queryTableFieldId="17" dataDxfId="109" totalsRowDxfId="108"/>
  </tableColumns>
  <tableStyleInfo name="TableFall" showFirstColumn="0" showLastColumn="0" showRowStripes="1" showColumnStripes="0"/>
</table>
</file>

<file path=xl/tables/table16.xml><?xml version="1.0" encoding="utf-8"?>
<table xmlns="http://schemas.openxmlformats.org/spreadsheetml/2006/main" id="17" name="ReviewerTable" displayName="ReviewerTable" ref="B6:W8" tableType="queryTable" insertRow="1" totalsRowCount="1">
  <autoFilter ref="B6:W7"/>
  <tableColumns count="22">
    <tableColumn id="1" uniqueName="1" name="revr_id" totalsRowLabel="Total" queryTableFieldId="1"/>
    <tableColumn id="14" uniqueName="14" name="nProps" queryTableFieldId="12" dataDxfId="106"/>
    <tableColumn id="15" uniqueName="15" name="latest" queryTableFieldId="13" dataDxfId="105"/>
    <tableColumn id="2" uniqueName="2" name="revr_last_name" totalsRowFunction="count" queryTableFieldId="2"/>
    <tableColumn id="3" uniqueName="3" name="revr_frst_name" queryTableFieldId="3"/>
    <tableColumn id="23" uniqueName="23" name="revr_email" queryTableFieldId="29"/>
    <tableColumn id="13" uniqueName="13" name="inst_id" queryTableFieldId="15" dataDxfId="104"/>
    <tableColumn id="4" uniqueName="4" name="inst_shrt_name" queryTableFieldId="4"/>
    <tableColumn id="5" uniqueName="5" name="gend_code" queryTableFieldId="5"/>
    <tableColumn id="7" uniqueName="7" name="st_code" queryTableFieldId="8"/>
    <tableColumn id="8" uniqueName="8" name="revr_dept_name" queryTableFieldId="9"/>
    <tableColumn id="6" uniqueName="6" name="pi_id" queryTableFieldId="6"/>
    <tableColumn id="10" uniqueName="10" name="pi_emai_addr" queryTableFieldId="11"/>
    <tableColumn id="11" uniqueName="11" name="field" queryTableFieldId="20"/>
    <tableColumn id="12" uniqueName="12" name="min_score" totalsRowFunction="average" queryTableFieldId="21" totalsRowDxfId="103"/>
    <tableColumn id="16" uniqueName="16" name="avg_score" totalsRowFunction="average" queryTableFieldId="22" dataDxfId="102" totalsRowDxfId="101"/>
    <tableColumn id="17" uniqueName="17" name="max_score" totalsRowFunction="average" queryTableFieldId="23" totalsRowDxfId="100"/>
    <tableColumn id="18" uniqueName="18" name="std_score" totalsRowFunction="average" queryTableFieldId="24" dataDxfId="99" totalsRowDxfId="98"/>
    <tableColumn id="19" uniqueName="19" name="avg_len" totalsRowFunction="average" queryTableFieldId="25" dataDxfId="97" totalsRowDxfId="96"/>
    <tableColumn id="20" uniqueName="20" name="std_len" totalsRowFunction="average" queryTableFieldId="26" dataDxfId="95" totalsRowDxfId="94"/>
    <tableColumn id="21" uniqueName="21" name="avg_days_early" totalsRowFunction="average" queryTableFieldId="27" dataDxfId="93" totalsRowDxfId="92"/>
    <tableColumn id="22" uniqueName="22" name="std_days_early" totalsRowFunction="average" queryTableFieldId="28" dataDxfId="91" totalsRowDxfId="90"/>
  </tableColumns>
  <tableStyleInfo name="TableFall" showFirstColumn="0" showLastColumn="0" showRowStripes="1" showColumnStripes="0"/>
</table>
</file>

<file path=xl/tables/table17.xml><?xml version="1.0" encoding="utf-8"?>
<table xmlns="http://schemas.openxmlformats.org/spreadsheetml/2006/main" id="14" name="PanelistTable" displayName="PanelistTable" ref="D6:AK8" tableType="queryTable" insertRow="1" totalsRowCount="1">
  <autoFilter ref="D6:AK7"/>
  <tableColumns count="34">
    <tableColumn id="12" uniqueName="12" name="revr_id" queryTableFieldId="54" dataDxfId="88" totalsRowDxfId="87"/>
    <tableColumn id="14" uniqueName="14" name="nPanls" totalsRowFunction="average" queryTableFieldId="57" dataDxfId="86" totalsRowDxfId="85"/>
    <tableColumn id="2" uniqueName="2" name="revr_last_name" totalsRowFunction="count" queryTableFieldId="2"/>
    <tableColumn id="3" uniqueName="3" name="revr_frst_name" queryTableFieldId="3"/>
    <tableColumn id="4" uniqueName="4" name="gend_code" queryTableFieldId="4"/>
    <tableColumn id="6" uniqueName="6" name="revr_dept_name" queryTableFieldId="6"/>
    <tableColumn id="5" uniqueName="5" name="inst_shrt_name" queryTableFieldId="11"/>
    <tableColumn id="21" uniqueName="21" name="revr_email" queryTableFieldId="28" dataDxfId="84" totalsRowDxfId="83"/>
    <tableColumn id="9" uniqueName="9" name="pi_id" queryTableFieldId="13"/>
    <tableColumn id="10" uniqueName="10" name="pi_emai_addr" queryTableFieldId="14"/>
    <tableColumn id="7" uniqueName="7" name="inst_id" queryTableFieldId="25" dataDxfId="82" totalsRowDxfId="81"/>
    <tableColumn id="11" uniqueName="11" name="st_code" queryTableFieldId="26" dataDxfId="80" totalsRowDxfId="79"/>
    <tableColumn id="20" uniqueName="20" name="field" queryTableFieldId="27" dataDxfId="78" totalsRowDxfId="77"/>
    <tableColumn id="8" uniqueName="8" name="nProps" queryTableFieldId="53" dataDxfId="76" totalsRowDxfId="75"/>
    <tableColumn id="42" uniqueName="42" name="latest" totalsRowFunction="max" queryTableFieldId="16" dataDxfId="74" totalsRowDxfId="73"/>
    <tableColumn id="23" uniqueName="23" name="min_score" totalsRowFunction="average" queryTableFieldId="30" dataDxfId="72" totalsRowDxfId="71"/>
    <tableColumn id="24" uniqueName="24" name="avg_score" totalsRowFunction="average" queryTableFieldId="31" dataDxfId="70" totalsRowDxfId="69"/>
    <tableColumn id="25" uniqueName="25" name="max_score" totalsRowFunction="average" queryTableFieldId="32" dataDxfId="68" totalsRowDxfId="67"/>
    <tableColumn id="26" uniqueName="26" name="std_score" totalsRowFunction="average" queryTableFieldId="33" dataDxfId="66" totalsRowDxfId="65"/>
    <tableColumn id="27" uniqueName="27" name="avg_len" totalsRowFunction="average" queryTableFieldId="34" dataDxfId="64" totalsRowDxfId="63"/>
    <tableColumn id="28" uniqueName="28" name="std_len" totalsRowFunction="average" queryTableFieldId="35" dataDxfId="62" totalsRowDxfId="61"/>
    <tableColumn id="29" uniqueName="29" name="avg_days_early" totalsRowFunction="average" queryTableFieldId="36" dataDxfId="60" totalsRowDxfId="59"/>
    <tableColumn id="30" uniqueName="30" name="std_days_early" totalsRowFunction="average" queryTableFieldId="37" dataDxfId="58" totalsRowDxfId="57"/>
    <tableColumn id="32" uniqueName="32" name="nProps_all" totalsRowFunction="average" queryTableFieldId="39" dataDxfId="56" totalsRowDxfId="55"/>
    <tableColumn id="33" uniqueName="33" name="latest_all" totalsRowFunction="max" queryTableFieldId="40" dataDxfId="54" totalsRowDxfId="53"/>
    <tableColumn id="34" uniqueName="34" name="min_score_all" totalsRowFunction="average" queryTableFieldId="41" dataDxfId="52" totalsRowDxfId="51"/>
    <tableColumn id="35" uniqueName="35" name="avg_score_all" totalsRowFunction="average" queryTableFieldId="42" dataDxfId="50" totalsRowDxfId="49"/>
    <tableColumn id="36" uniqueName="36" name="max_score_all" totalsRowFunction="average" queryTableFieldId="43" dataDxfId="48" totalsRowDxfId="47"/>
    <tableColumn id="37" uniqueName="37" name="std_score_all" totalsRowFunction="average" queryTableFieldId="44" dataDxfId="46" totalsRowDxfId="45"/>
    <tableColumn id="38" uniqueName="38" name="avg_len_all" totalsRowFunction="average" queryTableFieldId="45" dataDxfId="44" totalsRowDxfId="43"/>
    <tableColumn id="39" uniqueName="39" name="std_len_all" totalsRowFunction="average" queryTableFieldId="46" dataDxfId="42" totalsRowDxfId="41"/>
    <tableColumn id="40" uniqueName="40" name="avg_days_early_all" totalsRowFunction="average" queryTableFieldId="47" dataDxfId="40" totalsRowDxfId="39"/>
    <tableColumn id="41" uniqueName="41" name="std_days_early_all" totalsRowFunction="average" queryTableFieldId="48" dataDxfId="38" totalsRowDxfId="37"/>
    <tableColumn id="43" uniqueName="43" name="revr_name" queryTableFieldId="51" dataDxfId="36">
      <calculatedColumnFormula>PanelistTable[[#This Row],[revr_last_name]] &amp; ", " &amp; PanelistTable[[#This Row],[revr_frst_name]]</calculatedColumnFormula>
    </tableColumn>
  </tableColumns>
  <tableStyleInfo name="TableFall" showFirstColumn="0" showLastColumn="0" showRowStripes="1" showColumnStripes="0"/>
</table>
</file>

<file path=xl/tables/table18.xml><?xml version="1.0" encoding="utf-8"?>
<table xmlns="http://schemas.openxmlformats.org/spreadsheetml/2006/main" id="15" name="panlIDTable" displayName="panlIDTable" ref="A6:A9" totalsRowShown="0" headerRowDxfId="35" dataDxfId="33" headerRowBorderDxfId="34" tableBorderDxfId="32" totalsRowBorderDxfId="31">
  <autoFilter ref="A6:A9"/>
  <tableColumns count="1">
    <tableColumn id="1" name="panl_id" dataDxfId="30"/>
  </tableColumns>
  <tableStyleInfo name="AddTableStyle" showFirstColumn="0" showLastColumn="0" showRowStripes="1" showColumnStripes="0"/>
</table>
</file>

<file path=xl/tables/table19.xml><?xml version="1.0" encoding="utf-8"?>
<table xmlns="http://schemas.openxmlformats.org/spreadsheetml/2006/main" id="23" name="COIPropTable" displayName="COIPropTable" ref="B7:F9" tableType="queryTable" insertRow="1" totalsRowCount="1" headerRowDxfId="29" dataDxfId="28" tableBorderDxfId="27">
  <autoFilter ref="B7:F8"/>
  <tableColumns count="5">
    <tableColumn id="1" uniqueName="1" name="Div" totalsRowLabel="Total" queryTableFieldId="1" dataDxfId="26" totalsRowDxfId="25"/>
    <tableColumn id="2" uniqueName="2" name="prop_id" queryTableFieldId="2" dataDxfId="24" totalsRowDxfId="23"/>
    <tableColumn id="3" uniqueName="3" name="ILN" queryTableFieldId="3" dataDxfId="22" totalsRowDxfId="21"/>
    <tableColumn id="4" uniqueName="4" name="pi_last_name" queryTableFieldId="4" dataDxfId="20" totalsRowDxfId="19"/>
    <tableColumn id="5" uniqueName="5" name="inst_name" totalsRowFunction="count" queryTableFieldId="5" dataDxfId="18" totalsRowDxfId="17"/>
  </tableColumns>
  <tableStyleInfo name="TableFall" showFirstColumn="0" showLastColumn="0" showRowStripes="1" showColumnStripes="0"/>
</table>
</file>

<file path=xl/tables/table20.xml><?xml version="1.0" encoding="utf-8"?>
<table xmlns="http://schemas.openxmlformats.org/spreadsheetml/2006/main" id="30" name="COIRevrTable" displayName="COIRevrTable" ref="I7:L8" tableType="queryTable" totalsRowShown="0">
  <autoFilter ref="I7:L8"/>
  <tableColumns count="4">
    <tableColumn id="2" uniqueName="2" name="revr_last_name" queryTableFieldId="2"/>
    <tableColumn id="3" uniqueName="3" name="revr_frst_name" queryTableFieldId="3"/>
    <tableColumn id="5" uniqueName="5" name="whole name" queryTableFieldId="5">
      <calculatedColumnFormula>COIRevrTable[revr_frst_name] &amp; " " &amp;COIRevrTable[revr_last_name]</calculatedColumnFormula>
    </tableColumn>
    <tableColumn id="4" uniqueName="4" name="email" queryTableFieldId="4"/>
  </tableColumns>
  <tableStyleInfo name="AddTableStyle" showFirstColumn="0" showLastColumn="0" showRowStripes="1" showColumnStripes="0"/>
</table>
</file>

<file path=xl/tables/table21.xml><?xml version="1.0" encoding="utf-8"?>
<table xmlns="http://schemas.openxmlformats.org/spreadsheetml/2006/main" id="22" name="HelpTable" displayName="HelpTable" ref="A18:D38" totalsRowShown="0" headerRowDxfId="16" dataDxfId="15">
  <sortState ref="A19:D38">
    <sortCondition ref="A18"/>
  </sortState>
  <tableColumns count="4">
    <tableColumn id="4" name="Order" dataDxfId="14"/>
    <tableColumn id="1" name="Tab" dataDxfId="13" dataCellStyle="Hyperlink"/>
    <tableColumn id="2" name="Title" dataDxfId="12"/>
    <tableColumn id="3" name="HelpText" dataDxfId="11"/>
  </tableColumns>
  <tableStyleInfo name="TableFall 2" showFirstColumn="0" showLastColumn="0" showRowStripes="1" showColumnStripes="0"/>
</table>
</file>

<file path=xl/tables/table22.xml><?xml version="1.0" encoding="utf-8"?>
<table xmlns="http://schemas.openxmlformats.org/spreadsheetml/2006/main" id="29" name="HelpPopup" displayName="HelpPopup" ref="B62:D92" totalsRowShown="0" headerRowDxfId="10" dataDxfId="9">
  <autoFilter ref="B62:D92"/>
  <tableColumns count="3">
    <tableColumn id="3" name="Cell" dataDxfId="8"/>
    <tableColumn id="1" name="Contents" dataDxfId="7"/>
    <tableColumn id="2" name="Pop-up" dataDxfId="6"/>
  </tableColumns>
  <tableStyleInfo name="AddTableStyle" showFirstColumn="0" showLastColumn="0" showRowStripes="1" showColumnStripes="0"/>
</table>
</file>

<file path=xl/tables/table23.xml><?xml version="1.0" encoding="utf-8"?>
<table xmlns="http://schemas.openxmlformats.org/spreadsheetml/2006/main" id="24" name="FavoritesMenu" displayName="FavoritesMenu" ref="G10:G23" totalsRowShown="0" headerRowDxfId="5" dataDxfId="4">
  <autoFilter ref="G10:G23"/>
  <tableColumns count="1">
    <tableColumn id="1" name="Menu" dataDxfId="3"/>
  </tableColumns>
  <tableStyleInfo name="SheetTableStyle" showFirstColumn="0" showLastColumn="0" showRowStripes="1" showColumnStripes="0"/>
</table>
</file>

<file path=xl/tables/table24.xml><?xml version="1.0" encoding="utf-8"?>
<table xmlns="http://schemas.openxmlformats.org/spreadsheetml/2006/main" id="6" name="EpscorTable" displayName="EpscorTable" ref="B11:B39" totalsRowShown="0" headerRowDxfId="2" dataDxfId="1">
  <autoFilter ref="B11:B39"/>
  <tableColumns count="1">
    <tableColumn id="1" name="Epscor" dataDxfId="0"/>
  </tableColumns>
  <tableStyleInfo name="TableFall" showFirstColumn="0" showLastColumn="0" showRowStripes="1" showColumnStripes="0"/>
</table>
</file>

<file path=xl/theme/theme1.xml><?xml version="1.0" encoding="utf-8"?>
<a:theme xmlns:a="http://schemas.openxmlformats.org/drawingml/2006/main" name="PD-3PO organic">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timelineCaches/timelineCache1.xml><?xml version="1.0" encoding="utf-8"?>
<timelineCacheDefinition xmlns="http://schemas.microsoft.com/office/spreadsheetml/2010/11/main" xmlns:x15="http://schemas.microsoft.com/office/spreadsheetml/2010/11/main" name="NativeTimeline_nsf_rcvd_date1" sourceName="nsf_rcvd_date">
  <pivotTables>
    <pivotTable tabId="53" name="PivotTable1"/>
    <pivotTable tabId="53" name="PivotTable2"/>
    <pivotTable tabId="53" name="PivotTable9"/>
  </pivotTables>
  <state minimalRefreshVersion="6" lastRefreshVersion="6" pivotCacheId="3" filterType="unknown">
    <bounds startDate="2015-01-01T12:10:00" endDate="2016-01-01T12:10:00"/>
  </state>
</timelineCacheDefinition>
</file>

<file path=xl/timelineCaches/timelineCache2.xml><?xml version="1.0" encoding="utf-8"?>
<timelineCacheDefinition xmlns="http://schemas.microsoft.com/office/spreadsheetml/2010/11/main" xmlns:x15="http://schemas.microsoft.com/office/spreadsheetml/2010/11/main" name="NativeTimeline_nsf_rcvd_date2" sourceName="nsf_rcvd_date">
  <pivotTables>
    <pivotTable tabId="43" name="PivotTable10"/>
    <pivotTable tabId="43" name="PivotTable11"/>
    <pivotTable tabId="43" name="PivotTable12"/>
  </pivotTables>
  <state minimalRefreshVersion="6" lastRefreshVersion="6" pivotCacheId="2" filterType="unknown">
    <bounds startDate="2015-01-01T12:10:00" endDate="2016-01-01T12:10:00"/>
  </state>
</timelineCacheDefinition>
</file>

<file path=xl/timelineCaches/timelineCache3.xml><?xml version="1.0" encoding="utf-8"?>
<timelineCacheDefinition xmlns="http://schemas.microsoft.com/office/spreadsheetml/2010/11/main" xmlns:x15="http://schemas.microsoft.com/office/spreadsheetml/2010/11/main" name="NativeTimeline_nsf_rcvd_date" sourceName="nsf_rcvd_date">
  <pivotTables>
    <pivotTable tabId="40" name="PivotTable2"/>
    <pivotTable tabId="40" name="PivotTable1"/>
    <pivotTable tabId="40" name="PivotTable3"/>
    <pivotTable tabId="40" name="PivotTable4"/>
    <pivotTable tabId="40" name="PivotTable5"/>
    <pivotTable tabId="40" name="PivotTable6"/>
    <pivotTable tabId="40" name="PivotTable7"/>
    <pivotTable tabId="40" name="PivotTable8"/>
    <pivotTable tabId="40" name="PivotTable9"/>
  </pivotTables>
  <state minimalRefreshVersion="6" lastRefreshVersion="6" pivotCacheId="1" filterType="unknown">
    <bounds startDate="2015-01-01T12:10:00" endDate="2016-01-01T12:1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nsf_rcvd_date" cache="NativeTimeline_nsf_rcvd_date" caption="nsf_rcvd_date" level="2" selectionLevel="2" scrollPosition="2016-01-01T00:00:00" style="TimeSlicerStyleDark4"/>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nsf_rcvd_date 2" cache="NativeTimeline_nsf_rcvd_date2" caption="nsf_rcvd_date" level="2" selectionLevel="2" scrollPosition="2016-01-01T00:00:00" style="TimeSlicerStyleLight6"/>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nsf_rcvd_date 1" cache="NativeTimeline_nsf_rcvd_date1" caption="nsf_rcvd_date" level="2" selectionLevel="2" scrollPosition="2015-01-01T00:00:00"/>
</timelines>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vmlDrawing" Target="../drawings/vmlDrawing3.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3.xml"/><Relationship Id="rId5" Type="http://schemas.openxmlformats.org/officeDocument/2006/relationships/pivotTable" Target="../pivotTables/pivotTable5.xml"/><Relationship Id="rId10" Type="http://schemas.openxmlformats.org/officeDocument/2006/relationships/printerSettings" Target="../printerSettings/printerSettings3.bin"/><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11/relationships/timeline" Target="../timelines/timelin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microsoft.com/office/2011/relationships/timeline" Target="../timelines/timeline2.xml"/><Relationship Id="rId3" Type="http://schemas.openxmlformats.org/officeDocument/2006/relationships/pivotTable" Target="../pivotTables/pivotTable12.xml"/><Relationship Id="rId7" Type="http://schemas.microsoft.com/office/2007/relationships/slicer" Target="../slicers/slicer2.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vmlDrawing" Target="../drawings/vmlDrawing4.vm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microsoft.com/office/2011/relationships/timeline" Target="../timelines/timeline3.xml"/><Relationship Id="rId3" Type="http://schemas.openxmlformats.org/officeDocument/2006/relationships/pivotTable" Target="../pivotTables/pivotTable15.xml"/><Relationship Id="rId7" Type="http://schemas.microsoft.com/office/2007/relationships/slicer" Target="../slicers/slicer3.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vmlDrawing" Target="../drawings/vmlDrawing5.vml"/><Relationship Id="rId5" Type="http://schemas.openxmlformats.org/officeDocument/2006/relationships/drawing" Target="../drawings/drawing7.xm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ctrlProp" Target="../ctrlProps/ctrlProp4.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0.vml"/><Relationship Id="rId7" Type="http://schemas.openxmlformats.org/officeDocument/2006/relationships/table" Target="../tables/table19.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SitePages/Tools,%20Websites%20and%20Best%20Practices%20used%20at%20ENG.aspx" TargetMode="External"/><Relationship Id="rId1" Type="http://schemas.openxmlformats.org/officeDocument/2006/relationships/hyperlink" Target="../../../ENG%20Tools%20Websites%20and%20Best%20Practices/PD-3PO.aspx" TargetMode="External"/><Relationship Id="rId6" Type="http://schemas.openxmlformats.org/officeDocument/2006/relationships/table" Target="../tables/table22.xml"/><Relationship Id="rId5" Type="http://schemas.openxmlformats.org/officeDocument/2006/relationships/table" Target="../tables/table21.xml"/><Relationship Id="rId4"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vmlDrawing" Target="../drawings/vmlDrawing11.vml"/><Relationship Id="rId1" Type="http://schemas.openxmlformats.org/officeDocument/2006/relationships/drawing" Target="../drawings/drawing20.xml"/><Relationship Id="rId4" Type="http://schemas.openxmlformats.org/officeDocument/2006/relationships/comments" Target="../comments3.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21.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Tab">
    <tabColor theme="3"/>
    <pageSetUpPr fitToPage="1"/>
  </sheetPr>
  <dimension ref="A1:U37"/>
  <sheetViews>
    <sheetView showGridLines="0" tabSelected="1" zoomScaleNormal="100" workbookViewId="0">
      <selection activeCell="J17" sqref="J17"/>
    </sheetView>
  </sheetViews>
  <sheetFormatPr defaultColWidth="9.15234375" defaultRowHeight="24" customHeight="1" x14ac:dyDescent="0.4"/>
  <cols>
    <col min="1" max="1" width="3.15234375" style="19" customWidth="1"/>
    <col min="2" max="2" width="10.53515625" style="19" customWidth="1"/>
    <col min="3" max="3" width="16.3046875" style="19" customWidth="1"/>
    <col min="4" max="4" width="3.3046875" style="19" customWidth="1"/>
    <col min="5" max="5" width="15.69140625" style="19" customWidth="1"/>
    <col min="6" max="6" width="14.3828125" style="19" customWidth="1"/>
    <col min="7" max="7" width="9.15234375" style="19" customWidth="1"/>
    <col min="8" max="8" width="6.3046875" style="19" customWidth="1"/>
    <col min="9" max="9" width="14.84375" style="19" customWidth="1"/>
    <col min="10" max="10" width="5.15234375" style="19" customWidth="1"/>
    <col min="11" max="11" width="7" style="19" hidden="1" customWidth="1"/>
    <col min="12" max="12" width="8.15234375" style="19" customWidth="1"/>
    <col min="13" max="13" width="12.84375" style="19" customWidth="1"/>
    <col min="14" max="14" width="50.3828125" style="19" customWidth="1"/>
    <col min="15" max="16" width="8" style="329" hidden="1" customWidth="1"/>
    <col min="17" max="16384" width="9.15234375" style="19"/>
  </cols>
  <sheetData>
    <row r="1" spans="1:18" ht="24" customHeight="1" x14ac:dyDescent="0.4">
      <c r="A1" s="42"/>
      <c r="B1" s="42"/>
      <c r="C1" s="42"/>
      <c r="D1" s="42"/>
      <c r="I1" s="42"/>
      <c r="J1" s="42"/>
      <c r="K1" s="42" t="s">
        <v>195</v>
      </c>
      <c r="L1" s="42"/>
    </row>
    <row r="2" spans="1:18" ht="24" customHeight="1" x14ac:dyDescent="0.4">
      <c r="A2" s="42"/>
      <c r="B2" s="374" t="s">
        <v>107</v>
      </c>
      <c r="C2" s="374"/>
      <c r="D2" s="374"/>
      <c r="E2" s="374"/>
      <c r="I2" s="42"/>
      <c r="J2" s="42"/>
      <c r="K2" s="42">
        <v>235</v>
      </c>
      <c r="L2" s="42"/>
    </row>
    <row r="3" spans="1:18" ht="24" customHeight="1" x14ac:dyDescent="0.4">
      <c r="A3" s="42"/>
      <c r="B3" s="374"/>
      <c r="C3" s="374"/>
      <c r="D3" s="374"/>
      <c r="E3" s="374"/>
      <c r="F3" s="42"/>
      <c r="G3" s="42"/>
      <c r="H3" s="42"/>
      <c r="I3" s="42"/>
    </row>
    <row r="4" spans="1:18" ht="24" customHeight="1" x14ac:dyDescent="0.85">
      <c r="A4" s="42"/>
      <c r="B4" s="44" t="s">
        <v>196</v>
      </c>
      <c r="C4" s="45"/>
      <c r="D4" s="45"/>
      <c r="E4" s="42"/>
      <c r="F4" s="42"/>
      <c r="G4" s="42"/>
      <c r="H4" s="42"/>
      <c r="I4" s="42"/>
      <c r="N4" s="46"/>
      <c r="O4" s="330"/>
    </row>
    <row r="5" spans="1:18" ht="24" customHeight="1" x14ac:dyDescent="0.4">
      <c r="A5" s="42"/>
      <c r="C5" s="47" t="s">
        <v>197</v>
      </c>
      <c r="D5" s="48"/>
      <c r="E5" s="48">
        <v>1.1000000000000001</v>
      </c>
      <c r="F5" s="48" t="s">
        <v>28</v>
      </c>
      <c r="G5" s="48"/>
      <c r="H5" s="48"/>
      <c r="I5" s="49"/>
      <c r="N5" s="375"/>
      <c r="O5" s="331"/>
    </row>
    <row r="6" spans="1:18" ht="24" customHeight="1" x14ac:dyDescent="0.4">
      <c r="A6" s="42"/>
      <c r="C6" s="50" t="s">
        <v>198</v>
      </c>
      <c r="E6" s="51" t="s">
        <v>199</v>
      </c>
      <c r="F6" s="52"/>
      <c r="G6" s="52"/>
      <c r="H6" s="52"/>
      <c r="I6" s="42"/>
      <c r="N6" s="375"/>
      <c r="O6" s="331"/>
    </row>
    <row r="7" spans="1:18" ht="24" customHeight="1" x14ac:dyDescent="0.4">
      <c r="A7" s="42"/>
      <c r="B7" s="53"/>
      <c r="C7" s="376" t="s">
        <v>200</v>
      </c>
      <c r="D7" s="376"/>
      <c r="E7" s="376"/>
      <c r="F7" s="54"/>
      <c r="G7" s="53"/>
      <c r="H7" s="53"/>
      <c r="I7" s="376" t="s">
        <v>516</v>
      </c>
      <c r="J7" s="376"/>
      <c r="K7" s="376"/>
      <c r="L7" s="376"/>
      <c r="M7" s="376"/>
      <c r="N7" s="376"/>
      <c r="O7" s="332"/>
      <c r="P7" s="332"/>
    </row>
    <row r="8" spans="1:18" ht="24" customHeight="1" x14ac:dyDescent="0.4">
      <c r="A8" s="42"/>
      <c r="B8" s="102"/>
      <c r="C8" s="103" t="s">
        <v>201</v>
      </c>
      <c r="D8" s="103"/>
      <c r="E8" s="103" t="s">
        <v>202</v>
      </c>
      <c r="F8" s="103"/>
      <c r="G8" s="103"/>
      <c r="H8" s="290" t="s">
        <v>352</v>
      </c>
      <c r="I8" s="110" t="s">
        <v>254</v>
      </c>
      <c r="J8" s="111" t="s">
        <v>203</v>
      </c>
      <c r="K8" s="110" t="s">
        <v>204</v>
      </c>
      <c r="L8" s="110" t="s">
        <v>205</v>
      </c>
      <c r="M8" s="111" t="s">
        <v>206</v>
      </c>
      <c r="N8" s="202" t="s">
        <v>207</v>
      </c>
      <c r="O8" s="333" t="s">
        <v>208</v>
      </c>
      <c r="P8" s="334" t="s">
        <v>209</v>
      </c>
    </row>
    <row r="9" spans="1:18" ht="24" customHeight="1" x14ac:dyDescent="0.4">
      <c r="C9" s="55" t="s">
        <v>160</v>
      </c>
      <c r="D9" s="55"/>
      <c r="E9" s="146" t="s">
        <v>161</v>
      </c>
      <c r="F9" s="146" t="s">
        <v>278</v>
      </c>
      <c r="G9" s="56"/>
      <c r="H9" s="300"/>
      <c r="I9" s="115" t="s">
        <v>275</v>
      </c>
      <c r="J9" s="259"/>
      <c r="K9" s="145"/>
      <c r="L9" s="67">
        <f>Projects!$C$3</f>
        <v>0</v>
      </c>
      <c r="M9" s="69" t="str">
        <f ca="1">IFERROR(IF(NOW()-DATEVALUE(Projects!$C$2)&lt;1,RIGHT(Projects!$C$2,11),LEFT(Projects!$C$2,8)), Projects!$C$2)</f>
        <v>03/14/17</v>
      </c>
      <c r="N9" s="203" t="s">
        <v>358</v>
      </c>
      <c r="O9" s="335">
        <v>1</v>
      </c>
      <c r="P9" s="336">
        <v>100</v>
      </c>
    </row>
    <row r="10" spans="1:18" ht="24" customHeight="1" x14ac:dyDescent="0.4">
      <c r="C10" s="55" t="s">
        <v>165</v>
      </c>
      <c r="D10" s="55"/>
      <c r="E10" s="146" t="s">
        <v>164</v>
      </c>
      <c r="F10" s="146" t="s">
        <v>164</v>
      </c>
      <c r="G10" s="56"/>
      <c r="H10" s="300"/>
      <c r="I10" s="266" t="s">
        <v>276</v>
      </c>
      <c r="J10" s="259"/>
      <c r="K10" s="145"/>
      <c r="L10" s="67"/>
      <c r="M10" s="69" t="str">
        <f ca="1">IFERROR(IF(NOW()-DATEVALUE(DB_Projs!$C$2)&lt;1,RIGHT(DB_Projs!$C$2,11),LEFT(DB_Projs!$C$2,8)), DB_Projs!$C$2)</f>
        <v>12/20/16</v>
      </c>
      <c r="N10" s="203" t="s">
        <v>261</v>
      </c>
      <c r="O10" s="335">
        <v>2</v>
      </c>
      <c r="P10" s="336">
        <v>105</v>
      </c>
      <c r="R10"/>
    </row>
    <row r="11" spans="1:18" ht="24" customHeight="1" x14ac:dyDescent="0.4">
      <c r="C11" s="55" t="s">
        <v>167</v>
      </c>
      <c r="D11" s="55"/>
      <c r="E11" s="377" t="s">
        <v>168</v>
      </c>
      <c r="F11" s="377"/>
      <c r="G11" s="57"/>
      <c r="H11" s="300"/>
      <c r="I11" s="115" t="s">
        <v>255</v>
      </c>
      <c r="J11" s="259"/>
      <c r="K11" s="145"/>
      <c r="L11" s="67">
        <f>PersInst!$C$3</f>
        <v>0</v>
      </c>
      <c r="M11" s="69" t="str">
        <f ca="1">IFERROR(IF(NOW()-DATEVALUE(PersInst!$C$2)&lt;1,RIGHT(PersInst!$C$2,11),LEFT(PersInst!$C$2,8)), PersInst!$C$2)</f>
        <v>03/14/17</v>
      </c>
      <c r="N11" s="203" t="s">
        <v>469</v>
      </c>
      <c r="O11" s="335">
        <v>1</v>
      </c>
      <c r="P11" s="336">
        <v>200</v>
      </c>
      <c r="R11"/>
    </row>
    <row r="12" spans="1:18" ht="24" customHeight="1" x14ac:dyDescent="0.4">
      <c r="C12" s="55" t="s">
        <v>171</v>
      </c>
      <c r="D12" s="55"/>
      <c r="E12" s="373" t="s">
        <v>172</v>
      </c>
      <c r="F12" s="373"/>
      <c r="G12" s="58"/>
      <c r="H12" s="300"/>
      <c r="I12" s="266" t="s">
        <v>277</v>
      </c>
      <c r="J12" s="259"/>
      <c r="K12" s="145"/>
      <c r="L12" s="67"/>
      <c r="M12" s="69" t="str">
        <f ca="1">IFERROR(IF(NOW()-DATEVALUE(DB_PersInst!$C$2)&lt;1,RIGHT(DB_PersInst!$C$2,11),LEFT(DB_PersInst!$C$2,8)), DB_PersInst!$C$2)</f>
        <v>12/20/16</v>
      </c>
      <c r="N12" s="203" t="s">
        <v>471</v>
      </c>
      <c r="O12" s="335">
        <v>2</v>
      </c>
      <c r="P12" s="336">
        <v>205</v>
      </c>
    </row>
    <row r="13" spans="1:18" ht="24" customHeight="1" x14ac:dyDescent="0.4">
      <c r="C13" s="55" t="s">
        <v>174</v>
      </c>
      <c r="D13" s="55"/>
      <c r="E13" s="377" t="s">
        <v>175</v>
      </c>
      <c r="F13" s="377"/>
      <c r="G13" s="57"/>
      <c r="H13" s="300"/>
      <c r="I13" s="115" t="s">
        <v>359</v>
      </c>
      <c r="J13" s="259"/>
      <c r="K13" s="145"/>
      <c r="L13" s="67">
        <f>Proposals!$C$3</f>
        <v>0</v>
      </c>
      <c r="M13" s="69" t="str">
        <f ca="1">IFERROR(IF(NOW()-DATEVALUE(Proposals!$C$2)&lt;1,RIGHT(Proposals!$C$2,11),LEFT(Proposals!$C$2,8)), Proposals!$C$2)</f>
        <v>03/14/17</v>
      </c>
      <c r="N13" s="203" t="s">
        <v>549</v>
      </c>
      <c r="O13" s="335">
        <v>1</v>
      </c>
      <c r="P13" s="336">
        <v>300</v>
      </c>
    </row>
    <row r="14" spans="1:18" ht="24" customHeight="1" x14ac:dyDescent="0.4">
      <c r="C14" s="55" t="s">
        <v>176</v>
      </c>
      <c r="D14" s="55"/>
      <c r="E14" s="377" t="s">
        <v>177</v>
      </c>
      <c r="F14" s="377"/>
      <c r="G14" s="57"/>
      <c r="H14" s="300"/>
      <c r="I14" s="266" t="s">
        <v>360</v>
      </c>
      <c r="J14" s="259"/>
      <c r="K14" s="145"/>
      <c r="L14" s="67"/>
      <c r="M14" s="69" t="str">
        <f ca="1">IFERROR(IF(NOW()-DATEVALUE(DB_Props!$C$2)&lt;1,RIGHT(DB_Props!$C$2,11),LEFT(DB_Props!$C$2,8)), DB_Props!$C$2)</f>
        <v>12/20/16</v>
      </c>
      <c r="N14" s="203" t="s">
        <v>446</v>
      </c>
      <c r="O14" s="335">
        <v>2</v>
      </c>
      <c r="P14" s="336">
        <v>305</v>
      </c>
    </row>
    <row r="15" spans="1:18" ht="24" customHeight="1" x14ac:dyDescent="0.4">
      <c r="C15" s="55" t="s">
        <v>178</v>
      </c>
      <c r="D15" s="55"/>
      <c r="E15" s="377" t="s">
        <v>300</v>
      </c>
      <c r="F15" s="377"/>
      <c r="G15" s="59"/>
      <c r="H15" s="300"/>
      <c r="I15" s="115" t="s">
        <v>210</v>
      </c>
      <c r="J15" s="259" t="s">
        <v>152</v>
      </c>
      <c r="K15" s="145"/>
      <c r="L15" s="67">
        <f>Panels!$C$3</f>
        <v>0</v>
      </c>
      <c r="M15" s="69" t="str">
        <f ca="1">IFERROR(IF(NOW()-DATEVALUE(Panels!$C$2)&lt;1,RIGHT(Panels!$C$2,11),LEFT(Panels!$C$2,8)), Panels!$C$2)</f>
        <v>03/14/17</v>
      </c>
      <c r="N15" s="203" t="s">
        <v>460</v>
      </c>
      <c r="O15" s="335">
        <v>1</v>
      </c>
      <c r="P15" s="336">
        <v>400</v>
      </c>
    </row>
    <row r="16" spans="1:18" ht="24" customHeight="1" x14ac:dyDescent="0.4">
      <c r="C16" s="55" t="s">
        <v>179</v>
      </c>
      <c r="D16" s="55"/>
      <c r="E16" s="377" t="s">
        <v>180</v>
      </c>
      <c r="F16" s="377"/>
      <c r="G16" s="59"/>
      <c r="H16" s="300"/>
      <c r="I16" s="117" t="s">
        <v>550</v>
      </c>
      <c r="J16" s="259" t="s">
        <v>152</v>
      </c>
      <c r="K16" s="145"/>
      <c r="L16" s="67">
        <f>PropsOnPanls!$C$3</f>
        <v>0</v>
      </c>
      <c r="M16" s="69" t="str">
        <f ca="1">IFERROR(IF(NOW()-DATEVALUE(PropsOnPanls!$C$2)&lt;1,RIGHT(PropsOnPanls!$C$2,11),LEFT(PropsOnPanls!$C$2,8)), PropsOnPanls!$C$2)</f>
        <v>03/14/17</v>
      </c>
      <c r="N16" s="203" t="s">
        <v>214</v>
      </c>
      <c r="O16" s="335">
        <v>3</v>
      </c>
      <c r="P16" s="336">
        <v>424</v>
      </c>
    </row>
    <row r="17" spans="2:21" ht="24" customHeight="1" x14ac:dyDescent="0.4">
      <c r="C17" s="55" t="s">
        <v>182</v>
      </c>
      <c r="D17" s="55"/>
      <c r="E17" s="377" t="s">
        <v>183</v>
      </c>
      <c r="F17" s="377"/>
      <c r="G17" s="57"/>
      <c r="H17" s="300"/>
      <c r="I17" s="116" t="s">
        <v>357</v>
      </c>
      <c r="J17" s="259"/>
      <c r="K17" s="145"/>
      <c r="L17" s="67">
        <f>ProjSumKey!$C$3</f>
        <v>0</v>
      </c>
      <c r="M17" s="69" t="str">
        <f ca="1">IFERROR(IF(NOW()-DATEVALUE(ProjSumKey!$C$2)&lt;1,RIGHT(ProjSumKey!$C$2,11),LEFT(ProjSumKey!$C$2,8)), ProjSumKey!$C$2)</f>
        <v>03/14/17</v>
      </c>
      <c r="N17" s="203" t="s">
        <v>477</v>
      </c>
      <c r="O17" s="335">
        <v>3</v>
      </c>
      <c r="P17" s="336">
        <v>1011</v>
      </c>
    </row>
    <row r="18" spans="2:21" ht="24" customHeight="1" x14ac:dyDescent="0.4">
      <c r="C18" s="55" t="s">
        <v>289</v>
      </c>
      <c r="D18" s="55"/>
      <c r="E18" s="377" t="s">
        <v>291</v>
      </c>
      <c r="F18" s="377"/>
      <c r="G18" s="57"/>
      <c r="H18" s="300"/>
      <c r="I18" s="116" t="s">
        <v>215</v>
      </c>
      <c r="J18" s="259" t="s">
        <v>152</v>
      </c>
      <c r="K18" s="145"/>
      <c r="L18" s="67">
        <f>Orphans!$C$3</f>
        <v>0</v>
      </c>
      <c r="M18" s="69" t="str">
        <f ca="1">IFERROR(IF(NOW()-DATEVALUE(Orphans!$C$2)&lt;1,RIGHT(Orphans!$C$2,11),LEFT(Orphans!$C$2,8)), Orphans!$C$2)</f>
        <v>03/14/17</v>
      </c>
      <c r="N18" s="203" t="s">
        <v>216</v>
      </c>
      <c r="O18" s="335">
        <v>3</v>
      </c>
      <c r="P18" s="336">
        <v>1101</v>
      </c>
    </row>
    <row r="19" spans="2:21" ht="24" customHeight="1" x14ac:dyDescent="0.4">
      <c r="C19" s="55" t="s">
        <v>185</v>
      </c>
      <c r="D19" s="55"/>
      <c r="E19" s="378" t="s">
        <v>181</v>
      </c>
      <c r="F19" s="379"/>
      <c r="G19" s="57"/>
      <c r="H19" s="300"/>
      <c r="I19" s="116" t="s">
        <v>217</v>
      </c>
      <c r="J19" s="259" t="s">
        <v>152</v>
      </c>
      <c r="K19" s="351"/>
      <c r="L19" s="352">
        <f>NewInst!$C$3</f>
        <v>0</v>
      </c>
      <c r="M19" s="353" t="str">
        <f ca="1">IFERROR(IF(NOW()-DATEVALUE(NewInst!$C$2)&lt;1,RIGHT(NewInst!$C$2,11),LEFT(NewInst!$C$2,8)), NewInst!$C$2)</f>
        <v>03/14/17</v>
      </c>
      <c r="N19" s="354" t="s">
        <v>505</v>
      </c>
      <c r="O19" s="335">
        <v>3</v>
      </c>
      <c r="P19" s="336">
        <v>1201</v>
      </c>
    </row>
    <row r="20" spans="2:21" ht="24" customHeight="1" x14ac:dyDescent="0.4">
      <c r="C20" s="55" t="s">
        <v>186</v>
      </c>
      <c r="D20" s="55"/>
      <c r="E20" s="378" t="s">
        <v>187</v>
      </c>
      <c r="F20" s="379"/>
      <c r="G20" s="57"/>
      <c r="H20" s="300"/>
      <c r="I20" s="116" t="s">
        <v>218</v>
      </c>
      <c r="J20" s="259" t="s">
        <v>152</v>
      </c>
      <c r="K20" s="145"/>
      <c r="L20" s="67">
        <f>SubAwards!$C$3</f>
        <v>0</v>
      </c>
      <c r="M20" s="69" t="str">
        <f ca="1">IFERROR(IF(NOW()-DATEVALUE(SubAwards!$C$2)&lt;1,RIGHT(SubAwards!$C$2,11),LEFT(SubAwards!$C$2,8)), SubAwards!$C$2)</f>
        <v>03/14/17</v>
      </c>
      <c r="N20" s="203" t="s">
        <v>274</v>
      </c>
      <c r="O20" s="335">
        <v>3</v>
      </c>
      <c r="P20" s="336">
        <v>1401</v>
      </c>
      <c r="U20"/>
    </row>
    <row r="21" spans="2:21" ht="24" customHeight="1" x14ac:dyDescent="0.4">
      <c r="C21" s="55" t="s">
        <v>188</v>
      </c>
      <c r="D21" s="55"/>
      <c r="E21" s="378" t="s">
        <v>184</v>
      </c>
      <c r="F21" s="379"/>
      <c r="G21" s="57"/>
      <c r="H21" s="300"/>
      <c r="I21" s="116" t="s">
        <v>219</v>
      </c>
      <c r="J21" s="259" t="s">
        <v>152</v>
      </c>
      <c r="K21" s="351"/>
      <c r="L21" s="352">
        <f>Transfers!$C$3</f>
        <v>0</v>
      </c>
      <c r="M21" s="353" t="str">
        <f ca="1">IFERROR(IF(NOW()-DATEVALUE(Transfers!$C$2)&lt;1,RIGHT(Transfers!$C$2,11),LEFT(Transfers!$C$2,8)), Transfers!$C$2)</f>
        <v>03/14/17</v>
      </c>
      <c r="N21" s="354" t="s">
        <v>508</v>
      </c>
      <c r="O21" s="335">
        <v>3</v>
      </c>
      <c r="P21" s="336">
        <v>1451</v>
      </c>
    </row>
    <row r="22" spans="2:21" ht="24" customHeight="1" x14ac:dyDescent="0.4">
      <c r="C22" s="55" t="s">
        <v>190</v>
      </c>
      <c r="D22" s="55"/>
      <c r="E22" s="378" t="s">
        <v>189</v>
      </c>
      <c r="F22" s="379"/>
      <c r="G22" s="57"/>
      <c r="H22" s="300"/>
      <c r="I22" s="147" t="s">
        <v>213</v>
      </c>
      <c r="J22" s="259"/>
      <c r="K22" s="145"/>
      <c r="L22" s="67">
        <f>SuggRevrs!$C$3</f>
        <v>0</v>
      </c>
      <c r="M22" s="69" t="str">
        <f ca="1">IFERROR(IF(NOW()-DATEVALUE(SuggRevrs!$C$2)&lt;1,RIGHT(SuggRevrs!$C$2,11),LEFT(SuggRevrs!$C$2,8)), SuggRevrs!$C$2)</f>
        <v>03/14/17</v>
      </c>
      <c r="N22" s="203" t="s">
        <v>273</v>
      </c>
      <c r="O22" s="335">
        <v>3</v>
      </c>
      <c r="P22" s="336">
        <v>3003</v>
      </c>
    </row>
    <row r="23" spans="2:21" ht="24" customHeight="1" x14ac:dyDescent="0.4">
      <c r="C23" s="55" t="s">
        <v>192</v>
      </c>
      <c r="D23" s="55"/>
      <c r="E23" s="378" t="s">
        <v>191</v>
      </c>
      <c r="F23" s="379"/>
      <c r="G23" s="57"/>
      <c r="H23" s="300"/>
      <c r="I23" s="147" t="s">
        <v>212</v>
      </c>
      <c r="J23" s="259" t="s">
        <v>152</v>
      </c>
      <c r="K23" s="351"/>
      <c r="L23" s="352">
        <f>Reviewers!$C$3</f>
        <v>0</v>
      </c>
      <c r="M23" s="353" t="str">
        <f ca="1">IFERROR(IF(NOW()-DATEVALUE(Reviewers!$C$2)&lt;1,RIGHT(Reviewers!$C$2,11),LEFT(Reviewers!$C$2,8)), Reviewers!$C$2)</f>
        <v>03/14/17</v>
      </c>
      <c r="N23" s="354" t="s">
        <v>515</v>
      </c>
      <c r="O23" s="335">
        <v>3</v>
      </c>
      <c r="P23" s="336">
        <v>3103</v>
      </c>
    </row>
    <row r="24" spans="2:21" ht="24" customHeight="1" x14ac:dyDescent="0.4">
      <c r="C24" s="55" t="s">
        <v>251</v>
      </c>
      <c r="D24" s="55"/>
      <c r="E24" s="378" t="s">
        <v>193</v>
      </c>
      <c r="F24" s="379"/>
      <c r="G24" s="57"/>
      <c r="H24" s="300"/>
      <c r="I24" s="147" t="s">
        <v>211</v>
      </c>
      <c r="J24" s="259" t="s">
        <v>152</v>
      </c>
      <c r="K24" s="351"/>
      <c r="L24" s="352">
        <f>Panelists!$C$3</f>
        <v>0</v>
      </c>
      <c r="M24" s="353" t="str">
        <f ca="1">IFERROR(IF(NOW()-DATEVALUE(Panelists!$C$2)&lt;1,RIGHT(Panelists!$C$2,11),LEFT(Panelists!$C$2,8)), Panelists!$C$2)</f>
        <v>03/14/17</v>
      </c>
      <c r="N24" s="354" t="s">
        <v>514</v>
      </c>
      <c r="O24" s="335">
        <v>3</v>
      </c>
      <c r="P24" s="336">
        <v>3203</v>
      </c>
    </row>
    <row r="25" spans="2:21" ht="24" customHeight="1" x14ac:dyDescent="0.4">
      <c r="B25" s="287"/>
      <c r="C25" s="288" t="s">
        <v>288</v>
      </c>
      <c r="D25" s="60"/>
      <c r="E25" s="61"/>
      <c r="F25" s="36"/>
      <c r="G25" s="36"/>
      <c r="H25" s="300"/>
      <c r="I25" s="147" t="s">
        <v>301</v>
      </c>
      <c r="J25" s="259" t="s">
        <v>152</v>
      </c>
      <c r="K25" s="145"/>
      <c r="L25" s="67">
        <f>BulkCOI!$C$3</f>
        <v>0</v>
      </c>
      <c r="M25" s="69" t="str">
        <f ca="1">IFERROR(IF(NOW()-DATEVALUE(BulkCOI!$C$2)&lt;1,RIGHT(BulkCOI!$C$2,11),LEFT(BulkCOI!$C$2,8)), BulkCOI!$C$2)</f>
        <v>03/14/17</v>
      </c>
      <c r="N25" s="203" t="s">
        <v>461</v>
      </c>
      <c r="O25" s="335">
        <v>3</v>
      </c>
      <c r="P25" s="336">
        <v>3803</v>
      </c>
    </row>
    <row r="26" spans="2:21" ht="24" customHeight="1" x14ac:dyDescent="0.4">
      <c r="C26" s="60"/>
      <c r="D26" s="60"/>
      <c r="E26" s="62"/>
      <c r="F26" s="63"/>
      <c r="G26" s="36"/>
      <c r="H26" s="300"/>
      <c r="I26" s="267" t="s">
        <v>231</v>
      </c>
      <c r="J26" s="259"/>
      <c r="K26" s="145"/>
      <c r="L26" s="67"/>
      <c r="M26" s="69"/>
      <c r="N26" s="203" t="s">
        <v>551</v>
      </c>
      <c r="O26" s="335">
        <v>0</v>
      </c>
      <c r="P26" s="336">
        <v>8888</v>
      </c>
    </row>
    <row r="27" spans="2:21" ht="24" customHeight="1" x14ac:dyDescent="0.4">
      <c r="B27" s="376" t="s">
        <v>220</v>
      </c>
      <c r="C27" s="376"/>
      <c r="D27" s="376"/>
      <c r="E27" s="376"/>
      <c r="F27" s="376"/>
      <c r="G27" s="36"/>
      <c r="H27" s="300"/>
      <c r="I27" s="268" t="s">
        <v>351</v>
      </c>
      <c r="J27" s="259" t="s">
        <v>152</v>
      </c>
      <c r="K27" s="145"/>
      <c r="L27" s="67"/>
      <c r="M27" s="69"/>
      <c r="N27" s="203" t="s">
        <v>465</v>
      </c>
      <c r="O27" s="335">
        <v>0</v>
      </c>
      <c r="P27" s="336">
        <v>9989</v>
      </c>
    </row>
    <row r="28" spans="2:21" ht="33" customHeight="1" x14ac:dyDescent="0.4">
      <c r="C28" s="95" t="s">
        <v>221</v>
      </c>
      <c r="D28" s="64"/>
      <c r="E28" s="95" t="s">
        <v>222</v>
      </c>
      <c r="G28" s="36"/>
      <c r="H28" s="300"/>
      <c r="I28" s="268" t="s">
        <v>256</v>
      </c>
      <c r="J28" s="259"/>
      <c r="K28" s="145"/>
      <c r="L28" s="67"/>
      <c r="M28" s="69"/>
      <c r="N28" s="203" t="s">
        <v>361</v>
      </c>
      <c r="O28" s="335">
        <v>0</v>
      </c>
      <c r="P28" s="336">
        <v>9999</v>
      </c>
    </row>
    <row r="29" spans="2:21" ht="24" customHeight="1" x14ac:dyDescent="0.4">
      <c r="C29" s="350"/>
      <c r="E29" s="136"/>
      <c r="G29" s="63"/>
      <c r="I29" s="68"/>
      <c r="J29" s="65"/>
      <c r="K29" s="66"/>
      <c r="L29" s="67"/>
      <c r="M29" s="69"/>
      <c r="N29" s="119"/>
    </row>
    <row r="30" spans="2:21" ht="24" customHeight="1" x14ac:dyDescent="0.4">
      <c r="H30" s="17"/>
      <c r="I30" s="17"/>
      <c r="J30" s="17"/>
      <c r="K30" s="17"/>
      <c r="L30" s="17"/>
      <c r="M30" s="17"/>
      <c r="N30" s="17"/>
      <c r="O30" s="337"/>
      <c r="P30" s="337"/>
    </row>
    <row r="37" spans="7:17" ht="24" customHeight="1" x14ac:dyDescent="0.4">
      <c r="G37" s="17"/>
      <c r="Q37" s="17"/>
    </row>
  </sheetData>
  <mergeCells count="19">
    <mergeCell ref="B27:F27"/>
    <mergeCell ref="E13:F13"/>
    <mergeCell ref="E14:F14"/>
    <mergeCell ref="E15:F15"/>
    <mergeCell ref="E16:F16"/>
    <mergeCell ref="E17:F17"/>
    <mergeCell ref="E19:F19"/>
    <mergeCell ref="E20:F20"/>
    <mergeCell ref="E21:F21"/>
    <mergeCell ref="E22:F22"/>
    <mergeCell ref="E23:F23"/>
    <mergeCell ref="E24:F24"/>
    <mergeCell ref="E18:F18"/>
    <mergeCell ref="E12:F12"/>
    <mergeCell ref="B2:E3"/>
    <mergeCell ref="N5:N6"/>
    <mergeCell ref="C7:E7"/>
    <mergeCell ref="E11:F11"/>
    <mergeCell ref="I7:N7"/>
  </mergeCells>
  <conditionalFormatting sqref="E11:E24 E9:G10 H29">
    <cfRule type="expression" dxfId="366" priority="1">
      <formula>SEARCH("eg:",E9)=1</formula>
    </cfRule>
  </conditionalFormatting>
  <hyperlinks>
    <hyperlink ref="I9" location="Projects!$A$1" tooltip="Unhide to Jump to Projects" display="Projects"/>
    <hyperlink ref="I10" location="DB_Projs!$A$1" tooltip="Unhide to Jump to DB_Projs" display="DB_Projs"/>
    <hyperlink ref="I11" location="PersInst!$A$1" tooltip="Unhide to Jump to PersInst" display="PersInst"/>
    <hyperlink ref="I12" location="DB_PersInst!$A$1" tooltip="Unhide to Jump to DB_PersInst" display="DB_PersInst"/>
    <hyperlink ref="I13" location="Proposals!$A$1" tooltip="Unhide to Jump to Proposals" display="Proposals"/>
    <hyperlink ref="I14" location="DB_Props!$A$1" tooltip="Unhide to Jump to DB_Props" display="DB_Props"/>
    <hyperlink ref="I15" location="Panels!$A$1" tooltip="Unhide to jump to Panels" display="Panels"/>
    <hyperlink ref="I16" location="PropsOnPanls!$A$1" tooltip="Check prop_stts" display="PropsOnPanls"/>
    <hyperlink ref="I17" location="ProjSumKey!$A$1" tooltip="Unhide to Jump to ProjSumKey" display="ProjSumKey"/>
    <hyperlink ref="I18" location="Orphans!$A$1" tooltip="Check prop_stts" display="Orphans"/>
    <hyperlink ref="I19" location="NewInst!$A$1" tooltip="A little slow; often none returned." display="NewInst"/>
    <hyperlink ref="I20" location="SubAwards!$A$1" tooltip="Unhide to jump to SubAwards" display="SubAwards"/>
    <hyperlink ref="I21" location="Transfers!$A$1" tooltip="Unhide to jump to Transfers" display="Transfers"/>
    <hyperlink ref="I22" location="SuggRevrs!$A$1" tooltip="Unhide to jump to SuggRevrs" display="SuggRevrs"/>
    <hyperlink ref="I23" location="Reviewers!$A$1" tooltip="Slow if retrieving statistics" display="Reviewers"/>
    <hyperlink ref="I24" location="Panelists!$A$1" tooltip="Copy panel ids to tab Panelists" display="Panelists"/>
    <hyperlink ref="I25" location="BulkCOI!$A$1" tooltip="Enter potential reviewers on tab BulkCOI" display="BulkCOI"/>
    <hyperlink ref="I26" location="Help!$A$1" tooltip="For more help" display="Help"/>
    <hyperlink ref="I27" location="Favorites!$A$1" tooltip="Can edit Favorites" display="Favorites"/>
    <hyperlink ref="I28" location="Settings!$A$1" tooltip="Update password on Settings" display="Settings"/>
  </hyperlinks>
  <pageMargins left="0.7" right="0.7" top="0.75" bottom="0.75" header="0.3" footer="0.3"/>
  <pageSetup scale="4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85" r:id="rId4" name="ddFavorites">
              <controlPr defaultSize="0" autoLine="0" autoPict="0" macro="[0]!ddFavorites_Change">
                <anchor moveWithCells="1">
                  <from>
                    <xdr:col>3</xdr:col>
                    <xdr:colOff>212271</xdr:colOff>
                    <xdr:row>24</xdr:row>
                    <xdr:rowOff>97971</xdr:rowOff>
                  </from>
                  <to>
                    <xdr:col>5</xdr:col>
                    <xdr:colOff>952500</xdr:colOff>
                    <xdr:row>24</xdr:row>
                    <xdr:rowOff>277586</xdr:rowOff>
                  </to>
                </anchor>
              </controlPr>
            </control>
          </mc:Choice>
        </mc:AlternateContent>
      </controls>
    </mc:Choice>
  </mc:AlternateContent>
  <tableParts count="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jects">
    <tabColor theme="3"/>
  </sheetPr>
  <dimension ref="A1:AN8"/>
  <sheetViews>
    <sheetView showGridLines="0" topLeftCell="J4" zoomScaleNormal="100" workbookViewId="0"/>
  </sheetViews>
  <sheetFormatPr defaultRowHeight="14.6" x14ac:dyDescent="0.4"/>
  <cols>
    <col min="1" max="1" width="3.69140625" customWidth="1"/>
    <col min="2" max="2" width="14.84375" style="6" customWidth="1"/>
    <col min="3" max="3" width="9.84375" style="128" customWidth="1"/>
    <col min="4" max="4" width="12.15234375" customWidth="1"/>
    <col min="5" max="5" width="6.15234375" customWidth="1"/>
    <col min="6" max="6" width="10" customWidth="1"/>
    <col min="7" max="7" width="9.15234375" customWidth="1"/>
    <col min="8" max="9" width="6" customWidth="1"/>
    <col min="10" max="10" width="10" customWidth="1"/>
    <col min="11" max="11" width="6" customWidth="1"/>
    <col min="12" max="12" width="6.3046875" customWidth="1"/>
    <col min="13" max="13" width="5.53515625" customWidth="1"/>
    <col min="14" max="14" width="3.53515625" style="3" customWidth="1"/>
    <col min="15" max="16" width="3.15234375" style="3" customWidth="1"/>
    <col min="17" max="17" width="9.15234375" style="3" customWidth="1"/>
    <col min="18" max="18" width="2.15234375" style="197" customWidth="1"/>
    <col min="19" max="19" width="5.53515625" style="3" customWidth="1"/>
    <col min="20" max="20" width="8.84375" style="3" customWidth="1"/>
    <col min="21" max="21" width="3.84375" style="3" customWidth="1"/>
    <col min="22" max="22" width="11.3828125" style="3" customWidth="1"/>
    <col min="23" max="23" width="10.84375" customWidth="1"/>
    <col min="24" max="24" width="26.15234375" customWidth="1"/>
    <col min="25" max="25" width="4.69140625" customWidth="1"/>
    <col min="26" max="26" width="30.84375" customWidth="1"/>
    <col min="27" max="27" width="11.15234375" customWidth="1"/>
    <col min="28" max="28" width="13.15234375" customWidth="1"/>
    <col min="29" max="29" width="68.69140625" customWidth="1"/>
    <col min="30" max="30" width="12.53515625" style="2" customWidth="1"/>
    <col min="31" max="31" width="9.84375" style="192" customWidth="1"/>
    <col min="32" max="32" width="4.3046875" style="3" customWidth="1"/>
    <col min="33" max="33" width="12.3828125" style="3" customWidth="1"/>
    <col min="34" max="34" width="26.3828125" hidden="1" customWidth="1"/>
    <col min="35" max="35" width="39.3828125" hidden="1" customWidth="1"/>
    <col min="36" max="36" width="28" style="1" hidden="1" customWidth="1"/>
    <col min="37" max="37" width="29.69140625" hidden="1" customWidth="1"/>
    <col min="38" max="38" width="24.15234375" hidden="1" customWidth="1"/>
    <col min="39" max="39" width="9.3046875" style="1" hidden="1" customWidth="1"/>
    <col min="40" max="40" width="4.15234375" hidden="1" customWidth="1"/>
    <col min="41" max="41" width="101.15234375" customWidth="1"/>
    <col min="42" max="42" width="7.3828125" customWidth="1"/>
  </cols>
  <sheetData>
    <row r="1" spans="1:40" ht="40" customHeight="1" x14ac:dyDescent="0.4">
      <c r="B1"/>
      <c r="C1" s="4"/>
      <c r="G1" s="20"/>
      <c r="AJ1"/>
    </row>
    <row r="2" spans="1:40" ht="16.5" customHeight="1" x14ac:dyDescent="0.4">
      <c r="A2" s="76"/>
      <c r="B2" s="77" t="s">
        <v>258</v>
      </c>
      <c r="C2" s="101" t="s">
        <v>607</v>
      </c>
      <c r="D2" s="20"/>
      <c r="E2" s="20"/>
      <c r="J2" s="20"/>
      <c r="K2" s="72"/>
      <c r="Y2" s="80"/>
      <c r="AJ2"/>
    </row>
    <row r="3" spans="1:40" ht="16.5" customHeight="1" x14ac:dyDescent="0.4">
      <c r="B3" s="72" t="s">
        <v>259</v>
      </c>
      <c r="C3" s="99">
        <v>0</v>
      </c>
      <c r="E3" s="20"/>
      <c r="Y3" s="80"/>
      <c r="AJ3"/>
    </row>
    <row r="4" spans="1:40" ht="16.5" customHeight="1" x14ac:dyDescent="0.4">
      <c r="B4" s="72" t="s">
        <v>260</v>
      </c>
      <c r="C4" s="100">
        <f>ProjTable[[#Totals],[prop_id]]</f>
        <v>0</v>
      </c>
      <c r="Y4" s="80"/>
      <c r="AJ4"/>
    </row>
    <row r="5" spans="1:40" s="97" customFormat="1" ht="15" thickBot="1" x14ac:dyDescent="0.45">
      <c r="B5" s="96" t="s">
        <v>91</v>
      </c>
      <c r="C5" s="127"/>
      <c r="G5" s="97" t="s">
        <v>90</v>
      </c>
      <c r="N5" s="118"/>
      <c r="O5" s="198" t="s">
        <v>318</v>
      </c>
      <c r="P5" s="118"/>
      <c r="Q5" s="198"/>
      <c r="R5" s="197"/>
      <c r="S5" s="118"/>
      <c r="T5" s="118"/>
      <c r="U5" s="118"/>
      <c r="V5" s="118"/>
      <c r="Y5" s="97" t="s">
        <v>92</v>
      </c>
      <c r="AD5" s="269" t="s">
        <v>518</v>
      </c>
      <c r="AF5" s="118"/>
      <c r="AG5" s="118"/>
      <c r="AH5" s="97" t="s">
        <v>93</v>
      </c>
      <c r="AM5" s="289"/>
    </row>
    <row r="6" spans="1:40" x14ac:dyDescent="0.4">
      <c r="B6" s="126" t="s">
        <v>0</v>
      </c>
      <c r="C6" s="128" t="s">
        <v>32</v>
      </c>
      <c r="D6" t="s">
        <v>1</v>
      </c>
      <c r="E6" t="s">
        <v>73</v>
      </c>
      <c r="F6" t="s">
        <v>2</v>
      </c>
      <c r="G6" t="s">
        <v>65</v>
      </c>
      <c r="H6" t="s">
        <v>75</v>
      </c>
      <c r="I6" t="s">
        <v>66</v>
      </c>
      <c r="J6" t="s">
        <v>76</v>
      </c>
      <c r="K6" t="s">
        <v>290</v>
      </c>
      <c r="L6" s="122" t="s">
        <v>30</v>
      </c>
      <c r="M6" t="s">
        <v>6</v>
      </c>
      <c r="N6" s="3" t="s">
        <v>64</v>
      </c>
      <c r="O6" s="3" t="s">
        <v>252</v>
      </c>
      <c r="P6" s="3" t="s">
        <v>279</v>
      </c>
      <c r="Q6" s="195" t="s">
        <v>286</v>
      </c>
      <c r="R6" s="201" t="s">
        <v>18</v>
      </c>
      <c r="S6" s="199" t="s">
        <v>74</v>
      </c>
      <c r="T6" s="200" t="s">
        <v>5</v>
      </c>
      <c r="U6" s="196" t="s">
        <v>17</v>
      </c>
      <c r="V6" s="265" t="s">
        <v>7</v>
      </c>
      <c r="W6" s="196" t="s">
        <v>8</v>
      </c>
      <c r="X6" s="196" t="s">
        <v>9</v>
      </c>
      <c r="Y6" s="141" t="s">
        <v>23</v>
      </c>
      <c r="Z6" s="141" t="s">
        <v>14</v>
      </c>
      <c r="AA6" s="142" t="s">
        <v>27</v>
      </c>
      <c r="AB6" s="141" t="s">
        <v>85</v>
      </c>
      <c r="AC6" s="123" t="s">
        <v>10</v>
      </c>
      <c r="AD6" s="2" t="s">
        <v>333</v>
      </c>
      <c r="AE6" s="270" t="s">
        <v>12</v>
      </c>
      <c r="AF6" s="271" t="s">
        <v>13</v>
      </c>
      <c r="AG6" t="s">
        <v>31</v>
      </c>
      <c r="AH6" s="193" t="s">
        <v>15</v>
      </c>
      <c r="AI6" t="s">
        <v>72</v>
      </c>
      <c r="AJ6" s="192" t="s">
        <v>253</v>
      </c>
      <c r="AK6" t="s">
        <v>294</v>
      </c>
      <c r="AL6" t="s">
        <v>285</v>
      </c>
      <c r="AM6" s="1" t="s">
        <v>293</v>
      </c>
      <c r="AN6" t="s">
        <v>67</v>
      </c>
    </row>
    <row r="7" spans="1:40" x14ac:dyDescent="0.4">
      <c r="C7" s="1"/>
      <c r="N7"/>
      <c r="O7"/>
      <c r="P7"/>
      <c r="Q7"/>
      <c r="R7" s="125"/>
      <c r="S7"/>
      <c r="T7"/>
      <c r="U7" s="129"/>
      <c r="V7"/>
      <c r="AB7" s="8"/>
      <c r="AD7" s="281"/>
      <c r="AE7" s="1"/>
      <c r="AG7"/>
      <c r="AH7" s="1"/>
      <c r="AK7" s="7"/>
      <c r="AL7" s="7"/>
      <c r="AN7" s="7"/>
    </row>
    <row r="8" spans="1:40" x14ac:dyDescent="0.4">
      <c r="B8" t="s">
        <v>106</v>
      </c>
      <c r="C8"/>
      <c r="N8"/>
      <c r="O8"/>
      <c r="P8"/>
      <c r="Q8"/>
      <c r="R8"/>
      <c r="S8"/>
      <c r="T8">
        <f>SUBTOTAL(103,ProjTable[prop_id])</f>
        <v>0</v>
      </c>
      <c r="U8"/>
      <c r="V8"/>
      <c r="AD8" s="368"/>
      <c r="AE8" s="1"/>
      <c r="AG8"/>
      <c r="AJ8"/>
    </row>
  </sheetData>
  <printOptions headings="1"/>
  <pageMargins left="0.25" right="0.25" top="1" bottom="0.75" header="0.1" footer="0.3"/>
  <pageSetup orientation="portrait" r:id="rId1"/>
  <headerFooter>
    <oddHeader>&amp;L&amp;"Bauhaus 93,Regular"&amp;28 &amp;A&amp;R&amp;"Bauhaus 93,Regular"&amp;26&amp;G</oddHeader>
    <oddFooter xml:space="preserve">&amp;L&amp;D &amp;T&amp;C&amp;P of &amp;N&amp;R&amp;Z&amp;F </oddFooter>
  </headerFooter>
  <drawing r:id="rId2"/>
  <legacyDrawingHF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Projects">
    <tabColor theme="4" tint="-0.249977111117893"/>
  </sheetPr>
  <dimension ref="A1:BN418"/>
  <sheetViews>
    <sheetView showGridLines="0" zoomScaleNormal="100" workbookViewId="0">
      <selection activeCell="BO1" sqref="BO1"/>
    </sheetView>
  </sheetViews>
  <sheetFormatPr defaultRowHeight="14.6" x14ac:dyDescent="0.4"/>
  <cols>
    <col min="1" max="1" width="3.69140625" customWidth="1"/>
    <col min="2" max="2" width="13.15234375" style="6" customWidth="1"/>
    <col min="3" max="3" width="13.15234375" style="1" customWidth="1"/>
    <col min="4" max="4" width="12.84375" customWidth="1"/>
    <col min="5" max="5" width="16.3046875" customWidth="1"/>
    <col min="6" max="6" width="7.15234375" customWidth="1"/>
    <col min="7" max="7" width="13.15234375" customWidth="1"/>
    <col min="8" max="8" width="16" customWidth="1"/>
    <col min="9" max="12" width="10.84375" customWidth="1"/>
    <col min="13" max="13" width="11.15234375" customWidth="1"/>
    <col min="14" max="14" width="29.3828125" customWidth="1"/>
    <col min="15" max="15" width="16.53515625" customWidth="1"/>
    <col min="16" max="17" width="15.3046875" customWidth="1"/>
    <col min="18" max="18" width="11.15234375" customWidth="1"/>
    <col min="19" max="19" width="23.3828125" customWidth="1"/>
    <col min="20" max="20" width="7.15234375" customWidth="1"/>
    <col min="21" max="24" width="4.3046875" customWidth="1"/>
    <col min="25" max="25" width="33.15234375" customWidth="1"/>
    <col min="26" max="26" width="16.3046875" customWidth="1"/>
    <col min="27" max="27" width="11.15234375" customWidth="1"/>
    <col min="28" max="28" width="11.3046875" customWidth="1"/>
    <col min="29" max="29" width="5.15234375" customWidth="1"/>
    <col min="30" max="30" width="11.15234375" customWidth="1"/>
    <col min="31" max="31" width="6.3828125" customWidth="1"/>
    <col min="32" max="32" width="11.3046875" customWidth="1"/>
    <col min="33" max="33" width="8.53515625" customWidth="1"/>
    <col min="34" max="35" width="4.3828125" customWidth="1"/>
    <col min="36" max="36" width="2.84375" customWidth="1"/>
    <col min="37" max="37" width="38.84375" customWidth="1"/>
    <col min="38" max="38" width="18.3046875" style="1" customWidth="1"/>
    <col min="39" max="39" width="22.3046875" customWidth="1"/>
    <col min="40" max="40" width="19.53515625" customWidth="1"/>
    <col min="41" max="41" width="4.3046875" customWidth="1"/>
    <col min="42" max="43" width="4.84375" customWidth="1"/>
    <col min="44" max="44" width="4" customWidth="1"/>
    <col min="45" max="45" width="28.15234375" style="2" customWidth="1"/>
    <col min="46" max="46" width="16.3046875" style="1" customWidth="1"/>
    <col min="47" max="47" width="16" customWidth="1"/>
    <col min="48" max="48" width="5" customWidth="1"/>
    <col min="49" max="49" width="2.53515625" customWidth="1"/>
    <col min="50" max="50" width="5.53515625" customWidth="1"/>
    <col min="51" max="51" width="4.69140625" customWidth="1"/>
    <col min="52" max="52" width="16.3046875" customWidth="1"/>
    <col min="53" max="53" width="16" customWidth="1"/>
    <col min="54" max="55" width="5.3828125" customWidth="1"/>
    <col min="56" max="56" width="13.15234375" customWidth="1"/>
    <col min="57" max="57" width="16" customWidth="1"/>
    <col min="58" max="58" width="24" customWidth="1"/>
    <col min="61" max="61" width="21" customWidth="1"/>
    <col min="62" max="62" width="25.3828125" customWidth="1"/>
    <col min="63" max="63" width="5.53515625" customWidth="1"/>
    <col min="64" max="64" width="11.3046875" bestFit="1" customWidth="1"/>
  </cols>
  <sheetData>
    <row r="1" spans="1:66" ht="40" customHeight="1" x14ac:dyDescent="0.4">
      <c r="B1"/>
      <c r="C1"/>
      <c r="F1" s="20"/>
      <c r="AL1"/>
      <c r="AS1"/>
      <c r="AT1"/>
    </row>
    <row r="2" spans="1:66" ht="16.5" customHeight="1" x14ac:dyDescent="0.4">
      <c r="A2" s="20"/>
      <c r="B2" s="77" t="s">
        <v>258</v>
      </c>
      <c r="C2" s="101" t="s">
        <v>603</v>
      </c>
      <c r="D2" s="101"/>
      <c r="E2" s="20"/>
      <c r="I2" s="20"/>
      <c r="J2" s="72"/>
      <c r="K2" s="79"/>
      <c r="L2" s="20"/>
      <c r="AB2" s="80"/>
      <c r="AL2"/>
      <c r="AS2"/>
      <c r="AT2"/>
    </row>
    <row r="3" spans="1:66" ht="16.5" customHeight="1" x14ac:dyDescent="0.4">
      <c r="A3" s="20"/>
      <c r="E3" s="20"/>
      <c r="AB3" s="80"/>
      <c r="AL3"/>
      <c r="AS3"/>
      <c r="AT3"/>
    </row>
    <row r="4" spans="1:66" ht="16.5" customHeight="1" x14ac:dyDescent="0.4">
      <c r="B4" s="72"/>
      <c r="C4" s="100"/>
      <c r="AB4" s="80"/>
      <c r="AL4"/>
      <c r="AS4"/>
      <c r="AT4"/>
    </row>
    <row r="6" spans="1:66" x14ac:dyDescent="0.4">
      <c r="B6" s="105"/>
      <c r="C6" s="106"/>
      <c r="D6" s="107"/>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7"/>
      <c r="AF6" s="107"/>
      <c r="AG6" s="107"/>
      <c r="AH6" s="107"/>
      <c r="AI6" s="107"/>
      <c r="AJ6" s="107"/>
      <c r="AK6" s="107"/>
      <c r="AL6" s="106"/>
      <c r="AM6" s="107"/>
      <c r="AN6" s="107"/>
      <c r="AO6" s="107"/>
      <c r="AP6" s="107"/>
      <c r="AQ6" s="107"/>
      <c r="AR6" s="107"/>
      <c r="AS6" s="109"/>
      <c r="AT6" s="106"/>
      <c r="AU6" s="107"/>
      <c r="AV6" s="107"/>
      <c r="AW6" s="107"/>
      <c r="AX6" s="107"/>
      <c r="AY6" s="107"/>
      <c r="AZ6" s="107"/>
      <c r="BA6" s="107"/>
      <c r="BB6" s="107"/>
      <c r="BC6" s="107"/>
      <c r="BD6" s="107"/>
      <c r="BE6" s="107"/>
      <c r="BF6" s="107"/>
      <c r="BG6" s="107"/>
      <c r="BH6" s="107"/>
      <c r="BI6" s="107"/>
      <c r="BJ6" s="107"/>
      <c r="BK6" s="107"/>
      <c r="BL6" s="107"/>
      <c r="BM6" s="107"/>
      <c r="BN6" s="107"/>
    </row>
    <row r="8" spans="1:66" ht="15" customHeight="1" x14ac:dyDescent="0.4">
      <c r="Y8" s="382" t="s">
        <v>267</v>
      </c>
      <c r="Z8" s="382"/>
      <c r="AA8" s="382"/>
      <c r="AB8" s="382"/>
      <c r="AC8" s="382"/>
      <c r="AD8" s="382"/>
      <c r="AE8" s="382"/>
      <c r="AF8" s="382"/>
      <c r="AK8" s="382" t="s">
        <v>268</v>
      </c>
      <c r="AL8" s="382"/>
      <c r="AM8" s="382"/>
      <c r="AN8" s="382"/>
      <c r="AO8" s="303"/>
      <c r="AS8" s="382" t="s">
        <v>296</v>
      </c>
      <c r="AT8" s="382"/>
      <c r="AU8" s="382"/>
      <c r="AZ8" s="382" t="s">
        <v>269</v>
      </c>
      <c r="BA8" s="382"/>
      <c r="BD8" s="382" t="s">
        <v>331</v>
      </c>
      <c r="BE8" s="382"/>
      <c r="BH8" s="19"/>
      <c r="BI8" s="380"/>
      <c r="BJ8" s="380"/>
      <c r="BK8" s="380"/>
      <c r="BL8" s="381"/>
      <c r="BM8" s="381"/>
      <c r="BN8" s="381"/>
    </row>
    <row r="9" spans="1:66" ht="15" customHeight="1" x14ac:dyDescent="0.4">
      <c r="Y9" s="382"/>
      <c r="Z9" s="382"/>
      <c r="AA9" s="382"/>
      <c r="AB9" s="382"/>
      <c r="AC9" s="382"/>
      <c r="AD9" s="382"/>
      <c r="AE9" s="382"/>
      <c r="AF9" s="382"/>
      <c r="AK9" s="382"/>
      <c r="AL9" s="382"/>
      <c r="AM9" s="382"/>
      <c r="AN9" s="382"/>
      <c r="AO9" s="303"/>
      <c r="AS9" s="382"/>
      <c r="AT9" s="382"/>
      <c r="AU9" s="382"/>
      <c r="AZ9" s="382"/>
      <c r="BA9" s="382"/>
      <c r="BD9" s="382"/>
      <c r="BE9" s="382"/>
      <c r="BH9" s="19"/>
      <c r="BI9" s="380"/>
      <c r="BJ9" s="380"/>
      <c r="BK9" s="380"/>
      <c r="BL9" s="381"/>
      <c r="BM9" s="381"/>
      <c r="BN9" s="381"/>
    </row>
    <row r="10" spans="1:66" x14ac:dyDescent="0.4">
      <c r="Y10" s="5" t="s">
        <v>265</v>
      </c>
      <c r="Z10" s="5" t="s">
        <v>266</v>
      </c>
      <c r="AK10" s="5" t="s">
        <v>25</v>
      </c>
      <c r="AL10" t="s">
        <v>336</v>
      </c>
      <c r="AM10" t="s">
        <v>337</v>
      </c>
      <c r="AN10" t="s">
        <v>338</v>
      </c>
      <c r="AS10" s="5" t="s">
        <v>25</v>
      </c>
      <c r="AT10" s="5" t="s">
        <v>285</v>
      </c>
      <c r="AU10" t="s">
        <v>264</v>
      </c>
      <c r="AZ10" s="5" t="s">
        <v>25</v>
      </c>
      <c r="BA10" t="s">
        <v>264</v>
      </c>
      <c r="BD10" s="5" t="s">
        <v>25</v>
      </c>
      <c r="BE10" t="s">
        <v>264</v>
      </c>
    </row>
    <row r="11" spans="1:66" x14ac:dyDescent="0.4">
      <c r="Y11" s="5" t="s">
        <v>25</v>
      </c>
      <c r="Z11" t="s">
        <v>599</v>
      </c>
      <c r="AA11" s="89" t="s">
        <v>26</v>
      </c>
      <c r="AK11" s="4" t="s">
        <v>597</v>
      </c>
      <c r="AL11" s="108">
        <v>482546</v>
      </c>
      <c r="AM11" s="108">
        <v>482546</v>
      </c>
      <c r="AN11" s="108">
        <v>482546</v>
      </c>
      <c r="AO11" s="108"/>
      <c r="AS11" s="4" t="s">
        <v>594</v>
      </c>
      <c r="AT11" s="4" t="s">
        <v>601</v>
      </c>
      <c r="AU11" s="3">
        <v>1</v>
      </c>
      <c r="AW11" s="3"/>
      <c r="AX11" s="3"/>
      <c r="AZ11" s="4" t="s">
        <v>601</v>
      </c>
      <c r="BA11" s="3">
        <v>1</v>
      </c>
      <c r="BD11" s="4" t="s">
        <v>591</v>
      </c>
      <c r="BE11" s="3">
        <v>1</v>
      </c>
    </row>
    <row r="12" spans="1:66" x14ac:dyDescent="0.4">
      <c r="Y12" s="4" t="s">
        <v>597</v>
      </c>
      <c r="Z12" s="3">
        <v>1</v>
      </c>
      <c r="AA12" s="121">
        <v>1</v>
      </c>
      <c r="AK12" s="10" t="s">
        <v>600</v>
      </c>
      <c r="AL12" s="108">
        <v>482546</v>
      </c>
      <c r="AM12" s="108">
        <v>482546</v>
      </c>
      <c r="AN12" s="108">
        <v>482546</v>
      </c>
      <c r="AO12" s="108"/>
      <c r="AS12" s="4" t="s">
        <v>596</v>
      </c>
      <c r="AT12"/>
      <c r="AU12" s="3">
        <v>1</v>
      </c>
      <c r="AW12" s="3"/>
      <c r="AX12" s="3"/>
      <c r="AZ12" s="4" t="s">
        <v>26</v>
      </c>
      <c r="BA12" s="3">
        <v>1</v>
      </c>
      <c r="BD12" s="4" t="s">
        <v>26</v>
      </c>
      <c r="BE12" s="3">
        <v>1</v>
      </c>
      <c r="BI12" s="3"/>
    </row>
    <row r="13" spans="1:66" x14ac:dyDescent="0.4">
      <c r="Y13" s="10" t="s">
        <v>600</v>
      </c>
      <c r="Z13" s="3">
        <v>1</v>
      </c>
      <c r="AA13" s="121">
        <v>1</v>
      </c>
      <c r="AK13" s="306" t="s">
        <v>598</v>
      </c>
      <c r="AL13" s="108">
        <v>482546</v>
      </c>
      <c r="AM13" s="108">
        <v>482546</v>
      </c>
      <c r="AN13" s="108">
        <v>482546</v>
      </c>
      <c r="AO13" s="108"/>
      <c r="AS13" s="4" t="s">
        <v>26</v>
      </c>
      <c r="AT13"/>
      <c r="AU13" s="3">
        <v>1</v>
      </c>
      <c r="AW13" s="3"/>
      <c r="AX13" s="3"/>
    </row>
    <row r="14" spans="1:66" x14ac:dyDescent="0.4">
      <c r="Y14" s="306" t="s">
        <v>598</v>
      </c>
      <c r="Z14" s="3">
        <v>1</v>
      </c>
      <c r="AA14" s="121">
        <v>1</v>
      </c>
      <c r="AK14" s="4" t="s">
        <v>26</v>
      </c>
      <c r="AL14" s="108">
        <v>482546</v>
      </c>
      <c r="AM14" s="108">
        <v>482546</v>
      </c>
      <c r="AN14" s="108">
        <v>482546</v>
      </c>
      <c r="AO14" s="108"/>
      <c r="AS14"/>
      <c r="AT14"/>
      <c r="AW14" s="3"/>
      <c r="AX14" s="3"/>
    </row>
    <row r="15" spans="1:66" x14ac:dyDescent="0.4">
      <c r="Y15" s="4" t="s">
        <v>26</v>
      </c>
      <c r="Z15" s="3">
        <v>1</v>
      </c>
      <c r="AA15" s="121">
        <v>1</v>
      </c>
      <c r="AL15"/>
      <c r="AO15" s="108"/>
      <c r="AS15"/>
      <c r="AT15"/>
      <c r="AW15" s="3"/>
      <c r="AX15" s="3"/>
    </row>
    <row r="16" spans="1:66" x14ac:dyDescent="0.4">
      <c r="AL16"/>
      <c r="AO16" s="108"/>
      <c r="AS16"/>
      <c r="AT16"/>
      <c r="AW16" s="3"/>
      <c r="AX16" s="3"/>
    </row>
    <row r="17" spans="38:50" x14ac:dyDescent="0.4">
      <c r="AL17"/>
      <c r="AO17" s="108"/>
      <c r="AS17"/>
      <c r="AT17"/>
      <c r="AW17" s="3"/>
      <c r="AX17" s="3"/>
    </row>
    <row r="18" spans="38:50" x14ac:dyDescent="0.4">
      <c r="AL18"/>
      <c r="AO18" s="108"/>
      <c r="AS18"/>
      <c r="AT18"/>
      <c r="AW18" s="3"/>
      <c r="AX18" s="3"/>
    </row>
    <row r="19" spans="38:50" x14ac:dyDescent="0.4">
      <c r="AL19"/>
      <c r="AO19" s="108"/>
      <c r="AS19"/>
      <c r="AT19"/>
      <c r="AW19" s="3"/>
      <c r="AX19" s="3"/>
    </row>
    <row r="20" spans="38:50" x14ac:dyDescent="0.4">
      <c r="AL20"/>
      <c r="AO20" s="108"/>
      <c r="AS20"/>
      <c r="AT20"/>
      <c r="AW20" s="3"/>
      <c r="AX20" s="3"/>
    </row>
    <row r="21" spans="38:50" x14ac:dyDescent="0.4">
      <c r="AL21"/>
      <c r="AO21" s="108"/>
      <c r="AS21"/>
      <c r="AT21"/>
      <c r="AW21" s="3"/>
      <c r="AX21" s="3"/>
    </row>
    <row r="22" spans="38:50" x14ac:dyDescent="0.4">
      <c r="AL22"/>
      <c r="AO22" s="108"/>
      <c r="AS22"/>
      <c r="AT22"/>
      <c r="AW22" s="3"/>
      <c r="AX22" s="3"/>
    </row>
    <row r="23" spans="38:50" x14ac:dyDescent="0.4">
      <c r="AL23"/>
      <c r="AO23" s="108"/>
      <c r="AS23"/>
      <c r="AT23"/>
      <c r="AW23" s="3"/>
      <c r="AX23" s="3"/>
    </row>
    <row r="24" spans="38:50" x14ac:dyDescent="0.4">
      <c r="AL24"/>
      <c r="AO24" s="108"/>
      <c r="AS24"/>
      <c r="AT24"/>
      <c r="AW24" s="3"/>
      <c r="AX24" s="3"/>
    </row>
    <row r="25" spans="38:50" x14ac:dyDescent="0.4">
      <c r="AL25"/>
      <c r="AO25" s="108"/>
      <c r="AS25"/>
      <c r="AT25"/>
      <c r="AW25" s="3"/>
      <c r="AX25" s="3"/>
    </row>
    <row r="26" spans="38:50" x14ac:dyDescent="0.4">
      <c r="AL26"/>
      <c r="AO26" s="108"/>
      <c r="AS26"/>
      <c r="AT26"/>
      <c r="AW26" s="3"/>
      <c r="AX26" s="3"/>
    </row>
    <row r="27" spans="38:50" x14ac:dyDescent="0.4">
      <c r="AL27"/>
      <c r="AO27" s="108"/>
      <c r="AS27"/>
      <c r="AT27"/>
      <c r="AW27" s="3"/>
      <c r="AX27" s="3"/>
    </row>
    <row r="28" spans="38:50" x14ac:dyDescent="0.4">
      <c r="AL28"/>
      <c r="AO28" s="108"/>
      <c r="AS28"/>
      <c r="AT28"/>
      <c r="AW28" s="3"/>
      <c r="AX28" s="3"/>
    </row>
    <row r="29" spans="38:50" x14ac:dyDescent="0.4">
      <c r="AL29"/>
      <c r="AO29" s="108"/>
      <c r="AS29"/>
      <c r="AT29"/>
      <c r="AW29" s="3"/>
      <c r="AX29" s="3"/>
    </row>
    <row r="30" spans="38:50" x14ac:dyDescent="0.4">
      <c r="AL30"/>
      <c r="AO30" s="108"/>
      <c r="AS30"/>
      <c r="AT30"/>
      <c r="AW30" s="3"/>
      <c r="AX30" s="3"/>
    </row>
    <row r="31" spans="38:50" x14ac:dyDescent="0.4">
      <c r="AL31"/>
      <c r="AO31" s="108"/>
      <c r="AS31"/>
      <c r="AT31"/>
      <c r="AW31" s="3"/>
      <c r="AX31" s="3"/>
    </row>
    <row r="32" spans="38:50" x14ac:dyDescent="0.4">
      <c r="AL32"/>
      <c r="AO32" s="108"/>
      <c r="AS32"/>
      <c r="AT32"/>
      <c r="AW32" s="3"/>
      <c r="AX32" s="3"/>
    </row>
    <row r="33" spans="2:50" x14ac:dyDescent="0.4">
      <c r="AL33"/>
      <c r="AO33" s="108"/>
      <c r="AS33"/>
      <c r="AT33"/>
      <c r="AW33" s="3"/>
      <c r="AX33" s="3"/>
    </row>
    <row r="34" spans="2:50" x14ac:dyDescent="0.4">
      <c r="AL34"/>
      <c r="AO34" s="108"/>
      <c r="AS34"/>
      <c r="AT34"/>
      <c r="AW34" s="3"/>
      <c r="AX34" s="3"/>
    </row>
    <row r="35" spans="2:50" x14ac:dyDescent="0.4">
      <c r="AL35"/>
      <c r="AO35" s="108"/>
      <c r="AS35"/>
      <c r="AT35"/>
      <c r="AW35" s="3"/>
      <c r="AX35" s="3"/>
    </row>
    <row r="36" spans="2:50" x14ac:dyDescent="0.4">
      <c r="AL36"/>
      <c r="AO36" s="108"/>
      <c r="AS36"/>
      <c r="AT36"/>
      <c r="AW36" s="3"/>
      <c r="AX36" s="3"/>
    </row>
    <row r="37" spans="2:50" x14ac:dyDescent="0.4">
      <c r="AL37"/>
      <c r="AO37" s="108"/>
      <c r="AS37"/>
      <c r="AT37"/>
      <c r="AW37" s="3"/>
      <c r="AX37" s="3"/>
    </row>
    <row r="38" spans="2:50" x14ac:dyDescent="0.4">
      <c r="AL38"/>
      <c r="AO38" s="108"/>
      <c r="AS38"/>
      <c r="AT38"/>
      <c r="AW38" s="3"/>
      <c r="AX38" s="3"/>
    </row>
    <row r="39" spans="2:50" x14ac:dyDescent="0.4">
      <c r="B39"/>
      <c r="C39"/>
      <c r="AL39"/>
      <c r="AO39" s="108"/>
      <c r="AS39"/>
      <c r="AT39"/>
      <c r="AW39" s="3"/>
      <c r="AX39" s="3"/>
    </row>
    <row r="40" spans="2:50" x14ac:dyDescent="0.4">
      <c r="B40"/>
      <c r="C40"/>
      <c r="AL40"/>
      <c r="AO40" s="108"/>
      <c r="AS40"/>
      <c r="AT40"/>
      <c r="AW40" s="3"/>
      <c r="AX40" s="3"/>
    </row>
    <row r="41" spans="2:50" x14ac:dyDescent="0.4">
      <c r="B41"/>
      <c r="C41"/>
      <c r="AL41"/>
      <c r="AO41" s="108"/>
      <c r="AS41"/>
      <c r="AT41"/>
      <c r="AW41" s="3"/>
      <c r="AX41" s="3"/>
    </row>
    <row r="42" spans="2:50" x14ac:dyDescent="0.4">
      <c r="B42"/>
      <c r="C42"/>
      <c r="AL42"/>
      <c r="AO42" s="108"/>
      <c r="AS42"/>
      <c r="AT42"/>
      <c r="AW42" s="3"/>
      <c r="AX42" s="3"/>
    </row>
    <row r="43" spans="2:50" x14ac:dyDescent="0.4">
      <c r="B43"/>
      <c r="C43"/>
      <c r="AL43"/>
      <c r="AO43" s="108"/>
      <c r="AS43"/>
      <c r="AT43"/>
      <c r="AW43" s="3"/>
      <c r="AX43" s="3"/>
    </row>
    <row r="44" spans="2:50" x14ac:dyDescent="0.4">
      <c r="B44"/>
      <c r="C44"/>
      <c r="AL44"/>
      <c r="AO44" s="108"/>
      <c r="AS44"/>
      <c r="AT44"/>
      <c r="AW44" s="3"/>
      <c r="AX44" s="3"/>
    </row>
    <row r="45" spans="2:50" x14ac:dyDescent="0.4">
      <c r="B45"/>
      <c r="C45"/>
      <c r="AL45"/>
      <c r="AO45" s="108"/>
      <c r="AS45"/>
      <c r="AT45"/>
      <c r="AW45" s="3"/>
      <c r="AX45" s="3"/>
    </row>
    <row r="46" spans="2:50" x14ac:dyDescent="0.4">
      <c r="B46"/>
      <c r="C46"/>
      <c r="AL46"/>
      <c r="AO46" s="108"/>
      <c r="AS46"/>
      <c r="AT46"/>
      <c r="AW46" s="3"/>
      <c r="AX46" s="3"/>
    </row>
    <row r="47" spans="2:50" x14ac:dyDescent="0.4">
      <c r="B47"/>
      <c r="C47"/>
      <c r="AL47"/>
      <c r="AO47" s="108"/>
      <c r="AS47"/>
      <c r="AT47"/>
      <c r="AW47" s="3"/>
      <c r="AX47" s="3"/>
    </row>
    <row r="48" spans="2:50" x14ac:dyDescent="0.4">
      <c r="B48"/>
      <c r="C48"/>
      <c r="AL48"/>
      <c r="AO48" s="108"/>
      <c r="AS48"/>
      <c r="AT48"/>
      <c r="AW48" s="3"/>
      <c r="AX48" s="3"/>
    </row>
    <row r="49" spans="2:50" x14ac:dyDescent="0.4">
      <c r="B49"/>
      <c r="C49"/>
      <c r="AL49"/>
      <c r="AO49" s="108"/>
      <c r="AS49"/>
      <c r="AT49"/>
      <c r="AW49" s="3"/>
      <c r="AX49" s="3"/>
    </row>
    <row r="50" spans="2:50" x14ac:dyDescent="0.4">
      <c r="B50"/>
      <c r="C50"/>
      <c r="AL50"/>
      <c r="AO50" s="108"/>
      <c r="AS50"/>
      <c r="AT50"/>
      <c r="AW50" s="3"/>
      <c r="AX50" s="3"/>
    </row>
    <row r="51" spans="2:50" x14ac:dyDescent="0.4">
      <c r="B51"/>
      <c r="C51"/>
      <c r="AL51"/>
      <c r="AO51" s="108"/>
      <c r="AS51"/>
      <c r="AT51"/>
      <c r="AW51" s="3"/>
      <c r="AX51" s="3"/>
    </row>
    <row r="52" spans="2:50" x14ac:dyDescent="0.4">
      <c r="B52"/>
      <c r="C52"/>
      <c r="AL52"/>
      <c r="AO52" s="108"/>
      <c r="AS52"/>
      <c r="AT52"/>
      <c r="AW52" s="3"/>
      <c r="AX52" s="3"/>
    </row>
    <row r="53" spans="2:50" x14ac:dyDescent="0.4">
      <c r="AL53"/>
      <c r="AO53" s="108"/>
      <c r="AS53"/>
      <c r="AT53"/>
      <c r="AW53" s="3"/>
      <c r="AX53" s="3"/>
    </row>
    <row r="54" spans="2:50" x14ac:dyDescent="0.4">
      <c r="AL54"/>
      <c r="AO54" s="108"/>
      <c r="AS54"/>
      <c r="AT54"/>
      <c r="AW54" s="3"/>
      <c r="AX54" s="3"/>
    </row>
    <row r="55" spans="2:50" x14ac:dyDescent="0.4">
      <c r="AL55"/>
      <c r="AS55"/>
      <c r="AT55"/>
      <c r="AW55" s="3"/>
      <c r="AX55" s="3"/>
    </row>
    <row r="56" spans="2:50" x14ac:dyDescent="0.4">
      <c r="AL56"/>
      <c r="AS56"/>
      <c r="AT56"/>
      <c r="AW56" s="3"/>
      <c r="AX56" s="3"/>
    </row>
    <row r="57" spans="2:50" x14ac:dyDescent="0.4">
      <c r="AL57"/>
      <c r="AS57"/>
      <c r="AT57"/>
      <c r="AW57" s="3"/>
      <c r="AX57" s="3"/>
    </row>
    <row r="58" spans="2:50" x14ac:dyDescent="0.4">
      <c r="AL58"/>
      <c r="AS58"/>
      <c r="AT58"/>
      <c r="AW58" s="3"/>
      <c r="AX58" s="3"/>
    </row>
    <row r="59" spans="2:50" x14ac:dyDescent="0.4">
      <c r="AL59"/>
      <c r="AS59"/>
      <c r="AT59"/>
      <c r="AW59" s="3"/>
      <c r="AX59" s="3"/>
    </row>
    <row r="60" spans="2:50" x14ac:dyDescent="0.4">
      <c r="AL60"/>
      <c r="AS60"/>
      <c r="AT60"/>
      <c r="AW60" s="3"/>
      <c r="AX60" s="3"/>
    </row>
    <row r="61" spans="2:50" x14ac:dyDescent="0.4">
      <c r="AL61"/>
      <c r="AS61"/>
      <c r="AT61"/>
      <c r="AW61" s="3"/>
      <c r="AX61" s="3"/>
    </row>
    <row r="62" spans="2:50" x14ac:dyDescent="0.4">
      <c r="AL62"/>
      <c r="AS62"/>
      <c r="AT62"/>
      <c r="AW62" s="3"/>
      <c r="AX62" s="3"/>
    </row>
    <row r="63" spans="2:50" x14ac:dyDescent="0.4">
      <c r="AL63"/>
      <c r="AS63"/>
      <c r="AT63"/>
      <c r="AW63" s="3"/>
      <c r="AX63" s="3"/>
    </row>
    <row r="64" spans="2:50" x14ac:dyDescent="0.4">
      <c r="AL64"/>
      <c r="AS64"/>
      <c r="AT64"/>
      <c r="AW64" s="3"/>
      <c r="AX64" s="3"/>
    </row>
    <row r="65" spans="2:50" x14ac:dyDescent="0.4">
      <c r="AL65"/>
      <c r="AS65"/>
      <c r="AT65"/>
      <c r="AW65" s="3"/>
      <c r="AX65" s="3"/>
    </row>
    <row r="66" spans="2:50" x14ac:dyDescent="0.4">
      <c r="AL66"/>
      <c r="AS66"/>
      <c r="AT66"/>
      <c r="AW66" s="3"/>
      <c r="AX66" s="3"/>
    </row>
    <row r="67" spans="2:50" x14ac:dyDescent="0.4">
      <c r="AL67"/>
      <c r="AS67"/>
      <c r="AT67"/>
      <c r="AW67" s="3"/>
      <c r="AX67" s="3"/>
    </row>
    <row r="68" spans="2:50" x14ac:dyDescent="0.4">
      <c r="AL68"/>
      <c r="AS68"/>
      <c r="AT68"/>
      <c r="AW68" s="3"/>
      <c r="AX68" s="3"/>
    </row>
    <row r="69" spans="2:50" x14ac:dyDescent="0.4">
      <c r="AL69"/>
      <c r="AS69"/>
      <c r="AT69"/>
      <c r="AW69" s="3"/>
      <c r="AX69" s="3"/>
    </row>
    <row r="70" spans="2:50" x14ac:dyDescent="0.4">
      <c r="B70"/>
      <c r="C70" s="5" t="s">
        <v>25</v>
      </c>
      <c r="D70" t="s">
        <v>70</v>
      </c>
      <c r="G70" s="6"/>
      <c r="H70" s="1"/>
      <c r="AL70"/>
      <c r="AS70"/>
      <c r="AT70"/>
      <c r="AW70" s="3"/>
      <c r="AX70" s="3"/>
    </row>
    <row r="71" spans="2:50" x14ac:dyDescent="0.4">
      <c r="B71"/>
      <c r="C71" s="4" t="s">
        <v>602</v>
      </c>
      <c r="D71" s="3">
        <v>1</v>
      </c>
      <c r="G71" s="6"/>
      <c r="H71" s="1"/>
      <c r="AL71"/>
      <c r="AS71"/>
      <c r="AT71"/>
      <c r="AW71" s="3"/>
      <c r="AX71" s="3"/>
    </row>
    <row r="72" spans="2:50" x14ac:dyDescent="0.4">
      <c r="B72"/>
      <c r="C72" s="4" t="s">
        <v>26</v>
      </c>
      <c r="D72" s="3">
        <v>1</v>
      </c>
      <c r="G72" s="5" t="s">
        <v>25</v>
      </c>
      <c r="H72" t="s">
        <v>264</v>
      </c>
      <c r="AL72"/>
      <c r="AS72"/>
      <c r="AT72"/>
      <c r="AW72" s="3"/>
      <c r="AX72" s="3"/>
    </row>
    <row r="73" spans="2:50" x14ac:dyDescent="0.4">
      <c r="B73"/>
      <c r="C73"/>
      <c r="G73" s="4" t="s">
        <v>599</v>
      </c>
      <c r="H73" s="3">
        <v>1</v>
      </c>
      <c r="AL73"/>
      <c r="AS73"/>
      <c r="AT73"/>
      <c r="AW73" s="3"/>
      <c r="AX73" s="3"/>
    </row>
    <row r="74" spans="2:50" x14ac:dyDescent="0.4">
      <c r="B74"/>
      <c r="C74"/>
      <c r="G74" s="4" t="s">
        <v>26</v>
      </c>
      <c r="H74" s="3">
        <v>1</v>
      </c>
      <c r="AL74"/>
      <c r="AS74"/>
      <c r="AT74"/>
      <c r="AW74" s="3"/>
      <c r="AX74" s="3"/>
    </row>
    <row r="75" spans="2:50" x14ac:dyDescent="0.4">
      <c r="C75"/>
      <c r="AL75"/>
      <c r="AS75"/>
      <c r="AT75"/>
      <c r="AW75" s="3"/>
      <c r="AX75" s="3"/>
    </row>
    <row r="76" spans="2:50" x14ac:dyDescent="0.4">
      <c r="C76"/>
      <c r="Y76" s="5" t="s">
        <v>25</v>
      </c>
      <c r="Z76" s="22" t="s">
        <v>264</v>
      </c>
      <c r="AL76"/>
      <c r="AS76"/>
      <c r="AT76"/>
      <c r="AW76" s="3"/>
      <c r="AX76" s="3"/>
    </row>
    <row r="77" spans="2:50" x14ac:dyDescent="0.4">
      <c r="C77"/>
      <c r="Y77" s="4" t="s">
        <v>595</v>
      </c>
      <c r="Z77" s="3">
        <v>1</v>
      </c>
      <c r="AL77"/>
      <c r="AS77"/>
      <c r="AT77"/>
      <c r="AW77" s="3"/>
      <c r="AX77" s="3"/>
    </row>
    <row r="78" spans="2:50" x14ac:dyDescent="0.4">
      <c r="C78"/>
      <c r="Y78" s="4" t="s">
        <v>26</v>
      </c>
      <c r="Z78" s="3">
        <v>1</v>
      </c>
      <c r="AL78"/>
      <c r="AS78"/>
      <c r="AT78"/>
      <c r="AW78" s="3"/>
      <c r="AX78" s="3"/>
    </row>
    <row r="79" spans="2:50" x14ac:dyDescent="0.4">
      <c r="C79"/>
      <c r="AL79"/>
      <c r="AS79"/>
      <c r="AT79"/>
      <c r="AW79" s="3"/>
      <c r="AX79" s="3"/>
    </row>
    <row r="80" spans="2:50" x14ac:dyDescent="0.4">
      <c r="C80"/>
      <c r="AL80"/>
      <c r="AS80"/>
      <c r="AT80"/>
      <c r="AW80" s="3"/>
      <c r="AX80" s="3"/>
    </row>
    <row r="81" spans="2:62" x14ac:dyDescent="0.4">
      <c r="C81"/>
      <c r="AL81"/>
      <c r="AS81"/>
      <c r="AT81"/>
      <c r="AW81" s="3"/>
      <c r="AX81" s="3"/>
    </row>
    <row r="82" spans="2:62" x14ac:dyDescent="0.4">
      <c r="C82"/>
      <c r="AL82"/>
      <c r="AS82"/>
      <c r="AT82"/>
      <c r="AW82" s="3"/>
      <c r="AX82" s="3"/>
    </row>
    <row r="83" spans="2:62" x14ac:dyDescent="0.4">
      <c r="C83"/>
      <c r="AL83"/>
      <c r="AS83"/>
      <c r="AT83"/>
      <c r="AW83" s="3"/>
      <c r="AX83" s="3"/>
    </row>
    <row r="84" spans="2:62" x14ac:dyDescent="0.4">
      <c r="C84"/>
      <c r="AL84"/>
      <c r="AS84"/>
      <c r="AT84"/>
      <c r="AW84" s="3"/>
      <c r="AX84" s="3"/>
    </row>
    <row r="85" spans="2:62" x14ac:dyDescent="0.4">
      <c r="C85"/>
      <c r="AL85"/>
      <c r="AS85"/>
      <c r="AT85"/>
      <c r="AW85" s="3"/>
      <c r="AX85" s="3"/>
      <c r="BI85" s="22"/>
      <c r="BJ85" s="22"/>
    </row>
    <row r="86" spans="2:62" s="22" customFormat="1" x14ac:dyDescent="0.4">
      <c r="B86" s="149"/>
      <c r="C86"/>
      <c r="D86"/>
      <c r="P86"/>
      <c r="Q86"/>
      <c r="R86"/>
      <c r="Y86"/>
      <c r="Z86"/>
      <c r="AA86"/>
      <c r="AB86"/>
      <c r="AC86"/>
      <c r="AD86"/>
      <c r="AF86"/>
      <c r="AK86"/>
      <c r="AL86"/>
      <c r="AM86"/>
      <c r="AN86"/>
      <c r="AS86"/>
      <c r="AT86"/>
      <c r="AU86"/>
      <c r="AW86" s="150"/>
      <c r="AX86" s="150"/>
      <c r="AZ86"/>
      <c r="BA86"/>
      <c r="BC86"/>
      <c r="BD86"/>
      <c r="BE86"/>
      <c r="BF86"/>
      <c r="BI86"/>
      <c r="BJ86"/>
    </row>
    <row r="87" spans="2:62" x14ac:dyDescent="0.4">
      <c r="C87"/>
      <c r="AL87"/>
      <c r="AS87"/>
      <c r="AT87"/>
      <c r="AW87" s="3"/>
      <c r="AX87" s="3"/>
      <c r="BC87" s="22"/>
      <c r="BD87" s="22"/>
      <c r="BE87" s="22"/>
      <c r="BF87" s="22"/>
    </row>
    <row r="88" spans="2:62" x14ac:dyDescent="0.4">
      <c r="C88"/>
      <c r="AL88"/>
      <c r="AS88"/>
      <c r="AT88"/>
      <c r="AW88" s="3"/>
      <c r="AX88" s="3"/>
    </row>
    <row r="89" spans="2:62" x14ac:dyDescent="0.4">
      <c r="C89"/>
      <c r="Y89" s="5" t="s">
        <v>264</v>
      </c>
      <c r="Z89" s="5" t="s">
        <v>295</v>
      </c>
      <c r="AL89"/>
      <c r="AS89"/>
      <c r="AT89"/>
      <c r="AW89" s="3"/>
      <c r="AX89" s="3"/>
    </row>
    <row r="90" spans="2:62" x14ac:dyDescent="0.4">
      <c r="C90"/>
      <c r="Y90" s="151" t="s">
        <v>25</v>
      </c>
      <c r="Z90" t="s">
        <v>349</v>
      </c>
      <c r="AA90" s="22" t="s">
        <v>26</v>
      </c>
      <c r="AL90"/>
      <c r="AS90"/>
      <c r="AT90"/>
      <c r="AW90" s="3"/>
      <c r="AX90" s="3"/>
    </row>
    <row r="91" spans="2:62" x14ac:dyDescent="0.4">
      <c r="C91"/>
      <c r="Y91" s="4" t="s">
        <v>598</v>
      </c>
      <c r="Z91" s="3">
        <v>1</v>
      </c>
      <c r="AA91" s="3">
        <v>1</v>
      </c>
      <c r="AL91"/>
      <c r="AS91"/>
      <c r="AT91"/>
      <c r="AW91" s="3"/>
      <c r="AX91" s="3"/>
    </row>
    <row r="92" spans="2:62" x14ac:dyDescent="0.4">
      <c r="C92"/>
      <c r="Y92" s="4" t="s">
        <v>26</v>
      </c>
      <c r="Z92" s="3">
        <v>1</v>
      </c>
      <c r="AA92" s="3">
        <v>1</v>
      </c>
      <c r="AL92"/>
      <c r="AS92"/>
      <c r="AT92"/>
      <c r="AW92" s="3"/>
      <c r="AX92" s="3"/>
    </row>
    <row r="93" spans="2:62" x14ac:dyDescent="0.4">
      <c r="C93"/>
      <c r="AL93"/>
      <c r="AS93"/>
      <c r="AT93"/>
    </row>
    <row r="94" spans="2:62" x14ac:dyDescent="0.4">
      <c r="C94"/>
      <c r="AL94"/>
      <c r="AS94"/>
      <c r="AT94"/>
    </row>
    <row r="95" spans="2:62" x14ac:dyDescent="0.4">
      <c r="C95"/>
      <c r="AL95"/>
      <c r="AS95"/>
      <c r="AT95"/>
    </row>
    <row r="96" spans="2:62" x14ac:dyDescent="0.4">
      <c r="C96"/>
      <c r="AL96"/>
      <c r="AS96"/>
      <c r="AT96"/>
    </row>
    <row r="97" spans="3:46" x14ac:dyDescent="0.4">
      <c r="C97"/>
      <c r="AL97"/>
      <c r="AS97"/>
      <c r="AT97"/>
    </row>
    <row r="98" spans="3:46" x14ac:dyDescent="0.4">
      <c r="C98"/>
      <c r="AL98"/>
      <c r="AS98"/>
      <c r="AT98"/>
    </row>
    <row r="99" spans="3:46" x14ac:dyDescent="0.4">
      <c r="C99"/>
      <c r="AL99"/>
      <c r="AS99"/>
      <c r="AT99"/>
    </row>
    <row r="100" spans="3:46" x14ac:dyDescent="0.4">
      <c r="C100"/>
      <c r="AL100"/>
      <c r="AS100"/>
      <c r="AT100"/>
    </row>
    <row r="101" spans="3:46" x14ac:dyDescent="0.4">
      <c r="C101"/>
      <c r="AL101"/>
      <c r="AS101"/>
      <c r="AT101"/>
    </row>
    <row r="102" spans="3:46" x14ac:dyDescent="0.4">
      <c r="C102"/>
      <c r="AL102"/>
      <c r="AS102"/>
      <c r="AT102"/>
    </row>
    <row r="103" spans="3:46" x14ac:dyDescent="0.4">
      <c r="C103"/>
      <c r="AL103"/>
      <c r="AS103"/>
      <c r="AT103"/>
    </row>
    <row r="104" spans="3:46" x14ac:dyDescent="0.4">
      <c r="C104"/>
      <c r="AL104"/>
      <c r="AS104"/>
      <c r="AT104"/>
    </row>
    <row r="105" spans="3:46" x14ac:dyDescent="0.4">
      <c r="C105"/>
      <c r="AL105"/>
      <c r="AS105"/>
      <c r="AT105"/>
    </row>
    <row r="106" spans="3:46" x14ac:dyDescent="0.4">
      <c r="C106"/>
      <c r="AL106"/>
      <c r="AS106"/>
      <c r="AT106"/>
    </row>
    <row r="107" spans="3:46" x14ac:dyDescent="0.4">
      <c r="C107"/>
      <c r="AL107"/>
      <c r="AS107"/>
      <c r="AT107"/>
    </row>
    <row r="108" spans="3:46" x14ac:dyDescent="0.4">
      <c r="C108"/>
      <c r="AL108"/>
      <c r="AS108"/>
      <c r="AT108"/>
    </row>
    <row r="109" spans="3:46" x14ac:dyDescent="0.4">
      <c r="C109"/>
      <c r="AL109"/>
      <c r="AS109"/>
      <c r="AT109"/>
    </row>
    <row r="110" spans="3:46" x14ac:dyDescent="0.4">
      <c r="C110"/>
      <c r="AL110"/>
      <c r="AS110"/>
      <c r="AT110"/>
    </row>
    <row r="111" spans="3:46" x14ac:dyDescent="0.4">
      <c r="C111"/>
      <c r="AL111"/>
      <c r="AS111"/>
      <c r="AT111"/>
    </row>
    <row r="112" spans="3:46" x14ac:dyDescent="0.4">
      <c r="C112"/>
      <c r="AL112"/>
      <c r="AS112"/>
      <c r="AT112"/>
    </row>
    <row r="113" spans="3:46" x14ac:dyDescent="0.4">
      <c r="C113"/>
      <c r="AL113"/>
      <c r="AS113"/>
      <c r="AT113"/>
    </row>
    <row r="114" spans="3:46" x14ac:dyDescent="0.4">
      <c r="C114"/>
      <c r="AL114"/>
      <c r="AS114"/>
      <c r="AT114"/>
    </row>
    <row r="115" spans="3:46" x14ac:dyDescent="0.4">
      <c r="C115"/>
      <c r="AL115"/>
      <c r="AS115"/>
      <c r="AT115"/>
    </row>
    <row r="116" spans="3:46" x14ac:dyDescent="0.4">
      <c r="C116"/>
      <c r="AL116"/>
      <c r="AS116"/>
      <c r="AT116"/>
    </row>
    <row r="117" spans="3:46" x14ac:dyDescent="0.4">
      <c r="C117"/>
      <c r="AL117"/>
      <c r="AS117"/>
      <c r="AT117"/>
    </row>
    <row r="118" spans="3:46" x14ac:dyDescent="0.4">
      <c r="C118"/>
      <c r="AL118"/>
      <c r="AS118"/>
      <c r="AT118"/>
    </row>
    <row r="119" spans="3:46" x14ac:dyDescent="0.4">
      <c r="C119"/>
      <c r="AL119"/>
      <c r="AS119"/>
      <c r="AT119"/>
    </row>
    <row r="120" spans="3:46" x14ac:dyDescent="0.4">
      <c r="C120"/>
      <c r="AL120"/>
      <c r="AS120"/>
      <c r="AT120"/>
    </row>
    <row r="121" spans="3:46" x14ac:dyDescent="0.4">
      <c r="C121"/>
      <c r="AL121"/>
      <c r="AS121"/>
      <c r="AT121"/>
    </row>
    <row r="122" spans="3:46" x14ac:dyDescent="0.4">
      <c r="C122"/>
      <c r="AL122"/>
      <c r="AS122"/>
      <c r="AT122"/>
    </row>
    <row r="123" spans="3:46" x14ac:dyDescent="0.4">
      <c r="C123"/>
      <c r="AL123"/>
      <c r="AS123"/>
      <c r="AT123"/>
    </row>
    <row r="124" spans="3:46" x14ac:dyDescent="0.4">
      <c r="C124"/>
      <c r="AL124"/>
      <c r="AS124"/>
      <c r="AT124"/>
    </row>
    <row r="125" spans="3:46" x14ac:dyDescent="0.4">
      <c r="C125"/>
      <c r="AL125"/>
      <c r="AS125"/>
      <c r="AT125"/>
    </row>
    <row r="126" spans="3:46" x14ac:dyDescent="0.4">
      <c r="C126"/>
      <c r="AL126"/>
      <c r="AS126"/>
      <c r="AT126"/>
    </row>
    <row r="127" spans="3:46" x14ac:dyDescent="0.4">
      <c r="C127"/>
      <c r="AL127"/>
      <c r="AS127"/>
      <c r="AT127"/>
    </row>
    <row r="128" spans="3:46" x14ac:dyDescent="0.4">
      <c r="C128"/>
      <c r="AL128"/>
      <c r="AS128"/>
      <c r="AT128"/>
    </row>
    <row r="129" spans="3:46" x14ac:dyDescent="0.4">
      <c r="C129"/>
      <c r="AL129"/>
      <c r="AS129"/>
      <c r="AT129"/>
    </row>
    <row r="130" spans="3:46" x14ac:dyDescent="0.4">
      <c r="C130"/>
      <c r="AL130"/>
      <c r="AS130"/>
      <c r="AT130"/>
    </row>
    <row r="131" spans="3:46" x14ac:dyDescent="0.4">
      <c r="C131"/>
      <c r="AL131"/>
      <c r="AS131"/>
      <c r="AT131"/>
    </row>
    <row r="132" spans="3:46" x14ac:dyDescent="0.4">
      <c r="C132"/>
      <c r="AL132"/>
      <c r="AS132"/>
      <c r="AT132"/>
    </row>
    <row r="133" spans="3:46" x14ac:dyDescent="0.4">
      <c r="C133"/>
      <c r="AL133"/>
      <c r="AS133"/>
      <c r="AT133"/>
    </row>
    <row r="134" spans="3:46" x14ac:dyDescent="0.4">
      <c r="C134"/>
      <c r="AL134"/>
      <c r="AS134"/>
      <c r="AT134"/>
    </row>
    <row r="135" spans="3:46" x14ac:dyDescent="0.4">
      <c r="C135"/>
      <c r="AL135"/>
      <c r="AS135"/>
      <c r="AT135"/>
    </row>
    <row r="136" spans="3:46" x14ac:dyDescent="0.4">
      <c r="C136"/>
      <c r="AL136"/>
      <c r="AS136"/>
      <c r="AT136"/>
    </row>
    <row r="137" spans="3:46" x14ac:dyDescent="0.4">
      <c r="C137"/>
      <c r="AL137"/>
      <c r="AS137"/>
      <c r="AT137"/>
    </row>
    <row r="138" spans="3:46" x14ac:dyDescent="0.4">
      <c r="C138"/>
      <c r="AL138"/>
      <c r="AS138"/>
      <c r="AT138"/>
    </row>
    <row r="139" spans="3:46" x14ac:dyDescent="0.4">
      <c r="C139"/>
      <c r="AL139"/>
      <c r="AS139"/>
      <c r="AT139"/>
    </row>
    <row r="140" spans="3:46" x14ac:dyDescent="0.4">
      <c r="C140"/>
      <c r="AL140"/>
      <c r="AS140"/>
      <c r="AT140"/>
    </row>
    <row r="141" spans="3:46" x14ac:dyDescent="0.4">
      <c r="C141"/>
      <c r="AL141"/>
      <c r="AS141"/>
      <c r="AT141"/>
    </row>
    <row r="142" spans="3:46" x14ac:dyDescent="0.4">
      <c r="C142"/>
      <c r="AL142"/>
      <c r="AS142"/>
      <c r="AT142"/>
    </row>
    <row r="143" spans="3:46" x14ac:dyDescent="0.4">
      <c r="C143"/>
      <c r="AL143"/>
      <c r="AS143"/>
      <c r="AT143"/>
    </row>
    <row r="144" spans="3:46" x14ac:dyDescent="0.4">
      <c r="C144"/>
      <c r="AL144"/>
      <c r="AS144"/>
      <c r="AT144"/>
    </row>
    <row r="145" spans="3:46" x14ac:dyDescent="0.4">
      <c r="C145"/>
      <c r="AL145"/>
      <c r="AS145"/>
      <c r="AT145"/>
    </row>
    <row r="146" spans="3:46" x14ac:dyDescent="0.4">
      <c r="C146"/>
      <c r="AL146"/>
      <c r="AS146"/>
      <c r="AT146"/>
    </row>
    <row r="147" spans="3:46" x14ac:dyDescent="0.4">
      <c r="C147"/>
      <c r="AL147"/>
      <c r="AS147"/>
      <c r="AT147"/>
    </row>
    <row r="148" spans="3:46" x14ac:dyDescent="0.4">
      <c r="C148"/>
      <c r="AL148"/>
      <c r="AS148"/>
      <c r="AT148"/>
    </row>
    <row r="149" spans="3:46" x14ac:dyDescent="0.4">
      <c r="C149"/>
      <c r="AL149"/>
      <c r="AS149"/>
      <c r="AT149"/>
    </row>
    <row r="150" spans="3:46" x14ac:dyDescent="0.4">
      <c r="C150"/>
      <c r="AL150"/>
      <c r="AS150"/>
      <c r="AT150"/>
    </row>
    <row r="151" spans="3:46" x14ac:dyDescent="0.4">
      <c r="C151"/>
      <c r="AL151"/>
      <c r="AS151"/>
      <c r="AT151"/>
    </row>
    <row r="152" spans="3:46" x14ac:dyDescent="0.4">
      <c r="C152"/>
      <c r="AL152"/>
      <c r="AS152"/>
      <c r="AT152"/>
    </row>
    <row r="153" spans="3:46" x14ac:dyDescent="0.4">
      <c r="C153"/>
      <c r="AL153"/>
      <c r="AS153"/>
      <c r="AT153"/>
    </row>
    <row r="154" spans="3:46" x14ac:dyDescent="0.4">
      <c r="C154"/>
      <c r="AL154"/>
      <c r="AS154"/>
      <c r="AT154"/>
    </row>
    <row r="155" spans="3:46" x14ac:dyDescent="0.4">
      <c r="C155"/>
      <c r="AL155"/>
      <c r="AS155"/>
      <c r="AT155"/>
    </row>
    <row r="156" spans="3:46" x14ac:dyDescent="0.4">
      <c r="C156"/>
      <c r="AL156"/>
      <c r="AS156"/>
      <c r="AT156"/>
    </row>
    <row r="157" spans="3:46" x14ac:dyDescent="0.4">
      <c r="C157"/>
      <c r="AL157"/>
      <c r="AS157"/>
      <c r="AT157"/>
    </row>
    <row r="158" spans="3:46" x14ac:dyDescent="0.4">
      <c r="C158"/>
      <c r="AL158"/>
      <c r="AS158"/>
      <c r="AT158"/>
    </row>
    <row r="159" spans="3:46" x14ac:dyDescent="0.4">
      <c r="C159"/>
      <c r="AL159"/>
      <c r="AS159"/>
      <c r="AT159"/>
    </row>
    <row r="160" spans="3:46" x14ac:dyDescent="0.4">
      <c r="C160"/>
      <c r="AL160"/>
      <c r="AS160"/>
      <c r="AT160"/>
    </row>
    <row r="161" spans="3:46" x14ac:dyDescent="0.4">
      <c r="C161"/>
      <c r="AL161"/>
      <c r="AS161"/>
      <c r="AT161"/>
    </row>
    <row r="162" spans="3:46" x14ac:dyDescent="0.4">
      <c r="C162"/>
      <c r="AL162"/>
      <c r="AS162"/>
      <c r="AT162"/>
    </row>
    <row r="163" spans="3:46" x14ac:dyDescent="0.4">
      <c r="C163"/>
      <c r="AL163"/>
      <c r="AS163"/>
      <c r="AT163"/>
    </row>
    <row r="164" spans="3:46" x14ac:dyDescent="0.4">
      <c r="C164"/>
      <c r="AL164"/>
      <c r="AS164"/>
      <c r="AT164"/>
    </row>
    <row r="165" spans="3:46" x14ac:dyDescent="0.4">
      <c r="C165"/>
      <c r="AL165"/>
      <c r="AS165"/>
      <c r="AT165"/>
    </row>
    <row r="166" spans="3:46" x14ac:dyDescent="0.4">
      <c r="C166"/>
      <c r="AL166"/>
      <c r="AS166"/>
      <c r="AT166"/>
    </row>
    <row r="167" spans="3:46" x14ac:dyDescent="0.4">
      <c r="C167"/>
      <c r="AL167"/>
      <c r="AS167"/>
      <c r="AT167"/>
    </row>
    <row r="168" spans="3:46" x14ac:dyDescent="0.4">
      <c r="C168"/>
      <c r="AL168"/>
      <c r="AS168"/>
      <c r="AT168"/>
    </row>
    <row r="169" spans="3:46" x14ac:dyDescent="0.4">
      <c r="C169"/>
      <c r="AL169"/>
      <c r="AS169"/>
      <c r="AT169"/>
    </row>
    <row r="170" spans="3:46" x14ac:dyDescent="0.4">
      <c r="C170"/>
      <c r="AL170"/>
      <c r="AS170"/>
      <c r="AT170"/>
    </row>
    <row r="171" spans="3:46" x14ac:dyDescent="0.4">
      <c r="C171"/>
      <c r="AL171"/>
      <c r="AS171"/>
      <c r="AT171"/>
    </row>
    <row r="172" spans="3:46" x14ac:dyDescent="0.4">
      <c r="C172"/>
      <c r="AL172"/>
      <c r="AS172"/>
      <c r="AT172"/>
    </row>
    <row r="173" spans="3:46" x14ac:dyDescent="0.4">
      <c r="C173"/>
      <c r="AL173"/>
      <c r="AS173"/>
      <c r="AT173"/>
    </row>
    <row r="174" spans="3:46" x14ac:dyDescent="0.4">
      <c r="C174"/>
      <c r="AL174"/>
      <c r="AS174"/>
      <c r="AT174"/>
    </row>
    <row r="175" spans="3:46" x14ac:dyDescent="0.4">
      <c r="C175"/>
      <c r="AL175"/>
      <c r="AS175"/>
      <c r="AT175"/>
    </row>
    <row r="176" spans="3:46" x14ac:dyDescent="0.4">
      <c r="C176"/>
      <c r="AL176"/>
      <c r="AS176"/>
      <c r="AT176"/>
    </row>
    <row r="177" spans="3:46" x14ac:dyDescent="0.4">
      <c r="C177"/>
      <c r="AL177"/>
      <c r="AS177"/>
      <c r="AT177"/>
    </row>
    <row r="178" spans="3:46" x14ac:dyDescent="0.4">
      <c r="C178"/>
      <c r="AL178"/>
      <c r="AS178"/>
      <c r="AT178"/>
    </row>
    <row r="179" spans="3:46" x14ac:dyDescent="0.4">
      <c r="C179"/>
      <c r="AL179"/>
      <c r="AS179"/>
      <c r="AT179"/>
    </row>
    <row r="180" spans="3:46" x14ac:dyDescent="0.4">
      <c r="AL180"/>
      <c r="AS180"/>
      <c r="AT180"/>
    </row>
    <row r="181" spans="3:46" x14ac:dyDescent="0.4">
      <c r="AL181"/>
      <c r="AS181"/>
      <c r="AT181"/>
    </row>
    <row r="182" spans="3:46" x14ac:dyDescent="0.4">
      <c r="AL182"/>
      <c r="AS182"/>
      <c r="AT182"/>
    </row>
    <row r="183" spans="3:46" x14ac:dyDescent="0.4">
      <c r="AL183"/>
      <c r="AS183"/>
      <c r="AT183"/>
    </row>
    <row r="184" spans="3:46" x14ac:dyDescent="0.4">
      <c r="AL184"/>
      <c r="AS184"/>
      <c r="AT184"/>
    </row>
    <row r="185" spans="3:46" x14ac:dyDescent="0.4">
      <c r="AL185"/>
      <c r="AS185"/>
      <c r="AT185"/>
    </row>
    <row r="186" spans="3:46" x14ac:dyDescent="0.4">
      <c r="AL186"/>
      <c r="AS186"/>
      <c r="AT186"/>
    </row>
    <row r="187" spans="3:46" x14ac:dyDescent="0.4">
      <c r="AL187"/>
      <c r="AS187"/>
      <c r="AT187"/>
    </row>
    <row r="188" spans="3:46" x14ac:dyDescent="0.4">
      <c r="AL188"/>
      <c r="AS188"/>
      <c r="AT188"/>
    </row>
    <row r="189" spans="3:46" x14ac:dyDescent="0.4">
      <c r="AL189"/>
      <c r="AS189"/>
      <c r="AT189"/>
    </row>
    <row r="190" spans="3:46" x14ac:dyDescent="0.4">
      <c r="AL190"/>
      <c r="AS190"/>
      <c r="AT190"/>
    </row>
    <row r="191" spans="3:46" x14ac:dyDescent="0.4">
      <c r="AL191"/>
      <c r="AS191"/>
      <c r="AT191"/>
    </row>
    <row r="192" spans="3:46" x14ac:dyDescent="0.4">
      <c r="AL192"/>
      <c r="AS192"/>
      <c r="AT192"/>
    </row>
    <row r="193" spans="38:46" x14ac:dyDescent="0.4">
      <c r="AL193"/>
      <c r="AS193"/>
      <c r="AT193"/>
    </row>
    <row r="194" spans="38:46" x14ac:dyDescent="0.4">
      <c r="AL194"/>
      <c r="AS194"/>
      <c r="AT194"/>
    </row>
    <row r="195" spans="38:46" x14ac:dyDescent="0.4">
      <c r="AL195"/>
      <c r="AS195"/>
      <c r="AT195"/>
    </row>
    <row r="196" spans="38:46" x14ac:dyDescent="0.4">
      <c r="AL196"/>
      <c r="AS196"/>
      <c r="AT196"/>
    </row>
    <row r="197" spans="38:46" x14ac:dyDescent="0.4">
      <c r="AL197"/>
      <c r="AS197"/>
      <c r="AT197"/>
    </row>
    <row r="198" spans="38:46" x14ac:dyDescent="0.4">
      <c r="AL198"/>
      <c r="AS198"/>
      <c r="AT198"/>
    </row>
    <row r="199" spans="38:46" x14ac:dyDescent="0.4">
      <c r="AL199"/>
      <c r="AS199"/>
      <c r="AT199"/>
    </row>
    <row r="200" spans="38:46" x14ac:dyDescent="0.4">
      <c r="AL200"/>
      <c r="AS200"/>
      <c r="AT200"/>
    </row>
    <row r="201" spans="38:46" x14ac:dyDescent="0.4">
      <c r="AL201"/>
      <c r="AS201"/>
      <c r="AT201"/>
    </row>
    <row r="202" spans="38:46" x14ac:dyDescent="0.4">
      <c r="AL202"/>
      <c r="AS202"/>
      <c r="AT202"/>
    </row>
    <row r="203" spans="38:46" x14ac:dyDescent="0.4">
      <c r="AL203"/>
      <c r="AS203"/>
      <c r="AT203"/>
    </row>
    <row r="204" spans="38:46" x14ac:dyDescent="0.4">
      <c r="AL204"/>
      <c r="AS204"/>
      <c r="AT204"/>
    </row>
    <row r="205" spans="38:46" x14ac:dyDescent="0.4">
      <c r="AL205"/>
      <c r="AS205"/>
      <c r="AT205"/>
    </row>
    <row r="206" spans="38:46" x14ac:dyDescent="0.4">
      <c r="AL206"/>
      <c r="AS206"/>
      <c r="AT206"/>
    </row>
    <row r="207" spans="38:46" x14ac:dyDescent="0.4">
      <c r="AL207"/>
      <c r="AS207"/>
      <c r="AT207"/>
    </row>
    <row r="208" spans="38:46" x14ac:dyDescent="0.4">
      <c r="AL208"/>
      <c r="AS208"/>
      <c r="AT208"/>
    </row>
    <row r="209" spans="38:46" x14ac:dyDescent="0.4">
      <c r="AL209"/>
      <c r="AS209"/>
      <c r="AT209"/>
    </row>
    <row r="210" spans="38:46" x14ac:dyDescent="0.4">
      <c r="AS210"/>
      <c r="AT210"/>
    </row>
    <row r="211" spans="38:46" x14ac:dyDescent="0.4">
      <c r="AS211"/>
      <c r="AT211"/>
    </row>
    <row r="212" spans="38:46" x14ac:dyDescent="0.4">
      <c r="AS212"/>
      <c r="AT212"/>
    </row>
    <row r="213" spans="38:46" x14ac:dyDescent="0.4">
      <c r="AS213"/>
      <c r="AT213"/>
    </row>
    <row r="214" spans="38:46" x14ac:dyDescent="0.4">
      <c r="AS214"/>
      <c r="AT214"/>
    </row>
    <row r="215" spans="38:46" x14ac:dyDescent="0.4">
      <c r="AS215"/>
      <c r="AT215"/>
    </row>
    <row r="216" spans="38:46" x14ac:dyDescent="0.4">
      <c r="AS216"/>
      <c r="AT216"/>
    </row>
    <row r="217" spans="38:46" x14ac:dyDescent="0.4">
      <c r="AS217"/>
      <c r="AT217"/>
    </row>
    <row r="218" spans="38:46" x14ac:dyDescent="0.4">
      <c r="AS218"/>
      <c r="AT218"/>
    </row>
    <row r="219" spans="38:46" x14ac:dyDescent="0.4">
      <c r="AS219"/>
      <c r="AT219"/>
    </row>
    <row r="220" spans="38:46" x14ac:dyDescent="0.4">
      <c r="AS220"/>
      <c r="AT220"/>
    </row>
    <row r="221" spans="38:46" x14ac:dyDescent="0.4">
      <c r="AS221"/>
      <c r="AT221"/>
    </row>
    <row r="222" spans="38:46" x14ac:dyDescent="0.4">
      <c r="AS222"/>
      <c r="AT222"/>
    </row>
    <row r="223" spans="38:46" x14ac:dyDescent="0.4">
      <c r="AS223"/>
      <c r="AT223"/>
    </row>
    <row r="224" spans="38:46" x14ac:dyDescent="0.4">
      <c r="AS224"/>
      <c r="AT224"/>
    </row>
    <row r="225" spans="45:46" x14ac:dyDescent="0.4">
      <c r="AS225"/>
      <c r="AT225"/>
    </row>
    <row r="226" spans="45:46" x14ac:dyDescent="0.4">
      <c r="AS226"/>
      <c r="AT226"/>
    </row>
    <row r="227" spans="45:46" x14ac:dyDescent="0.4">
      <c r="AS227"/>
      <c r="AT227"/>
    </row>
    <row r="228" spans="45:46" x14ac:dyDescent="0.4">
      <c r="AS228"/>
      <c r="AT228"/>
    </row>
    <row r="229" spans="45:46" x14ac:dyDescent="0.4">
      <c r="AS229"/>
      <c r="AT229"/>
    </row>
    <row r="230" spans="45:46" x14ac:dyDescent="0.4">
      <c r="AS230"/>
      <c r="AT230"/>
    </row>
    <row r="231" spans="45:46" x14ac:dyDescent="0.4">
      <c r="AS231"/>
      <c r="AT231"/>
    </row>
    <row r="232" spans="45:46" x14ac:dyDescent="0.4">
      <c r="AS232"/>
      <c r="AT232"/>
    </row>
    <row r="233" spans="45:46" x14ac:dyDescent="0.4">
      <c r="AS233"/>
      <c r="AT233"/>
    </row>
    <row r="234" spans="45:46" x14ac:dyDescent="0.4">
      <c r="AS234"/>
      <c r="AT234"/>
    </row>
    <row r="235" spans="45:46" x14ac:dyDescent="0.4">
      <c r="AS235"/>
      <c r="AT235"/>
    </row>
    <row r="236" spans="45:46" x14ac:dyDescent="0.4">
      <c r="AS236"/>
      <c r="AT236"/>
    </row>
    <row r="237" spans="45:46" x14ac:dyDescent="0.4">
      <c r="AS237"/>
      <c r="AT237"/>
    </row>
    <row r="238" spans="45:46" x14ac:dyDescent="0.4">
      <c r="AS238"/>
      <c r="AT238"/>
    </row>
    <row r="239" spans="45:46" x14ac:dyDescent="0.4">
      <c r="AS239"/>
      <c r="AT239"/>
    </row>
    <row r="240" spans="45:46" x14ac:dyDescent="0.4">
      <c r="AS240"/>
      <c r="AT240"/>
    </row>
    <row r="241" spans="45:46" x14ac:dyDescent="0.4">
      <c r="AS241"/>
      <c r="AT241"/>
    </row>
    <row r="242" spans="45:46" x14ac:dyDescent="0.4">
      <c r="AS242"/>
      <c r="AT242"/>
    </row>
    <row r="243" spans="45:46" x14ac:dyDescent="0.4">
      <c r="AS243"/>
      <c r="AT243"/>
    </row>
    <row r="244" spans="45:46" x14ac:dyDescent="0.4">
      <c r="AS244"/>
      <c r="AT244"/>
    </row>
    <row r="245" spans="45:46" x14ac:dyDescent="0.4">
      <c r="AS245"/>
      <c r="AT245"/>
    </row>
    <row r="246" spans="45:46" x14ac:dyDescent="0.4">
      <c r="AS246"/>
      <c r="AT246"/>
    </row>
    <row r="247" spans="45:46" x14ac:dyDescent="0.4">
      <c r="AS247"/>
      <c r="AT247"/>
    </row>
    <row r="248" spans="45:46" x14ac:dyDescent="0.4">
      <c r="AS248"/>
      <c r="AT248"/>
    </row>
    <row r="249" spans="45:46" x14ac:dyDescent="0.4">
      <c r="AS249"/>
      <c r="AT249"/>
    </row>
    <row r="250" spans="45:46" x14ac:dyDescent="0.4">
      <c r="AS250"/>
      <c r="AT250"/>
    </row>
    <row r="251" spans="45:46" x14ac:dyDescent="0.4">
      <c r="AS251"/>
      <c r="AT251"/>
    </row>
    <row r="252" spans="45:46" x14ac:dyDescent="0.4">
      <c r="AS252"/>
      <c r="AT252"/>
    </row>
    <row r="253" spans="45:46" x14ac:dyDescent="0.4">
      <c r="AS253"/>
      <c r="AT253"/>
    </row>
    <row r="254" spans="45:46" x14ac:dyDescent="0.4">
      <c r="AS254"/>
      <c r="AT254"/>
    </row>
    <row r="255" spans="45:46" x14ac:dyDescent="0.4">
      <c r="AS255"/>
      <c r="AT255"/>
    </row>
    <row r="256" spans="45:46" x14ac:dyDescent="0.4">
      <c r="AS256"/>
      <c r="AT256"/>
    </row>
    <row r="257" spans="45:46" x14ac:dyDescent="0.4">
      <c r="AS257"/>
      <c r="AT257"/>
    </row>
    <row r="258" spans="45:46" x14ac:dyDescent="0.4">
      <c r="AS258"/>
      <c r="AT258"/>
    </row>
    <row r="259" spans="45:46" x14ac:dyDescent="0.4">
      <c r="AS259"/>
      <c r="AT259"/>
    </row>
    <row r="260" spans="45:46" x14ac:dyDescent="0.4">
      <c r="AS260"/>
      <c r="AT260"/>
    </row>
    <row r="261" spans="45:46" x14ac:dyDescent="0.4">
      <c r="AS261"/>
      <c r="AT261"/>
    </row>
    <row r="262" spans="45:46" x14ac:dyDescent="0.4">
      <c r="AS262"/>
      <c r="AT262"/>
    </row>
    <row r="263" spans="45:46" x14ac:dyDescent="0.4">
      <c r="AS263"/>
      <c r="AT263"/>
    </row>
    <row r="264" spans="45:46" x14ac:dyDescent="0.4">
      <c r="AS264"/>
      <c r="AT264"/>
    </row>
    <row r="265" spans="45:46" x14ac:dyDescent="0.4">
      <c r="AS265"/>
      <c r="AT265"/>
    </row>
    <row r="266" spans="45:46" x14ac:dyDescent="0.4">
      <c r="AS266"/>
      <c r="AT266"/>
    </row>
    <row r="267" spans="45:46" x14ac:dyDescent="0.4">
      <c r="AS267"/>
      <c r="AT267"/>
    </row>
    <row r="268" spans="45:46" x14ac:dyDescent="0.4">
      <c r="AS268"/>
      <c r="AT268"/>
    </row>
    <row r="269" spans="45:46" x14ac:dyDescent="0.4">
      <c r="AS269"/>
      <c r="AT269"/>
    </row>
    <row r="270" spans="45:46" x14ac:dyDescent="0.4">
      <c r="AS270"/>
      <c r="AT270"/>
    </row>
    <row r="271" spans="45:46" x14ac:dyDescent="0.4">
      <c r="AS271"/>
      <c r="AT271"/>
    </row>
    <row r="272" spans="45:46" x14ac:dyDescent="0.4">
      <c r="AS272"/>
      <c r="AT272"/>
    </row>
    <row r="273" spans="45:46" x14ac:dyDescent="0.4">
      <c r="AS273"/>
      <c r="AT273"/>
    </row>
    <row r="274" spans="45:46" x14ac:dyDescent="0.4">
      <c r="AS274"/>
      <c r="AT274"/>
    </row>
    <row r="275" spans="45:46" x14ac:dyDescent="0.4">
      <c r="AS275"/>
      <c r="AT275"/>
    </row>
    <row r="276" spans="45:46" x14ac:dyDescent="0.4">
      <c r="AS276"/>
      <c r="AT276"/>
    </row>
    <row r="277" spans="45:46" x14ac:dyDescent="0.4">
      <c r="AS277"/>
      <c r="AT277"/>
    </row>
    <row r="278" spans="45:46" x14ac:dyDescent="0.4">
      <c r="AS278"/>
      <c r="AT278"/>
    </row>
    <row r="279" spans="45:46" x14ac:dyDescent="0.4">
      <c r="AS279"/>
      <c r="AT279"/>
    </row>
    <row r="280" spans="45:46" x14ac:dyDescent="0.4">
      <c r="AS280"/>
      <c r="AT280"/>
    </row>
    <row r="281" spans="45:46" x14ac:dyDescent="0.4">
      <c r="AS281"/>
      <c r="AT281"/>
    </row>
    <row r="282" spans="45:46" x14ac:dyDescent="0.4">
      <c r="AS282"/>
      <c r="AT282"/>
    </row>
    <row r="283" spans="45:46" x14ac:dyDescent="0.4">
      <c r="AS283"/>
      <c r="AT283"/>
    </row>
    <row r="284" spans="45:46" x14ac:dyDescent="0.4">
      <c r="AS284"/>
      <c r="AT284"/>
    </row>
    <row r="285" spans="45:46" x14ac:dyDescent="0.4">
      <c r="AS285"/>
      <c r="AT285"/>
    </row>
    <row r="286" spans="45:46" x14ac:dyDescent="0.4">
      <c r="AS286"/>
      <c r="AT286"/>
    </row>
    <row r="287" spans="45:46" x14ac:dyDescent="0.4">
      <c r="AS287"/>
      <c r="AT287"/>
    </row>
    <row r="288" spans="45:46" x14ac:dyDescent="0.4">
      <c r="AS288"/>
      <c r="AT288"/>
    </row>
    <row r="289" spans="45:46" x14ac:dyDescent="0.4">
      <c r="AS289"/>
      <c r="AT289"/>
    </row>
    <row r="290" spans="45:46" x14ac:dyDescent="0.4">
      <c r="AS290"/>
      <c r="AT290"/>
    </row>
    <row r="291" spans="45:46" x14ac:dyDescent="0.4">
      <c r="AS291"/>
      <c r="AT291"/>
    </row>
    <row r="292" spans="45:46" x14ac:dyDescent="0.4">
      <c r="AS292"/>
      <c r="AT292"/>
    </row>
    <row r="293" spans="45:46" x14ac:dyDescent="0.4">
      <c r="AS293"/>
      <c r="AT293"/>
    </row>
    <row r="294" spans="45:46" x14ac:dyDescent="0.4">
      <c r="AS294"/>
      <c r="AT294"/>
    </row>
    <row r="295" spans="45:46" x14ac:dyDescent="0.4">
      <c r="AS295"/>
      <c r="AT295"/>
    </row>
    <row r="296" spans="45:46" x14ac:dyDescent="0.4">
      <c r="AS296"/>
      <c r="AT296"/>
    </row>
    <row r="297" spans="45:46" x14ac:dyDescent="0.4">
      <c r="AS297"/>
      <c r="AT297"/>
    </row>
    <row r="298" spans="45:46" x14ac:dyDescent="0.4">
      <c r="AS298"/>
      <c r="AT298"/>
    </row>
    <row r="299" spans="45:46" x14ac:dyDescent="0.4">
      <c r="AS299"/>
      <c r="AT299"/>
    </row>
    <row r="300" spans="45:46" x14ac:dyDescent="0.4">
      <c r="AS300"/>
      <c r="AT300"/>
    </row>
    <row r="301" spans="45:46" x14ac:dyDescent="0.4">
      <c r="AS301"/>
      <c r="AT301"/>
    </row>
    <row r="302" spans="45:46" x14ac:dyDescent="0.4">
      <c r="AS302"/>
      <c r="AT302"/>
    </row>
    <row r="303" spans="45:46" x14ac:dyDescent="0.4">
      <c r="AS303"/>
      <c r="AT303"/>
    </row>
    <row r="304" spans="45:46" x14ac:dyDescent="0.4">
      <c r="AS304"/>
      <c r="AT304"/>
    </row>
    <row r="305" spans="45:46" x14ac:dyDescent="0.4">
      <c r="AS305"/>
      <c r="AT305"/>
    </row>
    <row r="306" spans="45:46" x14ac:dyDescent="0.4">
      <c r="AS306"/>
      <c r="AT306"/>
    </row>
    <row r="307" spans="45:46" x14ac:dyDescent="0.4">
      <c r="AS307"/>
      <c r="AT307"/>
    </row>
    <row r="308" spans="45:46" x14ac:dyDescent="0.4">
      <c r="AS308"/>
      <c r="AT308"/>
    </row>
    <row r="309" spans="45:46" x14ac:dyDescent="0.4">
      <c r="AS309"/>
      <c r="AT309"/>
    </row>
    <row r="310" spans="45:46" x14ac:dyDescent="0.4">
      <c r="AS310"/>
      <c r="AT310"/>
    </row>
    <row r="311" spans="45:46" x14ac:dyDescent="0.4">
      <c r="AS311"/>
      <c r="AT311"/>
    </row>
    <row r="312" spans="45:46" x14ac:dyDescent="0.4">
      <c r="AS312"/>
      <c r="AT312"/>
    </row>
    <row r="313" spans="45:46" x14ac:dyDescent="0.4">
      <c r="AS313"/>
      <c r="AT313"/>
    </row>
    <row r="314" spans="45:46" x14ac:dyDescent="0.4">
      <c r="AS314"/>
      <c r="AT314"/>
    </row>
    <row r="315" spans="45:46" x14ac:dyDescent="0.4">
      <c r="AS315"/>
      <c r="AT315"/>
    </row>
    <row r="316" spans="45:46" x14ac:dyDescent="0.4">
      <c r="AS316"/>
      <c r="AT316"/>
    </row>
    <row r="317" spans="45:46" x14ac:dyDescent="0.4">
      <c r="AS317"/>
      <c r="AT317"/>
    </row>
    <row r="318" spans="45:46" x14ac:dyDescent="0.4">
      <c r="AS318"/>
      <c r="AT318"/>
    </row>
    <row r="319" spans="45:46" x14ac:dyDescent="0.4">
      <c r="AS319"/>
      <c r="AT319"/>
    </row>
    <row r="320" spans="45:46" x14ac:dyDescent="0.4">
      <c r="AS320"/>
      <c r="AT320"/>
    </row>
    <row r="321" spans="45:46" x14ac:dyDescent="0.4">
      <c r="AS321"/>
      <c r="AT321"/>
    </row>
    <row r="322" spans="45:46" x14ac:dyDescent="0.4">
      <c r="AS322"/>
      <c r="AT322"/>
    </row>
    <row r="323" spans="45:46" x14ac:dyDescent="0.4">
      <c r="AS323"/>
      <c r="AT323"/>
    </row>
    <row r="324" spans="45:46" x14ac:dyDescent="0.4">
      <c r="AS324"/>
      <c r="AT324"/>
    </row>
    <row r="325" spans="45:46" x14ac:dyDescent="0.4">
      <c r="AS325"/>
      <c r="AT325"/>
    </row>
    <row r="326" spans="45:46" x14ac:dyDescent="0.4">
      <c r="AS326"/>
      <c r="AT326"/>
    </row>
    <row r="327" spans="45:46" x14ac:dyDescent="0.4">
      <c r="AS327"/>
      <c r="AT327"/>
    </row>
    <row r="328" spans="45:46" x14ac:dyDescent="0.4">
      <c r="AS328"/>
      <c r="AT328"/>
    </row>
    <row r="329" spans="45:46" x14ac:dyDescent="0.4">
      <c r="AS329"/>
      <c r="AT329"/>
    </row>
    <row r="330" spans="45:46" x14ac:dyDescent="0.4">
      <c r="AS330"/>
      <c r="AT330"/>
    </row>
    <row r="331" spans="45:46" x14ac:dyDescent="0.4">
      <c r="AS331"/>
      <c r="AT331"/>
    </row>
    <row r="332" spans="45:46" x14ac:dyDescent="0.4">
      <c r="AS332"/>
      <c r="AT332"/>
    </row>
    <row r="333" spans="45:46" x14ac:dyDescent="0.4">
      <c r="AS333"/>
      <c r="AT333"/>
    </row>
    <row r="334" spans="45:46" x14ac:dyDescent="0.4">
      <c r="AS334"/>
      <c r="AT334"/>
    </row>
    <row r="335" spans="45:46" x14ac:dyDescent="0.4">
      <c r="AS335"/>
      <c r="AT335"/>
    </row>
    <row r="336" spans="45:46" x14ac:dyDescent="0.4">
      <c r="AS336"/>
      <c r="AT336"/>
    </row>
    <row r="337" spans="45:46" x14ac:dyDescent="0.4">
      <c r="AS337"/>
      <c r="AT337"/>
    </row>
    <row r="338" spans="45:46" x14ac:dyDescent="0.4">
      <c r="AS338"/>
      <c r="AT338"/>
    </row>
    <row r="339" spans="45:46" x14ac:dyDescent="0.4">
      <c r="AS339"/>
      <c r="AT339"/>
    </row>
    <row r="340" spans="45:46" x14ac:dyDescent="0.4">
      <c r="AS340"/>
      <c r="AT340"/>
    </row>
    <row r="341" spans="45:46" x14ac:dyDescent="0.4">
      <c r="AS341"/>
      <c r="AT341"/>
    </row>
    <row r="342" spans="45:46" x14ac:dyDescent="0.4">
      <c r="AS342"/>
      <c r="AT342"/>
    </row>
    <row r="343" spans="45:46" x14ac:dyDescent="0.4">
      <c r="AS343"/>
      <c r="AT343"/>
    </row>
    <row r="344" spans="45:46" x14ac:dyDescent="0.4">
      <c r="AS344"/>
      <c r="AT344"/>
    </row>
    <row r="345" spans="45:46" x14ac:dyDescent="0.4">
      <c r="AS345"/>
      <c r="AT345"/>
    </row>
    <row r="346" spans="45:46" x14ac:dyDescent="0.4">
      <c r="AS346"/>
      <c r="AT346"/>
    </row>
    <row r="347" spans="45:46" x14ac:dyDescent="0.4">
      <c r="AS347"/>
      <c r="AT347"/>
    </row>
    <row r="348" spans="45:46" x14ac:dyDescent="0.4">
      <c r="AS348"/>
      <c r="AT348"/>
    </row>
    <row r="349" spans="45:46" x14ac:dyDescent="0.4">
      <c r="AS349"/>
      <c r="AT349"/>
    </row>
    <row r="350" spans="45:46" x14ac:dyDescent="0.4">
      <c r="AS350"/>
      <c r="AT350"/>
    </row>
    <row r="351" spans="45:46" x14ac:dyDescent="0.4">
      <c r="AS351"/>
      <c r="AT351"/>
    </row>
    <row r="352" spans="45:46" x14ac:dyDescent="0.4">
      <c r="AS352"/>
      <c r="AT352"/>
    </row>
    <row r="353" spans="45:46" x14ac:dyDescent="0.4">
      <c r="AS353"/>
      <c r="AT353"/>
    </row>
    <row r="354" spans="45:46" x14ac:dyDescent="0.4">
      <c r="AS354"/>
      <c r="AT354"/>
    </row>
    <row r="355" spans="45:46" x14ac:dyDescent="0.4">
      <c r="AS355"/>
      <c r="AT355"/>
    </row>
    <row r="356" spans="45:46" x14ac:dyDescent="0.4">
      <c r="AS356"/>
      <c r="AT356"/>
    </row>
    <row r="357" spans="45:46" x14ac:dyDescent="0.4">
      <c r="AS357"/>
      <c r="AT357"/>
    </row>
    <row r="358" spans="45:46" x14ac:dyDescent="0.4">
      <c r="AS358"/>
      <c r="AT358"/>
    </row>
    <row r="359" spans="45:46" x14ac:dyDescent="0.4">
      <c r="AS359"/>
      <c r="AT359"/>
    </row>
    <row r="360" spans="45:46" x14ac:dyDescent="0.4">
      <c r="AS360"/>
      <c r="AT360"/>
    </row>
    <row r="361" spans="45:46" x14ac:dyDescent="0.4">
      <c r="AS361"/>
      <c r="AT361"/>
    </row>
    <row r="362" spans="45:46" x14ac:dyDescent="0.4">
      <c r="AS362"/>
      <c r="AT362"/>
    </row>
    <row r="363" spans="45:46" x14ac:dyDescent="0.4">
      <c r="AS363"/>
      <c r="AT363"/>
    </row>
    <row r="364" spans="45:46" x14ac:dyDescent="0.4">
      <c r="AS364"/>
      <c r="AT364"/>
    </row>
    <row r="365" spans="45:46" x14ac:dyDescent="0.4">
      <c r="AS365"/>
      <c r="AT365"/>
    </row>
    <row r="366" spans="45:46" x14ac:dyDescent="0.4">
      <c r="AS366"/>
      <c r="AT366"/>
    </row>
    <row r="367" spans="45:46" x14ac:dyDescent="0.4">
      <c r="AS367"/>
      <c r="AT367"/>
    </row>
    <row r="368" spans="45:46" x14ac:dyDescent="0.4">
      <c r="AS368"/>
      <c r="AT368"/>
    </row>
    <row r="369" spans="45:46" x14ac:dyDescent="0.4">
      <c r="AS369"/>
      <c r="AT369"/>
    </row>
    <row r="370" spans="45:46" x14ac:dyDescent="0.4">
      <c r="AS370"/>
      <c r="AT370"/>
    </row>
    <row r="371" spans="45:46" x14ac:dyDescent="0.4">
      <c r="AS371"/>
      <c r="AT371"/>
    </row>
    <row r="372" spans="45:46" x14ac:dyDescent="0.4">
      <c r="AS372"/>
      <c r="AT372"/>
    </row>
    <row r="373" spans="45:46" x14ac:dyDescent="0.4">
      <c r="AS373"/>
      <c r="AT373"/>
    </row>
    <row r="374" spans="45:46" x14ac:dyDescent="0.4">
      <c r="AS374"/>
      <c r="AT374"/>
    </row>
    <row r="375" spans="45:46" x14ac:dyDescent="0.4">
      <c r="AS375"/>
      <c r="AT375"/>
    </row>
    <row r="376" spans="45:46" x14ac:dyDescent="0.4">
      <c r="AS376"/>
      <c r="AT376"/>
    </row>
    <row r="377" spans="45:46" x14ac:dyDescent="0.4">
      <c r="AS377"/>
      <c r="AT377"/>
    </row>
    <row r="378" spans="45:46" x14ac:dyDescent="0.4">
      <c r="AS378"/>
      <c r="AT378"/>
    </row>
    <row r="379" spans="45:46" x14ac:dyDescent="0.4">
      <c r="AS379"/>
      <c r="AT379"/>
    </row>
    <row r="380" spans="45:46" x14ac:dyDescent="0.4">
      <c r="AS380"/>
      <c r="AT380"/>
    </row>
    <row r="381" spans="45:46" x14ac:dyDescent="0.4">
      <c r="AS381"/>
      <c r="AT381"/>
    </row>
    <row r="382" spans="45:46" x14ac:dyDescent="0.4">
      <c r="AS382"/>
      <c r="AT382"/>
    </row>
    <row r="383" spans="45:46" x14ac:dyDescent="0.4">
      <c r="AS383"/>
      <c r="AT383"/>
    </row>
    <row r="384" spans="45:46" x14ac:dyDescent="0.4">
      <c r="AS384"/>
      <c r="AT384"/>
    </row>
    <row r="385" spans="45:46" x14ac:dyDescent="0.4">
      <c r="AS385"/>
      <c r="AT385"/>
    </row>
    <row r="386" spans="45:46" x14ac:dyDescent="0.4">
      <c r="AS386"/>
      <c r="AT386"/>
    </row>
    <row r="387" spans="45:46" x14ac:dyDescent="0.4">
      <c r="AS387"/>
      <c r="AT387"/>
    </row>
    <row r="388" spans="45:46" x14ac:dyDescent="0.4">
      <c r="AS388"/>
      <c r="AT388"/>
    </row>
    <row r="389" spans="45:46" x14ac:dyDescent="0.4">
      <c r="AS389"/>
      <c r="AT389"/>
    </row>
    <row r="390" spans="45:46" x14ac:dyDescent="0.4">
      <c r="AS390"/>
      <c r="AT390"/>
    </row>
    <row r="391" spans="45:46" x14ac:dyDescent="0.4">
      <c r="AS391"/>
      <c r="AT391"/>
    </row>
    <row r="392" spans="45:46" x14ac:dyDescent="0.4">
      <c r="AS392"/>
      <c r="AT392"/>
    </row>
    <row r="393" spans="45:46" x14ac:dyDescent="0.4">
      <c r="AS393"/>
      <c r="AT393"/>
    </row>
    <row r="394" spans="45:46" x14ac:dyDescent="0.4">
      <c r="AS394"/>
      <c r="AT394"/>
    </row>
    <row r="395" spans="45:46" x14ac:dyDescent="0.4">
      <c r="AS395"/>
      <c r="AT395"/>
    </row>
    <row r="396" spans="45:46" x14ac:dyDescent="0.4">
      <c r="AS396"/>
      <c r="AT396"/>
    </row>
    <row r="397" spans="45:46" x14ac:dyDescent="0.4">
      <c r="AS397"/>
      <c r="AT397"/>
    </row>
    <row r="398" spans="45:46" x14ac:dyDescent="0.4">
      <c r="AS398"/>
      <c r="AT398"/>
    </row>
    <row r="399" spans="45:46" x14ac:dyDescent="0.4">
      <c r="AS399"/>
      <c r="AT399"/>
    </row>
    <row r="400" spans="45:46" x14ac:dyDescent="0.4">
      <c r="AS400"/>
      <c r="AT400"/>
    </row>
    <row r="401" spans="45:46" x14ac:dyDescent="0.4">
      <c r="AS401"/>
      <c r="AT401"/>
    </row>
    <row r="402" spans="45:46" x14ac:dyDescent="0.4">
      <c r="AS402"/>
      <c r="AT402"/>
    </row>
    <row r="403" spans="45:46" x14ac:dyDescent="0.4">
      <c r="AS403"/>
      <c r="AT403"/>
    </row>
    <row r="404" spans="45:46" x14ac:dyDescent="0.4">
      <c r="AS404"/>
      <c r="AT404"/>
    </row>
    <row r="405" spans="45:46" x14ac:dyDescent="0.4">
      <c r="AS405"/>
      <c r="AT405"/>
    </row>
    <row r="406" spans="45:46" x14ac:dyDescent="0.4">
      <c r="AS406"/>
      <c r="AT406"/>
    </row>
    <row r="407" spans="45:46" x14ac:dyDescent="0.4">
      <c r="AS407"/>
      <c r="AT407"/>
    </row>
    <row r="408" spans="45:46" x14ac:dyDescent="0.4">
      <c r="AS408"/>
      <c r="AT408"/>
    </row>
    <row r="409" spans="45:46" x14ac:dyDescent="0.4">
      <c r="AS409"/>
      <c r="AT409"/>
    </row>
    <row r="410" spans="45:46" x14ac:dyDescent="0.4">
      <c r="AS410"/>
      <c r="AT410"/>
    </row>
    <row r="411" spans="45:46" x14ac:dyDescent="0.4">
      <c r="AS411"/>
      <c r="AT411"/>
    </row>
    <row r="412" spans="45:46" x14ac:dyDescent="0.4">
      <c r="AS412"/>
      <c r="AT412"/>
    </row>
    <row r="413" spans="45:46" x14ac:dyDescent="0.4">
      <c r="AS413"/>
      <c r="AT413"/>
    </row>
    <row r="414" spans="45:46" x14ac:dyDescent="0.4">
      <c r="AS414"/>
      <c r="AT414"/>
    </row>
    <row r="415" spans="45:46" x14ac:dyDescent="0.4">
      <c r="AS415"/>
      <c r="AT415"/>
    </row>
    <row r="416" spans="45:46" x14ac:dyDescent="0.4">
      <c r="AS416"/>
      <c r="AT416"/>
    </row>
    <row r="417" spans="45:46" x14ac:dyDescent="0.4">
      <c r="AS417"/>
      <c r="AT417"/>
    </row>
    <row r="418" spans="45:46" x14ac:dyDescent="0.4">
      <c r="AS418"/>
      <c r="AT418"/>
    </row>
  </sheetData>
  <mergeCells count="7">
    <mergeCell ref="BI8:BK9"/>
    <mergeCell ref="BL8:BN9"/>
    <mergeCell ref="AK8:AN9"/>
    <mergeCell ref="AZ8:BA9"/>
    <mergeCell ref="Y8:AF9"/>
    <mergeCell ref="AS8:AU9"/>
    <mergeCell ref="BD8:BE9"/>
  </mergeCells>
  <printOptions headings="1"/>
  <pageMargins left="0.25" right="0.25" top="1" bottom="0.75" header="0.1" footer="0.3"/>
  <pageSetup orientation="portrait" r:id="rId10"/>
  <headerFooter>
    <oddHeader>&amp;L&amp;"Bauhaus 93,Regular"&amp;28 &amp;A&amp;R&amp;"Bauhaus 93,Regular"&amp;26&amp;G</oddHeader>
    <oddFooter xml:space="preserve">&amp;L&amp;D &amp;T&amp;C&amp;P of &amp;N&amp;R&amp;Z&amp;F </oddFooter>
  </headerFooter>
  <drawing r:id="rId11"/>
  <legacyDrawingHF r:id="rId12"/>
  <extLst>
    <ext xmlns:x14="http://schemas.microsoft.com/office/spreadsheetml/2009/9/main" uri="{A8765BA9-456A-4dab-B4F3-ACF838C121DE}">
      <x14:slicerList>
        <x14:slicer r:id="rId13"/>
      </x14:slicerList>
    </ext>
    <ext xmlns:x15="http://schemas.microsoft.com/office/spreadsheetml/2010/11/main" uri="{7E03D99C-DC04-49d9-9315-930204A7B6E9}">
      <x15:timelineRefs>
        <x15:timelineRef r:id="rId1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ersInst">
    <tabColor theme="3"/>
  </sheetPr>
  <dimension ref="A1:AH8"/>
  <sheetViews>
    <sheetView showGridLines="0" zoomScale="106" zoomScaleNormal="106" workbookViewId="0">
      <selection activeCell="C4" sqref="C4"/>
    </sheetView>
  </sheetViews>
  <sheetFormatPr defaultRowHeight="14.6" x14ac:dyDescent="0.4"/>
  <cols>
    <col min="1" max="1" width="6.3828125" customWidth="1"/>
    <col min="2" max="2" width="14.3828125" style="6" customWidth="1"/>
    <col min="3" max="3" width="9.3828125" style="1" customWidth="1"/>
    <col min="4" max="4" width="12.53515625" customWidth="1"/>
    <col min="5" max="5" width="5.84375" customWidth="1"/>
    <col min="6" max="6" width="9.53515625" customWidth="1"/>
    <col min="7" max="7" width="6" style="1" customWidth="1"/>
    <col min="8" max="8" width="10.53515625" style="1" customWidth="1"/>
    <col min="9" max="9" width="6.3828125" style="1" customWidth="1"/>
    <col min="10" max="10" width="6.84375" style="1" customWidth="1"/>
    <col min="11" max="11" width="6.53515625" customWidth="1"/>
    <col min="12" max="12" width="4.15234375" bestFit="1" customWidth="1"/>
    <col min="13" max="13" width="3.3828125" customWidth="1"/>
    <col min="14" max="14" width="9.15234375" customWidth="1"/>
    <col min="15" max="15" width="4.69140625" customWidth="1"/>
    <col min="16" max="16" width="8.3828125" customWidth="1"/>
    <col min="17" max="17" width="3.3828125" customWidth="1"/>
    <col min="18" max="18" width="30.84375" customWidth="1"/>
    <col min="19" max="19" width="8" style="194" customWidth="1"/>
    <col min="20" max="20" width="12.53515625" style="195" customWidth="1"/>
    <col min="21" max="21" width="12.53515625" style="195" hidden="1" customWidth="1"/>
    <col min="22" max="22" width="12.53515625" style="1" customWidth="1"/>
    <col min="23" max="23" width="26.15234375" customWidth="1"/>
    <col min="24" max="24" width="5.15234375" customWidth="1"/>
    <col min="25" max="25" width="27.3828125" customWidth="1"/>
    <col min="26" max="26" width="36.53515625" customWidth="1"/>
    <col min="27" max="27" width="14.15234375" customWidth="1"/>
    <col min="28" max="29" width="11.3828125" customWidth="1"/>
    <col min="30" max="30" width="7.69140625" customWidth="1"/>
    <col min="31" max="31" width="11.15234375" style="2" customWidth="1"/>
    <col min="32" max="32" width="5.15234375" style="2" customWidth="1"/>
    <col min="33" max="33" width="7" customWidth="1"/>
    <col min="34" max="34" width="7" style="1" customWidth="1"/>
    <col min="35" max="35" width="5.3828125" customWidth="1"/>
    <col min="36" max="36" width="9.15234375" customWidth="1"/>
  </cols>
  <sheetData>
    <row r="1" spans="1:34" ht="40" customHeight="1" x14ac:dyDescent="0.4">
      <c r="B1"/>
      <c r="C1"/>
      <c r="G1" s="20"/>
      <c r="H1"/>
      <c r="I1"/>
      <c r="J1"/>
      <c r="S1" s="164"/>
      <c r="T1" s="3"/>
      <c r="U1" s="3"/>
      <c r="V1"/>
      <c r="AH1"/>
    </row>
    <row r="2" spans="1:34" ht="16.5" customHeight="1" x14ac:dyDescent="0.4">
      <c r="A2" s="76"/>
      <c r="B2" s="77" t="s">
        <v>258</v>
      </c>
      <c r="C2" s="101" t="s">
        <v>607</v>
      </c>
      <c r="D2" s="20"/>
      <c r="E2" s="79"/>
      <c r="F2" s="20"/>
      <c r="G2"/>
      <c r="H2"/>
      <c r="I2"/>
      <c r="J2"/>
      <c r="K2" s="20"/>
      <c r="L2" s="20"/>
      <c r="M2" s="20"/>
      <c r="N2" s="20"/>
      <c r="P2" s="72"/>
      <c r="Q2" s="72"/>
      <c r="R2" s="20"/>
      <c r="S2" s="164"/>
      <c r="T2" s="3"/>
      <c r="U2" s="3"/>
      <c r="V2"/>
      <c r="AB2" s="80"/>
      <c r="AH2"/>
    </row>
    <row r="3" spans="1:34" ht="16.5" customHeight="1" x14ac:dyDescent="0.4">
      <c r="B3" s="72" t="s">
        <v>259</v>
      </c>
      <c r="C3" s="99">
        <v>0</v>
      </c>
      <c r="F3" s="20"/>
      <c r="G3"/>
      <c r="H3"/>
      <c r="I3"/>
      <c r="J3"/>
      <c r="S3" s="164"/>
      <c r="T3" s="3"/>
      <c r="U3" s="3"/>
      <c r="V3"/>
      <c r="AB3" s="80"/>
      <c r="AH3"/>
    </row>
    <row r="4" spans="1:34" ht="16.5" customHeight="1" x14ac:dyDescent="0.4">
      <c r="B4" s="72" t="s">
        <v>260</v>
      </c>
      <c r="C4" s="100">
        <f>AllPIsTable[[#Totals],[prop_id]]</f>
        <v>0</v>
      </c>
      <c r="G4"/>
      <c r="H4"/>
      <c r="I4"/>
      <c r="J4"/>
      <c r="S4" s="164"/>
      <c r="T4" s="3"/>
      <c r="U4" s="3"/>
      <c r="V4"/>
      <c r="AB4" s="80"/>
      <c r="AH4"/>
    </row>
    <row r="5" spans="1:34" s="216" customFormat="1" ht="16.5" customHeight="1" thickBot="1" x14ac:dyDescent="0.45">
      <c r="B5" s="217"/>
      <c r="C5" s="218"/>
      <c r="G5" s="218"/>
      <c r="H5" s="218"/>
      <c r="I5" s="218"/>
      <c r="J5" s="218"/>
      <c r="O5" s="219" t="s">
        <v>313</v>
      </c>
      <c r="S5" s="220"/>
      <c r="T5" s="221"/>
      <c r="U5" s="221"/>
      <c r="V5" s="218"/>
      <c r="W5" s="222" t="s">
        <v>314</v>
      </c>
      <c r="AE5" s="223" t="s">
        <v>316</v>
      </c>
      <c r="AF5" s="223"/>
      <c r="AG5" s="216" t="s">
        <v>315</v>
      </c>
      <c r="AH5" s="218"/>
    </row>
    <row r="6" spans="1:34" ht="16.5" customHeight="1" x14ac:dyDescent="0.4">
      <c r="B6" s="138" t="s">
        <v>0</v>
      </c>
      <c r="C6" s="143" t="s">
        <v>32</v>
      </c>
      <c r="D6" s="139" t="s">
        <v>1</v>
      </c>
      <c r="E6" s="143" t="s">
        <v>73</v>
      </c>
      <c r="F6" s="139" t="s">
        <v>2</v>
      </c>
      <c r="G6" s="139" t="s">
        <v>75</v>
      </c>
      <c r="H6" s="139" t="s">
        <v>76</v>
      </c>
      <c r="I6" s="143" t="s">
        <v>290</v>
      </c>
      <c r="J6" s="143" t="s">
        <v>30</v>
      </c>
      <c r="K6" s="139" t="s">
        <v>6</v>
      </c>
      <c r="L6" s="215" t="s">
        <v>20</v>
      </c>
      <c r="M6" s="356" t="s">
        <v>18</v>
      </c>
      <c r="N6" s="141" t="s">
        <v>19</v>
      </c>
      <c r="O6" s="357" t="s">
        <v>74</v>
      </c>
      <c r="P6" s="141" t="s">
        <v>5</v>
      </c>
      <c r="Q6" s="142" t="s">
        <v>17</v>
      </c>
      <c r="R6" s="141" t="s">
        <v>10</v>
      </c>
      <c r="S6" s="142" t="s">
        <v>292</v>
      </c>
      <c r="T6" s="196" t="s">
        <v>7</v>
      </c>
      <c r="U6" s="348" t="s">
        <v>285</v>
      </c>
      <c r="V6" s="139" t="s">
        <v>8</v>
      </c>
      <c r="W6" s="139" t="s">
        <v>9</v>
      </c>
      <c r="X6" s="139" t="s">
        <v>21</v>
      </c>
      <c r="Y6" s="139" t="s">
        <v>14</v>
      </c>
      <c r="Z6" s="139" t="s">
        <v>22</v>
      </c>
      <c r="AA6" s="139" t="s">
        <v>85</v>
      </c>
      <c r="AB6" s="139" t="s">
        <v>27</v>
      </c>
      <c r="AC6" s="143" t="s">
        <v>11</v>
      </c>
      <c r="AD6" s="143" t="s">
        <v>13</v>
      </c>
      <c r="AE6" s="224" t="s">
        <v>12</v>
      </c>
      <c r="AF6" s="224" t="s">
        <v>23</v>
      </c>
      <c r="AG6" s="144" t="s">
        <v>24</v>
      </c>
      <c r="AH6"/>
    </row>
    <row r="7" spans="1:34" x14ac:dyDescent="0.4">
      <c r="E7" s="1"/>
      <c r="M7" s="257"/>
      <c r="N7" s="20"/>
      <c r="O7" s="165"/>
      <c r="P7" s="20"/>
      <c r="Q7" s="129"/>
      <c r="R7" s="164"/>
      <c r="S7"/>
      <c r="T7" s="1"/>
      <c r="U7" s="1"/>
      <c r="V7"/>
      <c r="AC7" s="108"/>
      <c r="AD7" s="349"/>
      <c r="AE7" s="1"/>
      <c r="AF7" s="1"/>
      <c r="AG7" s="345"/>
      <c r="AH7"/>
    </row>
    <row r="8" spans="1:34" x14ac:dyDescent="0.4">
      <c r="B8" t="s">
        <v>106</v>
      </c>
      <c r="C8"/>
      <c r="G8"/>
      <c r="H8"/>
      <c r="I8"/>
      <c r="J8"/>
      <c r="P8">
        <f>SUBTOTAL(103,AllPIsTable[prop_id])</f>
        <v>0</v>
      </c>
      <c r="S8"/>
      <c r="T8"/>
      <c r="U8"/>
      <c r="V8"/>
      <c r="AE8"/>
      <c r="AF8"/>
      <c r="AG8">
        <f>SUBTOTAL(103,AllPIsTable[epscor?])</f>
        <v>0</v>
      </c>
      <c r="AH8"/>
    </row>
  </sheetData>
  <conditionalFormatting sqref="B7:AG8">
    <cfRule type="expression" dxfId="321" priority="2">
      <formula>MOD($L7,2)=1</formula>
    </cfRule>
  </conditionalFormatting>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PersInst">
    <tabColor theme="4" tint="-0.249977111117893"/>
  </sheetPr>
  <dimension ref="A1:AA27"/>
  <sheetViews>
    <sheetView showGridLines="0" topLeftCell="E6" zoomScaleNormal="100" workbookViewId="0">
      <selection activeCell="R4" sqref="R4"/>
    </sheetView>
  </sheetViews>
  <sheetFormatPr defaultRowHeight="14.6" x14ac:dyDescent="0.4"/>
  <cols>
    <col min="1" max="1" width="3.69140625" customWidth="1"/>
    <col min="2" max="2" width="13.15234375" style="6" customWidth="1"/>
    <col min="3" max="3" width="16" style="1" customWidth="1"/>
    <col min="4" max="5" width="12.84375" customWidth="1"/>
    <col min="6" max="6" width="13.3828125" customWidth="1"/>
    <col min="7" max="7" width="11.3046875" customWidth="1"/>
    <col min="8" max="8" width="3" customWidth="1"/>
    <col min="9" max="9" width="2" customWidth="1"/>
    <col min="10" max="11" width="3.84375" customWidth="1"/>
    <col min="12" max="12" width="4.3046875" customWidth="1"/>
    <col min="13" max="14" width="16.3046875" customWidth="1"/>
    <col min="15" max="15" width="11.3046875" customWidth="1"/>
    <col min="16" max="16" width="4.84375" customWidth="1"/>
    <col min="17" max="17" width="11.3046875" customWidth="1"/>
    <col min="18" max="18" width="10.69140625" customWidth="1"/>
    <col min="19" max="19" width="8.3828125" customWidth="1"/>
    <col min="20" max="20" width="7.53515625" customWidth="1"/>
    <col min="21" max="21" width="22.69140625" customWidth="1"/>
    <col min="22" max="22" width="16" customWidth="1"/>
    <col min="23" max="23" width="6.15234375" style="1" customWidth="1"/>
    <col min="24" max="24" width="5.15234375" customWidth="1"/>
    <col min="25" max="25" width="22.69140625" customWidth="1"/>
    <col min="26" max="26" width="16" customWidth="1"/>
    <col min="27" max="27" width="6.84375" customWidth="1"/>
  </cols>
  <sheetData>
    <row r="1" spans="1:27" ht="40" customHeight="1" x14ac:dyDescent="0.4">
      <c r="B1"/>
      <c r="C1"/>
      <c r="F1" s="20"/>
      <c r="W1"/>
    </row>
    <row r="2" spans="1:27" ht="16.5" customHeight="1" x14ac:dyDescent="0.4">
      <c r="A2" s="20"/>
      <c r="B2" s="77" t="s">
        <v>258</v>
      </c>
      <c r="C2" s="101" t="s">
        <v>604</v>
      </c>
      <c r="D2" s="101"/>
      <c r="E2" s="20"/>
      <c r="P2" s="80"/>
      <c r="W2"/>
    </row>
    <row r="3" spans="1:27" ht="16.5" customHeight="1" x14ac:dyDescent="0.4">
      <c r="A3" s="20"/>
      <c r="E3" s="20"/>
      <c r="P3" s="80"/>
      <c r="W3"/>
    </row>
    <row r="4" spans="1:27" ht="16.5" customHeight="1" x14ac:dyDescent="0.4">
      <c r="B4" s="72"/>
      <c r="C4" s="100"/>
      <c r="P4" s="80"/>
      <c r="W4"/>
    </row>
    <row r="6" spans="1:27" x14ac:dyDescent="0.4">
      <c r="B6" s="105"/>
      <c r="C6" s="106"/>
      <c r="D6" s="107"/>
      <c r="E6" s="107"/>
      <c r="F6" s="107"/>
      <c r="G6" s="107"/>
      <c r="H6" s="107"/>
      <c r="I6" s="107"/>
      <c r="J6" s="107"/>
      <c r="K6" s="107"/>
      <c r="L6" s="107"/>
      <c r="M6" s="107"/>
      <c r="N6" s="107"/>
      <c r="O6" s="107"/>
      <c r="P6" s="107"/>
      <c r="Q6" s="107"/>
      <c r="R6" s="107"/>
      <c r="S6" s="107"/>
      <c r="T6" s="107"/>
      <c r="U6" s="107"/>
      <c r="V6" s="107"/>
      <c r="W6" s="106"/>
      <c r="X6" s="107"/>
      <c r="Y6" s="107"/>
      <c r="Z6" s="107"/>
      <c r="AA6" s="107"/>
    </row>
    <row r="7" spans="1:27" x14ac:dyDescent="0.4">
      <c r="L7" s="19"/>
      <c r="M7" s="19"/>
      <c r="N7" s="19"/>
      <c r="O7" s="19"/>
      <c r="P7" s="19"/>
      <c r="Q7" s="19"/>
      <c r="R7" s="19"/>
      <c r="V7" s="19"/>
      <c r="W7" s="32"/>
      <c r="X7" s="19"/>
      <c r="Y7" s="19"/>
      <c r="Z7" s="19"/>
      <c r="AA7" s="19"/>
    </row>
    <row r="8" spans="1:27" ht="24.75" customHeight="1" x14ac:dyDescent="0.4">
      <c r="L8" s="19"/>
      <c r="M8" s="383" t="s">
        <v>297</v>
      </c>
      <c r="N8" s="383"/>
      <c r="O8" s="383"/>
      <c r="P8" s="383"/>
      <c r="Q8" s="383"/>
      <c r="R8" s="383"/>
      <c r="U8" s="383" t="s">
        <v>298</v>
      </c>
      <c r="V8" s="383"/>
      <c r="W8" s="152"/>
      <c r="X8" s="152"/>
      <c r="Y8" s="383" t="s">
        <v>299</v>
      </c>
      <c r="Z8" s="383"/>
      <c r="AA8" s="19"/>
    </row>
    <row r="9" spans="1:27" ht="18.45" x14ac:dyDescent="0.4">
      <c r="V9" s="152"/>
      <c r="W9" s="152"/>
      <c r="X9" s="152"/>
      <c r="Y9" s="152"/>
      <c r="Z9" s="19"/>
      <c r="AA9" s="19"/>
    </row>
    <row r="10" spans="1:27" x14ac:dyDescent="0.4">
      <c r="M10" s="5" t="s">
        <v>264</v>
      </c>
      <c r="N10" s="5" t="s">
        <v>295</v>
      </c>
      <c r="U10" s="5" t="s">
        <v>25</v>
      </c>
      <c r="V10" t="s">
        <v>264</v>
      </c>
      <c r="W10"/>
      <c r="Y10" s="5" t="s">
        <v>25</v>
      </c>
      <c r="Z10" t="s">
        <v>264</v>
      </c>
    </row>
    <row r="11" spans="1:27" x14ac:dyDescent="0.4">
      <c r="M11" s="5" t="s">
        <v>25</v>
      </c>
      <c r="N11" t="s">
        <v>350</v>
      </c>
      <c r="O11" t="s">
        <v>26</v>
      </c>
      <c r="U11" s="4" t="s">
        <v>594</v>
      </c>
      <c r="V11" s="3">
        <v>1</v>
      </c>
      <c r="W11"/>
      <c r="X11" s="108"/>
      <c r="Y11" s="4" t="s">
        <v>594</v>
      </c>
      <c r="Z11" s="3">
        <v>1</v>
      </c>
    </row>
    <row r="12" spans="1:27" x14ac:dyDescent="0.4">
      <c r="M12" s="4" t="s">
        <v>601</v>
      </c>
      <c r="N12" s="3">
        <v>1</v>
      </c>
      <c r="O12" s="3">
        <v>1</v>
      </c>
      <c r="U12" s="4" t="s">
        <v>26</v>
      </c>
      <c r="V12" s="3">
        <v>1</v>
      </c>
      <c r="W12"/>
      <c r="X12" s="108"/>
      <c r="Y12" s="4" t="s">
        <v>26</v>
      </c>
      <c r="Z12" s="3">
        <v>1</v>
      </c>
    </row>
    <row r="13" spans="1:27" x14ac:dyDescent="0.4">
      <c r="M13" s="4" t="s">
        <v>26</v>
      </c>
      <c r="N13" s="3">
        <v>1</v>
      </c>
      <c r="O13" s="3">
        <v>1</v>
      </c>
      <c r="S13" s="3"/>
      <c r="T13" s="3"/>
      <c r="W13"/>
      <c r="X13" s="108"/>
    </row>
    <row r="14" spans="1:27" x14ac:dyDescent="0.4">
      <c r="S14" s="3"/>
      <c r="T14" s="3"/>
      <c r="W14"/>
      <c r="X14" s="108"/>
    </row>
    <row r="15" spans="1:27" x14ac:dyDescent="0.4">
      <c r="S15" s="3"/>
      <c r="T15" s="3"/>
      <c r="W15"/>
      <c r="X15" s="108"/>
    </row>
    <row r="16" spans="1:27" x14ac:dyDescent="0.4">
      <c r="S16" s="3"/>
      <c r="T16" s="3"/>
      <c r="W16"/>
      <c r="X16" s="108"/>
    </row>
    <row r="17" spans="2:24" x14ac:dyDescent="0.4">
      <c r="S17" s="3"/>
      <c r="T17" s="3"/>
      <c r="W17"/>
      <c r="X17" s="108"/>
    </row>
    <row r="18" spans="2:24" x14ac:dyDescent="0.4">
      <c r="S18" s="3"/>
      <c r="T18" s="3"/>
      <c r="W18"/>
      <c r="X18" s="108"/>
    </row>
    <row r="19" spans="2:24" x14ac:dyDescent="0.4">
      <c r="S19" s="3"/>
      <c r="T19" s="3"/>
      <c r="W19"/>
      <c r="X19" s="108"/>
    </row>
    <row r="20" spans="2:24" x14ac:dyDescent="0.4">
      <c r="S20" s="3"/>
      <c r="T20" s="3"/>
      <c r="W20"/>
      <c r="X20" s="108"/>
    </row>
    <row r="21" spans="2:24" x14ac:dyDescent="0.4">
      <c r="S21" s="3"/>
      <c r="T21" s="3"/>
      <c r="W21"/>
      <c r="X21" s="108"/>
    </row>
    <row r="22" spans="2:24" x14ac:dyDescent="0.4">
      <c r="S22" s="3"/>
      <c r="T22" s="3"/>
      <c r="W22"/>
      <c r="X22" s="108"/>
    </row>
    <row r="23" spans="2:24" x14ac:dyDescent="0.4">
      <c r="B23"/>
      <c r="C23"/>
      <c r="S23" s="3"/>
      <c r="T23" s="3"/>
      <c r="W23"/>
      <c r="X23" s="108"/>
    </row>
    <row r="24" spans="2:24" x14ac:dyDescent="0.4">
      <c r="B24"/>
      <c r="C24"/>
      <c r="S24" s="3"/>
      <c r="T24" s="3"/>
      <c r="W24"/>
      <c r="X24" s="108"/>
    </row>
    <row r="25" spans="2:24" x14ac:dyDescent="0.4">
      <c r="B25" s="4"/>
      <c r="C25" s="3"/>
      <c r="S25" s="3"/>
      <c r="T25" s="3"/>
      <c r="W25"/>
      <c r="X25" s="108"/>
    </row>
    <row r="26" spans="2:24" x14ac:dyDescent="0.4">
      <c r="B26" s="4"/>
      <c r="C26" s="3"/>
      <c r="S26" s="3"/>
      <c r="T26" s="3"/>
      <c r="W26"/>
      <c r="X26" s="108"/>
    </row>
    <row r="27" spans="2:24" x14ac:dyDescent="0.4">
      <c r="B27" s="4"/>
      <c r="C27" s="3"/>
    </row>
  </sheetData>
  <mergeCells count="3">
    <mergeCell ref="M8:R8"/>
    <mergeCell ref="U8:V8"/>
    <mergeCell ref="Y8:Z8"/>
  </mergeCells>
  <printOptions headings="1"/>
  <pageMargins left="0.25" right="0.25" top="1" bottom="0.75" header="0.1" footer="0.3"/>
  <pageSetup orientation="portrait" r:id="rId4"/>
  <headerFooter>
    <oddHeader>&amp;L&amp;"Bauhaus 93,Regular"&amp;28 &amp;A&amp;R&amp;"Bauhaus 93,Regular"&amp;26&amp;G</oddHeader>
    <oddFooter xml:space="preserve">&amp;L&amp;D &amp;T&amp;C&amp;P of &amp;N&amp;R&amp;Z&amp;F </oddFooter>
  </headerFooter>
  <drawing r:id="rId5"/>
  <legacyDrawingHF r:id="rId6"/>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posals">
    <tabColor theme="3"/>
  </sheetPr>
  <dimension ref="A1:AJ8"/>
  <sheetViews>
    <sheetView showGridLines="0" zoomScaleNormal="100" workbookViewId="0">
      <selection activeCell="B2238" sqref="B2238:V2238"/>
    </sheetView>
  </sheetViews>
  <sheetFormatPr defaultRowHeight="14.6" x14ac:dyDescent="0.4"/>
  <cols>
    <col min="1" max="1" width="6.3828125" customWidth="1"/>
    <col min="2" max="2" width="14.3828125" style="6" customWidth="1"/>
    <col min="3" max="3" width="9.3828125" style="1" customWidth="1"/>
    <col min="4" max="4" width="12.53515625" customWidth="1"/>
    <col min="5" max="5" width="5.84375" customWidth="1"/>
    <col min="6" max="6" width="11.3828125" customWidth="1"/>
    <col min="7" max="7" width="6" style="1" customWidth="1"/>
    <col min="8" max="8" width="10.53515625" style="1" customWidth="1"/>
    <col min="9" max="9" width="5.15234375" style="1" customWidth="1"/>
    <col min="10" max="10" width="6.84375" style="1" customWidth="1"/>
    <col min="11" max="11" width="6.53515625" customWidth="1"/>
    <col min="12" max="12" width="5.84375" customWidth="1"/>
    <col min="13" max="13" width="2.69140625" customWidth="1"/>
    <col min="14" max="14" width="8.3828125" customWidth="1"/>
    <col min="15" max="15" width="6.15234375" customWidth="1"/>
    <col min="16" max="16" width="8.53515625" style="194" customWidth="1"/>
    <col min="17" max="17" width="3.3828125" style="195" customWidth="1"/>
    <col min="18" max="18" width="13.53515625" customWidth="1"/>
    <col min="19" max="19" width="15.15234375" customWidth="1"/>
    <col min="20" max="20" width="23.84375" customWidth="1"/>
    <col min="21" max="21" width="11" customWidth="1"/>
    <col min="22" max="22" width="13.53515625" customWidth="1"/>
    <col min="23" max="23" width="3.69140625" customWidth="1"/>
    <col min="24" max="24" width="10.3828125" customWidth="1"/>
    <col min="25" max="25" width="4.53515625" style="2" customWidth="1"/>
    <col min="26" max="26" width="6.69140625" style="2" customWidth="1"/>
    <col min="27" max="27" width="18.3046875" style="2" customWidth="1"/>
    <col min="28" max="28" width="14.15234375" style="2" customWidth="1"/>
    <col min="29" max="29" width="14.69140625" style="2" customWidth="1"/>
    <col min="30" max="31" width="12.3046875" style="2" customWidth="1"/>
    <col min="32" max="32" width="49.3828125" customWidth="1"/>
    <col min="33" max="33" width="82.15234375" customWidth="1"/>
    <col min="34" max="34" width="4.69140625" style="3" customWidth="1"/>
    <col min="35" max="35" width="10.69140625" style="1" customWidth="1"/>
    <col min="36" max="36" width="4.84375" style="1" customWidth="1"/>
    <col min="37" max="37" width="5.3828125" customWidth="1"/>
    <col min="38" max="38" width="9.15234375" customWidth="1"/>
  </cols>
  <sheetData>
    <row r="1" spans="1:36" ht="40" customHeight="1" x14ac:dyDescent="0.4">
      <c r="B1"/>
      <c r="C1"/>
      <c r="G1" s="20"/>
      <c r="H1"/>
      <c r="I1"/>
      <c r="J1"/>
      <c r="P1" s="164"/>
      <c r="Q1" s="3"/>
      <c r="AJ1"/>
    </row>
    <row r="2" spans="1:36" ht="16.5" customHeight="1" x14ac:dyDescent="0.4">
      <c r="A2" s="76"/>
      <c r="B2" s="77" t="s">
        <v>258</v>
      </c>
      <c r="C2" s="101" t="s">
        <v>607</v>
      </c>
      <c r="D2" s="20"/>
      <c r="E2" s="79"/>
      <c r="F2" s="20"/>
      <c r="G2"/>
      <c r="H2"/>
      <c r="I2"/>
      <c r="J2"/>
      <c r="K2" s="20"/>
      <c r="L2" s="20"/>
      <c r="N2" s="72"/>
      <c r="O2" s="20"/>
      <c r="P2" s="164"/>
      <c r="Q2" s="3"/>
      <c r="V2" s="80"/>
      <c r="AJ2"/>
    </row>
    <row r="3" spans="1:36" ht="16.5" customHeight="1" x14ac:dyDescent="0.4">
      <c r="B3" s="72" t="s">
        <v>259</v>
      </c>
      <c r="C3" s="99">
        <v>0</v>
      </c>
      <c r="F3" s="20"/>
      <c r="G3"/>
      <c r="H3"/>
      <c r="I3"/>
      <c r="J3"/>
      <c r="P3" s="164"/>
      <c r="Q3" s="3"/>
      <c r="V3" s="80"/>
      <c r="AJ3"/>
    </row>
    <row r="4" spans="1:36" ht="16.5" customHeight="1" x14ac:dyDescent="0.4">
      <c r="B4" s="72" t="s">
        <v>260</v>
      </c>
      <c r="C4" s="100">
        <f>ProposalTable[[#Totals],[lead]]</f>
        <v>0</v>
      </c>
      <c r="G4"/>
      <c r="H4"/>
      <c r="I4"/>
      <c r="J4"/>
      <c r="P4" s="164"/>
      <c r="Q4" s="3"/>
      <c r="V4" s="80"/>
      <c r="AJ4"/>
    </row>
    <row r="5" spans="1:36" s="216" customFormat="1" ht="16.5" customHeight="1" thickBot="1" x14ac:dyDescent="0.45">
      <c r="B5" s="217"/>
      <c r="C5" s="218"/>
      <c r="G5" s="218"/>
      <c r="H5" s="218"/>
      <c r="I5" s="218"/>
      <c r="J5" s="218"/>
      <c r="M5" s="219" t="s">
        <v>313</v>
      </c>
      <c r="P5" s="220"/>
      <c r="Q5" s="221"/>
      <c r="R5" s="222"/>
      <c r="Y5" s="223" t="s">
        <v>363</v>
      </c>
      <c r="Z5" s="223"/>
      <c r="AA5" s="223"/>
      <c r="AB5" s="223"/>
      <c r="AC5" s="223" t="s">
        <v>364</v>
      </c>
      <c r="AD5" s="223"/>
      <c r="AE5" s="223"/>
      <c r="AH5" s="258"/>
      <c r="AI5" s="218"/>
      <c r="AJ5" s="218"/>
    </row>
    <row r="6" spans="1:36" ht="16.5" customHeight="1" x14ac:dyDescent="0.4">
      <c r="B6" s="138" t="s">
        <v>0</v>
      </c>
      <c r="C6" s="143" t="s">
        <v>32</v>
      </c>
      <c r="D6" s="139" t="s">
        <v>1</v>
      </c>
      <c r="E6" s="143" t="s">
        <v>73</v>
      </c>
      <c r="F6" s="139" t="s">
        <v>2</v>
      </c>
      <c r="G6" s="139" t="s">
        <v>75</v>
      </c>
      <c r="H6" s="139" t="s">
        <v>76</v>
      </c>
      <c r="I6" s="143" t="s">
        <v>290</v>
      </c>
      <c r="J6" s="143" t="s">
        <v>30</v>
      </c>
      <c r="K6" s="139" t="s">
        <v>6</v>
      </c>
      <c r="L6" s="215" t="s">
        <v>20</v>
      </c>
      <c r="M6" s="226" t="s">
        <v>18</v>
      </c>
      <c r="N6" s="140" t="s">
        <v>19</v>
      </c>
      <c r="O6" s="141" t="s">
        <v>74</v>
      </c>
      <c r="P6" s="140" t="s">
        <v>5</v>
      </c>
      <c r="Q6" s="142" t="s">
        <v>17</v>
      </c>
      <c r="R6" s="139" t="s">
        <v>7</v>
      </c>
      <c r="S6" s="139" t="s">
        <v>8</v>
      </c>
      <c r="T6" s="139" t="s">
        <v>9</v>
      </c>
      <c r="U6" s="143" t="s">
        <v>85</v>
      </c>
      <c r="V6" s="224" t="s">
        <v>11</v>
      </c>
      <c r="W6" s="199" t="s">
        <v>13</v>
      </c>
      <c r="X6" s="225" t="s">
        <v>12</v>
      </c>
      <c r="Y6" s="143" t="s">
        <v>23</v>
      </c>
      <c r="Z6" s="144" t="s">
        <v>24</v>
      </c>
      <c r="AA6" s="143" t="s">
        <v>150</v>
      </c>
      <c r="AB6" s="143" t="s">
        <v>31</v>
      </c>
      <c r="AC6" s="143" t="s">
        <v>362</v>
      </c>
      <c r="AD6" s="143" t="s">
        <v>147</v>
      </c>
      <c r="AE6" s="143" t="s">
        <v>148</v>
      </c>
      <c r="AF6" s="196" t="s">
        <v>368</v>
      </c>
      <c r="AG6" s="196" t="s">
        <v>10</v>
      </c>
      <c r="AH6"/>
      <c r="AI6"/>
      <c r="AJ6"/>
    </row>
    <row r="7" spans="1:36" x14ac:dyDescent="0.4">
      <c r="E7" s="1"/>
      <c r="M7" s="227"/>
      <c r="P7"/>
      <c r="Q7" s="129"/>
      <c r="U7" s="1"/>
      <c r="V7" s="281"/>
      <c r="W7" s="3"/>
      <c r="X7" s="1"/>
      <c r="Y7" s="1"/>
      <c r="Z7" s="7"/>
      <c r="AA7" s="1"/>
      <c r="AB7" s="1"/>
      <c r="AC7" s="1"/>
      <c r="AD7" s="1"/>
      <c r="AE7" s="1"/>
      <c r="AF7" s="1"/>
      <c r="AH7"/>
      <c r="AI7"/>
      <c r="AJ7"/>
    </row>
    <row r="8" spans="1:36" x14ac:dyDescent="0.4">
      <c r="B8" t="s">
        <v>106</v>
      </c>
      <c r="C8"/>
      <c r="G8"/>
      <c r="H8"/>
      <c r="I8"/>
      <c r="J8"/>
      <c r="M8" s="125"/>
      <c r="N8">
        <f>SUBTOTAL(103,ProposalTable[lead])</f>
        <v>0</v>
      </c>
      <c r="P8"/>
      <c r="Q8" s="326"/>
      <c r="V8" s="369"/>
      <c r="Y8"/>
      <c r="Z8"/>
      <c r="AA8"/>
      <c r="AB8"/>
      <c r="AC8"/>
      <c r="AD8"/>
      <c r="AE8"/>
      <c r="AH8"/>
      <c r="AI8"/>
      <c r="AJ8"/>
    </row>
  </sheetData>
  <conditionalFormatting sqref="B7:AG8">
    <cfRule type="expression" dxfId="300" priority="1">
      <formula>MOD($L7,2)=1</formula>
    </cfRule>
  </conditionalFormatting>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Props">
    <tabColor theme="4" tint="-0.249977111117893"/>
  </sheetPr>
  <dimension ref="A1:AG100"/>
  <sheetViews>
    <sheetView showGridLines="0" topLeftCell="A7" zoomScale="95" zoomScaleNormal="95" workbookViewId="0">
      <selection activeCell="R6" sqref="A1:R6"/>
    </sheetView>
  </sheetViews>
  <sheetFormatPr defaultRowHeight="14.6" x14ac:dyDescent="0.4"/>
  <cols>
    <col min="1" max="1" width="3.69140625" customWidth="1"/>
    <col min="2" max="2" width="13.3828125" style="6" customWidth="1"/>
    <col min="3" max="3" width="16.3828125" style="1" customWidth="1"/>
    <col min="4" max="4" width="12.84375" customWidth="1"/>
    <col min="5" max="5" width="22.84375" customWidth="1"/>
    <col min="6" max="6" width="16.3828125" customWidth="1"/>
    <col min="7" max="7" width="11.3046875" customWidth="1"/>
    <col min="8" max="8" width="6" customWidth="1"/>
    <col min="9" max="9" width="5.3046875" customWidth="1"/>
    <col min="10" max="10" width="10.69140625" customWidth="1"/>
    <col min="11" max="11" width="3.3828125" customWidth="1"/>
    <col min="12" max="12" width="5.53515625" customWidth="1"/>
    <col min="13" max="13" width="6.3046875" customWidth="1"/>
    <col min="14" max="16" width="3.84375" customWidth="1"/>
    <col min="17" max="17" width="4.3046875" customWidth="1"/>
    <col min="18" max="18" width="4.84375" customWidth="1"/>
    <col min="19" max="19" width="3.84375" customWidth="1"/>
    <col min="20" max="20" width="17.3046875" customWidth="1"/>
    <col min="21" max="21" width="16.3828125" customWidth="1"/>
    <col min="22" max="22" width="2.3046875" customWidth="1"/>
    <col min="23" max="23" width="2.53515625" customWidth="1"/>
    <col min="24" max="24" width="2.15234375" customWidth="1"/>
    <col min="25" max="25" width="2.53515625" customWidth="1"/>
    <col min="26" max="26" width="2.3046875" customWidth="1"/>
    <col min="27" max="27" width="4.53515625" customWidth="1"/>
    <col min="28" max="28" width="13.3828125" customWidth="1"/>
    <col min="29" max="29" width="16.3828125" style="1" customWidth="1"/>
    <col min="30" max="30" width="5.15234375" customWidth="1"/>
    <col min="31" max="31" width="26.69140625" customWidth="1"/>
    <col min="32" max="32" width="16" customWidth="1"/>
    <col min="33" max="33" width="6.84375" customWidth="1"/>
  </cols>
  <sheetData>
    <row r="1" spans="1:33" ht="40" customHeight="1" x14ac:dyDescent="0.4">
      <c r="B1"/>
      <c r="C1"/>
      <c r="F1" s="20"/>
      <c r="AC1"/>
    </row>
    <row r="2" spans="1:33" ht="16.5" customHeight="1" x14ac:dyDescent="0.4">
      <c r="A2" s="20"/>
      <c r="B2" s="77" t="s">
        <v>258</v>
      </c>
      <c r="C2" s="101" t="s">
        <v>604</v>
      </c>
      <c r="D2" s="101"/>
      <c r="E2" s="20"/>
      <c r="I2" s="20"/>
      <c r="J2" s="72"/>
      <c r="K2" s="79"/>
      <c r="L2" s="20"/>
      <c r="U2" s="80"/>
      <c r="AC2"/>
    </row>
    <row r="3" spans="1:33" ht="16.5" customHeight="1" x14ac:dyDescent="0.4">
      <c r="A3" s="20"/>
      <c r="E3" s="20"/>
      <c r="U3" s="80"/>
      <c r="AC3"/>
    </row>
    <row r="4" spans="1:33" ht="16.5" customHeight="1" x14ac:dyDescent="0.4">
      <c r="B4" s="72"/>
      <c r="C4" s="100"/>
      <c r="U4" s="80"/>
      <c r="AC4"/>
    </row>
    <row r="6" spans="1:33" x14ac:dyDescent="0.4">
      <c r="B6" s="105"/>
      <c r="C6" s="106"/>
      <c r="D6" s="107"/>
      <c r="E6" s="107"/>
      <c r="F6" s="107"/>
      <c r="G6" s="107"/>
      <c r="H6" s="107"/>
      <c r="I6" s="107"/>
      <c r="J6" s="107"/>
      <c r="K6" s="107"/>
      <c r="L6" s="107"/>
      <c r="M6" s="107"/>
      <c r="N6" s="107"/>
      <c r="O6" s="107"/>
      <c r="P6" s="107"/>
      <c r="Q6" s="107"/>
      <c r="R6" s="107"/>
      <c r="S6" s="107"/>
      <c r="T6" s="107"/>
      <c r="U6" s="107"/>
      <c r="V6" s="107"/>
      <c r="W6" s="107"/>
      <c r="X6" s="107"/>
      <c r="Y6" s="107"/>
      <c r="Z6" s="107"/>
      <c r="AA6" s="107"/>
      <c r="AB6" s="107"/>
      <c r="AC6" s="106"/>
      <c r="AD6" s="107"/>
      <c r="AE6" s="107"/>
      <c r="AF6" s="107"/>
      <c r="AG6" s="107"/>
    </row>
    <row r="7" spans="1:33" x14ac:dyDescent="0.4">
      <c r="Q7" s="19"/>
      <c r="R7" s="19"/>
      <c r="S7" s="19"/>
      <c r="T7" s="19"/>
      <c r="U7" s="19"/>
      <c r="V7" s="19"/>
      <c r="Z7" s="19"/>
      <c r="AA7" s="19"/>
      <c r="AB7" s="19"/>
      <c r="AC7" s="32"/>
      <c r="AD7" s="19"/>
      <c r="AE7" s="19"/>
      <c r="AF7" s="19"/>
      <c r="AG7" s="19"/>
    </row>
    <row r="8" spans="1:33" ht="24.75" customHeight="1" x14ac:dyDescent="0.5">
      <c r="Q8" s="19"/>
      <c r="T8" s="307"/>
      <c r="U8" s="308"/>
      <c r="Z8" s="19"/>
      <c r="AA8" s="19"/>
      <c r="AB8" s="347" t="s">
        <v>448</v>
      </c>
      <c r="AC8" s="308"/>
      <c r="AD8" s="19"/>
      <c r="AE8" s="19"/>
    </row>
    <row r="9" spans="1:33" ht="18.45" x14ac:dyDescent="0.5">
      <c r="T9" s="346" t="s">
        <v>532</v>
      </c>
      <c r="U9" s="308"/>
      <c r="AB9" s="309"/>
      <c r="AC9" s="308"/>
      <c r="AD9" s="19"/>
      <c r="AE9" s="152"/>
      <c r="AF9" s="19"/>
      <c r="AG9" s="19"/>
    </row>
    <row r="10" spans="1:33" x14ac:dyDescent="0.4">
      <c r="T10" s="309"/>
      <c r="U10" s="308"/>
      <c r="AB10" s="5" t="s">
        <v>25</v>
      </c>
      <c r="AC10" t="s">
        <v>264</v>
      </c>
    </row>
    <row r="11" spans="1:33" x14ac:dyDescent="0.4">
      <c r="T11" s="5" t="s">
        <v>25</v>
      </c>
      <c r="U11" t="s">
        <v>264</v>
      </c>
      <c r="Y11" s="4"/>
      <c r="Z11" s="4"/>
      <c r="AB11" s="4" t="s">
        <v>590</v>
      </c>
      <c r="AC11" s="3">
        <v>1</v>
      </c>
      <c r="AE11" s="4"/>
      <c r="AF11" s="3"/>
    </row>
    <row r="12" spans="1:33" x14ac:dyDescent="0.4">
      <c r="R12" s="4"/>
      <c r="T12" s="4" t="s">
        <v>447</v>
      </c>
      <c r="U12" s="3">
        <v>1</v>
      </c>
      <c r="Y12" s="10"/>
      <c r="Z12" s="10"/>
      <c r="AB12" s="4" t="s">
        <v>26</v>
      </c>
      <c r="AC12" s="3">
        <v>1</v>
      </c>
      <c r="AE12" s="4"/>
      <c r="AF12" s="3"/>
    </row>
    <row r="13" spans="1:33" x14ac:dyDescent="0.4">
      <c r="R13" s="4"/>
      <c r="T13" s="4" t="s">
        <v>26</v>
      </c>
      <c r="U13" s="3">
        <v>1</v>
      </c>
      <c r="W13" s="3"/>
      <c r="X13" s="3"/>
      <c r="Y13" s="10"/>
      <c r="Z13" s="10"/>
      <c r="AA13" s="4"/>
      <c r="AC13"/>
      <c r="AE13" s="4"/>
      <c r="AF13" s="3"/>
    </row>
    <row r="14" spans="1:33" x14ac:dyDescent="0.4">
      <c r="R14" s="4"/>
      <c r="W14" s="3"/>
      <c r="X14" s="3"/>
      <c r="Y14" s="10"/>
      <c r="Z14" s="10"/>
      <c r="AA14" s="10"/>
      <c r="AC14"/>
      <c r="AE14" s="4"/>
      <c r="AF14" s="3"/>
    </row>
    <row r="15" spans="1:33" x14ac:dyDescent="0.4">
      <c r="R15" s="4"/>
      <c r="W15" s="3"/>
      <c r="X15" s="3"/>
      <c r="Y15" s="10"/>
      <c r="Z15" s="10"/>
      <c r="AA15" s="10"/>
      <c r="AC15"/>
      <c r="AE15" s="4"/>
      <c r="AF15" s="3"/>
    </row>
    <row r="16" spans="1:33" x14ac:dyDescent="0.4">
      <c r="R16" s="4"/>
      <c r="W16" s="3"/>
      <c r="X16" s="3"/>
      <c r="Y16" s="4"/>
      <c r="Z16" s="4"/>
      <c r="AA16" s="10"/>
      <c r="AC16"/>
      <c r="AE16" s="4"/>
      <c r="AF16" s="3"/>
    </row>
    <row r="17" spans="18:32" x14ac:dyDescent="0.4">
      <c r="R17" s="4"/>
      <c r="W17" s="3"/>
      <c r="X17" s="3"/>
      <c r="Y17" s="10"/>
      <c r="Z17" s="10"/>
      <c r="AA17" s="10"/>
      <c r="AC17"/>
      <c r="AE17" s="4"/>
      <c r="AF17" s="3"/>
    </row>
    <row r="18" spans="18:32" x14ac:dyDescent="0.4">
      <c r="R18" s="4"/>
      <c r="W18" s="3"/>
      <c r="X18" s="3"/>
      <c r="Y18" s="10"/>
      <c r="Z18" s="10"/>
      <c r="AA18" s="4"/>
      <c r="AC18"/>
      <c r="AE18" s="4"/>
      <c r="AF18" s="3"/>
    </row>
    <row r="19" spans="18:32" x14ac:dyDescent="0.4">
      <c r="R19" s="4"/>
      <c r="W19" s="3"/>
      <c r="X19" s="3"/>
      <c r="Y19" s="10"/>
      <c r="Z19" s="10"/>
      <c r="AA19" s="10"/>
      <c r="AC19"/>
      <c r="AE19" s="4"/>
      <c r="AF19" s="3"/>
    </row>
    <row r="20" spans="18:32" x14ac:dyDescent="0.4">
      <c r="R20" s="4"/>
      <c r="W20" s="3"/>
      <c r="X20" s="3"/>
      <c r="Y20" s="4"/>
      <c r="Z20" s="4"/>
      <c r="AA20" s="10"/>
      <c r="AC20"/>
      <c r="AE20" s="4"/>
      <c r="AF20" s="3"/>
    </row>
    <row r="21" spans="18:32" x14ac:dyDescent="0.4">
      <c r="R21" s="4"/>
      <c r="W21" s="3"/>
      <c r="X21" s="3"/>
      <c r="Y21" s="10"/>
      <c r="Z21" s="10"/>
      <c r="AA21" s="10"/>
      <c r="AC21"/>
      <c r="AE21" s="4"/>
      <c r="AF21" s="3"/>
    </row>
    <row r="22" spans="18:32" x14ac:dyDescent="0.4">
      <c r="R22" s="4"/>
      <c r="W22" s="3"/>
      <c r="X22" s="3"/>
      <c r="Y22" s="10"/>
      <c r="Z22" s="10"/>
      <c r="AA22" s="4"/>
      <c r="AC22"/>
      <c r="AE22" s="4"/>
      <c r="AF22" s="3"/>
    </row>
    <row r="23" spans="18:32" x14ac:dyDescent="0.4">
      <c r="R23" s="4"/>
      <c r="W23" s="3"/>
      <c r="X23" s="3"/>
      <c r="Y23" s="10"/>
      <c r="Z23" s="10"/>
      <c r="AA23" s="10"/>
      <c r="AC23"/>
      <c r="AE23" s="4"/>
      <c r="AF23" s="3"/>
    </row>
    <row r="24" spans="18:32" x14ac:dyDescent="0.4">
      <c r="R24" s="4"/>
      <c r="W24" s="3"/>
      <c r="X24" s="3"/>
      <c r="Y24" s="10"/>
      <c r="Z24" s="10"/>
      <c r="AA24" s="10"/>
      <c r="AC24"/>
      <c r="AE24" s="4"/>
      <c r="AF24" s="3"/>
    </row>
    <row r="25" spans="18:32" x14ac:dyDescent="0.4">
      <c r="R25" s="4"/>
      <c r="W25" s="3"/>
      <c r="X25" s="3"/>
      <c r="Y25" s="10"/>
      <c r="Z25" s="10"/>
      <c r="AA25" s="10"/>
      <c r="AC25"/>
      <c r="AE25" s="4"/>
      <c r="AF25" s="3"/>
    </row>
    <row r="26" spans="18:32" x14ac:dyDescent="0.4">
      <c r="R26" s="4"/>
      <c r="W26" s="3"/>
      <c r="X26" s="3"/>
      <c r="Y26" s="10"/>
      <c r="Z26" s="10"/>
      <c r="AA26" s="10"/>
      <c r="AC26"/>
      <c r="AE26" s="4"/>
      <c r="AF26" s="3"/>
    </row>
    <row r="27" spans="18:32" x14ac:dyDescent="0.4">
      <c r="R27" s="4"/>
      <c r="W27" s="3"/>
      <c r="X27" s="3"/>
      <c r="Y27" s="10"/>
      <c r="Z27" s="10"/>
      <c r="AA27" s="10"/>
      <c r="AC27"/>
      <c r="AE27" s="4"/>
      <c r="AF27" s="3"/>
    </row>
    <row r="28" spans="18:32" x14ac:dyDescent="0.4">
      <c r="R28" s="4"/>
      <c r="W28" s="3"/>
      <c r="X28" s="3"/>
      <c r="Y28" s="10"/>
      <c r="Z28" s="10"/>
      <c r="AA28" s="10"/>
      <c r="AC28"/>
      <c r="AD28" s="108"/>
      <c r="AE28" s="4"/>
      <c r="AF28" s="3"/>
    </row>
    <row r="29" spans="18:32" x14ac:dyDescent="0.4">
      <c r="R29" s="4"/>
      <c r="W29" s="3"/>
      <c r="X29" s="3"/>
      <c r="Y29" s="10"/>
      <c r="Z29" s="10"/>
      <c r="AA29" s="10"/>
      <c r="AC29"/>
      <c r="AD29" s="108"/>
      <c r="AE29" s="4"/>
      <c r="AF29" s="3"/>
    </row>
    <row r="30" spans="18:32" x14ac:dyDescent="0.4">
      <c r="R30" s="4"/>
      <c r="W30" s="3"/>
      <c r="X30" s="3"/>
      <c r="Y30" s="10"/>
      <c r="Z30" s="10"/>
      <c r="AA30" s="10"/>
      <c r="AC30"/>
      <c r="AD30" s="108"/>
      <c r="AE30" s="4"/>
      <c r="AF30" s="3"/>
    </row>
    <row r="31" spans="18:32" x14ac:dyDescent="0.4">
      <c r="R31" s="4"/>
      <c r="W31" s="3"/>
      <c r="X31" s="3"/>
      <c r="Y31" s="10"/>
      <c r="Z31" s="10"/>
      <c r="AA31" s="10"/>
      <c r="AC31"/>
      <c r="AD31" s="108"/>
      <c r="AE31" s="4"/>
      <c r="AF31" s="3"/>
    </row>
    <row r="32" spans="18:32" x14ac:dyDescent="0.4">
      <c r="R32" s="4"/>
      <c r="W32" s="3"/>
      <c r="X32" s="3"/>
      <c r="Y32" s="10"/>
      <c r="Z32" s="10"/>
      <c r="AA32" s="10"/>
      <c r="AC32"/>
      <c r="AD32" s="108"/>
      <c r="AE32" s="4"/>
      <c r="AF32" s="3"/>
    </row>
    <row r="33" spans="2:32" x14ac:dyDescent="0.4">
      <c r="R33" s="4"/>
      <c r="W33" s="3"/>
      <c r="X33" s="3"/>
      <c r="Y33" s="10"/>
      <c r="Z33" s="10"/>
      <c r="AA33" s="10"/>
      <c r="AC33"/>
      <c r="AD33" s="108"/>
      <c r="AE33" s="4"/>
      <c r="AF33" s="3"/>
    </row>
    <row r="34" spans="2:32" x14ac:dyDescent="0.4">
      <c r="R34" s="4"/>
      <c r="W34" s="3"/>
      <c r="X34" s="3"/>
      <c r="Y34" s="10"/>
      <c r="Z34" s="10"/>
      <c r="AA34" s="10"/>
      <c r="AC34"/>
      <c r="AD34" s="108"/>
      <c r="AE34" s="4"/>
      <c r="AF34" s="3"/>
    </row>
    <row r="35" spans="2:32" x14ac:dyDescent="0.4">
      <c r="R35" s="4"/>
      <c r="W35" s="3"/>
      <c r="X35" s="3"/>
      <c r="Y35" s="10"/>
      <c r="Z35" s="10"/>
      <c r="AA35" s="10"/>
      <c r="AC35"/>
      <c r="AD35" s="108"/>
      <c r="AE35" s="4"/>
      <c r="AF35" s="3"/>
    </row>
    <row r="36" spans="2:32" x14ac:dyDescent="0.4">
      <c r="R36" s="4"/>
      <c r="S36" s="3"/>
      <c r="W36" s="3"/>
      <c r="X36" s="3"/>
      <c r="Y36" s="10"/>
      <c r="Z36" s="10"/>
      <c r="AA36" s="10"/>
      <c r="AC36"/>
      <c r="AD36" s="108"/>
      <c r="AE36" s="4"/>
      <c r="AF36" s="3"/>
    </row>
    <row r="37" spans="2:32" x14ac:dyDescent="0.4">
      <c r="R37" s="4"/>
      <c r="S37" s="3"/>
      <c r="W37" s="3"/>
      <c r="X37" s="3"/>
      <c r="Y37" s="10"/>
      <c r="Z37" s="10"/>
      <c r="AA37" s="10"/>
      <c r="AC37"/>
      <c r="AD37" s="108"/>
      <c r="AE37" s="4"/>
      <c r="AF37" s="3"/>
    </row>
    <row r="38" spans="2:32" x14ac:dyDescent="0.4">
      <c r="R38" s="4"/>
      <c r="S38" s="3"/>
      <c r="W38" s="3"/>
      <c r="X38" s="3"/>
      <c r="Y38" s="10"/>
      <c r="Z38" s="10"/>
      <c r="AA38" s="10"/>
      <c r="AC38"/>
      <c r="AD38" s="108"/>
      <c r="AE38" s="4"/>
      <c r="AF38" s="3"/>
    </row>
    <row r="39" spans="2:32" x14ac:dyDescent="0.4">
      <c r="R39" s="4"/>
      <c r="S39" s="3"/>
      <c r="W39" s="3"/>
      <c r="X39" s="3"/>
      <c r="Y39" s="10"/>
      <c r="Z39" s="10"/>
      <c r="AA39" s="10"/>
      <c r="AC39"/>
      <c r="AD39" s="108"/>
      <c r="AE39" s="4"/>
      <c r="AF39" s="3"/>
    </row>
    <row r="40" spans="2:32" x14ac:dyDescent="0.4">
      <c r="R40" s="4"/>
      <c r="S40" s="3"/>
      <c r="W40" s="3"/>
      <c r="X40" s="3"/>
      <c r="Y40" s="10"/>
      <c r="Z40" s="10"/>
      <c r="AA40" s="10"/>
      <c r="AC40"/>
      <c r="AD40" s="108"/>
      <c r="AE40" s="4"/>
      <c r="AF40" s="3"/>
    </row>
    <row r="41" spans="2:32" x14ac:dyDescent="0.4">
      <c r="R41" s="4"/>
      <c r="S41" s="3"/>
      <c r="W41" s="3"/>
      <c r="X41" s="3"/>
      <c r="Y41" s="10"/>
      <c r="Z41" s="10"/>
      <c r="AA41" s="10"/>
      <c r="AC41"/>
      <c r="AD41" s="108"/>
      <c r="AE41" s="4"/>
      <c r="AF41" s="3"/>
    </row>
    <row r="42" spans="2:32" x14ac:dyDescent="0.4">
      <c r="R42" s="4"/>
      <c r="S42" s="3"/>
      <c r="W42" s="3"/>
      <c r="X42" s="3"/>
      <c r="Y42" s="10"/>
      <c r="Z42" s="10"/>
      <c r="AA42" s="10"/>
      <c r="AC42"/>
      <c r="AD42" s="108"/>
      <c r="AE42" s="4"/>
      <c r="AF42" s="3"/>
    </row>
    <row r="43" spans="2:32" x14ac:dyDescent="0.4">
      <c r="R43" s="4"/>
      <c r="S43" s="3"/>
      <c r="W43" s="3"/>
      <c r="X43" s="3"/>
      <c r="Y43" s="10"/>
      <c r="Z43" s="10"/>
      <c r="AA43" s="10"/>
      <c r="AC43"/>
      <c r="AD43" s="108"/>
      <c r="AE43" s="4"/>
      <c r="AF43" s="3"/>
    </row>
    <row r="44" spans="2:32" x14ac:dyDescent="0.4">
      <c r="R44" s="4"/>
      <c r="S44" s="3"/>
      <c r="W44" s="3"/>
      <c r="X44" s="3"/>
      <c r="Y44" s="10"/>
      <c r="Z44" s="10"/>
      <c r="AA44" s="10"/>
      <c r="AC44"/>
      <c r="AD44" s="108"/>
      <c r="AE44" s="4"/>
      <c r="AF44" s="3"/>
    </row>
    <row r="45" spans="2:32" x14ac:dyDescent="0.4">
      <c r="R45" s="4"/>
      <c r="S45" s="3"/>
      <c r="W45" s="3"/>
      <c r="X45" s="3"/>
      <c r="Y45" s="10"/>
      <c r="Z45" s="10"/>
      <c r="AA45" s="10"/>
      <c r="AC45"/>
      <c r="AD45" s="108"/>
      <c r="AE45" s="4"/>
      <c r="AF45" s="3"/>
    </row>
    <row r="46" spans="2:32" x14ac:dyDescent="0.4">
      <c r="R46" s="4"/>
      <c r="S46" s="3"/>
      <c r="W46" s="3"/>
      <c r="X46" s="3"/>
      <c r="Y46" s="10"/>
      <c r="Z46" s="10"/>
      <c r="AA46" s="10"/>
      <c r="AC46"/>
      <c r="AD46" s="108"/>
      <c r="AE46" s="4"/>
      <c r="AF46" s="3"/>
    </row>
    <row r="47" spans="2:32" x14ac:dyDescent="0.4">
      <c r="B47"/>
      <c r="C47"/>
      <c r="R47" s="4"/>
      <c r="S47" s="3"/>
      <c r="W47" s="3"/>
      <c r="X47" s="3"/>
      <c r="Y47" s="10"/>
      <c r="Z47" s="10"/>
      <c r="AA47" s="10"/>
      <c r="AC47"/>
      <c r="AD47" s="108"/>
      <c r="AE47" s="4"/>
      <c r="AF47" s="3"/>
    </row>
    <row r="48" spans="2:32" x14ac:dyDescent="0.4">
      <c r="B48" s="5" t="s">
        <v>25</v>
      </c>
      <c r="C48" t="s">
        <v>264</v>
      </c>
      <c r="R48" s="4"/>
      <c r="S48" s="3"/>
      <c r="W48" s="3"/>
      <c r="X48" s="3"/>
      <c r="Y48" s="10"/>
      <c r="Z48" s="10"/>
      <c r="AA48" s="10"/>
      <c r="AC48"/>
      <c r="AD48" s="108"/>
      <c r="AE48" s="4"/>
      <c r="AF48" s="3"/>
    </row>
    <row r="49" spans="2:32" x14ac:dyDescent="0.4">
      <c r="B49" s="4"/>
      <c r="C49" s="3">
        <v>1</v>
      </c>
      <c r="R49" s="4"/>
      <c r="S49" s="3"/>
      <c r="W49" s="3"/>
      <c r="X49" s="3"/>
      <c r="Y49" s="4"/>
      <c r="Z49" s="4"/>
      <c r="AA49" s="10"/>
      <c r="AC49"/>
      <c r="AD49" s="108"/>
      <c r="AE49" s="4"/>
      <c r="AF49" s="3"/>
    </row>
    <row r="50" spans="2:32" x14ac:dyDescent="0.4">
      <c r="B50" s="4" t="s">
        <v>26</v>
      </c>
      <c r="C50" s="3">
        <v>1</v>
      </c>
      <c r="R50" s="4"/>
      <c r="S50" s="3"/>
      <c r="W50" s="3"/>
      <c r="X50" s="3"/>
      <c r="Y50" s="10"/>
      <c r="Z50" s="10"/>
      <c r="AA50" s="10"/>
      <c r="AC50"/>
      <c r="AD50" s="108"/>
      <c r="AE50" s="4"/>
      <c r="AF50" s="3"/>
    </row>
    <row r="51" spans="2:32" x14ac:dyDescent="0.4">
      <c r="B51"/>
      <c r="C51"/>
      <c r="R51" s="4"/>
      <c r="S51" s="3"/>
      <c r="Y51" s="10"/>
      <c r="Z51" s="10"/>
      <c r="AA51" s="4"/>
      <c r="AC51"/>
      <c r="AD51" s="108"/>
      <c r="AE51" s="4"/>
      <c r="AF51" s="3"/>
    </row>
    <row r="52" spans="2:32" x14ac:dyDescent="0.4">
      <c r="R52" s="4"/>
      <c r="S52" s="3"/>
      <c r="Y52" s="10"/>
      <c r="Z52" s="10"/>
      <c r="AA52" s="10"/>
      <c r="AC52"/>
      <c r="AD52" s="108"/>
      <c r="AE52" s="4"/>
      <c r="AF52" s="3"/>
    </row>
    <row r="53" spans="2:32" x14ac:dyDescent="0.4">
      <c r="R53" s="4"/>
      <c r="S53" s="3"/>
      <c r="Y53" s="4"/>
      <c r="Z53" s="4"/>
      <c r="AA53" s="10"/>
      <c r="AC53"/>
      <c r="AE53" s="4"/>
      <c r="AF53" s="3"/>
    </row>
    <row r="54" spans="2:32" x14ac:dyDescent="0.4">
      <c r="R54" s="4"/>
      <c r="S54" s="3"/>
      <c r="Y54" s="10"/>
      <c r="Z54" s="10"/>
      <c r="AA54" s="10"/>
      <c r="AC54"/>
      <c r="AE54" s="4"/>
      <c r="AF54" s="3"/>
    </row>
    <row r="55" spans="2:32" x14ac:dyDescent="0.4">
      <c r="R55" s="4"/>
      <c r="S55" s="3"/>
      <c r="Y55" s="10"/>
      <c r="Z55" s="10"/>
      <c r="AA55" s="4"/>
      <c r="AC55"/>
      <c r="AE55" s="4"/>
      <c r="AF55" s="3"/>
    </row>
    <row r="56" spans="2:32" x14ac:dyDescent="0.4">
      <c r="R56" s="4"/>
      <c r="S56" s="3"/>
      <c r="Y56" s="10"/>
      <c r="Z56" s="10"/>
      <c r="AA56" s="10"/>
      <c r="AC56"/>
      <c r="AE56" s="4"/>
      <c r="AF56" s="3"/>
    </row>
    <row r="57" spans="2:32" x14ac:dyDescent="0.4">
      <c r="R57" s="4"/>
      <c r="S57" s="3"/>
      <c r="Y57" s="4"/>
      <c r="Z57" s="4"/>
      <c r="AA57" s="10"/>
      <c r="AC57"/>
      <c r="AE57" s="4"/>
      <c r="AF57" s="3"/>
    </row>
    <row r="58" spans="2:32" x14ac:dyDescent="0.4">
      <c r="R58" s="4"/>
      <c r="S58" s="3"/>
      <c r="Y58" s="10"/>
      <c r="Z58" s="10"/>
      <c r="AA58" s="10"/>
      <c r="AC58"/>
      <c r="AE58" s="4"/>
      <c r="AF58" s="3"/>
    </row>
    <row r="59" spans="2:32" x14ac:dyDescent="0.4">
      <c r="R59" s="4"/>
      <c r="S59" s="3"/>
      <c r="Y59" s="10"/>
      <c r="Z59" s="10"/>
      <c r="AA59" s="4"/>
      <c r="AC59"/>
      <c r="AE59" s="4"/>
      <c r="AF59" s="3"/>
    </row>
    <row r="60" spans="2:32" x14ac:dyDescent="0.4">
      <c r="R60" s="4"/>
      <c r="S60" s="3"/>
      <c r="Y60" s="4"/>
      <c r="Z60" s="4"/>
      <c r="AA60" s="10"/>
      <c r="AC60"/>
      <c r="AE60" s="4"/>
      <c r="AF60" s="3"/>
    </row>
    <row r="61" spans="2:32" x14ac:dyDescent="0.4">
      <c r="R61" s="4"/>
      <c r="S61" s="3"/>
      <c r="Y61" s="10"/>
      <c r="Z61" s="10"/>
      <c r="AA61" s="10"/>
      <c r="AC61"/>
      <c r="AE61" s="4"/>
      <c r="AF61" s="3"/>
    </row>
    <row r="62" spans="2:32" x14ac:dyDescent="0.4">
      <c r="R62" s="4"/>
      <c r="S62" s="3"/>
      <c r="Y62" s="4"/>
      <c r="Z62" s="4"/>
      <c r="AA62" s="4"/>
      <c r="AC62"/>
      <c r="AE62" s="4"/>
      <c r="AF62" s="3"/>
    </row>
    <row r="63" spans="2:32" x14ac:dyDescent="0.4">
      <c r="R63" s="4"/>
      <c r="S63" s="3"/>
      <c r="Y63" s="10"/>
      <c r="Z63" s="10"/>
      <c r="AA63" s="10"/>
      <c r="AC63"/>
    </row>
    <row r="64" spans="2:32" x14ac:dyDescent="0.4">
      <c r="R64" s="4"/>
      <c r="S64" s="3"/>
      <c r="Y64" s="4"/>
      <c r="Z64" s="4"/>
      <c r="AA64" s="4"/>
      <c r="AB64" s="3"/>
    </row>
    <row r="65" spans="18:28" x14ac:dyDescent="0.4">
      <c r="R65" s="4"/>
      <c r="S65" s="3"/>
      <c r="Y65" s="10"/>
      <c r="Z65" s="10"/>
      <c r="AA65" s="10"/>
      <c r="AB65" s="3"/>
    </row>
    <row r="66" spans="18:28" x14ac:dyDescent="0.4">
      <c r="R66" s="4"/>
      <c r="S66" s="3"/>
      <c r="Y66" s="4"/>
      <c r="Z66" s="4"/>
      <c r="AA66" s="4"/>
      <c r="AB66" s="3"/>
    </row>
    <row r="67" spans="18:28" x14ac:dyDescent="0.4">
      <c r="R67" s="4"/>
      <c r="S67" s="3"/>
      <c r="Y67" s="10"/>
      <c r="Z67" s="10"/>
      <c r="AA67" s="10"/>
      <c r="AB67" s="3"/>
    </row>
    <row r="68" spans="18:28" x14ac:dyDescent="0.4">
      <c r="R68" s="4"/>
      <c r="S68" s="3"/>
      <c r="Y68" s="4"/>
      <c r="Z68" s="4"/>
      <c r="AA68" s="4"/>
      <c r="AB68" s="3"/>
    </row>
    <row r="69" spans="18:28" x14ac:dyDescent="0.4">
      <c r="R69" s="4"/>
      <c r="S69" s="3"/>
      <c r="Y69" s="10"/>
      <c r="Z69" s="10"/>
      <c r="AA69" s="10"/>
      <c r="AB69" s="3"/>
    </row>
    <row r="70" spans="18:28" x14ac:dyDescent="0.4">
      <c r="R70" s="4"/>
      <c r="S70" s="3"/>
      <c r="Y70" s="4"/>
      <c r="Z70" s="4"/>
      <c r="AA70" s="4"/>
      <c r="AB70" s="3"/>
    </row>
    <row r="71" spans="18:28" x14ac:dyDescent="0.4">
      <c r="R71" s="4"/>
      <c r="S71" s="3"/>
      <c r="Y71" s="10"/>
      <c r="Z71" s="10"/>
      <c r="AA71" s="10"/>
      <c r="AB71" s="3"/>
    </row>
    <row r="72" spans="18:28" x14ac:dyDescent="0.4">
      <c r="R72" s="4"/>
      <c r="S72" s="3"/>
      <c r="Y72" s="4"/>
      <c r="Z72" s="4"/>
      <c r="AA72" s="4"/>
      <c r="AB72" s="3"/>
    </row>
    <row r="73" spans="18:28" x14ac:dyDescent="0.4">
      <c r="R73" s="4"/>
      <c r="S73" s="3"/>
      <c r="Y73" s="10"/>
      <c r="Z73" s="10"/>
      <c r="AA73" s="10"/>
      <c r="AB73" s="3"/>
    </row>
    <row r="74" spans="18:28" x14ac:dyDescent="0.4">
      <c r="R74" s="4"/>
      <c r="S74" s="3"/>
      <c r="Y74" s="4"/>
      <c r="Z74" s="4"/>
      <c r="AA74" s="4"/>
      <c r="AB74" s="3"/>
    </row>
    <row r="75" spans="18:28" x14ac:dyDescent="0.4">
      <c r="R75" s="4"/>
      <c r="S75" s="3"/>
      <c r="Y75" s="10"/>
      <c r="Z75" s="10"/>
      <c r="AA75" s="10"/>
      <c r="AB75" s="3"/>
    </row>
    <row r="76" spans="18:28" x14ac:dyDescent="0.4">
      <c r="R76" s="4"/>
      <c r="S76" s="3"/>
      <c r="Y76" s="4"/>
      <c r="Z76" s="4"/>
      <c r="AA76" s="4"/>
      <c r="AB76" s="3"/>
    </row>
    <row r="77" spans="18:28" x14ac:dyDescent="0.4">
      <c r="R77" s="4"/>
      <c r="S77" s="3"/>
      <c r="AA77" s="10"/>
      <c r="AB77" s="3"/>
    </row>
    <row r="78" spans="18:28" x14ac:dyDescent="0.4">
      <c r="R78" s="4"/>
      <c r="S78" s="3"/>
      <c r="AA78" s="4"/>
      <c r="AB78" s="3"/>
    </row>
    <row r="79" spans="18:28" x14ac:dyDescent="0.4">
      <c r="R79" s="4"/>
      <c r="S79" s="3"/>
    </row>
    <row r="80" spans="18:28" x14ac:dyDescent="0.4">
      <c r="R80" s="4"/>
      <c r="S80" s="3"/>
    </row>
    <row r="81" spans="18:19" x14ac:dyDescent="0.4">
      <c r="R81" s="4"/>
      <c r="S81" s="3"/>
    </row>
    <row r="82" spans="18:19" x14ac:dyDescent="0.4">
      <c r="R82" s="4"/>
      <c r="S82" s="3"/>
    </row>
    <row r="83" spans="18:19" x14ac:dyDescent="0.4">
      <c r="R83" s="4"/>
      <c r="S83" s="3"/>
    </row>
    <row r="84" spans="18:19" x14ac:dyDescent="0.4">
      <c r="R84" s="4"/>
      <c r="S84" s="3"/>
    </row>
    <row r="85" spans="18:19" x14ac:dyDescent="0.4">
      <c r="R85" s="4"/>
      <c r="S85" s="3"/>
    </row>
    <row r="86" spans="18:19" x14ac:dyDescent="0.4">
      <c r="R86" s="4"/>
      <c r="S86" s="3"/>
    </row>
    <row r="87" spans="18:19" x14ac:dyDescent="0.4">
      <c r="R87" s="4"/>
      <c r="S87" s="3"/>
    </row>
    <row r="88" spans="18:19" x14ac:dyDescent="0.4">
      <c r="R88" s="4"/>
      <c r="S88" s="3"/>
    </row>
    <row r="89" spans="18:19" x14ac:dyDescent="0.4">
      <c r="R89" s="4"/>
      <c r="S89" s="3"/>
    </row>
    <row r="90" spans="18:19" x14ac:dyDescent="0.4">
      <c r="R90" s="4"/>
      <c r="S90" s="3"/>
    </row>
    <row r="91" spans="18:19" x14ac:dyDescent="0.4">
      <c r="R91" s="4"/>
      <c r="S91" s="3"/>
    </row>
    <row r="92" spans="18:19" x14ac:dyDescent="0.4">
      <c r="R92" s="4"/>
      <c r="S92" s="3"/>
    </row>
    <row r="93" spans="18:19" x14ac:dyDescent="0.4">
      <c r="R93" s="4"/>
      <c r="S93" s="3"/>
    </row>
    <row r="94" spans="18:19" x14ac:dyDescent="0.4">
      <c r="R94" s="4"/>
      <c r="S94" s="3"/>
    </row>
    <row r="95" spans="18:19" x14ac:dyDescent="0.4">
      <c r="R95" s="4"/>
      <c r="S95" s="3"/>
    </row>
    <row r="96" spans="18:19" x14ac:dyDescent="0.4">
      <c r="R96" s="4"/>
      <c r="S96" s="3"/>
    </row>
    <row r="97" spans="18:19" x14ac:dyDescent="0.4">
      <c r="R97" s="4"/>
      <c r="S97" s="3"/>
    </row>
    <row r="98" spans="18:19" x14ac:dyDescent="0.4">
      <c r="R98" s="4"/>
      <c r="S98" s="3"/>
    </row>
    <row r="99" spans="18:19" x14ac:dyDescent="0.4">
      <c r="R99" s="4"/>
      <c r="S99" s="3"/>
    </row>
    <row r="100" spans="18:19" x14ac:dyDescent="0.4">
      <c r="R100" s="4"/>
      <c r="S100" s="3"/>
    </row>
  </sheetData>
  <printOptions headings="1"/>
  <pageMargins left="0.25" right="0.25" top="1" bottom="0.75" header="0.1" footer="0.3"/>
  <pageSetup orientation="portrait" r:id="rId4"/>
  <headerFooter>
    <oddHeader>&amp;L&amp;"Bauhaus 93,Regular"&amp;28 &amp;A&amp;R&amp;"Bauhaus 93,Regular"&amp;26&amp;G</oddHeader>
    <oddFooter xml:space="preserve">&amp;L&amp;D &amp;T&amp;C&amp;P of &amp;N&amp;R&amp;Z&amp;F </oddFooter>
  </headerFooter>
  <drawing r:id="rId5"/>
  <legacyDrawingHF r:id="rId6"/>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anels">
    <tabColor theme="3"/>
  </sheetPr>
  <dimension ref="A1:K9"/>
  <sheetViews>
    <sheetView showGridLines="0" workbookViewId="0"/>
  </sheetViews>
  <sheetFormatPr defaultRowHeight="14.6" x14ac:dyDescent="0.4"/>
  <cols>
    <col min="2" max="2" width="8.69140625" customWidth="1"/>
    <col min="3" max="3" width="36.3828125" customWidth="1"/>
    <col min="4" max="4" width="13.3828125" customWidth="1"/>
    <col min="5" max="5" width="5.84375" customWidth="1"/>
    <col min="6" max="6" width="11" customWidth="1"/>
    <col min="7" max="7" width="6.69140625" style="1" customWidth="1"/>
    <col min="8" max="8" width="10" customWidth="1"/>
    <col min="9" max="9" width="6.53515625" customWidth="1"/>
    <col min="10" max="10" width="24.84375" customWidth="1"/>
    <col min="11" max="11" width="47.69140625" customWidth="1"/>
  </cols>
  <sheetData>
    <row r="1" spans="1:11" ht="40" customHeight="1" x14ac:dyDescent="0.4">
      <c r="F1" s="20"/>
      <c r="G1"/>
    </row>
    <row r="2" spans="1:11" ht="16.5" customHeight="1" x14ac:dyDescent="0.4">
      <c r="A2" s="76"/>
      <c r="B2" s="77" t="s">
        <v>258</v>
      </c>
      <c r="C2" s="101" t="s">
        <v>607</v>
      </c>
      <c r="D2" s="20"/>
      <c r="E2" s="20"/>
      <c r="G2"/>
      <c r="I2" s="20"/>
      <c r="J2" s="72"/>
      <c r="K2" s="79"/>
    </row>
    <row r="3" spans="1:11" ht="16.5" customHeight="1" x14ac:dyDescent="0.4">
      <c r="B3" s="72" t="s">
        <v>259</v>
      </c>
      <c r="C3" s="99">
        <v>0</v>
      </c>
      <c r="E3" s="20"/>
      <c r="G3"/>
    </row>
    <row r="4" spans="1:11" ht="16.5" customHeight="1" x14ac:dyDescent="0.4">
      <c r="B4" s="72" t="s">
        <v>260</v>
      </c>
      <c r="C4" s="100">
        <f>PanelTable[[#Totals],[panl_name]]</f>
        <v>0</v>
      </c>
      <c r="G4"/>
    </row>
    <row r="5" spans="1:11" x14ac:dyDescent="0.4">
      <c r="C5" s="7"/>
    </row>
    <row r="7" spans="1:11" x14ac:dyDescent="0.4">
      <c r="B7" t="s">
        <v>4</v>
      </c>
      <c r="C7" t="s">
        <v>99</v>
      </c>
      <c r="D7" t="s">
        <v>29</v>
      </c>
      <c r="E7" t="s">
        <v>100</v>
      </c>
      <c r="F7" s="1" t="s">
        <v>101</v>
      </c>
      <c r="G7" t="s">
        <v>3</v>
      </c>
      <c r="H7" t="s">
        <v>102</v>
      </c>
      <c r="I7" t="s">
        <v>103</v>
      </c>
      <c r="J7" t="s">
        <v>104</v>
      </c>
      <c r="K7" t="s">
        <v>105</v>
      </c>
    </row>
    <row r="8" spans="1:11" x14ac:dyDescent="0.4">
      <c r="F8" s="1"/>
    </row>
    <row r="9" spans="1:11" x14ac:dyDescent="0.4">
      <c r="B9" t="s">
        <v>106</v>
      </c>
      <c r="C9">
        <f>SUBTOTAL(103,PanelTable[panl_name])</f>
        <v>0</v>
      </c>
      <c r="E9">
        <f>SUBTOTAL(109,PanelTable[numProps])</f>
        <v>0</v>
      </c>
      <c r="G9"/>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psOnPanels">
    <tabColor theme="7" tint="-0.499984740745262"/>
  </sheetPr>
  <dimension ref="A1:AV8"/>
  <sheetViews>
    <sheetView showGridLines="0" workbookViewId="0">
      <pane ySplit="6" topLeftCell="A16" activePane="bottomLeft" state="frozen"/>
      <selection activeCell="AF1" sqref="AF1"/>
      <selection pane="bottomLeft" activeCell="AN6" sqref="AN6"/>
    </sheetView>
  </sheetViews>
  <sheetFormatPr defaultRowHeight="14.6" x14ac:dyDescent="0.4"/>
  <cols>
    <col min="2" max="2" width="9" style="1" customWidth="1"/>
    <col min="3" max="3" width="9.84375" style="1" customWidth="1"/>
    <col min="4" max="4" width="11.15234375" style="1" customWidth="1"/>
    <col min="5" max="5" width="4.3828125" style="1" customWidth="1"/>
    <col min="6" max="6" width="9" customWidth="1"/>
    <col min="7" max="7" width="9.15234375" customWidth="1"/>
    <col min="8" max="8" width="5" customWidth="1"/>
    <col min="9" max="9" width="5.84375" style="3" customWidth="1"/>
    <col min="10" max="10" width="11.15234375" style="3" customWidth="1"/>
    <col min="11" max="11" width="5.3046875" style="3" customWidth="1"/>
    <col min="12" max="12" width="5.53515625" customWidth="1"/>
    <col min="13" max="13" width="5.69140625" customWidth="1"/>
    <col min="14" max="14" width="5.3046875" style="3" customWidth="1"/>
    <col min="15" max="15" width="3.53515625" customWidth="1"/>
    <col min="16" max="16" width="8.3046875" customWidth="1"/>
    <col min="17" max="17" width="5.69140625" customWidth="1"/>
    <col min="18" max="18" width="7.69140625" customWidth="1"/>
    <col min="19" max="19" width="3.84375" customWidth="1"/>
    <col min="20" max="20" width="14.3046875" customWidth="1"/>
    <col min="21" max="21" width="12.3046875" customWidth="1"/>
    <col min="22" max="22" width="21.84375" customWidth="1"/>
    <col min="23" max="23" width="5" customWidth="1"/>
    <col min="24" max="24" width="9.84375" customWidth="1"/>
    <col min="25" max="25" width="11.3828125" style="3" customWidth="1"/>
    <col min="26" max="26" width="65" customWidth="1"/>
    <col min="27" max="27" width="12.69140625" style="229" customWidth="1"/>
    <col min="28" max="28" width="9.53515625" style="1" customWidth="1"/>
    <col min="29" max="29" width="6.15234375" style="3" customWidth="1"/>
    <col min="30" max="30" width="19.69140625" customWidth="1"/>
    <col min="31" max="31" width="23" customWidth="1"/>
    <col min="32" max="32" width="10.53515625" style="1" customWidth="1"/>
    <col min="33" max="33" width="4.53515625" customWidth="1"/>
    <col min="34" max="34" width="9.3046875" customWidth="1"/>
    <col min="35" max="35" width="32.3046875" customWidth="1"/>
    <col min="36" max="37" width="2.3828125" customWidth="1"/>
    <col min="38" max="38" width="4" customWidth="1"/>
    <col min="39" max="39" width="3.3046875" customWidth="1"/>
    <col min="40" max="40" width="5.53515625" customWidth="1"/>
    <col min="41" max="41" width="15.69140625" customWidth="1"/>
    <col min="42" max="42" width="5.3828125" style="247" customWidth="1"/>
    <col min="43" max="43" width="37.53515625" customWidth="1"/>
    <col min="44" max="44" width="9" style="1" customWidth="1"/>
    <col min="45" max="45" width="39.84375" customWidth="1"/>
    <col min="46" max="47" width="10.15234375" customWidth="1"/>
    <col min="48" max="48" width="73.69140625" customWidth="1"/>
    <col min="49" max="49" width="26" customWidth="1"/>
  </cols>
  <sheetData>
    <row r="1" spans="1:48" ht="40" customHeight="1" x14ac:dyDescent="0.4">
      <c r="B1"/>
      <c r="C1"/>
      <c r="D1"/>
      <c r="E1"/>
      <c r="F1" s="20"/>
      <c r="I1"/>
      <c r="J1"/>
      <c r="K1"/>
      <c r="Y1"/>
      <c r="AA1" s="2"/>
      <c r="AP1" s="135"/>
    </row>
    <row r="2" spans="1:48" ht="16.5" customHeight="1" x14ac:dyDescent="0.4">
      <c r="A2" s="76"/>
      <c r="B2" s="77" t="s">
        <v>258</v>
      </c>
      <c r="C2" s="101" t="s">
        <v>607</v>
      </c>
      <c r="D2" s="20"/>
      <c r="E2" s="20"/>
      <c r="I2" s="20"/>
      <c r="J2" s="72"/>
      <c r="K2" s="79"/>
      <c r="U2" s="80"/>
      <c r="Y2"/>
      <c r="AA2" s="2"/>
      <c r="AP2" s="135"/>
    </row>
    <row r="3" spans="1:48" ht="16.5" customHeight="1" x14ac:dyDescent="0.4">
      <c r="B3" s="72" t="s">
        <v>259</v>
      </c>
      <c r="C3" s="99">
        <v>0</v>
      </c>
      <c r="D3"/>
      <c r="E3" s="20"/>
      <c r="I3"/>
      <c r="J3"/>
      <c r="K3"/>
      <c r="U3" s="80"/>
      <c r="Y3"/>
      <c r="AA3" s="2"/>
      <c r="AP3" s="135"/>
    </row>
    <row r="4" spans="1:48" ht="16.5" customHeight="1" x14ac:dyDescent="0.4">
      <c r="B4" s="72" t="s">
        <v>260</v>
      </c>
      <c r="C4" s="100">
        <f>PropPanelTable[[#Totals],[lead]]</f>
        <v>0</v>
      </c>
      <c r="D4"/>
      <c r="E4"/>
      <c r="I4"/>
      <c r="J4"/>
      <c r="K4"/>
      <c r="U4" s="80"/>
      <c r="Y4"/>
      <c r="AA4" s="2"/>
      <c r="AP4" s="135"/>
    </row>
    <row r="5" spans="1:48" s="248" customFormat="1" ht="16.5" customHeight="1" thickBot="1" x14ac:dyDescent="0.45">
      <c r="B5" s="249"/>
      <c r="C5" s="249"/>
      <c r="D5" s="248" t="s">
        <v>130</v>
      </c>
      <c r="G5" s="249"/>
      <c r="H5" s="249"/>
      <c r="J5" s="249"/>
      <c r="K5" s="249"/>
      <c r="N5" s="250"/>
      <c r="P5" s="256" t="s">
        <v>282</v>
      </c>
      <c r="Q5" s="252"/>
      <c r="U5" s="248" t="s">
        <v>131</v>
      </c>
      <c r="W5" s="250"/>
      <c r="X5" s="250"/>
      <c r="AA5" s="253" t="s">
        <v>132</v>
      </c>
      <c r="AB5" s="254"/>
      <c r="AC5" s="255"/>
      <c r="AD5" s="249"/>
      <c r="AF5" s="384" t="s">
        <v>133</v>
      </c>
      <c r="AG5" s="384"/>
      <c r="AI5" s="248" t="s">
        <v>459</v>
      </c>
      <c r="AL5" s="250"/>
      <c r="AO5" s="385" t="s">
        <v>135</v>
      </c>
      <c r="AP5" s="385"/>
      <c r="AR5" s="249"/>
      <c r="AT5" s="251" t="s">
        <v>136</v>
      </c>
      <c r="AV5" s="248" t="s">
        <v>137</v>
      </c>
    </row>
    <row r="6" spans="1:48" ht="16.5" customHeight="1" x14ac:dyDescent="0.4">
      <c r="B6" s="1" t="s">
        <v>0</v>
      </c>
      <c r="C6" s="1" t="s">
        <v>32</v>
      </c>
      <c r="D6" t="s">
        <v>1</v>
      </c>
      <c r="E6" t="s">
        <v>73</v>
      </c>
      <c r="F6" t="s">
        <v>2</v>
      </c>
      <c r="G6" t="s">
        <v>65</v>
      </c>
      <c r="H6" t="s">
        <v>75</v>
      </c>
      <c r="I6" t="s">
        <v>66</v>
      </c>
      <c r="J6" t="s">
        <v>76</v>
      </c>
      <c r="K6" t="s">
        <v>290</v>
      </c>
      <c r="L6" t="s">
        <v>30</v>
      </c>
      <c r="M6" t="s">
        <v>6</v>
      </c>
      <c r="N6" s="3" t="s">
        <v>20</v>
      </c>
      <c r="O6" s="122" t="s">
        <v>18</v>
      </c>
      <c r="P6" s="123" t="s">
        <v>19</v>
      </c>
      <c r="Q6" t="s">
        <v>74</v>
      </c>
      <c r="R6" s="123" t="s">
        <v>5</v>
      </c>
      <c r="S6" s="124" t="s">
        <v>17</v>
      </c>
      <c r="T6" s="124" t="s">
        <v>7</v>
      </c>
      <c r="U6" t="s">
        <v>8</v>
      </c>
      <c r="V6" t="s">
        <v>9</v>
      </c>
      <c r="W6" t="s">
        <v>23</v>
      </c>
      <c r="X6" t="s">
        <v>27</v>
      </c>
      <c r="Y6" t="s">
        <v>85</v>
      </c>
      <c r="Z6" t="s">
        <v>10</v>
      </c>
      <c r="AA6" s="2" t="s">
        <v>11</v>
      </c>
      <c r="AB6" s="192" t="s">
        <v>12</v>
      </c>
      <c r="AC6" s="3" t="s">
        <v>13</v>
      </c>
      <c r="AD6" t="s">
        <v>14</v>
      </c>
      <c r="AE6" s="125" t="s">
        <v>104</v>
      </c>
      <c r="AF6" s="1" t="s">
        <v>101</v>
      </c>
      <c r="AG6" t="s">
        <v>138</v>
      </c>
      <c r="AH6" s="1" t="s">
        <v>4</v>
      </c>
      <c r="AI6" t="s">
        <v>99</v>
      </c>
      <c r="AJ6" t="s">
        <v>139</v>
      </c>
      <c r="AK6" t="s">
        <v>140</v>
      </c>
      <c r="AL6" t="s">
        <v>134</v>
      </c>
      <c r="AM6" s="3" t="s">
        <v>141</v>
      </c>
      <c r="AN6" s="3" t="s">
        <v>142</v>
      </c>
      <c r="AO6" t="s">
        <v>143</v>
      </c>
      <c r="AP6" s="135" t="s">
        <v>144</v>
      </c>
      <c r="AQ6" t="s">
        <v>145</v>
      </c>
      <c r="AR6" s="1" t="s">
        <v>146</v>
      </c>
      <c r="AS6" s="4" t="s">
        <v>317</v>
      </c>
      <c r="AT6" s="257" t="s">
        <v>147</v>
      </c>
      <c r="AU6" s="228" t="s">
        <v>148</v>
      </c>
      <c r="AV6" t="s">
        <v>149</v>
      </c>
    </row>
    <row r="7" spans="1:48" x14ac:dyDescent="0.4">
      <c r="I7"/>
      <c r="J7"/>
      <c r="K7"/>
      <c r="O7" s="125"/>
      <c r="S7" s="129"/>
      <c r="Y7"/>
      <c r="AA7" s="281"/>
      <c r="AE7" s="125"/>
      <c r="AH7" s="1"/>
      <c r="AP7" s="135"/>
      <c r="AT7" s="257"/>
      <c r="AU7" s="228"/>
    </row>
    <row r="8" spans="1:48" x14ac:dyDescent="0.4">
      <c r="B8" t="s">
        <v>106</v>
      </c>
      <c r="C8"/>
      <c r="D8"/>
      <c r="E8"/>
      <c r="I8"/>
      <c r="J8"/>
      <c r="K8"/>
      <c r="N8"/>
      <c r="O8" s="125"/>
      <c r="P8">
        <f>SUBTOTAL(103,PropPanelTable[lead])</f>
        <v>0</v>
      </c>
      <c r="S8" s="326"/>
      <c r="Y8"/>
      <c r="AA8" s="197"/>
      <c r="AB8"/>
      <c r="AC8"/>
      <c r="AE8" s="125"/>
      <c r="AP8" s="135" t="e">
        <f>SUBTOTAL(101,PropPanelTable[avg_score])</f>
        <v>#DIV/0!</v>
      </c>
      <c r="AR8"/>
      <c r="AT8" s="125"/>
    </row>
  </sheetData>
  <mergeCells count="2">
    <mergeCell ref="AF5:AG5"/>
    <mergeCell ref="AO5:AP5"/>
  </mergeCells>
  <conditionalFormatting sqref="B7:AV8">
    <cfRule type="expression" dxfId="272" priority="36">
      <formula>MOD($N7,2)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sortByPanlRec">
                <anchor moveWithCells="1">
                  <from>
                    <xdr:col>42</xdr:col>
                    <xdr:colOff>87086</xdr:colOff>
                    <xdr:row>2</xdr:row>
                    <xdr:rowOff>0</xdr:rowOff>
                  </from>
                  <to>
                    <xdr:col>42</xdr:col>
                    <xdr:colOff>1790700</xdr:colOff>
                    <xdr:row>3</xdr:row>
                    <xdr:rowOff>125186</xdr:rowOff>
                  </to>
                </anchor>
              </controlPr>
            </control>
          </mc:Choice>
        </mc:AlternateContent>
        <mc:AlternateContent xmlns:mc="http://schemas.openxmlformats.org/markup-compatibility/2006">
          <mc:Choice Requires="x14">
            <control shapeId="29698" r:id="rId5" name="Button 2">
              <controlPr defaultSize="0" print="0" autoFill="0" autoPict="0" macro="[0]!SortbyPanlDate">
                <anchor moveWithCells="1">
                  <from>
                    <xdr:col>30</xdr:col>
                    <xdr:colOff>59871</xdr:colOff>
                    <xdr:row>1</xdr:row>
                    <xdr:rowOff>103414</xdr:rowOff>
                  </from>
                  <to>
                    <xdr:col>31</xdr:col>
                    <xdr:colOff>440871</xdr:colOff>
                    <xdr:row>3</xdr:row>
                    <xdr:rowOff>97971</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jSumKey">
    <tabColor theme="3" tint="-0.249977111117893"/>
  </sheetPr>
  <dimension ref="A1:AG8"/>
  <sheetViews>
    <sheetView showGridLines="0" zoomScaleNormal="100" workbookViewId="0"/>
  </sheetViews>
  <sheetFormatPr defaultRowHeight="14.6" x14ac:dyDescent="0.4"/>
  <cols>
    <col min="1" max="1" width="3.69140625" customWidth="1"/>
    <col min="2" max="2" width="14.84375" style="6" customWidth="1"/>
    <col min="3" max="3" width="9.84375" style="128" customWidth="1"/>
    <col min="4" max="4" width="12.15234375" customWidth="1"/>
    <col min="5" max="5" width="6.15234375" customWidth="1"/>
    <col min="6" max="6" width="10" customWidth="1"/>
    <col min="7" max="7" width="6" customWidth="1"/>
    <col min="8" max="8" width="10" customWidth="1"/>
    <col min="9" max="9" width="6" customWidth="1"/>
    <col min="10" max="10" width="6.3046875" customWidth="1"/>
    <col min="11" max="11" width="5.53515625" customWidth="1"/>
    <col min="12" max="12" width="2.15234375" style="197" customWidth="1"/>
    <col min="13" max="13" width="5.53515625" style="3" customWidth="1"/>
    <col min="14" max="14" width="8.84375" style="3" customWidth="1"/>
    <col min="15" max="15" width="3.84375" style="3" customWidth="1"/>
    <col min="16" max="16" width="11.3828125" style="3" customWidth="1"/>
    <col min="17" max="17" width="10.84375" customWidth="1"/>
    <col min="18" max="18" width="26.15234375" customWidth="1"/>
    <col min="19" max="19" width="4.69140625" customWidth="1"/>
    <col min="20" max="20" width="30.84375" customWidth="1"/>
    <col min="21" max="21" width="68.69140625" customWidth="1"/>
    <col min="22" max="22" width="12.53515625" style="2" customWidth="1"/>
    <col min="23" max="23" width="9.84375" style="192" customWidth="1"/>
    <col min="24" max="24" width="4.3046875" style="3" customWidth="1"/>
    <col min="25" max="25" width="4.15234375" customWidth="1"/>
    <col min="26" max="26" width="46" customWidth="1"/>
    <col min="27" max="27" width="50.53515625" customWidth="1"/>
    <col min="28" max="28" width="36" customWidth="1"/>
    <col min="29" max="31" width="5.69140625" customWidth="1"/>
    <col min="32" max="32" width="3.53515625" hidden="1" customWidth="1"/>
    <col min="33" max="33" width="99.3046875" customWidth="1"/>
    <col min="34" max="34" width="101.15234375" customWidth="1"/>
    <col min="35" max="35" width="7.3828125" customWidth="1"/>
  </cols>
  <sheetData>
    <row r="1" spans="1:33" ht="40" customHeight="1" thickBot="1" x14ac:dyDescent="0.45">
      <c r="B1"/>
      <c r="C1" s="4"/>
      <c r="AC1" s="282"/>
      <c r="AD1" s="283"/>
      <c r="AE1" s="283" t="s">
        <v>309</v>
      </c>
      <c r="AF1" s="284"/>
      <c r="AG1" s="213" t="s">
        <v>584</v>
      </c>
    </row>
    <row r="2" spans="1:33" ht="16.5" customHeight="1" x14ac:dyDescent="0.4">
      <c r="A2" s="76"/>
      <c r="B2" s="77" t="s">
        <v>258</v>
      </c>
      <c r="C2" s="101" t="s">
        <v>607</v>
      </c>
      <c r="D2" s="20"/>
      <c r="E2" s="20"/>
      <c r="H2" s="20"/>
      <c r="I2" s="72"/>
      <c r="S2" s="80"/>
    </row>
    <row r="3" spans="1:33" ht="16.5" customHeight="1" x14ac:dyDescent="0.4">
      <c r="B3" s="72" t="s">
        <v>259</v>
      </c>
      <c r="C3" s="99">
        <v>0</v>
      </c>
      <c r="E3" s="20"/>
      <c r="S3" s="80"/>
      <c r="AC3" s="214" t="s">
        <v>310</v>
      </c>
    </row>
    <row r="4" spans="1:33" ht="16.5" customHeight="1" x14ac:dyDescent="0.4">
      <c r="B4" s="72" t="s">
        <v>260</v>
      </c>
      <c r="C4" s="100">
        <f>ProjTable28[[#Totals],[prop_id]]</f>
        <v>0</v>
      </c>
      <c r="S4" s="80"/>
    </row>
    <row r="5" spans="1:33" s="97" customFormat="1" ht="15" thickBot="1" x14ac:dyDescent="0.45">
      <c r="B5" s="96" t="s">
        <v>91</v>
      </c>
      <c r="C5" s="127"/>
      <c r="L5" s="197"/>
      <c r="M5" s="118"/>
      <c r="N5" s="118"/>
      <c r="O5" s="118"/>
      <c r="P5" s="118"/>
      <c r="V5" s="269" t="s">
        <v>312</v>
      </c>
      <c r="X5" s="118"/>
      <c r="Z5" s="97" t="s">
        <v>311</v>
      </c>
    </row>
    <row r="6" spans="1:33" x14ac:dyDescent="0.4">
      <c r="B6" s="126" t="s">
        <v>0</v>
      </c>
      <c r="C6" s="128" t="s">
        <v>32</v>
      </c>
      <c r="D6" t="s">
        <v>1</v>
      </c>
      <c r="E6" t="s">
        <v>73</v>
      </c>
      <c r="F6" t="s">
        <v>2</v>
      </c>
      <c r="G6" t="s">
        <v>75</v>
      </c>
      <c r="H6" t="s">
        <v>76</v>
      </c>
      <c r="I6" t="s">
        <v>290</v>
      </c>
      <c r="J6" s="122" t="s">
        <v>30</v>
      </c>
      <c r="K6" t="s">
        <v>6</v>
      </c>
      <c r="L6" s="201" t="s">
        <v>18</v>
      </c>
      <c r="M6" s="199" t="s">
        <v>74</v>
      </c>
      <c r="N6" s="200" t="s">
        <v>5</v>
      </c>
      <c r="O6" s="196" t="s">
        <v>17</v>
      </c>
      <c r="P6" s="265" t="s">
        <v>7</v>
      </c>
      <c r="Q6" s="196" t="s">
        <v>8</v>
      </c>
      <c r="R6" s="196" t="s">
        <v>9</v>
      </c>
      <c r="S6" s="141" t="s">
        <v>23</v>
      </c>
      <c r="T6" s="141" t="s">
        <v>14</v>
      </c>
      <c r="U6" s="123" t="s">
        <v>10</v>
      </c>
      <c r="V6" s="2" t="s">
        <v>333</v>
      </c>
      <c r="W6" s="270" t="s">
        <v>12</v>
      </c>
      <c r="X6" s="271" t="s">
        <v>13</v>
      </c>
      <c r="Y6" t="s">
        <v>67</v>
      </c>
      <c r="Z6" t="s">
        <v>16</v>
      </c>
      <c r="AA6" t="s">
        <v>68</v>
      </c>
      <c r="AB6" s="123" t="s">
        <v>69</v>
      </c>
      <c r="AC6" t="s">
        <v>306</v>
      </c>
      <c r="AD6" t="s">
        <v>307</v>
      </c>
      <c r="AE6" t="s">
        <v>71</v>
      </c>
      <c r="AF6" t="s">
        <v>332</v>
      </c>
      <c r="AG6" t="s">
        <v>308</v>
      </c>
    </row>
    <row r="7" spans="1:33" x14ac:dyDescent="0.4">
      <c r="C7" s="1"/>
      <c r="L7" s="125"/>
      <c r="M7"/>
      <c r="N7"/>
      <c r="O7" s="129"/>
      <c r="P7"/>
      <c r="V7" s="281"/>
      <c r="W7" s="1"/>
      <c r="Y7" s="7"/>
      <c r="Z7" s="279"/>
      <c r="AA7" s="279"/>
      <c r="AB7" s="280"/>
      <c r="AF7" s="7"/>
      <c r="AG7" s="7"/>
    </row>
    <row r="8" spans="1:33" x14ac:dyDescent="0.4">
      <c r="B8" t="s">
        <v>106</v>
      </c>
      <c r="C8"/>
      <c r="L8"/>
      <c r="M8"/>
      <c r="N8">
        <f>SUBTOTAL(103,ProjTable28[prop_id])</f>
        <v>0</v>
      </c>
      <c r="O8"/>
      <c r="P8"/>
      <c r="V8" s="361"/>
      <c r="W8" s="1"/>
      <c r="AG8">
        <f>SUBTOTAL(103,ProjTable28[KEY WORDS])</f>
        <v>0</v>
      </c>
    </row>
  </sheetData>
  <printOptions headings="1"/>
  <pageMargins left="0.25" right="0.25" top="1" bottom="0.75" header="0.1" footer="0.3"/>
  <pageSetup orientation="portrait" r:id="rId1"/>
  <headerFooter>
    <oddHeader>&amp;L&amp;"Bauhaus 93,Regular"&amp;28 &amp;A&amp;R&amp;"Bauhaus 93,Regular"&amp;26&amp;G</oddHeader>
    <oddFooter xml:space="preserve">&amp;L&amp;D &amp;T&amp;C&amp;P of &amp;N&amp;R&amp;Z&amp;F </oddFooter>
  </headerFooter>
  <drawing r:id="rId2"/>
  <legacyDrawingHF r:id="rId3"/>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rphans">
    <tabColor theme="3" tint="-0.249977111117893"/>
  </sheetPr>
  <dimension ref="A1:AB8"/>
  <sheetViews>
    <sheetView showGridLines="0" workbookViewId="0"/>
  </sheetViews>
  <sheetFormatPr defaultRowHeight="14.6" x14ac:dyDescent="0.4"/>
  <cols>
    <col min="1" max="1" width="4.53515625" customWidth="1"/>
    <col min="2" max="2" width="9.3828125" style="6" customWidth="1"/>
    <col min="3" max="3" width="6.53515625" style="3" customWidth="1"/>
    <col min="4" max="4" width="9.53515625" style="3" customWidth="1"/>
    <col min="5" max="5" width="5.3046875" customWidth="1"/>
    <col min="6" max="6" width="9.3828125" style="1" customWidth="1"/>
    <col min="7" max="7" width="3.84375" style="3" customWidth="1"/>
    <col min="8" max="8" width="4.69140625" customWidth="1"/>
    <col min="9" max="9" width="9.3046875" style="1" customWidth="1"/>
    <col min="10" max="10" width="5.84375" style="1" customWidth="1"/>
    <col min="11" max="12" width="6.53515625" customWidth="1"/>
    <col min="13" max="13" width="4.3828125" customWidth="1"/>
    <col min="14" max="14" width="3.3828125" customWidth="1"/>
    <col min="15" max="15" width="9.53515625" customWidth="1"/>
    <col min="16" max="16" width="7.84375" customWidth="1"/>
    <col min="17" max="17" width="9.53515625" customWidth="1"/>
    <col min="18" max="18" width="3.53515625" customWidth="1"/>
    <col min="19" max="19" width="13.15234375" customWidth="1"/>
    <col min="20" max="20" width="12.84375" customWidth="1"/>
    <col min="21" max="21" width="25" customWidth="1"/>
    <col min="22" max="22" width="86.3828125" customWidth="1"/>
    <col min="23" max="23" width="32.15234375" customWidth="1"/>
    <col min="24" max="24" width="9.69140625" customWidth="1"/>
    <col min="25" max="25" width="41.3046875" customWidth="1"/>
    <col min="26" max="26" width="41.15234375" customWidth="1"/>
    <col min="27" max="27" width="26.3046875" style="6" customWidth="1"/>
    <col min="28" max="28" width="8.69140625" style="1" customWidth="1"/>
    <col min="29" max="29" width="11.15234375" customWidth="1"/>
    <col min="30" max="30" width="15" customWidth="1"/>
    <col min="31" max="31" width="7.53515625" customWidth="1"/>
    <col min="32" max="32" width="10.53515625" customWidth="1"/>
    <col min="33" max="33" width="81.15234375" bestFit="1" customWidth="1"/>
    <col min="34" max="34" width="16.69140625" customWidth="1"/>
    <col min="35" max="35" width="16.3046875" customWidth="1"/>
    <col min="36" max="36" width="10.15234375" bestFit="1" customWidth="1"/>
    <col min="37" max="37" width="11.3828125" customWidth="1"/>
    <col min="38" max="38" width="9.69140625" customWidth="1"/>
    <col min="39" max="41" width="17.15234375" customWidth="1"/>
  </cols>
  <sheetData>
    <row r="1" spans="1:28" ht="40" customHeight="1" x14ac:dyDescent="0.4">
      <c r="B1"/>
      <c r="C1"/>
      <c r="D1"/>
      <c r="F1" s="20"/>
      <c r="AA1"/>
      <c r="AB1"/>
    </row>
    <row r="2" spans="1:28" ht="16.5" customHeight="1" x14ac:dyDescent="0.4">
      <c r="A2" s="76"/>
      <c r="B2" s="77" t="s">
        <v>258</v>
      </c>
      <c r="C2" s="101" t="s">
        <v>607</v>
      </c>
      <c r="D2" s="101"/>
      <c r="E2" s="101"/>
      <c r="F2" s="101"/>
      <c r="I2" s="228"/>
      <c r="J2" s="228"/>
      <c r="K2" s="79"/>
      <c r="L2" s="20"/>
      <c r="M2" s="20"/>
      <c r="AA2"/>
      <c r="AB2"/>
    </row>
    <row r="3" spans="1:28" ht="16.5" customHeight="1" x14ac:dyDescent="0.4">
      <c r="B3" s="72" t="s">
        <v>259</v>
      </c>
      <c r="C3" s="99">
        <v>0</v>
      </c>
      <c r="D3" s="99"/>
      <c r="F3" s="20"/>
      <c r="AA3"/>
      <c r="AB3"/>
    </row>
    <row r="4" spans="1:28" ht="16.5" customHeight="1" x14ac:dyDescent="0.4">
      <c r="B4" s="72" t="s">
        <v>260</v>
      </c>
      <c r="C4" s="100">
        <f>tabOrphan[[#Totals],[prop_id]]</f>
        <v>0</v>
      </c>
      <c r="D4" s="100"/>
      <c r="F4"/>
      <c r="U4" s="72"/>
      <c r="AA4"/>
      <c r="AB4"/>
    </row>
    <row r="5" spans="1:28" s="97" customFormat="1" ht="31.5" customHeight="1" thickBot="1" x14ac:dyDescent="0.45">
      <c r="B5" s="96"/>
      <c r="C5" s="118"/>
      <c r="D5" s="118"/>
      <c r="F5" s="118" t="s">
        <v>466</v>
      </c>
      <c r="I5" s="289"/>
      <c r="J5" s="289"/>
      <c r="AA5" s="96"/>
      <c r="AB5" s="289"/>
    </row>
    <row r="6" spans="1:28" ht="16.5" customHeight="1" x14ac:dyDescent="0.4">
      <c r="B6" s="1" t="s">
        <v>0</v>
      </c>
      <c r="C6" t="s">
        <v>73</v>
      </c>
      <c r="D6" t="s">
        <v>2</v>
      </c>
      <c r="E6" t="s">
        <v>75</v>
      </c>
      <c r="F6" t="s">
        <v>76</v>
      </c>
      <c r="G6" s="3" t="s">
        <v>353</v>
      </c>
      <c r="H6" t="s">
        <v>354</v>
      </c>
      <c r="I6" s="1" t="s">
        <v>355</v>
      </c>
      <c r="J6" t="s">
        <v>290</v>
      </c>
      <c r="K6" s="123" t="s">
        <v>30</v>
      </c>
      <c r="L6" s="20" t="s">
        <v>6</v>
      </c>
      <c r="M6" s="123" t="s">
        <v>20</v>
      </c>
      <c r="N6" s="122" t="s">
        <v>18</v>
      </c>
      <c r="O6" s="123" t="s">
        <v>19</v>
      </c>
      <c r="P6" s="123" t="s">
        <v>74</v>
      </c>
      <c r="Q6" s="123" t="s">
        <v>5</v>
      </c>
      <c r="R6" s="124" t="s">
        <v>356</v>
      </c>
      <c r="S6" s="20" t="s">
        <v>7</v>
      </c>
      <c r="T6" s="20" t="s">
        <v>8</v>
      </c>
      <c r="U6" t="s">
        <v>9</v>
      </c>
      <c r="V6" t="s">
        <v>10</v>
      </c>
      <c r="W6" t="s">
        <v>15</v>
      </c>
      <c r="AA6"/>
      <c r="AB6"/>
    </row>
    <row r="7" spans="1:28" x14ac:dyDescent="0.4">
      <c r="B7" s="1"/>
      <c r="C7" s="1"/>
      <c r="D7"/>
      <c r="F7"/>
      <c r="G7"/>
      <c r="J7"/>
      <c r="L7" s="7"/>
      <c r="N7" s="125"/>
      <c r="R7" s="129"/>
      <c r="AA7"/>
      <c r="AB7"/>
    </row>
    <row r="8" spans="1:28" x14ac:dyDescent="0.4">
      <c r="B8" t="s">
        <v>106</v>
      </c>
      <c r="C8"/>
      <c r="D8"/>
      <c r="F8"/>
      <c r="G8"/>
      <c r="I8"/>
      <c r="J8"/>
      <c r="N8" s="125"/>
      <c r="Q8">
        <f>SUBTOTAL(103,tabOrphan[prop_id])</f>
        <v>0</v>
      </c>
      <c r="R8" s="326"/>
      <c r="Z8" s="6"/>
      <c r="AA8" s="1"/>
      <c r="AB8"/>
    </row>
  </sheetData>
  <conditionalFormatting sqref="B7:W8">
    <cfRule type="expression" dxfId="231" priority="122">
      <formula>MOD($M7,2)</formula>
    </cfRule>
  </conditionalFormatting>
  <pageMargins left="0.7" right="0.7" top="0.75" bottom="0.75" header="0.3" footer="0.3"/>
  <pageSetup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ewInst">
    <tabColor theme="3" tint="-0.249977111117893"/>
  </sheetPr>
  <dimension ref="A1:X9"/>
  <sheetViews>
    <sheetView showGridLines="0" zoomScale="112" zoomScaleNormal="112" workbookViewId="0"/>
  </sheetViews>
  <sheetFormatPr defaultRowHeight="14.6" x14ac:dyDescent="0.4"/>
  <cols>
    <col min="2" max="2" width="15.84375" customWidth="1"/>
    <col min="3" max="3" width="6.53515625" customWidth="1"/>
    <col min="4" max="4" width="10.3046875" customWidth="1"/>
    <col min="5" max="5" width="6.3828125" customWidth="1"/>
    <col min="6" max="7" width="12.3828125" customWidth="1"/>
    <col min="8" max="8" width="23" customWidth="1"/>
    <col min="9" max="9" width="6.15234375" customWidth="1"/>
    <col min="10" max="10" width="6.3046875" customWidth="1"/>
    <col min="11" max="11" width="4.53515625" customWidth="1"/>
    <col min="12" max="12" width="10.84375" customWidth="1"/>
    <col min="13" max="13" width="4.69140625" customWidth="1"/>
    <col min="14" max="14" width="23.15234375" customWidth="1"/>
    <col min="15" max="15" width="7" customWidth="1"/>
    <col min="16" max="16" width="6.69140625" customWidth="1"/>
    <col min="17" max="17" width="5.53515625" customWidth="1"/>
    <col min="18" max="18" width="10.53515625" customWidth="1"/>
    <col min="19" max="19" width="5.3046875" customWidth="1"/>
    <col min="20" max="20" width="13.3828125" customWidth="1"/>
    <col min="21" max="21" width="14.84375" customWidth="1"/>
    <col min="22" max="22" width="15.3046875" customWidth="1"/>
    <col min="23" max="23" width="32.3828125" customWidth="1"/>
    <col min="24" max="24" width="88.15234375" customWidth="1"/>
  </cols>
  <sheetData>
    <row r="1" spans="1:24" ht="40" customHeight="1" x14ac:dyDescent="0.4">
      <c r="H1" s="20"/>
    </row>
    <row r="2" spans="1:24" ht="16.5" customHeight="1" x14ac:dyDescent="0.4">
      <c r="A2" s="76"/>
      <c r="B2" s="77" t="s">
        <v>258</v>
      </c>
      <c r="C2" s="101" t="s">
        <v>607</v>
      </c>
      <c r="D2" s="101"/>
      <c r="E2" s="20"/>
      <c r="I2" s="20"/>
      <c r="J2" s="72"/>
      <c r="K2" s="79"/>
      <c r="L2" s="20"/>
      <c r="T2" s="80"/>
      <c r="U2" s="20"/>
      <c r="V2" s="80"/>
    </row>
    <row r="3" spans="1:24" ht="16.5" customHeight="1" x14ac:dyDescent="0.4">
      <c r="B3" s="72" t="s">
        <v>259</v>
      </c>
      <c r="C3" s="99">
        <v>0</v>
      </c>
      <c r="E3" s="20"/>
      <c r="T3" s="80"/>
      <c r="V3" s="80"/>
    </row>
    <row r="4" spans="1:24" ht="16.5" customHeight="1" x14ac:dyDescent="0.4">
      <c r="B4" s="72" t="s">
        <v>260</v>
      </c>
      <c r="C4" s="100">
        <f>PendNewInstTable[[#Totals],[inst_id]]</f>
        <v>0</v>
      </c>
      <c r="T4" s="80"/>
      <c r="V4" s="80"/>
    </row>
    <row r="5" spans="1:24" ht="16.5" customHeight="1" thickBot="1" x14ac:dyDescent="0.45"/>
    <row r="6" spans="1:24" ht="16.5" customHeight="1" x14ac:dyDescent="0.4">
      <c r="B6" s="6" t="s">
        <v>0</v>
      </c>
      <c r="C6" t="s">
        <v>73</v>
      </c>
      <c r="D6" s="6" t="s">
        <v>2</v>
      </c>
      <c r="E6" t="s">
        <v>75</v>
      </c>
      <c r="F6" t="s">
        <v>76</v>
      </c>
      <c r="G6" t="s">
        <v>85</v>
      </c>
      <c r="H6" t="s">
        <v>9</v>
      </c>
      <c r="I6" t="s">
        <v>23</v>
      </c>
      <c r="J6" t="s">
        <v>94</v>
      </c>
      <c r="K6" t="s">
        <v>96</v>
      </c>
      <c r="L6" t="s">
        <v>95</v>
      </c>
      <c r="M6" t="s">
        <v>97</v>
      </c>
      <c r="N6" t="s">
        <v>98</v>
      </c>
      <c r="O6" t="s">
        <v>6</v>
      </c>
      <c r="P6" t="s">
        <v>30</v>
      </c>
      <c r="Q6" s="122" t="s">
        <v>74</v>
      </c>
      <c r="R6" s="122" t="s">
        <v>5</v>
      </c>
      <c r="S6" s="124" t="s">
        <v>17</v>
      </c>
      <c r="T6" s="124" t="s">
        <v>7</v>
      </c>
      <c r="U6" s="124" t="s">
        <v>8</v>
      </c>
      <c r="V6" t="s">
        <v>82</v>
      </c>
      <c r="W6" t="s">
        <v>15</v>
      </c>
      <c r="X6" t="s">
        <v>10</v>
      </c>
    </row>
    <row r="7" spans="1:24" x14ac:dyDescent="0.4">
      <c r="B7" s="6"/>
      <c r="D7" s="6"/>
      <c r="Q7" s="125"/>
      <c r="S7" s="129"/>
    </row>
    <row r="8" spans="1:24" x14ac:dyDescent="0.4">
      <c r="B8" t="s">
        <v>106</v>
      </c>
      <c r="G8">
        <f>SUBTOTAL(103,PendNewInstTable[inst_id])</f>
        <v>0</v>
      </c>
      <c r="Q8" s="125"/>
      <c r="S8" s="326"/>
    </row>
    <row r="9" spans="1:24" x14ac:dyDescent="0.4">
      <c r="Q9" s="125"/>
      <c r="S9" s="326"/>
    </row>
  </sheetData>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d">
    <tabColor theme="3" tint="-0.249977111117893"/>
  </sheetPr>
  <dimension ref="A1:X8"/>
  <sheetViews>
    <sheetView showGridLines="0" zoomScaleNormal="100" workbookViewId="0">
      <pane ySplit="6" topLeftCell="A7" activePane="bottomLeft" state="frozen"/>
      <selection activeCell="A38" sqref="A37:A38"/>
      <selection pane="bottomLeft"/>
    </sheetView>
  </sheetViews>
  <sheetFormatPr defaultColWidth="9.15234375" defaultRowHeight="14.6" x14ac:dyDescent="0.4"/>
  <cols>
    <col min="1" max="1" width="9.15234375" style="19"/>
    <col min="2" max="2" width="17" style="43" customWidth="1"/>
    <col min="3" max="3" width="10.15234375" style="32" customWidth="1"/>
    <col min="4" max="4" width="4.69140625" style="19" customWidth="1"/>
    <col min="5" max="5" width="9.15234375" style="19" customWidth="1"/>
    <col min="6" max="6" width="6" style="19" customWidth="1"/>
    <col min="7" max="7" width="9.3046875" style="19" customWidth="1"/>
    <col min="8" max="8" width="6.15234375" style="19" customWidth="1"/>
    <col min="9" max="9" width="6.15234375" style="34" customWidth="1"/>
    <col min="10" max="10" width="4.69140625" style="25" customWidth="1"/>
    <col min="11" max="11" width="3.84375" style="19" customWidth="1"/>
    <col min="12" max="12" width="8" style="19" customWidth="1"/>
    <col min="13" max="13" width="6.15234375" style="19" customWidth="1"/>
    <col min="14" max="14" width="9.69140625" style="317" customWidth="1"/>
    <col min="15" max="15" width="4.3046875" style="19" customWidth="1"/>
    <col min="16" max="16" width="14.53515625" style="40" customWidth="1"/>
    <col min="17" max="17" width="19.3046875" style="40" customWidth="1"/>
    <col min="18" max="18" width="18.3828125" style="40" customWidth="1"/>
    <col min="19" max="19" width="5.3828125" style="25" customWidth="1"/>
    <col min="20" max="20" width="12" style="232" customWidth="1"/>
    <col min="21" max="21" width="11.84375" style="34" customWidth="1"/>
    <col min="22" max="22" width="11.3828125" style="232" customWidth="1"/>
    <col min="23" max="23" width="13.84375" style="34" customWidth="1"/>
    <col min="24" max="24" width="94.84375" style="19" customWidth="1"/>
    <col min="25" max="26" width="12.69140625" style="19" customWidth="1"/>
    <col min="27" max="27" width="13" style="19" customWidth="1"/>
    <col min="28" max="28" width="70.53515625" style="19" customWidth="1"/>
    <col min="29" max="16384" width="9.15234375" style="19"/>
  </cols>
  <sheetData>
    <row r="1" spans="1:24" customFormat="1" ht="40" customHeight="1" x14ac:dyDescent="0.4">
      <c r="G1" s="20"/>
      <c r="J1" s="3"/>
      <c r="N1" s="164"/>
      <c r="S1" s="3"/>
      <c r="T1" s="2"/>
      <c r="V1" s="2"/>
    </row>
    <row r="2" spans="1:24" customFormat="1" ht="16.5" customHeight="1" x14ac:dyDescent="0.4">
      <c r="A2" s="76"/>
      <c r="B2" s="77" t="s">
        <v>258</v>
      </c>
      <c r="C2" s="101" t="s">
        <v>607</v>
      </c>
      <c r="D2" s="20"/>
      <c r="E2" s="72"/>
      <c r="F2" s="20"/>
      <c r="J2" s="3"/>
      <c r="M2" s="20"/>
      <c r="N2" s="165"/>
      <c r="O2" s="20"/>
      <c r="P2" s="79"/>
      <c r="Q2" s="20"/>
      <c r="S2" s="3"/>
      <c r="T2" s="2"/>
      <c r="V2" s="2"/>
      <c r="X2" s="80"/>
    </row>
    <row r="3" spans="1:24" customFormat="1" ht="16.5" customHeight="1" x14ac:dyDescent="0.4">
      <c r="B3" s="72" t="s">
        <v>259</v>
      </c>
      <c r="C3" s="99">
        <v>0</v>
      </c>
      <c r="F3" s="20"/>
      <c r="J3" s="3"/>
      <c r="N3" s="164"/>
      <c r="S3" s="3"/>
      <c r="T3" s="2"/>
      <c r="V3" s="2"/>
      <c r="X3" s="80"/>
    </row>
    <row r="4" spans="1:24" customFormat="1" ht="16.5" customHeight="1" x14ac:dyDescent="0.4">
      <c r="B4" s="72" t="s">
        <v>260</v>
      </c>
      <c r="C4" s="100">
        <f>tabSubAwds[[#Totals],[lead]]</f>
        <v>0</v>
      </c>
      <c r="J4" s="3"/>
      <c r="N4" s="164"/>
      <c r="S4" s="3"/>
      <c r="T4" s="2"/>
      <c r="V4" s="2"/>
      <c r="X4" s="80"/>
    </row>
    <row r="5" spans="1:24" ht="16.5" customHeight="1" thickBot="1" x14ac:dyDescent="0.45">
      <c r="B5" s="30"/>
      <c r="C5" s="41"/>
      <c r="P5" s="19"/>
      <c r="Q5" s="19"/>
      <c r="R5" s="19"/>
      <c r="T5" s="341"/>
      <c r="U5" s="342" t="s">
        <v>506</v>
      </c>
      <c r="V5" s="341"/>
      <c r="W5" s="343" t="s">
        <v>507</v>
      </c>
    </row>
    <row r="6" spans="1:24" x14ac:dyDescent="0.4">
      <c r="B6" s="29" t="s">
        <v>0</v>
      </c>
      <c r="C6" s="31" t="s">
        <v>32</v>
      </c>
      <c r="D6" s="17" t="s">
        <v>73</v>
      </c>
      <c r="E6" s="18" t="s">
        <v>2</v>
      </c>
      <c r="F6" s="17" t="s">
        <v>75</v>
      </c>
      <c r="G6" s="17" t="s">
        <v>76</v>
      </c>
      <c r="H6" s="17" t="s">
        <v>108</v>
      </c>
      <c r="I6" s="33" t="s">
        <v>109</v>
      </c>
      <c r="J6" s="231" t="s">
        <v>20</v>
      </c>
      <c r="K6" s="131" t="s">
        <v>18</v>
      </c>
      <c r="L6" s="154" t="s">
        <v>19</v>
      </c>
      <c r="M6" s="132" t="s">
        <v>74</v>
      </c>
      <c r="N6" s="318" t="s">
        <v>5</v>
      </c>
      <c r="O6" s="133" t="s">
        <v>17</v>
      </c>
      <c r="P6" s="133" t="s">
        <v>7</v>
      </c>
      <c r="Q6" s="18" t="s">
        <v>9</v>
      </c>
      <c r="R6" s="18" t="s">
        <v>117</v>
      </c>
      <c r="S6" s="231" t="s">
        <v>112</v>
      </c>
      <c r="T6" s="233" t="s">
        <v>113</v>
      </c>
      <c r="U6" s="33" t="s">
        <v>114</v>
      </c>
      <c r="V6" s="233" t="s">
        <v>115</v>
      </c>
      <c r="W6" s="33" t="s">
        <v>116</v>
      </c>
      <c r="X6" s="33" t="s">
        <v>10</v>
      </c>
    </row>
    <row r="7" spans="1:24" x14ac:dyDescent="0.4">
      <c r="B7" s="230"/>
      <c r="E7" s="28"/>
      <c r="I7" s="28"/>
      <c r="K7" s="134"/>
      <c r="M7" s="28"/>
      <c r="O7" s="153"/>
      <c r="P7" s="28"/>
      <c r="Q7" s="28"/>
      <c r="R7" s="28"/>
      <c r="T7" s="263"/>
      <c r="U7" s="28"/>
      <c r="V7" s="263"/>
      <c r="W7" s="28"/>
      <c r="X7" s="28"/>
    </row>
    <row r="8" spans="1:24" x14ac:dyDescent="0.4">
      <c r="B8" s="19" t="s">
        <v>106</v>
      </c>
      <c r="C8" s="19"/>
      <c r="I8" s="19"/>
      <c r="J8" s="19"/>
      <c r="K8" s="134"/>
      <c r="L8" s="19">
        <f>SUBTOTAL(103,tabSubAwds[lead])</f>
        <v>0</v>
      </c>
      <c r="O8" s="362"/>
      <c r="P8" s="19"/>
      <c r="Q8" s="19"/>
      <c r="R8" s="19"/>
      <c r="S8" s="19"/>
      <c r="T8" s="363"/>
      <c r="U8" s="19"/>
      <c r="V8" s="363"/>
      <c r="W8" s="19"/>
    </row>
  </sheetData>
  <conditionalFormatting sqref="B6:X8">
    <cfRule type="expression" dxfId="216" priority="2">
      <formula>MOD($J6,2)</formula>
    </cfRule>
  </conditionalFormatting>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ransfers">
    <tabColor theme="3" tint="-0.249977111117893"/>
  </sheetPr>
  <dimension ref="A1:X8"/>
  <sheetViews>
    <sheetView showGridLines="0" workbookViewId="0">
      <pane ySplit="5" topLeftCell="A6" activePane="bottomLeft" state="frozen"/>
      <selection activeCell="A38" sqref="A37:A38"/>
      <selection pane="bottomLeft" activeCell="N177" sqref="N7:N177"/>
    </sheetView>
  </sheetViews>
  <sheetFormatPr defaultRowHeight="14.6" x14ac:dyDescent="0.4"/>
  <cols>
    <col min="2" max="2" width="5" style="4" customWidth="1"/>
    <col min="3" max="3" width="6.15234375" customWidth="1"/>
    <col min="4" max="4" width="7.15234375" customWidth="1"/>
    <col min="5" max="5" width="5.53515625" customWidth="1"/>
    <col min="6" max="6" width="3.15234375" customWidth="1"/>
    <col min="7" max="7" width="8.69140625" customWidth="1"/>
    <col min="8" max="8" width="5.69140625" style="9" customWidth="1"/>
    <col min="9" max="9" width="8" customWidth="1"/>
    <col min="10" max="10" width="3.53515625" customWidth="1"/>
    <col min="11" max="11" width="9.53515625" customWidth="1"/>
    <col min="12" max="12" width="5.84375" customWidth="1"/>
    <col min="13" max="13" width="8.69140625" style="9" customWidth="1"/>
    <col min="14" max="14" width="3.84375" style="9" customWidth="1"/>
    <col min="15" max="15" width="15.84375" customWidth="1"/>
    <col min="16" max="16" width="24.53515625" customWidth="1"/>
    <col min="17" max="17" width="9.53515625" customWidth="1"/>
    <col min="18" max="18" width="6.15234375" customWidth="1"/>
    <col min="19" max="19" width="10.84375" customWidth="1"/>
    <col min="20" max="20" width="9.53515625" customWidth="1"/>
    <col min="21" max="21" width="6.15234375" customWidth="1"/>
    <col min="22" max="22" width="10" customWidth="1"/>
    <col min="23" max="23" width="14.53515625" style="126" customWidth="1"/>
    <col min="24" max="24" width="54" customWidth="1"/>
  </cols>
  <sheetData>
    <row r="1" spans="1:24" ht="40" customHeight="1" x14ac:dyDescent="0.4">
      <c r="B1"/>
      <c r="G1" s="20"/>
      <c r="H1"/>
      <c r="M1"/>
      <c r="N1"/>
      <c r="W1" s="6"/>
    </row>
    <row r="2" spans="1:24" ht="16.5" customHeight="1" x14ac:dyDescent="0.4">
      <c r="A2" s="76"/>
      <c r="B2" s="77" t="s">
        <v>258</v>
      </c>
      <c r="C2" s="101" t="s">
        <v>607</v>
      </c>
      <c r="D2" s="20"/>
      <c r="E2" s="20"/>
      <c r="H2"/>
      <c r="I2" s="20"/>
      <c r="J2" s="72"/>
      <c r="K2" s="79"/>
      <c r="L2" s="20"/>
      <c r="M2"/>
      <c r="N2"/>
      <c r="T2" s="80"/>
      <c r="W2" s="6"/>
    </row>
    <row r="3" spans="1:24" ht="16.5" customHeight="1" x14ac:dyDescent="0.4">
      <c r="B3" s="72" t="s">
        <v>259</v>
      </c>
      <c r="C3" s="99">
        <v>0</v>
      </c>
      <c r="E3" s="20"/>
      <c r="H3"/>
      <c r="M3"/>
      <c r="N3"/>
      <c r="T3" s="80"/>
      <c r="W3" s="6"/>
    </row>
    <row r="4" spans="1:24" ht="16.5" customHeight="1" x14ac:dyDescent="0.4">
      <c r="B4" s="72" t="s">
        <v>260</v>
      </c>
      <c r="C4" s="100">
        <f>tabTransfers[[#Totals],[lead]]</f>
        <v>0</v>
      </c>
      <c r="H4"/>
      <c r="M4"/>
      <c r="N4"/>
      <c r="T4" s="80"/>
      <c r="W4" s="6"/>
    </row>
    <row r="5" spans="1:24" s="112" customFormat="1" ht="16.5" customHeight="1" thickBot="1" x14ac:dyDescent="0.45">
      <c r="B5" s="113"/>
      <c r="D5" s="112" t="s">
        <v>270</v>
      </c>
      <c r="E5" s="114"/>
      <c r="J5" s="114"/>
      <c r="K5" s="114"/>
      <c r="M5" s="112" t="s">
        <v>271</v>
      </c>
      <c r="Q5" s="120" t="s">
        <v>280</v>
      </c>
      <c r="T5" s="112" t="s">
        <v>281</v>
      </c>
      <c r="W5" s="235"/>
      <c r="X5" s="112" t="s">
        <v>272</v>
      </c>
    </row>
    <row r="6" spans="1:24" x14ac:dyDescent="0.4">
      <c r="B6" s="20" t="s">
        <v>20</v>
      </c>
      <c r="C6" s="20" t="s">
        <v>75</v>
      </c>
      <c r="D6" s="20" t="s">
        <v>30</v>
      </c>
      <c r="E6" s="20" t="s">
        <v>6</v>
      </c>
      <c r="F6" s="122" t="s">
        <v>18</v>
      </c>
      <c r="G6" s="123" t="s">
        <v>19</v>
      </c>
      <c r="H6" s="123" t="s">
        <v>74</v>
      </c>
      <c r="I6" s="155" t="s">
        <v>5</v>
      </c>
      <c r="J6" s="156" t="s">
        <v>17</v>
      </c>
      <c r="K6" s="156" t="s">
        <v>118</v>
      </c>
      <c r="L6" s="20" t="s">
        <v>119</v>
      </c>
      <c r="M6" s="21" t="s">
        <v>120</v>
      </c>
      <c r="N6" s="21" t="s">
        <v>553</v>
      </c>
      <c r="O6" s="20" t="s">
        <v>7</v>
      </c>
      <c r="P6" s="148" t="s">
        <v>82</v>
      </c>
      <c r="Q6" s="20" t="s">
        <v>121</v>
      </c>
      <c r="R6" s="20" t="s">
        <v>122</v>
      </c>
      <c r="S6" s="122" t="s">
        <v>123</v>
      </c>
      <c r="T6" s="123" t="s">
        <v>125</v>
      </c>
      <c r="U6" s="123" t="s">
        <v>126</v>
      </c>
      <c r="V6" s="124" t="s">
        <v>127</v>
      </c>
      <c r="W6" s="236" t="s">
        <v>124</v>
      </c>
      <c r="X6" s="124" t="s">
        <v>128</v>
      </c>
    </row>
    <row r="7" spans="1:24" x14ac:dyDescent="0.4">
      <c r="B7"/>
      <c r="F7" s="125"/>
      <c r="I7" s="9"/>
      <c r="J7" s="371"/>
      <c r="K7" s="9"/>
      <c r="L7" s="9"/>
      <c r="M7" s="345"/>
      <c r="N7" s="372"/>
      <c r="P7" s="234"/>
      <c r="V7" s="148"/>
      <c r="W7" s="6"/>
    </row>
    <row r="8" spans="1:24" x14ac:dyDescent="0.4">
      <c r="B8" t="s">
        <v>106</v>
      </c>
      <c r="F8" s="125"/>
      <c r="G8">
        <f>SUBTOTAL(103,tabTransfers[lead])</f>
        <v>0</v>
      </c>
      <c r="H8"/>
      <c r="J8" s="129"/>
      <c r="M8"/>
      <c r="N8" s="370"/>
      <c r="P8" s="148"/>
      <c r="V8" s="148"/>
      <c r="W8"/>
    </row>
  </sheetData>
  <conditionalFormatting sqref="B7:X7">
    <cfRule type="expression" dxfId="166" priority="1">
      <formula>$G7&lt;&gt;$G6</formula>
    </cfRule>
    <cfRule type="expression" dxfId="165" priority="2">
      <formula>MOD($B7,2)</formula>
    </cfRule>
  </conditionalFormatting>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gRevr">
    <tabColor theme="11" tint="-0.499984740745262"/>
  </sheetPr>
  <dimension ref="A1:U8"/>
  <sheetViews>
    <sheetView showGridLines="0" topLeftCell="I1" zoomScaleNormal="100" workbookViewId="0">
      <selection activeCell="R8" sqref="R8"/>
    </sheetView>
  </sheetViews>
  <sheetFormatPr defaultRowHeight="14.6" x14ac:dyDescent="0.4"/>
  <cols>
    <col min="1" max="1" width="5.84375" customWidth="1"/>
    <col min="2" max="2" width="14.69140625" style="126" customWidth="1"/>
    <col min="3" max="3" width="6.53515625" style="27" customWidth="1"/>
    <col min="4" max="4" width="9.15234375" customWidth="1"/>
    <col min="5" max="5" width="5.3046875" customWidth="1"/>
    <col min="6" max="6" width="10.3828125" customWidth="1"/>
    <col min="7" max="7" width="6.84375" style="15" customWidth="1"/>
    <col min="8" max="8" width="7.53515625" style="15" customWidth="1"/>
    <col min="9" max="9" width="4" customWidth="1"/>
    <col min="10" max="10" width="8.53515625" customWidth="1"/>
    <col min="11" max="11" width="5.3046875" customWidth="1"/>
    <col min="12" max="12" width="8.3046875" customWidth="1"/>
    <col min="13" max="13" width="3.3828125" customWidth="1"/>
    <col min="14" max="14" width="18" customWidth="1"/>
    <col min="15" max="15" width="13.84375" style="15" customWidth="1"/>
    <col min="16" max="16" width="14.53515625" style="22" customWidth="1"/>
    <col min="17" max="17" width="7.3046875" style="367" customWidth="1"/>
    <col min="18" max="18" width="58.15234375" style="15" customWidth="1"/>
    <col min="19" max="19" width="60" style="15" customWidth="1"/>
    <col min="20" max="20" width="36.3046875" style="15" customWidth="1"/>
  </cols>
  <sheetData>
    <row r="1" spans="1:21" ht="40" customHeight="1" x14ac:dyDescent="0.4">
      <c r="B1" s="6"/>
      <c r="C1"/>
      <c r="F1" s="20"/>
      <c r="G1" s="13"/>
      <c r="H1"/>
      <c r="O1"/>
      <c r="Q1" s="364"/>
      <c r="R1" s="22"/>
      <c r="S1" s="22"/>
      <c r="T1" s="22"/>
    </row>
    <row r="2" spans="1:21" ht="16.5" customHeight="1" x14ac:dyDescent="0.4">
      <c r="A2" s="76"/>
      <c r="B2" s="240" t="s">
        <v>258</v>
      </c>
      <c r="C2" s="101" t="s">
        <v>607</v>
      </c>
      <c r="D2" s="20"/>
      <c r="E2" s="20"/>
      <c r="G2" s="13"/>
      <c r="H2"/>
      <c r="K2" s="20"/>
      <c r="L2" s="72"/>
      <c r="M2" s="72"/>
      <c r="N2" s="79"/>
      <c r="O2" s="20"/>
      <c r="P2" s="245"/>
      <c r="Q2" s="364"/>
      <c r="R2" s="22"/>
      <c r="S2" s="22"/>
      <c r="T2" s="22"/>
      <c r="U2" s="80"/>
    </row>
    <row r="3" spans="1:21" ht="16.5" customHeight="1" x14ac:dyDescent="0.4">
      <c r="B3" s="241" t="s">
        <v>259</v>
      </c>
      <c r="C3" s="99">
        <v>0</v>
      </c>
      <c r="E3" s="20"/>
      <c r="G3" s="13"/>
      <c r="H3"/>
      <c r="O3"/>
      <c r="Q3" s="364"/>
      <c r="R3" s="22"/>
      <c r="S3" s="22"/>
      <c r="T3" s="22"/>
      <c r="U3" s="80"/>
    </row>
    <row r="4" spans="1:21" ht="16.5" customHeight="1" x14ac:dyDescent="0.4">
      <c r="B4" s="241" t="s">
        <v>260</v>
      </c>
      <c r="C4" s="100">
        <f>tabSuggReviewers[[#Totals],[lead]]</f>
        <v>0</v>
      </c>
      <c r="G4" s="13"/>
      <c r="H4"/>
      <c r="O4"/>
      <c r="Q4" s="364"/>
      <c r="R4" s="22"/>
      <c r="S4" s="22"/>
      <c r="T4" s="22"/>
      <c r="U4" s="80"/>
    </row>
    <row r="5" spans="1:21" s="11" customFormat="1" ht="16.5" customHeight="1" thickBot="1" x14ac:dyDescent="0.45">
      <c r="B5" s="242"/>
      <c r="C5" s="26"/>
      <c r="G5" s="12"/>
      <c r="H5" s="12"/>
      <c r="O5" s="12"/>
      <c r="P5" s="91"/>
      <c r="Q5" s="365"/>
      <c r="R5" s="12"/>
      <c r="S5" s="12"/>
      <c r="T5" s="12"/>
    </row>
    <row r="6" spans="1:21" s="157" customFormat="1" ht="16.5" customHeight="1" x14ac:dyDescent="0.4">
      <c r="B6" s="243" t="s">
        <v>0</v>
      </c>
      <c r="C6" s="159" t="s">
        <v>73</v>
      </c>
      <c r="D6" s="158" t="s">
        <v>2</v>
      </c>
      <c r="E6" s="158" t="s">
        <v>75</v>
      </c>
      <c r="F6" s="158" t="s">
        <v>76</v>
      </c>
      <c r="G6" s="158" t="s">
        <v>108</v>
      </c>
      <c r="H6" s="158" t="s">
        <v>109</v>
      </c>
      <c r="I6" s="160" t="s">
        <v>18</v>
      </c>
      <c r="J6" s="161" t="s">
        <v>19</v>
      </c>
      <c r="K6" s="161" t="s">
        <v>74</v>
      </c>
      <c r="L6" s="161" t="s">
        <v>5</v>
      </c>
      <c r="M6" s="162" t="s">
        <v>17</v>
      </c>
      <c r="N6" s="162" t="s">
        <v>7</v>
      </c>
      <c r="O6" s="158" t="s">
        <v>8</v>
      </c>
      <c r="P6" s="158" t="s">
        <v>9</v>
      </c>
      <c r="Q6" s="366" t="s">
        <v>592</v>
      </c>
      <c r="R6" s="158" t="s">
        <v>110</v>
      </c>
      <c r="S6" s="158" t="s">
        <v>111</v>
      </c>
      <c r="T6" s="158" t="s">
        <v>10</v>
      </c>
    </row>
    <row r="7" spans="1:21" s="13" customFormat="1" x14ac:dyDescent="0.4">
      <c r="B7" s="244"/>
      <c r="I7" s="130"/>
      <c r="M7" s="163"/>
      <c r="O7" s="14"/>
      <c r="P7" s="246"/>
      <c r="Q7" s="367"/>
      <c r="R7" s="15"/>
      <c r="S7" s="15"/>
      <c r="T7" s="15"/>
    </row>
    <row r="8" spans="1:21" s="13" customFormat="1" x14ac:dyDescent="0.4">
      <c r="B8" s="13" t="s">
        <v>106</v>
      </c>
      <c r="I8" s="130"/>
      <c r="J8" s="13">
        <f>SUBTOTAL(103,tabSuggReviewers[lead])</f>
        <v>0</v>
      </c>
      <c r="M8" s="358"/>
      <c r="P8" s="15"/>
      <c r="Q8" s="367"/>
      <c r="R8" s="15"/>
      <c r="S8" s="15"/>
      <c r="T8" s="15"/>
    </row>
  </sheetData>
  <pageMargins left="0.25" right="0.25"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viewers">
    <tabColor theme="11" tint="-0.499984740745262"/>
  </sheetPr>
  <dimension ref="A1:AF8"/>
  <sheetViews>
    <sheetView showGridLines="0" zoomScaleNormal="100" workbookViewId="0"/>
  </sheetViews>
  <sheetFormatPr defaultRowHeight="14.6" x14ac:dyDescent="0.4"/>
  <cols>
    <col min="2" max="2" width="11.3046875" customWidth="1"/>
    <col min="3" max="3" width="5.53515625" style="3" customWidth="1"/>
    <col min="4" max="4" width="10.84375" style="1" customWidth="1"/>
    <col min="5" max="5" width="13.53515625" customWidth="1"/>
    <col min="6" max="6" width="11.3046875" customWidth="1"/>
    <col min="7" max="7" width="17.53515625" customWidth="1"/>
    <col min="8" max="8" width="11" customWidth="1"/>
    <col min="9" max="9" width="20.15234375" customWidth="1"/>
    <col min="10" max="10" width="4" customWidth="1"/>
    <col min="11" max="11" width="3.3828125" customWidth="1"/>
    <col min="12" max="12" width="25.53515625" customWidth="1"/>
    <col min="13" max="13" width="10" customWidth="1"/>
    <col min="14" max="14" width="25.3046875" customWidth="1"/>
    <col min="15" max="15" width="21.53515625" customWidth="1"/>
    <col min="16" max="16" width="5.84375" customWidth="1"/>
    <col min="17" max="17" width="7.69140625" customWidth="1"/>
    <col min="18" max="18" width="4.3046875" customWidth="1"/>
    <col min="19" max="23" width="7.69140625" customWidth="1"/>
    <col min="24" max="24" width="21.53515625" customWidth="1"/>
    <col min="25" max="25" width="14.69140625" customWidth="1"/>
    <col min="26" max="26" width="11" customWidth="1"/>
  </cols>
  <sheetData>
    <row r="1" spans="1:32" ht="40" customHeight="1" x14ac:dyDescent="0.4">
      <c r="D1"/>
      <c r="F1" s="20"/>
    </row>
    <row r="2" spans="1:32" ht="16.5" customHeight="1" x14ac:dyDescent="0.4">
      <c r="A2" s="76"/>
      <c r="B2" s="77" t="s">
        <v>258</v>
      </c>
      <c r="C2" s="237" t="s">
        <v>607</v>
      </c>
      <c r="D2" s="20"/>
      <c r="E2" s="20"/>
      <c r="I2" s="20"/>
      <c r="J2" s="72"/>
      <c r="K2" s="79"/>
      <c r="L2" s="20"/>
      <c r="O2" s="222" t="s">
        <v>521</v>
      </c>
      <c r="AF2" s="80"/>
    </row>
    <row r="3" spans="1:32" ht="16.5" customHeight="1" x14ac:dyDescent="0.4">
      <c r="B3" s="72" t="s">
        <v>259</v>
      </c>
      <c r="C3" s="238">
        <v>0</v>
      </c>
      <c r="D3"/>
      <c r="E3" s="20"/>
      <c r="O3" s="291" t="s">
        <v>28</v>
      </c>
      <c r="P3" s="262" t="s">
        <v>517</v>
      </c>
      <c r="AF3" s="80"/>
    </row>
    <row r="4" spans="1:32" ht="16.5" customHeight="1" x14ac:dyDescent="0.4">
      <c r="B4" s="72" t="s">
        <v>260</v>
      </c>
      <c r="C4" s="239">
        <f>ReviewerTable[[#Totals],[revr_last_name]]</f>
        <v>0</v>
      </c>
      <c r="D4"/>
      <c r="Q4" s="262"/>
      <c r="R4" s="262"/>
      <c r="S4" s="262"/>
      <c r="T4" s="262"/>
      <c r="U4" s="262"/>
      <c r="V4" s="262"/>
      <c r="W4" s="262"/>
      <c r="AF4" s="80"/>
    </row>
    <row r="5" spans="1:32" x14ac:dyDescent="0.4">
      <c r="A5" s="216"/>
      <c r="B5" s="216"/>
      <c r="C5" s="258" t="s">
        <v>87</v>
      </c>
      <c r="D5" s="218"/>
      <c r="E5" s="216" t="s">
        <v>86</v>
      </c>
      <c r="F5" s="216"/>
      <c r="G5" s="216" t="s">
        <v>89</v>
      </c>
      <c r="H5" s="216"/>
      <c r="I5" s="216"/>
      <c r="J5" s="216"/>
      <c r="K5" s="216"/>
      <c r="L5" s="216"/>
      <c r="M5" s="216" t="s">
        <v>88</v>
      </c>
      <c r="N5" s="216"/>
      <c r="O5" s="216"/>
      <c r="P5" s="216" t="s">
        <v>328</v>
      </c>
      <c r="Q5" s="216"/>
      <c r="R5" s="216"/>
      <c r="S5" s="216"/>
      <c r="T5" s="216" t="s">
        <v>329</v>
      </c>
      <c r="U5" s="216"/>
      <c r="V5" s="262" t="s">
        <v>511</v>
      </c>
      <c r="W5" s="262"/>
    </row>
    <row r="6" spans="1:32" x14ac:dyDescent="0.4">
      <c r="B6" t="s">
        <v>77</v>
      </c>
      <c r="C6" s="3" t="s">
        <v>83</v>
      </c>
      <c r="D6" s="1" t="s">
        <v>84</v>
      </c>
      <c r="E6" t="s">
        <v>78</v>
      </c>
      <c r="F6" t="s">
        <v>79</v>
      </c>
      <c r="G6" t="s">
        <v>327</v>
      </c>
      <c r="H6" s="1" t="s">
        <v>85</v>
      </c>
      <c r="I6" t="s">
        <v>82</v>
      </c>
      <c r="J6" t="s">
        <v>80</v>
      </c>
      <c r="K6" t="s">
        <v>23</v>
      </c>
      <c r="L6" t="s">
        <v>81</v>
      </c>
      <c r="M6" t="s">
        <v>27</v>
      </c>
      <c r="N6" t="s">
        <v>14</v>
      </c>
      <c r="O6" t="s">
        <v>319</v>
      </c>
      <c r="P6" t="s">
        <v>320</v>
      </c>
      <c r="Q6" t="s">
        <v>144</v>
      </c>
      <c r="R6" t="s">
        <v>321</v>
      </c>
      <c r="S6" t="s">
        <v>322</v>
      </c>
      <c r="T6" t="s">
        <v>323</v>
      </c>
      <c r="U6" t="s">
        <v>324</v>
      </c>
      <c r="V6" t="s">
        <v>325</v>
      </c>
      <c r="W6" t="s">
        <v>326</v>
      </c>
    </row>
    <row r="7" spans="1:32" x14ac:dyDescent="0.4">
      <c r="H7" s="1"/>
      <c r="Q7" s="135"/>
      <c r="S7" s="135"/>
      <c r="T7" s="260"/>
      <c r="U7" s="260"/>
      <c r="V7" s="261"/>
      <c r="W7" s="261"/>
    </row>
    <row r="8" spans="1:32" x14ac:dyDescent="0.4">
      <c r="B8" t="s">
        <v>106</v>
      </c>
      <c r="C8"/>
      <c r="D8"/>
      <c r="E8">
        <f>SUBTOTAL(103,ReviewerTable[revr_last_name])</f>
        <v>0</v>
      </c>
      <c r="P8" s="135" t="e">
        <f>SUBTOTAL(101,ReviewerTable[min_score])</f>
        <v>#DIV/0!</v>
      </c>
      <c r="Q8" s="135" t="e">
        <f>SUBTOTAL(101,ReviewerTable[avg_score])</f>
        <v>#DIV/0!</v>
      </c>
      <c r="R8" s="135" t="e">
        <f>SUBTOTAL(101,ReviewerTable[max_score])</f>
        <v>#DIV/0!</v>
      </c>
      <c r="S8" s="135" t="e">
        <f>SUBTOTAL(101,ReviewerTable[std_score])</f>
        <v>#DIV/0!</v>
      </c>
      <c r="T8" s="260" t="e">
        <f>SUBTOTAL(101,ReviewerTable[avg_len])</f>
        <v>#DIV/0!</v>
      </c>
      <c r="U8" s="260" t="e">
        <f>SUBTOTAL(101,ReviewerTable[std_len])</f>
        <v>#DIV/0!</v>
      </c>
      <c r="V8" s="261" t="e">
        <f>SUBTOTAL(101,ReviewerTable[avg_days_early])</f>
        <v>#DIV/0!</v>
      </c>
      <c r="W8" s="261" t="e">
        <f>SUBTOTAL(101,ReviewerTable[std_days_early])</f>
        <v>#DIV/0!</v>
      </c>
    </row>
  </sheetData>
  <conditionalFormatting sqref="N7">
    <cfRule type="expression" dxfId="107" priority="39">
      <formula>AND($N7&lt;&gt;$G7, NOT(ISBLANK($N7)))</formula>
    </cfRule>
  </conditionalFormatting>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nelists">
    <tabColor theme="11" tint="-0.499984740745262"/>
  </sheetPr>
  <dimension ref="A1:AP9"/>
  <sheetViews>
    <sheetView showGridLines="0" workbookViewId="0"/>
  </sheetViews>
  <sheetFormatPr defaultRowHeight="14.6" x14ac:dyDescent="0.4"/>
  <cols>
    <col min="1" max="1" width="15.15234375" customWidth="1"/>
    <col min="2" max="2" width="7.84375" customWidth="1"/>
    <col min="3" max="3" width="5.53515625" customWidth="1"/>
    <col min="4" max="4" width="11" customWidth="1"/>
    <col min="5" max="5" width="4.3828125" style="3" customWidth="1"/>
    <col min="6" max="6" width="13.53515625" customWidth="1"/>
    <col min="7" max="7" width="14.3046875" customWidth="1"/>
    <col min="8" max="8" width="4.3046875" customWidth="1"/>
    <col min="9" max="9" width="32.3828125" customWidth="1"/>
    <col min="10" max="10" width="28.69140625" customWidth="1"/>
    <col min="11" max="11" width="20.53515625" customWidth="1"/>
    <col min="12" max="12" width="10.3046875" customWidth="1"/>
    <col min="13" max="13" width="18.84375" customWidth="1"/>
    <col min="14" max="14" width="11.3828125" customWidth="1"/>
    <col min="15" max="15" width="3.69140625" customWidth="1"/>
    <col min="16" max="16" width="27.3828125" customWidth="1"/>
    <col min="17" max="17" width="6" style="3" customWidth="1"/>
    <col min="18" max="18" width="9.3828125" style="1" customWidth="1"/>
    <col min="19" max="19" width="4.69140625" style="3" customWidth="1"/>
    <col min="20" max="20" width="6" style="135" customWidth="1"/>
    <col min="21" max="21" width="4.3828125" style="3" customWidth="1"/>
    <col min="22" max="22" width="6" style="135" customWidth="1"/>
    <col min="23" max="24" width="8.15234375" style="260" customWidth="1"/>
    <col min="25" max="26" width="6" style="135" customWidth="1"/>
    <col min="27" max="27" width="4.3046875" style="3" customWidth="1"/>
    <col min="28" max="28" width="9.53515625" customWidth="1"/>
    <col min="29" max="29" width="5" style="3" customWidth="1"/>
    <col min="30" max="30" width="5" style="135" customWidth="1"/>
    <col min="31" max="31" width="5" style="3" customWidth="1"/>
    <col min="32" max="32" width="5" style="135" customWidth="1"/>
    <col min="33" max="33" width="6.84375" style="3" customWidth="1"/>
    <col min="34" max="36" width="6.3828125" style="260" customWidth="1"/>
    <col min="37" max="37" width="22" style="260" customWidth="1"/>
    <col min="38" max="43" width="7.69140625" customWidth="1"/>
  </cols>
  <sheetData>
    <row r="1" spans="1:42" ht="40" customHeight="1" x14ac:dyDescent="0.4">
      <c r="G1" s="20"/>
    </row>
    <row r="2" spans="1:42" ht="16.5" customHeight="1" x14ac:dyDescent="0.4">
      <c r="A2" s="76"/>
      <c r="B2" s="77" t="s">
        <v>258</v>
      </c>
      <c r="C2" s="101" t="s">
        <v>607</v>
      </c>
      <c r="D2" s="20"/>
      <c r="E2" s="285"/>
      <c r="F2" s="20"/>
      <c r="J2" s="20"/>
      <c r="K2" s="72"/>
      <c r="L2" s="79"/>
      <c r="M2" s="20"/>
      <c r="N2" s="20"/>
      <c r="O2" s="20"/>
      <c r="P2" s="20"/>
      <c r="Q2" s="258" t="s">
        <v>379</v>
      </c>
      <c r="R2" s="228"/>
      <c r="S2" s="285"/>
      <c r="T2" s="294"/>
      <c r="U2" s="285"/>
      <c r="V2" s="294"/>
      <c r="W2" s="293"/>
      <c r="X2" s="293"/>
      <c r="Y2" s="294"/>
      <c r="Z2" s="294"/>
      <c r="AA2" s="258" t="s">
        <v>509</v>
      </c>
      <c r="AB2" s="262"/>
      <c r="AC2" s="295"/>
      <c r="AD2" s="297"/>
      <c r="AE2" s="295"/>
      <c r="AF2" s="297"/>
      <c r="AG2" s="295"/>
      <c r="AH2" s="298"/>
      <c r="AI2" s="298"/>
      <c r="AJ2" s="298"/>
      <c r="AK2" s="298"/>
      <c r="AP2" s="80"/>
    </row>
    <row r="3" spans="1:42" ht="16.5" customHeight="1" x14ac:dyDescent="0.4">
      <c r="B3" s="72" t="s">
        <v>259</v>
      </c>
      <c r="C3" s="99">
        <v>0</v>
      </c>
      <c r="F3" s="20"/>
      <c r="Q3" s="258" t="s">
        <v>522</v>
      </c>
      <c r="R3" s="296"/>
      <c r="S3" s="295"/>
      <c r="T3" s="297"/>
      <c r="U3" s="295"/>
      <c r="V3" s="297"/>
      <c r="W3" s="298"/>
      <c r="X3" s="298"/>
      <c r="Y3" s="297"/>
      <c r="Z3" s="297"/>
      <c r="AB3" s="344" t="s">
        <v>510</v>
      </c>
      <c r="AP3" s="80"/>
    </row>
    <row r="4" spans="1:42" ht="16.5" customHeight="1" x14ac:dyDescent="0.4">
      <c r="B4" s="72" t="s">
        <v>260</v>
      </c>
      <c r="C4" s="100">
        <f>PanelistTable[[#Totals],[revr_last_name]]</f>
        <v>0</v>
      </c>
      <c r="AB4" s="292"/>
      <c r="AC4" s="297" t="s">
        <v>512</v>
      </c>
      <c r="AP4" s="80"/>
    </row>
    <row r="5" spans="1:42" ht="44.25" customHeight="1" x14ac:dyDescent="0.4">
      <c r="A5" s="98" t="s">
        <v>129</v>
      </c>
      <c r="B5" s="98"/>
      <c r="C5" s="98"/>
      <c r="F5" s="22"/>
      <c r="G5" s="299" t="s">
        <v>381</v>
      </c>
      <c r="H5" s="252"/>
      <c r="I5" s="252"/>
      <c r="J5" s="252"/>
      <c r="K5" s="22"/>
      <c r="L5" s="22"/>
      <c r="M5" s="22"/>
      <c r="N5" s="22"/>
      <c r="O5" s="22"/>
      <c r="P5" s="22"/>
      <c r="Q5" s="150"/>
      <c r="R5" s="23"/>
      <c r="S5" s="295" t="s">
        <v>328</v>
      </c>
      <c r="T5" s="262"/>
      <c r="U5" s="295"/>
      <c r="V5" s="262"/>
      <c r="W5" s="262" t="s">
        <v>329</v>
      </c>
      <c r="X5" s="262"/>
      <c r="Y5" s="262" t="s">
        <v>330</v>
      </c>
      <c r="Z5" s="262"/>
      <c r="AA5" s="150"/>
      <c r="AB5" s="22"/>
      <c r="AC5" s="295" t="s">
        <v>328</v>
      </c>
      <c r="AD5" s="262"/>
      <c r="AE5" s="295"/>
      <c r="AF5" s="262"/>
      <c r="AG5" s="262" t="s">
        <v>329</v>
      </c>
      <c r="AH5" s="262"/>
      <c r="AI5" s="262" t="s">
        <v>330</v>
      </c>
      <c r="AJ5" s="262"/>
      <c r="AK5" s="22"/>
    </row>
    <row r="6" spans="1:42" x14ac:dyDescent="0.4">
      <c r="A6" s="24" t="s">
        <v>4</v>
      </c>
      <c r="D6" s="135" t="s">
        <v>77</v>
      </c>
      <c r="E6" s="3" t="s">
        <v>513</v>
      </c>
      <c r="F6" t="s">
        <v>78</v>
      </c>
      <c r="G6" t="s">
        <v>79</v>
      </c>
      <c r="H6" t="s">
        <v>80</v>
      </c>
      <c r="I6" t="s">
        <v>81</v>
      </c>
      <c r="J6" t="s">
        <v>82</v>
      </c>
      <c r="K6" s="1" t="s">
        <v>327</v>
      </c>
      <c r="L6" t="s">
        <v>27</v>
      </c>
      <c r="M6" t="s">
        <v>14</v>
      </c>
      <c r="N6" s="1" t="s">
        <v>85</v>
      </c>
      <c r="O6" s="1" t="s">
        <v>23</v>
      </c>
      <c r="P6" s="1" t="s">
        <v>319</v>
      </c>
      <c r="Q6" s="135" t="s">
        <v>83</v>
      </c>
      <c r="R6" s="1" t="s">
        <v>84</v>
      </c>
      <c r="S6" s="3" t="s">
        <v>320</v>
      </c>
      <c r="T6" s="135" t="s">
        <v>144</v>
      </c>
      <c r="U6" s="3" t="s">
        <v>321</v>
      </c>
      <c r="V6" s="135" t="s">
        <v>322</v>
      </c>
      <c r="W6" s="260" t="s">
        <v>323</v>
      </c>
      <c r="X6" s="260" t="s">
        <v>324</v>
      </c>
      <c r="Y6" s="135" t="s">
        <v>325</v>
      </c>
      <c r="Z6" s="135" t="s">
        <v>326</v>
      </c>
      <c r="AA6" s="286" t="s">
        <v>369</v>
      </c>
      <c r="AB6" s="1" t="s">
        <v>370</v>
      </c>
      <c r="AC6" s="3" t="s">
        <v>371</v>
      </c>
      <c r="AD6" s="135" t="s">
        <v>372</v>
      </c>
      <c r="AE6" s="3" t="s">
        <v>373</v>
      </c>
      <c r="AF6" s="135" t="s">
        <v>374</v>
      </c>
      <c r="AG6" s="3" t="s">
        <v>375</v>
      </c>
      <c r="AH6" s="260" t="s">
        <v>376</v>
      </c>
      <c r="AI6" s="135" t="s">
        <v>377</v>
      </c>
      <c r="AJ6" s="135" t="s">
        <v>378</v>
      </c>
      <c r="AK6" t="s">
        <v>380</v>
      </c>
    </row>
    <row r="7" spans="1:42" x14ac:dyDescent="0.4">
      <c r="A7" s="19" t="s">
        <v>287</v>
      </c>
      <c r="D7" s="135"/>
      <c r="K7" s="1"/>
      <c r="N7" s="1"/>
      <c r="O7" s="1"/>
      <c r="P7" s="1"/>
      <c r="Q7" s="135"/>
      <c r="AA7" s="286"/>
      <c r="AB7" s="1"/>
      <c r="AI7" s="135"/>
      <c r="AJ7" s="135"/>
      <c r="AK7" s="135"/>
    </row>
    <row r="8" spans="1:42" x14ac:dyDescent="0.4">
      <c r="A8" s="19"/>
      <c r="D8" s="135"/>
      <c r="E8" s="3" t="e">
        <f>SUBTOTAL(101,PanelistTable[nPanls])</f>
        <v>#DIV/0!</v>
      </c>
      <c r="F8">
        <f>SUBTOTAL(103,PanelistTable[revr_last_name])</f>
        <v>0</v>
      </c>
      <c r="K8" s="1"/>
      <c r="N8" s="1"/>
      <c r="O8" s="1"/>
      <c r="P8" s="1"/>
      <c r="Q8" s="135"/>
      <c r="R8" s="1">
        <f>SUBTOTAL(104,PanelistTable[latest])</f>
        <v>0</v>
      </c>
      <c r="S8" s="3" t="e">
        <f>SUBTOTAL(101,PanelistTable[min_score])</f>
        <v>#DIV/0!</v>
      </c>
      <c r="T8" s="135" t="e">
        <f>SUBTOTAL(101,PanelistTable[avg_score])</f>
        <v>#DIV/0!</v>
      </c>
      <c r="U8" s="3" t="e">
        <f>SUBTOTAL(101,PanelistTable[max_score])</f>
        <v>#DIV/0!</v>
      </c>
      <c r="V8" s="135" t="e">
        <f>SUBTOTAL(101,PanelistTable[std_score])</f>
        <v>#DIV/0!</v>
      </c>
      <c r="W8" s="260" t="e">
        <f>SUBTOTAL(101,PanelistTable[avg_len])</f>
        <v>#DIV/0!</v>
      </c>
      <c r="X8" s="260" t="e">
        <f>SUBTOTAL(101,PanelistTable[std_len])</f>
        <v>#DIV/0!</v>
      </c>
      <c r="Y8" s="135" t="e">
        <f>SUBTOTAL(101,PanelistTable[avg_days_early])</f>
        <v>#DIV/0!</v>
      </c>
      <c r="Z8" s="135" t="e">
        <f>SUBTOTAL(101,PanelistTable[std_days_early])</f>
        <v>#DIV/0!</v>
      </c>
      <c r="AA8" s="3" t="e">
        <f>SUBTOTAL(101,PanelistTable[nProps_all])</f>
        <v>#DIV/0!</v>
      </c>
      <c r="AB8" s="1">
        <f>SUBTOTAL(104,PanelistTable[latest_all])</f>
        <v>0</v>
      </c>
      <c r="AC8" s="3" t="e">
        <f>SUBTOTAL(101,PanelistTable[min_score_all])</f>
        <v>#DIV/0!</v>
      </c>
      <c r="AD8" s="135" t="e">
        <f>SUBTOTAL(101,PanelistTable[avg_score_all])</f>
        <v>#DIV/0!</v>
      </c>
      <c r="AE8" s="3" t="e">
        <f>SUBTOTAL(101,PanelistTable[max_score_all])</f>
        <v>#DIV/0!</v>
      </c>
      <c r="AF8" s="135" t="e">
        <f>SUBTOTAL(101,PanelistTable[std_score_all])</f>
        <v>#DIV/0!</v>
      </c>
      <c r="AG8" s="3" t="e">
        <f>SUBTOTAL(101,PanelistTable[avg_len_all])</f>
        <v>#DIV/0!</v>
      </c>
      <c r="AH8" s="260" t="e">
        <f>SUBTOTAL(101,PanelistTable[std_len_all])</f>
        <v>#DIV/0!</v>
      </c>
      <c r="AI8" s="135" t="e">
        <f>SUBTOTAL(101,PanelistTable[avg_days_early_all])</f>
        <v>#DIV/0!</v>
      </c>
      <c r="AJ8" s="135" t="e">
        <f>SUBTOTAL(101,PanelistTable[std_days_early_all])</f>
        <v>#DIV/0!</v>
      </c>
      <c r="AK8"/>
    </row>
    <row r="9" spans="1:42" x14ac:dyDescent="0.4">
      <c r="A9" s="19"/>
    </row>
  </sheetData>
  <conditionalFormatting sqref="M7">
    <cfRule type="expression" dxfId="89" priority="126">
      <formula>AND(NOT(ISBLANK($M7)),$K7&lt;&gt;$M7)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Panelists.RefreshRS">
                <anchor moveWithCells="1">
                  <from>
                    <xdr:col>2</xdr:col>
                    <xdr:colOff>364671</xdr:colOff>
                    <xdr:row>4</xdr:row>
                    <xdr:rowOff>212271</xdr:rowOff>
                  </from>
                  <to>
                    <xdr:col>5</xdr:col>
                    <xdr:colOff>136071</xdr:colOff>
                    <xdr:row>4</xdr:row>
                    <xdr:rowOff>478971</xdr:rowOff>
                  </to>
                </anchor>
              </controlPr>
            </control>
          </mc:Choice>
        </mc:AlternateContent>
      </controls>
    </mc:Choice>
  </mc:AlternateContent>
  <tableParts count="2">
    <tablePart r:id="rId5"/>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lkCOI">
    <tabColor theme="11" tint="-0.499984740745262"/>
  </sheetPr>
  <dimension ref="A1:AB9"/>
  <sheetViews>
    <sheetView showGridLines="0" topLeftCell="A34" zoomScaleNormal="100" workbookViewId="0">
      <selection activeCell="L123" sqref="L123"/>
    </sheetView>
  </sheetViews>
  <sheetFormatPr defaultRowHeight="14.6" x14ac:dyDescent="0.4"/>
  <cols>
    <col min="1" max="1" width="5.84375" customWidth="1"/>
    <col min="2" max="2" width="5.3828125" style="16" customWidth="1"/>
    <col min="3" max="3" width="8" style="27" customWidth="1"/>
    <col min="4" max="4" width="3.84375" customWidth="1"/>
    <col min="5" max="5" width="12.84375" customWidth="1"/>
    <col min="6" max="6" width="22.69140625" customWidth="1"/>
    <col min="7" max="8" width="2.69140625" customWidth="1"/>
    <col min="9" max="9" width="17.15234375" customWidth="1"/>
    <col min="10" max="10" width="19" customWidth="1"/>
    <col min="11" max="11" width="26.84375" customWidth="1"/>
    <col min="12" max="12" width="24.3828125" customWidth="1"/>
    <col min="13" max="13" width="13.53515625" style="15" customWidth="1"/>
    <col min="14" max="14" width="23.15234375" style="15" customWidth="1"/>
    <col min="15" max="15" width="27.15234375" customWidth="1"/>
    <col min="16" max="16" width="8.53515625" customWidth="1"/>
    <col min="17" max="17" width="5.3046875" customWidth="1"/>
    <col min="18" max="18" width="8.3046875" customWidth="1"/>
    <col min="19" max="19" width="3.3828125" customWidth="1"/>
    <col min="20" max="20" width="18" customWidth="1"/>
    <col min="21" max="21" width="13.84375" style="15" customWidth="1"/>
    <col min="22" max="22" width="25.3828125" customWidth="1"/>
    <col min="23" max="23" width="69.3046875" style="15" customWidth="1"/>
    <col min="24" max="24" width="58.15234375" style="15" customWidth="1"/>
    <col min="25" max="25" width="94.84375" style="15" customWidth="1"/>
  </cols>
  <sheetData>
    <row r="1" spans="1:28" ht="40" customHeight="1" x14ac:dyDescent="0.4">
      <c r="B1"/>
      <c r="C1"/>
      <c r="L1" s="20"/>
      <c r="M1" s="13"/>
      <c r="N1"/>
      <c r="U1"/>
      <c r="W1"/>
      <c r="X1"/>
      <c r="Y1"/>
    </row>
    <row r="2" spans="1:28" ht="16.5" customHeight="1" x14ac:dyDescent="0.4">
      <c r="A2" s="76"/>
      <c r="B2" s="77" t="s">
        <v>258</v>
      </c>
      <c r="C2" s="101" t="s">
        <v>607</v>
      </c>
      <c r="D2" s="20"/>
      <c r="E2" s="20"/>
      <c r="F2" s="20"/>
      <c r="G2" s="20"/>
      <c r="H2" s="20"/>
      <c r="I2" s="20"/>
      <c r="J2" s="20"/>
      <c r="K2" s="20"/>
      <c r="M2" s="13"/>
      <c r="N2"/>
      <c r="Q2" s="20"/>
      <c r="R2" s="72"/>
      <c r="S2" s="72"/>
      <c r="T2" s="79"/>
      <c r="U2" s="20"/>
      <c r="V2" s="72"/>
      <c r="W2"/>
      <c r="X2"/>
      <c r="Y2"/>
      <c r="AB2" s="80"/>
    </row>
    <row r="3" spans="1:28" ht="16.5" customHeight="1" x14ac:dyDescent="0.4">
      <c r="B3" s="72" t="s">
        <v>259</v>
      </c>
      <c r="C3" s="99">
        <v>0</v>
      </c>
      <c r="H3" s="20"/>
      <c r="I3" s="20"/>
      <c r="J3" s="20"/>
      <c r="K3" s="20"/>
      <c r="M3" s="13"/>
      <c r="N3"/>
      <c r="U3"/>
      <c r="W3"/>
      <c r="X3"/>
      <c r="Y3"/>
      <c r="AB3" s="80"/>
    </row>
    <row r="4" spans="1:28" ht="16.5" customHeight="1" x14ac:dyDescent="0.4">
      <c r="B4" s="72" t="s">
        <v>260</v>
      </c>
      <c r="C4" s="100">
        <f>COIPropTable[[#Totals],[ILN]]</f>
        <v>0</v>
      </c>
      <c r="M4" s="13"/>
      <c r="N4"/>
      <c r="U4"/>
      <c r="W4"/>
      <c r="X4"/>
      <c r="Y4"/>
      <c r="AB4" s="80"/>
    </row>
    <row r="5" spans="1:28" ht="16.5" customHeight="1" x14ac:dyDescent="0.4">
      <c r="B5" s="72"/>
      <c r="C5" s="100"/>
      <c r="M5" s="13"/>
      <c r="N5"/>
      <c r="U5"/>
      <c r="W5"/>
      <c r="X5"/>
      <c r="Y5"/>
      <c r="AB5" s="80"/>
    </row>
    <row r="6" spans="1:28" s="204" customFormat="1" ht="16.5" customHeight="1" thickBot="1" x14ac:dyDescent="0.45">
      <c r="B6" s="205" t="s">
        <v>303</v>
      </c>
      <c r="C6" s="206"/>
      <c r="H6" s="204" t="s">
        <v>305</v>
      </c>
      <c r="M6" s="207"/>
      <c r="N6" s="207"/>
      <c r="U6" s="207"/>
      <c r="W6" s="207"/>
      <c r="X6" s="207"/>
      <c r="Y6" s="207"/>
    </row>
    <row r="7" spans="1:28" s="209" customFormat="1" x14ac:dyDescent="0.4">
      <c r="B7" s="210" t="s">
        <v>74</v>
      </c>
      <c r="C7" s="211" t="s">
        <v>5</v>
      </c>
      <c r="D7" s="212" t="s">
        <v>18</v>
      </c>
      <c r="E7" s="208" t="s">
        <v>7</v>
      </c>
      <c r="F7" s="208" t="s">
        <v>9</v>
      </c>
      <c r="G7" s="208"/>
      <c r="I7" t="s">
        <v>78</v>
      </c>
      <c r="J7" t="s">
        <v>79</v>
      </c>
      <c r="K7" t="s">
        <v>304</v>
      </c>
      <c r="L7" t="s">
        <v>302</v>
      </c>
    </row>
    <row r="8" spans="1:28" s="13" customFormat="1" x14ac:dyDescent="0.4">
      <c r="B8" s="264"/>
      <c r="I8"/>
      <c r="J8"/>
      <c r="K8" t="str">
        <f>COIRevrTable[revr_frst_name] &amp; " " &amp;COIRevrTable[revr_last_name]</f>
        <v xml:space="preserve"> </v>
      </c>
      <c r="L8"/>
      <c r="M8"/>
      <c r="O8"/>
    </row>
    <row r="9" spans="1:28" x14ac:dyDescent="0.4">
      <c r="B9" s="13" t="s">
        <v>106</v>
      </c>
      <c r="C9" s="13"/>
      <c r="D9" s="13"/>
      <c r="E9" s="13"/>
      <c r="F9" s="13">
        <f>SUBTOTAL(103,COIPropTable[inst_name])</f>
        <v>0</v>
      </c>
      <c r="G9" s="13"/>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SendCOI">
                <anchor moveWithCells="1">
                  <from>
                    <xdr:col>9</xdr:col>
                    <xdr:colOff>38100</xdr:colOff>
                    <xdr:row>3</xdr:row>
                    <xdr:rowOff>76200</xdr:rowOff>
                  </from>
                  <to>
                    <xdr:col>10</xdr:col>
                    <xdr:colOff>0</xdr:colOff>
                    <xdr:row>4</xdr:row>
                    <xdr:rowOff>190500</xdr:rowOff>
                  </to>
                </anchor>
              </controlPr>
            </control>
          </mc:Choice>
        </mc:AlternateContent>
        <mc:AlternateContent xmlns:mc="http://schemas.openxmlformats.org/markup-compatibility/2006">
          <mc:Choice Requires="x14">
            <control shapeId="63490" r:id="rId5" name="Button 2">
              <controlPr defaultSize="0" print="0" autoFill="0" autoPict="0" macro="[0]!BulkCOI.ClearCOIRevr">
                <anchor moveWithCells="1">
                  <from>
                    <xdr:col>10</xdr:col>
                    <xdr:colOff>506186</xdr:colOff>
                    <xdr:row>3</xdr:row>
                    <xdr:rowOff>87086</xdr:rowOff>
                  </from>
                  <to>
                    <xdr:col>10</xdr:col>
                    <xdr:colOff>1562100</xdr:colOff>
                    <xdr:row>4</xdr:row>
                    <xdr:rowOff>201386</xdr:rowOff>
                  </to>
                </anchor>
              </controlPr>
            </control>
          </mc:Choice>
        </mc:AlternateContent>
        <mc:AlternateContent xmlns:mc="http://schemas.openxmlformats.org/markup-compatibility/2006">
          <mc:Choice Requires="x14">
            <control shapeId="63492" r:id="rId6" name="Button 4">
              <controlPr defaultSize="0" print="0" autoFill="0" autoPict="0" macro="[0]!GetAssignedRevr">
                <anchor moveWithCells="1">
                  <from>
                    <xdr:col>10</xdr:col>
                    <xdr:colOff>1611086</xdr:colOff>
                    <xdr:row>3</xdr:row>
                    <xdr:rowOff>87086</xdr:rowOff>
                  </from>
                  <to>
                    <xdr:col>11</xdr:col>
                    <xdr:colOff>1485900</xdr:colOff>
                    <xdr:row>4</xdr:row>
                    <xdr:rowOff>201386</xdr:rowOff>
                  </to>
                </anchor>
              </controlPr>
            </control>
          </mc:Choice>
        </mc:AlternateContent>
      </controls>
    </mc:Choice>
  </mc:AlternateContent>
  <tableParts count="2">
    <tablePart r:id="rId7"/>
    <tablePart r:id="rId8"/>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Tab">
    <tabColor theme="9" tint="-0.249977111117893"/>
  </sheetPr>
  <dimension ref="A1:AC124"/>
  <sheetViews>
    <sheetView showGridLines="0" topLeftCell="A28" workbookViewId="0">
      <selection activeCell="C5" sqref="C5"/>
    </sheetView>
  </sheetViews>
  <sheetFormatPr defaultRowHeight="14.6" x14ac:dyDescent="0.4"/>
  <cols>
    <col min="1" max="1" width="7.3828125" customWidth="1"/>
    <col min="2" max="2" width="15.3046875" customWidth="1"/>
    <col min="3" max="3" width="25.84375" customWidth="1"/>
    <col min="4" max="4" width="92.15234375" customWidth="1"/>
    <col min="5" max="6" width="9.15234375" customWidth="1"/>
    <col min="13" max="13" width="10.3046875" customWidth="1"/>
    <col min="14" max="14" width="12.15234375" customWidth="1"/>
  </cols>
  <sheetData>
    <row r="1" spans="1:29" ht="16.5" customHeight="1" x14ac:dyDescent="0.4">
      <c r="H1" s="20"/>
    </row>
    <row r="2" spans="1:29" ht="16.5" customHeight="1" x14ac:dyDescent="0.4">
      <c r="D2" s="70"/>
      <c r="E2" s="70"/>
      <c r="F2" s="70"/>
      <c r="H2" s="20"/>
      <c r="I2" s="71"/>
      <c r="L2" s="20"/>
      <c r="M2" s="72"/>
      <c r="N2" s="73"/>
      <c r="O2" s="20"/>
      <c r="P2" s="74"/>
    </row>
    <row r="3" spans="1:29" ht="16.5" customHeight="1" x14ac:dyDescent="0.4">
      <c r="H3" s="20"/>
      <c r="L3" s="20"/>
      <c r="M3" s="72"/>
      <c r="N3" s="75"/>
      <c r="O3" s="20"/>
      <c r="P3" s="74"/>
    </row>
    <row r="4" spans="1:29" ht="16.5" customHeight="1" x14ac:dyDescent="0.4">
      <c r="A4" s="76"/>
      <c r="B4" s="77" t="s">
        <v>223</v>
      </c>
      <c r="C4" s="78">
        <v>42690</v>
      </c>
      <c r="D4" s="20"/>
      <c r="E4" s="20"/>
      <c r="F4" s="20"/>
      <c r="G4" s="20"/>
      <c r="K4" s="20"/>
      <c r="L4" s="72"/>
      <c r="M4" s="79"/>
      <c r="N4" s="20"/>
      <c r="P4" s="74"/>
      <c r="AC4" s="80"/>
    </row>
    <row r="5" spans="1:29" ht="16.5" customHeight="1" x14ac:dyDescent="0.4">
      <c r="B5" s="72" t="s">
        <v>224</v>
      </c>
      <c r="C5" s="360">
        <f>Input!E5</f>
        <v>1.1000000000000001</v>
      </c>
      <c r="G5" s="20"/>
      <c r="P5" s="19"/>
      <c r="AC5" s="80"/>
    </row>
    <row r="6" spans="1:29" ht="16.5" customHeight="1" x14ac:dyDescent="0.4">
      <c r="B6" s="72" t="s">
        <v>225</v>
      </c>
      <c r="C6" s="81" t="s">
        <v>226</v>
      </c>
      <c r="AC6" s="80"/>
    </row>
    <row r="7" spans="1:29" ht="16.5" customHeight="1" x14ac:dyDescent="0.4">
      <c r="C7" s="81" t="s">
        <v>227</v>
      </c>
      <c r="AC7" s="80"/>
    </row>
    <row r="8" spans="1:29" ht="16.5" customHeight="1" x14ac:dyDescent="0.4">
      <c r="A8" s="82"/>
      <c r="B8" s="304"/>
      <c r="C8" s="82"/>
      <c r="D8" s="82"/>
      <c r="E8" s="82"/>
      <c r="F8" s="82"/>
      <c r="G8" s="82"/>
      <c r="H8" s="82"/>
      <c r="I8" s="82"/>
      <c r="J8" s="82"/>
      <c r="K8" s="82"/>
      <c r="L8" s="82"/>
      <c r="M8" s="82"/>
      <c r="N8" s="82"/>
      <c r="O8" s="82"/>
      <c r="P8" s="82"/>
      <c r="Q8" s="82"/>
      <c r="R8" s="82"/>
      <c r="S8" s="82"/>
      <c r="T8" s="82"/>
      <c r="U8" s="82"/>
      <c r="V8" s="82"/>
      <c r="W8" s="82"/>
      <c r="X8" s="82"/>
      <c r="Y8" s="82"/>
      <c r="AC8" s="80"/>
    </row>
    <row r="9" spans="1:29" ht="18.45" x14ac:dyDescent="0.4">
      <c r="B9" s="327" t="s">
        <v>496</v>
      </c>
    </row>
    <row r="10" spans="1:29" x14ac:dyDescent="0.4">
      <c r="C10" s="305" t="s">
        <v>494</v>
      </c>
    </row>
    <row r="11" spans="1:29" x14ac:dyDescent="0.4">
      <c r="C11" s="305" t="s">
        <v>444</v>
      </c>
    </row>
    <row r="12" spans="1:29" x14ac:dyDescent="0.4">
      <c r="C12" s="305" t="s">
        <v>445</v>
      </c>
    </row>
    <row r="13" spans="1:29" x14ac:dyDescent="0.4">
      <c r="C13" s="305" t="s">
        <v>582</v>
      </c>
    </row>
    <row r="14" spans="1:29" x14ac:dyDescent="0.4">
      <c r="C14" s="340" t="s">
        <v>519</v>
      </c>
    </row>
    <row r="15" spans="1:29" x14ac:dyDescent="0.4">
      <c r="C15" s="340" t="s">
        <v>520</v>
      </c>
    </row>
    <row r="17" spans="1:18" ht="18.45" x14ac:dyDescent="0.4">
      <c r="A17" s="338" t="s">
        <v>228</v>
      </c>
      <c r="B17" s="84" t="s">
        <v>495</v>
      </c>
      <c r="C17" s="85"/>
      <c r="D17" s="86"/>
      <c r="E17" s="87"/>
      <c r="F17" s="87"/>
      <c r="G17" s="88"/>
    </row>
    <row r="18" spans="1:18" x14ac:dyDescent="0.4">
      <c r="A18" s="328" t="s">
        <v>209</v>
      </c>
      <c r="B18" s="89" t="s">
        <v>283</v>
      </c>
      <c r="C18" s="89" t="s">
        <v>306</v>
      </c>
      <c r="D18" s="89" t="s">
        <v>284</v>
      </c>
      <c r="F18" s="89"/>
      <c r="R18" s="89"/>
    </row>
    <row r="19" spans="1:18" ht="29.15" x14ac:dyDescent="0.45">
      <c r="A19" s="339">
        <v>100</v>
      </c>
      <c r="B19" s="272" t="s">
        <v>275</v>
      </c>
      <c r="C19" s="137" t="s">
        <v>467</v>
      </c>
      <c r="D19" s="137" t="s">
        <v>468</v>
      </c>
    </row>
    <row r="20" spans="1:18" ht="29.15" x14ac:dyDescent="0.45">
      <c r="A20" s="339">
        <v>105</v>
      </c>
      <c r="B20" s="273" t="s">
        <v>276</v>
      </c>
      <c r="C20" s="137" t="s">
        <v>261</v>
      </c>
      <c r="D20" s="137" t="s">
        <v>523</v>
      </c>
    </row>
    <row r="21" spans="1:18" ht="58.3" x14ac:dyDescent="0.45">
      <c r="A21" s="339">
        <v>200</v>
      </c>
      <c r="B21" s="272" t="s">
        <v>255</v>
      </c>
      <c r="C21" s="137" t="s">
        <v>470</v>
      </c>
      <c r="D21" s="137" t="s">
        <v>524</v>
      </c>
    </row>
    <row r="22" spans="1:18" ht="29.15" x14ac:dyDescent="0.45">
      <c r="A22" s="339">
        <v>205</v>
      </c>
      <c r="B22" s="273" t="s">
        <v>277</v>
      </c>
      <c r="C22" s="137" t="s">
        <v>471</v>
      </c>
      <c r="D22" s="137" t="s">
        <v>472</v>
      </c>
    </row>
    <row r="23" spans="1:18" ht="29.15" x14ac:dyDescent="0.45">
      <c r="A23" s="339">
        <v>300</v>
      </c>
      <c r="B23" s="272" t="s">
        <v>359</v>
      </c>
      <c r="C23" s="137" t="s">
        <v>473</v>
      </c>
      <c r="D23" s="137" t="s">
        <v>525</v>
      </c>
    </row>
    <row r="24" spans="1:18" ht="29.15" x14ac:dyDescent="0.45">
      <c r="A24" s="339">
        <v>305</v>
      </c>
      <c r="B24" s="273" t="s">
        <v>360</v>
      </c>
      <c r="C24" s="137" t="s">
        <v>446</v>
      </c>
      <c r="D24" s="137" t="s">
        <v>526</v>
      </c>
    </row>
    <row r="25" spans="1:18" ht="29.15" x14ac:dyDescent="0.45">
      <c r="A25" s="339">
        <v>400</v>
      </c>
      <c r="B25" s="272" t="s">
        <v>210</v>
      </c>
      <c r="C25" s="137" t="s">
        <v>460</v>
      </c>
      <c r="D25" s="137" t="s">
        <v>474</v>
      </c>
    </row>
    <row r="26" spans="1:18" ht="43.75" x14ac:dyDescent="0.45">
      <c r="A26" s="339">
        <v>424</v>
      </c>
      <c r="B26" s="274" t="s">
        <v>550</v>
      </c>
      <c r="C26" s="137" t="s">
        <v>475</v>
      </c>
      <c r="D26" s="137" t="s">
        <v>476</v>
      </c>
    </row>
    <row r="27" spans="1:18" ht="29.15" x14ac:dyDescent="0.45">
      <c r="A27" s="339">
        <v>1011</v>
      </c>
      <c r="B27" s="275" t="s">
        <v>357</v>
      </c>
      <c r="C27" s="137" t="s">
        <v>477</v>
      </c>
      <c r="D27" s="137" t="s">
        <v>478</v>
      </c>
    </row>
    <row r="28" spans="1:18" ht="29.15" x14ac:dyDescent="0.45">
      <c r="A28" s="339">
        <v>1101</v>
      </c>
      <c r="B28" s="275" t="s">
        <v>215</v>
      </c>
      <c r="C28" s="137" t="s">
        <v>479</v>
      </c>
      <c r="D28" s="137" t="s">
        <v>527</v>
      </c>
      <c r="F28" s="90"/>
    </row>
    <row r="29" spans="1:18" ht="43.75" x14ac:dyDescent="0.45">
      <c r="A29" s="339">
        <v>1201</v>
      </c>
      <c r="B29" s="275" t="s">
        <v>217</v>
      </c>
      <c r="C29" s="137" t="s">
        <v>480</v>
      </c>
      <c r="D29" s="137" t="s">
        <v>481</v>
      </c>
      <c r="F29" s="90"/>
    </row>
    <row r="30" spans="1:18" ht="58.3" x14ac:dyDescent="0.45">
      <c r="A30" s="339">
        <v>1401</v>
      </c>
      <c r="B30" s="275" t="s">
        <v>218</v>
      </c>
      <c r="C30" s="137" t="s">
        <v>482</v>
      </c>
      <c r="D30" s="137" t="s">
        <v>483</v>
      </c>
      <c r="F30" s="90"/>
    </row>
    <row r="31" spans="1:18" ht="29.15" x14ac:dyDescent="0.45">
      <c r="A31" s="339">
        <v>1451</v>
      </c>
      <c r="B31" s="275" t="s">
        <v>219</v>
      </c>
      <c r="C31" s="137" t="s">
        <v>230</v>
      </c>
      <c r="D31" s="137" t="s">
        <v>484</v>
      </c>
    </row>
    <row r="32" spans="1:18" ht="29.15" x14ac:dyDescent="0.45">
      <c r="A32" s="339">
        <v>3003</v>
      </c>
      <c r="B32" s="276" t="s">
        <v>213</v>
      </c>
      <c r="C32" s="137" t="s">
        <v>485</v>
      </c>
      <c r="D32" s="137" t="s">
        <v>528</v>
      </c>
    </row>
    <row r="33" spans="1:6" ht="58.3" x14ac:dyDescent="0.45">
      <c r="A33" s="339">
        <v>3103</v>
      </c>
      <c r="B33" s="276" t="s">
        <v>212</v>
      </c>
      <c r="C33" s="137" t="s">
        <v>486</v>
      </c>
      <c r="D33" s="137" t="s">
        <v>529</v>
      </c>
    </row>
    <row r="34" spans="1:6" ht="58.3" x14ac:dyDescent="0.45">
      <c r="A34" s="339">
        <v>3203</v>
      </c>
      <c r="B34" s="276" t="s">
        <v>211</v>
      </c>
      <c r="C34" s="137" t="s">
        <v>487</v>
      </c>
      <c r="D34" s="137" t="s">
        <v>488</v>
      </c>
    </row>
    <row r="35" spans="1:6" ht="58.3" x14ac:dyDescent="0.45">
      <c r="A35" s="339">
        <v>3803</v>
      </c>
      <c r="B35" s="276" t="s">
        <v>301</v>
      </c>
      <c r="C35" s="137" t="s">
        <v>489</v>
      </c>
      <c r="D35" s="137" t="s">
        <v>530</v>
      </c>
    </row>
    <row r="36" spans="1:6" ht="29.15" x14ac:dyDescent="0.45">
      <c r="A36" s="339">
        <v>8888</v>
      </c>
      <c r="B36" s="277" t="s">
        <v>231</v>
      </c>
      <c r="C36" s="137" t="s">
        <v>490</v>
      </c>
      <c r="D36" s="137" t="s">
        <v>552</v>
      </c>
    </row>
    <row r="37" spans="1:6" ht="15.9" x14ac:dyDescent="0.45">
      <c r="A37" s="339">
        <v>9989</v>
      </c>
      <c r="B37" s="278" t="s">
        <v>351</v>
      </c>
      <c r="C37" s="137" t="s">
        <v>491</v>
      </c>
      <c r="D37" s="137" t="s">
        <v>492</v>
      </c>
    </row>
    <row r="38" spans="1:6" ht="29.15" x14ac:dyDescent="0.45">
      <c r="A38" s="339">
        <v>9999</v>
      </c>
      <c r="B38" s="278" t="s">
        <v>256</v>
      </c>
      <c r="C38" s="137" t="s">
        <v>257</v>
      </c>
      <c r="D38" s="137" t="s">
        <v>493</v>
      </c>
      <c r="F38" s="104"/>
    </row>
    <row r="40" spans="1:6" x14ac:dyDescent="0.4">
      <c r="B40" s="89" t="s">
        <v>232</v>
      </c>
      <c r="C40" s="89" t="s">
        <v>233</v>
      </c>
      <c r="D40" s="89" t="s">
        <v>229</v>
      </c>
    </row>
    <row r="42" spans="1:6" x14ac:dyDescent="0.4">
      <c r="C42" t="s">
        <v>262</v>
      </c>
      <c r="D42" t="s">
        <v>234</v>
      </c>
    </row>
    <row r="45" spans="1:6" x14ac:dyDescent="0.4">
      <c r="C45" t="s">
        <v>237</v>
      </c>
      <c r="D45" t="s">
        <v>238</v>
      </c>
    </row>
    <row r="48" spans="1:6" x14ac:dyDescent="0.4">
      <c r="C48" t="s">
        <v>263</v>
      </c>
      <c r="D48" t="s">
        <v>240</v>
      </c>
    </row>
    <row r="51" spans="1:4" x14ac:dyDescent="0.4">
      <c r="C51" t="s">
        <v>442</v>
      </c>
      <c r="D51" t="s">
        <v>531</v>
      </c>
    </row>
    <row r="54" spans="1:4" ht="18.45" x14ac:dyDescent="0.4">
      <c r="A54" s="83" t="s">
        <v>243</v>
      </c>
      <c r="B54" s="84" t="s">
        <v>443</v>
      </c>
      <c r="C54" s="86"/>
    </row>
    <row r="56" spans="1:4" x14ac:dyDescent="0.4">
      <c r="B56" t="s">
        <v>561</v>
      </c>
    </row>
    <row r="57" spans="1:4" x14ac:dyDescent="0.4">
      <c r="B57" s="80" t="s">
        <v>244</v>
      </c>
      <c r="C57" s="89" t="s">
        <v>245</v>
      </c>
      <c r="D57" t="s">
        <v>562</v>
      </c>
    </row>
    <row r="58" spans="1:4" x14ac:dyDescent="0.4">
      <c r="B58" s="80" t="s">
        <v>244</v>
      </c>
      <c r="C58" s="89" t="s">
        <v>246</v>
      </c>
      <c r="D58" t="s">
        <v>563</v>
      </c>
    </row>
    <row r="59" spans="1:4" x14ac:dyDescent="0.4">
      <c r="B59" s="80" t="s">
        <v>244</v>
      </c>
      <c r="C59" s="89" t="s">
        <v>247</v>
      </c>
      <c r="D59" t="s">
        <v>564</v>
      </c>
    </row>
    <row r="60" spans="1:4" x14ac:dyDescent="0.4">
      <c r="C60" t="s">
        <v>565</v>
      </c>
    </row>
    <row r="62" spans="1:4" x14ac:dyDescent="0.4">
      <c r="B62" s="301" t="s">
        <v>365</v>
      </c>
      <c r="C62" s="301" t="s">
        <v>367</v>
      </c>
      <c r="D62" s="301" t="s">
        <v>366</v>
      </c>
    </row>
    <row r="63" spans="1:4" x14ac:dyDescent="0.4">
      <c r="B63" s="302" t="s">
        <v>382</v>
      </c>
      <c r="C63" s="302" t="s">
        <v>201</v>
      </c>
      <c r="D63" s="302" t="s">
        <v>383</v>
      </c>
    </row>
    <row r="64" spans="1:4" ht="102" x14ac:dyDescent="0.4">
      <c r="B64" s="302" t="s">
        <v>384</v>
      </c>
      <c r="C64" s="302" t="s">
        <v>202</v>
      </c>
      <c r="D64" s="302" t="s">
        <v>385</v>
      </c>
    </row>
    <row r="65" spans="2:4" ht="29.15" x14ac:dyDescent="0.4">
      <c r="B65" s="302" t="s">
        <v>386</v>
      </c>
      <c r="C65" s="302" t="s">
        <v>352</v>
      </c>
      <c r="D65" s="302" t="s">
        <v>387</v>
      </c>
    </row>
    <row r="66" spans="2:4" ht="43.75" x14ac:dyDescent="0.4">
      <c r="B66" s="302" t="s">
        <v>388</v>
      </c>
      <c r="C66" s="302" t="s">
        <v>254</v>
      </c>
      <c r="D66" s="302" t="s">
        <v>389</v>
      </c>
    </row>
    <row r="67" spans="2:4" ht="160.30000000000001" x14ac:dyDescent="0.4">
      <c r="B67" s="302" t="s">
        <v>390</v>
      </c>
      <c r="C67" s="302" t="s">
        <v>203</v>
      </c>
      <c r="D67" s="302" t="s">
        <v>391</v>
      </c>
    </row>
    <row r="68" spans="2:4" ht="29.15" x14ac:dyDescent="0.4">
      <c r="B68" s="302" t="s">
        <v>392</v>
      </c>
      <c r="C68" s="302" t="s">
        <v>204</v>
      </c>
      <c r="D68" s="302" t="s">
        <v>393</v>
      </c>
    </row>
    <row r="69" spans="2:4" x14ac:dyDescent="0.4">
      <c r="B69" s="302" t="s">
        <v>394</v>
      </c>
      <c r="C69" s="302" t="s">
        <v>205</v>
      </c>
      <c r="D69" s="302" t="s">
        <v>395</v>
      </c>
    </row>
    <row r="70" spans="2:4" ht="72.900000000000006" x14ac:dyDescent="0.4">
      <c r="B70" s="302" t="s">
        <v>396</v>
      </c>
      <c r="C70" s="302" t="s">
        <v>206</v>
      </c>
      <c r="D70" s="302" t="s">
        <v>397</v>
      </c>
    </row>
    <row r="71" spans="2:4" ht="72.900000000000006" x14ac:dyDescent="0.4">
      <c r="B71" s="302" t="s">
        <v>398</v>
      </c>
      <c r="C71" s="302" t="s">
        <v>160</v>
      </c>
      <c r="D71" s="302" t="s">
        <v>399</v>
      </c>
    </row>
    <row r="72" spans="2:4" ht="72.900000000000006" x14ac:dyDescent="0.4">
      <c r="B72" s="302" t="s">
        <v>400</v>
      </c>
      <c r="C72" s="302" t="s">
        <v>165</v>
      </c>
      <c r="D72" s="302" t="s">
        <v>401</v>
      </c>
    </row>
    <row r="73" spans="2:4" ht="58.3" x14ac:dyDescent="0.4">
      <c r="B73" s="302" t="s">
        <v>402</v>
      </c>
      <c r="C73" s="302" t="s">
        <v>167</v>
      </c>
      <c r="D73" s="302" t="s">
        <v>403</v>
      </c>
    </row>
    <row r="74" spans="2:4" ht="29.15" x14ac:dyDescent="0.4">
      <c r="B74" s="302" t="s">
        <v>404</v>
      </c>
      <c r="C74" s="302" t="s">
        <v>171</v>
      </c>
      <c r="D74" s="302" t="s">
        <v>405</v>
      </c>
    </row>
    <row r="75" spans="2:4" x14ac:dyDescent="0.4">
      <c r="B75" s="302" t="s">
        <v>406</v>
      </c>
      <c r="C75" s="302" t="s">
        <v>174</v>
      </c>
      <c r="D75" s="302" t="s">
        <v>407</v>
      </c>
    </row>
    <row r="76" spans="2:4" x14ac:dyDescent="0.4">
      <c r="B76" s="302" t="s">
        <v>408</v>
      </c>
      <c r="C76" s="302" t="s">
        <v>176</v>
      </c>
      <c r="D76" s="302" t="s">
        <v>409</v>
      </c>
    </row>
    <row r="77" spans="2:4" x14ac:dyDescent="0.4">
      <c r="B77" s="302" t="s">
        <v>410</v>
      </c>
      <c r="C77" s="302" t="s">
        <v>178</v>
      </c>
      <c r="D77" s="302" t="s">
        <v>411</v>
      </c>
    </row>
    <row r="78" spans="2:4" ht="102" x14ac:dyDescent="0.4">
      <c r="B78" s="302" t="s">
        <v>412</v>
      </c>
      <c r="C78" s="302" t="s">
        <v>179</v>
      </c>
      <c r="D78" s="302" t="s">
        <v>413</v>
      </c>
    </row>
    <row r="79" spans="2:4" ht="102" x14ac:dyDescent="0.4">
      <c r="B79" s="302" t="s">
        <v>414</v>
      </c>
      <c r="C79" s="302" t="s">
        <v>182</v>
      </c>
      <c r="D79" s="302" t="s">
        <v>415</v>
      </c>
    </row>
    <row r="80" spans="2:4" ht="102" x14ac:dyDescent="0.4">
      <c r="B80" s="302" t="s">
        <v>416</v>
      </c>
      <c r="C80" s="302" t="s">
        <v>289</v>
      </c>
      <c r="D80" s="302" t="s">
        <v>417</v>
      </c>
    </row>
    <row r="81" spans="2:4" ht="43.75" x14ac:dyDescent="0.4">
      <c r="B81" s="302" t="s">
        <v>418</v>
      </c>
      <c r="C81" s="302" t="s">
        <v>185</v>
      </c>
      <c r="D81" s="302" t="s">
        <v>419</v>
      </c>
    </row>
    <row r="82" spans="2:4" x14ac:dyDescent="0.4">
      <c r="B82" s="302" t="s">
        <v>420</v>
      </c>
      <c r="C82" s="302" t="s">
        <v>186</v>
      </c>
      <c r="D82" s="302" t="s">
        <v>421</v>
      </c>
    </row>
    <row r="83" spans="2:4" ht="58.3" x14ac:dyDescent="0.4">
      <c r="B83" s="302" t="s">
        <v>422</v>
      </c>
      <c r="C83" s="302" t="s">
        <v>188</v>
      </c>
      <c r="D83" s="302" t="s">
        <v>423</v>
      </c>
    </row>
    <row r="84" spans="2:4" ht="29.15" x14ac:dyDescent="0.4">
      <c r="B84" s="302" t="s">
        <v>424</v>
      </c>
      <c r="C84" s="302" t="s">
        <v>190</v>
      </c>
      <c r="D84" s="302" t="s">
        <v>425</v>
      </c>
    </row>
    <row r="85" spans="2:4" x14ac:dyDescent="0.4">
      <c r="B85" s="302" t="s">
        <v>426</v>
      </c>
      <c r="C85" s="302" t="s">
        <v>192</v>
      </c>
      <c r="D85" s="302" t="s">
        <v>427</v>
      </c>
    </row>
    <row r="86" spans="2:4" ht="29.15" x14ac:dyDescent="0.4">
      <c r="B86" s="302" t="s">
        <v>428</v>
      </c>
      <c r="C86" s="302" t="s">
        <v>251</v>
      </c>
      <c r="D86" s="302" t="s">
        <v>429</v>
      </c>
    </row>
    <row r="87" spans="2:4" ht="43.75" x14ac:dyDescent="0.4">
      <c r="B87" s="302" t="s">
        <v>430</v>
      </c>
      <c r="C87" s="302" t="s">
        <v>288</v>
      </c>
      <c r="D87" s="302" t="s">
        <v>431</v>
      </c>
    </row>
    <row r="88" spans="2:4" ht="58.3" x14ac:dyDescent="0.4">
      <c r="B88" s="302" t="s">
        <v>432</v>
      </c>
      <c r="C88" s="302" t="s">
        <v>221</v>
      </c>
      <c r="D88" s="302" t="s">
        <v>433</v>
      </c>
    </row>
    <row r="89" spans="2:4" ht="87.45" x14ac:dyDescent="0.4">
      <c r="B89" s="302" t="s">
        <v>434</v>
      </c>
      <c r="C89" s="302" t="s">
        <v>222</v>
      </c>
      <c r="D89" s="302" t="s">
        <v>435</v>
      </c>
    </row>
    <row r="90" spans="2:4" ht="29.15" x14ac:dyDescent="0.4">
      <c r="B90" s="302" t="s">
        <v>436</v>
      </c>
      <c r="C90" s="302"/>
      <c r="D90" s="302" t="s">
        <v>437</v>
      </c>
    </row>
    <row r="91" spans="2:4" ht="29.15" x14ac:dyDescent="0.4">
      <c r="B91" s="302" t="s">
        <v>438</v>
      </c>
      <c r="C91" s="302"/>
      <c r="D91" s="302" t="s">
        <v>439</v>
      </c>
    </row>
    <row r="92" spans="2:4" ht="29.15" x14ac:dyDescent="0.4">
      <c r="B92" s="302" t="s">
        <v>440</v>
      </c>
      <c r="C92" s="302"/>
      <c r="D92" s="302" t="s">
        <v>441</v>
      </c>
    </row>
    <row r="98" spans="1:3" ht="18.45" x14ac:dyDescent="0.4">
      <c r="A98" s="83" t="s">
        <v>235</v>
      </c>
      <c r="B98" s="84" t="s">
        <v>236</v>
      </c>
      <c r="C98" s="86"/>
    </row>
    <row r="101" spans="1:3" x14ac:dyDescent="0.4">
      <c r="B101" t="s">
        <v>239</v>
      </c>
      <c r="C101" t="s">
        <v>449</v>
      </c>
    </row>
    <row r="102" spans="1:3" x14ac:dyDescent="0.4">
      <c r="B102" t="s">
        <v>241</v>
      </c>
      <c r="C102" t="s">
        <v>456</v>
      </c>
    </row>
    <row r="103" spans="1:3" x14ac:dyDescent="0.4">
      <c r="B103" t="s">
        <v>242</v>
      </c>
      <c r="C103" t="s">
        <v>500</v>
      </c>
    </row>
    <row r="104" spans="1:3" x14ac:dyDescent="0.4">
      <c r="B104" t="s">
        <v>450</v>
      </c>
      <c r="C104" t="s">
        <v>501</v>
      </c>
    </row>
    <row r="105" spans="1:3" x14ac:dyDescent="0.4">
      <c r="B105" t="s">
        <v>451</v>
      </c>
      <c r="C105" t="s">
        <v>497</v>
      </c>
    </row>
    <row r="106" spans="1:3" x14ac:dyDescent="0.4">
      <c r="B106" t="s">
        <v>452</v>
      </c>
      <c r="C106" t="s">
        <v>457</v>
      </c>
    </row>
    <row r="107" spans="1:3" x14ac:dyDescent="0.4">
      <c r="B107" t="s">
        <v>453</v>
      </c>
      <c r="C107" t="s">
        <v>502</v>
      </c>
    </row>
    <row r="108" spans="1:3" x14ac:dyDescent="0.4">
      <c r="B108" t="s">
        <v>454</v>
      </c>
      <c r="C108" t="s">
        <v>498</v>
      </c>
    </row>
    <row r="109" spans="1:3" x14ac:dyDescent="0.4">
      <c r="B109" t="s">
        <v>455</v>
      </c>
      <c r="C109" t="s">
        <v>499</v>
      </c>
    </row>
    <row r="110" spans="1:3" x14ac:dyDescent="0.4">
      <c r="B110" t="s">
        <v>248</v>
      </c>
      <c r="C110" t="s">
        <v>503</v>
      </c>
    </row>
    <row r="111" spans="1:3" x14ac:dyDescent="0.4">
      <c r="B111" s="89"/>
    </row>
    <row r="115" spans="1:4" ht="18.45" x14ac:dyDescent="0.4">
      <c r="A115" s="83" t="s">
        <v>249</v>
      </c>
      <c r="B115" s="84" t="s">
        <v>583</v>
      </c>
      <c r="C115" s="86"/>
    </row>
    <row r="117" spans="1:4" ht="18.45" x14ac:dyDescent="0.4">
      <c r="B117" s="88" t="s">
        <v>504</v>
      </c>
      <c r="C117" s="92"/>
      <c r="D117" s="92"/>
    </row>
    <row r="118" spans="1:4" ht="18.45" x14ac:dyDescent="0.4">
      <c r="B118" s="88" t="s">
        <v>555</v>
      </c>
      <c r="C118" s="92"/>
      <c r="D118" s="92"/>
    </row>
    <row r="119" spans="1:4" ht="18.45" x14ac:dyDescent="0.4">
      <c r="B119" s="88" t="s">
        <v>559</v>
      </c>
      <c r="C119" s="92"/>
      <c r="D119" s="92"/>
    </row>
    <row r="120" spans="1:4" ht="18.45" x14ac:dyDescent="0.4">
      <c r="B120" s="88" t="s">
        <v>560</v>
      </c>
      <c r="C120" s="92"/>
      <c r="D120" s="92"/>
    </row>
    <row r="121" spans="1:4" x14ac:dyDescent="0.4">
      <c r="B121" s="94" t="s">
        <v>250</v>
      </c>
      <c r="C121" s="93"/>
      <c r="D121" s="93"/>
    </row>
    <row r="123" spans="1:4" x14ac:dyDescent="0.4">
      <c r="B123" s="359" t="s">
        <v>588</v>
      </c>
    </row>
    <row r="124" spans="1:4" ht="174" customHeight="1" x14ac:dyDescent="0.4">
      <c r="B124" s="386" t="s">
        <v>585</v>
      </c>
      <c r="C124" s="386"/>
      <c r="D124" s="386"/>
    </row>
  </sheetData>
  <mergeCells count="1">
    <mergeCell ref="B124:D124"/>
  </mergeCells>
  <hyperlinks>
    <hyperlink ref="C10" location="Help!SectionA" display="A. Description"/>
    <hyperlink ref="C11" location="Help!SectionB" display="B. Tips &amp; pop-up help from Input Tab"/>
    <hyperlink ref="C12" location="Help!SectionC" display="C. Top 10 use cases"/>
    <hyperlink ref="C13" location="Help!SectionD" display="D. Upcoming features"/>
    <hyperlink ref="C14" r:id="rId1" display="E. FAQs"/>
    <hyperlink ref="C15" r:id="rId2" display="F. Other useful tools and websites etc."/>
    <hyperlink ref="B19" location="Projects!$A$1" tooltip="Unhide to Jump to Projects" display="Projects"/>
    <hyperlink ref="B20" location="DB_Projs!$A$1" tooltip="Unhide to Jump to DB_Projs" display="DB_Projs"/>
    <hyperlink ref="B21" location="PersInst!$A$1" tooltip="Unhide to Jump to PersInst" display="PersInst"/>
    <hyperlink ref="B22" location="DB_PersInst!$A$1" tooltip="Unhide to Jump to DB_PersInst" display="DB_PersInst"/>
    <hyperlink ref="B23" location="Proposals!$A$1" tooltip="Unhide to Jump to Proposals" display="Proposals"/>
    <hyperlink ref="B24" location="DB_Props!$A$1" tooltip="Unhide to Jump to DB_Props" display="DB_Props"/>
    <hyperlink ref="B25" location="Panels!$A$1" tooltip="Unhide to jump to Panels" display="Panels"/>
    <hyperlink ref="B26" location="PropsOnPanls!$A$1" tooltip="Check prop_stts" display="PropsOnPanls"/>
    <hyperlink ref="B27" location="ProjSumKey!$A$1" tooltip="Unhide to Jump to ProjSumKey" display="ProjSumKey"/>
    <hyperlink ref="B28" location="Orphans!$A$1" tooltip="Check prop_stts" display="Orphans"/>
    <hyperlink ref="B29" location="NewInst!$A$1" tooltip="A little slow; often none returned." display="NewInst"/>
    <hyperlink ref="B30" location="SubAwards!$A$1" tooltip="Unhide to jump to SubAwards" display="SubAwards"/>
    <hyperlink ref="B31" location="Transfers!$A$1" tooltip="Unhide to jump to Transfers" display="Transfers"/>
    <hyperlink ref="B32" location="SuggRevrs!$A$1" tooltip="Unhide to jump to SuggRevrs" display="SuggRevrs"/>
    <hyperlink ref="B33" location="Reviewers!$A$1" tooltip="Slow if retrieving statistics" display="Reviewers"/>
    <hyperlink ref="B34" location="Panelists!$A$1" tooltip="Copy panel ids to tab Panelists" display="Panelists"/>
    <hyperlink ref="B35" location="BulkCOI!$A$1" tooltip="Enter potential reviewers on tab BulkCOI" display="BulkCOI"/>
    <hyperlink ref="B36" location="Help!$A$1" tooltip="For more help" display="Help"/>
    <hyperlink ref="B37" location="Favorites!$A$1" tooltip="Can edit Favorites" display="Favorites"/>
    <hyperlink ref="B38" location="Settings!$A$1" tooltip="Update password on Settings" display="Settings"/>
  </hyperlinks>
  <printOptions headings="1"/>
  <pageMargins left="0.7" right="0.7" top="0.75" bottom="0.75" header="0.3" footer="0.3"/>
  <pageSetup orientation="landscape" r:id="rId3"/>
  <headerFooter>
    <oddHeader>&amp;L&amp;"Bauhaus 93,Regular"&amp;28 &amp;A&amp;R&amp;"Bauhaus 93,Regular"&amp;26&amp;G</oddHeader>
    <oddFooter xml:space="preserve">&amp;L&amp;D &amp;T&amp;C&amp;P of &amp;N&amp;R&amp;Z&amp;F </oddFooter>
  </headerFooter>
  <drawing r:id="rId4"/>
  <tableParts count="2">
    <tablePart r:id="rId5"/>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avorites">
    <tabColor theme="8" tint="-0.249977111117893"/>
  </sheetPr>
  <dimension ref="A1:AH109"/>
  <sheetViews>
    <sheetView workbookViewId="0">
      <selection activeCell="G13" sqref="G13"/>
    </sheetView>
  </sheetViews>
  <sheetFormatPr defaultRowHeight="14.6" x14ac:dyDescent="0.4"/>
  <cols>
    <col min="2" max="2" width="13.69140625" customWidth="1"/>
  </cols>
  <sheetData>
    <row r="1" spans="1:34" ht="40" customHeight="1" x14ac:dyDescent="0.4">
      <c r="C1" s="4"/>
      <c r="G1" s="20"/>
      <c r="N1" s="3"/>
      <c r="O1" s="3"/>
      <c r="P1" s="3"/>
      <c r="Q1" s="3"/>
      <c r="R1" s="197"/>
      <c r="S1" s="3"/>
      <c r="T1" s="3"/>
      <c r="U1" s="3"/>
      <c r="V1" s="3"/>
      <c r="AD1" s="2"/>
      <c r="AE1" s="192"/>
      <c r="AF1" s="3"/>
      <c r="AG1" s="3"/>
    </row>
    <row r="2" spans="1:34" ht="16.5" customHeight="1" x14ac:dyDescent="0.4">
      <c r="A2" s="76"/>
      <c r="B2" s="77" t="s">
        <v>258</v>
      </c>
      <c r="C2" s="101" t="s">
        <v>458</v>
      </c>
      <c r="D2" s="20"/>
      <c r="E2" s="20"/>
      <c r="J2" s="20"/>
      <c r="K2" s="72"/>
      <c r="N2" s="3"/>
      <c r="O2" s="3"/>
      <c r="P2" s="3"/>
      <c r="Q2" s="3"/>
      <c r="R2" s="197"/>
      <c r="S2" s="3"/>
      <c r="T2" s="3"/>
      <c r="U2" s="3"/>
      <c r="V2" s="3"/>
      <c r="Y2" s="80"/>
      <c r="AD2" s="2"/>
      <c r="AE2" s="192"/>
      <c r="AF2" s="3"/>
      <c r="AG2" s="3"/>
    </row>
    <row r="3" spans="1:34" ht="16.5" customHeight="1" x14ac:dyDescent="0.4">
      <c r="B3" s="72"/>
      <c r="C3" s="99"/>
      <c r="E3" s="20"/>
      <c r="N3" s="3"/>
      <c r="O3" s="3"/>
      <c r="P3" s="3"/>
      <c r="Q3" s="3"/>
      <c r="R3" s="197"/>
      <c r="S3" s="3"/>
      <c r="T3" s="3"/>
      <c r="U3" s="3"/>
      <c r="V3" s="3"/>
      <c r="Y3" s="80"/>
      <c r="AD3" s="2"/>
      <c r="AE3" s="192"/>
      <c r="AF3" s="3"/>
      <c r="AG3" s="3"/>
    </row>
    <row r="4" spans="1:34" ht="16.5" customHeight="1" x14ac:dyDescent="0.4">
      <c r="B4" s="72"/>
      <c r="C4" s="99"/>
      <c r="E4" s="20"/>
      <c r="N4" s="3"/>
      <c r="O4" s="3"/>
      <c r="P4" s="3"/>
      <c r="Q4" s="3"/>
      <c r="R4" s="197"/>
      <c r="S4" s="3"/>
      <c r="T4" s="3"/>
      <c r="U4" s="3"/>
      <c r="V4" s="3"/>
      <c r="Y4" s="80"/>
      <c r="AD4" s="2"/>
      <c r="AE4" s="192"/>
      <c r="AF4" s="3"/>
      <c r="AG4" s="3"/>
    </row>
    <row r="5" spans="1:34" ht="16.5" customHeight="1" x14ac:dyDescent="0.4">
      <c r="B5" s="72"/>
      <c r="C5" s="99"/>
      <c r="E5" s="20"/>
      <c r="N5" s="3"/>
      <c r="O5" s="3"/>
      <c r="P5" s="3"/>
      <c r="Q5" s="3"/>
      <c r="R5" s="197"/>
      <c r="S5" s="3"/>
      <c r="T5" s="3"/>
      <c r="U5" s="3"/>
      <c r="V5" s="3"/>
      <c r="Y5" s="80"/>
      <c r="AD5" s="2"/>
      <c r="AE5" s="192"/>
      <c r="AF5" s="3"/>
      <c r="AG5" s="3"/>
    </row>
    <row r="6" spans="1:34" ht="16.5" customHeight="1" x14ac:dyDescent="0.4">
      <c r="B6" s="72"/>
      <c r="C6" s="99"/>
      <c r="E6" s="20"/>
      <c r="N6" s="3"/>
      <c r="O6" s="3"/>
      <c r="P6" s="3"/>
      <c r="Q6" s="3"/>
      <c r="R6" s="197"/>
      <c r="S6" s="3"/>
      <c r="T6" s="3"/>
      <c r="U6" s="3"/>
      <c r="V6" s="3"/>
      <c r="Y6" s="80"/>
      <c r="AD6" s="2"/>
      <c r="AE6" s="192"/>
      <c r="AF6" s="3"/>
      <c r="AG6" s="3"/>
    </row>
    <row r="7" spans="1:34" ht="16.5" customHeight="1" x14ac:dyDescent="0.4">
      <c r="B7" s="72"/>
      <c r="C7" s="100"/>
      <c r="N7" s="3"/>
      <c r="O7" s="3"/>
      <c r="P7" s="3"/>
      <c r="Q7" s="3"/>
      <c r="R7" s="197"/>
      <c r="S7" s="3"/>
      <c r="T7" s="3"/>
      <c r="U7" s="3"/>
      <c r="V7" s="3"/>
      <c r="Y7" s="80"/>
      <c r="AD7" s="2"/>
      <c r="AE7" s="192"/>
      <c r="AF7" s="3"/>
      <c r="AG7" s="3"/>
    </row>
    <row r="8" spans="1:34" ht="16.5" customHeight="1" x14ac:dyDescent="0.4"/>
    <row r="9" spans="1:34" s="177" customFormat="1" ht="16.5" customHeight="1" x14ac:dyDescent="0.4">
      <c r="B9" s="178" t="s">
        <v>155</v>
      </c>
      <c r="C9" s="178"/>
      <c r="D9" s="178"/>
      <c r="E9" s="178" t="s">
        <v>156</v>
      </c>
      <c r="G9" s="178"/>
      <c r="J9" s="178"/>
      <c r="K9" s="178"/>
      <c r="L9" s="178"/>
      <c r="M9" s="178"/>
      <c r="N9" s="178"/>
    </row>
    <row r="10" spans="1:34" s="180" customFormat="1" x14ac:dyDescent="0.4">
      <c r="A10" s="179" t="s">
        <v>348</v>
      </c>
      <c r="C10" s="181" t="s">
        <v>157</v>
      </c>
      <c r="D10" s="181"/>
      <c r="E10" s="181"/>
      <c r="G10" s="182" t="s">
        <v>158</v>
      </c>
      <c r="H10" s="182"/>
      <c r="J10" s="181"/>
      <c r="K10" s="181" t="s">
        <v>159</v>
      </c>
      <c r="L10" s="181"/>
      <c r="M10" s="181"/>
      <c r="N10" s="181"/>
      <c r="O10" s="181"/>
      <c r="P10" s="181"/>
      <c r="Q10" s="181"/>
    </row>
    <row r="11" spans="1:34" s="183" customFormat="1" x14ac:dyDescent="0.4">
      <c r="B11" s="171" t="s">
        <v>160</v>
      </c>
      <c r="C11" s="172" t="s">
        <v>161</v>
      </c>
      <c r="D11" s="172" t="s">
        <v>278</v>
      </c>
      <c r="E11" s="173" t="s">
        <v>161</v>
      </c>
      <c r="F11" s="173" t="s">
        <v>278</v>
      </c>
      <c r="G11" s="180" t="s">
        <v>162</v>
      </c>
      <c r="H11" s="180"/>
      <c r="I11" s="183" t="s">
        <v>163</v>
      </c>
      <c r="K11" s="183" t="s">
        <v>161</v>
      </c>
      <c r="L11" s="183" t="s">
        <v>278</v>
      </c>
      <c r="M11" s="173">
        <v>42644</v>
      </c>
      <c r="N11" s="173">
        <v>42674</v>
      </c>
      <c r="O11" s="173">
        <v>42628</v>
      </c>
      <c r="P11" s="173">
        <v>42674</v>
      </c>
      <c r="Q11" s="173">
        <v>42536</v>
      </c>
      <c r="R11" s="173">
        <v>42582</v>
      </c>
      <c r="S11" s="173">
        <v>42415</v>
      </c>
      <c r="T11" s="184">
        <v>42460</v>
      </c>
      <c r="U11" s="184">
        <v>42614</v>
      </c>
      <c r="V11" s="184">
        <v>42643</v>
      </c>
      <c r="W11" s="184">
        <v>41548</v>
      </c>
      <c r="X11" s="183">
        <v>42644</v>
      </c>
      <c r="Y11" s="183">
        <v>42278</v>
      </c>
      <c r="Z11" s="183">
        <v>42644</v>
      </c>
      <c r="AA11" s="183" t="s">
        <v>161</v>
      </c>
      <c r="AB11" s="183" t="s">
        <v>278</v>
      </c>
      <c r="AC11" s="183" t="s">
        <v>161</v>
      </c>
      <c r="AD11" s="183" t="s">
        <v>566</v>
      </c>
      <c r="AE11" s="183" t="s">
        <v>161</v>
      </c>
      <c r="AF11" s="183" t="s">
        <v>566</v>
      </c>
      <c r="AG11" s="183">
        <v>42675</v>
      </c>
    </row>
    <row r="12" spans="1:34" s="183" customFormat="1" x14ac:dyDescent="0.4">
      <c r="B12" s="171" t="s">
        <v>165</v>
      </c>
      <c r="C12" s="172" t="s">
        <v>164</v>
      </c>
      <c r="D12" s="172" t="s">
        <v>164</v>
      </c>
      <c r="E12" s="172" t="s">
        <v>164</v>
      </c>
      <c r="F12" s="172" t="s">
        <v>164</v>
      </c>
      <c r="G12" s="180" t="s">
        <v>166</v>
      </c>
      <c r="H12" s="180"/>
      <c r="K12" s="183" t="s">
        <v>164</v>
      </c>
      <c r="L12" s="183" t="s">
        <v>164</v>
      </c>
      <c r="M12" s="173" t="s">
        <v>164</v>
      </c>
      <c r="N12" s="173" t="s">
        <v>164</v>
      </c>
      <c r="O12" s="173" t="s">
        <v>164</v>
      </c>
      <c r="P12" s="173" t="s">
        <v>164</v>
      </c>
      <c r="Q12" s="173" t="s">
        <v>164</v>
      </c>
      <c r="R12" s="173" t="s">
        <v>164</v>
      </c>
      <c r="S12" s="173" t="s">
        <v>164</v>
      </c>
      <c r="T12" s="184" t="s">
        <v>164</v>
      </c>
      <c r="U12" s="184" t="s">
        <v>164</v>
      </c>
      <c r="V12" s="184" t="s">
        <v>164</v>
      </c>
      <c r="W12" s="184" t="s">
        <v>164</v>
      </c>
      <c r="X12" s="183" t="s">
        <v>164</v>
      </c>
      <c r="Y12" s="183" t="s">
        <v>164</v>
      </c>
      <c r="Z12" s="183" t="s">
        <v>164</v>
      </c>
      <c r="AA12" s="183" t="s">
        <v>164</v>
      </c>
      <c r="AB12" s="183" t="s">
        <v>164</v>
      </c>
      <c r="AC12" s="183" t="s">
        <v>164</v>
      </c>
      <c r="AD12" s="183" t="s">
        <v>164</v>
      </c>
      <c r="AE12" s="183" t="s">
        <v>164</v>
      </c>
      <c r="AF12" s="183" t="s">
        <v>164</v>
      </c>
      <c r="AG12" s="183" t="s">
        <v>164</v>
      </c>
      <c r="AH12" s="183" t="s">
        <v>164</v>
      </c>
    </row>
    <row r="13" spans="1:34" s="185" customFormat="1" x14ac:dyDescent="0.4">
      <c r="B13" s="174" t="s">
        <v>167</v>
      </c>
      <c r="C13" s="186" t="s">
        <v>168</v>
      </c>
      <c r="D13" s="187"/>
      <c r="E13" s="175" t="s">
        <v>605</v>
      </c>
      <c r="F13" s="175"/>
      <c r="G13" s="180" t="s">
        <v>170</v>
      </c>
      <c r="H13" s="180"/>
      <c r="K13" s="185" t="s">
        <v>168</v>
      </c>
      <c r="M13" s="175" t="s">
        <v>168</v>
      </c>
      <c r="N13" s="175"/>
      <c r="O13" s="175" t="s">
        <v>168</v>
      </c>
      <c r="P13" s="175"/>
      <c r="Q13" s="188" t="s">
        <v>169</v>
      </c>
      <c r="R13" s="188"/>
      <c r="S13" s="188" t="s">
        <v>541</v>
      </c>
      <c r="T13" s="188"/>
      <c r="U13" s="188" t="s">
        <v>168</v>
      </c>
      <c r="V13" s="188"/>
      <c r="W13" s="188" t="s">
        <v>168</v>
      </c>
      <c r="Y13" s="185" t="s">
        <v>168</v>
      </c>
      <c r="AA13" s="185" t="s">
        <v>168</v>
      </c>
      <c r="AC13" s="185" t="s">
        <v>567</v>
      </c>
      <c r="AE13" s="185" t="s">
        <v>567</v>
      </c>
      <c r="AG13" s="185" t="s">
        <v>587</v>
      </c>
    </row>
    <row r="14" spans="1:34" s="185" customFormat="1" x14ac:dyDescent="0.4">
      <c r="B14" s="174" t="s">
        <v>171</v>
      </c>
      <c r="C14" s="189" t="s">
        <v>172</v>
      </c>
      <c r="D14" s="190"/>
      <c r="E14" s="189" t="s">
        <v>172</v>
      </c>
      <c r="F14" s="190"/>
      <c r="G14" s="180" t="s">
        <v>173</v>
      </c>
      <c r="H14" s="180"/>
      <c r="K14" s="185" t="s">
        <v>172</v>
      </c>
      <c r="M14" s="175" t="s">
        <v>172</v>
      </c>
      <c r="N14" s="175"/>
      <c r="O14" s="175" t="s">
        <v>172</v>
      </c>
      <c r="P14" s="175"/>
      <c r="Q14" s="175" t="s">
        <v>172</v>
      </c>
      <c r="R14" s="175"/>
      <c r="S14" s="175" t="s">
        <v>172</v>
      </c>
      <c r="T14" s="188"/>
      <c r="U14" s="188" t="s">
        <v>172</v>
      </c>
      <c r="V14" s="188"/>
      <c r="W14" s="188" t="s">
        <v>172</v>
      </c>
      <c r="Y14" s="185" t="s">
        <v>172</v>
      </c>
      <c r="AA14" s="185" t="s">
        <v>172</v>
      </c>
      <c r="AC14" s="185" t="s">
        <v>172</v>
      </c>
      <c r="AE14" s="185" t="s">
        <v>172</v>
      </c>
      <c r="AG14" s="185" t="s">
        <v>586</v>
      </c>
    </row>
    <row r="15" spans="1:34" s="185" customFormat="1" x14ac:dyDescent="0.4">
      <c r="B15" s="174" t="s">
        <v>174</v>
      </c>
      <c r="C15" s="186" t="s">
        <v>175</v>
      </c>
      <c r="D15" s="187"/>
      <c r="E15" s="186" t="s">
        <v>175</v>
      </c>
      <c r="F15" s="187"/>
      <c r="G15" s="180" t="s">
        <v>554</v>
      </c>
      <c r="K15" s="185" t="s">
        <v>175</v>
      </c>
      <c r="M15" s="175" t="s">
        <v>175</v>
      </c>
      <c r="N15" s="175"/>
      <c r="O15" s="175" t="s">
        <v>533</v>
      </c>
      <c r="P15" s="175"/>
      <c r="Q15" s="175" t="s">
        <v>175</v>
      </c>
      <c r="R15" s="175"/>
      <c r="S15" s="175" t="s">
        <v>175</v>
      </c>
      <c r="T15" s="188"/>
      <c r="U15" s="188" t="s">
        <v>175</v>
      </c>
      <c r="V15" s="188"/>
      <c r="W15" s="188" t="s">
        <v>175</v>
      </c>
      <c r="Y15" s="185" t="s">
        <v>175</v>
      </c>
      <c r="AA15" s="185" t="s">
        <v>175</v>
      </c>
      <c r="AC15" s="185" t="s">
        <v>175</v>
      </c>
      <c r="AE15" s="185" t="s">
        <v>175</v>
      </c>
      <c r="AG15" s="185" t="s">
        <v>175</v>
      </c>
    </row>
    <row r="16" spans="1:34" s="185" customFormat="1" x14ac:dyDescent="0.4">
      <c r="B16" s="174" t="s">
        <v>176</v>
      </c>
      <c r="C16" s="186" t="s">
        <v>177</v>
      </c>
      <c r="D16" s="187"/>
      <c r="E16" s="186" t="s">
        <v>606</v>
      </c>
      <c r="F16" s="187"/>
      <c r="G16" s="180" t="s">
        <v>538</v>
      </c>
      <c r="H16" s="175"/>
      <c r="K16" s="185" t="s">
        <v>177</v>
      </c>
      <c r="M16" s="175" t="s">
        <v>534</v>
      </c>
      <c r="N16" s="175"/>
      <c r="O16" s="175" t="s">
        <v>536</v>
      </c>
      <c r="P16" s="175"/>
      <c r="Q16" s="175"/>
      <c r="R16" s="175"/>
      <c r="S16" s="175"/>
      <c r="T16" s="188"/>
      <c r="U16" s="188" t="s">
        <v>540</v>
      </c>
      <c r="V16" s="188"/>
      <c r="W16" s="188" t="s">
        <v>540</v>
      </c>
      <c r="Y16" s="185" t="s">
        <v>177</v>
      </c>
      <c r="AA16" s="185" t="s">
        <v>177</v>
      </c>
      <c r="AC16" s="185" t="s">
        <v>177</v>
      </c>
      <c r="AE16" s="185" t="s">
        <v>177</v>
      </c>
      <c r="AG16" s="185" t="s">
        <v>177</v>
      </c>
    </row>
    <row r="17" spans="1:33" s="185" customFormat="1" x14ac:dyDescent="0.4">
      <c r="B17" s="174" t="s">
        <v>178</v>
      </c>
      <c r="C17" s="186" t="s">
        <v>300</v>
      </c>
      <c r="D17" s="187"/>
      <c r="E17" s="186" t="s">
        <v>300</v>
      </c>
      <c r="F17" s="187"/>
      <c r="G17" s="180" t="s">
        <v>537</v>
      </c>
      <c r="H17" s="175"/>
      <c r="K17" s="185" t="s">
        <v>300</v>
      </c>
      <c r="M17" s="175" t="s">
        <v>300</v>
      </c>
      <c r="N17" s="175"/>
      <c r="O17" s="175" t="s">
        <v>300</v>
      </c>
      <c r="P17" s="175"/>
      <c r="Q17" s="175" t="s">
        <v>300</v>
      </c>
      <c r="R17" s="175"/>
      <c r="S17" s="175" t="s">
        <v>300</v>
      </c>
      <c r="T17" s="188"/>
      <c r="U17" s="188" t="s">
        <v>543</v>
      </c>
      <c r="V17" s="188"/>
      <c r="W17" s="188" t="s">
        <v>300</v>
      </c>
      <c r="Y17" s="185" t="s">
        <v>546</v>
      </c>
      <c r="AA17" s="185" t="s">
        <v>300</v>
      </c>
      <c r="AC17" s="185" t="s">
        <v>300</v>
      </c>
      <c r="AE17" s="185" t="s">
        <v>300</v>
      </c>
      <c r="AG17" s="185" t="s">
        <v>300</v>
      </c>
    </row>
    <row r="18" spans="1:33" s="185" customFormat="1" x14ac:dyDescent="0.4">
      <c r="B18" s="174" t="s">
        <v>179</v>
      </c>
      <c r="C18" s="186" t="s">
        <v>180</v>
      </c>
      <c r="D18" s="187"/>
      <c r="E18" s="186" t="s">
        <v>180</v>
      </c>
      <c r="F18" s="187"/>
      <c r="G18" s="180" t="s">
        <v>539</v>
      </c>
      <c r="H18" s="175"/>
      <c r="K18" s="185" t="s">
        <v>180</v>
      </c>
      <c r="M18" s="175" t="s">
        <v>180</v>
      </c>
      <c r="N18" s="175"/>
      <c r="O18" s="175" t="s">
        <v>535</v>
      </c>
      <c r="P18" s="175"/>
      <c r="Q18" s="175" t="s">
        <v>535</v>
      </c>
      <c r="R18" s="175"/>
      <c r="S18" s="175"/>
      <c r="T18" s="188"/>
      <c r="U18" s="188" t="s">
        <v>180</v>
      </c>
      <c r="V18" s="188"/>
      <c r="W18" s="188" t="s">
        <v>180</v>
      </c>
      <c r="Y18" s="185" t="s">
        <v>547</v>
      </c>
      <c r="AA18" s="185" t="s">
        <v>180</v>
      </c>
      <c r="AC18" s="185" t="s">
        <v>535</v>
      </c>
      <c r="AE18" s="185" t="s">
        <v>535</v>
      </c>
      <c r="AG18" s="185" t="s">
        <v>535</v>
      </c>
    </row>
    <row r="19" spans="1:33" s="185" customFormat="1" x14ac:dyDescent="0.4">
      <c r="B19" s="174" t="s">
        <v>182</v>
      </c>
      <c r="C19" s="186" t="s">
        <v>183</v>
      </c>
      <c r="D19" s="187"/>
      <c r="E19" s="186" t="s">
        <v>183</v>
      </c>
      <c r="F19" s="187"/>
      <c r="G19" s="180" t="s">
        <v>542</v>
      </c>
      <c r="H19" s="175"/>
      <c r="K19" s="185" t="s">
        <v>183</v>
      </c>
      <c r="M19" s="175" t="s">
        <v>183</v>
      </c>
      <c r="N19" s="175"/>
      <c r="O19" s="175" t="s">
        <v>183</v>
      </c>
      <c r="P19" s="175"/>
      <c r="Q19" s="175" t="s">
        <v>183</v>
      </c>
      <c r="R19" s="175"/>
      <c r="S19" s="175" t="s">
        <v>183</v>
      </c>
      <c r="T19" s="188"/>
      <c r="U19" s="188" t="s">
        <v>183</v>
      </c>
      <c r="V19" s="188"/>
      <c r="W19" s="188" t="s">
        <v>183</v>
      </c>
      <c r="Y19" s="185" t="s">
        <v>183</v>
      </c>
      <c r="AA19" s="185" t="s">
        <v>183</v>
      </c>
      <c r="AC19" s="185" t="s">
        <v>349</v>
      </c>
      <c r="AE19" s="185" t="s">
        <v>349</v>
      </c>
      <c r="AG19" s="185" t="s">
        <v>349</v>
      </c>
    </row>
    <row r="20" spans="1:33" s="185" customFormat="1" x14ac:dyDescent="0.4">
      <c r="B20" s="174" t="s">
        <v>289</v>
      </c>
      <c r="C20" s="186" t="s">
        <v>291</v>
      </c>
      <c r="D20" s="187"/>
      <c r="E20" s="186" t="s">
        <v>291</v>
      </c>
      <c r="F20" s="187"/>
      <c r="G20" s="180" t="s">
        <v>544</v>
      </c>
      <c r="H20" s="175"/>
      <c r="K20" s="185" t="s">
        <v>291</v>
      </c>
      <c r="M20" s="186" t="s">
        <v>291</v>
      </c>
      <c r="N20" s="186"/>
      <c r="O20" s="186" t="s">
        <v>291</v>
      </c>
      <c r="P20" s="186"/>
      <c r="Q20" s="186" t="s">
        <v>291</v>
      </c>
      <c r="R20" s="186"/>
      <c r="S20" s="175" t="s">
        <v>291</v>
      </c>
      <c r="T20" s="188"/>
      <c r="U20" s="188" t="s">
        <v>291</v>
      </c>
      <c r="V20" s="188"/>
      <c r="W20" s="188" t="s">
        <v>291</v>
      </c>
      <c r="Y20" s="185" t="s">
        <v>291</v>
      </c>
      <c r="AA20" s="185" t="s">
        <v>291</v>
      </c>
      <c r="AC20" s="185" t="s">
        <v>291</v>
      </c>
      <c r="AE20" s="185" t="s">
        <v>291</v>
      </c>
      <c r="AG20" s="185" t="s">
        <v>291</v>
      </c>
    </row>
    <row r="21" spans="1:33" s="185" customFormat="1" x14ac:dyDescent="0.4">
      <c r="B21" s="174" t="s">
        <v>185</v>
      </c>
      <c r="C21" s="186" t="s">
        <v>181</v>
      </c>
      <c r="D21" s="187"/>
      <c r="E21" s="186" t="s">
        <v>181</v>
      </c>
      <c r="F21" s="187"/>
      <c r="G21" s="180" t="s">
        <v>545</v>
      </c>
      <c r="H21" s="175"/>
      <c r="K21" s="185" t="s">
        <v>181</v>
      </c>
      <c r="M21" s="175" t="s">
        <v>181</v>
      </c>
      <c r="N21" s="175"/>
      <c r="O21" s="175" t="s">
        <v>181</v>
      </c>
      <c r="P21" s="175"/>
      <c r="Q21" s="175" t="s">
        <v>181</v>
      </c>
      <c r="R21" s="175"/>
      <c r="S21" s="175" t="s">
        <v>181</v>
      </c>
      <c r="T21" s="188"/>
      <c r="U21" s="188" t="s">
        <v>181</v>
      </c>
      <c r="V21" s="188"/>
      <c r="W21" s="188" t="s">
        <v>181</v>
      </c>
      <c r="Y21" s="185" t="s">
        <v>181</v>
      </c>
      <c r="AA21" s="185" t="s">
        <v>181</v>
      </c>
      <c r="AC21" s="185" t="s">
        <v>181</v>
      </c>
      <c r="AE21" s="185" t="s">
        <v>181</v>
      </c>
      <c r="AG21" s="185" t="s">
        <v>181</v>
      </c>
    </row>
    <row r="22" spans="1:33" s="185" customFormat="1" x14ac:dyDescent="0.4">
      <c r="B22" s="174" t="s">
        <v>186</v>
      </c>
      <c r="C22" s="186" t="s">
        <v>187</v>
      </c>
      <c r="D22" s="187"/>
      <c r="E22" s="186" t="s">
        <v>187</v>
      </c>
      <c r="F22" s="187"/>
      <c r="G22" s="180" t="s">
        <v>548</v>
      </c>
      <c r="H22" s="175"/>
      <c r="K22" s="185" t="s">
        <v>187</v>
      </c>
      <c r="M22" s="175" t="s">
        <v>187</v>
      </c>
      <c r="N22" s="175"/>
      <c r="O22" s="175" t="s">
        <v>187</v>
      </c>
      <c r="P22" s="175"/>
      <c r="Q22" s="175" t="s">
        <v>187</v>
      </c>
      <c r="R22" s="175"/>
      <c r="S22" s="175" t="s">
        <v>187</v>
      </c>
      <c r="T22" s="188"/>
      <c r="U22" s="188" t="s">
        <v>187</v>
      </c>
      <c r="V22" s="188"/>
      <c r="W22" s="188" t="s">
        <v>187</v>
      </c>
      <c r="Y22" s="185" t="s">
        <v>187</v>
      </c>
      <c r="AA22" s="185" t="s">
        <v>187</v>
      </c>
      <c r="AC22" s="185" t="s">
        <v>187</v>
      </c>
      <c r="AE22" s="185" t="s">
        <v>187</v>
      </c>
      <c r="AG22" s="185" t="s">
        <v>187</v>
      </c>
    </row>
    <row r="23" spans="1:33" s="185" customFormat="1" x14ac:dyDescent="0.4">
      <c r="B23" s="174" t="s">
        <v>188</v>
      </c>
      <c r="C23" s="186" t="s">
        <v>184</v>
      </c>
      <c r="D23" s="187"/>
      <c r="E23" s="186" t="s">
        <v>184</v>
      </c>
      <c r="F23" s="187"/>
      <c r="G23" s="180" t="s">
        <v>593</v>
      </c>
      <c r="H23" s="175"/>
      <c r="I23" s="175"/>
      <c r="J23" s="175"/>
      <c r="K23" s="185" t="s">
        <v>184</v>
      </c>
      <c r="M23" s="175" t="s">
        <v>184</v>
      </c>
      <c r="O23" s="175" t="s">
        <v>184</v>
      </c>
      <c r="P23" s="175"/>
      <c r="Q23" s="175" t="s">
        <v>184</v>
      </c>
      <c r="R23" s="175"/>
      <c r="S23" s="175" t="s">
        <v>184</v>
      </c>
      <c r="T23" s="188"/>
      <c r="U23" s="188" t="s">
        <v>184</v>
      </c>
      <c r="V23" s="188"/>
      <c r="W23" s="188" t="s">
        <v>184</v>
      </c>
      <c r="Y23" s="185" t="s">
        <v>184</v>
      </c>
      <c r="AA23" s="185" t="s">
        <v>184</v>
      </c>
      <c r="AC23" s="185" t="s">
        <v>184</v>
      </c>
      <c r="AE23" s="185" t="s">
        <v>184</v>
      </c>
      <c r="AG23" s="185" t="s">
        <v>184</v>
      </c>
    </row>
    <row r="24" spans="1:33" s="185" customFormat="1" x14ac:dyDescent="0.4">
      <c r="B24" s="176" t="s">
        <v>190</v>
      </c>
      <c r="C24" s="186" t="s">
        <v>189</v>
      </c>
      <c r="D24" s="187"/>
      <c r="E24" s="186" t="s">
        <v>189</v>
      </c>
      <c r="F24" s="187"/>
      <c r="H24" s="175"/>
      <c r="I24" s="175"/>
      <c r="J24" s="175"/>
      <c r="K24" s="185" t="s">
        <v>189</v>
      </c>
      <c r="M24" s="175" t="s">
        <v>189</v>
      </c>
      <c r="O24" s="175" t="s">
        <v>189</v>
      </c>
      <c r="P24" s="175"/>
      <c r="Q24" s="175" t="s">
        <v>189</v>
      </c>
      <c r="R24" s="175"/>
      <c r="S24" s="175" t="s">
        <v>189</v>
      </c>
      <c r="T24" s="188"/>
      <c r="U24" s="188" t="s">
        <v>189</v>
      </c>
      <c r="V24" s="188"/>
      <c r="W24" s="188" t="s">
        <v>189</v>
      </c>
      <c r="Y24" s="185" t="s">
        <v>189</v>
      </c>
      <c r="AA24" s="185" t="s">
        <v>189</v>
      </c>
      <c r="AC24" s="185" t="s">
        <v>189</v>
      </c>
      <c r="AE24" s="185" t="s">
        <v>189</v>
      </c>
      <c r="AG24" s="185" t="s">
        <v>189</v>
      </c>
    </row>
    <row r="25" spans="1:33" s="185" customFormat="1" x14ac:dyDescent="0.4">
      <c r="B25" s="176" t="s">
        <v>192</v>
      </c>
      <c r="C25" s="186" t="s">
        <v>191</v>
      </c>
      <c r="D25" s="187"/>
      <c r="E25" s="186" t="s">
        <v>191</v>
      </c>
      <c r="F25" s="187"/>
      <c r="H25" s="175"/>
      <c r="I25" s="175"/>
      <c r="J25" s="175"/>
      <c r="K25" s="185" t="s">
        <v>191</v>
      </c>
      <c r="M25" s="175" t="s">
        <v>191</v>
      </c>
      <c r="O25" s="175" t="s">
        <v>191</v>
      </c>
      <c r="P25" s="175"/>
      <c r="Q25" s="175" t="s">
        <v>191</v>
      </c>
      <c r="R25" s="175"/>
      <c r="S25" s="175" t="s">
        <v>191</v>
      </c>
      <c r="T25" s="188"/>
      <c r="U25" s="188" t="s">
        <v>191</v>
      </c>
      <c r="V25" s="188"/>
      <c r="W25" s="188" t="s">
        <v>191</v>
      </c>
      <c r="Y25" s="185" t="s">
        <v>191</v>
      </c>
      <c r="AA25" s="185" t="s">
        <v>191</v>
      </c>
      <c r="AC25" s="185" t="s">
        <v>191</v>
      </c>
      <c r="AE25" s="185" t="s">
        <v>191</v>
      </c>
      <c r="AG25" s="185" t="s">
        <v>191</v>
      </c>
    </row>
    <row r="26" spans="1:33" s="188" customFormat="1" x14ac:dyDescent="0.4">
      <c r="A26" s="185"/>
      <c r="B26" s="176" t="s">
        <v>251</v>
      </c>
      <c r="C26" s="186" t="s">
        <v>193</v>
      </c>
      <c r="D26" s="187"/>
      <c r="E26" s="186" t="s">
        <v>193</v>
      </c>
      <c r="F26" s="187"/>
      <c r="G26" s="185"/>
      <c r="H26" s="175"/>
      <c r="I26" s="175"/>
      <c r="J26" s="175"/>
      <c r="K26" s="188" t="s">
        <v>193</v>
      </c>
      <c r="M26" s="175" t="s">
        <v>193</v>
      </c>
      <c r="N26" s="175"/>
      <c r="O26" s="175" t="s">
        <v>193</v>
      </c>
      <c r="P26" s="175"/>
      <c r="Q26" s="175" t="s">
        <v>193</v>
      </c>
      <c r="R26" s="175"/>
      <c r="S26" s="175" t="s">
        <v>193</v>
      </c>
      <c r="U26" s="188" t="s">
        <v>193</v>
      </c>
      <c r="W26" s="188" t="s">
        <v>193</v>
      </c>
      <c r="Y26" s="188" t="s">
        <v>193</v>
      </c>
      <c r="AA26" s="188" t="s">
        <v>193</v>
      </c>
      <c r="AC26" s="188" t="s">
        <v>193</v>
      </c>
      <c r="AE26" s="188" t="s">
        <v>193</v>
      </c>
      <c r="AG26" s="188" t="s">
        <v>193</v>
      </c>
    </row>
    <row r="27" spans="1:33" s="177" customFormat="1" x14ac:dyDescent="0.4">
      <c r="E27" s="191"/>
      <c r="F27" s="191"/>
      <c r="G27" s="185"/>
      <c r="H27" s="191"/>
      <c r="I27" s="191"/>
      <c r="J27" s="191"/>
      <c r="M27" s="191"/>
      <c r="N27" s="191"/>
      <c r="O27" s="191"/>
      <c r="P27" s="191"/>
      <c r="Q27" s="191"/>
      <c r="R27" s="191"/>
      <c r="S27" s="191"/>
      <c r="T27" s="191"/>
      <c r="U27" s="191"/>
      <c r="V27" s="191"/>
      <c r="W27" s="191"/>
    </row>
    <row r="28" spans="1:33" s="177" customFormat="1" x14ac:dyDescent="0.4">
      <c r="E28" s="191"/>
      <c r="F28" s="191"/>
      <c r="G28" s="185"/>
      <c r="H28" s="191"/>
      <c r="I28" s="191"/>
      <c r="J28" s="191"/>
      <c r="M28" s="191"/>
      <c r="N28" s="191"/>
      <c r="O28" s="191"/>
      <c r="P28" s="191"/>
      <c r="Q28" s="191"/>
      <c r="R28" s="191"/>
      <c r="S28" s="191"/>
      <c r="T28" s="191"/>
      <c r="U28" s="191"/>
      <c r="V28" s="191"/>
      <c r="W28" s="191"/>
    </row>
    <row r="29" spans="1:33" s="177" customFormat="1" x14ac:dyDescent="0.4">
      <c r="E29" s="191"/>
      <c r="F29" s="191"/>
      <c r="G29" s="185"/>
      <c r="H29" s="191"/>
      <c r="I29" s="191"/>
      <c r="J29" s="191"/>
      <c r="M29" s="191"/>
      <c r="N29" s="191"/>
      <c r="O29" s="191"/>
      <c r="P29" s="191"/>
      <c r="Q29" s="191"/>
      <c r="R29" s="191"/>
      <c r="S29" s="191"/>
      <c r="T29" s="191"/>
      <c r="U29" s="191"/>
      <c r="V29" s="191"/>
      <c r="W29" s="191"/>
    </row>
    <row r="30" spans="1:33" s="177" customFormat="1" x14ac:dyDescent="0.4">
      <c r="E30" s="191"/>
      <c r="F30" s="191"/>
      <c r="G30" s="185"/>
      <c r="H30" s="191"/>
      <c r="I30" s="191"/>
      <c r="J30" s="191"/>
      <c r="M30" s="191"/>
      <c r="N30" s="191"/>
      <c r="O30" s="191"/>
      <c r="P30" s="191"/>
      <c r="Q30" s="191"/>
      <c r="R30" s="191"/>
      <c r="S30" s="191"/>
      <c r="T30" s="191"/>
      <c r="U30" s="191"/>
      <c r="V30" s="191"/>
      <c r="W30" s="191"/>
    </row>
    <row r="31" spans="1:33" s="177" customFormat="1" x14ac:dyDescent="0.4">
      <c r="E31" s="191"/>
      <c r="F31" s="191"/>
      <c r="G31" s="185"/>
      <c r="H31" s="191"/>
      <c r="I31" s="191"/>
      <c r="J31" s="191"/>
      <c r="M31" s="191"/>
      <c r="N31" s="191"/>
      <c r="O31" s="191"/>
      <c r="P31" s="191"/>
      <c r="Q31" s="191"/>
      <c r="R31" s="191"/>
      <c r="S31" s="191"/>
      <c r="T31" s="191"/>
      <c r="U31" s="191"/>
      <c r="V31" s="191"/>
      <c r="W31" s="191"/>
    </row>
    <row r="32" spans="1:33" s="177" customFormat="1" x14ac:dyDescent="0.4">
      <c r="E32" s="191"/>
      <c r="F32" s="191"/>
      <c r="G32" s="185"/>
      <c r="H32" s="191"/>
      <c r="I32" s="191"/>
      <c r="J32" s="191"/>
      <c r="M32" s="191"/>
      <c r="N32" s="191"/>
      <c r="O32" s="191"/>
      <c r="P32" s="191"/>
      <c r="Q32" s="191"/>
      <c r="R32" s="191"/>
      <c r="S32" s="191"/>
      <c r="T32" s="191"/>
      <c r="U32" s="191"/>
      <c r="V32" s="191"/>
      <c r="W32" s="191"/>
    </row>
    <row r="33" spans="1:33" s="177" customFormat="1" x14ac:dyDescent="0.4">
      <c r="E33" s="191"/>
      <c r="F33" s="191"/>
      <c r="G33" s="185"/>
      <c r="H33" s="191"/>
      <c r="I33" s="191"/>
      <c r="J33" s="191"/>
      <c r="M33" s="191"/>
      <c r="N33" s="191"/>
      <c r="O33" s="191"/>
      <c r="P33" s="191"/>
      <c r="Q33" s="191"/>
      <c r="R33" s="191"/>
      <c r="S33" s="191"/>
      <c r="T33" s="191"/>
      <c r="U33" s="191"/>
      <c r="V33" s="191"/>
      <c r="W33" s="191"/>
    </row>
    <row r="34" spans="1:33" s="177" customFormat="1" x14ac:dyDescent="0.4">
      <c r="E34" s="191"/>
      <c r="F34" s="191"/>
      <c r="G34" s="185"/>
      <c r="H34" s="191"/>
      <c r="I34" s="191"/>
      <c r="J34" s="191"/>
      <c r="M34" s="191"/>
      <c r="N34" s="191"/>
      <c r="O34" s="191"/>
      <c r="P34" s="191"/>
      <c r="Q34" s="191"/>
      <c r="R34" s="191"/>
      <c r="S34" s="191"/>
      <c r="T34" s="191"/>
      <c r="U34" s="191"/>
      <c r="V34" s="191"/>
      <c r="W34" s="191"/>
    </row>
    <row r="35" spans="1:33" s="177" customFormat="1" x14ac:dyDescent="0.4">
      <c r="E35" s="191"/>
      <c r="F35" s="191"/>
      <c r="G35" s="185"/>
      <c r="H35" s="191"/>
      <c r="I35" s="191"/>
      <c r="J35" s="191"/>
      <c r="M35" s="191"/>
      <c r="N35" s="191"/>
      <c r="O35" s="191"/>
      <c r="P35" s="191"/>
      <c r="Q35" s="191"/>
      <c r="R35" s="191"/>
      <c r="S35" s="191"/>
      <c r="T35" s="191"/>
      <c r="U35" s="191"/>
      <c r="V35" s="191"/>
      <c r="W35" s="191"/>
    </row>
    <row r="36" spans="1:33" s="177" customFormat="1" x14ac:dyDescent="0.4">
      <c r="E36" s="191"/>
      <c r="F36" s="191"/>
      <c r="G36" s="185"/>
      <c r="H36" s="191"/>
      <c r="I36" s="191"/>
      <c r="J36" s="191"/>
      <c r="M36" s="191"/>
      <c r="N36" s="191"/>
      <c r="O36" s="191"/>
      <c r="P36" s="191"/>
      <c r="Q36" s="191"/>
      <c r="R36" s="191"/>
      <c r="S36" s="191"/>
      <c r="T36" s="191"/>
      <c r="U36" s="191"/>
      <c r="V36" s="191"/>
      <c r="W36" s="191"/>
    </row>
    <row r="37" spans="1:33" s="177" customFormat="1" x14ac:dyDescent="0.4">
      <c r="E37" s="191"/>
      <c r="F37" s="191"/>
      <c r="G37" s="185"/>
      <c r="H37" s="191"/>
      <c r="I37" s="191"/>
      <c r="J37" s="191"/>
      <c r="M37" s="191"/>
      <c r="N37" s="191"/>
      <c r="O37" s="191"/>
      <c r="P37" s="191"/>
      <c r="Q37" s="191"/>
      <c r="R37" s="191"/>
      <c r="S37" s="191"/>
      <c r="T37" s="191"/>
      <c r="U37" s="191"/>
      <c r="V37" s="191"/>
      <c r="W37" s="191"/>
    </row>
    <row r="38" spans="1:33" s="177" customFormat="1" x14ac:dyDescent="0.4">
      <c r="E38" s="191"/>
      <c r="F38" s="191"/>
      <c r="G38" s="185"/>
      <c r="H38" s="191"/>
      <c r="I38" s="191"/>
      <c r="J38" s="191"/>
      <c r="M38" s="191"/>
      <c r="N38" s="191"/>
      <c r="O38" s="191"/>
      <c r="P38" s="191"/>
      <c r="Q38" s="191"/>
      <c r="R38" s="191"/>
      <c r="S38" s="191"/>
      <c r="T38" s="191"/>
      <c r="U38" s="191"/>
      <c r="V38" s="191"/>
      <c r="W38" s="191"/>
    </row>
    <row r="39" spans="1:33" s="177" customFormat="1" x14ac:dyDescent="0.4">
      <c r="E39" s="191"/>
      <c r="F39" s="191"/>
      <c r="G39" s="185"/>
      <c r="H39" s="191"/>
      <c r="I39" s="191"/>
      <c r="J39" s="191"/>
      <c r="M39" s="191"/>
      <c r="N39" s="191"/>
      <c r="O39" s="191"/>
      <c r="P39" s="191"/>
      <c r="Q39" s="191"/>
      <c r="R39" s="191"/>
      <c r="S39" s="191"/>
      <c r="T39" s="191"/>
      <c r="U39" s="191"/>
      <c r="V39" s="191"/>
      <c r="W39" s="191"/>
    </row>
    <row r="40" spans="1:33" s="321" customFormat="1" ht="15.9" x14ac:dyDescent="0.4">
      <c r="A40" s="319" t="s">
        <v>462</v>
      </c>
      <c r="B40" s="310" t="s">
        <v>254</v>
      </c>
      <c r="C40" s="319"/>
      <c r="D40" s="319"/>
      <c r="E40" s="320"/>
      <c r="G40" s="322"/>
    </row>
    <row r="41" spans="1:33" s="191" customFormat="1" ht="15.9" x14ac:dyDescent="0.4">
      <c r="A41" s="177"/>
      <c r="B41" s="311" t="s">
        <v>275</v>
      </c>
      <c r="C41" s="177" t="s">
        <v>152</v>
      </c>
      <c r="D41" s="177"/>
      <c r="E41" s="175"/>
      <c r="G41" s="175"/>
      <c r="W41" s="191" t="s">
        <v>152</v>
      </c>
      <c r="AC41" s="191" t="s">
        <v>581</v>
      </c>
    </row>
    <row r="42" spans="1:33" s="191" customFormat="1" ht="15.9" x14ac:dyDescent="0.4">
      <c r="A42" s="177"/>
      <c r="B42" s="312" t="s">
        <v>276</v>
      </c>
      <c r="C42" s="177" t="s">
        <v>152</v>
      </c>
      <c r="D42" s="177"/>
      <c r="E42" s="175"/>
      <c r="W42" s="191" t="s">
        <v>152</v>
      </c>
      <c r="AC42" s="191" t="s">
        <v>581</v>
      </c>
      <c r="AG42" s="191" t="s">
        <v>581</v>
      </c>
    </row>
    <row r="43" spans="1:33" s="191" customFormat="1" ht="15.9" x14ac:dyDescent="0.4">
      <c r="A43" s="177"/>
      <c r="B43" s="311" t="s">
        <v>255</v>
      </c>
      <c r="C43" s="177" t="s">
        <v>152</v>
      </c>
      <c r="D43" s="177"/>
      <c r="E43" s="175"/>
      <c r="W43" s="191" t="s">
        <v>152</v>
      </c>
      <c r="AC43" s="191" t="s">
        <v>581</v>
      </c>
      <c r="AG43" s="191" t="s">
        <v>581</v>
      </c>
    </row>
    <row r="44" spans="1:33" s="191" customFormat="1" ht="15.9" x14ac:dyDescent="0.4">
      <c r="A44" s="177"/>
      <c r="B44" s="312" t="s">
        <v>277</v>
      </c>
      <c r="C44" s="177" t="s">
        <v>152</v>
      </c>
      <c r="D44" s="177"/>
      <c r="E44" s="175"/>
      <c r="W44" s="191" t="s">
        <v>152</v>
      </c>
      <c r="AC44" s="191" t="s">
        <v>581</v>
      </c>
      <c r="AG44" s="191" t="s">
        <v>581</v>
      </c>
    </row>
    <row r="45" spans="1:33" s="177" customFormat="1" ht="15.9" x14ac:dyDescent="0.4">
      <c r="B45" s="311" t="s">
        <v>359</v>
      </c>
      <c r="C45" s="177" t="s">
        <v>152</v>
      </c>
      <c r="E45" s="188"/>
      <c r="F45" s="191"/>
      <c r="G45" s="191"/>
      <c r="H45" s="191"/>
      <c r="I45" s="191"/>
      <c r="J45" s="191"/>
      <c r="M45" s="191"/>
      <c r="N45" s="191"/>
      <c r="O45" s="191"/>
      <c r="P45" s="191"/>
      <c r="Q45" s="191"/>
      <c r="R45" s="191"/>
      <c r="S45" s="191"/>
      <c r="T45" s="191"/>
      <c r="U45" s="191"/>
      <c r="V45" s="191"/>
      <c r="W45" s="191" t="s">
        <v>152</v>
      </c>
      <c r="AC45" s="177" t="s">
        <v>581</v>
      </c>
      <c r="AG45" s="177" t="s">
        <v>581</v>
      </c>
    </row>
    <row r="46" spans="1:33" s="177" customFormat="1" ht="15.9" x14ac:dyDescent="0.4">
      <c r="B46" s="312" t="s">
        <v>360</v>
      </c>
      <c r="C46" s="177" t="s">
        <v>152</v>
      </c>
      <c r="E46" s="191"/>
      <c r="F46" s="191"/>
      <c r="G46" s="191"/>
      <c r="H46" s="191"/>
      <c r="I46" s="191"/>
      <c r="J46" s="191"/>
      <c r="M46" s="191"/>
      <c r="N46" s="191"/>
      <c r="O46" s="191"/>
      <c r="P46" s="191"/>
      <c r="Q46" s="191"/>
      <c r="R46" s="191"/>
      <c r="S46" s="191"/>
      <c r="T46" s="191"/>
      <c r="U46" s="191"/>
      <c r="V46" s="191"/>
      <c r="W46" s="191" t="s">
        <v>152</v>
      </c>
      <c r="AC46" s="177" t="s">
        <v>581</v>
      </c>
      <c r="AG46" s="177" t="s">
        <v>581</v>
      </c>
    </row>
    <row r="47" spans="1:33" s="177" customFormat="1" ht="15.9" x14ac:dyDescent="0.4">
      <c r="B47" s="311" t="s">
        <v>210</v>
      </c>
      <c r="C47" s="177" t="s">
        <v>152</v>
      </c>
      <c r="E47" s="191" t="s">
        <v>152</v>
      </c>
      <c r="F47" s="191"/>
      <c r="G47" s="191"/>
      <c r="H47" s="191"/>
      <c r="I47" s="191"/>
      <c r="J47" s="191"/>
      <c r="K47" s="177" t="s">
        <v>152</v>
      </c>
      <c r="M47" s="191"/>
      <c r="N47" s="191"/>
      <c r="O47" s="191"/>
      <c r="P47" s="191"/>
      <c r="Q47" s="191" t="s">
        <v>152</v>
      </c>
      <c r="R47" s="191"/>
      <c r="S47" s="191" t="s">
        <v>152</v>
      </c>
      <c r="T47" s="191"/>
      <c r="U47" s="191"/>
      <c r="V47" s="191"/>
      <c r="W47" s="191"/>
      <c r="AA47" s="177" t="s">
        <v>152</v>
      </c>
      <c r="AC47" s="177" t="s">
        <v>152</v>
      </c>
      <c r="AE47" s="177" t="s">
        <v>152</v>
      </c>
      <c r="AG47" s="177" t="s">
        <v>152</v>
      </c>
    </row>
    <row r="48" spans="1:33" s="177" customFormat="1" ht="15.9" x14ac:dyDescent="0.4">
      <c r="B48" s="313" t="s">
        <v>550</v>
      </c>
      <c r="C48" s="177" t="s">
        <v>152</v>
      </c>
      <c r="E48" s="191" t="s">
        <v>152</v>
      </c>
      <c r="F48" s="191"/>
      <c r="G48" s="191"/>
      <c r="H48" s="191"/>
      <c r="I48" s="191"/>
      <c r="J48" s="191"/>
      <c r="K48" s="177" t="s">
        <v>152</v>
      </c>
      <c r="M48" s="191" t="s">
        <v>28</v>
      </c>
      <c r="N48" s="191"/>
      <c r="O48" s="191" t="s">
        <v>28</v>
      </c>
      <c r="P48" s="191"/>
      <c r="Q48" s="191" t="s">
        <v>152</v>
      </c>
      <c r="R48" s="191"/>
      <c r="S48" s="191" t="s">
        <v>152</v>
      </c>
      <c r="T48" s="191"/>
      <c r="U48" s="191"/>
      <c r="V48" s="191"/>
      <c r="W48" s="191" t="s">
        <v>152</v>
      </c>
      <c r="Y48" s="177" t="s">
        <v>28</v>
      </c>
      <c r="AA48" s="177" t="s">
        <v>152</v>
      </c>
      <c r="AC48" s="177" t="s">
        <v>152</v>
      </c>
      <c r="AE48" s="177" t="s">
        <v>152</v>
      </c>
      <c r="AG48" s="177" t="s">
        <v>152</v>
      </c>
    </row>
    <row r="49" spans="2:33" s="177" customFormat="1" ht="15.9" x14ac:dyDescent="0.4">
      <c r="B49" s="314" t="s">
        <v>357</v>
      </c>
      <c r="C49" s="177" t="s">
        <v>152</v>
      </c>
      <c r="E49" s="191"/>
      <c r="F49" s="191"/>
      <c r="G49" s="191"/>
      <c r="H49" s="191"/>
      <c r="I49" s="191"/>
      <c r="J49" s="191"/>
      <c r="K49" s="177" t="s">
        <v>152</v>
      </c>
      <c r="M49" s="191" t="s">
        <v>28</v>
      </c>
      <c r="N49" s="191"/>
      <c r="O49" s="191" t="s">
        <v>28</v>
      </c>
      <c r="P49" s="191"/>
      <c r="Q49" s="191" t="s">
        <v>152</v>
      </c>
      <c r="R49" s="191"/>
      <c r="S49" s="191" t="s">
        <v>152</v>
      </c>
      <c r="T49" s="191"/>
      <c r="U49" s="191"/>
      <c r="V49" s="191"/>
      <c r="W49" s="191" t="s">
        <v>152</v>
      </c>
      <c r="Y49" s="177" t="s">
        <v>28</v>
      </c>
      <c r="AA49" s="177" t="s">
        <v>152</v>
      </c>
      <c r="AC49" s="177" t="s">
        <v>581</v>
      </c>
      <c r="AG49" s="177" t="s">
        <v>581</v>
      </c>
    </row>
    <row r="50" spans="2:33" s="177" customFormat="1" ht="15.9" x14ac:dyDescent="0.4">
      <c r="B50" s="314" t="s">
        <v>215</v>
      </c>
      <c r="C50" s="177" t="s">
        <v>152</v>
      </c>
      <c r="E50" s="191" t="s">
        <v>152</v>
      </c>
      <c r="F50" s="191"/>
      <c r="G50" s="191"/>
      <c r="H50" s="191"/>
      <c r="I50" s="191"/>
      <c r="J50" s="191"/>
      <c r="K50" s="177" t="s">
        <v>152</v>
      </c>
      <c r="M50" s="191" t="s">
        <v>28</v>
      </c>
      <c r="N50" s="191"/>
      <c r="O50" s="191" t="s">
        <v>28</v>
      </c>
      <c r="P50" s="191"/>
      <c r="Q50" s="191" t="s">
        <v>152</v>
      </c>
      <c r="R50" s="191"/>
      <c r="S50" s="191" t="s">
        <v>152</v>
      </c>
      <c r="T50" s="191"/>
      <c r="U50" s="191"/>
      <c r="V50" s="191"/>
      <c r="W50" s="191" t="s">
        <v>152</v>
      </c>
      <c r="Y50" s="177" t="s">
        <v>28</v>
      </c>
      <c r="AA50" s="177" t="s">
        <v>152</v>
      </c>
      <c r="AC50" s="177" t="s">
        <v>152</v>
      </c>
      <c r="AE50" s="177" t="s">
        <v>152</v>
      </c>
      <c r="AG50" s="177" t="s">
        <v>152</v>
      </c>
    </row>
    <row r="51" spans="2:33" s="177" customFormat="1" ht="15.9" x14ac:dyDescent="0.4">
      <c r="B51" s="314" t="s">
        <v>217</v>
      </c>
      <c r="C51" s="177" t="s">
        <v>152</v>
      </c>
      <c r="E51" s="191" t="s">
        <v>152</v>
      </c>
      <c r="F51" s="191"/>
      <c r="G51" s="191"/>
      <c r="H51" s="191"/>
      <c r="I51" s="191"/>
      <c r="J51" s="191"/>
      <c r="K51" s="177" t="s">
        <v>152</v>
      </c>
      <c r="M51" s="191" t="s">
        <v>28</v>
      </c>
      <c r="N51" s="191"/>
      <c r="O51" s="191" t="s">
        <v>28</v>
      </c>
      <c r="P51" s="191"/>
      <c r="Q51" s="191" t="s">
        <v>152</v>
      </c>
      <c r="R51" s="191"/>
      <c r="S51" s="191" t="s">
        <v>152</v>
      </c>
      <c r="T51" s="191"/>
      <c r="U51" s="191"/>
      <c r="V51" s="191"/>
      <c r="W51" s="191" t="s">
        <v>152</v>
      </c>
      <c r="Y51" s="177" t="s">
        <v>28</v>
      </c>
      <c r="AA51" s="177" t="s">
        <v>152</v>
      </c>
      <c r="AC51" s="177" t="s">
        <v>581</v>
      </c>
      <c r="AE51" s="177" t="s">
        <v>581</v>
      </c>
      <c r="AG51" s="177" t="s">
        <v>581</v>
      </c>
    </row>
    <row r="52" spans="2:33" s="177" customFormat="1" ht="15.9" x14ac:dyDescent="0.4">
      <c r="B52" s="314" t="s">
        <v>218</v>
      </c>
      <c r="C52" s="177" t="s">
        <v>152</v>
      </c>
      <c r="E52" s="191" t="s">
        <v>152</v>
      </c>
      <c r="F52" s="191"/>
      <c r="G52" s="191"/>
      <c r="H52" s="191"/>
      <c r="I52" s="191"/>
      <c r="J52" s="191"/>
      <c r="K52" s="177" t="s">
        <v>152</v>
      </c>
      <c r="M52" s="191" t="s">
        <v>28</v>
      </c>
      <c r="N52" s="191"/>
      <c r="O52" s="191" t="s">
        <v>28</v>
      </c>
      <c r="P52" s="191"/>
      <c r="Q52" s="191" t="s">
        <v>152</v>
      </c>
      <c r="R52" s="191"/>
      <c r="S52" s="191" t="s">
        <v>152</v>
      </c>
      <c r="T52" s="191"/>
      <c r="U52" s="191"/>
      <c r="V52" s="191"/>
      <c r="W52" s="191" t="s">
        <v>152</v>
      </c>
      <c r="Y52" s="177" t="s">
        <v>28</v>
      </c>
      <c r="AA52" s="177" t="s">
        <v>152</v>
      </c>
      <c r="AC52" s="177" t="s">
        <v>581</v>
      </c>
      <c r="AE52" s="177" t="s">
        <v>581</v>
      </c>
      <c r="AG52" s="177" t="s">
        <v>581</v>
      </c>
    </row>
    <row r="53" spans="2:33" s="177" customFormat="1" ht="15.9" x14ac:dyDescent="0.4">
      <c r="B53" s="314" t="s">
        <v>219</v>
      </c>
      <c r="C53" s="177" t="s">
        <v>152</v>
      </c>
      <c r="E53" s="191" t="s">
        <v>152</v>
      </c>
      <c r="F53" s="191"/>
      <c r="G53" s="191"/>
      <c r="H53" s="191"/>
      <c r="I53" s="191"/>
      <c r="J53" s="191"/>
      <c r="K53" s="177" t="s">
        <v>152</v>
      </c>
      <c r="M53" s="191" t="s">
        <v>28</v>
      </c>
      <c r="N53" s="191"/>
      <c r="O53" s="191" t="s">
        <v>28</v>
      </c>
      <c r="P53" s="191"/>
      <c r="Q53" s="191" t="s">
        <v>152</v>
      </c>
      <c r="R53" s="191"/>
      <c r="S53" s="191" t="s">
        <v>152</v>
      </c>
      <c r="T53" s="191"/>
      <c r="U53" s="191"/>
      <c r="V53" s="191"/>
      <c r="W53" s="191" t="s">
        <v>152</v>
      </c>
      <c r="Y53" s="177" t="s">
        <v>28</v>
      </c>
      <c r="AA53" s="177" t="s">
        <v>152</v>
      </c>
      <c r="AC53" s="177" t="s">
        <v>152</v>
      </c>
      <c r="AE53" s="177" t="s">
        <v>152</v>
      </c>
      <c r="AG53" s="177" t="s">
        <v>152</v>
      </c>
    </row>
    <row r="54" spans="2:33" s="177" customFormat="1" ht="15.9" x14ac:dyDescent="0.4">
      <c r="B54" s="315" t="s">
        <v>213</v>
      </c>
      <c r="C54" s="177" t="s">
        <v>152</v>
      </c>
      <c r="E54" s="191"/>
      <c r="F54" s="191"/>
      <c r="G54" s="191"/>
      <c r="H54" s="191"/>
      <c r="I54" s="191"/>
      <c r="J54" s="191"/>
      <c r="M54" s="191" t="s">
        <v>28</v>
      </c>
      <c r="N54" s="191"/>
      <c r="O54" s="191" t="s">
        <v>28</v>
      </c>
      <c r="P54" s="191"/>
      <c r="Q54" s="191" t="s">
        <v>152</v>
      </c>
      <c r="R54" s="191"/>
      <c r="S54" s="191" t="s">
        <v>152</v>
      </c>
      <c r="T54" s="191"/>
      <c r="U54" s="191"/>
      <c r="V54" s="191"/>
      <c r="W54" s="191" t="s">
        <v>152</v>
      </c>
      <c r="Y54" s="177" t="s">
        <v>28</v>
      </c>
      <c r="AC54" s="177" t="s">
        <v>581</v>
      </c>
      <c r="AG54" s="177" t="s">
        <v>581</v>
      </c>
    </row>
    <row r="55" spans="2:33" s="177" customFormat="1" ht="15.9" x14ac:dyDescent="0.4">
      <c r="B55" s="315" t="s">
        <v>212</v>
      </c>
      <c r="C55" s="177" t="s">
        <v>152</v>
      </c>
      <c r="E55" s="191" t="s">
        <v>152</v>
      </c>
      <c r="F55" s="191"/>
      <c r="G55" s="191"/>
      <c r="H55" s="191"/>
      <c r="I55" s="191"/>
      <c r="J55" s="191"/>
      <c r="K55" s="177" t="s">
        <v>152</v>
      </c>
      <c r="M55" s="191" t="s">
        <v>152</v>
      </c>
      <c r="N55" s="191"/>
      <c r="O55" s="191" t="s">
        <v>152</v>
      </c>
      <c r="P55" s="191"/>
      <c r="Q55" s="191" t="s">
        <v>152</v>
      </c>
      <c r="R55" s="191"/>
      <c r="S55" s="191" t="s">
        <v>152</v>
      </c>
      <c r="T55" s="191"/>
      <c r="U55" s="191" t="s">
        <v>152</v>
      </c>
      <c r="V55" s="191"/>
      <c r="W55" s="191" t="s">
        <v>28</v>
      </c>
      <c r="Y55" s="177" t="s">
        <v>152</v>
      </c>
      <c r="AA55" s="177" t="s">
        <v>152</v>
      </c>
      <c r="AC55" s="177" t="s">
        <v>152</v>
      </c>
      <c r="AE55" s="177" t="s">
        <v>152</v>
      </c>
      <c r="AG55" s="177" t="s">
        <v>152</v>
      </c>
    </row>
    <row r="56" spans="2:33" s="177" customFormat="1" ht="15.9" x14ac:dyDescent="0.4">
      <c r="B56" s="315" t="s">
        <v>211</v>
      </c>
      <c r="C56" s="177" t="s">
        <v>152</v>
      </c>
      <c r="E56" s="191" t="s">
        <v>152</v>
      </c>
      <c r="F56" s="191"/>
      <c r="G56" s="191"/>
      <c r="H56" s="191"/>
      <c r="I56" s="191"/>
      <c r="J56" s="191"/>
      <c r="K56" s="177" t="s">
        <v>152</v>
      </c>
      <c r="M56" s="191" t="s">
        <v>152</v>
      </c>
      <c r="N56" s="191"/>
      <c r="O56" s="191" t="s">
        <v>152</v>
      </c>
      <c r="P56" s="191"/>
      <c r="Q56" s="191" t="s">
        <v>152</v>
      </c>
      <c r="R56" s="191"/>
      <c r="S56" s="191" t="s">
        <v>152</v>
      </c>
      <c r="T56" s="191"/>
      <c r="U56" s="191" t="s">
        <v>152</v>
      </c>
      <c r="V56" s="191"/>
      <c r="W56" s="191" t="s">
        <v>28</v>
      </c>
      <c r="Y56" s="177" t="s">
        <v>152</v>
      </c>
      <c r="AA56" s="177" t="s">
        <v>152</v>
      </c>
      <c r="AC56" s="177" t="s">
        <v>152</v>
      </c>
      <c r="AE56" s="177" t="s">
        <v>152</v>
      </c>
      <c r="AG56" s="177" t="s">
        <v>152</v>
      </c>
    </row>
    <row r="57" spans="2:33" s="177" customFormat="1" ht="15.9" x14ac:dyDescent="0.4">
      <c r="B57" s="315" t="s">
        <v>301</v>
      </c>
      <c r="C57" s="177" t="s">
        <v>152</v>
      </c>
      <c r="E57" s="191" t="s">
        <v>152</v>
      </c>
      <c r="F57" s="191"/>
      <c r="G57" s="191"/>
      <c r="H57" s="191"/>
      <c r="I57" s="191"/>
      <c r="J57" s="191"/>
      <c r="K57" s="177" t="s">
        <v>152</v>
      </c>
      <c r="M57" s="191" t="s">
        <v>152</v>
      </c>
      <c r="N57" s="191"/>
      <c r="O57" s="191" t="s">
        <v>152</v>
      </c>
      <c r="P57" s="191"/>
      <c r="Q57" s="191" t="s">
        <v>152</v>
      </c>
      <c r="R57" s="191"/>
      <c r="S57" s="191"/>
      <c r="T57" s="191"/>
      <c r="U57" s="191"/>
      <c r="V57" s="191"/>
      <c r="W57" s="191" t="s">
        <v>152</v>
      </c>
      <c r="Y57" s="177" t="s">
        <v>152</v>
      </c>
      <c r="AA57" s="177" t="s">
        <v>152</v>
      </c>
      <c r="AC57" s="177" t="s">
        <v>152</v>
      </c>
      <c r="AE57" s="177" t="s">
        <v>152</v>
      </c>
      <c r="AG57" s="177" t="s">
        <v>152</v>
      </c>
    </row>
    <row r="58" spans="2:33" s="177" customFormat="1" ht="15.9" x14ac:dyDescent="0.4">
      <c r="B58" s="316" t="s">
        <v>231</v>
      </c>
      <c r="C58" s="177" t="s">
        <v>152</v>
      </c>
      <c r="E58" s="191"/>
      <c r="F58" s="191"/>
      <c r="G58" s="191"/>
      <c r="H58" s="191"/>
      <c r="I58" s="191"/>
      <c r="J58" s="191"/>
      <c r="M58" s="191"/>
      <c r="N58" s="191"/>
      <c r="O58" s="191"/>
      <c r="P58" s="191"/>
      <c r="Q58" s="191"/>
      <c r="R58" s="191"/>
      <c r="S58" s="191"/>
      <c r="T58" s="191"/>
      <c r="U58" s="191"/>
      <c r="V58" s="191"/>
      <c r="W58" s="191"/>
    </row>
    <row r="59" spans="2:33" s="177" customFormat="1" ht="15.9" x14ac:dyDescent="0.4">
      <c r="B59" s="355" t="s">
        <v>351</v>
      </c>
      <c r="C59" s="177" t="s">
        <v>152</v>
      </c>
      <c r="E59" s="191" t="s">
        <v>152</v>
      </c>
      <c r="F59" s="191"/>
      <c r="G59" s="191"/>
      <c r="H59" s="191"/>
      <c r="I59" s="191"/>
      <c r="J59" s="191"/>
      <c r="K59" s="177" t="s">
        <v>152</v>
      </c>
      <c r="M59" s="191"/>
      <c r="N59" s="191"/>
      <c r="O59" s="191"/>
      <c r="P59" s="191"/>
      <c r="Q59" s="191"/>
      <c r="R59" s="191"/>
      <c r="S59" s="191"/>
      <c r="T59" s="191"/>
      <c r="U59" s="191"/>
      <c r="V59" s="191"/>
      <c r="W59" s="191"/>
      <c r="AA59" s="177" t="s">
        <v>152</v>
      </c>
      <c r="AC59" s="177" t="s">
        <v>152</v>
      </c>
      <c r="AE59" s="177" t="s">
        <v>152</v>
      </c>
      <c r="AG59" s="177" t="s">
        <v>152</v>
      </c>
    </row>
    <row r="60" spans="2:33" s="177" customFormat="1" ht="15.9" x14ac:dyDescent="0.4">
      <c r="B60" s="355" t="s">
        <v>256</v>
      </c>
      <c r="C60" s="177" t="s">
        <v>152</v>
      </c>
      <c r="E60" s="191"/>
      <c r="F60" s="191"/>
      <c r="G60" s="191"/>
      <c r="H60" s="191"/>
      <c r="I60" s="191"/>
      <c r="J60" s="191"/>
      <c r="M60" s="191"/>
      <c r="N60" s="191"/>
      <c r="O60" s="191"/>
      <c r="P60" s="191"/>
      <c r="Q60" s="191"/>
      <c r="R60" s="191"/>
      <c r="S60" s="191"/>
      <c r="T60" s="191"/>
      <c r="U60" s="191"/>
      <c r="V60" s="191"/>
      <c r="W60" s="191"/>
    </row>
    <row r="61" spans="2:33" s="177" customFormat="1" x14ac:dyDescent="0.4">
      <c r="E61" s="191"/>
      <c r="F61" s="191"/>
      <c r="G61" s="191"/>
      <c r="H61" s="191"/>
      <c r="I61" s="191"/>
      <c r="J61" s="191"/>
      <c r="M61" s="191"/>
      <c r="N61" s="191"/>
      <c r="O61" s="191"/>
      <c r="P61" s="191"/>
      <c r="Q61" s="191"/>
      <c r="R61" s="191"/>
      <c r="S61" s="191"/>
      <c r="T61" s="191"/>
      <c r="U61" s="191"/>
      <c r="V61" s="191"/>
      <c r="W61" s="191"/>
    </row>
    <row r="62" spans="2:33" s="177" customFormat="1" x14ac:dyDescent="0.4">
      <c r="E62" s="191"/>
      <c r="F62" s="191"/>
      <c r="G62" s="191"/>
      <c r="H62" s="191"/>
      <c r="I62" s="191"/>
      <c r="J62" s="191"/>
      <c r="M62" s="191"/>
      <c r="N62" s="191"/>
      <c r="O62" s="191"/>
      <c r="P62" s="191"/>
      <c r="Q62" s="191"/>
      <c r="R62" s="191"/>
      <c r="S62" s="191"/>
      <c r="T62" s="191"/>
      <c r="U62" s="191"/>
      <c r="V62" s="191"/>
      <c r="W62" s="191"/>
    </row>
    <row r="63" spans="2:33" s="177" customFormat="1" x14ac:dyDescent="0.4">
      <c r="E63" s="191"/>
      <c r="F63" s="191"/>
      <c r="G63" s="191"/>
      <c r="H63" s="191"/>
      <c r="I63" s="191"/>
      <c r="J63" s="191"/>
      <c r="M63" s="191"/>
      <c r="N63" s="191"/>
      <c r="O63" s="191"/>
      <c r="P63" s="191"/>
      <c r="Q63" s="191"/>
      <c r="R63" s="191"/>
      <c r="S63" s="191"/>
      <c r="T63" s="191"/>
      <c r="U63" s="191"/>
      <c r="V63" s="191"/>
      <c r="W63" s="191"/>
    </row>
    <row r="64" spans="2:33" s="177" customFormat="1" x14ac:dyDescent="0.4">
      <c r="E64" s="191"/>
      <c r="F64" s="191"/>
      <c r="G64" s="191"/>
      <c r="H64" s="191"/>
      <c r="I64" s="191"/>
      <c r="J64" s="191"/>
      <c r="M64" s="191"/>
      <c r="N64" s="191"/>
      <c r="O64" s="191"/>
      <c r="P64" s="191"/>
      <c r="Q64" s="191"/>
      <c r="R64" s="191"/>
      <c r="S64" s="191"/>
      <c r="T64" s="191"/>
      <c r="U64" s="191"/>
      <c r="V64" s="191"/>
      <c r="W64" s="191"/>
    </row>
    <row r="65" spans="1:23" s="177" customFormat="1" x14ac:dyDescent="0.4">
      <c r="E65" s="191"/>
      <c r="F65" s="191"/>
      <c r="G65" s="191"/>
      <c r="H65" s="191"/>
      <c r="I65" s="191"/>
      <c r="J65" s="191"/>
      <c r="M65" s="191"/>
      <c r="N65" s="191"/>
      <c r="O65" s="191"/>
      <c r="P65" s="191"/>
      <c r="Q65" s="191"/>
      <c r="R65" s="191"/>
      <c r="S65" s="191"/>
      <c r="T65" s="191"/>
      <c r="U65" s="191"/>
      <c r="V65" s="191"/>
      <c r="W65" s="191"/>
    </row>
    <row r="66" spans="1:23" s="177" customFormat="1" x14ac:dyDescent="0.4">
      <c r="E66" s="191"/>
      <c r="F66" s="191"/>
      <c r="G66" s="191"/>
      <c r="H66" s="191"/>
      <c r="I66" s="191"/>
      <c r="J66" s="191"/>
      <c r="M66" s="191"/>
      <c r="N66" s="191"/>
      <c r="O66" s="191"/>
      <c r="P66" s="191"/>
      <c r="Q66" s="191"/>
      <c r="R66" s="191"/>
      <c r="S66" s="191"/>
      <c r="T66" s="191"/>
      <c r="U66" s="191"/>
      <c r="V66" s="191"/>
      <c r="W66" s="191"/>
    </row>
    <row r="67" spans="1:23" s="177" customFormat="1" x14ac:dyDescent="0.4">
      <c r="E67" s="191"/>
      <c r="F67" s="191"/>
      <c r="G67" s="191"/>
      <c r="H67" s="191"/>
      <c r="I67" s="191"/>
      <c r="J67" s="191"/>
      <c r="M67" s="191"/>
      <c r="N67" s="191"/>
      <c r="O67" s="191"/>
      <c r="P67" s="191"/>
      <c r="Q67" s="191"/>
      <c r="R67" s="191"/>
      <c r="S67" s="191"/>
      <c r="T67" s="191"/>
      <c r="U67" s="191"/>
      <c r="V67" s="191"/>
      <c r="W67" s="191"/>
    </row>
    <row r="68" spans="1:23" s="177" customFormat="1" x14ac:dyDescent="0.4">
      <c r="E68" s="191"/>
      <c r="F68" s="191"/>
      <c r="G68" s="191"/>
      <c r="H68" s="191"/>
      <c r="I68" s="191"/>
      <c r="J68" s="191"/>
      <c r="M68" s="191"/>
      <c r="N68" s="191"/>
      <c r="O68" s="191"/>
      <c r="P68" s="191"/>
      <c r="Q68" s="191"/>
      <c r="R68" s="191"/>
      <c r="S68" s="191"/>
      <c r="T68" s="191"/>
      <c r="U68" s="191"/>
      <c r="V68" s="191"/>
      <c r="W68" s="191"/>
    </row>
    <row r="69" spans="1:23" s="177" customFormat="1" x14ac:dyDescent="0.4">
      <c r="E69" s="191"/>
      <c r="F69" s="191"/>
      <c r="G69" s="191"/>
      <c r="H69" s="191"/>
      <c r="I69" s="191"/>
      <c r="J69" s="191"/>
      <c r="M69" s="191"/>
      <c r="N69" s="191"/>
      <c r="O69" s="191"/>
      <c r="P69" s="191"/>
      <c r="Q69" s="191"/>
      <c r="R69" s="191"/>
      <c r="S69" s="191"/>
      <c r="T69" s="191"/>
      <c r="U69" s="191"/>
      <c r="V69" s="191"/>
      <c r="W69" s="191"/>
    </row>
    <row r="70" spans="1:23" s="177" customFormat="1" x14ac:dyDescent="0.4">
      <c r="E70" s="191"/>
      <c r="F70" s="191"/>
      <c r="G70" s="191"/>
      <c r="H70" s="191"/>
      <c r="I70" s="191"/>
      <c r="J70" s="191"/>
      <c r="M70" s="191"/>
      <c r="N70" s="191"/>
      <c r="O70" s="191"/>
      <c r="P70" s="191"/>
      <c r="Q70" s="191"/>
      <c r="R70" s="191"/>
      <c r="S70" s="191"/>
      <c r="T70" s="191"/>
      <c r="U70" s="191"/>
      <c r="V70" s="191"/>
      <c r="W70" s="191"/>
    </row>
    <row r="71" spans="1:23" s="177" customFormat="1" x14ac:dyDescent="0.4">
      <c r="E71" s="191"/>
      <c r="F71" s="191"/>
      <c r="G71" s="191"/>
      <c r="H71" s="191"/>
      <c r="I71" s="191"/>
      <c r="J71" s="191"/>
      <c r="M71" s="191"/>
      <c r="N71" s="191"/>
      <c r="O71" s="191"/>
      <c r="P71" s="191"/>
      <c r="Q71" s="191"/>
      <c r="R71" s="191"/>
      <c r="S71" s="191"/>
      <c r="T71" s="191"/>
      <c r="U71" s="191"/>
      <c r="V71" s="191"/>
      <c r="W71" s="191"/>
    </row>
    <row r="72" spans="1:23" s="177" customFormat="1" x14ac:dyDescent="0.4">
      <c r="E72" s="191"/>
      <c r="F72" s="191"/>
      <c r="G72" s="191"/>
      <c r="H72" s="191"/>
      <c r="I72" s="191"/>
      <c r="J72" s="191"/>
      <c r="M72" s="191"/>
      <c r="N72" s="191"/>
      <c r="O72" s="191"/>
      <c r="P72" s="191"/>
      <c r="Q72" s="191"/>
      <c r="R72" s="191"/>
      <c r="S72" s="191"/>
      <c r="T72" s="191"/>
      <c r="U72" s="191"/>
      <c r="V72" s="191"/>
      <c r="W72" s="191"/>
    </row>
    <row r="73" spans="1:23" s="177" customFormat="1" x14ac:dyDescent="0.4">
      <c r="E73" s="191"/>
      <c r="F73" s="191"/>
      <c r="G73" s="191"/>
      <c r="H73" s="191"/>
      <c r="I73" s="191"/>
      <c r="J73" s="191"/>
      <c r="M73" s="191"/>
      <c r="N73" s="191"/>
      <c r="O73" s="191"/>
      <c r="P73" s="191"/>
      <c r="Q73" s="191"/>
      <c r="R73" s="191"/>
      <c r="S73" s="191"/>
      <c r="T73" s="191"/>
      <c r="U73" s="191"/>
      <c r="V73" s="191"/>
      <c r="W73" s="191"/>
    </row>
    <row r="74" spans="1:23" s="177" customFormat="1" x14ac:dyDescent="0.4">
      <c r="E74" s="191"/>
      <c r="F74" s="191"/>
      <c r="G74" s="191"/>
      <c r="H74" s="191"/>
      <c r="I74" s="191"/>
      <c r="J74" s="191"/>
      <c r="M74" s="191"/>
      <c r="N74" s="191"/>
      <c r="O74" s="191"/>
      <c r="P74" s="191"/>
      <c r="Q74" s="191"/>
      <c r="R74" s="191"/>
      <c r="S74" s="191"/>
      <c r="T74" s="191"/>
      <c r="U74" s="191"/>
      <c r="V74" s="191"/>
      <c r="W74" s="191"/>
    </row>
    <row r="75" spans="1:23" s="177" customFormat="1" x14ac:dyDescent="0.4">
      <c r="E75" s="191"/>
      <c r="F75" s="191"/>
      <c r="G75" s="191"/>
      <c r="H75" s="191"/>
      <c r="I75" s="191"/>
      <c r="J75" s="191"/>
      <c r="M75" s="191"/>
      <c r="N75" s="191"/>
      <c r="O75" s="191"/>
      <c r="P75" s="191"/>
      <c r="Q75" s="191"/>
      <c r="R75" s="191"/>
      <c r="S75" s="191"/>
      <c r="T75" s="191"/>
      <c r="U75" s="191"/>
      <c r="V75" s="191"/>
      <c r="W75" s="191"/>
    </row>
    <row r="76" spans="1:23" s="177" customFormat="1" x14ac:dyDescent="0.4">
      <c r="E76" s="191"/>
      <c r="F76" s="191"/>
      <c r="G76" s="191"/>
      <c r="H76" s="191"/>
      <c r="I76" s="191"/>
      <c r="J76" s="191"/>
      <c r="M76" s="191"/>
      <c r="N76" s="191"/>
      <c r="O76" s="191"/>
      <c r="P76" s="191"/>
      <c r="Q76" s="191"/>
      <c r="R76" s="191"/>
      <c r="S76" s="191"/>
      <c r="T76" s="191"/>
      <c r="U76" s="191"/>
      <c r="V76" s="191"/>
      <c r="W76" s="191"/>
    </row>
    <row r="77" spans="1:23" s="177" customFormat="1" x14ac:dyDescent="0.4">
      <c r="E77" s="191"/>
      <c r="F77" s="191"/>
      <c r="G77" s="191"/>
      <c r="H77" s="191"/>
      <c r="I77" s="191"/>
      <c r="J77" s="191"/>
      <c r="M77" s="191"/>
      <c r="N77" s="191"/>
      <c r="O77" s="191"/>
      <c r="P77" s="191"/>
      <c r="Q77" s="191"/>
      <c r="R77" s="191"/>
      <c r="S77" s="191"/>
      <c r="T77" s="191"/>
      <c r="U77" s="191"/>
      <c r="V77" s="191"/>
      <c r="W77" s="191"/>
    </row>
    <row r="78" spans="1:23" s="177" customFormat="1" x14ac:dyDescent="0.4">
      <c r="E78" s="191"/>
      <c r="F78" s="191"/>
      <c r="G78" s="191"/>
      <c r="H78" s="191"/>
      <c r="I78" s="191"/>
      <c r="J78" s="191"/>
      <c r="M78" s="191"/>
      <c r="N78" s="191"/>
      <c r="O78" s="191"/>
      <c r="P78" s="191"/>
      <c r="Q78" s="191"/>
      <c r="R78" s="191"/>
      <c r="S78" s="191"/>
      <c r="T78" s="191"/>
      <c r="U78" s="191"/>
      <c r="V78" s="191"/>
      <c r="W78" s="191"/>
    </row>
    <row r="79" spans="1:23" s="177" customFormat="1" x14ac:dyDescent="0.4">
      <c r="E79" s="191"/>
      <c r="F79" s="191"/>
      <c r="G79" s="191"/>
      <c r="H79" s="191"/>
      <c r="I79" s="191"/>
      <c r="J79" s="191"/>
      <c r="M79" s="191"/>
      <c r="N79" s="191"/>
      <c r="O79" s="191"/>
      <c r="P79" s="191"/>
      <c r="Q79" s="191"/>
      <c r="R79" s="191"/>
      <c r="S79" s="191"/>
      <c r="T79" s="191"/>
      <c r="U79" s="191"/>
      <c r="V79" s="191"/>
      <c r="W79" s="191"/>
    </row>
    <row r="80" spans="1:23" s="323" customFormat="1" x14ac:dyDescent="0.4">
      <c r="A80" s="323" t="s">
        <v>463</v>
      </c>
      <c r="B80" s="325" t="s">
        <v>464</v>
      </c>
      <c r="E80" s="324">
        <v>0</v>
      </c>
      <c r="F80" s="324">
        <v>1</v>
      </c>
      <c r="G80" s="324"/>
      <c r="H80" s="324"/>
      <c r="I80" s="324"/>
      <c r="J80" s="324"/>
      <c r="M80" s="324"/>
      <c r="N80" s="324"/>
      <c r="O80" s="324"/>
      <c r="P80" s="324"/>
      <c r="Q80" s="324"/>
      <c r="R80" s="324"/>
      <c r="S80" s="324"/>
      <c r="T80" s="324"/>
      <c r="U80" s="324"/>
      <c r="V80" s="324"/>
      <c r="W80" s="324"/>
    </row>
    <row r="81" spans="3:34" s="177" customFormat="1" x14ac:dyDescent="0.4">
      <c r="C81" s="177" t="s">
        <v>20</v>
      </c>
      <c r="D81" s="177" t="s">
        <v>20</v>
      </c>
      <c r="E81" s="191">
        <v>0</v>
      </c>
      <c r="F81" s="191">
        <v>0</v>
      </c>
      <c r="G81" s="191"/>
      <c r="H81" s="191"/>
      <c r="I81" s="191"/>
      <c r="J81" s="191"/>
      <c r="K81" s="177">
        <v>0</v>
      </c>
      <c r="L81" s="177">
        <v>0</v>
      </c>
      <c r="M81" s="191">
        <v>0</v>
      </c>
      <c r="N81" s="191">
        <v>0</v>
      </c>
      <c r="O81" s="191">
        <v>0</v>
      </c>
      <c r="P81" s="191">
        <v>0</v>
      </c>
      <c r="Q81" s="191">
        <v>0</v>
      </c>
      <c r="R81" s="191">
        <v>0</v>
      </c>
      <c r="S81" s="191">
        <v>0</v>
      </c>
      <c r="T81" s="191">
        <v>0</v>
      </c>
      <c r="U81" s="191">
        <v>0</v>
      </c>
      <c r="V81" s="191">
        <v>0</v>
      </c>
      <c r="W81" s="191">
        <v>0</v>
      </c>
      <c r="X81" s="177">
        <v>0</v>
      </c>
      <c r="Y81" s="177">
        <v>0</v>
      </c>
      <c r="Z81" s="177">
        <v>0</v>
      </c>
      <c r="AA81" s="177">
        <v>1</v>
      </c>
      <c r="AB81" s="177">
        <v>0</v>
      </c>
      <c r="AC81" s="177">
        <v>13</v>
      </c>
      <c r="AD81" s="177">
        <v>3</v>
      </c>
      <c r="AE81" s="177">
        <v>13</v>
      </c>
      <c r="AF81" s="177">
        <v>3</v>
      </c>
      <c r="AG81" s="177">
        <v>0</v>
      </c>
      <c r="AH81" s="177">
        <v>0</v>
      </c>
    </row>
    <row r="82" spans="3:34" s="177" customFormat="1" x14ac:dyDescent="0.4">
      <c r="E82" s="191" t="s">
        <v>589</v>
      </c>
      <c r="F82" s="191"/>
      <c r="G82" s="191"/>
      <c r="H82" s="191"/>
      <c r="I82" s="191"/>
      <c r="J82" s="191"/>
      <c r="M82" s="191" t="s">
        <v>194</v>
      </c>
      <c r="N82" s="191"/>
      <c r="O82" s="191"/>
      <c r="P82" s="191" t="s">
        <v>347</v>
      </c>
      <c r="Q82" s="191"/>
      <c r="R82" s="191"/>
      <c r="S82" s="191" t="s">
        <v>194</v>
      </c>
      <c r="T82" s="191"/>
      <c r="U82" s="191" t="s">
        <v>335</v>
      </c>
      <c r="V82" s="191"/>
      <c r="W82" s="191"/>
      <c r="AA82" s="177" t="s">
        <v>589</v>
      </c>
      <c r="AC82" s="177" t="s">
        <v>568</v>
      </c>
      <c r="AD82" s="177" t="s">
        <v>556</v>
      </c>
      <c r="AE82" s="177" t="s">
        <v>568</v>
      </c>
      <c r="AF82" s="177" t="s">
        <v>556</v>
      </c>
    </row>
    <row r="83" spans="3:34" s="177" customFormat="1" x14ac:dyDescent="0.4">
      <c r="E83" s="191"/>
      <c r="F83" s="191"/>
      <c r="G83" s="191"/>
      <c r="H83" s="191"/>
      <c r="I83" s="191"/>
      <c r="J83" s="191"/>
      <c r="M83" s="191"/>
      <c r="N83" s="191"/>
      <c r="O83" s="191"/>
      <c r="P83" s="191"/>
      <c r="Q83" s="191"/>
      <c r="R83" s="191"/>
      <c r="S83" s="191"/>
      <c r="T83" s="191"/>
      <c r="U83" s="191" t="s">
        <v>334</v>
      </c>
      <c r="V83" s="191"/>
      <c r="W83" s="191"/>
      <c r="AA83" s="177">
        <v>1600828</v>
      </c>
      <c r="AC83" s="177" t="s">
        <v>569</v>
      </c>
      <c r="AD83" s="177" t="s">
        <v>557</v>
      </c>
      <c r="AE83" s="177" t="s">
        <v>569</v>
      </c>
      <c r="AF83" s="177" t="s">
        <v>557</v>
      </c>
    </row>
    <row r="84" spans="3:34" s="177" customFormat="1" x14ac:dyDescent="0.4">
      <c r="E84" s="191"/>
      <c r="F84" s="191"/>
      <c r="G84" s="191"/>
      <c r="H84" s="191"/>
      <c r="I84" s="191"/>
      <c r="J84" s="191"/>
      <c r="M84" s="191"/>
      <c r="N84" s="191"/>
      <c r="O84" s="191"/>
      <c r="P84" s="191"/>
      <c r="Q84" s="191"/>
      <c r="R84" s="191"/>
      <c r="S84" s="191"/>
      <c r="T84" s="191"/>
      <c r="U84" s="191" t="s">
        <v>339</v>
      </c>
      <c r="V84" s="191"/>
      <c r="W84" s="191"/>
      <c r="AA84" s="177">
        <v>1601087</v>
      </c>
      <c r="AC84" s="177" t="s">
        <v>570</v>
      </c>
      <c r="AD84" s="177" t="s">
        <v>558</v>
      </c>
      <c r="AE84" s="177" t="s">
        <v>570</v>
      </c>
      <c r="AF84" s="177" t="s">
        <v>558</v>
      </c>
    </row>
    <row r="85" spans="3:34" s="164" customFormat="1" x14ac:dyDescent="0.4">
      <c r="G85" s="191"/>
      <c r="U85" s="164" t="s">
        <v>340</v>
      </c>
      <c r="AA85" s="164">
        <v>1602293</v>
      </c>
      <c r="AC85" s="164" t="s">
        <v>571</v>
      </c>
      <c r="AE85" s="164" t="s">
        <v>571</v>
      </c>
    </row>
    <row r="86" spans="3:34" s="36" customFormat="1" x14ac:dyDescent="0.4">
      <c r="E86" s="37"/>
      <c r="F86" s="37">
        <v>0</v>
      </c>
      <c r="G86" s="191"/>
      <c r="H86" s="37"/>
      <c r="I86" s="37"/>
      <c r="J86" s="37"/>
      <c r="M86" s="37"/>
      <c r="N86" s="37"/>
      <c r="O86" s="37"/>
      <c r="P86" s="37"/>
      <c r="Q86" s="37"/>
      <c r="R86" s="37"/>
      <c r="S86" s="37"/>
      <c r="T86" s="37"/>
      <c r="U86" s="37" t="s">
        <v>341</v>
      </c>
      <c r="V86" s="37"/>
      <c r="W86" s="37"/>
      <c r="AA86" s="36">
        <v>1602443</v>
      </c>
      <c r="AC86" s="36" t="s">
        <v>572</v>
      </c>
      <c r="AE86" s="36" t="s">
        <v>572</v>
      </c>
    </row>
    <row r="87" spans="3:34" s="36" customFormat="1" x14ac:dyDescent="0.4">
      <c r="E87" s="37"/>
      <c r="F87" s="37"/>
      <c r="G87" s="164"/>
      <c r="H87" s="37"/>
      <c r="I87" s="37"/>
      <c r="J87" s="37"/>
      <c r="M87" s="37"/>
      <c r="N87" s="37"/>
      <c r="O87" s="37"/>
      <c r="P87" s="37"/>
      <c r="Q87" s="37"/>
      <c r="R87" s="37"/>
      <c r="S87" s="37"/>
      <c r="T87" s="37"/>
      <c r="U87" s="37" t="s">
        <v>342</v>
      </c>
      <c r="V87" s="37"/>
      <c r="W87" s="37"/>
      <c r="AA87" s="36">
        <v>1602928</v>
      </c>
      <c r="AC87" s="36" t="s">
        <v>573</v>
      </c>
      <c r="AE87" s="36" t="s">
        <v>573</v>
      </c>
    </row>
    <row r="88" spans="3:34" s="36" customFormat="1" x14ac:dyDescent="0.4">
      <c r="E88" s="37"/>
      <c r="F88" s="37"/>
      <c r="G88" s="37"/>
      <c r="H88" s="37"/>
      <c r="I88" s="37"/>
      <c r="J88" s="37"/>
      <c r="M88" s="37"/>
      <c r="N88" s="37"/>
      <c r="O88" s="37"/>
      <c r="P88" s="37"/>
      <c r="Q88" s="37"/>
      <c r="R88" s="37"/>
      <c r="S88" s="37"/>
      <c r="T88" s="37"/>
      <c r="U88" s="37" t="s">
        <v>343</v>
      </c>
      <c r="V88" s="37"/>
      <c r="W88" s="37"/>
      <c r="AA88" s="36">
        <v>1603087</v>
      </c>
      <c r="AC88" s="36" t="s">
        <v>574</v>
      </c>
      <c r="AE88" s="36" t="s">
        <v>574</v>
      </c>
    </row>
    <row r="89" spans="3:34" s="36" customFormat="1" x14ac:dyDescent="0.4">
      <c r="E89" s="37"/>
      <c r="F89" s="37"/>
      <c r="G89" s="37"/>
      <c r="H89" s="37"/>
      <c r="I89" s="37"/>
      <c r="J89" s="37"/>
      <c r="M89" s="37"/>
      <c r="N89" s="37"/>
      <c r="O89" s="37"/>
      <c r="P89" s="37"/>
      <c r="Q89" s="37"/>
      <c r="R89" s="37"/>
      <c r="S89" s="37"/>
      <c r="T89" s="37"/>
      <c r="U89" s="37" t="s">
        <v>344</v>
      </c>
      <c r="V89" s="37"/>
      <c r="W89" s="37"/>
      <c r="AA89" s="36">
        <v>1603424</v>
      </c>
      <c r="AC89" s="36" t="s">
        <v>575</v>
      </c>
      <c r="AE89" s="36" t="s">
        <v>575</v>
      </c>
    </row>
    <row r="90" spans="3:34" s="36" customFormat="1" x14ac:dyDescent="0.4">
      <c r="E90" s="37"/>
      <c r="F90" s="37"/>
      <c r="G90" s="37"/>
      <c r="H90" s="37"/>
      <c r="I90" s="37"/>
      <c r="J90" s="37"/>
      <c r="M90" s="37"/>
      <c r="N90" s="37"/>
      <c r="O90" s="37"/>
      <c r="P90" s="37"/>
      <c r="Q90" s="37"/>
      <c r="R90" s="37"/>
      <c r="S90" s="37"/>
      <c r="T90" s="37"/>
      <c r="U90" s="37" t="s">
        <v>345</v>
      </c>
      <c r="V90" s="37"/>
      <c r="W90" s="37"/>
      <c r="AA90" s="36">
        <v>1608222</v>
      </c>
      <c r="AC90" s="36" t="s">
        <v>576</v>
      </c>
      <c r="AE90" s="36" t="s">
        <v>576</v>
      </c>
    </row>
    <row r="91" spans="3:34" s="36" customFormat="1" x14ac:dyDescent="0.4">
      <c r="E91" s="37"/>
      <c r="F91" s="37"/>
      <c r="G91" s="37"/>
      <c r="H91" s="37"/>
      <c r="I91" s="37"/>
      <c r="J91" s="37"/>
      <c r="M91" s="37"/>
      <c r="N91" s="37"/>
      <c r="O91" s="37"/>
      <c r="P91" s="37"/>
      <c r="Q91" s="37"/>
      <c r="R91" s="37"/>
      <c r="S91" s="37"/>
      <c r="T91" s="37"/>
      <c r="U91" s="37" t="s">
        <v>340</v>
      </c>
      <c r="V91" s="37"/>
      <c r="W91" s="37"/>
      <c r="AC91" s="36" t="s">
        <v>577</v>
      </c>
      <c r="AE91" s="36" t="s">
        <v>577</v>
      </c>
    </row>
    <row r="92" spans="3:34" s="36" customFormat="1" x14ac:dyDescent="0.4">
      <c r="E92" s="37"/>
      <c r="F92" s="37"/>
      <c r="G92" s="37"/>
      <c r="H92" s="37"/>
      <c r="I92" s="37"/>
      <c r="J92" s="37"/>
      <c r="M92" s="37"/>
      <c r="N92" s="37"/>
      <c r="O92" s="37"/>
      <c r="P92" s="37"/>
      <c r="Q92" s="37"/>
      <c r="R92" s="37"/>
      <c r="S92" s="37"/>
      <c r="T92" s="37"/>
      <c r="U92" s="37" t="s">
        <v>334</v>
      </c>
      <c r="V92" s="37"/>
      <c r="W92" s="37"/>
      <c r="AC92" s="36" t="s">
        <v>578</v>
      </c>
      <c r="AE92" s="36" t="s">
        <v>578</v>
      </c>
    </row>
    <row r="93" spans="3:34" s="36" customFormat="1" x14ac:dyDescent="0.4">
      <c r="E93" s="37"/>
      <c r="F93" s="37"/>
      <c r="G93" s="37"/>
      <c r="H93" s="37"/>
      <c r="I93" s="37"/>
      <c r="J93" s="37"/>
      <c r="M93" s="37"/>
      <c r="N93" s="37"/>
      <c r="O93" s="37"/>
      <c r="P93" s="37"/>
      <c r="Q93" s="37"/>
      <c r="R93" s="37"/>
      <c r="S93" s="37"/>
      <c r="T93" s="37"/>
      <c r="U93" s="37" t="s">
        <v>335</v>
      </c>
      <c r="V93" s="37"/>
      <c r="W93" s="37"/>
      <c r="AC93" s="36" t="s">
        <v>579</v>
      </c>
      <c r="AE93" s="36" t="s">
        <v>579</v>
      </c>
    </row>
    <row r="94" spans="3:34" s="36" customFormat="1" x14ac:dyDescent="0.4">
      <c r="E94" s="37"/>
      <c r="F94" s="37"/>
      <c r="G94" s="37"/>
      <c r="H94" s="37"/>
      <c r="I94" s="37"/>
      <c r="J94" s="37"/>
      <c r="M94" s="37"/>
      <c r="N94" s="37"/>
      <c r="O94" s="37"/>
      <c r="P94" s="37"/>
      <c r="Q94" s="37"/>
      <c r="R94" s="37"/>
      <c r="S94" s="37"/>
      <c r="T94" s="37"/>
      <c r="U94" s="37"/>
      <c r="V94" s="37"/>
      <c r="W94" s="37"/>
      <c r="AC94" s="36" t="s">
        <v>580</v>
      </c>
      <c r="AE94" s="36" t="s">
        <v>580</v>
      </c>
    </row>
    <row r="95" spans="3:34" s="36" customFormat="1" x14ac:dyDescent="0.4">
      <c r="E95" s="37"/>
      <c r="F95" s="37"/>
      <c r="G95" s="37"/>
      <c r="H95" s="37"/>
      <c r="I95" s="37"/>
      <c r="J95" s="37"/>
      <c r="M95" s="37"/>
      <c r="N95" s="37"/>
      <c r="O95" s="37"/>
      <c r="P95" s="37"/>
      <c r="Q95" s="37"/>
      <c r="R95" s="37"/>
      <c r="S95" s="37"/>
      <c r="T95" s="37"/>
      <c r="U95" s="37"/>
      <c r="V95" s="37"/>
      <c r="W95" s="37"/>
    </row>
    <row r="96" spans="3:34" s="36" customFormat="1" x14ac:dyDescent="0.4">
      <c r="E96" s="37"/>
      <c r="F96" s="37"/>
      <c r="G96" s="37"/>
      <c r="H96" s="37"/>
      <c r="I96" s="37"/>
      <c r="J96" s="37"/>
      <c r="M96" s="37"/>
      <c r="N96" s="37"/>
      <c r="O96" s="37"/>
      <c r="P96" s="37"/>
      <c r="Q96" s="37"/>
      <c r="R96" s="37"/>
      <c r="S96" s="37"/>
      <c r="T96" s="37"/>
      <c r="U96" s="37"/>
      <c r="V96" s="37"/>
      <c r="W96" s="37"/>
    </row>
    <row r="97" spans="5:23" s="36" customFormat="1" x14ac:dyDescent="0.4">
      <c r="E97" s="37"/>
      <c r="F97" s="37"/>
      <c r="G97" s="37"/>
      <c r="H97" s="37"/>
      <c r="I97" s="37"/>
      <c r="J97" s="37"/>
      <c r="M97" s="37"/>
      <c r="N97" s="37"/>
      <c r="O97" s="37"/>
      <c r="P97" s="37"/>
      <c r="Q97" s="37"/>
      <c r="R97" s="37"/>
      <c r="S97" s="37"/>
      <c r="T97" s="37"/>
      <c r="U97" s="37"/>
      <c r="V97" s="37"/>
      <c r="W97" s="37"/>
    </row>
    <row r="98" spans="5:23" s="36" customFormat="1" x14ac:dyDescent="0.4">
      <c r="E98" s="37"/>
      <c r="F98" s="37"/>
      <c r="G98" s="37"/>
      <c r="H98" s="37"/>
      <c r="I98" s="37"/>
      <c r="J98" s="37"/>
      <c r="M98" s="37"/>
      <c r="N98" s="37"/>
      <c r="O98" s="37"/>
      <c r="P98" s="37"/>
      <c r="Q98" s="37"/>
      <c r="R98" s="37"/>
      <c r="S98" s="37"/>
      <c r="T98" s="37"/>
      <c r="U98" s="37"/>
      <c r="V98" s="37"/>
      <c r="W98" s="37"/>
    </row>
    <row r="99" spans="5:23" s="36" customFormat="1" x14ac:dyDescent="0.4">
      <c r="E99" s="37"/>
      <c r="F99" s="37"/>
      <c r="G99" s="37"/>
      <c r="H99" s="37"/>
      <c r="I99" s="37"/>
      <c r="J99" s="37"/>
      <c r="M99" s="37"/>
      <c r="N99" s="37"/>
      <c r="O99" s="37"/>
      <c r="P99" s="37"/>
      <c r="Q99" s="37"/>
      <c r="R99" s="37"/>
      <c r="S99" s="37"/>
      <c r="T99" s="37"/>
      <c r="U99" s="37"/>
      <c r="V99" s="37"/>
      <c r="W99" s="37"/>
    </row>
    <row r="100" spans="5:23" s="36" customFormat="1" x14ac:dyDescent="0.4">
      <c r="E100" s="37"/>
      <c r="F100" s="37"/>
      <c r="G100" s="37"/>
      <c r="H100" s="37"/>
      <c r="I100" s="37"/>
      <c r="J100" s="37"/>
      <c r="M100" s="37"/>
      <c r="N100" s="37"/>
      <c r="O100" s="37"/>
      <c r="P100" s="37"/>
      <c r="Q100" s="37"/>
      <c r="R100" s="37"/>
      <c r="S100" s="37"/>
      <c r="T100" s="37"/>
      <c r="U100" s="37"/>
      <c r="V100" s="37"/>
      <c r="W100" s="37"/>
    </row>
    <row r="101" spans="5:23" s="36" customFormat="1" x14ac:dyDescent="0.4">
      <c r="E101" s="37"/>
      <c r="F101" s="37"/>
      <c r="G101" s="37"/>
      <c r="H101" s="37"/>
      <c r="I101" s="37"/>
      <c r="J101" s="37"/>
      <c r="M101" s="37"/>
      <c r="N101" s="37"/>
      <c r="O101" s="37"/>
      <c r="P101" s="37"/>
      <c r="Q101" s="37"/>
      <c r="R101" s="37"/>
      <c r="S101" s="37"/>
      <c r="T101" s="37"/>
      <c r="U101" s="37"/>
      <c r="V101" s="37"/>
      <c r="W101" s="37"/>
    </row>
    <row r="102" spans="5:23" s="36" customFormat="1" x14ac:dyDescent="0.4">
      <c r="E102" s="37"/>
      <c r="F102" s="37"/>
      <c r="G102" s="37"/>
      <c r="H102" s="37"/>
      <c r="I102" s="37"/>
      <c r="J102" s="37"/>
      <c r="M102" s="37"/>
      <c r="N102" s="37"/>
      <c r="O102" s="37"/>
      <c r="P102" s="37"/>
      <c r="Q102" s="37"/>
      <c r="R102" s="37"/>
      <c r="S102" s="37"/>
      <c r="T102" s="37"/>
      <c r="U102" s="37"/>
      <c r="V102" s="37"/>
      <c r="W102" s="37"/>
    </row>
    <row r="103" spans="5:23" s="36" customFormat="1" x14ac:dyDescent="0.4">
      <c r="E103" s="37"/>
      <c r="F103" s="37"/>
      <c r="G103" s="37"/>
      <c r="H103" s="37"/>
      <c r="I103" s="37"/>
      <c r="J103" s="37"/>
      <c r="M103" s="37"/>
      <c r="N103" s="37"/>
      <c r="O103" s="37"/>
      <c r="P103" s="37"/>
      <c r="Q103" s="37"/>
      <c r="R103" s="37"/>
      <c r="S103" s="37"/>
      <c r="T103" s="37"/>
      <c r="U103" s="37"/>
      <c r="V103" s="37"/>
      <c r="W103" s="37"/>
    </row>
    <row r="104" spans="5:23" s="36" customFormat="1" x14ac:dyDescent="0.4">
      <c r="E104" s="37"/>
      <c r="F104" s="37"/>
      <c r="G104" s="37"/>
      <c r="H104" s="37"/>
      <c r="I104" s="37"/>
      <c r="J104" s="37"/>
      <c r="M104" s="37"/>
      <c r="N104" s="37"/>
      <c r="O104" s="37"/>
      <c r="P104" s="37"/>
      <c r="Q104" s="37"/>
      <c r="R104" s="37"/>
      <c r="S104" s="37"/>
      <c r="T104" s="37"/>
      <c r="U104" s="37"/>
      <c r="V104" s="37"/>
      <c r="W104" s="37"/>
    </row>
    <row r="105" spans="5:23" s="36" customFormat="1" x14ac:dyDescent="0.4">
      <c r="E105" s="37"/>
      <c r="F105" s="37"/>
      <c r="G105" s="37"/>
      <c r="H105" s="37"/>
      <c r="I105" s="37"/>
      <c r="J105" s="37"/>
      <c r="M105" s="37"/>
      <c r="N105" s="37"/>
      <c r="O105" s="37"/>
      <c r="P105" s="37"/>
      <c r="Q105" s="37"/>
      <c r="R105" s="37"/>
      <c r="S105" s="37"/>
      <c r="T105" s="37"/>
      <c r="U105" s="37"/>
      <c r="V105" s="37"/>
      <c r="W105" s="37"/>
    </row>
    <row r="106" spans="5:23" s="36" customFormat="1" x14ac:dyDescent="0.4">
      <c r="E106" s="37"/>
      <c r="F106" s="37"/>
      <c r="G106" s="37"/>
      <c r="H106" s="37"/>
      <c r="I106" s="37"/>
      <c r="J106" s="37"/>
      <c r="M106" s="37"/>
      <c r="N106" s="37"/>
      <c r="O106" s="37"/>
      <c r="P106" s="37"/>
      <c r="Q106" s="37"/>
      <c r="R106" s="37"/>
      <c r="S106" s="37"/>
      <c r="T106" s="37"/>
      <c r="U106" s="37"/>
      <c r="V106" s="37"/>
      <c r="W106" s="37"/>
    </row>
    <row r="107" spans="5:23" s="36" customFormat="1" x14ac:dyDescent="0.4">
      <c r="E107" s="37"/>
      <c r="F107" s="37"/>
      <c r="G107" s="37"/>
      <c r="H107" s="37"/>
      <c r="I107" s="37"/>
      <c r="J107" s="37"/>
      <c r="M107" s="37"/>
      <c r="N107" s="37"/>
      <c r="O107" s="37"/>
      <c r="P107" s="37"/>
      <c r="Q107" s="37"/>
      <c r="R107" s="37"/>
      <c r="S107" s="37"/>
      <c r="T107" s="37"/>
      <c r="U107" s="37"/>
      <c r="V107" s="37"/>
      <c r="W107" s="37"/>
    </row>
    <row r="108" spans="5:23" s="36" customFormat="1" x14ac:dyDescent="0.4">
      <c r="E108" s="37"/>
      <c r="F108" s="37"/>
      <c r="G108" s="37"/>
      <c r="H108" s="37"/>
      <c r="I108" s="37"/>
      <c r="J108" s="37"/>
      <c r="M108" s="37"/>
      <c r="N108" s="37"/>
      <c r="O108" s="37"/>
      <c r="P108" s="37"/>
      <c r="Q108" s="37"/>
      <c r="R108" s="37"/>
      <c r="S108" s="37"/>
      <c r="T108" s="37"/>
      <c r="U108" s="37"/>
      <c r="V108" s="37"/>
      <c r="W108" s="37"/>
    </row>
    <row r="109" spans="5:23" s="36" customFormat="1" x14ac:dyDescent="0.4">
      <c r="E109" s="37"/>
      <c r="F109" s="37"/>
      <c r="G109" s="37"/>
      <c r="H109" s="37"/>
      <c r="I109" s="37"/>
      <c r="J109" s="37"/>
      <c r="M109" s="37"/>
      <c r="N109" s="37"/>
      <c r="O109" s="37"/>
      <c r="P109" s="37"/>
      <c r="Q109" s="37"/>
      <c r="R109" s="37"/>
      <c r="S109" s="37"/>
      <c r="T109" s="37"/>
      <c r="U109" s="37"/>
      <c r="V109" s="37"/>
      <c r="W109" s="37"/>
    </row>
  </sheetData>
  <hyperlinks>
    <hyperlink ref="B41" location="Projects!$A$1" tooltip="Unhide to Jump to Projects" display="Projects"/>
    <hyperlink ref="B42" location="DB_Projs!$A$1" tooltip="Unhide to Jump to DB_Projs" display="DB_Projs"/>
    <hyperlink ref="B43" location="PersInst!$A$1" tooltip="Unhide to Jump to PersInst" display="PersInst"/>
    <hyperlink ref="B44" location="DB_PersInst!$A$1" tooltip="Unhide to Jump to DB_PersInst" display="DB_PersInst"/>
    <hyperlink ref="B45" location="Proposals!$A$1" tooltip="Unhide to Jump to Proposals" display="Proposals"/>
    <hyperlink ref="B46" location="DB_Props!$A$1" tooltip="Unhide to Jump to DB_Props" display="DB_Props"/>
    <hyperlink ref="B47" location="Panels!$A$1" tooltip="Unhide to jump to Panels" display="Panels"/>
    <hyperlink ref="B48" location="PropsOnPanls!$A$1" tooltip="Check prop_stts" display="PropsOnPanls"/>
    <hyperlink ref="B49" location="ProjSumKey!$A$1" tooltip="Unhide to Jump to ProjSumKey" display="ProjSumKey"/>
    <hyperlink ref="B50" location="Orphans!$A$1" tooltip="Check prop_stts" display="Orphans"/>
    <hyperlink ref="B51" location="NewInst!$A$1" tooltip="A little slow; often none returned." display="NewInst"/>
    <hyperlink ref="B52" location="SubAwards!$A$1" tooltip="Unhide to jump to SubAwards" display="SubAwards"/>
    <hyperlink ref="B53" location="Transfers!$A$1" tooltip="Unhide to jump to Transfers" display="Transfers"/>
    <hyperlink ref="B54" location="SuggRevrs!$A$1" tooltip="Unhide to jump to SuggRevrs" display="SuggRevrs"/>
    <hyperlink ref="B55" location="Reviewers!$A$1" tooltip="Slow if retrieving statistics" display="Reviewers"/>
    <hyperlink ref="B56" location="Panelists!$A$1" tooltip="Copy panel ids to tab Panelists" display="Panelists"/>
    <hyperlink ref="B57" location="BulkCOI!$A$1" tooltip="Enter potential reviewers on tab BulkCOI" display="BulkCOI"/>
    <hyperlink ref="B58" location="Help!$A$1" tooltip="For more help" display="Help"/>
    <hyperlink ref="B59" location="Favorites!$A$1" tooltip="Can edit Favorites" display="Favorites"/>
    <hyperlink ref="B60" location="Settings!$A$1" tooltip="Update password on Settings" display="Settings"/>
  </hyperlinks>
  <pageMargins left="0.7" right="0.7" top="0.75" bottom="0.75" header="0.3" footer="0.3"/>
  <drawing r:id="rId1"/>
  <legacy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ettings">
    <tabColor theme="8" tint="-0.249977111117893"/>
  </sheetPr>
  <dimension ref="A1:G39"/>
  <sheetViews>
    <sheetView showGridLines="0" workbookViewId="0"/>
  </sheetViews>
  <sheetFormatPr defaultColWidth="8.69140625" defaultRowHeight="14.6" x14ac:dyDescent="0.4"/>
  <cols>
    <col min="1" max="1" width="19.3828125" style="36" customWidth="1"/>
    <col min="2" max="2" width="14.3046875" style="36" customWidth="1"/>
    <col min="3" max="3" width="12.3828125" style="36" customWidth="1"/>
    <col min="4" max="4" width="16.15234375" style="36" customWidth="1"/>
    <col min="5" max="5" width="15.69140625" style="37" customWidth="1"/>
    <col min="6" max="6" width="12.3828125" style="37" customWidth="1"/>
    <col min="7" max="7" width="27.69140625" style="37" customWidth="1"/>
    <col min="8" max="16384" width="8.69140625" style="36"/>
  </cols>
  <sheetData>
    <row r="1" spans="1:6" s="164" customFormat="1" ht="40" customHeight="1" x14ac:dyDescent="0.4">
      <c r="F1" s="165"/>
    </row>
    <row r="2" spans="1:6" s="164" customFormat="1" ht="16.5" customHeight="1" x14ac:dyDescent="0.4">
      <c r="A2" s="166"/>
      <c r="B2" s="167"/>
      <c r="C2" s="168"/>
      <c r="D2" s="165"/>
      <c r="E2" s="165"/>
    </row>
    <row r="3" spans="1:6" s="164" customFormat="1" ht="16.5" customHeight="1" x14ac:dyDescent="0.4">
      <c r="B3" s="169"/>
      <c r="C3" s="81"/>
      <c r="E3" s="165"/>
    </row>
    <row r="4" spans="1:6" s="164" customFormat="1" ht="16.5" customHeight="1" x14ac:dyDescent="0.4">
      <c r="B4" s="169"/>
      <c r="C4" s="170"/>
    </row>
    <row r="5" spans="1:6" ht="16.5" customHeight="1" x14ac:dyDescent="0.4"/>
    <row r="6" spans="1:6" ht="16.5" customHeight="1" x14ac:dyDescent="0.4">
      <c r="B6" s="35" t="s">
        <v>151</v>
      </c>
    </row>
    <row r="7" spans="1:6" x14ac:dyDescent="0.4">
      <c r="B7" s="35" t="s">
        <v>153</v>
      </c>
    </row>
    <row r="8" spans="1:6" x14ac:dyDescent="0.4">
      <c r="B8" s="36" t="s">
        <v>33</v>
      </c>
      <c r="C8" s="38" t="s">
        <v>346</v>
      </c>
      <c r="D8" s="36" t="s">
        <v>34</v>
      </c>
      <c r="E8" s="39"/>
    </row>
    <row r="10" spans="1:6" x14ac:dyDescent="0.4">
      <c r="B10" s="35" t="s">
        <v>154</v>
      </c>
    </row>
    <row r="11" spans="1:6" x14ac:dyDescent="0.4">
      <c r="B11" s="37" t="s">
        <v>37</v>
      </c>
    </row>
    <row r="12" spans="1:6" x14ac:dyDescent="0.4">
      <c r="B12" s="37" t="s">
        <v>38</v>
      </c>
    </row>
    <row r="13" spans="1:6" x14ac:dyDescent="0.4">
      <c r="B13" s="37" t="s">
        <v>39</v>
      </c>
    </row>
    <row r="14" spans="1:6" x14ac:dyDescent="0.4">
      <c r="B14" s="37" t="s">
        <v>40</v>
      </c>
    </row>
    <row r="15" spans="1:6" x14ac:dyDescent="0.4">
      <c r="B15" s="37" t="s">
        <v>41</v>
      </c>
    </row>
    <row r="16" spans="1:6" x14ac:dyDescent="0.4">
      <c r="B16" s="37" t="s">
        <v>42</v>
      </c>
    </row>
    <row r="17" spans="2:2" x14ac:dyDescent="0.4">
      <c r="B17" s="37" t="s">
        <v>36</v>
      </c>
    </row>
    <row r="18" spans="2:2" x14ac:dyDescent="0.4">
      <c r="B18" s="37" t="s">
        <v>43</v>
      </c>
    </row>
    <row r="19" spans="2:2" x14ac:dyDescent="0.4">
      <c r="B19" s="37" t="s">
        <v>44</v>
      </c>
    </row>
    <row r="20" spans="2:2" x14ac:dyDescent="0.4">
      <c r="B20" s="37" t="s">
        <v>45</v>
      </c>
    </row>
    <row r="21" spans="2:2" x14ac:dyDescent="0.4">
      <c r="B21" s="37" t="s">
        <v>46</v>
      </c>
    </row>
    <row r="22" spans="2:2" x14ac:dyDescent="0.4">
      <c r="B22" s="37" t="s">
        <v>47</v>
      </c>
    </row>
    <row r="23" spans="2:2" x14ac:dyDescent="0.4">
      <c r="B23" s="37" t="s">
        <v>48</v>
      </c>
    </row>
    <row r="24" spans="2:2" x14ac:dyDescent="0.4">
      <c r="B24" s="37" t="s">
        <v>35</v>
      </c>
    </row>
    <row r="25" spans="2:2" x14ac:dyDescent="0.4">
      <c r="B25" s="37" t="s">
        <v>49</v>
      </c>
    </row>
    <row r="26" spans="2:2" x14ac:dyDescent="0.4">
      <c r="B26" s="37" t="s">
        <v>50</v>
      </c>
    </row>
    <row r="27" spans="2:2" x14ac:dyDescent="0.4">
      <c r="B27" s="37" t="s">
        <v>51</v>
      </c>
    </row>
    <row r="28" spans="2:2" x14ac:dyDescent="0.4">
      <c r="B28" s="37" t="s">
        <v>52</v>
      </c>
    </row>
    <row r="29" spans="2:2" x14ac:dyDescent="0.4">
      <c r="B29" s="37" t="s">
        <v>53</v>
      </c>
    </row>
    <row r="30" spans="2:2" x14ac:dyDescent="0.4">
      <c r="B30" s="37" t="s">
        <v>54</v>
      </c>
    </row>
    <row r="31" spans="2:2" x14ac:dyDescent="0.4">
      <c r="B31" s="37" t="s">
        <v>55</v>
      </c>
    </row>
    <row r="32" spans="2:2" x14ac:dyDescent="0.4">
      <c r="B32" s="37" t="s">
        <v>56</v>
      </c>
    </row>
    <row r="33" spans="2:2" x14ac:dyDescent="0.4">
      <c r="B33" s="37" t="s">
        <v>57</v>
      </c>
    </row>
    <row r="34" spans="2:2" x14ac:dyDescent="0.4">
      <c r="B34" s="37" t="s">
        <v>58</v>
      </c>
    </row>
    <row r="35" spans="2:2" x14ac:dyDescent="0.4">
      <c r="B35" s="37" t="s">
        <v>59</v>
      </c>
    </row>
    <row r="36" spans="2:2" x14ac:dyDescent="0.4">
      <c r="B36" s="37" t="s">
        <v>60</v>
      </c>
    </row>
    <row r="37" spans="2:2" x14ac:dyDescent="0.4">
      <c r="B37" s="37" t="s">
        <v>61</v>
      </c>
    </row>
    <row r="38" spans="2:2" x14ac:dyDescent="0.4">
      <c r="B38" s="37" t="s">
        <v>62</v>
      </c>
    </row>
    <row r="39" spans="2:2" x14ac:dyDescent="0.4">
      <c r="B39" s="37" t="s">
        <v>63</v>
      </c>
    </row>
  </sheetData>
  <sheetProtection algorithmName="SHA-512" hashValue="vx25kkZ5+21Kay2xrtm4+l+XNRdTlSWTNrK/MXhg7fPxqSsy2AUuVBTvTvM6ipHNktwpX4sou4xVo+ORw1cyGA==" saltValue="nFGBUSPS6B04SexUmkgcHQ==" spinCount="100000" sheet="1" objects="1" scenarios="1"/>
  <pageMargins left="0.7" right="0.7" top="0.75" bottom="0.75" header="0.3" footer="0.3"/>
  <pageSetup orientation="portrait" horizontalDpi="0"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1C22011AE94304C93A0CE7507DD2FF2" ma:contentTypeVersion="0" ma:contentTypeDescription="Create a new document." ma:contentTypeScope="" ma:versionID="12353f9912a80d346bb55c058c1c9f4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7E5B8C-7FB3-4583-9C60-2A9B42BE1ACB}">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BF993A34-7414-4950-AE31-67B7B4E9F8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BCFE07CB-5C0E-4F64-A287-E9CCCB8B1AA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70</vt:i4>
      </vt:variant>
    </vt:vector>
  </HeadingPairs>
  <TitlesOfParts>
    <vt:vector size="91" baseType="lpstr">
      <vt:lpstr>Input</vt:lpstr>
      <vt:lpstr>Projects</vt:lpstr>
      <vt:lpstr>DB_Projs</vt:lpstr>
      <vt:lpstr>PersInst</vt:lpstr>
      <vt:lpstr>DB_PersInst</vt:lpstr>
      <vt:lpstr>Proposals</vt:lpstr>
      <vt:lpstr>DB_Props</vt:lpstr>
      <vt:lpstr>Panels</vt:lpstr>
      <vt:lpstr>PropsOnPanls</vt:lpstr>
      <vt:lpstr>ProjSumKey</vt:lpstr>
      <vt:lpstr>Orphans</vt:lpstr>
      <vt:lpstr>NewInst</vt:lpstr>
      <vt:lpstr>SubAwards</vt:lpstr>
      <vt:lpstr>Transfers</vt:lpstr>
      <vt:lpstr>SuggRevrs</vt:lpstr>
      <vt:lpstr>Reviewers</vt:lpstr>
      <vt:lpstr>Panelists</vt:lpstr>
      <vt:lpstr>BulkCOI</vt:lpstr>
      <vt:lpstr>Help</vt:lpstr>
      <vt:lpstr>Favorites</vt:lpstr>
      <vt:lpstr>Settings</vt:lpstr>
      <vt:lpstr>add_prop_ids</vt:lpstr>
      <vt:lpstr>DB_Projs!DBPBack1</vt:lpstr>
      <vt:lpstr>DB_Projs!DBPBack2</vt:lpstr>
      <vt:lpstr>DB_Projs!DBPBack3</vt:lpstr>
      <vt:lpstr>DB_PersInst!DBPIBack1</vt:lpstr>
      <vt:lpstr>DB_Props!DBPIBack1</vt:lpstr>
      <vt:lpstr>DB_Props!DBPIStop1</vt:lpstr>
      <vt:lpstr>DBPIStop1</vt:lpstr>
      <vt:lpstr>DB_Projs!DBPStop2</vt:lpstr>
      <vt:lpstr>DB_Projs!DBPStop3</vt:lpstr>
      <vt:lpstr>dd_from_date</vt:lpstr>
      <vt:lpstr>dd_to_date</vt:lpstr>
      <vt:lpstr>dir_div_abbr</vt:lpstr>
      <vt:lpstr>from_date</vt:lpstr>
      <vt:lpstr>inst_id</vt:lpstr>
      <vt:lpstr>natr_rqst_abbr</vt:lpstr>
      <vt:lpstr>obj_clas_code</vt:lpstr>
      <vt:lpstr>omit_prop_ids</vt:lpstr>
      <vt:lpstr>org_code</vt:lpstr>
      <vt:lpstr>Panelists!panels_since_date</vt:lpstr>
      <vt:lpstr>panl_id</vt:lpstr>
      <vt:lpstr>Input!parameters</vt:lpstr>
      <vt:lpstr>pgm_annc_id</vt:lpstr>
      <vt:lpstr>pgm_ele_code</vt:lpstr>
      <vt:lpstr>pi_id</vt:lpstr>
      <vt:lpstr>pm_ibm_logn_id</vt:lpstr>
      <vt:lpstr>prop_atr_code</vt:lpstr>
      <vt:lpstr>prop_stts_abbr</vt:lpstr>
      <vt:lpstr>prop_titl_txt</vt:lpstr>
      <vt:lpstr>Reviewers!reviews_since_date</vt:lpstr>
      <vt:lpstr>routing.CODE</vt:lpstr>
      <vt:lpstr>Settings!rpt_pwd</vt:lpstr>
      <vt:lpstr>BulkCOI!run_datetime</vt:lpstr>
      <vt:lpstr>DB_PersInst!run_datetime</vt:lpstr>
      <vt:lpstr>DB_Projs!run_datetime</vt:lpstr>
      <vt:lpstr>DB_Props!run_datetime</vt:lpstr>
      <vt:lpstr>NewInst!run_datetime</vt:lpstr>
      <vt:lpstr>Orphans!run_datetime</vt:lpstr>
      <vt:lpstr>Panelists!run_datetime</vt:lpstr>
      <vt:lpstr>Panels!run_datetime</vt:lpstr>
      <vt:lpstr>PersInst!run_datetime</vt:lpstr>
      <vt:lpstr>Projects!run_datetime</vt:lpstr>
      <vt:lpstr>ProjSumKey!run_datetime</vt:lpstr>
      <vt:lpstr>Proposals!run_datetime</vt:lpstr>
      <vt:lpstr>PropsOnPanls!run_datetime</vt:lpstr>
      <vt:lpstr>Reviewers!run_datetime</vt:lpstr>
      <vt:lpstr>SubAwards!run_datetime</vt:lpstr>
      <vt:lpstr>SuggRevrs!run_datetime</vt:lpstr>
      <vt:lpstr>Transfers!run_datetime</vt:lpstr>
      <vt:lpstr>BulkCOI!run_nrows</vt:lpstr>
      <vt:lpstr>NewInst!run_nrows</vt:lpstr>
      <vt:lpstr>Orphans!run_nrows</vt:lpstr>
      <vt:lpstr>Panelists!run_nrows</vt:lpstr>
      <vt:lpstr>Panels!run_nrows</vt:lpstr>
      <vt:lpstr>PersInst!run_nrows</vt:lpstr>
      <vt:lpstr>Projects!run_nrows</vt:lpstr>
      <vt:lpstr>ProjSumKey!run_nrows</vt:lpstr>
      <vt:lpstr>Proposals!run_nrows</vt:lpstr>
      <vt:lpstr>PropsOnPanls!run_nrows</vt:lpstr>
      <vt:lpstr>Reviewers!run_nrows</vt:lpstr>
      <vt:lpstr>SubAwards!run_nrows</vt:lpstr>
      <vt:lpstr>SuggRevrs!run_nrows</vt:lpstr>
      <vt:lpstr>Transfers!run_nrows</vt:lpstr>
      <vt:lpstr>ProjSumKey!SearchText</vt:lpstr>
      <vt:lpstr>Help!SectionA</vt:lpstr>
      <vt:lpstr>Help!SectionB</vt:lpstr>
      <vt:lpstr>Help!SectionC</vt:lpstr>
      <vt:lpstr>Help!SectionD</vt:lpstr>
      <vt:lpstr>to_date</vt:lpstr>
      <vt:lpstr>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dcterms:created xsi:type="dcterms:W3CDTF">2016-06-15T10:08:06Z</dcterms:created>
  <dcterms:modified xsi:type="dcterms:W3CDTF">2017-11-18T12:19:38Z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tr_code" linkTarget="prop_atr_code">
    <vt:lpwstr>eg: 9150</vt:lpwstr>
  </property>
  <property fmtid="{D5CDD505-2E9C-101B-9397-08002B2CF9AE}" pid="3" name="stts_abbr" linkTarget="prop_stts_abbr">
    <vt:lpwstr>eg: ~WTH,RTNR or PEND,DECL,RCOM,AWD </vt:lpwstr>
  </property>
  <property fmtid="{D5CDD505-2E9C-101B-9397-08002B2CF9AE}" pid="4" name="titl_txt" linkTarget="prop_titl_txt">
    <vt:lpwstr>eg: %Medium%</vt:lpwstr>
  </property>
  <property fmtid="{D5CDD505-2E9C-101B-9397-08002B2CF9AE}" pid="5" name="ContentTypeId">
    <vt:lpwstr>0x01010041C22011AE94304C93A0CE7507DD2FF2</vt:lpwstr>
  </property>
  <property fmtid="{D5CDD505-2E9C-101B-9397-08002B2CF9AE}" pid="6" name="SV_QUERY_LIST_4F35BF76-6C0D-4D9B-82B2-816C12CF3733">
    <vt:lpwstr>empty_477D106A-C0D6-4607-AEBD-E2C9D60EA279</vt:lpwstr>
  </property>
</Properties>
</file>