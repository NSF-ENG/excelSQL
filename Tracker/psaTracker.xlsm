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3" windowHeight="3403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 concurrentCalc="0"/>
  <pivotCaches>
    <pivotCache cacheId="2" r:id="rId5"/>
    <pivotCache cacheId="3" r:id="rId6"/>
    <pivotCache cacheId="4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/>
  <c r="E9" i="24"/>
  <c r="E11" i="24"/>
  <c r="E8" i="24"/>
  <c r="E4" i="24"/>
  <c r="E7" i="24"/>
  <c r="E6" i="24"/>
  <c r="E5" i="24"/>
  <c r="E3" i="24"/>
  <c r="A2" i="23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/>
  <c r="AT4" i="25"/>
  <c r="AT5" i="25"/>
  <c r="AT6" i="25"/>
  <c r="AT7" i="25"/>
  <c r="AT8" i="25"/>
  <c r="AT9" i="25"/>
  <c r="AT10" i="25"/>
  <c r="AT11" i="25"/>
  <c r="AT12" i="25"/>
  <c r="AT13" i="25"/>
  <c r="AT14" i="25"/>
  <c r="AT15" i="25"/>
  <c r="AT16" i="25"/>
  <c r="AT17" i="25"/>
  <c r="AT18" i="25"/>
  <c r="AT19" i="25"/>
  <c r="AT20" i="25"/>
  <c r="AT21" i="25"/>
  <c r="AT22" i="25"/>
  <c r="AT23" i="25"/>
  <c r="AT24" i="25"/>
  <c r="AT25" i="25"/>
  <c r="AT26" i="25"/>
  <c r="AT27" i="25"/>
  <c r="AT28" i="25"/>
  <c r="AT29" i="25"/>
  <c r="AT30" i="25"/>
  <c r="AT31" i="25"/>
  <c r="AT32" i="25"/>
  <c r="AT33" i="25"/>
  <c r="AT34" i="25"/>
  <c r="AT35" i="25"/>
  <c r="AT36" i="25"/>
  <c r="AT37" i="25"/>
  <c r="AT38" i="25"/>
  <c r="AT39" i="25"/>
  <c r="AT40" i="25"/>
  <c r="AT41" i="25"/>
  <c r="AT42" i="25"/>
  <c r="AT43" i="25"/>
  <c r="AT44" i="25"/>
  <c r="AT45" i="25"/>
  <c r="AT46" i="25"/>
  <c r="AT47" i="25"/>
  <c r="AT48" i="25"/>
  <c r="AT49" i="25"/>
  <c r="AT50" i="25"/>
  <c r="AT51" i="25"/>
  <c r="AT52" i="25"/>
  <c r="AT53" i="25"/>
  <c r="AT54" i="25"/>
  <c r="AT55" i="25"/>
  <c r="AT56" i="25"/>
  <c r="AT57" i="25"/>
  <c r="AT58" i="25"/>
  <c r="AT59" i="25"/>
  <c r="AT60" i="25"/>
  <c r="AT61" i="25"/>
  <c r="AT62" i="25"/>
  <c r="AT63" i="25"/>
  <c r="AT64" i="25"/>
  <c r="AT65" i="25"/>
  <c r="AT66" i="25"/>
  <c r="AT67" i="25"/>
  <c r="AT68" i="25"/>
  <c r="AT69" i="25"/>
  <c r="AT70" i="25"/>
  <c r="AT71" i="25"/>
  <c r="AT72" i="25"/>
  <c r="AT73" i="25"/>
  <c r="AT74" i="25"/>
  <c r="AT75" i="25"/>
  <c r="AT76" i="25"/>
  <c r="AT77" i="25"/>
  <c r="AT78" i="25"/>
  <c r="AT79" i="25"/>
  <c r="AT80" i="25"/>
  <c r="AT81" i="25"/>
  <c r="AT82" i="25"/>
  <c r="AT83" i="25"/>
  <c r="AT84" i="25"/>
  <c r="AT85" i="25"/>
  <c r="AT86" i="25"/>
  <c r="AT87" i="25"/>
  <c r="AT88" i="25"/>
  <c r="AT89" i="25"/>
  <c r="AT90" i="25"/>
  <c r="AT91" i="25"/>
  <c r="AT92" i="25"/>
  <c r="AT93" i="25"/>
  <c r="AT94" i="25"/>
  <c r="AT95" i="25"/>
  <c r="AT96" i="25"/>
  <c r="AT97" i="25"/>
  <c r="AT98" i="25"/>
  <c r="AT99" i="25"/>
  <c r="AT100" i="25"/>
  <c r="AT101" i="25"/>
  <c r="AT102" i="25"/>
  <c r="AT103" i="25"/>
  <c r="AT104" i="25"/>
  <c r="AT105" i="25"/>
  <c r="AT106" i="25"/>
  <c r="AT107" i="25"/>
  <c r="AT108" i="25"/>
  <c r="AT109" i="25"/>
  <c r="AT110" i="25"/>
  <c r="AT111" i="25"/>
  <c r="AT112" i="25"/>
  <c r="AT113" i="25"/>
  <c r="AT114" i="25"/>
  <c r="AT115" i="25"/>
  <c r="AT116" i="25"/>
  <c r="AT117" i="25"/>
  <c r="AT118" i="25"/>
  <c r="AT119" i="25"/>
  <c r="AT120" i="25"/>
  <c r="AT121" i="25"/>
  <c r="AT122" i="25"/>
  <c r="AT123" i="25"/>
  <c r="AT124" i="25"/>
  <c r="AT125" i="25"/>
  <c r="AT126" i="25"/>
  <c r="AT127" i="25"/>
  <c r="AT128" i="25"/>
  <c r="AT129" i="25"/>
  <c r="AT130" i="25"/>
  <c r="AT131" i="25"/>
  <c r="AT132" i="25"/>
  <c r="AT133" i="25"/>
  <c r="AT134" i="25"/>
  <c r="AT135" i="25"/>
  <c r="AT136" i="25"/>
  <c r="AT137" i="25"/>
  <c r="AT138" i="25"/>
  <c r="AT139" i="25"/>
  <c r="AT140" i="25"/>
  <c r="AT141" i="25"/>
  <c r="AT142" i="25"/>
  <c r="AT143" i="25"/>
  <c r="AT144" i="25"/>
  <c r="AT145" i="25"/>
  <c r="AT146" i="25"/>
  <c r="AT147" i="25"/>
  <c r="AT148" i="25"/>
  <c r="AT149" i="25"/>
  <c r="AT150" i="25"/>
  <c r="AT151" i="25"/>
  <c r="AT152" i="25"/>
  <c r="AT153" i="25"/>
  <c r="AT154" i="25"/>
  <c r="AT155" i="25"/>
  <c r="AT156" i="25"/>
  <c r="AT157" i="25"/>
  <c r="AT158" i="25"/>
  <c r="AT159" i="25"/>
  <c r="AT160" i="25"/>
  <c r="AT161" i="25"/>
  <c r="AT162" i="25"/>
  <c r="AT163" i="25"/>
  <c r="AT164" i="25"/>
  <c r="AT165" i="25"/>
  <c r="AT166" i="25"/>
  <c r="AT167" i="25"/>
  <c r="AT168" i="25"/>
  <c r="AT169" i="25"/>
  <c r="AT170" i="25"/>
  <c r="AT171" i="25"/>
  <c r="AT172" i="25"/>
  <c r="AT173" i="25"/>
  <c r="AT174" i="25"/>
  <c r="AT175" i="25"/>
  <c r="AT176" i="25"/>
  <c r="AT177" i="25"/>
  <c r="AT178" i="25"/>
  <c r="AT179" i="25"/>
  <c r="AT180" i="25"/>
  <c r="AT181" i="25"/>
  <c r="AT182" i="25"/>
  <c r="AT183" i="25"/>
  <c r="AT184" i="25"/>
  <c r="AT185" i="25"/>
  <c r="AT186" i="25"/>
  <c r="AT187" i="25"/>
  <c r="AT188" i="25"/>
  <c r="AT189" i="25"/>
  <c r="AT190" i="25"/>
  <c r="AT191" i="25"/>
  <c r="AT192" i="25"/>
  <c r="AT193" i="25"/>
  <c r="AT194" i="25"/>
  <c r="AT195" i="25"/>
  <c r="AT196" i="25"/>
  <c r="AT197" i="25"/>
  <c r="AT198" i="25"/>
  <c r="AT199" i="25"/>
  <c r="AT200" i="25"/>
  <c r="AT201" i="25"/>
  <c r="AT202" i="25"/>
  <c r="AT203" i="25"/>
  <c r="AT204" i="25"/>
  <c r="AT205" i="25"/>
  <c r="AT206" i="25"/>
  <c r="AT207" i="25"/>
  <c r="AT208" i="25"/>
  <c r="AT209" i="25"/>
  <c r="AT210" i="25"/>
  <c r="AT211" i="25"/>
  <c r="AT212" i="25"/>
  <c r="AT213" i="25"/>
  <c r="AT214" i="25"/>
  <c r="AT215" i="25"/>
  <c r="AT216" i="25"/>
  <c r="AT217" i="25"/>
  <c r="AT218" i="25"/>
  <c r="AT219" i="25"/>
  <c r="AT220" i="25"/>
  <c r="AT221" i="25"/>
  <c r="AT222" i="25"/>
  <c r="AT223" i="25"/>
  <c r="AT224" i="25"/>
  <c r="AT225" i="25"/>
  <c r="AT226" i="25"/>
  <c r="AT227" i="25"/>
  <c r="AT228" i="25"/>
  <c r="AT229" i="25"/>
  <c r="AT230" i="25"/>
  <c r="AT231" i="25"/>
  <c r="AT232" i="25"/>
  <c r="AT233" i="25"/>
  <c r="AT234" i="25"/>
  <c r="AT235" i="25"/>
  <c r="AT236" i="25"/>
  <c r="AT237" i="25"/>
  <c r="AT238" i="25"/>
  <c r="AT239" i="25"/>
  <c r="AT240" i="25"/>
  <c r="AT241" i="25"/>
  <c r="AT242" i="25"/>
  <c r="AT243" i="25"/>
  <c r="AT244" i="25"/>
  <c r="AT245" i="25"/>
  <c r="AT246" i="25"/>
  <c r="AT247" i="25"/>
  <c r="AT248" i="25"/>
  <c r="AT249" i="25"/>
  <c r="AT250" i="25"/>
  <c r="AT251" i="25"/>
  <c r="AT252" i="25"/>
  <c r="AT253" i="25"/>
  <c r="AT254" i="25"/>
  <c r="AT255" i="25"/>
  <c r="AT256" i="25"/>
  <c r="AT257" i="25"/>
  <c r="AT258" i="25"/>
  <c r="AT259" i="25"/>
  <c r="AT260" i="25"/>
  <c r="AT261" i="25"/>
  <c r="AT262" i="25"/>
  <c r="AT263" i="25"/>
  <c r="AT264" i="25"/>
  <c r="AT265" i="25"/>
  <c r="AT266" i="25"/>
  <c r="AT267" i="25"/>
  <c r="AT268" i="25"/>
  <c r="AT269" i="25"/>
  <c r="AT270" i="25"/>
  <c r="AT271" i="25"/>
  <c r="AT272" i="25"/>
  <c r="AT273" i="25"/>
  <c r="AT274" i="25"/>
  <c r="AT275" i="25"/>
  <c r="AT276" i="25"/>
  <c r="AT277" i="25"/>
  <c r="AT278" i="25"/>
  <c r="AT279" i="25"/>
  <c r="AT280" i="25"/>
  <c r="AT281" i="25"/>
  <c r="AT282" i="25"/>
  <c r="AT283" i="25"/>
  <c r="AT284" i="25"/>
  <c r="AT285" i="25"/>
  <c r="AT286" i="25"/>
  <c r="AT287" i="25"/>
  <c r="AT288" i="25"/>
  <c r="AT289" i="25"/>
  <c r="AT290" i="25"/>
  <c r="AT291" i="25"/>
  <c r="AT292" i="25"/>
  <c r="AT293" i="25"/>
  <c r="AT294" i="25"/>
  <c r="AT295" i="25"/>
  <c r="AT296" i="25"/>
  <c r="AT297" i="25"/>
  <c r="AT298" i="25"/>
  <c r="AT299" i="25"/>
  <c r="AT300" i="25"/>
  <c r="AT301" i="25"/>
  <c r="AT302" i="25"/>
  <c r="AT303" i="25"/>
  <c r="AT304" i="25"/>
  <c r="AT305" i="25"/>
  <c r="AT306" i="25"/>
  <c r="AT307" i="25"/>
  <c r="AT308" i="25"/>
  <c r="AT309" i="25"/>
  <c r="AT310" i="25"/>
  <c r="AT311" i="25"/>
  <c r="AT312" i="25"/>
  <c r="AT313" i="25"/>
  <c r="AT314" i="25"/>
  <c r="AT315" i="25"/>
  <c r="AT316" i="25"/>
  <c r="AT317" i="25"/>
  <c r="AT318" i="25"/>
  <c r="AT319" i="25"/>
  <c r="AT320" i="25"/>
  <c r="AT321" i="25"/>
  <c r="AT322" i="25"/>
  <c r="AT323" i="25"/>
  <c r="AT324" i="25"/>
  <c r="AT325" i="25"/>
  <c r="AT326" i="25"/>
  <c r="AT327" i="25"/>
  <c r="AT328" i="25"/>
  <c r="AT329" i="25"/>
  <c r="AT330" i="25"/>
  <c r="AT331" i="25"/>
  <c r="AT332" i="25"/>
  <c r="AT333" i="25"/>
  <c r="AT334" i="25"/>
  <c r="AT335" i="25"/>
  <c r="AT336" i="25"/>
  <c r="AT337" i="25"/>
  <c r="AT338" i="25"/>
  <c r="AT339" i="25"/>
  <c r="AT340" i="25"/>
  <c r="AT341" i="25"/>
  <c r="AT342" i="25"/>
  <c r="AT343" i="25"/>
  <c r="AT344" i="25"/>
  <c r="AT345" i="25"/>
  <c r="AT346" i="25"/>
  <c r="AT347" i="25"/>
  <c r="AT348" i="25"/>
  <c r="AT349" i="25"/>
  <c r="AT350" i="25"/>
  <c r="AT351" i="25"/>
  <c r="AT352" i="25"/>
  <c r="AT353" i="25"/>
  <c r="AT354" i="25"/>
  <c r="AT355" i="25"/>
  <c r="AT356" i="25"/>
  <c r="AT357" i="25"/>
  <c r="AT358" i="25"/>
  <c r="AT359" i="25"/>
  <c r="AT360" i="25"/>
  <c r="AT361" i="25"/>
  <c r="AT362" i="25"/>
  <c r="AT363" i="25"/>
  <c r="AT364" i="25"/>
  <c r="AT365" i="25"/>
  <c r="AT366" i="25"/>
  <c r="AT367" i="25"/>
  <c r="AT368" i="25"/>
  <c r="AT369" i="25"/>
  <c r="AT370" i="25"/>
  <c r="AT371" i="25"/>
  <c r="AT372" i="25"/>
  <c r="AT373" i="25"/>
  <c r="AT374" i="25"/>
  <c r="AT375" i="25"/>
  <c r="AT376" i="25"/>
  <c r="AT377" i="25"/>
  <c r="AT378" i="25"/>
  <c r="AT379" i="25"/>
  <c r="AT380" i="25"/>
  <c r="AT381" i="25"/>
  <c r="AT382" i="25"/>
  <c r="AT383" i="25"/>
  <c r="AT384" i="25"/>
  <c r="AT385" i="25"/>
  <c r="AT386" i="25"/>
  <c r="AT387" i="25"/>
  <c r="AT388" i="25"/>
  <c r="AT389" i="25"/>
  <c r="AT390" i="25"/>
  <c r="AT391" i="25"/>
  <c r="AT392" i="25"/>
  <c r="AT393" i="25"/>
  <c r="AT394" i="25"/>
  <c r="AT395" i="25"/>
  <c r="AT396" i="25"/>
  <c r="AT397" i="25"/>
  <c r="AT398" i="25"/>
  <c r="AT399" i="25"/>
  <c r="AT400" i="25"/>
  <c r="AT401" i="25"/>
  <c r="AT402" i="25"/>
  <c r="AT403" i="25"/>
  <c r="AT404" i="25"/>
  <c r="AT405" i="25"/>
  <c r="AT406" i="25"/>
  <c r="AT407" i="25"/>
  <c r="AT408" i="25"/>
  <c r="AT409" i="25"/>
  <c r="AT410" i="25"/>
  <c r="AT411" i="25"/>
  <c r="AT412" i="25"/>
  <c r="AT413" i="25"/>
  <c r="AT414" i="25"/>
  <c r="AT415" i="25"/>
  <c r="AT416" i="25"/>
  <c r="AT417" i="25"/>
  <c r="AT418" i="25"/>
  <c r="AT419" i="25"/>
  <c r="AT420" i="25"/>
  <c r="AT421" i="25"/>
  <c r="AT422" i="25"/>
  <c r="AT423" i="25"/>
  <c r="AT424" i="25"/>
  <c r="AT425" i="25"/>
  <c r="AT426" i="25"/>
  <c r="AT427" i="25"/>
  <c r="AT428" i="25"/>
  <c r="AT429" i="25"/>
  <c r="AT430" i="25"/>
  <c r="AT431" i="25"/>
  <c r="AT432" i="25"/>
  <c r="AT433" i="25"/>
  <c r="AT434" i="25"/>
  <c r="AT435" i="25"/>
  <c r="AT436" i="25"/>
  <c r="AT437" i="25"/>
  <c r="AT438" i="25"/>
  <c r="AT439" i="25"/>
  <c r="AT440" i="25"/>
  <c r="AT441" i="25"/>
  <c r="AT442" i="25"/>
  <c r="AT443" i="25"/>
  <c r="AT444" i="25"/>
  <c r="AT445" i="25"/>
  <c r="AT446" i="25"/>
  <c r="AT447" i="25"/>
  <c r="AT448" i="25"/>
  <c r="AT449" i="25"/>
  <c r="AT450" i="25"/>
  <c r="AT451" i="25"/>
  <c r="AT452" i="25"/>
  <c r="AT453" i="25"/>
  <c r="AT454" i="25"/>
  <c r="AT455" i="25"/>
  <c r="AT456" i="25"/>
  <c r="AT457" i="25"/>
  <c r="AT458" i="25"/>
  <c r="AT459" i="25"/>
  <c r="AT460" i="25"/>
  <c r="AT461" i="25"/>
  <c r="AT462" i="25"/>
  <c r="AT463" i="25"/>
  <c r="AT464" i="25"/>
  <c r="AT465" i="25"/>
  <c r="AT466" i="25"/>
  <c r="AT467" i="25"/>
  <c r="AT468" i="25"/>
  <c r="AT469" i="25"/>
  <c r="AT470" i="25"/>
  <c r="AT471" i="25"/>
  <c r="AT472" i="25"/>
  <c r="AT473" i="25"/>
  <c r="AT474" i="25"/>
  <c r="AT475" i="25"/>
  <c r="AT476" i="25"/>
  <c r="AT477" i="25"/>
  <c r="AT478" i="25"/>
  <c r="AT479" i="25"/>
  <c r="AT480" i="25"/>
  <c r="AT481" i="25"/>
  <c r="AT482" i="25"/>
  <c r="AT483" i="25"/>
  <c r="AT484" i="25"/>
  <c r="AT485" i="25"/>
  <c r="AT486" i="25"/>
  <c r="AT487" i="25"/>
  <c r="AT488" i="25"/>
  <c r="AT489" i="25"/>
  <c r="AT490" i="25"/>
  <c r="AT491" i="25"/>
  <c r="AT492" i="25"/>
  <c r="AT493" i="25"/>
  <c r="AT494" i="25"/>
  <c r="AT495" i="25"/>
  <c r="AT496" i="25"/>
  <c r="AT497" i="25"/>
  <c r="AT498" i="25"/>
  <c r="AT499" i="25"/>
  <c r="AT500" i="25"/>
  <c r="AT501" i="25"/>
  <c r="AT502" i="25"/>
  <c r="AT503" i="25"/>
  <c r="AT504" i="25"/>
  <c r="AT505" i="25"/>
  <c r="AT506" i="25"/>
  <c r="AT507" i="25"/>
  <c r="AT508" i="25"/>
  <c r="AT509" i="25"/>
  <c r="AT510" i="25"/>
  <c r="AT511" i="25"/>
  <c r="AT512" i="25"/>
  <c r="AT513" i="25"/>
  <c r="AT514" i="25"/>
  <c r="AT515" i="25"/>
  <c r="AT516" i="25"/>
  <c r="AT517" i="25"/>
  <c r="AT518" i="25"/>
  <c r="AT519" i="25"/>
  <c r="AT520" i="25"/>
  <c r="AT521" i="25"/>
  <c r="AT522" i="25"/>
  <c r="AT523" i="25"/>
  <c r="AT524" i="25"/>
  <c r="AT525" i="25"/>
  <c r="AT526" i="25"/>
  <c r="AT527" i="25"/>
  <c r="AT528" i="25"/>
  <c r="AT529" i="25"/>
  <c r="AT530" i="25"/>
  <c r="AT531" i="25"/>
  <c r="AT532" i="25"/>
  <c r="AT533" i="25"/>
  <c r="AT534" i="25"/>
  <c r="AT535" i="25"/>
  <c r="AT536" i="25"/>
  <c r="AT537" i="25"/>
  <c r="AT538" i="25"/>
  <c r="AT539" i="25"/>
  <c r="AT540" i="25"/>
  <c r="AT541" i="25"/>
  <c r="AT542" i="25"/>
  <c r="AT543" i="25"/>
  <c r="AT544" i="25"/>
  <c r="AT545" i="25"/>
  <c r="AT546" i="25"/>
  <c r="AT547" i="25"/>
  <c r="AT548" i="25"/>
  <c r="AT549" i="25"/>
  <c r="AT550" i="25"/>
  <c r="AT551" i="25"/>
  <c r="AT552" i="25"/>
  <c r="AT553" i="25"/>
  <c r="AT554" i="25"/>
  <c r="AT555" i="25"/>
  <c r="AT556" i="25"/>
  <c r="AT557" i="25"/>
  <c r="AT558" i="25"/>
  <c r="AT559" i="25"/>
  <c r="AT560" i="25"/>
  <c r="AT561" i="25"/>
  <c r="AT562" i="25"/>
  <c r="AT563" i="25"/>
  <c r="AT564" i="25"/>
  <c r="AT565" i="25"/>
  <c r="AT566" i="25"/>
  <c r="AT567" i="25"/>
  <c r="AT568" i="25"/>
  <c r="AT569" i="25"/>
  <c r="AT570" i="25"/>
  <c r="AT571" i="25"/>
  <c r="AT572" i="25"/>
  <c r="AT573" i="25"/>
  <c r="AT574" i="25"/>
  <c r="AT575" i="25"/>
  <c r="AT576" i="25"/>
  <c r="AT577" i="25"/>
  <c r="AT578" i="25"/>
  <c r="AT579" i="25"/>
  <c r="AT580" i="25"/>
  <c r="AT581" i="25"/>
  <c r="AT582" i="25"/>
  <c r="AT583" i="25"/>
  <c r="AT584" i="25"/>
  <c r="AT585" i="25"/>
  <c r="AT586" i="25"/>
  <c r="AT587" i="25"/>
  <c r="AT588" i="25"/>
  <c r="AT589" i="25"/>
  <c r="AT590" i="25"/>
  <c r="AT591" i="25"/>
  <c r="AT592" i="25"/>
  <c r="AT593" i="25"/>
  <c r="AT594" i="25"/>
  <c r="AT595" i="25"/>
  <c r="AT596" i="25"/>
  <c r="AT597" i="25"/>
  <c r="AT598" i="25"/>
  <c r="AT599" i="25"/>
  <c r="AT600" i="25"/>
  <c r="AT601" i="25"/>
  <c r="AT602" i="25"/>
  <c r="AT603" i="25"/>
  <c r="AT604" i="25"/>
  <c r="AT605" i="25"/>
  <c r="AT606" i="25"/>
  <c r="AT607" i="25"/>
  <c r="AT608" i="25"/>
  <c r="AT609" i="25"/>
  <c r="AT610" i="25"/>
  <c r="AT611" i="25"/>
  <c r="AT612" i="25"/>
  <c r="AT613" i="25"/>
  <c r="AT614" i="25"/>
  <c r="AT615" i="25"/>
  <c r="AT616" i="25"/>
  <c r="AT617" i="25"/>
  <c r="AT618" i="25"/>
  <c r="AT619" i="25"/>
  <c r="AT620" i="25"/>
  <c r="AT344" i="23"/>
  <c r="AT621" i="25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<sst xmlns="http://schemas.openxmlformats.org/spreadsheetml/2006/main" count="27885" uniqueCount="2985">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</sst>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44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  <dxf>
      <font>
        <color theme="2" tint="-9.9948118533890809E-2"/>
      </font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F-4CC7-9CD8-58B94B632E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crosses val="autoZero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326571</xdr:colOff>
          <xdr:row>24</xdr:row>
          <xdr:rowOff>65314</xdr:rowOff>
        </xdr:from>
        <xdr:to>
          <xdr:col>2</xdr:col>
          <xdr:colOff>38100</xdr:colOff>
          <xdr:row>25</xdr:row>
          <xdr:rowOff>174171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65314</xdr:colOff>
          <xdr:row>40</xdr:row>
          <xdr:rowOff>10886</xdr:rowOff>
        </xdr:from>
        <xdr:to>
          <xdr:col>1</xdr:col>
          <xdr:colOff>952500</xdr:colOff>
          <xdr:row>40</xdr:row>
          <xdr:rowOff>179614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10886</xdr:colOff>
          <xdr:row>40</xdr:row>
          <xdr:rowOff>10886</xdr:rowOff>
        </xdr:from>
        <xdr:to>
          <xdr:col>0</xdr:col>
          <xdr:colOff>1039586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0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33</xdr:row>
          <xdr:rowOff>125186</xdr:rowOff>
        </xdr:from>
        <xdr:to>
          <xdr:col>1</xdr:col>
          <xdr:colOff>685800</xdr:colOff>
          <xdr:row>35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37</xdr:row>
          <xdr:rowOff>125186</xdr:rowOff>
        </xdr:from>
        <xdr:to>
          <xdr:col>1</xdr:col>
          <xdr:colOff>745671</xdr:colOff>
          <xdr:row>39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33</xdr:row>
          <xdr:rowOff>163286</xdr:rowOff>
        </xdr:from>
        <xdr:to>
          <xdr:col>2</xdr:col>
          <xdr:colOff>288471</xdr:colOff>
          <xdr:row>35</xdr:row>
          <xdr:rowOff>65314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10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42" tableBorderDxfId="141">
  <autoFilter ref="B44:B45"/>
  <tableColumns count="1">
    <tableColumn id="1" name="prop_id" dataDxfId="14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39">
  <autoFilter ref="A44:A45"/>
  <tableColumns count="1">
    <tableColumn id="1" name="prop_id" dataDxfId="1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137"/>
    <tableColumn id="3" uniqueName="3" name="nsf_rcvd_date" queryTableFieldId="117" dataDxfId="136"/>
    <tableColumn id="4" uniqueName="4" name="dd_rcom_date" totalsRowFunction="count" queryTableFieldId="119" dataDxfId="135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134"/>
    <tableColumn id="32" uniqueName="32" name="last_rev_due" queryTableFieldId="34" dataDxfId="133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132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31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130" totalsRowDxfId="129" dataCellStyle="Currency"/>
    <tableColumn id="62" uniqueName="62" name="split_frwd_date" queryTableFieldId="64" dataDxfId="128"/>
    <tableColumn id="63" uniqueName="63" name="split_aprv_date" totalsRowFunction="count" queryTableFieldId="65" dataDxfId="127"/>
    <tableColumn id="64" uniqueName="64" name="rqst_dol" totalsRowFunction="sum" queryTableFieldId="66" dataDxfId="126" totalsRowDxfId="125" dataCellStyle="Currency"/>
    <tableColumn id="65" uniqueName="65" name="rqst_mnth_cnt" queryTableFieldId="67"/>
    <tableColumn id="66" uniqueName="66" name="rcom_mnth_cnt" queryTableFieldId="68" dataDxfId="124"/>
    <tableColumn id="67" uniqueName="67" name="rqst_eff_date" queryTableFieldId="69" dataDxfId="123"/>
    <tableColumn id="68" uniqueName="68" name="rcom_eff_date" queryTableFieldId="70" dataDxfId="122"/>
    <tableColumn id="69" uniqueName="69" name="pm_asgn_date" totalsRowFunction="count" queryTableFieldId="71" dataDxfId="121"/>
    <tableColumn id="70" uniqueName="70" name="pm_rcom_date" totalsRowFunction="count" queryTableFieldId="72" dataDxfId="120"/>
    <tableColumn id="71" uniqueName="71" name="dd_rcom_date2" totalsRowFunction="count" queryTableFieldId="73" dataDxfId="119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118"/>
    <tableColumn id="86" uniqueName="86" name="awd_eff_date" queryTableFieldId="88" dataDxfId="117"/>
    <tableColumn id="87" uniqueName="87" name="awd_exp_date" queryTableFieldId="89" dataDxfId="116"/>
    <tableColumn id="88" uniqueName="88" name="awd_fin_clos_date" queryTableFieldId="90" dataDxfId="115"/>
    <tableColumn id="89" uniqueName="89" name="fpr_stts_updt_date" queryTableFieldId="91" dataDxfId="114"/>
    <tableColumn id="90" uniqueName="90" name="est_fnl_exp_date" queryTableFieldId="92" dataDxfId="113"/>
    <tableColumn id="5" uniqueName="5" name="inst_awd" totalsRowFunction="count" queryTableFieldId="122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01"/>
    <tableColumn id="2" uniqueName="2" name="nsf_rcvd_date" queryTableFieldId="2" dataDxfId="100"/>
    <tableColumn id="3" uniqueName="3" name="dd_rcom_date" queryTableFieldId="3" dataDxfId="99"/>
    <tableColumn id="4" uniqueName="4" name="Prop_Org_Code" queryTableFieldId="4" dataDxfId="98"/>
    <tableColumn id="5" uniqueName="5" name="Budg_Org_Code" queryTableFieldId="5"/>
    <tableColumn id="6" uniqueName="6" name="PEC_prop" queryTableFieldId="6"/>
    <tableColumn id="7" uniqueName="7" name="PEC_bdg_splt" queryTableFieldId="7" dataDxfId="97"/>
    <tableColumn id="8" uniqueName="8" name="Prop_Pm_ibm_logn_id" queryTableFieldId="8" dataDxfId="96"/>
    <tableColumn id="9" uniqueName="9" name="Budg_Pm_ibm_logn_id" queryTableFieldId="9"/>
    <tableColumn id="10" uniqueName="10" name="Prop_Obj_Clas_Code" queryTableFieldId="10" dataDxfId="95" dataCellStyle="Currency"/>
    <tableColumn id="11" uniqueName="11" name="Budg_Obj_Clas_Code" queryTableFieldId="11" dataDxfId="94" dataCellStyle="Currency"/>
    <tableColumn id="12" uniqueName="12" name="pgm_annc_id" queryTableFieldId="12" dataDxfId="93"/>
    <tableColumn id="14" uniqueName="14" name="natr_rqst_abbr" queryTableFieldId="14" dataDxfId="92"/>
    <tableColumn id="13" uniqueName="13" name="prop_stts_abbr" queryTableFieldId="13" dataDxfId="91"/>
    <tableColumn id="32" uniqueName="32" name="awd_stts_abbr" queryTableFieldId="56" dataDxfId="90" dataCellStyle="Hyperlink"/>
    <tableColumn id="40" uniqueName="40" name="rcom_istr_abbr" queryTableFieldId="71" dataDxfId="89"/>
    <tableColumn id="35" uniqueName="35" name="awd_istr_abbr" queryTableFieldId="38" dataDxfId="88" dataCellStyle="Hyperlink"/>
    <tableColumn id="15" uniqueName="15" name="dir_div_abbr" queryTableFieldId="15" dataDxfId="87" dataCellStyle="Hyperlink"/>
    <tableColumn id="18" uniqueName="18" name="lead_id" queryTableFieldId="18" dataDxfId="86" dataCellStyle="Hyperlink"/>
    <tableColumn id="17" uniqueName="17" name="ILN" queryTableFieldId="17" dataDxfId="85" dataCellStyle="Hyperlink"/>
    <tableColumn id="36" uniqueName="36" name="eJ" queryTableFieldId="35" dataDxfId="84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83" dataCellStyle="Hyperlink"/>
    <tableColumn id="16" uniqueName="16" name="prop_id" queryTableFieldId="16" dataDxfId="82"/>
    <tableColumn id="22" uniqueName="22" name="budg_yr" queryTableFieldId="22" dataDxfId="81"/>
    <tableColumn id="21" uniqueName="21" name="splt_id" queryTableFieldId="21" dataDxfId="80"/>
    <tableColumn id="23" uniqueName="23" name="budg_splt_tot_dol" totalsRowFunction="sum" queryTableFieldId="23" dataDxfId="79" totalsRowDxfId="78"/>
    <tableColumn id="24" uniqueName="24" name="rqst_dol" queryTableFieldId="24" dataDxfId="77"/>
    <tableColumn id="27" uniqueName="27" name="pi_last_name" queryTableFieldId="27" dataDxfId="76"/>
    <tableColumn id="28" uniqueName="28" name="pi_frst_name" queryTableFieldId="28" dataDxfId="75"/>
    <tableColumn id="29" uniqueName="29" name="inst_name" queryTableFieldId="29" dataDxfId="74"/>
    <tableColumn id="25" uniqueName="25" name="Prop PRCs" queryTableFieldId="25" dataDxfId="73"/>
    <tableColumn id="26" uniqueName="26" name="Budg PRCs" queryTableFieldId="26" dataDxfId="72"/>
    <tableColumn id="34" uniqueName="34" name="awd_istr_txt" queryTableFieldId="37" dataDxfId="71"/>
    <tableColumn id="37" uniqueName="37" name="awd_stts_txt" queryTableFieldId="57" dataDxfId="70"/>
    <tableColumn id="39" uniqueName="39" name="cgi_stts_txt" queryTableFieldId="61" dataDxfId="69"/>
    <tableColumn id="20" uniqueName="20" name="prop_titl_txt" queryTableFieldId="20" dataDxfId="68"/>
    <tableColumn id="30" uniqueName="30" name="last_updt_user" queryTableFieldId="30" dataDxfId="67"/>
    <tableColumn id="31" uniqueName="31" name="last_updt_tmsp" queryTableFieldId="31" dataDxfId="66"/>
    <tableColumn id="33" uniqueName="33" name="0" totalsRowFunction="sum" queryTableFieldId="32" dataDxfId="65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60">
  <autoFilter ref="D46:F47"/>
  <tableColumns count="3">
    <tableColumn id="1" name="prop_id" dataDxfId="59"/>
    <tableColumn id="2" name="budg_yr" dataDxfId="58"/>
    <tableColumn id="3" name="splt_id" dataDxfId="57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45"/>
    <tableColumn id="2" uniqueName="2" name="nsf_rcvd_date" queryTableFieldId="2" dataDxfId="44"/>
    <tableColumn id="3" uniqueName="3" name="dd_rcom_date" queryTableFieldId="3" dataDxfId="43"/>
    <tableColumn id="4" uniqueName="4" name="Prop_Org_Code" queryTableFieldId="4" dataDxfId="42"/>
    <tableColumn id="5" uniqueName="5" name="Budg_Org_Code" queryTableFieldId="5"/>
    <tableColumn id="6" uniqueName="6" name="PEC_prop" queryTableFieldId="6"/>
    <tableColumn id="7" uniqueName="7" name="PEC_bdg_splt" queryTableFieldId="7" dataDxfId="41"/>
    <tableColumn id="8" uniqueName="8" name="Prop_Pm_ibm_logn_id" queryTableFieldId="8" dataDxfId="40"/>
    <tableColumn id="9" uniqueName="9" name="Budg_Pm_ibm_logn_id" queryTableFieldId="9"/>
    <tableColumn id="10" uniqueName="10" name="Prop_Obj_Clas_Code" queryTableFieldId="10" dataDxfId="39" dataCellStyle="Currency"/>
    <tableColumn id="11" uniqueName="11" name="Budg_Obj_Clas_Code" queryTableFieldId="11" dataDxfId="38" dataCellStyle="Currency"/>
    <tableColumn id="12" uniqueName="12" name="pgm_annc_id" queryTableFieldId="12" dataDxfId="37"/>
    <tableColumn id="14" uniqueName="14" name="natr_rqst_abbr" queryTableFieldId="14" dataDxfId="36"/>
    <tableColumn id="13" uniqueName="13" name="prop_stts_abbr" queryTableFieldId="13" dataDxfId="35"/>
    <tableColumn id="32" uniqueName="32" name="awd_stts_abbr" queryTableFieldId="56" dataDxfId="34"/>
    <tableColumn id="40" uniqueName="40" name="rcom_istr_abbr" queryTableFieldId="71" dataDxfId="33"/>
    <tableColumn id="35" uniqueName="35" name="awd_istr_abbr" queryTableFieldId="38" dataDxfId="32"/>
    <tableColumn id="15" uniqueName="15" name="dir_div_abbr" queryTableFieldId="15" dataDxfId="31" dataCellStyle="Hyperlink"/>
    <tableColumn id="18" uniqueName="18" name="lead_id" queryTableFieldId="18" dataDxfId="30" dataCellStyle="Hyperlink"/>
    <tableColumn id="17" uniqueName="17" name="ILN" queryTableFieldId="17" dataDxfId="29" dataCellStyle="Hyperlink"/>
    <tableColumn id="36" uniqueName="36" name="eJ" queryTableFieldId="35" dataDxfId="2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27" dataCellStyle="Hyperlink"/>
    <tableColumn id="16" uniqueName="16" name="prop_id" queryTableFieldId="16" dataDxfId="26"/>
    <tableColumn id="22" uniqueName="22" name="budg_yr" queryTableFieldId="22" dataDxfId="25"/>
    <tableColumn id="21" uniqueName="21" name="splt_id" queryTableFieldId="21" dataDxfId="24"/>
    <tableColumn id="23" uniqueName="23" name="budg_splt_tot_dol" totalsRowFunction="sum" queryTableFieldId="23" dataDxfId="23" totalsRowDxfId="22"/>
    <tableColumn id="24" uniqueName="24" name="rqst_dol" queryTableFieldId="24" dataDxfId="21"/>
    <tableColumn id="27" uniqueName="27" name="pi_last_name" queryTableFieldId="27" dataDxfId="20"/>
    <tableColumn id="28" uniqueName="28" name="pi_frst_name" queryTableFieldId="28" dataDxfId="19"/>
    <tableColumn id="29" uniqueName="29" name="inst_name" queryTableFieldId="29" dataDxfId="18"/>
    <tableColumn id="25" uniqueName="25" name="Prop PRCs" queryTableFieldId="25" dataDxfId="17"/>
    <tableColumn id="26" uniqueName="26" name="Budg PRCs" queryTableFieldId="26" dataDxfId="16"/>
    <tableColumn id="34" uniqueName="34" name="awd_istr_txt" queryTableFieldId="37" dataDxfId="15"/>
    <tableColumn id="37" uniqueName="37" name="awd_stts_txt" queryTableFieldId="57" dataDxfId="14"/>
    <tableColumn id="39" uniqueName="39" name="cgi_stts_txt" queryTableFieldId="61" dataDxfId="13"/>
    <tableColumn id="20" uniqueName="20" name="prop_titl_txt" queryTableFieldId="20" dataDxfId="12"/>
    <tableColumn id="30" uniqueName="30" name="last_updt_user" queryTableFieldId="30" dataDxfId="11"/>
    <tableColumn id="31" uniqueName="31" name="last_updt_tmsp" queryTableFieldId="31" dataDxfId="10"/>
    <tableColumn id="33" uniqueName="33" name="0" totalsRowFunction="sum" queryTableFieldId="32" dataDxfId="9" totalsRowDxfId="8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7">
  <tableColumns count="3">
    <tableColumn id="1" name="prop_id" dataDxfId="6"/>
    <tableColumn id="2" name="budg_yr" dataDxfId="5"/>
    <tableColumn id="3" name="splt_id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3">
  <tableColumns count="3">
    <tableColumn id="1" name="prop_id" dataDxfId="2"/>
    <tableColumn id="2" name="budg_yr" dataDxfId="1"/>
    <tableColumn id="3" name="splt_id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abSelected="1" topLeftCell="A21" workbookViewId="0">
      <selection activeCell="A25" sqref="A25:A26"/>
    </sheetView>
  </sheetViews>
  <sheetFormatPr defaultRowHeight="14.6" x14ac:dyDescent="0.4"/>
  <cols>
    <col min="1" max="1" width="16.84375" customWidth="1"/>
    <col min="2" max="2" width="15" customWidth="1"/>
    <col min="3" max="3" width="10.69140625" customWidth="1"/>
    <col min="5" max="5" width="5.3828125" customWidth="1"/>
    <col min="6" max="6" width="2.53515625" customWidth="1"/>
    <col min="7" max="7" width="17.53515625" customWidth="1"/>
    <col min="8" max="8" width="10.3828125" customWidth="1"/>
    <col min="9" max="9" width="10" customWidth="1"/>
    <col min="10" max="10" width="10.3828125" customWidth="1"/>
    <col min="11" max="11" width="3.69140625" customWidth="1"/>
    <col min="12" max="14" width="10.3828125" customWidth="1"/>
    <col min="15" max="15" width="6.3828125" customWidth="1"/>
    <col min="16" max="16" width="10.3828125" customWidth="1"/>
    <col min="17" max="17" width="6.3046875" customWidth="1"/>
    <col min="18" max="18" width="5.69140625" customWidth="1"/>
    <col min="19" max="19" width="23.15234375" customWidth="1"/>
    <col min="20" max="21" width="11.3828125" customWidth="1"/>
    <col min="22" max="22" width="5.3828125" customWidth="1"/>
    <col min="23" max="23" width="11.3828125" customWidth="1"/>
    <col min="24" max="24" width="7.15234375" customWidth="1"/>
    <col min="25" max="25" width="37.3046875" customWidth="1"/>
    <col min="26" max="26" width="11.3828125" customWidth="1"/>
    <col min="27" max="27" width="7" customWidth="1"/>
    <col min="28" max="28" width="4.84375" customWidth="1"/>
    <col min="29" max="29" width="8.84375" customWidth="1"/>
    <col min="30" max="30" width="16.3828125" customWidth="1"/>
    <col min="31" max="31" width="2.84375" customWidth="1"/>
    <col min="32" max="32" width="4" customWidth="1"/>
    <col min="33" max="33" width="8.69140625" customWidth="1"/>
    <col min="35" max="35" width="4.3046875" customWidth="1"/>
    <col min="36" max="36" width="8.69140625" customWidth="1"/>
    <col min="37" max="37" width="9.3828125" customWidth="1"/>
    <col min="38" max="38" width="4.15234375" customWidth="1"/>
    <col min="39" max="39" width="5.3046875" customWidth="1"/>
    <col min="40" max="40" width="6.69140625" customWidth="1"/>
    <col min="43" max="43" width="5.84375" customWidth="1"/>
    <col min="44" max="44" width="5.3828125" customWidth="1"/>
    <col min="45" max="45" width="5.84375" customWidth="1"/>
    <col min="46" max="46" width="11.69140625" customWidth="1"/>
    <col min="49" max="49" width="12" customWidth="1"/>
    <col min="50" max="50" width="5.69140625" customWidth="1"/>
    <col min="66" max="66" width="6.84375" customWidth="1"/>
    <col min="67" max="67" width="6.3828125" customWidth="1"/>
    <col min="68" max="68" width="5.3828125" customWidth="1"/>
    <col min="69" max="69" width="9.15234375" customWidth="1"/>
    <col min="73" max="73" width="10.3046875" customWidth="1"/>
    <col min="75" max="75" width="17" customWidth="1"/>
    <col min="77" max="77" width="12.3828125" bestFit="1" customWidth="1"/>
    <col min="78" max="78" width="15" bestFit="1" customWidth="1"/>
  </cols>
  <sheetData>
    <row r="1" spans="3:78" x14ac:dyDescent="0.4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4">
      <c r="D2" s="127" t="s">
        <v>2981</v>
      </c>
      <c r="E2" s="128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2970</v>
      </c>
    </row>
    <row r="3" spans="3:78" x14ac:dyDescent="0.4">
      <c r="D3" s="127" t="s">
        <v>2971</v>
      </c>
      <c r="E3" s="127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25">
        <f>SUBTOTAL(109,PropQueryTable[split_tot_dol])</f>
        <v>0</v>
      </c>
      <c r="AV3">
        <f>SUBTOTAL(103,PropQueryTable[split_aprv_date])</f>
        <v>0</v>
      </c>
      <c r="AW3" s="125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2967</v>
      </c>
    </row>
    <row r="4" spans="3:78" x14ac:dyDescent="0.4">
      <c r="D4" s="127" t="s">
        <v>2972</v>
      </c>
      <c r="E4" s="127">
        <f>PropQueryTable[[#Totals],[pm_asgn_date]]</f>
        <v>0</v>
      </c>
    </row>
    <row r="5" spans="3:78" x14ac:dyDescent="0.4">
      <c r="D5" s="127" t="s">
        <v>2973</v>
      </c>
      <c r="E5" s="127">
        <f>PropQueryTable[[#Totals],[cntx_stmt_id]]</f>
        <v>0</v>
      </c>
      <c r="BY5" s="25" t="s">
        <v>2969</v>
      </c>
      <c r="BZ5" t="s">
        <v>2968</v>
      </c>
    </row>
    <row r="6" spans="3:78" x14ac:dyDescent="0.4">
      <c r="D6" s="127" t="s">
        <v>2974</v>
      </c>
      <c r="E6" s="127">
        <f>PropQueryTable[[#Totals],[first_panl]]</f>
        <v>0</v>
      </c>
      <c r="BY6" s="26" t="s">
        <v>2983</v>
      </c>
      <c r="BZ6" s="3"/>
    </row>
    <row r="7" spans="3:78" x14ac:dyDescent="0.4">
      <c r="D7" s="127" t="s">
        <v>2975</v>
      </c>
      <c r="E7" s="127">
        <f>PropQueryTable[[#Totals],[fp_rec]]</f>
        <v>0</v>
      </c>
      <c r="BY7" s="39" t="s">
        <v>2983</v>
      </c>
      <c r="BZ7" s="3"/>
    </row>
    <row r="8" spans="3:78" x14ac:dyDescent="0.4">
      <c r="D8" s="127" t="s">
        <v>2976</v>
      </c>
      <c r="E8" s="127">
        <f>PropQueryTable[[#Totals],[pm_rcom_date]]</f>
        <v>0</v>
      </c>
      <c r="BY8" s="26" t="s">
        <v>2984</v>
      </c>
      <c r="BZ8" s="3"/>
    </row>
    <row r="9" spans="3:78" x14ac:dyDescent="0.4">
      <c r="D9" s="127" t="s">
        <v>2979</v>
      </c>
      <c r="E9" s="127">
        <f>PropQueryTable[[#Totals],[split_aprv_date]]</f>
        <v>0</v>
      </c>
      <c r="BY9" s="26" t="s">
        <v>66</v>
      </c>
      <c r="BZ9" s="3"/>
    </row>
    <row r="10" spans="3:78" x14ac:dyDescent="0.4">
      <c r="D10" s="127" t="s">
        <v>2977</v>
      </c>
      <c r="E10" s="127">
        <f>PropQueryTable[[#Totals],[dd_rcom_date]]</f>
        <v>0</v>
      </c>
    </row>
    <row r="11" spans="3:78" x14ac:dyDescent="0.4">
      <c r="D11" s="127" t="s">
        <v>2978</v>
      </c>
      <c r="E11" s="127">
        <f>PropQueryTable[[#Totals],[awd_id]]</f>
        <v>0</v>
      </c>
    </row>
    <row r="12" spans="3:78" x14ac:dyDescent="0.4">
      <c r="D12" s="126"/>
      <c r="E12" s="126"/>
    </row>
    <row r="13" spans="3:78" x14ac:dyDescent="0.4">
      <c r="D13" s="7"/>
      <c r="E13" s="7"/>
    </row>
    <row r="14" spans="3:78" x14ac:dyDescent="0.4">
      <c r="D14" s="7"/>
      <c r="E14" s="7"/>
    </row>
    <row r="15" spans="3:78" x14ac:dyDescent="0.4">
      <c r="D15" s="7"/>
      <c r="E15" s="7"/>
    </row>
    <row r="16" spans="3:78" x14ac:dyDescent="0.4">
      <c r="D16" s="7"/>
      <c r="E16" s="7"/>
    </row>
    <row r="17" spans="1:5" x14ac:dyDescent="0.4">
      <c r="D17" s="7"/>
      <c r="E17" s="7"/>
    </row>
    <row r="18" spans="1:5" x14ac:dyDescent="0.4">
      <c r="D18" s="7"/>
      <c r="E18" s="7"/>
    </row>
    <row r="19" spans="1:5" x14ac:dyDescent="0.4">
      <c r="D19" s="7"/>
      <c r="E19" s="7"/>
    </row>
    <row r="20" spans="1:5" x14ac:dyDescent="0.4">
      <c r="D20" s="7"/>
      <c r="E20" s="7"/>
    </row>
    <row r="21" spans="1:5" x14ac:dyDescent="0.4">
      <c r="D21" s="7"/>
      <c r="E21" s="7"/>
    </row>
    <row r="22" spans="1:5" x14ac:dyDescent="0.4">
      <c r="D22" s="7"/>
      <c r="E22" s="7"/>
    </row>
    <row r="23" spans="1:5" x14ac:dyDescent="0.4">
      <c r="A23" s="124"/>
      <c r="D23" s="7"/>
      <c r="E23" s="7"/>
    </row>
    <row r="24" spans="1:5" x14ac:dyDescent="0.4">
      <c r="A24" s="124"/>
      <c r="D24" s="7"/>
      <c r="E24" s="7"/>
    </row>
    <row r="25" spans="1:5" x14ac:dyDescent="0.4">
      <c r="A25" s="130" t="s">
        <v>2982</v>
      </c>
      <c r="B25" s="94"/>
      <c r="C25" s="38"/>
      <c r="D25" s="38"/>
      <c r="E25" s="38"/>
    </row>
    <row r="26" spans="1:5" ht="15" thickBot="1" x14ac:dyDescent="0.45">
      <c r="A26" s="129">
        <v>43066.724618055552</v>
      </c>
      <c r="B26" s="94"/>
      <c r="C26" s="38"/>
      <c r="D26" s="38"/>
      <c r="E26" s="38"/>
    </row>
    <row r="27" spans="1:5" ht="16.3" thickBot="1" x14ac:dyDescent="0.45">
      <c r="A27" s="134" t="s">
        <v>83</v>
      </c>
      <c r="B27" s="135"/>
      <c r="C27" s="135"/>
      <c r="D27" s="38"/>
      <c r="E27" s="38"/>
    </row>
    <row r="28" spans="1:5" ht="15" thickBot="1" x14ac:dyDescent="0.45">
      <c r="A28" s="131" t="s">
        <v>5</v>
      </c>
      <c r="B28" s="132"/>
      <c r="C28" s="133"/>
      <c r="D28" s="38"/>
      <c r="E28" s="38"/>
    </row>
    <row r="29" spans="1:5" ht="15" thickBot="1" x14ac:dyDescent="0.45">
      <c r="A29" s="8" t="s">
        <v>6</v>
      </c>
      <c r="B29" s="114" t="s">
        <v>2926</v>
      </c>
      <c r="C29" s="115" t="s">
        <v>2927</v>
      </c>
      <c r="D29" s="38"/>
      <c r="E29" s="38"/>
    </row>
    <row r="30" spans="1:5" ht="15" thickBot="1" x14ac:dyDescent="0.45">
      <c r="A30" s="8" t="s">
        <v>1694</v>
      </c>
      <c r="B30" s="116" t="s">
        <v>2926</v>
      </c>
      <c r="C30" s="115" t="s">
        <v>2927</v>
      </c>
      <c r="D30" s="38"/>
      <c r="E30" s="38"/>
    </row>
    <row r="31" spans="1:5" ht="15" thickBot="1" x14ac:dyDescent="0.45">
      <c r="A31" s="8" t="s">
        <v>8</v>
      </c>
      <c r="B31" s="117" t="s">
        <v>2928</v>
      </c>
      <c r="C31" s="118"/>
      <c r="D31" s="38"/>
      <c r="E31" s="38"/>
    </row>
    <row r="32" spans="1:5" ht="15" thickBot="1" x14ac:dyDescent="0.45">
      <c r="A32" s="8" t="s">
        <v>2</v>
      </c>
      <c r="B32" s="117" t="s">
        <v>2929</v>
      </c>
      <c r="C32" s="118"/>
      <c r="D32" s="38"/>
      <c r="E32" s="38"/>
    </row>
    <row r="33" spans="1:3" ht="15" thickBot="1" x14ac:dyDescent="0.45">
      <c r="A33" s="8" t="s">
        <v>9</v>
      </c>
      <c r="B33" s="117" t="s">
        <v>2930</v>
      </c>
      <c r="C33" s="118"/>
    </row>
    <row r="34" spans="1:3" ht="15" thickBot="1" x14ac:dyDescent="0.45">
      <c r="A34" s="8" t="s">
        <v>3</v>
      </c>
      <c r="B34" s="117" t="s">
        <v>2931</v>
      </c>
      <c r="C34" s="118"/>
    </row>
    <row r="35" spans="1:3" ht="15" thickBot="1" x14ac:dyDescent="0.45">
      <c r="A35" s="8" t="s">
        <v>10</v>
      </c>
      <c r="B35" s="117" t="s">
        <v>2932</v>
      </c>
      <c r="C35" s="118"/>
    </row>
    <row r="36" spans="1:3" ht="15" thickBot="1" x14ac:dyDescent="0.45">
      <c r="A36" s="8" t="s">
        <v>11</v>
      </c>
      <c r="B36" s="117" t="s">
        <v>2937</v>
      </c>
      <c r="C36" s="118"/>
    </row>
    <row r="37" spans="1:3" ht="15" thickBot="1" x14ac:dyDescent="0.45">
      <c r="A37" s="8" t="s">
        <v>12</v>
      </c>
      <c r="B37" s="117" t="s">
        <v>2936</v>
      </c>
      <c r="C37" s="118"/>
    </row>
    <row r="38" spans="1:3" ht="15" thickBot="1" x14ac:dyDescent="0.45">
      <c r="A38" s="8" t="s">
        <v>13</v>
      </c>
      <c r="B38" s="117" t="s">
        <v>2935</v>
      </c>
      <c r="C38" s="118"/>
    </row>
    <row r="39" spans="1:3" ht="15" thickBot="1" x14ac:dyDescent="0.45">
      <c r="A39" s="8" t="s">
        <v>51</v>
      </c>
      <c r="B39" s="123" t="s">
        <v>2934</v>
      </c>
      <c r="C39" s="118"/>
    </row>
    <row r="40" spans="1:3" ht="15" thickBot="1" x14ac:dyDescent="0.45">
      <c r="A40" s="8" t="s">
        <v>2964</v>
      </c>
      <c r="B40" s="117" t="s">
        <v>2933</v>
      </c>
      <c r="C40" s="119"/>
    </row>
    <row r="41" spans="1:3" x14ac:dyDescent="0.4">
      <c r="C41" s="7"/>
    </row>
    <row r="42" spans="1:3" ht="15" thickBot="1" x14ac:dyDescent="0.45">
      <c r="A42" s="50" t="s">
        <v>85</v>
      </c>
      <c r="B42" s="51" t="s">
        <v>2966</v>
      </c>
      <c r="C42" s="7"/>
    </row>
    <row r="43" spans="1:3" x14ac:dyDescent="0.4">
      <c r="A43" s="52" t="s">
        <v>1693</v>
      </c>
      <c r="B43" s="53" t="s">
        <v>84</v>
      </c>
      <c r="C43" s="7"/>
    </row>
    <row r="44" spans="1:3" x14ac:dyDescent="0.4">
      <c r="A44" s="92" t="s">
        <v>14</v>
      </c>
      <c r="B44" t="s">
        <v>14</v>
      </c>
      <c r="C44" s="7"/>
    </row>
    <row r="45" spans="1:3" x14ac:dyDescent="0.4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143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326571</xdr:colOff>
                    <xdr:row>24</xdr:row>
                    <xdr:rowOff>65314</xdr:rowOff>
                  </from>
                  <to>
                    <xdr:col>2</xdr:col>
                    <xdr:colOff>38100</xdr:colOff>
                    <xdr:row>25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65314</xdr:colOff>
                    <xdr:row>40</xdr:row>
                    <xdr:rowOff>10886</xdr:rowOff>
                  </from>
                  <to>
                    <xdr:col>1</xdr:col>
                    <xdr:colOff>952500</xdr:colOff>
                    <xdr:row>40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10886</xdr:colOff>
                    <xdr:row>40</xdr:row>
                    <xdr:rowOff>10886</xdr:rowOff>
                  </from>
                  <to>
                    <xdr:col>0</xdr:col>
                    <xdr:colOff>1039586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C47" sqref="C47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47" t="str">
        <f>CONCATENATE(A24," (", pgm_annc_id, ",",b.pgm_ele_code,") Splits Tracking (",budg_yr,")")</f>
        <v>CCF AF minus (Dmitri,Mitra) by year (,12%',2222,3333) Splits Tracking ()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34" t="s">
        <v>1747</v>
      </c>
      <c r="B24" s="135"/>
      <c r="C24" s="135"/>
      <c r="D24" s="135"/>
      <c r="E24" s="148"/>
      <c r="F24" s="27"/>
      <c r="G24" s="26"/>
      <c r="H24" s="19"/>
      <c r="I24" s="141" t="s">
        <v>75</v>
      </c>
      <c r="J24" s="149"/>
      <c r="K24" s="138" t="s">
        <v>77</v>
      </c>
      <c r="L24" s="139"/>
      <c r="M24" s="139"/>
      <c r="N24" s="139"/>
      <c r="O24" s="139"/>
      <c r="P24" s="139"/>
      <c r="Q24" s="139"/>
      <c r="R24" s="140"/>
      <c r="S24" s="144" t="s">
        <v>78</v>
      </c>
      <c r="T24" s="145"/>
      <c r="U24" s="145"/>
      <c r="V24" s="145"/>
      <c r="W24" s="145"/>
      <c r="X24" s="145"/>
      <c r="Y24" s="146"/>
      <c r="Z24" s="138" t="s">
        <v>79</v>
      </c>
      <c r="AA24" s="139"/>
      <c r="AB24" s="139"/>
      <c r="AC24" s="139"/>
      <c r="AD24" s="139"/>
      <c r="AE24" s="139"/>
      <c r="AF24" s="139"/>
      <c r="AG24" s="139"/>
      <c r="AH24" s="140"/>
      <c r="AI24" s="141" t="s">
        <v>81</v>
      </c>
      <c r="AJ24" s="142"/>
      <c r="AK24" s="143"/>
      <c r="AL24" s="136" t="s">
        <v>80</v>
      </c>
      <c r="AM24" s="137"/>
      <c r="AN24" s="141" t="s">
        <v>149</v>
      </c>
      <c r="AO24" s="142"/>
      <c r="AP24" s="142"/>
      <c r="AQ24" s="143"/>
      <c r="AR24" s="136" t="s">
        <v>82</v>
      </c>
      <c r="AS24" s="137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31" t="s">
        <v>0</v>
      </c>
      <c r="B25" s="133"/>
      <c r="C25" s="131" t="s">
        <v>5</v>
      </c>
      <c r="D25" s="132"/>
      <c r="E25" s="133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4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4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4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4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4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4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4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4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4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4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4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4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4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4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4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4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4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4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4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4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4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4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4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4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4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4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4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4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4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4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4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4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4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4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4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4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4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4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4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4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4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4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4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4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4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4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4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4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4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4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4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4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4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4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4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4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4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4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4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4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4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4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4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4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4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4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4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4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4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4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4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4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4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4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4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4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4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4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4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4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4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4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4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4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4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4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4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4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4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4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4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4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4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4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4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4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4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4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4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4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4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4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4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4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4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4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4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4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4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4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4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4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4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4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4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4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4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4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4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4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4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4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4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4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4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4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4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4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4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4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4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4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4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4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4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4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4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4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4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111" priority="5">
      <formula>$O26&lt;&gt;$P26</formula>
    </cfRule>
  </conditionalFormatting>
  <conditionalFormatting sqref="N26:N343">
    <cfRule type="expression" dxfId="110" priority="6">
      <formula>$M26&lt;&gt;$N26</formula>
    </cfRule>
  </conditionalFormatting>
  <conditionalFormatting sqref="R26:R343">
    <cfRule type="expression" dxfId="109" priority="7">
      <formula>$Q26&lt;&gt;$R26</formula>
    </cfRule>
  </conditionalFormatting>
  <conditionalFormatting sqref="L26:L343">
    <cfRule type="expression" dxfId="108" priority="8">
      <formula>$K26&lt;&gt;$L26</formula>
    </cfRule>
  </conditionalFormatting>
  <conditionalFormatting sqref="H26:AT343">
    <cfRule type="expression" dxfId="107" priority="303">
      <formula>AND(LEN($T26)&gt;0,MOD($AT26,2)=0)</formula>
    </cfRule>
  </conditionalFormatting>
  <conditionalFormatting sqref="V26:V343">
    <cfRule type="expression" dxfId="106" priority="1">
      <formula>$U26&lt;&gt;$V26</formula>
    </cfRule>
  </conditionalFormatting>
  <conditionalFormatting sqref="D47 A48">
    <cfRule type="expression" dxfId="105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zoomScaleNormal="100" workbookViewId="0">
      <selection activeCell="D46" sqref="D46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7" width="16.69140625" customWidth="1"/>
    <col min="48" max="48" width="7.84375" customWidth="1"/>
    <col min="49" max="49" width="15.53515625" customWidth="1"/>
    <col min="50" max="50" width="13.53515625" customWidth="1"/>
    <col min="51" max="51" width="13.15234375" customWidth="1"/>
    <col min="52" max="52" width="14.3828125" customWidth="1"/>
    <col min="53" max="53" width="12.3828125" bestFit="1" customWidth="1"/>
    <col min="54" max="54" width="5.3046875" hidden="1" customWidth="1"/>
    <col min="55" max="56" width="12.3828125" style="13" customWidth="1"/>
    <col min="57" max="57" width="9.84375" bestFit="1" customWidth="1"/>
    <col min="58" max="58" width="12.3828125" style="13" customWidth="1"/>
    <col min="59" max="60" width="10.84375" customWidth="1"/>
    <col min="61" max="61" width="14.5351562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ht="15" thickTop="1" x14ac:dyDescent="0.4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47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47"/>
      <c r="C2" s="147"/>
      <c r="D2" s="147"/>
      <c r="E2" s="147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" thickBot="1" x14ac:dyDescent="0.45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3" thickBot="1" x14ac:dyDescent="0.45">
      <c r="A23" s="134" t="s">
        <v>156</v>
      </c>
      <c r="B23" s="135"/>
      <c r="C23" s="135"/>
      <c r="D23" s="135"/>
      <c r="E23" s="148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4">
      <c r="A24" s="131" t="s">
        <v>0</v>
      </c>
      <c r="B24" s="133"/>
      <c r="C24" s="131" t="s">
        <v>5</v>
      </c>
      <c r="D24" s="132"/>
      <c r="E24" s="133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" thickBot="1" x14ac:dyDescent="0.45">
      <c r="A25" s="8" t="s">
        <v>1</v>
      </c>
      <c r="B25" s="117" t="s">
        <v>2940</v>
      </c>
      <c r="C25" s="8" t="s">
        <v>6</v>
      </c>
      <c r="D25" s="117" t="s">
        <v>2927</v>
      </c>
      <c r="E25" s="120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2</v>
      </c>
      <c r="B26" s="117" t="s">
        <v>2929</v>
      </c>
      <c r="C26" s="8" t="s">
        <v>7</v>
      </c>
      <c r="D26" s="117" t="s">
        <v>2927</v>
      </c>
      <c r="E26" s="120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3</v>
      </c>
      <c r="B27" s="117" t="s">
        <v>2941</v>
      </c>
      <c r="C27" s="8" t="s">
        <v>8</v>
      </c>
      <c r="D27" s="117" t="s">
        <v>2928</v>
      </c>
      <c r="E27" s="121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4</v>
      </c>
      <c r="B28" s="117" t="s">
        <v>2937</v>
      </c>
      <c r="C28" s="8" t="s">
        <v>2</v>
      </c>
      <c r="D28" s="117" t="s">
        <v>2946</v>
      </c>
      <c r="E28" s="121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13</v>
      </c>
      <c r="B29" s="117" t="s">
        <v>2935</v>
      </c>
      <c r="C29" s="8" t="s">
        <v>9</v>
      </c>
      <c r="D29" s="117" t="s">
        <v>2947</v>
      </c>
      <c r="E29" s="121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64</v>
      </c>
      <c r="B30" s="117" t="s">
        <v>2942</v>
      </c>
      <c r="C30" s="8" t="s">
        <v>3</v>
      </c>
      <c r="D30" s="117" t="s">
        <v>2948</v>
      </c>
      <c r="E30" s="121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63</v>
      </c>
      <c r="B31" s="117" t="s">
        <v>2943</v>
      </c>
      <c r="C31" s="8" t="s">
        <v>10</v>
      </c>
      <c r="D31" s="117" t="s">
        <v>2949</v>
      </c>
      <c r="E31" s="121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39</v>
      </c>
      <c r="B32" s="117" t="s">
        <v>2980</v>
      </c>
      <c r="C32" s="8" t="s">
        <v>11</v>
      </c>
      <c r="D32" s="117" t="s">
        <v>2937</v>
      </c>
      <c r="E32" s="121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154</v>
      </c>
      <c r="B33" s="117" t="s">
        <v>2944</v>
      </c>
      <c r="C33" s="8" t="s">
        <v>12</v>
      </c>
      <c r="D33" s="117" t="s">
        <v>2950</v>
      </c>
      <c r="E33" s="121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7"/>
      <c r="B34" s="7"/>
      <c r="C34" s="8" t="s">
        <v>13</v>
      </c>
      <c r="D34" s="117" t="s">
        <v>2951</v>
      </c>
      <c r="E34" s="121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130" t="s">
        <v>2982</v>
      </c>
      <c r="B35" s="7"/>
      <c r="C35" s="8" t="s">
        <v>51</v>
      </c>
      <c r="D35" s="117" t="s">
        <v>2952</v>
      </c>
      <c r="E35" s="121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129"/>
      <c r="B36" s="7"/>
      <c r="C36" s="8" t="s">
        <v>59</v>
      </c>
      <c r="D36" s="117" t="s">
        <v>2953</v>
      </c>
      <c r="E36" s="122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4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" thickBot="1" x14ac:dyDescent="0.45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4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4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4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4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4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4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4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4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4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4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4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4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4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4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4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4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4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4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4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4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4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4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4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4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4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4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4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4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4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4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4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4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4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4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4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4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4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4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4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4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4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4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4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4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4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4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4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4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4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4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4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4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4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4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4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4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4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4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4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4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4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4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4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4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4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4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4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4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4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4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4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4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4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4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4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4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4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4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4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4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4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4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4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4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4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4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4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4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4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4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4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4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4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4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4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4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4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4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4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4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4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4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4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4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4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4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4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4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4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4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4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4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4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4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4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4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4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4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4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4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4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4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4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4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4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4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4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4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4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4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4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4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4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4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4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4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4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4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4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4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4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4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4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4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4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4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4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4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4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4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4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4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4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4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4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4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4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4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4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4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4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4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4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4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4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4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4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4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4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4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4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4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4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4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4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4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4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4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4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4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4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4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4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4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4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4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4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4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4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4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4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4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4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4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4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4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4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4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4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4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4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4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4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4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4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4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4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4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4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4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4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4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4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4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4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4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4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4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4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4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4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4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4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4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4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4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4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4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4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4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4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4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4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4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4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4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4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4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4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4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4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4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4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4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4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4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4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4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4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4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4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4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4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4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4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4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4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4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4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4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4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4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4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4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4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4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4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4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4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4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4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4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4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4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4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4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4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4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4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4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4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4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4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4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4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4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4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4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4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4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4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4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4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4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4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4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4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4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4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4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4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4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4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4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4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4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4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4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4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4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4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4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4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4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4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4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4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4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4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4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4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4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4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4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4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4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4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4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4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4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4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4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4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4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4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4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4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4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4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4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4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4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4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4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4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4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4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4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4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4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4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4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4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4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4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4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4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4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4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4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4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4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4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4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4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4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4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4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4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4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4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4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4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4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4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4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4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4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4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4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4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4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4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4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4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4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4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4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4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4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4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4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4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4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4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4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4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4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4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4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4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4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4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4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4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4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4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4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4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4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4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4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4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4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4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4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4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4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4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4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4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4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4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4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4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4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4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4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4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4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4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4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4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4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56" priority="4">
      <formula>$O2&lt;&gt;$P2</formula>
    </cfRule>
  </conditionalFormatting>
  <conditionalFormatting sqref="N2:N620">
    <cfRule type="expression" dxfId="55" priority="5">
      <formula>$M2&lt;&gt;$N2</formula>
    </cfRule>
  </conditionalFormatting>
  <conditionalFormatting sqref="R2:R620">
    <cfRule type="expression" dxfId="54" priority="6">
      <formula>$Q2&lt;&gt;$R2</formula>
    </cfRule>
  </conditionalFormatting>
  <conditionalFormatting sqref="L2:L620">
    <cfRule type="expression" dxfId="53" priority="7">
      <formula>$K2&lt;&gt;$L2</formula>
    </cfRule>
  </conditionalFormatting>
  <conditionalFormatting sqref="H2:AT620">
    <cfRule type="expression" dxfId="52" priority="8">
      <formula>AND(LEN($T2)&gt;0,MOD($AT2,2)=0)</formula>
    </cfRule>
  </conditionalFormatting>
  <conditionalFormatting sqref="B25:B33">
    <cfRule type="expression" dxfId="51" priority="3">
      <formula>LEFT(B25,3)="eg:"</formula>
    </cfRule>
  </conditionalFormatting>
  <conditionalFormatting sqref="D25:E36">
    <cfRule type="expression" dxfId="50" priority="1">
      <formula>LEFT(D25,3)="eg:"</formula>
    </cfRule>
  </conditionalFormatting>
  <conditionalFormatting sqref="D46">
    <cfRule type="expression" dxfId="49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33</xdr:row>
                    <xdr:rowOff>125186</xdr:rowOff>
                  </from>
                  <to>
                    <xdr:col>1</xdr:col>
                    <xdr:colOff>685800</xdr:colOff>
                    <xdr:row>35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37</xdr:row>
                    <xdr:rowOff>125186</xdr:rowOff>
                  </from>
                  <to>
                    <xdr:col>1</xdr:col>
                    <xdr:colOff>745671</xdr:colOff>
                    <xdr:row>39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364671</xdr:colOff>
                    <xdr:row>33</xdr:row>
                    <xdr:rowOff>163286</xdr:rowOff>
                  </from>
                  <to>
                    <xdr:col>2</xdr:col>
                    <xdr:colOff>288471</xdr:colOff>
                    <xdr:row>35</xdr:row>
                    <xdr:rowOff>65314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C27" sqref="C27"/>
    </sheetView>
  </sheetViews>
  <sheetFormatPr defaultColWidth="9.3046875" defaultRowHeight="14.6" x14ac:dyDescent="0.4"/>
  <cols>
    <col min="1" max="1" width="16.69140625" style="96" customWidth="1"/>
    <col min="2" max="2" width="19.69140625" style="96" customWidth="1"/>
    <col min="3" max="3" width="69.69140625" style="96" customWidth="1"/>
    <col min="4" max="6" width="19.69140625" style="96" customWidth="1"/>
    <col min="7" max="16384" width="9.3046875" style="96"/>
  </cols>
  <sheetData>
    <row r="1" spans="1:6" x14ac:dyDescent="0.4">
      <c r="A1" s="96" t="s">
        <v>2954</v>
      </c>
    </row>
    <row r="2" spans="1:6" x14ac:dyDescent="0.4">
      <c r="A2" s="97" t="s">
        <v>2955</v>
      </c>
      <c r="B2" s="96" t="s">
        <v>2956</v>
      </c>
    </row>
    <row r="3" spans="1:6" x14ac:dyDescent="0.4">
      <c r="A3" s="97" t="s">
        <v>2957</v>
      </c>
      <c r="B3" s="98"/>
    </row>
    <row r="4" spans="1:6" x14ac:dyDescent="0.4">
      <c r="A4" s="97" t="s">
        <v>2958</v>
      </c>
      <c r="B4" s="96" t="s">
        <v>2965</v>
      </c>
    </row>
    <row r="5" spans="1:6" x14ac:dyDescent="0.4">
      <c r="A5" s="97" t="s">
        <v>2959</v>
      </c>
      <c r="B5" s="96" t="s">
        <v>2960</v>
      </c>
    </row>
    <row r="7" spans="1:6" x14ac:dyDescent="0.4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4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4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4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4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4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4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4">
      <c r="A14" s="103" t="s">
        <v>2937</v>
      </c>
      <c r="B14" s="104"/>
      <c r="D14" s="105" t="s">
        <v>2980</v>
      </c>
      <c r="E14" s="105" t="s">
        <v>2937</v>
      </c>
      <c r="F14" s="106"/>
    </row>
    <row r="15" spans="1:6" x14ac:dyDescent="0.4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4">
      <c r="A16" s="103" t="s">
        <v>2935</v>
      </c>
      <c r="B16" s="104"/>
      <c r="E16" s="105" t="s">
        <v>2951</v>
      </c>
      <c r="F16" s="106"/>
    </row>
    <row r="17" spans="1:6" x14ac:dyDescent="0.4">
      <c r="A17" s="103" t="s">
        <v>2934</v>
      </c>
      <c r="B17" s="104"/>
      <c r="E17" s="105" t="s">
        <v>2952</v>
      </c>
      <c r="F17" s="106"/>
    </row>
    <row r="18" spans="1:6" x14ac:dyDescent="0.4">
      <c r="A18" s="108" t="s">
        <v>2933</v>
      </c>
      <c r="B18" s="109"/>
      <c r="E18" s="107" t="s">
        <v>2953</v>
      </c>
      <c r="F18" s="110"/>
    </row>
    <row r="24" spans="1:6" x14ac:dyDescent="0.4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2017-12-19T11:01:45Z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~WTH,RTNR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 %BSF%</vt:lpwstr>
  </property>
  <property fmtid="{D5CDD505-2E9C-101B-9397-08002B2CF9AE}" pid="6" name="id" linkTarget="prop_id">
    <vt:r8>0</vt:r8>
  </property>
</Properties>
</file>