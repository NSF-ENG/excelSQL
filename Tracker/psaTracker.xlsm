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Tracker\"/>
    </mc:Choice>
  </mc:AlternateContent>
  <bookViews>
    <workbookView xWindow="0" yWindow="0" windowWidth="12343" windowHeight="6343"/>
  </bookViews>
  <sheets>
    <sheet name="PropTracker" sheetId="24" r:id="rId1"/>
    <sheet name="splits18" sheetId="23" r:id="rId2"/>
    <sheet name="RecentActivity" sheetId="25" r:id="rId3"/>
    <sheet name="HiddenSettings" sheetId="31" r:id="rId4"/>
  </sheets>
  <functionGroups builtInGroupCount="18"/>
  <definedNames>
    <definedName name="add_budg_splts" localSheetId="2">splits_add[]</definedName>
    <definedName name="add_budg_splts" localSheetId="1">IncludeTable[]</definedName>
    <definedName name="awd_istr_abbr" localSheetId="2">RecentActivity!$B$34</definedName>
    <definedName name="awd_istr_abbr" localSheetId="1">splits18!$B$34</definedName>
    <definedName name="b.obj_clas_code" localSheetId="2">RecentActivity!$B$29</definedName>
    <definedName name="b.obj_clas_code" localSheetId="1">splits18!$B$29</definedName>
    <definedName name="b.org_code" localSheetId="2">RecentActivity!$B$27</definedName>
    <definedName name="b.org_code" localSheetId="1">splits18!$B$27</definedName>
    <definedName name="b.pgm_ele_code" localSheetId="2">RecentActivity!$B$28</definedName>
    <definedName name="b.pgm_ele_code" localSheetId="1">splits18!$B$28</definedName>
    <definedName name="b.pm_ibm_logn_id" localSheetId="2">RecentActivity!$B$30</definedName>
    <definedName name="b.pm_ibm_logn_id" localSheetId="1">splits18!$B$30</definedName>
    <definedName name="bpr.pgm_ref_code" localSheetId="2">RecentActivity!$B$32</definedName>
    <definedName name="bpr.pgm_ref_code" localSheetId="1">splits18!$B$32</definedName>
    <definedName name="budg_yr" localSheetId="2">RecentActivity!$B$26</definedName>
    <definedName name="budg_yr" localSheetId="1">splits18!$B$26</definedName>
    <definedName name="dd_from_date" localSheetId="0">PropTracker!$B$27</definedName>
    <definedName name="dd_from_date" localSheetId="2">RecentActivity!$D$27</definedName>
    <definedName name="dd_from_date" localSheetId="1">splits18!$D$27</definedName>
    <definedName name="dd_to_date" localSheetId="0">PropTracker!$C$27</definedName>
    <definedName name="dd_to_date" localSheetId="2">RecentActivity!$E$27</definedName>
    <definedName name="dd_to_date" localSheetId="1">splits18!$E$27</definedName>
    <definedName name="dir_div_abbr" localSheetId="0">PropTracker!$B$30</definedName>
    <definedName name="dir_div_abbr" localSheetId="2">RecentActivity!$D$30</definedName>
    <definedName name="dir_div_abbr" localSheetId="1">splits18!$D$30</definedName>
    <definedName name="from_date" localSheetId="0">PropTracker!$B$26</definedName>
    <definedName name="from_date" localSheetId="2">RecentActivity!$D$26</definedName>
    <definedName name="from_date" localSheetId="1">splits18!$D$26</definedName>
    <definedName name="last_updt_tmsp" localSheetId="2">RecentActivity!$B$33</definedName>
    <definedName name="last_updt_tmsp" localSheetId="1">splits18!$B$33</definedName>
    <definedName name="Mac_connect_string" comment="report server connection string for openlink on mac">HiddenSettings!$B$5</definedName>
    <definedName name="natr_rqst_abbr" localSheetId="0">PropTracker!$B$34</definedName>
    <definedName name="natr_rqst_abbr" localSheetId="2">RecentActivity!$D$34</definedName>
    <definedName name="natr_rqst_abbr" localSheetId="1">splits18!$D$34</definedName>
    <definedName name="obj_clas_code" localSheetId="0">PropTracker!$B$33</definedName>
    <definedName name="obj_clas_code" localSheetId="2">RecentActivity!$D$33</definedName>
    <definedName name="obj_clas_code" localSheetId="1">splits18!$D$33</definedName>
    <definedName name="omit_budg_splts" localSheetId="2">splits_omit[]</definedName>
    <definedName name="omit_budg_splts" localSheetId="1">ExcludeTable[]</definedName>
    <definedName name="org_code" localSheetId="0">PropTracker!$B$29</definedName>
    <definedName name="org_code" localSheetId="2">RecentActivity!$D$29</definedName>
    <definedName name="org_code" localSheetId="1">splits18!$D$29</definedName>
    <definedName name="pa.prop_atr_code" localSheetId="0">PropTracker!$B$36</definedName>
    <definedName name="pa.prop_atr_code" localSheetId="2">RecentActivity!$D$36</definedName>
    <definedName name="pa.prop_atr_code" localSheetId="1">splits18!$D$36</definedName>
    <definedName name="PC_connect_string" comment="report server connection string in windows">HiddenSettings!$B$4</definedName>
    <definedName name="pgm_annc_id" localSheetId="0">PropTracker!$B$28</definedName>
    <definedName name="pgm_annc_id" localSheetId="2">RecentActivity!$D$28</definedName>
    <definedName name="pgm_annc_id" localSheetId="1">splits18!$D$28</definedName>
    <definedName name="pgm_ele_code" localSheetId="0">PropTracker!$B$31</definedName>
    <definedName name="pgm_ele_code" localSheetId="2">RecentActivity!$D$31</definedName>
    <definedName name="pgm_ele_code" localSheetId="1">splits18!$D$31</definedName>
    <definedName name="pgm_ref_code" localSheetId="2">RecentActivity!$B$31</definedName>
    <definedName name="pgm_ref_code" localSheetId="1">splits18!$B$31</definedName>
    <definedName name="pm_ibm_logn_id" localSheetId="0">PropTracker!$B$35</definedName>
    <definedName name="pm_ibm_logn_id" localSheetId="2">RecentActivity!$D$35</definedName>
    <definedName name="pm_ibm_logn_id" localSheetId="1">splits18!$D$35</definedName>
    <definedName name="prop_stts_abbr" localSheetId="0">PropTracker!$B$32</definedName>
    <definedName name="prop_stts_abbr" localSheetId="2">RecentActivity!$D$32</definedName>
    <definedName name="prop_stts_abbr" localSheetId="1">splits18!$D$32</definedName>
    <definedName name="prop_titl_txt" localSheetId="0">PropTracker!$B$37</definedName>
    <definedName name="prop_titl_txt" localSheetId="2">RecentActivity!$D$37</definedName>
    <definedName name="prop_titl_txt" localSheetId="1">splits18!$D$37</definedName>
    <definedName name="PropParams" localSheetId="3">HiddenSettings!$A$7:$B$18</definedName>
    <definedName name="PropParams" localSheetId="0">PropTracker!$B$26:$C$37</definedName>
    <definedName name="Query_from_RPTSERVER" localSheetId="2" hidden="1">RecentActivity!$H$25:$AS$644</definedName>
    <definedName name="Query_from_RPTSERVER" localSheetId="1" hidden="1">splits18!$H$25:$AS$343</definedName>
    <definedName name="Query_from_RPTSERVER_1" localSheetId="0" hidden="1">PropTracker!#REF!</definedName>
    <definedName name="Query_from_RPTSERVER_2" localSheetId="0" hidden="1">PropTracker!#REF!</definedName>
    <definedName name="Query_from_RPTSERVER_3" localSheetId="0" hidden="1">PropTracker!#REF!</definedName>
    <definedName name="Query_from_RPTSERVER_4" localSheetId="0" hidden="1">PropTracker!$F$1:$BV$12</definedName>
    <definedName name="rpt_pwd" comment="reportserver password" localSheetId="3">HiddenSettings!$B$3</definedName>
    <definedName name="SplitBudgetParams" localSheetId="3">HiddenSettings!$D$7:$D$15</definedName>
    <definedName name="SplitBudgetParams" localSheetId="2">RecentActivity!$B$26:$B$34</definedName>
    <definedName name="SplitPropParams" localSheetId="3">HiddenSettings!$E$7:$F$18</definedName>
    <definedName name="SplitPropParams" localSheetId="2">RecentActivity!$D$26:$E$37</definedName>
    <definedName name="to_date" localSheetId="0">PropTracker!$C$26</definedName>
    <definedName name="to_date" localSheetId="2">RecentActivity!$E$26</definedName>
    <definedName name="to_date" localSheetId="1">splits18!$E$26</definedName>
    <definedName name="user_id" comment="reportserver user_id" localSheetId="3">HiddenSettings!$B$2</definedName>
  </definedNames>
  <calcPr calcId="171027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3" l="1"/>
  <c r="AG344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8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75" i="23"/>
  <c r="AB76" i="23"/>
  <c r="AB77" i="23"/>
  <c r="AB78" i="23"/>
  <c r="AB79" i="23"/>
  <c r="AB80" i="23"/>
  <c r="AB81" i="23"/>
  <c r="AB82" i="23"/>
  <c r="AB83" i="23"/>
  <c r="AB84" i="23"/>
  <c r="AB85" i="23"/>
  <c r="AB86" i="23"/>
  <c r="AB87" i="23"/>
  <c r="AB88" i="23"/>
  <c r="AB89" i="23"/>
  <c r="AB90" i="23"/>
  <c r="AB91" i="23"/>
  <c r="AB92" i="23"/>
  <c r="AB93" i="23"/>
  <c r="AB94" i="23"/>
  <c r="AB95" i="23"/>
  <c r="AB96" i="23"/>
  <c r="AB97" i="23"/>
  <c r="AB98" i="23"/>
  <c r="AB99" i="23"/>
  <c r="AB100" i="23"/>
  <c r="AB101" i="23"/>
  <c r="AB102" i="23"/>
  <c r="AB103" i="23"/>
  <c r="AB104" i="23"/>
  <c r="AB105" i="23"/>
  <c r="AB106" i="23"/>
  <c r="AB107" i="23"/>
  <c r="AB108" i="23"/>
  <c r="AB109" i="23"/>
  <c r="AB110" i="23"/>
  <c r="AB111" i="23"/>
  <c r="AB112" i="23"/>
  <c r="AB113" i="23"/>
  <c r="AB114" i="23"/>
  <c r="AB115" i="23"/>
  <c r="AB116" i="23"/>
  <c r="AB28" i="23"/>
  <c r="AB117" i="23"/>
  <c r="AB118" i="23"/>
  <c r="AB119" i="23"/>
  <c r="AB120" i="23"/>
  <c r="AB121" i="23"/>
  <c r="AB122" i="23"/>
  <c r="AB123" i="23"/>
  <c r="AB124" i="23"/>
  <c r="AB29" i="23"/>
  <c r="AB125" i="23"/>
  <c r="AB126" i="23"/>
  <c r="AB127" i="23"/>
  <c r="AB128" i="23"/>
  <c r="AB129" i="23"/>
  <c r="AB130" i="23"/>
  <c r="AB131" i="23"/>
  <c r="AB132" i="23"/>
  <c r="AB133" i="23"/>
  <c r="AB134" i="23"/>
  <c r="AB135" i="23"/>
  <c r="AB136" i="23"/>
  <c r="AB137" i="23"/>
  <c r="AB138" i="23"/>
  <c r="AB139" i="23"/>
  <c r="AB140" i="23"/>
  <c r="AB141" i="23"/>
  <c r="AB142" i="23"/>
  <c r="AB143" i="23"/>
  <c r="AB144" i="23"/>
  <c r="AB145" i="23"/>
  <c r="AB146" i="23"/>
  <c r="AB147" i="23"/>
  <c r="AB148" i="23"/>
  <c r="AB149" i="23"/>
  <c r="AB150" i="23"/>
  <c r="AB151" i="23"/>
  <c r="AB152" i="23"/>
  <c r="AB153" i="23"/>
  <c r="AB154" i="23"/>
  <c r="AB155" i="23"/>
  <c r="AB156" i="23"/>
  <c r="AB26" i="23"/>
  <c r="AB157" i="23"/>
  <c r="AB158" i="23"/>
  <c r="AB159" i="23"/>
  <c r="AB160" i="23"/>
  <c r="AB161" i="23"/>
  <c r="AB162" i="23"/>
  <c r="AB163" i="23"/>
  <c r="AB164" i="23"/>
  <c r="AB165" i="23"/>
  <c r="AB166" i="23"/>
  <c r="AB167" i="23"/>
  <c r="AB168" i="23"/>
  <c r="AB169" i="23"/>
  <c r="AB27" i="23"/>
  <c r="AB170" i="23"/>
  <c r="AB171" i="23"/>
  <c r="AB172" i="23"/>
  <c r="AB173" i="23"/>
  <c r="AB174" i="23"/>
  <c r="AB175" i="23"/>
  <c r="AB176" i="23"/>
  <c r="AB177" i="23"/>
  <c r="AB178" i="23"/>
  <c r="AB30" i="23"/>
  <c r="AB31" i="23"/>
  <c r="AB179" i="23"/>
  <c r="AB180" i="23"/>
  <c r="AB181" i="23"/>
  <c r="AB182" i="23"/>
  <c r="AB183" i="23"/>
  <c r="AB184" i="23"/>
  <c r="AB185" i="23"/>
  <c r="AB186" i="23"/>
  <c r="AB187" i="23"/>
  <c r="AB188" i="23"/>
  <c r="AB189" i="23"/>
  <c r="AB190" i="23"/>
  <c r="AB191" i="23"/>
  <c r="AB192" i="23"/>
  <c r="AB193" i="23"/>
  <c r="AB194" i="23"/>
  <c r="AB195" i="23"/>
  <c r="AB196" i="23"/>
  <c r="AB197" i="23"/>
  <c r="AB198" i="23"/>
  <c r="AB199" i="23"/>
  <c r="AB200" i="23"/>
  <c r="AB201" i="23"/>
  <c r="AB202" i="23"/>
  <c r="AB203" i="23"/>
  <c r="AB204" i="23"/>
  <c r="AB205" i="23"/>
  <c r="AB206" i="23"/>
  <c r="AB207" i="23"/>
  <c r="AB208" i="23"/>
  <c r="AB209" i="23"/>
  <c r="AB210" i="23"/>
  <c r="AB32" i="23"/>
  <c r="AB211" i="23"/>
  <c r="AB33" i="23"/>
  <c r="AB34" i="23"/>
  <c r="AB212" i="23"/>
  <c r="AB213" i="23"/>
  <c r="AB214" i="23"/>
  <c r="AB215" i="23"/>
  <c r="AB216" i="23"/>
  <c r="AB217" i="23"/>
  <c r="AB218" i="23"/>
  <c r="AB219" i="23"/>
  <c r="AB35" i="23"/>
  <c r="AB220" i="23"/>
  <c r="AB221" i="23"/>
  <c r="AB222" i="23"/>
  <c r="AB223" i="23"/>
  <c r="AB224" i="23"/>
  <c r="AB36" i="23"/>
  <c r="AB225" i="23"/>
  <c r="AB226" i="23"/>
  <c r="AB227" i="23"/>
  <c r="AB228" i="23"/>
  <c r="AB229" i="23"/>
  <c r="AB230" i="23"/>
  <c r="AB231" i="23"/>
  <c r="AB232" i="23"/>
  <c r="AB233" i="23"/>
  <c r="AB234" i="23"/>
  <c r="AB235" i="23"/>
  <c r="AB236" i="23"/>
  <c r="AB237" i="23"/>
  <c r="AB238" i="23"/>
  <c r="AB239" i="23"/>
  <c r="AB240" i="23"/>
  <c r="AB241" i="23"/>
  <c r="AB242" i="23"/>
  <c r="AB243" i="23"/>
  <c r="AB244" i="23"/>
  <c r="AB245" i="23"/>
  <c r="AB246" i="23"/>
  <c r="AB247" i="23"/>
  <c r="AB248" i="23"/>
  <c r="AB249" i="23"/>
  <c r="AB250" i="23"/>
  <c r="AB251" i="23"/>
  <c r="AB252" i="23"/>
  <c r="AB253" i="23"/>
  <c r="AB254" i="23"/>
  <c r="AB255" i="23"/>
  <c r="AB256" i="23"/>
  <c r="AB257" i="23"/>
  <c r="AB258" i="23"/>
  <c r="AB259" i="23"/>
  <c r="AB260" i="23"/>
  <c r="AB261" i="23"/>
  <c r="AB262" i="23"/>
  <c r="AB263" i="23"/>
  <c r="AB264" i="23"/>
  <c r="AB265" i="23"/>
  <c r="AB266" i="23"/>
  <c r="AB267" i="23"/>
  <c r="AB268" i="23"/>
  <c r="AB269" i="23"/>
  <c r="AB270" i="23"/>
  <c r="AB271" i="23"/>
  <c r="AB272" i="23"/>
  <c r="AB273" i="23"/>
  <c r="AB274" i="23"/>
  <c r="AB275" i="23"/>
  <c r="AB276" i="23"/>
  <c r="AB277" i="23"/>
  <c r="AB278" i="23"/>
  <c r="AB279" i="23"/>
  <c r="AB280" i="23"/>
  <c r="AB281" i="23"/>
  <c r="AB282" i="23"/>
  <c r="AB283" i="23"/>
  <c r="AB284" i="23"/>
  <c r="AB285" i="23"/>
  <c r="AB286" i="23"/>
  <c r="AB287" i="23"/>
  <c r="AB288" i="23"/>
  <c r="AB289" i="23"/>
  <c r="AB290" i="23"/>
  <c r="AB291" i="23"/>
  <c r="AB292" i="23"/>
  <c r="AB293" i="23"/>
  <c r="AB294" i="23"/>
  <c r="AB295" i="23"/>
  <c r="AB296" i="23"/>
  <c r="AB297" i="23"/>
  <c r="AB298" i="23"/>
  <c r="AB299" i="23"/>
  <c r="AB300" i="23"/>
  <c r="AB301" i="23"/>
  <c r="AB302" i="23"/>
  <c r="AB303" i="23"/>
  <c r="AB304" i="23"/>
  <c r="AB305" i="23"/>
  <c r="AB306" i="23"/>
  <c r="AB307" i="23"/>
  <c r="AB308" i="23"/>
  <c r="AB309" i="23"/>
  <c r="AB310" i="23"/>
  <c r="AB311" i="23"/>
  <c r="AB312" i="23"/>
  <c r="AB313" i="23"/>
  <c r="AB314" i="23"/>
  <c r="AB315" i="23"/>
  <c r="AB316" i="23"/>
  <c r="AB317" i="23"/>
  <c r="AB318" i="23"/>
  <c r="AB319" i="23"/>
  <c r="AB320" i="23"/>
  <c r="AB321" i="23"/>
  <c r="AB322" i="23"/>
  <c r="AB323" i="23"/>
  <c r="AB324" i="23"/>
  <c r="AB325" i="23"/>
  <c r="AB326" i="23"/>
  <c r="AB327" i="23"/>
  <c r="AB328" i="23"/>
  <c r="AB329" i="23"/>
  <c r="AB330" i="23"/>
  <c r="AB331" i="23"/>
  <c r="AB332" i="23"/>
  <c r="AB333" i="23"/>
  <c r="AB334" i="23"/>
  <c r="AB335" i="23"/>
  <c r="AB336" i="23"/>
  <c r="AB337" i="23"/>
  <c r="AB338" i="23"/>
  <c r="AB339" i="23"/>
  <c r="AB340" i="23"/>
  <c r="AB341" i="23"/>
  <c r="AB342" i="23"/>
  <c r="AB343" i="23"/>
  <c r="AT26" i="23"/>
  <c r="AT27" i="23"/>
  <c r="AT28" i="23"/>
  <c r="AT29" i="23"/>
  <c r="AT30" i="23"/>
  <c r="AT31" i="23"/>
  <c r="AT32" i="23"/>
  <c r="AT33" i="23"/>
  <c r="AT34" i="23"/>
  <c r="AT35" i="23"/>
  <c r="AT36" i="23"/>
  <c r="AT37" i="23"/>
  <c r="AT38" i="23"/>
  <c r="AT39" i="23"/>
  <c r="AT40" i="23"/>
  <c r="AT41" i="23"/>
  <c r="AT42" i="23"/>
  <c r="AT43" i="23"/>
  <c r="AT44" i="23"/>
  <c r="AT45" i="23"/>
  <c r="AT46" i="23"/>
  <c r="AT47" i="23"/>
  <c r="AT48" i="23"/>
  <c r="AT49" i="23"/>
  <c r="AT50" i="23"/>
  <c r="AT51" i="23"/>
  <c r="AT52" i="23"/>
  <c r="AT53" i="23"/>
  <c r="AT54" i="23"/>
  <c r="AT55" i="23"/>
  <c r="AT56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AT77" i="23"/>
  <c r="AT78" i="23"/>
  <c r="AT79" i="23"/>
  <c r="AT80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101" i="23"/>
  <c r="AT102" i="23"/>
  <c r="AT103" i="23"/>
  <c r="AT104" i="23"/>
  <c r="AT105" i="23"/>
  <c r="AT106" i="23"/>
  <c r="AT107" i="23"/>
  <c r="AT108" i="23"/>
  <c r="AT109" i="23"/>
  <c r="AT110" i="23"/>
  <c r="AT111" i="23"/>
  <c r="AT112" i="23"/>
  <c r="AT113" i="23"/>
  <c r="AT114" i="23"/>
  <c r="AT115" i="23"/>
  <c r="AT116" i="23"/>
  <c r="AT117" i="23"/>
  <c r="AT118" i="23"/>
  <c r="AT119" i="23"/>
  <c r="AT120" i="23"/>
  <c r="AT121" i="23"/>
  <c r="AT122" i="23"/>
  <c r="AT123" i="23"/>
  <c r="AT124" i="23"/>
  <c r="AT125" i="23"/>
  <c r="AT126" i="23"/>
  <c r="AT127" i="23"/>
  <c r="AT128" i="23"/>
  <c r="AT129" i="23"/>
  <c r="AT130" i="23"/>
  <c r="AT131" i="23"/>
  <c r="AT132" i="23"/>
  <c r="AT133" i="23"/>
  <c r="AT134" i="23"/>
  <c r="AT135" i="23"/>
  <c r="AT136" i="23"/>
  <c r="AT137" i="23"/>
  <c r="AT138" i="23"/>
  <c r="AT139" i="23"/>
  <c r="AT140" i="23"/>
  <c r="AT141" i="23"/>
  <c r="AT142" i="23"/>
  <c r="AT143" i="23"/>
  <c r="AT144" i="23"/>
  <c r="AT145" i="23"/>
  <c r="AT146" i="23"/>
  <c r="AT147" i="23"/>
  <c r="AT148" i="23"/>
  <c r="AT149" i="23"/>
  <c r="AT150" i="23"/>
  <c r="AT151" i="23"/>
  <c r="AT152" i="23"/>
  <c r="AT153" i="23"/>
  <c r="AT154" i="23"/>
  <c r="AT155" i="23"/>
  <c r="AT156" i="23"/>
  <c r="AT157" i="23"/>
  <c r="AT158" i="23"/>
  <c r="AT159" i="23"/>
  <c r="AT160" i="23"/>
  <c r="AT161" i="23"/>
  <c r="AT162" i="23"/>
  <c r="AT163" i="23"/>
  <c r="AT164" i="23"/>
  <c r="AT165" i="23"/>
  <c r="AT166" i="23"/>
  <c r="AT167" i="23"/>
  <c r="AT168" i="23"/>
  <c r="AT169" i="23"/>
  <c r="AT170" i="23"/>
  <c r="AT171" i="23"/>
  <c r="AT172" i="23"/>
  <c r="AT173" i="23"/>
  <c r="AT174" i="23"/>
  <c r="AT175" i="23"/>
  <c r="AT176" i="23"/>
  <c r="AT177" i="23"/>
  <c r="AT178" i="23"/>
  <c r="AT179" i="23"/>
  <c r="AT180" i="23"/>
  <c r="AT181" i="23"/>
  <c r="AT182" i="23"/>
  <c r="AT183" i="23"/>
  <c r="AT184" i="23"/>
  <c r="AT185" i="23"/>
  <c r="AT186" i="23"/>
  <c r="AT187" i="23"/>
  <c r="AT188" i="23"/>
  <c r="AT189" i="23"/>
  <c r="AT190" i="23"/>
  <c r="AT191" i="23"/>
  <c r="AT192" i="23"/>
  <c r="AT193" i="23"/>
  <c r="AT194" i="23"/>
  <c r="AT195" i="23"/>
  <c r="AT196" i="23"/>
  <c r="AT197" i="23"/>
  <c r="AT198" i="23"/>
  <c r="AT199" i="23"/>
  <c r="AT200" i="23"/>
  <c r="AT201" i="23"/>
  <c r="AT202" i="23"/>
  <c r="AT203" i="23"/>
  <c r="AT204" i="23"/>
  <c r="AT205" i="23"/>
  <c r="AT206" i="23"/>
  <c r="AT207" i="23"/>
  <c r="AT208" i="23"/>
  <c r="AT209" i="23"/>
  <c r="AT210" i="23"/>
  <c r="AT211" i="23"/>
  <c r="AT212" i="23"/>
  <c r="AT213" i="23"/>
  <c r="AT214" i="23"/>
  <c r="AT215" i="23"/>
  <c r="AT216" i="23"/>
  <c r="AT217" i="23"/>
  <c r="AT218" i="23"/>
  <c r="AT219" i="23"/>
  <c r="AT220" i="23"/>
  <c r="AT221" i="23"/>
  <c r="AT222" i="23"/>
  <c r="AT223" i="23"/>
  <c r="AT224" i="23"/>
  <c r="AT225" i="23"/>
  <c r="AT226" i="23"/>
  <c r="AT227" i="23"/>
  <c r="AT228" i="23"/>
  <c r="AT229" i="23"/>
  <c r="AT230" i="23"/>
  <c r="AT231" i="23"/>
  <c r="AT232" i="23"/>
  <c r="AT233" i="23"/>
  <c r="AT234" i="23"/>
  <c r="AT235" i="23"/>
  <c r="AT236" i="23"/>
  <c r="AT237" i="23"/>
  <c r="AT238" i="23"/>
  <c r="AT239" i="23"/>
  <c r="AT240" i="23"/>
  <c r="AT241" i="23"/>
  <c r="AT242" i="23"/>
  <c r="AT243" i="23"/>
  <c r="AT244" i="23"/>
  <c r="AT245" i="23"/>
  <c r="AT246" i="23"/>
  <c r="AT247" i="23"/>
  <c r="AT248" i="23"/>
  <c r="AT249" i="23"/>
  <c r="AT250" i="23"/>
  <c r="AT251" i="23"/>
  <c r="AT252" i="23"/>
  <c r="AT253" i="23"/>
  <c r="AT254" i="23"/>
  <c r="AT255" i="23"/>
  <c r="AT256" i="23"/>
  <c r="AT257" i="23"/>
  <c r="AT258" i="23"/>
  <c r="AT259" i="23"/>
  <c r="AT260" i="23"/>
  <c r="AT261" i="23"/>
  <c r="AT262" i="23"/>
  <c r="AT263" i="23"/>
  <c r="AT264" i="23"/>
  <c r="AT265" i="23"/>
  <c r="AT266" i="23"/>
  <c r="AT267" i="23"/>
  <c r="AT268" i="23"/>
  <c r="AT269" i="23"/>
  <c r="AT270" i="23"/>
  <c r="AT271" i="23"/>
  <c r="AT272" i="23"/>
  <c r="AT273" i="23"/>
  <c r="AT274" i="23"/>
  <c r="AT275" i="23"/>
  <c r="AT276" i="23"/>
  <c r="AT277" i="23"/>
  <c r="AT278" i="23"/>
  <c r="AT279" i="23"/>
  <c r="AT280" i="23"/>
  <c r="AT281" i="23"/>
  <c r="AT282" i="23"/>
  <c r="AT283" i="23"/>
  <c r="AT284" i="23"/>
  <c r="AT285" i="23"/>
  <c r="AT286" i="23"/>
  <c r="AT287" i="23"/>
  <c r="AT288" i="23"/>
  <c r="AT289" i="23"/>
  <c r="AT290" i="23"/>
  <c r="AT291" i="23"/>
  <c r="AT292" i="23"/>
  <c r="AT293" i="23"/>
  <c r="AT294" i="23"/>
  <c r="AT295" i="23"/>
  <c r="AT296" i="23"/>
  <c r="AT297" i="23"/>
  <c r="AT298" i="23"/>
  <c r="AT299" i="23"/>
  <c r="AT300" i="23"/>
  <c r="AT301" i="23"/>
  <c r="AT302" i="23"/>
  <c r="AT303" i="23"/>
  <c r="AT304" i="23"/>
  <c r="AT305" i="23"/>
  <c r="AT306" i="23"/>
  <c r="AT307" i="23"/>
  <c r="AT308" i="23"/>
  <c r="AT309" i="23"/>
  <c r="AT310" i="23"/>
  <c r="AT311" i="23"/>
  <c r="AT312" i="23"/>
  <c r="AT313" i="23"/>
  <c r="AT314" i="23"/>
  <c r="AT315" i="23"/>
  <c r="AT316" i="23"/>
  <c r="AT317" i="23"/>
  <c r="AT318" i="23"/>
  <c r="AT319" i="23"/>
  <c r="AT320" i="23"/>
  <c r="AT321" i="23"/>
  <c r="AT322" i="23"/>
  <c r="AT323" i="23"/>
  <c r="AT324" i="23"/>
  <c r="AT325" i="23"/>
  <c r="AT326" i="23"/>
  <c r="AT327" i="23"/>
  <c r="AT328" i="23"/>
  <c r="AT329" i="23"/>
  <c r="AT330" i="23"/>
  <c r="AT331" i="23"/>
  <c r="AT332" i="23"/>
  <c r="AT333" i="23"/>
  <c r="AT334" i="23"/>
  <c r="AT335" i="23"/>
  <c r="AT336" i="23"/>
  <c r="AT337" i="23"/>
  <c r="AT338" i="23"/>
  <c r="AT339" i="23"/>
  <c r="AT340" i="23"/>
  <c r="AT341" i="23"/>
  <c r="AT342" i="23"/>
  <c r="AT343" i="23"/>
  <c r="AG645" i="25"/>
  <c r="AB643" i="25"/>
  <c r="AB575" i="25"/>
  <c r="AB26" i="25"/>
  <c r="AB27" i="25"/>
  <c r="AB28" i="25"/>
  <c r="AB29" i="25"/>
  <c r="AB30" i="25"/>
  <c r="AB31" i="25"/>
  <c r="AB32" i="25"/>
  <c r="AB33" i="25"/>
  <c r="AB576" i="25"/>
  <c r="AB34" i="25"/>
  <c r="AB35" i="25"/>
  <c r="AB36" i="25"/>
  <c r="AB37" i="25"/>
  <c r="AB38" i="25"/>
  <c r="AB39" i="25"/>
  <c r="AB40" i="25"/>
  <c r="AB41" i="25"/>
  <c r="AB42" i="25"/>
  <c r="AB43" i="25"/>
  <c r="AB577" i="25"/>
  <c r="AB44" i="25"/>
  <c r="AB45" i="25"/>
  <c r="AB46" i="25"/>
  <c r="AB47" i="25"/>
  <c r="AB48" i="25"/>
  <c r="AB49" i="25"/>
  <c r="AB50" i="25"/>
  <c r="AB51" i="25"/>
  <c r="AB52" i="25"/>
  <c r="AB53" i="25"/>
  <c r="AB54" i="25"/>
  <c r="AB578" i="25"/>
  <c r="AB55" i="25"/>
  <c r="AB56" i="25"/>
  <c r="AB57" i="25"/>
  <c r="AB58" i="25"/>
  <c r="AB579" i="25"/>
  <c r="AB59" i="25"/>
  <c r="AB60" i="25"/>
  <c r="AB580" i="25"/>
  <c r="AB61" i="25"/>
  <c r="AB62" i="25"/>
  <c r="AB63" i="25"/>
  <c r="AB64" i="25"/>
  <c r="AB65" i="25"/>
  <c r="AB581" i="25"/>
  <c r="AB66" i="25"/>
  <c r="AB67" i="25"/>
  <c r="AB68" i="25"/>
  <c r="AB69" i="25"/>
  <c r="AB70" i="25"/>
  <c r="AB71" i="25"/>
  <c r="AB72" i="25"/>
  <c r="AB73" i="25"/>
  <c r="AB74" i="25"/>
  <c r="AB75" i="25"/>
  <c r="AB76" i="25"/>
  <c r="AB77" i="25"/>
  <c r="AB78" i="25"/>
  <c r="AB582" i="25"/>
  <c r="AB79" i="25"/>
  <c r="AB80" i="25"/>
  <c r="AB81" i="25"/>
  <c r="AB82" i="25"/>
  <c r="AB583" i="25"/>
  <c r="AB83" i="25"/>
  <c r="AB84" i="25"/>
  <c r="AB85" i="25"/>
  <c r="AB86" i="25"/>
  <c r="AB87" i="25"/>
  <c r="AB88" i="25"/>
  <c r="AB89" i="25"/>
  <c r="AB90" i="25"/>
  <c r="AB91" i="25"/>
  <c r="AB92" i="25"/>
  <c r="AB93" i="25"/>
  <c r="AB94" i="25"/>
  <c r="AB584" i="25"/>
  <c r="AB95" i="25"/>
  <c r="AB585" i="25"/>
  <c r="AB96" i="25"/>
  <c r="AB97" i="25"/>
  <c r="AB98" i="25"/>
  <c r="AB586" i="25"/>
  <c r="AB99" i="25"/>
  <c r="AB100" i="25"/>
  <c r="AB101" i="25"/>
  <c r="AB102" i="25"/>
  <c r="AB103" i="25"/>
  <c r="AB104" i="25"/>
  <c r="AB105" i="25"/>
  <c r="AB106" i="25"/>
  <c r="AB107" i="25"/>
  <c r="AB108" i="25"/>
  <c r="AB109" i="25"/>
  <c r="AB110" i="25"/>
  <c r="AB587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123" i="25"/>
  <c r="AB124" i="25"/>
  <c r="AB125" i="25"/>
  <c r="AB126" i="25"/>
  <c r="AB127" i="25"/>
  <c r="AB128" i="25"/>
  <c r="AB129" i="25"/>
  <c r="AB130" i="25"/>
  <c r="AB588" i="25"/>
  <c r="AB131" i="25"/>
  <c r="AB132" i="25"/>
  <c r="AB589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144" i="25"/>
  <c r="AB145" i="25"/>
  <c r="AB146" i="25"/>
  <c r="AB590" i="25"/>
  <c r="AB147" i="25"/>
  <c r="AB148" i="25"/>
  <c r="AB149" i="25"/>
  <c r="AB150" i="25"/>
  <c r="AB151" i="25"/>
  <c r="AB152" i="25"/>
  <c r="AB153" i="25"/>
  <c r="AB154" i="25"/>
  <c r="AB623" i="25"/>
  <c r="AB155" i="25"/>
  <c r="AB156" i="25"/>
  <c r="AB157" i="25"/>
  <c r="AB158" i="25"/>
  <c r="AB159" i="25"/>
  <c r="AB160" i="25"/>
  <c r="AB161" i="25"/>
  <c r="AB162" i="25"/>
  <c r="AB163" i="25"/>
  <c r="AB164" i="25"/>
  <c r="AB165" i="25"/>
  <c r="AB166" i="25"/>
  <c r="AB167" i="25"/>
  <c r="AB591" i="25"/>
  <c r="AB168" i="25"/>
  <c r="AB169" i="25"/>
  <c r="AB170" i="25"/>
  <c r="AB171" i="25"/>
  <c r="AB172" i="25"/>
  <c r="AB173" i="25"/>
  <c r="AB174" i="25"/>
  <c r="AB175" i="25"/>
  <c r="AB176" i="25"/>
  <c r="AB624" i="25"/>
  <c r="AB592" i="25"/>
  <c r="AB177" i="25"/>
  <c r="AB178" i="25"/>
  <c r="AB179" i="25"/>
  <c r="AB180" i="25"/>
  <c r="AB181" i="25"/>
  <c r="AB182" i="25"/>
  <c r="AB183" i="25"/>
  <c r="AB184" i="25"/>
  <c r="AB185" i="25"/>
  <c r="AB186" i="25"/>
  <c r="AB187" i="25"/>
  <c r="AB188" i="25"/>
  <c r="AB593" i="25"/>
  <c r="AB189" i="25"/>
  <c r="AB190" i="25"/>
  <c r="AB191" i="25"/>
  <c r="AB594" i="25"/>
  <c r="AB192" i="25"/>
  <c r="AB193" i="25"/>
  <c r="AB194" i="25"/>
  <c r="AB195" i="25"/>
  <c r="AB196" i="25"/>
  <c r="AB625" i="25"/>
  <c r="AB626" i="25"/>
  <c r="AB627" i="25"/>
  <c r="AB197" i="25"/>
  <c r="AB198" i="25"/>
  <c r="AB595" i="25"/>
  <c r="AB199" i="25"/>
  <c r="AB200" i="25"/>
  <c r="AB201" i="25"/>
  <c r="AB202" i="25"/>
  <c r="AB203" i="25"/>
  <c r="AB204" i="25"/>
  <c r="AB628" i="25"/>
  <c r="AB205" i="25"/>
  <c r="AB206" i="25"/>
  <c r="AB596" i="25"/>
  <c r="AB629" i="25"/>
  <c r="AB207" i="25"/>
  <c r="AB208" i="25"/>
  <c r="AB209" i="25"/>
  <c r="AB210" i="25"/>
  <c r="AB597" i="25"/>
  <c r="AB630" i="25"/>
  <c r="AB211" i="25"/>
  <c r="AB212" i="25"/>
  <c r="AB631" i="25"/>
  <c r="AB213" i="25"/>
  <c r="AB214" i="25"/>
  <c r="AB215" i="25"/>
  <c r="AB216" i="25"/>
  <c r="AB598" i="25"/>
  <c r="AB217" i="25"/>
  <c r="AB218" i="25"/>
  <c r="AB219" i="25"/>
  <c r="AB220" i="25"/>
  <c r="AB221" i="25"/>
  <c r="AB222" i="25"/>
  <c r="AB223" i="25"/>
  <c r="AB224" i="25"/>
  <c r="AB599" i="25"/>
  <c r="AB225" i="25"/>
  <c r="AB226" i="25"/>
  <c r="AB227" i="25"/>
  <c r="AB228" i="25"/>
  <c r="AB229" i="25"/>
  <c r="AB230" i="25"/>
  <c r="AB231" i="25"/>
  <c r="AB232" i="25"/>
  <c r="AB233" i="25"/>
  <c r="AB234" i="25"/>
  <c r="AB235" i="25"/>
  <c r="AB236" i="25"/>
  <c r="AB237" i="25"/>
  <c r="AB238" i="25"/>
  <c r="AB239" i="25"/>
  <c r="AB240" i="25"/>
  <c r="AB241" i="25"/>
  <c r="AB242" i="25"/>
  <c r="AB243" i="25"/>
  <c r="AB244" i="25"/>
  <c r="AB245" i="25"/>
  <c r="AB600" i="25"/>
  <c r="AB246" i="25"/>
  <c r="AB247" i="25"/>
  <c r="AB248" i="25"/>
  <c r="AB249" i="25"/>
  <c r="AB250" i="25"/>
  <c r="AB601" i="25"/>
  <c r="AB602" i="25"/>
  <c r="AB251" i="25"/>
  <c r="AB252" i="25"/>
  <c r="AB253" i="25"/>
  <c r="AB254" i="25"/>
  <c r="AB603" i="25"/>
  <c r="AB604" i="25"/>
  <c r="AB255" i="25"/>
  <c r="AB605" i="25"/>
  <c r="AB256" i="25"/>
  <c r="AB257" i="25"/>
  <c r="AB258" i="25"/>
  <c r="AB259" i="25"/>
  <c r="AB260" i="25"/>
  <c r="AB606" i="25"/>
  <c r="AB261" i="25"/>
  <c r="AB262" i="25"/>
  <c r="AB263" i="25"/>
  <c r="AB264" i="25"/>
  <c r="AB265" i="25"/>
  <c r="AB266" i="25"/>
  <c r="AB267" i="25"/>
  <c r="AB268" i="25"/>
  <c r="AB607" i="25"/>
  <c r="AB608" i="25"/>
  <c r="AB269" i="25"/>
  <c r="AB609" i="25"/>
  <c r="AB610" i="25"/>
  <c r="AB611" i="25"/>
  <c r="AB612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632" i="25"/>
  <c r="AB633" i="25"/>
  <c r="AB634" i="25"/>
  <c r="AB398" i="25"/>
  <c r="AB399" i="25"/>
  <c r="AB400" i="25"/>
  <c r="AB401" i="25"/>
  <c r="AB402" i="25"/>
  <c r="AB403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424" i="25"/>
  <c r="AB425" i="25"/>
  <c r="AB426" i="25"/>
  <c r="AB427" i="25"/>
  <c r="AB635" i="25"/>
  <c r="AB636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441" i="25"/>
  <c r="AB442" i="25"/>
  <c r="AB443" i="25"/>
  <c r="AB444" i="25"/>
  <c r="AB445" i="25"/>
  <c r="AB446" i="25"/>
  <c r="AB447" i="25"/>
  <c r="AB637" i="25"/>
  <c r="AB638" i="25"/>
  <c r="AB639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640" i="25"/>
  <c r="AB641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09" i="25"/>
  <c r="AB510" i="25"/>
  <c r="AB511" i="25"/>
  <c r="AB512" i="25"/>
  <c r="AB513" i="25"/>
  <c r="AB514" i="25"/>
  <c r="AB515" i="25"/>
  <c r="AB613" i="25"/>
  <c r="AB614" i="25"/>
  <c r="AB6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616" i="25"/>
  <c r="AB533" i="25"/>
  <c r="AB534" i="25"/>
  <c r="AB535" i="25"/>
  <c r="AB617" i="25"/>
  <c r="AB618" i="25"/>
  <c r="AB619" i="25"/>
  <c r="AB620" i="25"/>
  <c r="AB621" i="25"/>
  <c r="AB536" i="25"/>
  <c r="AB537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B551" i="25"/>
  <c r="AB552" i="25"/>
  <c r="AB553" i="25"/>
  <c r="AB554" i="25"/>
  <c r="AB555" i="25"/>
  <c r="AB556" i="25"/>
  <c r="AB557" i="25"/>
  <c r="AB558" i="25"/>
  <c r="AB642" i="25"/>
  <c r="AB559" i="25"/>
  <c r="AB560" i="25"/>
  <c r="AB561" i="25"/>
  <c r="AB622" i="25"/>
  <c r="AB644" i="25"/>
  <c r="AB562" i="25"/>
  <c r="AB563" i="25"/>
  <c r="AB564" i="25"/>
  <c r="AB565" i="25"/>
  <c r="AB566" i="25"/>
  <c r="AB567" i="25"/>
  <c r="AB568" i="25"/>
  <c r="AB569" i="25"/>
  <c r="AB570" i="25"/>
  <c r="AB571" i="25"/>
  <c r="AB572" i="25"/>
  <c r="AB573" i="25"/>
  <c r="AB574" i="25"/>
  <c r="A2" i="25"/>
  <c r="AT26" i="25"/>
  <c r="AT27" i="25" s="1"/>
  <c r="AT28" i="25" s="1"/>
  <c r="AT29" i="25" s="1"/>
  <c r="AT30" i="25" s="1"/>
  <c r="AT31" i="25" s="1"/>
  <c r="AT32" i="25" s="1"/>
  <c r="AT33" i="25" s="1"/>
  <c r="AT34" i="25" s="1"/>
  <c r="AT35" i="25" s="1"/>
  <c r="AT36" i="25" s="1"/>
  <c r="AT37" i="25" s="1"/>
  <c r="AT38" i="25" s="1"/>
  <c r="AT39" i="25" s="1"/>
  <c r="AT40" i="25" s="1"/>
  <c r="AT41" i="25" s="1"/>
  <c r="AT42" i="25" s="1"/>
  <c r="AT43" i="25" s="1"/>
  <c r="AT44" i="25" s="1"/>
  <c r="AT45" i="25" s="1"/>
  <c r="AT46" i="25" s="1"/>
  <c r="AT47" i="25" s="1"/>
  <c r="AT48" i="25" s="1"/>
  <c r="AT49" i="25" s="1"/>
  <c r="AT50" i="25" s="1"/>
  <c r="AT51" i="25" s="1"/>
  <c r="AT52" i="25" s="1"/>
  <c r="AT53" i="25" s="1"/>
  <c r="AT54" i="25" s="1"/>
  <c r="AT55" i="25" s="1"/>
  <c r="AT56" i="25" s="1"/>
  <c r="AT57" i="25" s="1"/>
  <c r="AT58" i="25" s="1"/>
  <c r="AT59" i="25" s="1"/>
  <c r="AT60" i="25" s="1"/>
  <c r="AT61" i="25" s="1"/>
  <c r="AT62" i="25" s="1"/>
  <c r="AT63" i="25" s="1"/>
  <c r="AT64" i="25" s="1"/>
  <c r="AT65" i="25" s="1"/>
  <c r="AT66" i="25" s="1"/>
  <c r="AT67" i="25" s="1"/>
  <c r="AT68" i="25" s="1"/>
  <c r="AT69" i="25" s="1"/>
  <c r="AT70" i="25" s="1"/>
  <c r="AT71" i="25" s="1"/>
  <c r="AT72" i="25" s="1"/>
  <c r="AT73" i="25" s="1"/>
  <c r="AT74" i="25" s="1"/>
  <c r="AT75" i="25" s="1"/>
  <c r="AT76" i="25" s="1"/>
  <c r="AT77" i="25" s="1"/>
  <c r="AT78" i="25" s="1"/>
  <c r="AT79" i="25" s="1"/>
  <c r="AT80" i="25" s="1"/>
  <c r="AT81" i="25" s="1"/>
  <c r="AT82" i="25" s="1"/>
  <c r="AT83" i="25" s="1"/>
  <c r="AT84" i="25" s="1"/>
  <c r="AT85" i="25" s="1"/>
  <c r="AT86" i="25" s="1"/>
  <c r="AT87" i="25" s="1"/>
  <c r="AT88" i="25" s="1"/>
  <c r="AT89" i="25" s="1"/>
  <c r="AT90" i="25" s="1"/>
  <c r="AT91" i="25" s="1"/>
  <c r="AT92" i="25" s="1"/>
  <c r="AT93" i="25" s="1"/>
  <c r="AT94" i="25" s="1"/>
  <c r="AT95" i="25" s="1"/>
  <c r="AT96" i="25" s="1"/>
  <c r="AT97" i="25" s="1"/>
  <c r="AT98" i="25" s="1"/>
  <c r="AT99" i="25" s="1"/>
  <c r="AT100" i="25" s="1"/>
  <c r="AT101" i="25" s="1"/>
  <c r="AT102" i="25" s="1"/>
  <c r="AT103" i="25" s="1"/>
  <c r="AT104" i="25" s="1"/>
  <c r="AT105" i="25" s="1"/>
  <c r="AT106" i="25" s="1"/>
  <c r="AT107" i="25" s="1"/>
  <c r="AT108" i="25" s="1"/>
  <c r="AT109" i="25" s="1"/>
  <c r="AT110" i="25" s="1"/>
  <c r="AT111" i="25" s="1"/>
  <c r="AT112" i="25" s="1"/>
  <c r="AT113" i="25" s="1"/>
  <c r="AT114" i="25" s="1"/>
  <c r="AT115" i="25" s="1"/>
  <c r="AT116" i="25" s="1"/>
  <c r="AT117" i="25" s="1"/>
  <c r="AT118" i="25" s="1"/>
  <c r="AT119" i="25" s="1"/>
  <c r="AT120" i="25" s="1"/>
  <c r="AT121" i="25" s="1"/>
  <c r="AT122" i="25" s="1"/>
  <c r="AT123" i="25" s="1"/>
  <c r="AT124" i="25" s="1"/>
  <c r="AT125" i="25" s="1"/>
  <c r="AT126" i="25" s="1"/>
  <c r="AT127" i="25" s="1"/>
  <c r="AT128" i="25" s="1"/>
  <c r="AT129" i="25" s="1"/>
  <c r="AT130" i="25" s="1"/>
  <c r="AT131" i="25" s="1"/>
  <c r="AT132" i="25" s="1"/>
  <c r="AT133" i="25" s="1"/>
  <c r="AT134" i="25" s="1"/>
  <c r="AT135" i="25" s="1"/>
  <c r="AT136" i="25" s="1"/>
  <c r="AT137" i="25" s="1"/>
  <c r="AT138" i="25" s="1"/>
  <c r="AT139" i="25" s="1"/>
  <c r="AT140" i="25" s="1"/>
  <c r="AT141" i="25" s="1"/>
  <c r="AT142" i="25" s="1"/>
  <c r="AT143" i="25" s="1"/>
  <c r="AT144" i="25" s="1"/>
  <c r="AT145" i="25" s="1"/>
  <c r="AT146" i="25" s="1"/>
  <c r="AT147" i="25" s="1"/>
  <c r="AT148" i="25" s="1"/>
  <c r="AT149" i="25" s="1"/>
  <c r="AT150" i="25" s="1"/>
  <c r="AT151" i="25" s="1"/>
  <c r="AT152" i="25" s="1"/>
  <c r="AT153" i="25" s="1"/>
  <c r="AT154" i="25" s="1"/>
  <c r="AT155" i="25" s="1"/>
  <c r="AT156" i="25" s="1"/>
  <c r="AT157" i="25" s="1"/>
  <c r="AT158" i="25" s="1"/>
  <c r="AT159" i="25" s="1"/>
  <c r="AT160" i="25" s="1"/>
  <c r="AT161" i="25" s="1"/>
  <c r="AT162" i="25" s="1"/>
  <c r="AT163" i="25" s="1"/>
  <c r="AT164" i="25" s="1"/>
  <c r="AT165" i="25" s="1"/>
  <c r="AT166" i="25" s="1"/>
  <c r="AT167" i="25" s="1"/>
  <c r="AT168" i="25" s="1"/>
  <c r="AT169" i="25" s="1"/>
  <c r="AT170" i="25" s="1"/>
  <c r="AT171" i="25" s="1"/>
  <c r="AT172" i="25" s="1"/>
  <c r="AT173" i="25" s="1"/>
  <c r="AT174" i="25" s="1"/>
  <c r="AT175" i="25" s="1"/>
  <c r="AT176" i="25" s="1"/>
  <c r="AT177" i="25" s="1"/>
  <c r="AT178" i="25" s="1"/>
  <c r="AT179" i="25" s="1"/>
  <c r="AT180" i="25" s="1"/>
  <c r="AT181" i="25" s="1"/>
  <c r="AT182" i="25" s="1"/>
  <c r="AT183" i="25" s="1"/>
  <c r="AT184" i="25" s="1"/>
  <c r="AT185" i="25" s="1"/>
  <c r="AT186" i="25" s="1"/>
  <c r="AT187" i="25" s="1"/>
  <c r="AT188" i="25" s="1"/>
  <c r="AT189" i="25" s="1"/>
  <c r="AT190" i="25" s="1"/>
  <c r="AT191" i="25" s="1"/>
  <c r="AT192" i="25" s="1"/>
  <c r="AT193" i="25" s="1"/>
  <c r="AT194" i="25" s="1"/>
  <c r="AT195" i="25" s="1"/>
  <c r="AT196" i="25" s="1"/>
  <c r="AT197" i="25" s="1"/>
  <c r="AT198" i="25" s="1"/>
  <c r="AT199" i="25" s="1"/>
  <c r="AT200" i="25" s="1"/>
  <c r="AT201" i="25" s="1"/>
  <c r="AT202" i="25" s="1"/>
  <c r="AT203" i="25" s="1"/>
  <c r="AT204" i="25" s="1"/>
  <c r="AT205" i="25" s="1"/>
  <c r="AT206" i="25" s="1"/>
  <c r="AT207" i="25" s="1"/>
  <c r="AT208" i="25" s="1"/>
  <c r="AT209" i="25" s="1"/>
  <c r="AT210" i="25" s="1"/>
  <c r="AT211" i="25" s="1"/>
  <c r="AT212" i="25" s="1"/>
  <c r="AT213" i="25" s="1"/>
  <c r="AT214" i="25" s="1"/>
  <c r="AT215" i="25" s="1"/>
  <c r="AT216" i="25" s="1"/>
  <c r="AT217" i="25" s="1"/>
  <c r="AT218" i="25" s="1"/>
  <c r="AT219" i="25" s="1"/>
  <c r="AT220" i="25" s="1"/>
  <c r="AT221" i="25" s="1"/>
  <c r="AT222" i="25" s="1"/>
  <c r="AT223" i="25" s="1"/>
  <c r="AT224" i="25" s="1"/>
  <c r="AT225" i="25" s="1"/>
  <c r="AT226" i="25" s="1"/>
  <c r="AT227" i="25" s="1"/>
  <c r="AT228" i="25" s="1"/>
  <c r="AT229" i="25" s="1"/>
  <c r="AT230" i="25" s="1"/>
  <c r="AT231" i="25" s="1"/>
  <c r="AT232" i="25" s="1"/>
  <c r="AT233" i="25" s="1"/>
  <c r="AT234" i="25" s="1"/>
  <c r="AT235" i="25" s="1"/>
  <c r="AT236" i="25" s="1"/>
  <c r="AT237" i="25" s="1"/>
  <c r="AT238" i="25" s="1"/>
  <c r="AT239" i="25" s="1"/>
  <c r="AT240" i="25" s="1"/>
  <c r="AT241" i="25" s="1"/>
  <c r="AT242" i="25" s="1"/>
  <c r="AT243" i="25" s="1"/>
  <c r="AT244" i="25" s="1"/>
  <c r="AT245" i="25" s="1"/>
  <c r="AT246" i="25" s="1"/>
  <c r="AT247" i="25" s="1"/>
  <c r="AT248" i="25" s="1"/>
  <c r="AT249" i="25" s="1"/>
  <c r="AT250" i="25" s="1"/>
  <c r="AT251" i="25" s="1"/>
  <c r="AT252" i="25" s="1"/>
  <c r="AT253" i="25" s="1"/>
  <c r="AT254" i="25" s="1"/>
  <c r="AT255" i="25" s="1"/>
  <c r="AT256" i="25" s="1"/>
  <c r="AT257" i="25" s="1"/>
  <c r="AT258" i="25" s="1"/>
  <c r="AT259" i="25" s="1"/>
  <c r="AT260" i="25" s="1"/>
  <c r="AT261" i="25" s="1"/>
  <c r="AT262" i="25" s="1"/>
  <c r="AT263" i="25" s="1"/>
  <c r="AT264" i="25" s="1"/>
  <c r="AT265" i="25" s="1"/>
  <c r="AT266" i="25" s="1"/>
  <c r="AT267" i="25" s="1"/>
  <c r="AT268" i="25" s="1"/>
  <c r="AT269" i="25" s="1"/>
  <c r="AT270" i="25" s="1"/>
  <c r="AT271" i="25" s="1"/>
  <c r="AT272" i="25" s="1"/>
  <c r="AT273" i="25" s="1"/>
  <c r="AT274" i="25" s="1"/>
  <c r="AT275" i="25" s="1"/>
  <c r="AT276" i="25" s="1"/>
  <c r="AT277" i="25" s="1"/>
  <c r="AT278" i="25" s="1"/>
  <c r="AT279" i="25" s="1"/>
  <c r="AT280" i="25" s="1"/>
  <c r="AT281" i="25" s="1"/>
  <c r="AT282" i="25" s="1"/>
  <c r="AT283" i="25" s="1"/>
  <c r="AT284" i="25" s="1"/>
  <c r="AT285" i="25" s="1"/>
  <c r="AT286" i="25" s="1"/>
  <c r="AT287" i="25" s="1"/>
  <c r="AT288" i="25" s="1"/>
  <c r="AT289" i="25" s="1"/>
  <c r="AT290" i="25" s="1"/>
  <c r="AT291" i="25" s="1"/>
  <c r="AT292" i="25" s="1"/>
  <c r="AT293" i="25" s="1"/>
  <c r="AT294" i="25" s="1"/>
  <c r="AT295" i="25" s="1"/>
  <c r="AT296" i="25" s="1"/>
  <c r="AT297" i="25" s="1"/>
  <c r="AT298" i="25" s="1"/>
  <c r="AT299" i="25" s="1"/>
  <c r="AT300" i="25" s="1"/>
  <c r="AT301" i="25" s="1"/>
  <c r="AT302" i="25" s="1"/>
  <c r="AT303" i="25" s="1"/>
  <c r="AT304" i="25" s="1"/>
  <c r="AT305" i="25" s="1"/>
  <c r="AT306" i="25" s="1"/>
  <c r="AT307" i="25" s="1"/>
  <c r="AT308" i="25" s="1"/>
  <c r="AT309" i="25" s="1"/>
  <c r="AT310" i="25" s="1"/>
  <c r="AT311" i="25" s="1"/>
  <c r="AT312" i="25" s="1"/>
  <c r="AT313" i="25" s="1"/>
  <c r="AT314" i="25" s="1"/>
  <c r="AT315" i="25" s="1"/>
  <c r="AT316" i="25" s="1"/>
  <c r="AT317" i="25" s="1"/>
  <c r="AT318" i="25" s="1"/>
  <c r="AT319" i="25" s="1"/>
  <c r="AT320" i="25" s="1"/>
  <c r="AT321" i="25" s="1"/>
  <c r="AT322" i="25" s="1"/>
  <c r="AT323" i="25" s="1"/>
  <c r="AT324" i="25" s="1"/>
  <c r="AT325" i="25" s="1"/>
  <c r="AT326" i="25" s="1"/>
  <c r="AT327" i="25" s="1"/>
  <c r="AT328" i="25" s="1"/>
  <c r="AT329" i="25" s="1"/>
  <c r="AT330" i="25" s="1"/>
  <c r="AT331" i="25" s="1"/>
  <c r="AT332" i="25" s="1"/>
  <c r="AT333" i="25" s="1"/>
  <c r="AT334" i="25" s="1"/>
  <c r="AT335" i="25" s="1"/>
  <c r="AT336" i="25" s="1"/>
  <c r="AT337" i="25" s="1"/>
  <c r="AT338" i="25" s="1"/>
  <c r="AT339" i="25" s="1"/>
  <c r="AT340" i="25" s="1"/>
  <c r="AT341" i="25" s="1"/>
  <c r="AT342" i="25" s="1"/>
  <c r="AT343" i="25" s="1"/>
  <c r="AT344" i="25" s="1"/>
  <c r="AT345" i="25" s="1"/>
  <c r="AT346" i="25" s="1"/>
  <c r="AT347" i="25" s="1"/>
  <c r="AT348" i="25" s="1"/>
  <c r="AT349" i="25" s="1"/>
  <c r="AT350" i="25" s="1"/>
  <c r="AT351" i="25" s="1"/>
  <c r="AT352" i="25" s="1"/>
  <c r="AT353" i="25" s="1"/>
  <c r="AT354" i="25" s="1"/>
  <c r="AT355" i="25" s="1"/>
  <c r="AT356" i="25" s="1"/>
  <c r="AT357" i="25" s="1"/>
  <c r="AT358" i="25" s="1"/>
  <c r="AT359" i="25" s="1"/>
  <c r="AT360" i="25" s="1"/>
  <c r="AT361" i="25" s="1"/>
  <c r="AT362" i="25" s="1"/>
  <c r="AT363" i="25" s="1"/>
  <c r="AT364" i="25" s="1"/>
  <c r="AT365" i="25" s="1"/>
  <c r="AT366" i="25" s="1"/>
  <c r="AT367" i="25" s="1"/>
  <c r="AT368" i="25" s="1"/>
  <c r="AT369" i="25" s="1"/>
  <c r="AT370" i="25" s="1"/>
  <c r="AT371" i="25" s="1"/>
  <c r="AT372" i="25" s="1"/>
  <c r="AT373" i="25" s="1"/>
  <c r="AT374" i="25" s="1"/>
  <c r="AT375" i="25" s="1"/>
  <c r="AT376" i="25" s="1"/>
  <c r="AT377" i="25" s="1"/>
  <c r="AT378" i="25" s="1"/>
  <c r="AT379" i="25" s="1"/>
  <c r="AT380" i="25" s="1"/>
  <c r="AT381" i="25" s="1"/>
  <c r="AT382" i="25" s="1"/>
  <c r="AT383" i="25" s="1"/>
  <c r="AT384" i="25" s="1"/>
  <c r="AT385" i="25" s="1"/>
  <c r="AT386" i="25" s="1"/>
  <c r="AT387" i="25" s="1"/>
  <c r="AT388" i="25" s="1"/>
  <c r="AT389" i="25" s="1"/>
  <c r="AT390" i="25" s="1"/>
  <c r="AT391" i="25" s="1"/>
  <c r="AT392" i="25" s="1"/>
  <c r="AT393" i="25" s="1"/>
  <c r="AT394" i="25" s="1"/>
  <c r="AT395" i="25" s="1"/>
  <c r="AT396" i="25" s="1"/>
  <c r="AT397" i="25" s="1"/>
  <c r="AT398" i="25" s="1"/>
  <c r="AT399" i="25" s="1"/>
  <c r="AT400" i="25" s="1"/>
  <c r="AT401" i="25" s="1"/>
  <c r="AT402" i="25" s="1"/>
  <c r="AT403" i="25" s="1"/>
  <c r="AT404" i="25" s="1"/>
  <c r="AT405" i="25" s="1"/>
  <c r="AT406" i="25" s="1"/>
  <c r="AT407" i="25" s="1"/>
  <c r="AT408" i="25" s="1"/>
  <c r="AT409" i="25" s="1"/>
  <c r="AT410" i="25" s="1"/>
  <c r="AT411" i="25" s="1"/>
  <c r="AT412" i="25" s="1"/>
  <c r="AT413" i="25" s="1"/>
  <c r="AT414" i="25" s="1"/>
  <c r="AT415" i="25" s="1"/>
  <c r="AT416" i="25" s="1"/>
  <c r="AT417" i="25" s="1"/>
  <c r="AT418" i="25" s="1"/>
  <c r="AT419" i="25" s="1"/>
  <c r="AT420" i="25" s="1"/>
  <c r="AT421" i="25" s="1"/>
  <c r="AT422" i="25" s="1"/>
  <c r="AT423" i="25" s="1"/>
  <c r="AT424" i="25" s="1"/>
  <c r="AT425" i="25" s="1"/>
  <c r="AT426" i="25" s="1"/>
  <c r="AT427" i="25" s="1"/>
  <c r="AT428" i="25" s="1"/>
  <c r="AT429" i="25" s="1"/>
  <c r="AT430" i="25" s="1"/>
  <c r="AT431" i="25" s="1"/>
  <c r="AT432" i="25" s="1"/>
  <c r="AT433" i="25" s="1"/>
  <c r="AT434" i="25" s="1"/>
  <c r="AT435" i="25" s="1"/>
  <c r="AT436" i="25" s="1"/>
  <c r="AT437" i="25" s="1"/>
  <c r="AT438" i="25" s="1"/>
  <c r="AT439" i="25" s="1"/>
  <c r="AT440" i="25" s="1"/>
  <c r="AT441" i="25" s="1"/>
  <c r="AT442" i="25" s="1"/>
  <c r="AT443" i="25" s="1"/>
  <c r="AT444" i="25" s="1"/>
  <c r="AT445" i="25" s="1"/>
  <c r="AT446" i="25" s="1"/>
  <c r="AT447" i="25" s="1"/>
  <c r="AT448" i="25" s="1"/>
  <c r="AT449" i="25" s="1"/>
  <c r="AT450" i="25" s="1"/>
  <c r="AT451" i="25" s="1"/>
  <c r="AT452" i="25" s="1"/>
  <c r="AT453" i="25" s="1"/>
  <c r="AT454" i="25" s="1"/>
  <c r="AT455" i="25" s="1"/>
  <c r="AT456" i="25" s="1"/>
  <c r="AT457" i="25" s="1"/>
  <c r="AT458" i="25" s="1"/>
  <c r="AT459" i="25" s="1"/>
  <c r="AT460" i="25" s="1"/>
  <c r="AT461" i="25" s="1"/>
  <c r="AT462" i="25" s="1"/>
  <c r="AT463" i="25" s="1"/>
  <c r="AT464" i="25" s="1"/>
  <c r="AT465" i="25" s="1"/>
  <c r="AT466" i="25" s="1"/>
  <c r="AT467" i="25" s="1"/>
  <c r="AT468" i="25" s="1"/>
  <c r="AT469" i="25" s="1"/>
  <c r="AT470" i="25" s="1"/>
  <c r="AT471" i="25" s="1"/>
  <c r="AT472" i="25" s="1"/>
  <c r="AT473" i="25" s="1"/>
  <c r="AT474" i="25" s="1"/>
  <c r="AT475" i="25" s="1"/>
  <c r="AT476" i="25" s="1"/>
  <c r="AT477" i="25" s="1"/>
  <c r="AT478" i="25" s="1"/>
  <c r="AT479" i="25" s="1"/>
  <c r="AT480" i="25" s="1"/>
  <c r="AT481" i="25" s="1"/>
  <c r="AT482" i="25" s="1"/>
  <c r="AT483" i="25" s="1"/>
  <c r="AT484" i="25" s="1"/>
  <c r="AT485" i="25" s="1"/>
  <c r="AT486" i="25" s="1"/>
  <c r="AT487" i="25" s="1"/>
  <c r="AT488" i="25" s="1"/>
  <c r="AT489" i="25" s="1"/>
  <c r="AT490" i="25" s="1"/>
  <c r="AT491" i="25" s="1"/>
  <c r="AT492" i="25" s="1"/>
  <c r="AT493" i="25" s="1"/>
  <c r="AT494" i="25" s="1"/>
  <c r="AT495" i="25" s="1"/>
  <c r="AT496" i="25" s="1"/>
  <c r="AT497" i="25" s="1"/>
  <c r="AT498" i="25" s="1"/>
  <c r="AT499" i="25" s="1"/>
  <c r="AT500" i="25" s="1"/>
  <c r="AT501" i="25" s="1"/>
  <c r="AT502" i="25" s="1"/>
  <c r="AT503" i="25" s="1"/>
  <c r="AT504" i="25" s="1"/>
  <c r="AT505" i="25" s="1"/>
  <c r="AT506" i="25" s="1"/>
  <c r="AT507" i="25" s="1"/>
  <c r="AT508" i="25" s="1"/>
  <c r="AT509" i="25" s="1"/>
  <c r="AT510" i="25" s="1"/>
  <c r="AT511" i="25" s="1"/>
  <c r="AT512" i="25" s="1"/>
  <c r="AT513" i="25" s="1"/>
  <c r="AT514" i="25" s="1"/>
  <c r="AT515" i="25" s="1"/>
  <c r="AT516" i="25" s="1"/>
  <c r="AT517" i="25" s="1"/>
  <c r="AT518" i="25" s="1"/>
  <c r="AT519" i="25" s="1"/>
  <c r="AT520" i="25" s="1"/>
  <c r="AT521" i="25" s="1"/>
  <c r="AT522" i="25" s="1"/>
  <c r="AT523" i="25" s="1"/>
  <c r="AT524" i="25" s="1"/>
  <c r="AT525" i="25" s="1"/>
  <c r="AT526" i="25" s="1"/>
  <c r="AT527" i="25" s="1"/>
  <c r="AT528" i="25" s="1"/>
  <c r="AT529" i="25" s="1"/>
  <c r="AT530" i="25" s="1"/>
  <c r="AT531" i="25" s="1"/>
  <c r="AT532" i="25" s="1"/>
  <c r="AT533" i="25" s="1"/>
  <c r="AT534" i="25" s="1"/>
  <c r="AT535" i="25" s="1"/>
  <c r="AT536" i="25" s="1"/>
  <c r="AT537" i="25" s="1"/>
  <c r="AT538" i="25" s="1"/>
  <c r="AT539" i="25" s="1"/>
  <c r="AT540" i="25" s="1"/>
  <c r="AT541" i="25" s="1"/>
  <c r="AT542" i="25" s="1"/>
  <c r="AT543" i="25" s="1"/>
  <c r="AT544" i="25" s="1"/>
  <c r="AT545" i="25" s="1"/>
  <c r="AT546" i="25" s="1"/>
  <c r="AT547" i="25" s="1"/>
  <c r="AT548" i="25" s="1"/>
  <c r="AT549" i="25" s="1"/>
  <c r="AT550" i="25" s="1"/>
  <c r="AT551" i="25" s="1"/>
  <c r="AT552" i="25" s="1"/>
  <c r="AT553" i="25" s="1"/>
  <c r="AT554" i="25" s="1"/>
  <c r="AT555" i="25" s="1"/>
  <c r="AT556" i="25" s="1"/>
  <c r="AT557" i="25" s="1"/>
  <c r="AT558" i="25" s="1"/>
  <c r="AT559" i="25" s="1"/>
  <c r="AT560" i="25" s="1"/>
  <c r="AT561" i="25" s="1"/>
  <c r="AT562" i="25" s="1"/>
  <c r="AT563" i="25" s="1"/>
  <c r="AT564" i="25" s="1"/>
  <c r="AT565" i="25" s="1"/>
  <c r="AT566" i="25" s="1"/>
  <c r="AT567" i="25" s="1"/>
  <c r="AT568" i="25" s="1"/>
  <c r="AT569" i="25" s="1"/>
  <c r="AT570" i="25" s="1"/>
  <c r="AT571" i="25" s="1"/>
  <c r="AT572" i="25" s="1"/>
  <c r="AT573" i="25" s="1"/>
  <c r="AT574" i="25" s="1"/>
  <c r="AT575" i="25" s="1"/>
  <c r="AT576" i="25" s="1"/>
  <c r="AT577" i="25" s="1"/>
  <c r="AT578" i="25" s="1"/>
  <c r="AT579" i="25" s="1"/>
  <c r="AT580" i="25" s="1"/>
  <c r="AT581" i="25" s="1"/>
  <c r="AT582" i="25" s="1"/>
  <c r="AT583" i="25" s="1"/>
  <c r="AT584" i="25" s="1"/>
  <c r="AT585" i="25" s="1"/>
  <c r="AT586" i="25" s="1"/>
  <c r="AT587" i="25" s="1"/>
  <c r="AT588" i="25" s="1"/>
  <c r="AT589" i="25" s="1"/>
  <c r="AT590" i="25" s="1"/>
  <c r="AT591" i="25" s="1"/>
  <c r="AT592" i="25" s="1"/>
  <c r="AT593" i="25" s="1"/>
  <c r="AT594" i="25" s="1"/>
  <c r="AT595" i="25" s="1"/>
  <c r="AT596" i="25" s="1"/>
  <c r="AT597" i="25" s="1"/>
  <c r="AT598" i="25" s="1"/>
  <c r="AT599" i="25" s="1"/>
  <c r="AT600" i="25" s="1"/>
  <c r="AT601" i="25" s="1"/>
  <c r="AT602" i="25" s="1"/>
  <c r="AT603" i="25" s="1"/>
  <c r="AT604" i="25" s="1"/>
  <c r="AT605" i="25" s="1"/>
  <c r="AT606" i="25" s="1"/>
  <c r="AT607" i="25" s="1"/>
  <c r="AT608" i="25" s="1"/>
  <c r="AT609" i="25" s="1"/>
  <c r="AT610" i="25" s="1"/>
  <c r="AT611" i="25" s="1"/>
  <c r="AT612" i="25" s="1"/>
  <c r="AT613" i="25" s="1"/>
  <c r="AT614" i="25" s="1"/>
  <c r="AT615" i="25" s="1"/>
  <c r="AT616" i="25" s="1"/>
  <c r="AT617" i="25" s="1"/>
  <c r="AT618" i="25" s="1"/>
  <c r="AT619" i="25" s="1"/>
  <c r="AT620" i="25" s="1"/>
  <c r="AT621" i="25" s="1"/>
  <c r="AT622" i="25" s="1"/>
  <c r="AT623" i="25" s="1"/>
  <c r="AT624" i="25" s="1"/>
  <c r="AT625" i="25" s="1"/>
  <c r="AT626" i="25" s="1"/>
  <c r="AT627" i="25" s="1"/>
  <c r="AT628" i="25" s="1"/>
  <c r="AT629" i="25" s="1"/>
  <c r="AT630" i="25" s="1"/>
  <c r="AT631" i="25" s="1"/>
  <c r="AT632" i="25" s="1"/>
  <c r="AT633" i="25" s="1"/>
  <c r="AT634" i="25" s="1"/>
  <c r="AT635" i="25" s="1"/>
  <c r="AT636" i="25" s="1"/>
  <c r="AT637" i="25" s="1"/>
  <c r="AT638" i="25" s="1"/>
  <c r="AT639" i="25" s="1"/>
  <c r="AT640" i="25" s="1"/>
  <c r="AT641" i="25" s="1"/>
  <c r="AT642" i="25" s="1"/>
  <c r="AT643" i="25" s="1"/>
  <c r="AT644" i="25" s="1"/>
  <c r="AT344" i="23"/>
  <c r="AT645" i="25" l="1"/>
</calcChain>
</file>

<file path=xl/comments1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sz val="9"/>
            <color indexed="81"/>
            <rFont val="Tahoma"/>
            <family val="2"/>
          </rPr>
          <t>Any cell can be blank, a value, a list of comma separated values, a range from::to, or an expression with sql wildcards (%=match any,_=match char,[ab]=match chars in list).  
NOTE: If dates are are all blank,  just uses the green and orange tables and ignores other parameters.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(050[125]%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</commentList>
</comments>
</file>

<file path=xl/comments2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3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Loera, Maria:
Project Codes:</t>
        </r>
        <r>
          <rPr>
            <sz val="9"/>
            <color indexed="81"/>
            <rFont val="Tahoma"/>
            <family val="2"/>
          </rPr>
          <t xml:space="preserve">
I:Individual 
L:collab lead
N:collan non-lead
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 xml:space="preserve">Budget split year, 4-digts,  e.g. 2018
Can use comma-separated list or ::range,
e.g. 2018,2019,2020 OR 2017::2020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(050[125]%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sz val="9"/>
            <color indexed="81"/>
            <rFont val="Tahoma"/>
            <family val="2"/>
          </rPr>
          <t>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sz val="9"/>
            <color indexed="81"/>
            <rFont val="Tahoma"/>
            <family val="2"/>
          </rPr>
          <t>Budget split  PO.  7-letter ibm login id, not the 8-letter lan id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If this is not blank, retrieves only the splits that have been updated after the indicated date &amp; time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nnections.xml><?xml version="1.0" encoding="utf-8"?>
<connections xmlns="http://schemas.openxmlformats.org/spreadsheetml/2006/main">
  <connection id="1" name="PropQuery" type="1" refreshedVersion="6" savePassword="1" background="1" saveData="1">
    <dbPr connection="dsn=RPTSERVER;database=rptdb;server=RPTSQL.nsf.gov;port=5000;UID=iisuser;PWD=IISdata@11/20;" command="set nocount on_x000d__x000a_SELECT isnull(prop.lead_prop_id,prop.prop_id) AS 'lead_id',_x000d__x000a_CASE WHEN prop.lead_prop_id IS NULL THEN 'I' WHEN prop.lead_prop_id = prop.prop_id THEN 'L' ELSE 'N' END AS ILN, prop.prop_id,_x000d__x000a_(SELECT MAX( CASE pa.prop_atr_seq WHEN 1 THEN pa.prop_atr_code ELSE '' END ) + ' ' +_x000d__x000a_        MAX( CASE pa.prop_atr_seq WHEN 2 THEN pa.prop_atr_code ELSE '' END ) + ' ' +_x000d__x000a_        MAX( CASE pa.prop_atr_seq WHEN 3 THEN pa.prop_atr_code ELSE '' END ) + ' ' +_x000d__x000a_        MAX( CASE pa.prop_atr_seq WHEN 4 THEN pa.prop_atr_code ELSE '' END ) + ' ' +_x000d__x000a_        MAX( CASE pa.prop_atr_seq WHEN 5 THEN pa.prop_atr_code ELSE '' END ) + ' ' +_x000d__x000a_        MAX( CASE pa.prop_atr_seq WHEN 6 THEN pa.prop_atr_code ELSE '' END )_x000d__x000a_        FROM csd.prop_atr pa  WHERE pa.prop_id = prop.prop_id  AND pa.prop_atr_type_code = 'PRC' ) AS 'PRCs',_x000d__x000a_(SELECT Count(*) FROM csd.rev_prop rp WHERE prop.prop_id=rp.prop_id AND rp.rev_type_code='R')  AS 'adhoc_reqd',_x000d__x000a_(SELECT Count(*) FROM csd.rev_prop rp WHERE prop.prop_id=rp.prop_id AND rp.rev_type_code='R' AND rp.rev_stts_code='P')  AS 'adhoc_pend',_x000d__x000a_(SELECT Max(rp.rev_due_date) FROM csd.rev_prop rp WHERE prop.prop_id=rp.prop_id AND rp.rev_type_code='R' AND rp.rev_stts_code='P')  AS 'last_adhoc_due',_x000d__x000a_(SELECT Count(*) FROM csd.rev_prop rp WHERE prop.prop_id=rp.prop_id AND rp.rev_stts_code='R')  AS 'revRcvd',_x000d__x000a_(SELECT Max(rp.rev_due_date) FROM csd.rev_prop rp WHERE prop.prop_id=rp.prop_id)  AS 'last_rev_due', prop.nsf_rcvd_date,nullif(prop.dd_rcom_date,'1/1/1900') AS dd_rcom_date_x000d__x000a_INTO #myProp_x000d__x000a_FROM csd.prop prop_x000d__x000a_JOIN csd.prop_stts ps on ps.prop_stts_code=prop.prop_stts_code_x000d__x000a_JOIN csd.natr_rqst nr on nr.natr_rqst_code = prop.natr_rqst_code_x000d__x000a_JOIN csd.org  as og on og.org_code=prop.org_code_x000d__x000a_WHERE (((1=1) AND prop.nsf_rcvd_date &gt;= {ts '2016-10-01 00:00:00'}_x000d__x000a_ AND (prop.pgm_annc_id = 'NSF 17-537' ) AND (prop.pm_ibm_logn_id = 'jsnoeyi' ) AND NOT EXISTS (SELECT * FROM csd.prop_atr pa WHERE pa.prop_id=prop.prop_id AND pa.prop_atr_code = '9150' AND pa.prop_atr_type_code='PRC')_x000d__x000a_) ) _x000d__x000a_ORDER BY lead_id,ILN_x000d__x000a_CREATE INDEX myProp_ix ON #myProp(prop_id)_x000d__x000a_SELECT panl_prop.prop_id, panl_prop.panl_id, panl.panl_bgn_date, a.rcom_seq_num, b.rcom_abbr, a.prop_ordr_x000d__x000a_INTO #myPanl_x000d__x000a_FROM #myProp prop, csd.panl_prop panl_prop, csd.panl panl, flflpdb.flp.panl_prop_summ a, flflpdb.flp.panl_rcom_def b_x000d__x000a_WHERE  prop.prop_id=panl_prop.prop_id AND panl_prop.panl_id = panl.panl_id_x000d__x000a_AND  panl_prop.panl_id *= a.panl_id AND prop.prop_id *= a.prop_id AND a.panl_id *= b.panl_id  AND  a.rcom_seq_num *= b.rcom_seq_num_x000d__x000a_CREATE INDEX myPanl_ix ON #myPanl(prop_id)_x000d__x000a_SELECT getdate() as run_date,mp.*, prop.pgm_annc_id, prop.org_code, prop.pgm_ele_code, prop.pm_ibm_logn_id, prop_stts.prop_stts_abbr, prop.prop_stts_code, prop_stts.prop_stts_txt, pi.pi_last_name, pi.pi_frst_name, pi.pi_gend_code, inst.inst_shrt_name AS inst_name, inst.st_code, prop.prop_titl_txt, natr_rqst.natr_rqst_txt, natr_rqst.natr_rqst_abbr, prop.bas_rsch_pct, prop.cntx_stmt_id,_x000d__x000a_first.panl_id as 'first_panl', first.panl_bgn_date as 'fp_begin', first.rcom_seq_num as 'fp_recno', first.rcom_abbr as 'fp_rec', first.prop_ordr as 'fp_rank', last.panl_id as 'last_panl', last.panl_bgn_date as 'lp_begin', last.rcom_seq_num as 'lp_recno', last.rcom_abbr as 'lp_rec', last.prop_ordr as 'lp_rank',_x000d__x000a_bs.split_tot_dol, bs.split_frwd_date, bs.split_aprv_date,_x000d__x000a_prop.rqst_dol, prop.rqst_mnth_cnt, nullif(prop.rcom_mnth_cnt,0) AS 'rcom_mnth_cnt', prop.rqst_eff_date, nullif(prop.rcom_eff_date,'1900-01-01') AS 'rcom_eff_date', nullif(prop.pm_asgn_date,'1900-01-01') AS pm_asgn_date, nullif(prop.pm_rcom_date,'1900-01-01') AS  pm_rcom_date, nullif(prop.dd_rcom_date,'1900-01-01') AS  dd_rcom_date,_x000d__x000a_awd.awd_id, awd.tot_intn_awd_amt, pi2.pi_last_name, pi2.pi_frst_name, inst2.inst_shrt_name AS inst_awd, awd.awd_titl_txt, awd.pm_ibm_logn_id, awd.org_code, awd.pgm_ele_code, awd.pgm_div_code, awd.awd_istr_code, awd.awd_stts_code, awd.fpr_stts_code, awd.awd_stts_date, awd.awd_eff_date, awd.awd_exp_date, awd.awd_fin_clos_date, awd.fpr_stts_updt_date, awd.est_fnl_exp_date_x000d__x000a_FROM  #myProp mp, csd.prop prop, csd.inst inst, csd.natr_rqst natr_rqst, csd.pi pi, csd.prop_stts prop_stts,  csd.awd awd, csd.inst inst2, csd.pi pi2,_x000d__x000a_(SELECT *  FROM #myPanl pn_x000d__x000a_WHERE  pn.panl_bgn_date =(SELECT min(p.panl_bgn_date) FROM #myPanl p  WHERE pn.prop_id=p.prop_id ) ) first,_x000d__x000a_(SELECT *  FROM #myPanl pn_x000d__x000a_WHERE  pn.panl_bgn_date &gt;(SELECT min(p.panl_bgn_date) FROM #myPanl p WHERE pn.prop_id=p.prop_id )_x000d__x000a_AND pn.panl_bgn_date = (SELECT max(p.panl_bgn_date) FROM #myPanl p  WHERE pn.prop_id=p.prop_id ) ) last,_x000d__x000a_(SELECT budg_splt.prop_id, Sum(budg_splt.budg_splt_tot_dol) AS 'split_tot_dol', Max(budg_splt.frwd_date) AS 'split_frwd_date', Max(budg_splt.aprv_date) AS 'split_aprv_date'_x000d__x000a_FROM csd.budg_splt budg_splt GROUP BY budg_splt.prop_id) bs_x000d__x000a_WHERE mp.prop_id = prop.prop_id AND prop.natr_rqst_code = natr_rqst.natr_rqst_code AND prop.prop_stts_code = prop_stts.prop_stts_code AND prop.inst_id = inst.inst_id AND prop.pi_id = pi.pi_id AND_x000d__x000a_mp.prop_id *= first.prop_id AND mp.prop_id *= last.prop_id AND mp.prop_id *= bs.prop_id AND mp.prop_id *= awd.awd_id AND awd.inst_id *= inst2.inst_id AND awd.pi_id *= pi2.pi_id_x000d__x000a_ORDER BY mp.lead_id, mp.ILN, mp.prop_id_x000d__x000a_drop table #myProp drop table #myPanl_x000d__x000a_"/>
  </connection>
  <connection id="2" name="SplitQuery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7_x000d__x000a__x000d__x000a__x000d__x000a__x000d__x000a_ AND b.pgm_ele_code ='5761'_x000d__x000a_ AND ps.prop_stts_abbr NOT IN ('WTH','DECL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3" name="SplitQuery1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AND p.nsf_rcvd_date &gt;= {ts '2012-10-01 00:00:00'}_x000d__x000a__x000d__x000a__x000d__x000a_ AND b.pgm_ele_code ='7797'_x000d__x000a_ AND ps.prop_stts_abbr NOT IN ('DECL','WTH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</connections>
</file>

<file path=xl/sharedStrings.xml><?xml version="1.0" encoding="utf-8"?>
<sst xmlns="http://schemas.openxmlformats.org/spreadsheetml/2006/main" count="28123" uniqueCount="3036">
  <si>
    <t>Budget Split Parameters</t>
  </si>
  <si>
    <t>Budget Year</t>
  </si>
  <si>
    <t>Organization Code</t>
  </si>
  <si>
    <t xml:space="preserve">Pgm Element Code </t>
  </si>
  <si>
    <t>Object Class Code</t>
  </si>
  <si>
    <t>Proposal Parameters</t>
  </si>
  <si>
    <t>NSF Received Date</t>
  </si>
  <si>
    <t>DD Concurred Date</t>
  </si>
  <si>
    <t>Program annc ID</t>
  </si>
  <si>
    <t>Division</t>
  </si>
  <si>
    <t>Proposal Status</t>
  </si>
  <si>
    <t>Object class code</t>
  </si>
  <si>
    <t>Nature of request</t>
  </si>
  <si>
    <t>Pgm Director Log ID</t>
  </si>
  <si>
    <t>prop_id</t>
  </si>
  <si>
    <t>nsf_rcvd_date</t>
  </si>
  <si>
    <t>PEC_prop</t>
  </si>
  <si>
    <t>PEC_bdg_splt</t>
  </si>
  <si>
    <t>budg_yr</t>
  </si>
  <si>
    <t>budg_splt_tot_dol</t>
  </si>
  <si>
    <t>prop_titl_txt</t>
  </si>
  <si>
    <t>prop_stts_abbr</t>
  </si>
  <si>
    <t>natr_rqst_abbr</t>
  </si>
  <si>
    <t>pi_last_name</t>
  </si>
  <si>
    <t>pi_frst_name</t>
  </si>
  <si>
    <t>0</t>
  </si>
  <si>
    <t>lead_id</t>
  </si>
  <si>
    <t>ILN</t>
  </si>
  <si>
    <t>I</t>
  </si>
  <si>
    <t>AWD</t>
  </si>
  <si>
    <t>dir_div_abbr</t>
  </si>
  <si>
    <t>Prop_Org_Code</t>
  </si>
  <si>
    <t>Prop_Pm_ibm_logn_id</t>
  </si>
  <si>
    <t>awd_id</t>
  </si>
  <si>
    <t>rqst_dol</t>
  </si>
  <si>
    <t>dd_rcom_date</t>
  </si>
  <si>
    <t>run_date</t>
  </si>
  <si>
    <t>pgm_annc_id</t>
  </si>
  <si>
    <t>last_updt_user</t>
  </si>
  <si>
    <t>last_updt_tmsp</t>
  </si>
  <si>
    <t>VLRICHA</t>
  </si>
  <si>
    <t>inst_name</t>
  </si>
  <si>
    <t>splt_id</t>
  </si>
  <si>
    <t>01</t>
  </si>
  <si>
    <t>02</t>
  </si>
  <si>
    <t>4110</t>
  </si>
  <si>
    <t>Prop PRCs</t>
  </si>
  <si>
    <t>Budg PRCs</t>
  </si>
  <si>
    <t>CCF</t>
  </si>
  <si>
    <t>05010000</t>
  </si>
  <si>
    <t>7796 - ALGORITHMIC FOUNDATIONS</t>
  </si>
  <si>
    <t>Proposal PRCS</t>
  </si>
  <si>
    <t/>
  </si>
  <si>
    <t>Budg_Org_Code</t>
  </si>
  <si>
    <t>Budg_Pm_ibm_logn_id</t>
  </si>
  <si>
    <t>Prop_Obj_Clas_Code</t>
  </si>
  <si>
    <t>Budg_Obj_Clas_Code</t>
  </si>
  <si>
    <t>03</t>
  </si>
  <si>
    <t>Total</t>
  </si>
  <si>
    <t>Proposal Title Txt</t>
  </si>
  <si>
    <t>NSF 16-1</t>
  </si>
  <si>
    <t>NEW</t>
  </si>
  <si>
    <t>N</t>
  </si>
  <si>
    <t>Budget PRCS Exclude</t>
  </si>
  <si>
    <t>Budget PRCS Include</t>
  </si>
  <si>
    <t>4160</t>
  </si>
  <si>
    <t>Grand Total</t>
  </si>
  <si>
    <t>Sum of budg_splt_tot_dol</t>
  </si>
  <si>
    <t>Prop Status</t>
  </si>
  <si>
    <t>Include</t>
  </si>
  <si>
    <t>TKIMBRE</t>
  </si>
  <si>
    <t>TRSF</t>
  </si>
  <si>
    <t>Exclude</t>
  </si>
  <si>
    <t>AWD Total</t>
  </si>
  <si>
    <t xml:space="preserve">Budget Splits </t>
  </si>
  <si>
    <t>Prop date range</t>
  </si>
  <si>
    <t>eJ</t>
  </si>
  <si>
    <t>Comparison Budg Splits and Proposals</t>
  </si>
  <si>
    <t>Other filters</t>
  </si>
  <si>
    <t>Budget Splits Info</t>
  </si>
  <si>
    <t>PRCS</t>
  </si>
  <si>
    <t>PI info</t>
  </si>
  <si>
    <t>Last updates</t>
  </si>
  <si>
    <t>PROPOSAL TRACKER</t>
  </si>
  <si>
    <t>Omit proposals</t>
  </si>
  <si>
    <t xml:space="preserve">Specific </t>
  </si>
  <si>
    <t>org_code</t>
  </si>
  <si>
    <t>pgm_ele_code</t>
  </si>
  <si>
    <t>pm_ibm_logn_id</t>
  </si>
  <si>
    <t>prop_stts_code</t>
  </si>
  <si>
    <t>prop_stts_txt</t>
  </si>
  <si>
    <t>pi_gend_code</t>
  </si>
  <si>
    <t>st_code</t>
  </si>
  <si>
    <t>natr_rqst_txt</t>
  </si>
  <si>
    <t>bas_rsch_pct</t>
  </si>
  <si>
    <t>cntx_stmt_id</t>
  </si>
  <si>
    <t>PRCs</t>
  </si>
  <si>
    <t>adhoc_reqd</t>
  </si>
  <si>
    <t>adhoc_pend</t>
  </si>
  <si>
    <t>last_adhoc_due</t>
  </si>
  <si>
    <t>last_rev_due</t>
  </si>
  <si>
    <t>revRcvd</t>
  </si>
  <si>
    <t>first_panl</t>
  </si>
  <si>
    <t>fp_begin</t>
  </si>
  <si>
    <t>fp_recno</t>
  </si>
  <si>
    <t>fp_rec</t>
  </si>
  <si>
    <t>fp_rank</t>
  </si>
  <si>
    <t>last_panl</t>
  </si>
  <si>
    <t>lp_begin</t>
  </si>
  <si>
    <t>lp_recno</t>
  </si>
  <si>
    <t>lp_rec</t>
  </si>
  <si>
    <t>lp_rank</t>
  </si>
  <si>
    <t>split_tot_dol</t>
  </si>
  <si>
    <t>split_frwd_date</t>
  </si>
  <si>
    <t>split_aprv_date</t>
  </si>
  <si>
    <t>rqst_mnth_cnt</t>
  </si>
  <si>
    <t>rcom_mnth_cnt</t>
  </si>
  <si>
    <t>rqst_eff_date</t>
  </si>
  <si>
    <t>rcom_eff_date</t>
  </si>
  <si>
    <t>pm_asgn_date</t>
  </si>
  <si>
    <t>pm_rcom_date</t>
  </si>
  <si>
    <t>tot_intn_awd_amt</t>
  </si>
  <si>
    <t>awd_titl_txt</t>
  </si>
  <si>
    <t>pgm_div_code</t>
  </si>
  <si>
    <t>awd_istr_code</t>
  </si>
  <si>
    <t>awd_stts_code</t>
  </si>
  <si>
    <t>fpr_stts_code</t>
  </si>
  <si>
    <t>awd_stts_date</t>
  </si>
  <si>
    <t>awd_eff_date</t>
  </si>
  <si>
    <t>awd_exp_date</t>
  </si>
  <si>
    <t>awd_fin_clos_date</t>
  </si>
  <si>
    <t>fpr_stts_updt_date</t>
  </si>
  <si>
    <t>est_fnl_exp_date</t>
  </si>
  <si>
    <t>M</t>
  </si>
  <si>
    <t>New Project</t>
  </si>
  <si>
    <t xml:space="preserve"> </t>
  </si>
  <si>
    <t>SUPP</t>
  </si>
  <si>
    <t>05050000</t>
  </si>
  <si>
    <t>9251</t>
  </si>
  <si>
    <t>NSF 17-1</t>
  </si>
  <si>
    <t>awd_istr_txt</t>
  </si>
  <si>
    <t>awd_istr_abbr</t>
  </si>
  <si>
    <t>Continuing grant</t>
  </si>
  <si>
    <t>CONT</t>
  </si>
  <si>
    <t>awd_stts_abbr</t>
  </si>
  <si>
    <t>awd_stts_txt</t>
  </si>
  <si>
    <t>Proposal Awarded</t>
  </si>
  <si>
    <t>cgi_stts_txt</t>
  </si>
  <si>
    <t>dd_rcom_date2</t>
  </si>
  <si>
    <t>pi_last_name3</t>
  </si>
  <si>
    <t>pi_frst_name4</t>
  </si>
  <si>
    <t>Other Information</t>
  </si>
  <si>
    <t>Standard Grant</t>
  </si>
  <si>
    <t>STND</t>
  </si>
  <si>
    <t>RCOM</t>
  </si>
  <si>
    <t>7556</t>
  </si>
  <si>
    <t xml:space="preserve">Award Instrument </t>
  </si>
  <si>
    <t>rcom_istr_abbr</t>
  </si>
  <si>
    <t xml:space="preserve"> RECENT ACTIVITY</t>
  </si>
  <si>
    <t>RCOM Total</t>
  </si>
  <si>
    <t>Columbia University</t>
  </si>
  <si>
    <t>JROBEY</t>
  </si>
  <si>
    <t>CLOS</t>
  </si>
  <si>
    <t>Award Closed</t>
  </si>
  <si>
    <t>LFUQUA</t>
  </si>
  <si>
    <t>NSF 12-581</t>
  </si>
  <si>
    <t>Gregory</t>
  </si>
  <si>
    <t>DOYOUNG</t>
  </si>
  <si>
    <t>NSF 11-690</t>
  </si>
  <si>
    <t>NSF 10-572</t>
  </si>
  <si>
    <t>Paul</t>
  </si>
  <si>
    <t>Alexander</t>
  </si>
  <si>
    <t>Awarded</t>
  </si>
  <si>
    <t>NSF 13-579</t>
  </si>
  <si>
    <t>L</t>
  </si>
  <si>
    <t>PIXF</t>
  </si>
  <si>
    <t>Award Closed - PI Transferred</t>
  </si>
  <si>
    <t>Brown</t>
  </si>
  <si>
    <t>Mark</t>
  </si>
  <si>
    <t>DMARTIN</t>
  </si>
  <si>
    <t>Cooperative Agreement</t>
  </si>
  <si>
    <t>CAGR</t>
  </si>
  <si>
    <t>04</t>
  </si>
  <si>
    <t>University of Chicago</t>
  </si>
  <si>
    <t>NSF 14-598</t>
  </si>
  <si>
    <t>7798 - SOFTWARE &amp; HARDWARE FOUNDATION</t>
  </si>
  <si>
    <t>NSF 15-1</t>
  </si>
  <si>
    <t>Thomas</t>
  </si>
  <si>
    <t>ISATTLE</t>
  </si>
  <si>
    <t>SABASU</t>
  </si>
  <si>
    <t>NSF 14-532</t>
  </si>
  <si>
    <t>John</t>
  </si>
  <si>
    <t>NSF 16-578</t>
  </si>
  <si>
    <t>DCOATES</t>
  </si>
  <si>
    <t>NSF 15-555</t>
  </si>
  <si>
    <t>Stanford University</t>
  </si>
  <si>
    <t>NSF 15-573</t>
  </si>
  <si>
    <t>07010000</t>
  </si>
  <si>
    <t>ECCS</t>
  </si>
  <si>
    <t>William</t>
  </si>
  <si>
    <t>WPOWELL</t>
  </si>
  <si>
    <t>Wei</t>
  </si>
  <si>
    <t>FRWD</t>
  </si>
  <si>
    <t>JMADIGA</t>
  </si>
  <si>
    <t>PAHAWKI</t>
  </si>
  <si>
    <t>Pending FAS commitment</t>
  </si>
  <si>
    <t>CA</t>
  </si>
  <si>
    <t>NY</t>
  </si>
  <si>
    <t>Richard</t>
  </si>
  <si>
    <t>Oklahoma State University</t>
  </si>
  <si>
    <t>Chen</t>
  </si>
  <si>
    <t>TX</t>
  </si>
  <si>
    <t>Princeton University</t>
  </si>
  <si>
    <t>Andreas</t>
  </si>
  <si>
    <t>MA</t>
  </si>
  <si>
    <t>Daniel</t>
  </si>
  <si>
    <t>Liu</t>
  </si>
  <si>
    <t>Ali</t>
  </si>
  <si>
    <t>Wu</t>
  </si>
  <si>
    <t>CO</t>
  </si>
  <si>
    <t>Zhang</t>
  </si>
  <si>
    <t>Tang</t>
  </si>
  <si>
    <t>05020000</t>
  </si>
  <si>
    <t>PEND</t>
  </si>
  <si>
    <t>Kim</t>
  </si>
  <si>
    <t>Xin</t>
  </si>
  <si>
    <t>Johns Hopkins University</t>
  </si>
  <si>
    <t>TNANDAG</t>
  </si>
  <si>
    <t>Cornell University</t>
  </si>
  <si>
    <t>Erin</t>
  </si>
  <si>
    <t>RIBROWN</t>
  </si>
  <si>
    <t>Christopher</t>
  </si>
  <si>
    <t>Guo</t>
  </si>
  <si>
    <t>Tian</t>
  </si>
  <si>
    <t>Li</t>
  </si>
  <si>
    <t>Jian</t>
  </si>
  <si>
    <t>Jacob</t>
  </si>
  <si>
    <t>Wang</t>
  </si>
  <si>
    <t>George Mason University</t>
  </si>
  <si>
    <t>Lee</t>
  </si>
  <si>
    <t>Sarah</t>
  </si>
  <si>
    <t>Northeastern University</t>
  </si>
  <si>
    <t>Lu</t>
  </si>
  <si>
    <t>Jiang</t>
  </si>
  <si>
    <t>9150</t>
  </si>
  <si>
    <t>PREGALI</t>
  </si>
  <si>
    <t>Purdue University</t>
  </si>
  <si>
    <t>Matthew</t>
  </si>
  <si>
    <t>University of Mississippi</t>
  </si>
  <si>
    <t>Maria</t>
  </si>
  <si>
    <t>Jie</t>
  </si>
  <si>
    <t>Williams</t>
  </si>
  <si>
    <t>Drexel University</t>
  </si>
  <si>
    <t>Colorado State University</t>
  </si>
  <si>
    <t>Auburn University</t>
  </si>
  <si>
    <t>Washington University</t>
  </si>
  <si>
    <t>University of North Texas</t>
  </si>
  <si>
    <t>Huang</t>
  </si>
  <si>
    <t>Andrea</t>
  </si>
  <si>
    <t>Muhammad</t>
  </si>
  <si>
    <t>Venugopal</t>
  </si>
  <si>
    <t>Colorado School of Mines</t>
  </si>
  <si>
    <t>Yang</t>
  </si>
  <si>
    <t>Robert</t>
  </si>
  <si>
    <t>Chao</t>
  </si>
  <si>
    <t>Jia</t>
  </si>
  <si>
    <t>Clemson University</t>
  </si>
  <si>
    <t>Xiao</t>
  </si>
  <si>
    <t>Temple University</t>
  </si>
  <si>
    <t>Luo</t>
  </si>
  <si>
    <t>Aggarwal</t>
  </si>
  <si>
    <t>Roberts</t>
  </si>
  <si>
    <t>Shannon</t>
  </si>
  <si>
    <t>Mehdi</t>
  </si>
  <si>
    <t>Qiu</t>
  </si>
  <si>
    <t>Goel</t>
  </si>
  <si>
    <t>Benjamin</t>
  </si>
  <si>
    <t>Anand</t>
  </si>
  <si>
    <t>Oregon State University</t>
  </si>
  <si>
    <t>Kevin</t>
  </si>
  <si>
    <t>University of Toledo</t>
  </si>
  <si>
    <t>University of Rochester</t>
  </si>
  <si>
    <t>New York University</t>
  </si>
  <si>
    <t>Texas Tech University</t>
  </si>
  <si>
    <t>Donald</t>
  </si>
  <si>
    <t>Liang</t>
  </si>
  <si>
    <t>Wayne State University</t>
  </si>
  <si>
    <t>Roy</t>
  </si>
  <si>
    <t>Rohit</t>
  </si>
  <si>
    <t>Chang</t>
  </si>
  <si>
    <t>Harvard University</t>
  </si>
  <si>
    <t>Eva</t>
  </si>
  <si>
    <t>Northwestern University</t>
  </si>
  <si>
    <t>University of Utah</t>
  </si>
  <si>
    <t>UT</t>
  </si>
  <si>
    <t>Krishna</t>
  </si>
  <si>
    <t>Michael</t>
  </si>
  <si>
    <t>Fan</t>
  </si>
  <si>
    <t>Hamid</t>
  </si>
  <si>
    <t>Park</t>
  </si>
  <si>
    <t>Zhi</t>
  </si>
  <si>
    <t>Ohio State University</t>
  </si>
  <si>
    <t>Philip</t>
  </si>
  <si>
    <t>University of Iowa</t>
  </si>
  <si>
    <t>University of Dayton</t>
  </si>
  <si>
    <t>Du</t>
  </si>
  <si>
    <t>Clarkson University</t>
  </si>
  <si>
    <t>University of Delaware</t>
  </si>
  <si>
    <t>Marquette University</t>
  </si>
  <si>
    <t>Aditya</t>
  </si>
  <si>
    <t>Ashok</t>
  </si>
  <si>
    <t>Kumar</t>
  </si>
  <si>
    <t>Yuan</t>
  </si>
  <si>
    <t>Arizona State University</t>
  </si>
  <si>
    <t>Timothy</t>
  </si>
  <si>
    <t>Hong</t>
  </si>
  <si>
    <t>Nabil</t>
  </si>
  <si>
    <t>Wagner</t>
  </si>
  <si>
    <t>Harsha</t>
  </si>
  <si>
    <t>Sampath</t>
  </si>
  <si>
    <t>Natasha</t>
  </si>
  <si>
    <t>WA</t>
  </si>
  <si>
    <t>Sergio</t>
  </si>
  <si>
    <t>Eric</t>
  </si>
  <si>
    <t>Aaron</t>
  </si>
  <si>
    <t>Ji</t>
  </si>
  <si>
    <t>Jonathan</t>
  </si>
  <si>
    <t>Ur</t>
  </si>
  <si>
    <t>University of Idaho</t>
  </si>
  <si>
    <t>Konstantinos</t>
  </si>
  <si>
    <t>Jason</t>
  </si>
  <si>
    <t>David</t>
  </si>
  <si>
    <t>Sidiropoulos</t>
  </si>
  <si>
    <t>FLBATCH</t>
  </si>
  <si>
    <t>CNS</t>
  </si>
  <si>
    <t>Xiaodong</t>
  </si>
  <si>
    <t>7797 - COMM &amp; INFORMATION FOUNDATIONS</t>
  </si>
  <si>
    <t>JCOZZEN</t>
  </si>
  <si>
    <t>1703635</t>
  </si>
  <si>
    <t>1704240</t>
  </si>
  <si>
    <t>CIF:Medium:Collaborative Research:Low Resolution Sampling with Generalized Thresholds</t>
  </si>
  <si>
    <t>7924 7936</t>
  </si>
  <si>
    <t>Swindlehurst</t>
  </si>
  <si>
    <t>Arnold</t>
  </si>
  <si>
    <t>8060 - Secure &amp;Trustworthy Cyberspace</t>
  </si>
  <si>
    <t>CIF: Medium: Collaborative Research: Low-Resolution Sampling with Generalized Thresholds</t>
  </si>
  <si>
    <t>University of Florida</t>
  </si>
  <si>
    <t>MBASU</t>
  </si>
  <si>
    <t>Anthony</t>
  </si>
  <si>
    <t>NSF 14-1</t>
  </si>
  <si>
    <t>Wright</t>
  </si>
  <si>
    <t>1703678</t>
  </si>
  <si>
    <t>CIF:Medium:Collaborative Research: Foundations of Coding for Modern Distributed Computing</t>
  </si>
  <si>
    <t>7924 7935</t>
  </si>
  <si>
    <t>Ramchandran</t>
  </si>
  <si>
    <t>Kannan</t>
  </si>
  <si>
    <t>1563098</t>
  </si>
  <si>
    <t>1564355</t>
  </si>
  <si>
    <t>CIF:Medium: Collaborative Research: Learning in High Dimensions: From Theory to Data and Back</t>
  </si>
  <si>
    <t>7797 7924 7936</t>
  </si>
  <si>
    <t>Tse</t>
  </si>
  <si>
    <t>NSF 16-580</t>
  </si>
  <si>
    <t>PCONYER</t>
  </si>
  <si>
    <t>Dan</t>
  </si>
  <si>
    <t>Orlitsky</t>
  </si>
  <si>
    <t>Alon</t>
  </si>
  <si>
    <t>1619448</t>
  </si>
  <si>
    <t>CIF:SMALL: Information Theoretic Foundations of Data Science</t>
  </si>
  <si>
    <t>7797 7923 7935</t>
  </si>
  <si>
    <t>7923 7935</t>
  </si>
  <si>
    <t>1563710</t>
  </si>
  <si>
    <t>1563753</t>
  </si>
  <si>
    <t>CIF: NeTS: Medium: Collaborative Research: Unifying Data Synchronization</t>
  </si>
  <si>
    <t>7924</t>
  </si>
  <si>
    <t>Mitzenmacher</t>
  </si>
  <si>
    <t>NSF 15-575</t>
  </si>
  <si>
    <t>Trachtenberg</t>
  </si>
  <si>
    <t>Ari</t>
  </si>
  <si>
    <t>1705007</t>
  </si>
  <si>
    <t>CIF: Medium: Anonymous Broadcasting over Networks: Fundamental Limits and Algorithms</t>
  </si>
  <si>
    <t>Viswanath</t>
  </si>
  <si>
    <t>Pramod</t>
  </si>
  <si>
    <t>Increment withdrawn by program</t>
  </si>
  <si>
    <t>1563742</t>
  </si>
  <si>
    <t>CIF: Medium: Collaborative Research: Frontiers in coding for cloud storage systems</t>
  </si>
  <si>
    <t>Guruswami</t>
  </si>
  <si>
    <t>Venkatesan</t>
  </si>
  <si>
    <t>1563918</t>
  </si>
  <si>
    <t>CIF:Medium:Signal representation, sampling and recovery on graphs</t>
  </si>
  <si>
    <t>7924 7936 8089</t>
  </si>
  <si>
    <t>Kovacevic</t>
  </si>
  <si>
    <t>Jelena</t>
  </si>
  <si>
    <t>Iowa State University</t>
  </si>
  <si>
    <t>CGI Transferred</t>
  </si>
  <si>
    <t>1564167</t>
  </si>
  <si>
    <t>Vishwanath</t>
  </si>
  <si>
    <t>Sriram</t>
  </si>
  <si>
    <t>Patrick</t>
  </si>
  <si>
    <t>7923 7931</t>
  </si>
  <si>
    <t>1704443</t>
  </si>
  <si>
    <t>CIF:Medium:Collaborative Research:Maximal Leakage and Active Receivers for Side- and Covert Channel Analysis</t>
  </si>
  <si>
    <t>7924 7935 9102</t>
  </si>
  <si>
    <t>Mitra</t>
  </si>
  <si>
    <t>RSHAH</t>
  </si>
  <si>
    <t>1704970</t>
  </si>
  <si>
    <t>Kiyavash</t>
  </si>
  <si>
    <t>Negar</t>
  </si>
  <si>
    <t>1350954</t>
  </si>
  <si>
    <t>CAREER: Exploiting low-dimensional structure in data for more effective, efficient and interactive machine intelligence</t>
  </si>
  <si>
    <t>1045 7495 7936</t>
  </si>
  <si>
    <t>Rozell</t>
  </si>
  <si>
    <t>Datta</t>
  </si>
  <si>
    <t>University of Notre Dame</t>
  </si>
  <si>
    <t>1704169</t>
  </si>
  <si>
    <t>1704828</t>
  </si>
  <si>
    <t>CIF: Medium: Collaborative Research: Nonconvex Optimization for High-Dimensional Signal Estimation: Theory and Fast Algorithms</t>
  </si>
  <si>
    <t>Yingbin</t>
  </si>
  <si>
    <t>Syracuse University</t>
  </si>
  <si>
    <t>Joerg</t>
  </si>
  <si>
    <t>1703575</t>
  </si>
  <si>
    <t>Avestimehr</t>
  </si>
  <si>
    <t>Amir</t>
  </si>
  <si>
    <t>Antonio</t>
  </si>
  <si>
    <t>Lehigh University</t>
  </si>
  <si>
    <t>1350616</t>
  </si>
  <si>
    <t>CAREER: Learning from Coarse, Nonmetric, and Incomplete Data</t>
  </si>
  <si>
    <t>1045 7936</t>
  </si>
  <si>
    <t>Davenport</t>
  </si>
  <si>
    <t>1350595</t>
  </si>
  <si>
    <t>CAREER: Digital Encoding of Information Signals for Security with Limited Resources</t>
  </si>
  <si>
    <t>1045 7937</t>
  </si>
  <si>
    <t>Cuff</t>
  </si>
  <si>
    <t>1350914</t>
  </si>
  <si>
    <t>CAREER: Privacy-Guaranteed Distributed Interactions in Critical Infrastructure Networks</t>
  </si>
  <si>
    <t>Sankar</t>
  </si>
  <si>
    <t>Lalitha</t>
  </si>
  <si>
    <t>Qian</t>
  </si>
  <si>
    <t>Xiaoning</t>
  </si>
  <si>
    <t>1705077</t>
  </si>
  <si>
    <t>1703403</t>
  </si>
  <si>
    <t>CIF:Medium:Collaborative Research:An Information-theoretic approach to nanopore sequencing</t>
  </si>
  <si>
    <t>Diggavi</t>
  </si>
  <si>
    <t>Suhas</t>
  </si>
  <si>
    <t>1564142</t>
  </si>
  <si>
    <t>1564278</t>
  </si>
  <si>
    <t>CIF:Medium:Collaborative Research:Scalable Learning of Nonlinear Models in Large Neural Populations</t>
  </si>
  <si>
    <t>Rangan</t>
  </si>
  <si>
    <t>Sundeep</t>
  </si>
  <si>
    <t>1453104</t>
  </si>
  <si>
    <t>CAREER:  Scaling Source Separation to Big Audio Data</t>
  </si>
  <si>
    <t>Smaragdis</t>
  </si>
  <si>
    <t>Paris</t>
  </si>
  <si>
    <t>Milenkovic</t>
  </si>
  <si>
    <t>1350264</t>
  </si>
  <si>
    <t>CAREER: Smart Monitoring and Inspection with Unmanned Aerial Vehicles</t>
  </si>
  <si>
    <t>Khan</t>
  </si>
  <si>
    <t>Usman</t>
  </si>
  <si>
    <t>Tufts University</t>
  </si>
  <si>
    <t>1553075</t>
  </si>
  <si>
    <t>CAREER: Advancing Multidimensional Data Science via New Algebraic Models and Scalable Algorithms</t>
  </si>
  <si>
    <t>Aeron</t>
  </si>
  <si>
    <t>Shuchin</t>
  </si>
  <si>
    <t>Braverman</t>
  </si>
  <si>
    <t>1564051</t>
  </si>
  <si>
    <t>Viventi</t>
  </si>
  <si>
    <t>Duke University</t>
  </si>
  <si>
    <t>1350590</t>
  </si>
  <si>
    <t>CAREER: Computational and Statistical Tradeoffs in Massive Data Analysis</t>
  </si>
  <si>
    <t>Chandrasekaran</t>
  </si>
  <si>
    <t>Venkat</t>
  </si>
  <si>
    <t>Fletcher</t>
  </si>
  <si>
    <t>Alyson</t>
  </si>
  <si>
    <t>1552497</t>
  </si>
  <si>
    <t>CAREER: Inference-Driven Data Processing and Acquisition: Scalability, Robustness and Control</t>
  </si>
  <si>
    <t>Atia</t>
  </si>
  <si>
    <t>George</t>
  </si>
  <si>
    <t>1704245</t>
  </si>
  <si>
    <t>Chi</t>
  </si>
  <si>
    <t>Yuejie</t>
  </si>
  <si>
    <t>1552131</t>
  </si>
  <si>
    <t>CAREER:Information-Theoretic Foundations of Community Detection and Graphical Channels</t>
  </si>
  <si>
    <t>1045 7935</t>
  </si>
  <si>
    <t>Abbe</t>
  </si>
  <si>
    <t>Emmanuel</t>
  </si>
  <si>
    <t>1453563</t>
  </si>
  <si>
    <t>CAREER: Optimal Bayesian Methods for Classification</t>
  </si>
  <si>
    <t>1045 7936 9102</t>
  </si>
  <si>
    <t>Dalton</t>
  </si>
  <si>
    <t>Lori</t>
  </si>
  <si>
    <t>1350314</t>
  </si>
  <si>
    <t>CAREER: Towards Green Communications Using an Information-Lens: Foundations of the Joint Design of Communication Strategies and Circuits</t>
  </si>
  <si>
    <t>Grover</t>
  </si>
  <si>
    <t>Pulkit</t>
  </si>
  <si>
    <t>1553452</t>
  </si>
  <si>
    <t>CAREER: Social Computation: Fundamental Limits and Efficient Algorithms</t>
  </si>
  <si>
    <t>Oh</t>
  </si>
  <si>
    <t>Sewoong</t>
  </si>
  <si>
    <t>Emina</t>
  </si>
  <si>
    <t>1350563</t>
  </si>
  <si>
    <t>CAREER: Low-Rank Matrix Modeling for Constrained Reconstruction from Noisy and Sparsely-Sampled Data</t>
  </si>
  <si>
    <t>Haldar</t>
  </si>
  <si>
    <t>Justin</t>
  </si>
  <si>
    <t>JKITTLE</t>
  </si>
  <si>
    <t>Jing</t>
  </si>
  <si>
    <t>Yale University</t>
  </si>
  <si>
    <t>1563622</t>
  </si>
  <si>
    <t>Koyluoglu</t>
  </si>
  <si>
    <t>Onur Ozan</t>
  </si>
  <si>
    <t>1552946</t>
  </si>
  <si>
    <t>CAREER: Deciphering Brain Function Through Dynamic Sparse Signal Processing</t>
  </si>
  <si>
    <t>1045 7936 8089</t>
  </si>
  <si>
    <t>Babadi</t>
  </si>
  <si>
    <t>Behtash</t>
  </si>
  <si>
    <t>1704204</t>
  </si>
  <si>
    <t>CIF:Medium:Convex Optimization for Blind Inverse Problems</t>
  </si>
  <si>
    <t>Gongguo</t>
  </si>
  <si>
    <t>1553248</t>
  </si>
  <si>
    <t>CAREER: An Information Theoretic Perspective of Consistent Distributed Storage Systems</t>
  </si>
  <si>
    <t>Cadambe</t>
  </si>
  <si>
    <t>Viveck</t>
  </si>
  <si>
    <t>Ravi</t>
  </si>
  <si>
    <t>Kansas State University</t>
  </si>
  <si>
    <t>Kane</t>
  </si>
  <si>
    <t>1553086</t>
  </si>
  <si>
    <t>CAREER:The optimal use of data</t>
  </si>
  <si>
    <t>Duchi</t>
  </si>
  <si>
    <t>Srivastava</t>
  </si>
  <si>
    <t>7925</t>
  </si>
  <si>
    <t>Yudong</t>
  </si>
  <si>
    <t>1704401</t>
  </si>
  <si>
    <t>Soltanalian</t>
  </si>
  <si>
    <t>Mojtaba</t>
  </si>
  <si>
    <t>1651236</t>
  </si>
  <si>
    <t>CAREER: Information-theoretic methods for RNA Analytics</t>
  </si>
  <si>
    <t>Sreeram</t>
  </si>
  <si>
    <t>1738286</t>
  </si>
  <si>
    <t>CIF: Medium: Collaborative Research: Scalable Learning of Nonlinear Models in Large Neural Populations</t>
  </si>
  <si>
    <t>1748585</t>
  </si>
  <si>
    <t>PEND Total</t>
  </si>
  <si>
    <t>1758736</t>
  </si>
  <si>
    <t>CIF: Small: Taming Convergence and Delay in Stochastic Network Optimization with Hessian Information</t>
  </si>
  <si>
    <t>NSF 14-599</t>
  </si>
  <si>
    <t>NSF 11-557</t>
  </si>
  <si>
    <t>7923 7926</t>
  </si>
  <si>
    <t>7923</t>
  </si>
  <si>
    <t>NSF 08-557</t>
  </si>
  <si>
    <t>Xie</t>
  </si>
  <si>
    <t>7434 7923</t>
  </si>
  <si>
    <t>IIS</t>
  </si>
  <si>
    <t>9102</t>
  </si>
  <si>
    <t>7923 7937</t>
  </si>
  <si>
    <t>Smida</t>
  </si>
  <si>
    <t>Besma</t>
  </si>
  <si>
    <t>CIF: Collaborative Research: Parallel Online Algorithms for Large-Scale MRI</t>
  </si>
  <si>
    <t>Scutari</t>
  </si>
  <si>
    <t>Gesualdo</t>
  </si>
  <si>
    <t>7918 - CYBER-PHYSICAL SYSTEMS (CPS)</t>
  </si>
  <si>
    <t>NSF 13-1</t>
  </si>
  <si>
    <t>CIF: Small: Adaptive Information: Sequential Sensing and Active Learning Theory,  Methods and Applications</t>
  </si>
  <si>
    <t>7936</t>
  </si>
  <si>
    <t>Nowak</t>
  </si>
  <si>
    <t>nvinson</t>
  </si>
  <si>
    <t>03040000</t>
  </si>
  <si>
    <t>DMS</t>
  </si>
  <si>
    <t>1263 - PROBABILITY</t>
  </si>
  <si>
    <t>FVIENS</t>
  </si>
  <si>
    <t>NSF 10-578</t>
  </si>
  <si>
    <t>1551486</t>
  </si>
  <si>
    <t>Stochastic Networks Conference 2016</t>
  </si>
  <si>
    <t>7556 9263</t>
  </si>
  <si>
    <t>Ruth</t>
  </si>
  <si>
    <t>7946 - BIO COMPUTING</t>
  </si>
  <si>
    <t>7935</t>
  </si>
  <si>
    <t>Charles</t>
  </si>
  <si>
    <t>7916</t>
  </si>
  <si>
    <t>1617610</t>
  </si>
  <si>
    <t>CIF: Small: Complex-Valued Statistical Signal Processing with Dependent Data</t>
  </si>
  <si>
    <t>7923 7936 9150</t>
  </si>
  <si>
    <t>Tugnait</t>
  </si>
  <si>
    <t>Jitendra</t>
  </si>
  <si>
    <t>7923 9150</t>
  </si>
  <si>
    <t>8211 - CyberSEES</t>
  </si>
  <si>
    <t>1618908</t>
  </si>
  <si>
    <t>CIF - Small: High Resolution Computational Imaging with Motion in Spatially Varying Fields</t>
  </si>
  <si>
    <t>7923 7936</t>
  </si>
  <si>
    <t>Webb</t>
  </si>
  <si>
    <t>1420651</t>
  </si>
  <si>
    <t>1420608</t>
  </si>
  <si>
    <t>CIF:Small: Collaborative Research:Theoretical Foundation of Distributed Wireless Channel Access</t>
  </si>
  <si>
    <t>Ephremides</t>
  </si>
  <si>
    <t>1524312</t>
  </si>
  <si>
    <t>CIF: Small: Towards Structural Information</t>
  </si>
  <si>
    <t>Szpankowski</t>
  </si>
  <si>
    <t>Wojciech</t>
  </si>
  <si>
    <t>7363 - RES IN NETWORKING TECH &amp; SYS</t>
  </si>
  <si>
    <t>Poor</t>
  </si>
  <si>
    <t>Harold Vincent</t>
  </si>
  <si>
    <t>1420575</t>
  </si>
  <si>
    <t>CIF:Small:Collaborative Research: Towards universal signal recovery algorithms</t>
  </si>
  <si>
    <t>1717578</t>
  </si>
  <si>
    <t>CIF:Small:Coded Aperture Spectral X-Ray Tomography</t>
  </si>
  <si>
    <t>7923 7935 9150</t>
  </si>
  <si>
    <t>Arce</t>
  </si>
  <si>
    <t>Gonzalo</t>
  </si>
  <si>
    <t>Narayan</t>
  </si>
  <si>
    <t>Prakash</t>
  </si>
  <si>
    <t>1527354</t>
  </si>
  <si>
    <t>CIF: Small: Secure and Private Function Computation by Interactive Communication</t>
  </si>
  <si>
    <t>1712788</t>
  </si>
  <si>
    <t>CCF-BSF:CIF:Small:Signal Processing and Machine Learning on Manifolds, with Applications to Invariant Detection and Covariant Estimation</t>
  </si>
  <si>
    <t>7923 7935 7936</t>
  </si>
  <si>
    <t>Scharf</t>
  </si>
  <si>
    <t>Louis</t>
  </si>
  <si>
    <t>Alan</t>
  </si>
  <si>
    <t>Verdu</t>
  </si>
  <si>
    <t>1611969</t>
  </si>
  <si>
    <t>2016 IEEE International Symposium on Information Theory Student Travel Support</t>
  </si>
  <si>
    <t>1712633</t>
  </si>
  <si>
    <t>CIF:Small: Ramanujan-sums in signal representation</t>
  </si>
  <si>
    <t>Vaidyanathan</t>
  </si>
  <si>
    <t>P.</t>
  </si>
  <si>
    <t>Scott</t>
  </si>
  <si>
    <t>Jose</t>
  </si>
  <si>
    <t>1421848</t>
  </si>
  <si>
    <t>1422955</t>
  </si>
  <si>
    <t>CIF:Small:Collaborative Research:Efficient Codes and their Performance Limits for Distributed Storage Systems</t>
  </si>
  <si>
    <t>P. Vijay</t>
  </si>
  <si>
    <t>7916 7935</t>
  </si>
  <si>
    <t>Ian</t>
  </si>
  <si>
    <t>1656201</t>
  </si>
  <si>
    <t>EAGER: Towards Understanding the Information-Theoretic Nature of the Human Epigenome</t>
  </si>
  <si>
    <t>Goutsias</t>
  </si>
  <si>
    <t>1618145</t>
  </si>
  <si>
    <t>CIF: Small: Ensuring robustness of communication between networked energy harvesting nodes</t>
  </si>
  <si>
    <t>Anantharam</t>
  </si>
  <si>
    <t>Venkatachalam</t>
  </si>
  <si>
    <t>NSF 13-581</t>
  </si>
  <si>
    <t>JYANG</t>
  </si>
  <si>
    <t>Anna</t>
  </si>
  <si>
    <t>Martin</t>
  </si>
  <si>
    <t>1423316</t>
  </si>
  <si>
    <t>CIF: Small: Collaborative Research: From Communication to Power Networks: Adaptive Energy Management for Power Systems with Renewables</t>
  </si>
  <si>
    <t>Giannakis</t>
  </si>
  <si>
    <t>Georgios</t>
  </si>
  <si>
    <t>1514056</t>
  </si>
  <si>
    <t>Parhi</t>
  </si>
  <si>
    <t>Keshab</t>
  </si>
  <si>
    <t>1423407</t>
  </si>
  <si>
    <t>SHF: Small: Advanced Digital Signal Processing with DNA</t>
  </si>
  <si>
    <t>7923 7931 7936</t>
  </si>
  <si>
    <t>7923 7931 7936 7946</t>
  </si>
  <si>
    <t>JHFRENC</t>
  </si>
  <si>
    <t>1617365</t>
  </si>
  <si>
    <t>CIF: SMALL: MASSIVE MIMO SYSTEMS: Novel Channel Modeling and Estimation Methods</t>
  </si>
  <si>
    <t>Rao</t>
  </si>
  <si>
    <t>Bhaskar</t>
  </si>
  <si>
    <t>Jeffrey</t>
  </si>
  <si>
    <t>Berger</t>
  </si>
  <si>
    <t>1423657</t>
  </si>
  <si>
    <t>CIF: Small: Foundations of Wireless Interfering Cellular Networks With and Without Cooperation</t>
  </si>
  <si>
    <t>Varanasi</t>
  </si>
  <si>
    <t>Mahesh</t>
  </si>
  <si>
    <t>Michigan State University</t>
  </si>
  <si>
    <t>1422914</t>
  </si>
  <si>
    <t>CIF:Small: High Resolution EEG Signal Analysis for Seizure Detection and Treatment</t>
  </si>
  <si>
    <t>Yao</t>
  </si>
  <si>
    <t>Djuric</t>
  </si>
  <si>
    <t>Petar</t>
  </si>
  <si>
    <t>1419742</t>
  </si>
  <si>
    <t>Travel Support for Student Participation in the 2014 IEEE International Conference on Acoustics, Speech and Signal Processing</t>
  </si>
  <si>
    <t>1618999</t>
  </si>
  <si>
    <t>CIF: Small: Dynamic Networks: Learning, Inference, and Prediction with Nonparametric Bayesian Methods</t>
  </si>
  <si>
    <t>1423624</t>
  </si>
  <si>
    <t>NeTS: Small: Pareto-Optimized Heat Diffusion Protocol on Ollivier-Ricci Curvature Controlled Wireless Networks</t>
  </si>
  <si>
    <t>Jonckheere</t>
  </si>
  <si>
    <t>Edmond</t>
  </si>
  <si>
    <t>025Z 7434 7923</t>
  </si>
  <si>
    <t>1422988</t>
  </si>
  <si>
    <t>CIF: Small: Status Updating Systems and Networks</t>
  </si>
  <si>
    <t>7363 7923 7935</t>
  </si>
  <si>
    <t>7363 7923</t>
  </si>
  <si>
    <t>Yates</t>
  </si>
  <si>
    <t>7556 7926</t>
  </si>
  <si>
    <t>Florida State University</t>
  </si>
  <si>
    <t>Nikolaos</t>
  </si>
  <si>
    <t>Sandeep</t>
  </si>
  <si>
    <t>Wornell</t>
  </si>
  <si>
    <t>1717610</t>
  </si>
  <si>
    <t>CIF:Small:Submodular Optimization Techniques for Sensing, Signal Processing, and Inference.</t>
  </si>
  <si>
    <t>Siegel</t>
  </si>
  <si>
    <t>7916 9150</t>
  </si>
  <si>
    <t>1617545</t>
  </si>
  <si>
    <t>CIF: Small: Circumventing Present-Day Frequency Synthesis Limitations in Digital PLLs</t>
  </si>
  <si>
    <t>7923 7935 7945</t>
  </si>
  <si>
    <t>Galton</t>
  </si>
  <si>
    <t>1526908</t>
  </si>
  <si>
    <t>CIF:SMALL:Spatiotemporally Varying Channel Map Estimation and Tracking in Wireless Networks</t>
  </si>
  <si>
    <t>Petropulu</t>
  </si>
  <si>
    <t>Athina</t>
  </si>
  <si>
    <t>1618551</t>
  </si>
  <si>
    <t>CIF: Small: Source Separation with an Adaptive Structure for Multi-Modal Data Fusion</t>
  </si>
  <si>
    <t>Adali</t>
  </si>
  <si>
    <t>Tulay</t>
  </si>
  <si>
    <t>7923 7936 9229</t>
  </si>
  <si>
    <t>1718560</t>
  </si>
  <si>
    <t>CIF:Small: Understanding Microbial Signaling Through a Communication Theoretic Lens</t>
  </si>
  <si>
    <t>7923 9102</t>
  </si>
  <si>
    <t>7923 7935 9102</t>
  </si>
  <si>
    <t>Urbashi</t>
  </si>
  <si>
    <t>NSF 15-527</t>
  </si>
  <si>
    <t>1524250</t>
  </si>
  <si>
    <t>CIF: Small: Inference over Asymmetric Network and Data Structures</t>
  </si>
  <si>
    <t>Sayed</t>
  </si>
  <si>
    <t>1422871</t>
  </si>
  <si>
    <t>CIF:  Small:  Statistical Approach to Signal Processing for Long-Haul Fiber-Optic Communication Sytems</t>
  </si>
  <si>
    <t>Brandt-Pearce</t>
  </si>
  <si>
    <t>Maite</t>
  </si>
  <si>
    <t>1409135</t>
  </si>
  <si>
    <t>1409106</t>
  </si>
  <si>
    <t>CIF: Medium: Collaborative Research: Content Delivery over Heterogeneous Networks: Fundamental Limits and Distributed Algorithms</t>
  </si>
  <si>
    <t>1439725</t>
  </si>
  <si>
    <t>EAGER: Ultra-FFAST Alias Codes for Sparse Spectrum Estimation: Next Generation Compressed Sensing</t>
  </si>
  <si>
    <t>7916 7936</t>
  </si>
  <si>
    <t>1527767</t>
  </si>
  <si>
    <t>CIF:Small:Next-Generation Compressive Phase-Retrieval Using Sparse-Graph Codes: Theory, Design and Applications</t>
  </si>
  <si>
    <t>7797 7923 7936</t>
  </si>
  <si>
    <t>1527501</t>
  </si>
  <si>
    <t>CIF: Small: Lens-Free Imaging: Can Signal Processing Replace Lenses?</t>
  </si>
  <si>
    <t>Baraniuk</t>
  </si>
  <si>
    <t>1719139</t>
  </si>
  <si>
    <t>CCF-BSF: CIF: Small: Distributed Information Retrieval: Private, Reliable, and Efficient</t>
  </si>
  <si>
    <t>7923 7935 7937</t>
  </si>
  <si>
    <t>Vardy</t>
  </si>
  <si>
    <t>1717884</t>
  </si>
  <si>
    <t>1718886</t>
  </si>
  <si>
    <t>CIF: Small: Collaborative Research: Error Correction with Natural Redundancy</t>
  </si>
  <si>
    <t>Bruck</t>
  </si>
  <si>
    <t>Jehoshua</t>
  </si>
  <si>
    <t>Veeravalli</t>
  </si>
  <si>
    <t>1434211</t>
  </si>
  <si>
    <t>IF: Student Travel Support for the 2014 IEEE International Symposium on Information Theory</t>
  </si>
  <si>
    <t>1618658</t>
  </si>
  <si>
    <t>CIF: Small: Collaborative Research: Network Event Detection with Multistream Observations</t>
  </si>
  <si>
    <t>1331800</t>
  </si>
  <si>
    <t>CyberSEES: Type 2: Data Integration for Urban Metabolism</t>
  </si>
  <si>
    <t>Cruz</t>
  </si>
  <si>
    <t>1527874</t>
  </si>
  <si>
    <t>CIF:Small:Graph Signal Sampling: Theory and Applications</t>
  </si>
  <si>
    <t>Ortega</t>
  </si>
  <si>
    <t>1644333</t>
  </si>
  <si>
    <t>Workshop on Graph Signal Processing: Student Travel Support</t>
  </si>
  <si>
    <t>7556 7936</t>
  </si>
  <si>
    <t>Effros</t>
  </si>
  <si>
    <t>Michelle</t>
  </si>
  <si>
    <t>1527524</t>
  </si>
  <si>
    <t>1526771</t>
  </si>
  <si>
    <t>CIF: Small: Collaborative Research:A Reductionist View of Network Information Theory</t>
  </si>
  <si>
    <t>1525194</t>
  </si>
  <si>
    <t>CIF: Small: Feasible Point Pursuit for Non-convex QCQPs: Algorithms and Signal Processing Applications</t>
  </si>
  <si>
    <t>Daniela</t>
  </si>
  <si>
    <t>1526215</t>
  </si>
  <si>
    <t>CIF:Small: Collaborative Research: Communications with Energy Harvesting Nodes</t>
  </si>
  <si>
    <t>1619053</t>
  </si>
  <si>
    <t>CCF-BSF:CIF:Small: Coding Techniques for Emerging Storage Technologies.</t>
  </si>
  <si>
    <t>Vikram</t>
  </si>
  <si>
    <t>1618272</t>
  </si>
  <si>
    <t>CIF:Small:Approaching Capacity in High Throughput Communication Systems with Incremental Redundancy</t>
  </si>
  <si>
    <t>Wesel</t>
  </si>
  <si>
    <t>1530587</t>
  </si>
  <si>
    <t>CIF: Student Travel Support for the 2015 IEEE International Symposium on Information Theory</t>
  </si>
  <si>
    <t>Sapiro</t>
  </si>
  <si>
    <t>Guillermo</t>
  </si>
  <si>
    <t>1712867</t>
  </si>
  <si>
    <t>CIF: AF: Small: Foundations of Multimodal Information Integration</t>
  </si>
  <si>
    <t>1421957</t>
  </si>
  <si>
    <t>CIF: Small: Everlasting Security for Disadvantaged Wireless Communications</t>
  </si>
  <si>
    <t>Goeckel</t>
  </si>
  <si>
    <t>Dennis</t>
  </si>
  <si>
    <t>7434 7923 7935</t>
  </si>
  <si>
    <t>7923 7935 9251</t>
  </si>
  <si>
    <t>1525398</t>
  </si>
  <si>
    <t>CIF:Small:Bypassing the L1 Norm: Non-Convex Regularization, Convex Optimization, and Sparse Signal Processing</t>
  </si>
  <si>
    <t>Selesnick</t>
  </si>
  <si>
    <t>Ivan</t>
  </si>
  <si>
    <t>Sayeed</t>
  </si>
  <si>
    <t>Akbar</t>
  </si>
  <si>
    <t>Anuj</t>
  </si>
  <si>
    <t>1617397</t>
  </si>
  <si>
    <t>1617999</t>
  </si>
  <si>
    <t>CIF: Small: Collaborative Research: Geometrical and Statistical Modeling of Space-Time symmetries for Human Action Analysis and Retraining</t>
  </si>
  <si>
    <t>1740960</t>
  </si>
  <si>
    <t>CIF: Student Travel Support for the 2017 IEEE International Symposium on Information Theory</t>
  </si>
  <si>
    <t>1409228</t>
  </si>
  <si>
    <t>Medard</t>
  </si>
  <si>
    <t>Muriel</t>
  </si>
  <si>
    <t>1527270</t>
  </si>
  <si>
    <t>CIF: Small: Collaborative Research:Towards more Secure Systems: Uniformization for Secrecy</t>
  </si>
  <si>
    <t>1619085</t>
  </si>
  <si>
    <t>CIF: Small: Massive Uncoordinated and Sporadic Multiple Access -- Strengthening Connections between Coding and Random Access</t>
  </si>
  <si>
    <t>Narayanan</t>
  </si>
  <si>
    <t>1422995</t>
  </si>
  <si>
    <t>CIF:Small: Dynamic Dictionary Learning with Low-rank Interference</t>
  </si>
  <si>
    <t>Tran</t>
  </si>
  <si>
    <t>Trac</t>
  </si>
  <si>
    <t>Dhillon</t>
  </si>
  <si>
    <t>1527598</t>
  </si>
  <si>
    <t>CIF: Small: Disparity of Coherence and Channel Information in Wireless Networks - Opportunities and Challenges</t>
  </si>
  <si>
    <t>Nosratinia</t>
  </si>
  <si>
    <t>Aria</t>
  </si>
  <si>
    <t>1718551</t>
  </si>
  <si>
    <t>CIF:Small: Covariance Arbitrage: Unlocking the Full Value of Correlation Diversity in Multiuser Wireless Networks</t>
  </si>
  <si>
    <t>Heath</t>
  </si>
  <si>
    <t>1523972</t>
  </si>
  <si>
    <t>Workshop on low latency wireless networks</t>
  </si>
  <si>
    <t>Modiano</t>
  </si>
  <si>
    <t>Eytan</t>
  </si>
  <si>
    <t>Oliver</t>
  </si>
  <si>
    <t>Arthur</t>
  </si>
  <si>
    <t>Yezzi</t>
  </si>
  <si>
    <t>1526848</t>
  </si>
  <si>
    <t>CIF:Small: Geometric, Variational Algorithms for Radiometric-Based Shape Reconstruction</t>
  </si>
  <si>
    <t>1717033</t>
  </si>
  <si>
    <t>CIF:Small:Network Tomography and Resource Allocation</t>
  </si>
  <si>
    <t>Brian</t>
  </si>
  <si>
    <t>1421734</t>
  </si>
  <si>
    <t>RUI: Intermediate-level Vision:  Grouping of generic features for image and video processing</t>
  </si>
  <si>
    <t>Kubota</t>
  </si>
  <si>
    <t>Toshiro</t>
  </si>
  <si>
    <t>Susquehanna University</t>
  </si>
  <si>
    <t>Yener</t>
  </si>
  <si>
    <t>Aylin</t>
  </si>
  <si>
    <t>1422347</t>
  </si>
  <si>
    <t>1422111</t>
  </si>
  <si>
    <t>CIF:Small:Collaborative Research: Foundations of Energy Harvesting Wireless Communications</t>
  </si>
  <si>
    <t>1430414</t>
  </si>
  <si>
    <t>CIF: Support for the 2014 IEEE North American School for Information Theory</t>
  </si>
  <si>
    <t>1749665</t>
  </si>
  <si>
    <t>EAGER: Coded Caching for Heterogeneous and Energy Harvesting Systems</t>
  </si>
  <si>
    <t>1618653</t>
  </si>
  <si>
    <t>CIF: Small: Hybrid analog-digital schemes for joint source-channel coding of digital sources</t>
  </si>
  <si>
    <t>Garcia-Frias</t>
  </si>
  <si>
    <t>Javier</t>
  </si>
  <si>
    <t>Henry</t>
  </si>
  <si>
    <t>1319458</t>
  </si>
  <si>
    <t>An Efficient Framework for Channel State Dissemination and Network Synchronization</t>
  </si>
  <si>
    <t>1619189</t>
  </si>
  <si>
    <t>CIF:Small:Effective bounds for distributed storage and data access</t>
  </si>
  <si>
    <t>Duursma</t>
  </si>
  <si>
    <t>Iwan</t>
  </si>
  <si>
    <t>1527396</t>
  </si>
  <si>
    <t>CIF: Small: Task-Cognizant Sparse Sensing for Inference</t>
  </si>
  <si>
    <t>1525904</t>
  </si>
  <si>
    <t>CIF:Small:Toward a Stochastic Geometry for Cellular Systems</t>
  </si>
  <si>
    <t>Haenggi</t>
  </si>
  <si>
    <t>7935 9251</t>
  </si>
  <si>
    <t>Vasic</t>
  </si>
  <si>
    <t>Bane</t>
  </si>
  <si>
    <t>1422193</t>
  </si>
  <si>
    <t>CIF:Small:Detection and Classification Problems in Online Information Graphs</t>
  </si>
  <si>
    <t>Negi</t>
  </si>
  <si>
    <t>1553746</t>
  </si>
  <si>
    <t>EAGER: The Identification of Social Systems Trust: Theory and Experimental Validation</t>
  </si>
  <si>
    <t>Scaglione</t>
  </si>
  <si>
    <t>1714672</t>
  </si>
  <si>
    <t>CCF-BSF: CIF: Small: Identification and Isolation of Malicious Behavior in Multi-Agent Optimization Algorithms</t>
  </si>
  <si>
    <t>7923 7937 9102</t>
  </si>
  <si>
    <t>1527162</t>
  </si>
  <si>
    <t>CIF:Small:Collaborative Research: Next Generation Communications with Low-Resolution ADCs: Fundamentals and Practical Design</t>
  </si>
  <si>
    <t>Schniter</t>
  </si>
  <si>
    <t>1716388</t>
  </si>
  <si>
    <t>Approximate Message Passing Algorithms and Networks</t>
  </si>
  <si>
    <t>1526780</t>
  </si>
  <si>
    <t>CIF:Small:Challenges and opportunities of timing mismatch in multi-user wireless networks</t>
  </si>
  <si>
    <t>Jafarkhani</t>
  </si>
  <si>
    <t>1421496</t>
  </si>
  <si>
    <t>CIF: Small: Theory, Methods and Algorithms for Synthetic Aperture Interferometry Using Ultra-Narrowband Waveforms</t>
  </si>
  <si>
    <t>Yazici</t>
  </si>
  <si>
    <t>Birsen</t>
  </si>
  <si>
    <t>CIF: Small: Collaborative Research: Foundations of Energy Harvesting Wireless Communications</t>
  </si>
  <si>
    <t>Ulukus</t>
  </si>
  <si>
    <t>Sennur</t>
  </si>
  <si>
    <t>1422129</t>
  </si>
  <si>
    <t>1422090</t>
  </si>
  <si>
    <t>CIF: Small: Collaborative Research: Synergistic Exploitation of Network Dynamics and Knowledge Heterogeneity in Wireless Networks</t>
  </si>
  <si>
    <t>1713977</t>
  </si>
  <si>
    <t>CIF: Small: Alignment for Secrecy: One-Time-Pads in the Air without Keys</t>
  </si>
  <si>
    <t>1423663</t>
  </si>
  <si>
    <t>CIF: Small: Structured Signal Recovery from Noisy Measurements via Convex Programming: A Framework for Analyzing Performance</t>
  </si>
  <si>
    <t>Hassibi</t>
  </si>
  <si>
    <t>Babak</t>
  </si>
  <si>
    <t>1423411</t>
  </si>
  <si>
    <t>CIF: Small: SPREADING PROCESSES OVER MULTILAYER AND INTERCONNECTED NETWORKS</t>
  </si>
  <si>
    <t>Scoglio</t>
  </si>
  <si>
    <t>Caterina</t>
  </si>
  <si>
    <t>1434600</t>
  </si>
  <si>
    <t>CIF:EAGER:Information Theory Approaches for finding Atypical Sequences</t>
  </si>
  <si>
    <t>Host-Madsen</t>
  </si>
  <si>
    <t>Anders</t>
  </si>
  <si>
    <t>1421480</t>
  </si>
  <si>
    <t>CIF: Small: Model-based sparse X-ray CT signal processing using polychromatic measurements</t>
  </si>
  <si>
    <t>Dogandzic</t>
  </si>
  <si>
    <t>Aleksandar</t>
  </si>
  <si>
    <t>1422284</t>
  </si>
  <si>
    <t>CIF: Small: New inroads into finite-length distributed information coding</t>
  </si>
  <si>
    <t>Sadanandarao</t>
  </si>
  <si>
    <t>1717299</t>
  </si>
  <si>
    <t>CIF:Small: Toward an Algebraic and Probabilistic Foundation for Network Information Theory based on Quasi Structured Codes</t>
  </si>
  <si>
    <t>1527079</t>
  </si>
  <si>
    <t>CIF: Small: Collaborative Research: Next Generation Communications with Low-Resolution ADCs: Fundamentals and Practical Design</t>
  </si>
  <si>
    <t>Flynn</t>
  </si>
  <si>
    <t>1617319</t>
  </si>
  <si>
    <t>CCF: Small: Smart Continually-aware High-Fidelity Sensor Interfaces</t>
  </si>
  <si>
    <t>Vivek</t>
  </si>
  <si>
    <t>1422278</t>
  </si>
  <si>
    <t>CIF: Small: Statistical Data Privacy: Fundamental Limits and Efficient Algorithms</t>
  </si>
  <si>
    <t>1617745</t>
  </si>
  <si>
    <t>1618475</t>
  </si>
  <si>
    <t>CIF: Small: Collaborative Research: Perishable Network Information Flow</t>
  </si>
  <si>
    <t>1422262</t>
  </si>
  <si>
    <t>CIF:Small: A comprehensive framework for dynamic network tracking and clustering with applications to functional brain connectivity</t>
  </si>
  <si>
    <t>Aviyente</t>
  </si>
  <si>
    <t>Selin</t>
  </si>
  <si>
    <t>1615489</t>
  </si>
  <si>
    <t>CIF: Small: Low-Dimensional Structure Learning for Tensor Data with Applications to Neuroimaging</t>
  </si>
  <si>
    <t>7923 7936 8089</t>
  </si>
  <si>
    <t>1526434</t>
  </si>
  <si>
    <t>1526078</t>
  </si>
  <si>
    <t>CIF: Small: Collaborative Research: Optimal Provision of Backhaul and Radio Access Networks: A Cross-Network Approach</t>
  </si>
  <si>
    <t>Zhi-Quan</t>
  </si>
  <si>
    <t>1617986</t>
  </si>
  <si>
    <t>CIF: Small: Advancing Adaptive Importance Sampling for Signal Processing</t>
  </si>
  <si>
    <t>Fernandez-Bugallo</t>
  </si>
  <si>
    <t>Monica</t>
  </si>
  <si>
    <t>Pavan</t>
  </si>
  <si>
    <t>1320428</t>
  </si>
  <si>
    <t>Deng</t>
  </si>
  <si>
    <t>1541309</t>
  </si>
  <si>
    <t>Travel Support for Student Participation in the 2016 IEEE International Conference on Acoustics, Speech and Signal Processing (ICASSP)</t>
  </si>
  <si>
    <t>Tongtong</t>
  </si>
  <si>
    <t>1525705</t>
  </si>
  <si>
    <t>CIF:Small: Cooperative Interference Engineering for Network Secrecy</t>
  </si>
  <si>
    <t>Win</t>
  </si>
  <si>
    <t>Moe</t>
  </si>
  <si>
    <t>1420174</t>
  </si>
  <si>
    <t>CIF:SMALL: Image Restoration via Bayesian Structured Sparse Coding</t>
  </si>
  <si>
    <t>7495 - ROBUST INTELLIGENCE</t>
  </si>
  <si>
    <t>1526875</t>
  </si>
  <si>
    <t>CIF: Small: Collaborative Research:Synchronization and Deduplication of Distributed Coded Data: Fundamental Limits and Algorithms</t>
  </si>
  <si>
    <t>Olgica</t>
  </si>
  <si>
    <t>1527636</t>
  </si>
  <si>
    <t>CIF: Small: Collaborative Research: Ordinal Data Compression</t>
  </si>
  <si>
    <t>1618366</t>
  </si>
  <si>
    <t>CIF: Small: Coding for DNA-Based Storage Systems</t>
  </si>
  <si>
    <t>1422045</t>
  </si>
  <si>
    <t>CIF/AF: Small: Some fundamental complexity-inspired coding theory challenges</t>
  </si>
  <si>
    <t>7923 7926 7937</t>
  </si>
  <si>
    <t>1423542</t>
  </si>
  <si>
    <t>NeTS: Small: The Power of Online Learning in Stochastic System Optimization</t>
  </si>
  <si>
    <t>1664700</t>
  </si>
  <si>
    <t>CIF: Small: Student Travel Grants for IEEE Wireless Communications and Networking Conference 2017</t>
  </si>
  <si>
    <t>7556 7935</t>
  </si>
  <si>
    <t>Kishore</t>
  </si>
  <si>
    <t>Shalinee</t>
  </si>
  <si>
    <t>Qin</t>
  </si>
  <si>
    <t>CIF: Small: Collaborative Research: Efficient Codes and their Performance Limits for Distributed Storage Systems</t>
  </si>
  <si>
    <t>Barg</t>
  </si>
  <si>
    <t>1618603</t>
  </si>
  <si>
    <t>CCF-BSF: CIF: Small: Collaborative Research: Coding and Information - Theoretic Aspects of Local Data Recovery</t>
  </si>
  <si>
    <t>1617815</t>
  </si>
  <si>
    <t>1617801</t>
  </si>
  <si>
    <t>CIF:Small:Collaborative Research: Scalable Nonconvex Optimization with Statistical Guarantees for Information Computing in High Dimensions</t>
  </si>
  <si>
    <t>Dapeng</t>
  </si>
  <si>
    <t>1618637</t>
  </si>
  <si>
    <t>1618677</t>
  </si>
  <si>
    <t>CIF: Small: Collaborative Research: Sparse and Low Rank Methods for Imbalanced and Heterogeneous Data</t>
  </si>
  <si>
    <t>Vidal</t>
  </si>
  <si>
    <t>Rene</t>
  </si>
  <si>
    <t>1524417</t>
  </si>
  <si>
    <t>CIF: Small: Networks: Evolution, Learning and Social Norms</t>
  </si>
  <si>
    <t>van der Schaar</t>
  </si>
  <si>
    <t>Mihaela</t>
  </si>
  <si>
    <t>1423570</t>
  </si>
  <si>
    <t>CIF: Small: Sensors That Make Sense: Peak-Power, Energy, and Delay Constrained Networks</t>
  </si>
  <si>
    <t>Tuncel</t>
  </si>
  <si>
    <t>Ertem</t>
  </si>
  <si>
    <t>Jafar</t>
  </si>
  <si>
    <t>Syed</t>
  </si>
  <si>
    <t>1617504</t>
  </si>
  <si>
    <t>CIF:Small: Fundamental Limits of Robust Interference Management -- Between the Extremes</t>
  </si>
  <si>
    <t>1717602</t>
  </si>
  <si>
    <t>CIF:Small:High Performance Memories that Integrate Coding and Computer Architecture</t>
  </si>
  <si>
    <t>Calderbank</t>
  </si>
  <si>
    <t>1718477</t>
  </si>
  <si>
    <t>NeTS:Small:Optimal Learning Times for Task-Oriented Communication Networks</t>
  </si>
  <si>
    <t>Neely</t>
  </si>
  <si>
    <t>Weissman</t>
  </si>
  <si>
    <t>Itschak(Tsachy)</t>
  </si>
  <si>
    <t>1528159</t>
  </si>
  <si>
    <t>CIF: Small: Collaborative Research: Inference of Information Measures on Large Alphabets: Fundamental Limits, Fast Algorithms, and Applications</t>
  </si>
  <si>
    <t>1740391</t>
  </si>
  <si>
    <t>RAISE: Deep Gravitational Wave Exploration, Instrumental Insights and Noise Removal Through Machine Learning</t>
  </si>
  <si>
    <t>049Z 7936</t>
  </si>
  <si>
    <t>Marka</t>
  </si>
  <si>
    <t>Szabolcs</t>
  </si>
  <si>
    <t>1423040</t>
  </si>
  <si>
    <t>CIF:Small: Many-User Information Theory: A New Paradigm</t>
  </si>
  <si>
    <t>Dongning</t>
  </si>
  <si>
    <t>1422540</t>
  </si>
  <si>
    <t>CIF: Small: Blind Channel Estimation and Solving Bilinear Equations by Lifting and Factoring</t>
  </si>
  <si>
    <t>Romberg</t>
  </si>
  <si>
    <t>1718771</t>
  </si>
  <si>
    <t>CIF:Small:Model-Based Blind Demixing for Signal Processing and Machine Learning</t>
  </si>
  <si>
    <t>1423648</t>
  </si>
  <si>
    <t>CIF: Small: A wave-theoretic approach to information transport in scattering environments</t>
  </si>
  <si>
    <t>Franceschetti</t>
  </si>
  <si>
    <t>Massimo</t>
  </si>
  <si>
    <t>1547772</t>
  </si>
  <si>
    <t>CIF: Student Travel Support for the North American School on Information Theory</t>
  </si>
  <si>
    <t>1717942</t>
  </si>
  <si>
    <t>CIF: Small: Blind information measures for waves: a deterministic approach</t>
  </si>
  <si>
    <t>1718658</t>
  </si>
  <si>
    <t>1717314</t>
  </si>
  <si>
    <t>CIF:Small:Collaborative Research:Codes for Storage with Queues for Access</t>
  </si>
  <si>
    <t>Sprintson</t>
  </si>
  <si>
    <t>1527618</t>
  </si>
  <si>
    <t>CIF:Small:Learning Mixed Membership Models with a Separable Latent Structure: theory, provably efficient algorithms, and applications</t>
  </si>
  <si>
    <t>Ishwar</t>
  </si>
  <si>
    <t>1526870</t>
  </si>
  <si>
    <t>CIF: Small: Online Algorithms for Streaming Structured Big-Data Mining</t>
  </si>
  <si>
    <t>Vaswani</t>
  </si>
  <si>
    <t>Namrata</t>
  </si>
  <si>
    <t>7936 9251</t>
  </si>
  <si>
    <t>Soheil</t>
  </si>
  <si>
    <t>1618615</t>
  </si>
  <si>
    <t>CIF: Small: Fundamental Limits of Wireless Communications with Stochastic Information Flows and Queueing Constraints</t>
  </si>
  <si>
    <t>Gursoy</t>
  </si>
  <si>
    <t>Mustafa</t>
  </si>
  <si>
    <t>Anxiao</t>
  </si>
  <si>
    <t>Pishro-Nik</t>
  </si>
  <si>
    <t>Hossein</t>
  </si>
  <si>
    <t>1523768</t>
  </si>
  <si>
    <t>CIF: Small: Statistical Inference via Convex Optimization</t>
  </si>
  <si>
    <t>7797 7936</t>
  </si>
  <si>
    <t>Nemirovski</t>
  </si>
  <si>
    <t>Arkadi</t>
  </si>
  <si>
    <t>1422997</t>
  </si>
  <si>
    <t>CIF: Small: Network Information Theory Meets Network Optimization: Optimal Linear Network Coding for Packet Erasure Networks</t>
  </si>
  <si>
    <t>Chih-Chun</t>
  </si>
  <si>
    <t>Johnson</t>
  </si>
  <si>
    <t>1527059</t>
  </si>
  <si>
    <t>1527550</t>
  </si>
  <si>
    <t>CIF: Small: Collaborative Research: From Pliable to Content-Type Coding</t>
  </si>
  <si>
    <t>Tuninetti</t>
  </si>
  <si>
    <t>1617673</t>
  </si>
  <si>
    <t>CIF:Small:Harnessing Network Compression Gains: Fundamental Limits and Practical Implementations</t>
  </si>
  <si>
    <t>1551489</t>
  </si>
  <si>
    <t>EAGER:Topological Machine Learning</t>
  </si>
  <si>
    <t>Ourmazd</t>
  </si>
  <si>
    <t>Abbas</t>
  </si>
  <si>
    <t>1543790</t>
  </si>
  <si>
    <t>CIF: Student Travel Support: Workshop on Sensing and Analysis of High-Dimensional Data</t>
  </si>
  <si>
    <t>Pfister</t>
  </si>
  <si>
    <t>1718494</t>
  </si>
  <si>
    <t>CIF: Small: Capacity via Symmetry</t>
  </si>
  <si>
    <t>1422116</t>
  </si>
  <si>
    <t>CIF: Small: Modeling and Dynamic Analyzing for Multiplex Social Networks</t>
  </si>
  <si>
    <t>Thai</t>
  </si>
  <si>
    <t>My</t>
  </si>
  <si>
    <t>1422157</t>
  </si>
  <si>
    <t>CIF: Small: Weakly Supervised Learning</t>
  </si>
  <si>
    <t>Clayton</t>
  </si>
  <si>
    <t>Azadeh</t>
  </si>
  <si>
    <t>1421828</t>
  </si>
  <si>
    <t>CIF:Small:Computer assisted rate regions for multi-source distributed storage and network coding</t>
  </si>
  <si>
    <t>Walsh</t>
  </si>
  <si>
    <t>Ramamoorthy</t>
  </si>
  <si>
    <t>1718470</t>
  </si>
  <si>
    <t>CIF:Small:Towards practical coded caching</t>
  </si>
  <si>
    <t>1619216</t>
  </si>
  <si>
    <t>CIF: Small: Collaborative Research: Analytics on Edge-labeled Hypergraphs: Limits to De-anonymization</t>
  </si>
  <si>
    <t>Montanari</t>
  </si>
  <si>
    <t>1714305</t>
  </si>
  <si>
    <t>CIF:Small:Information-theoretic and Computational Thresholds in Statistical Learning</t>
  </si>
  <si>
    <t>ANIKOLI</t>
  </si>
  <si>
    <t>1442971</t>
  </si>
  <si>
    <t>CyberSEES: Type 2: Collaborative Research: Connecting Next-generation Air Pollution Exposure Measurements to Environmentally Sustainable Communities</t>
  </si>
  <si>
    <t>Lv</t>
  </si>
  <si>
    <t>Vosoughi</t>
  </si>
  <si>
    <t>1421502</t>
  </si>
  <si>
    <t>CIF: Small: Transport and other Lagrangian transforms for signal analysis and discrimination</t>
  </si>
  <si>
    <t>Rohde</t>
  </si>
  <si>
    <t>Gustavo</t>
  </si>
  <si>
    <t>Vikalo</t>
  </si>
  <si>
    <t>Haris</t>
  </si>
  <si>
    <t>1618427</t>
  </si>
  <si>
    <t>AF: Small: Reconstructing Mixtures of DNA Sequences from High-Throughput Sequencing Data</t>
  </si>
  <si>
    <t>Kliewer</t>
  </si>
  <si>
    <t>WLOU</t>
  </si>
  <si>
    <t>1526547</t>
  </si>
  <si>
    <t>TWC: Small: Communication under Adversarial Attacks in Complex Networks - Fundamental Limits and Secure Coding Strategies</t>
  </si>
  <si>
    <t>1718195</t>
  </si>
  <si>
    <t>CIF:Small: A Tensor-based Framework for Reliable Radio Cartography</t>
  </si>
  <si>
    <t>7923 7935 7936 9102</t>
  </si>
  <si>
    <t>Rahnavard</t>
  </si>
  <si>
    <t>Nazanin</t>
  </si>
  <si>
    <t>1525629</t>
  </si>
  <si>
    <t>1527625</t>
  </si>
  <si>
    <t>CIF: Small: Collaborative Research: Communicating While Computing: Mobile Fog Computing Over Wireless Heterogeneous Networks</t>
  </si>
  <si>
    <t>Simeone</t>
  </si>
  <si>
    <t>Osvaldo</t>
  </si>
  <si>
    <t>1617789</t>
  </si>
  <si>
    <t>1618127</t>
  </si>
  <si>
    <t>1618017</t>
  </si>
  <si>
    <t>CIF: Small: Collaborative Research: Secret Key Generation Under Resource Constraints</t>
  </si>
  <si>
    <t>Tie</t>
  </si>
  <si>
    <t>1524839</t>
  </si>
  <si>
    <t>1526095</t>
  </si>
  <si>
    <t>CIF: Small: Collaborative Research: Fundamental Limits of Information Systems: A Computational Approach</t>
  </si>
  <si>
    <t>1719017</t>
  </si>
  <si>
    <t>CIF: Small: Info-Clustering: An Information-Theoretic Framework for Data Clustering</t>
  </si>
  <si>
    <t>Chaudhuri</t>
  </si>
  <si>
    <t>1717120</t>
  </si>
  <si>
    <t>CIF: SMALL: Metric Representations of Network Data</t>
  </si>
  <si>
    <t>Ribeiro</t>
  </si>
  <si>
    <t>Alejandro</t>
  </si>
  <si>
    <t>1407278</t>
  </si>
  <si>
    <t>Dimakis</t>
  </si>
  <si>
    <t>Georgios-Alex</t>
  </si>
  <si>
    <t>1422549</t>
  </si>
  <si>
    <t>CIF: Small: Sparsity in Quadratic Optimization through Low-Rank Approximations</t>
  </si>
  <si>
    <t>1618689</t>
  </si>
  <si>
    <t>CIF: Small: Index Coding and Matrix Factorizations</t>
  </si>
  <si>
    <t>NSF 14-597</t>
  </si>
  <si>
    <t>1422658</t>
  </si>
  <si>
    <t>CIF:Small:String Submodularity and Near-Optimal Adaptive Control and Sensing</t>
  </si>
  <si>
    <t>Pezeshki</t>
  </si>
  <si>
    <t>1600711</t>
  </si>
  <si>
    <t>Forty-six Years of Statistical Signal Processing</t>
  </si>
  <si>
    <t>1654873</t>
  </si>
  <si>
    <t>Workshop on Geometry for Signal Processing and Machine Learning</t>
  </si>
  <si>
    <t>Bloch</t>
  </si>
  <si>
    <t>Matthieu</t>
  </si>
  <si>
    <t>1527074</t>
  </si>
  <si>
    <t>1738268</t>
  </si>
  <si>
    <t>Request for Support for U.S. Participants in the 2017 IEEE North American School for Information Theory</t>
  </si>
  <si>
    <t>1527387</t>
  </si>
  <si>
    <t>TWC: Small: Towards stealth networks: fundamental limits and algorithms for stealth communications</t>
  </si>
  <si>
    <t>1619452</t>
  </si>
  <si>
    <t>CIF:Small:Collaborative Research:Statistics of slow mixing Markov processes: theory and applications to community detection</t>
  </si>
  <si>
    <t>Santhanam</t>
  </si>
  <si>
    <t>Narayana</t>
  </si>
  <si>
    <t>1422511</t>
  </si>
  <si>
    <t>Network Capacity when Some Common Information Theoretic Assumptions Break Down</t>
  </si>
  <si>
    <t>Devroye</t>
  </si>
  <si>
    <t>1645381</t>
  </si>
  <si>
    <t>EAGER: Understanding cooperation through the zero-error relay channel</t>
  </si>
  <si>
    <t>Molisch</t>
  </si>
  <si>
    <t>1423140</t>
  </si>
  <si>
    <t>CIF: Small: Communication Theory Foundations and System Optimization of Femto-Caching and D2D Networks for Wireless Video</t>
  </si>
  <si>
    <t>1618078</t>
  </si>
  <si>
    <t>CIF Small: Massive MIMO in the MM-Wave Range: The Theory of Making it Practical</t>
  </si>
  <si>
    <t>1527292</t>
  </si>
  <si>
    <t>AF:Small:Manifold optimization algorithms for protein-protein docking</t>
  </si>
  <si>
    <t>Kozakov</t>
  </si>
  <si>
    <t>Dmytro</t>
  </si>
  <si>
    <t>Sankaranarayanan</t>
  </si>
  <si>
    <t>Anup</t>
  </si>
  <si>
    <t>1564968</t>
  </si>
  <si>
    <t>Travel Support for the Nexus of Information and Computation Theories Program</t>
  </si>
  <si>
    <t>Lai</t>
  </si>
  <si>
    <t>Lifeng</t>
  </si>
  <si>
    <t>1717943</t>
  </si>
  <si>
    <t>CIF: Small: Distributed Statistical Inference with Compressed Data</t>
  </si>
  <si>
    <t>1422104</t>
  </si>
  <si>
    <t>CIF:Small:Integrating Imaging Detectors</t>
  </si>
  <si>
    <t>Hirakawa</t>
  </si>
  <si>
    <t>Keigo</t>
  </si>
  <si>
    <t>1527130</t>
  </si>
  <si>
    <t>Dolecek</t>
  </si>
  <si>
    <t>Lara</t>
  </si>
  <si>
    <t>1718389</t>
  </si>
  <si>
    <t>CCF-BSF:CIF: Small: Coding for Fast Storage Access and In-Memory  Computing</t>
  </si>
  <si>
    <t>1617889</t>
  </si>
  <si>
    <t>CIF: Small: Combining Information Theoretic Security and Stochastic Control to Study Advanced Persistent Threats</t>
  </si>
  <si>
    <t>Venkitasubramaniam</t>
  </si>
  <si>
    <t>Parvathinathan</t>
  </si>
  <si>
    <t>NSF 14-562</t>
  </si>
  <si>
    <t>1447235</t>
  </si>
  <si>
    <t>EAGER: Identifying Blockmodel Functional Modules across Multiple Networks</t>
  </si>
  <si>
    <t>7916 7931 7936</t>
  </si>
  <si>
    <t>She</t>
  </si>
  <si>
    <t>Yiyuan</t>
  </si>
  <si>
    <t>1423271</t>
  </si>
  <si>
    <t>CIF:Small:Content-centric Wireless Networks</t>
  </si>
  <si>
    <t>1527388</t>
  </si>
  <si>
    <t>CIF:Small:Learning Signal Representations for Multiple Inference Tasks</t>
  </si>
  <si>
    <t>Raginsky</t>
  </si>
  <si>
    <t>Maxim</t>
  </si>
  <si>
    <t>Yue</t>
  </si>
  <si>
    <t>1718698</t>
  </si>
  <si>
    <t>CIF: Small: High-Dimensional Analysis of Stochastic Iterative Algorithms for Signal Estimation</t>
  </si>
  <si>
    <t>1719133</t>
  </si>
  <si>
    <t>CCF: CIF: Small: Interactive Learning from Noisy, Heterogeneous Feedback</t>
  </si>
  <si>
    <t>7923 7936 9102</t>
  </si>
  <si>
    <t>Kamalika</t>
  </si>
  <si>
    <t>Ozgur</t>
  </si>
  <si>
    <t>1502875</t>
  </si>
  <si>
    <t>EAGER: Fabrication of Thin, Lens-Free Cameras for Visible and SWIR Imaging</t>
  </si>
  <si>
    <t>Veeraraghavan</t>
  </si>
  <si>
    <t>1319653</t>
  </si>
  <si>
    <t>Optimal sampling and recovery for multilinear signals and systems</t>
  </si>
  <si>
    <t>1523816</t>
  </si>
  <si>
    <t>AF:  Small:  New Techniques for Private Information Retrieval and Locally Decodable Codes</t>
  </si>
  <si>
    <t>7434 7923 7927 7935</t>
  </si>
  <si>
    <t>Dvir</t>
  </si>
  <si>
    <t>Zeev</t>
  </si>
  <si>
    <t>1464222</t>
  </si>
  <si>
    <t>CRII: CIF: Distributed Sensor Localization With Ordinal Data Constraints</t>
  </si>
  <si>
    <t>7936 8228</t>
  </si>
  <si>
    <t>Banavar</t>
  </si>
  <si>
    <t>Nazer</t>
  </si>
  <si>
    <t>Bobak</t>
  </si>
  <si>
    <t>1618800</t>
  </si>
  <si>
    <t>CIF: Small: Algebraic Network Information Theory</t>
  </si>
  <si>
    <t>Yury</t>
  </si>
  <si>
    <t>1422241</t>
  </si>
  <si>
    <t>CIF: Small: Fundamentals of Energy-Efficiency in Delay-SensitiveWireless Communications</t>
  </si>
  <si>
    <t>Lingjia</t>
  </si>
  <si>
    <t>1525276</t>
  </si>
  <si>
    <t>CIF: Small: Active data screening for efficient feature learning</t>
  </si>
  <si>
    <t>Bajwa</t>
  </si>
  <si>
    <t>Waheed</t>
  </si>
  <si>
    <t>Turaga</t>
  </si>
  <si>
    <t>1646408</t>
  </si>
  <si>
    <t>CPS: Synergy: A Layered Framework of Sensors, Models, Land-Use Information and Citizens for Understanding Air Quality in Urban Environments</t>
  </si>
  <si>
    <t>Meyer</t>
  </si>
  <si>
    <t>Miriah</t>
  </si>
  <si>
    <t>1331712</t>
  </si>
  <si>
    <t>CyberSEES:Type 1: Integrated Management of Data Centers, Electric Grid, and Transportation for Cyber-Enabled Sustainability</t>
  </si>
  <si>
    <t>1618278</t>
  </si>
  <si>
    <t>CIF: Small: Energy-neutral Massively Large Wireless Networks</t>
  </si>
  <si>
    <t>Ayfer</t>
  </si>
  <si>
    <t>1704624</t>
  </si>
  <si>
    <t>1704967</t>
  </si>
  <si>
    <t>CIF:Medium:Collaborative Research: Geometric Network Information Theory</t>
  </si>
  <si>
    <t>1719205</t>
  </si>
  <si>
    <t>CIF:Small:Collaborative Research:Distributed Fog Computing for Non-Convex Big-Data Analytics</t>
  </si>
  <si>
    <t>1514403</t>
  </si>
  <si>
    <t>NSF 14-596</t>
  </si>
  <si>
    <t>1264 - ALGEBRA,NUMBER THEORY,AND COM</t>
  </si>
  <si>
    <t>ESOMMER</t>
  </si>
  <si>
    <t>1417916</t>
  </si>
  <si>
    <t>IMA SUMMER SCHOOL ON MODERN APPLICATIONS OF REPRESENTATION THEORY (SUPPLEMENTARY FUNDING)</t>
  </si>
  <si>
    <t>Kondor</t>
  </si>
  <si>
    <t>Imre</t>
  </si>
  <si>
    <t>CIF: Small: Collaborative Research: Combinatorial Joint Source-Channel Coding</t>
  </si>
  <si>
    <t>Polyanskiy</t>
  </si>
  <si>
    <t>1717842</t>
  </si>
  <si>
    <t>CIF: Small: Fundamental limits and coding for massive wireless random-access</t>
  </si>
  <si>
    <t>1525990</t>
  </si>
  <si>
    <t>CIF:Small:Advanced Ion Channel Models for Neurological Signal Processing -- Theory and Application to Brain-Computer Interfacing</t>
  </si>
  <si>
    <t>1422966</t>
  </si>
  <si>
    <t>CIF: Small: Collaborative Research: Sketching and Tracking of Covariance Structures for High-dimensional Streaming Data</t>
  </si>
  <si>
    <t>1527456</t>
  </si>
  <si>
    <t>CIF: Small: Inverse Methods for Parametric Mixture Models</t>
  </si>
  <si>
    <t>1422252</t>
  </si>
  <si>
    <t>CIF: Small: Stochastic frames in signal processing</t>
  </si>
  <si>
    <t>Somantika</t>
  </si>
  <si>
    <t>1527809</t>
  </si>
  <si>
    <t>CIF: Small: Structured Signal Modeling via Nonconvex Optimization</t>
  </si>
  <si>
    <t>1421583</t>
  </si>
  <si>
    <t>Gatsis</t>
  </si>
  <si>
    <t>1422631</t>
  </si>
  <si>
    <t>CIF:Small:Optimal Clustering</t>
  </si>
  <si>
    <t>1618512</t>
  </si>
  <si>
    <t>Mazumdar</t>
  </si>
  <si>
    <t>Arya</t>
  </si>
  <si>
    <t>1318093</t>
  </si>
  <si>
    <t>1526763</t>
  </si>
  <si>
    <t>1718796</t>
  </si>
  <si>
    <t>Slavakis</t>
  </si>
  <si>
    <t>Fragouli</t>
  </si>
  <si>
    <t>Christina</t>
  </si>
  <si>
    <t>7564 - COMMS, CIRCUITS &amp; SENS SYS</t>
  </si>
  <si>
    <t>ZTIAN</t>
  </si>
  <si>
    <t>1358182</t>
  </si>
  <si>
    <t>Workshop on Control, Computing, and Signal Processing Challenges in Future Power Systems.  To be Held in Arlington,VA November, 14-16, 2013</t>
  </si>
  <si>
    <t>153E 155E 7935</t>
  </si>
  <si>
    <t>Dhople</t>
  </si>
  <si>
    <t>Sairaj</t>
  </si>
  <si>
    <t>Tandon</t>
  </si>
  <si>
    <t>1715947</t>
  </si>
  <si>
    <t>SaTC: CORE: Small: Robust Physical Layer Security with Channel Knowledge Uncertainty</t>
  </si>
  <si>
    <t>1422358</t>
  </si>
  <si>
    <t>CIF: Small: A Framework for Low Latency Universal Compression with Privacy Guarantees</t>
  </si>
  <si>
    <t>Kosut</t>
  </si>
  <si>
    <t>1420328</t>
  </si>
  <si>
    <t>Maleki</t>
  </si>
  <si>
    <t>Mohammad Ali</t>
  </si>
  <si>
    <t>Mingyi</t>
  </si>
  <si>
    <t>1423088</t>
  </si>
  <si>
    <t>Yihong</t>
  </si>
  <si>
    <t>1527105</t>
  </si>
  <si>
    <t>CIF: Small: Collaborative Research: Inference of Information Measures on Large Alphabets: Fundamental Limits, Fast Algorithims, and Applications</t>
  </si>
  <si>
    <t>1617286</t>
  </si>
  <si>
    <t>Mittal</t>
  </si>
  <si>
    <t>Prateek</t>
  </si>
  <si>
    <t>Langberg</t>
  </si>
  <si>
    <t>1617335</t>
  </si>
  <si>
    <t>TWC: Small: Coding-based Mechanisms for Building Secure Cloud Storage Systems</t>
  </si>
  <si>
    <t>7797 7923</t>
  </si>
  <si>
    <t>1422034</t>
  </si>
  <si>
    <t>CIF: Small: Low-Light 3D Imaging: From Fundamental Limits to Practical Systems</t>
  </si>
  <si>
    <t>Goyal</t>
  </si>
  <si>
    <t>1422165</t>
  </si>
  <si>
    <t>NeTS: CIF: Small: Robust and Optimal Design of Interdependent Networks</t>
  </si>
  <si>
    <t>Yagan</t>
  </si>
  <si>
    <t>Osman</t>
  </si>
  <si>
    <t>1617934</t>
  </si>
  <si>
    <t>CIF: Small: Designing Secure, Reliable, and Resilient Wireless Sensor Networks</t>
  </si>
  <si>
    <t>1526962</t>
  </si>
  <si>
    <t>El Rouayheb</t>
  </si>
  <si>
    <t>Salim</t>
  </si>
  <si>
    <t>1421919</t>
  </si>
  <si>
    <t>CIF: Small: Multiresolution Analysis of Graphs</t>
  </si>
  <si>
    <t>Sandryhaila</t>
  </si>
  <si>
    <t>Aliaksei</t>
  </si>
  <si>
    <t>1528030</t>
  </si>
  <si>
    <t>CIF: Small: Mobile Immersive Communication: View Sampling and Rate-Distortion Limits</t>
  </si>
  <si>
    <t>Chakareski</t>
  </si>
  <si>
    <t>1527486</t>
  </si>
  <si>
    <t>Vaneet</t>
  </si>
  <si>
    <t>1528132</t>
  </si>
  <si>
    <t>CIF: Small: Rate Distortion Paradigms for the Big Data Era</t>
  </si>
  <si>
    <t>Courtade</t>
  </si>
  <si>
    <t>Thomas A</t>
  </si>
  <si>
    <t>1623821</t>
  </si>
  <si>
    <t>CIF: EAGER: Towards an Information Theory of Attention</t>
  </si>
  <si>
    <t>Varshney</t>
  </si>
  <si>
    <t>Lav</t>
  </si>
  <si>
    <t>1717530</t>
  </si>
  <si>
    <t>CIF: Small: Foundations of Belief Sharing in Human-Machine Systems</t>
  </si>
  <si>
    <t>Patel</t>
  </si>
  <si>
    <t>Vishal</t>
  </si>
  <si>
    <t>1464205</t>
  </si>
  <si>
    <t>CRII: CIF: Measure Estimation from Moments: Theory, Algorithms, and Applications</t>
  </si>
  <si>
    <t>1464336</t>
  </si>
  <si>
    <t>CRII: CIF: Towards a Systematic Interference Alignment Approach for Network Information Flow</t>
  </si>
  <si>
    <t>7935 8552</t>
  </si>
  <si>
    <t>7935 8228</t>
  </si>
  <si>
    <t>1718007</t>
  </si>
  <si>
    <t>CIF: Small: Signal Processing for Quanta Image Sensors: Reconstruction, Sampling, and Applications</t>
  </si>
  <si>
    <t>Chan</t>
  </si>
  <si>
    <t>Stanley</t>
  </si>
  <si>
    <t>1464293</t>
  </si>
  <si>
    <t>CRII: CIF: Towards Self-Powered Heterogeneous Cellular Networks</t>
  </si>
  <si>
    <t>Harpreet</t>
  </si>
  <si>
    <t>1617884</t>
  </si>
  <si>
    <t>CIF: Small: Fundamental Analysis and Design of Repair-Efficient Cloud Storage Systems: a Linear Perspective</t>
  </si>
  <si>
    <t>Mohajer</t>
  </si>
  <si>
    <t>1617691</t>
  </si>
  <si>
    <t>CIF: Small: Efficient Discriminant Analysis Through Parsimonious Probabilistic Models</t>
  </si>
  <si>
    <t>1618318</t>
  </si>
  <si>
    <t>Xinyu</t>
  </si>
  <si>
    <t>Maryam</t>
  </si>
  <si>
    <t>7923 7935 7937 9102</t>
  </si>
  <si>
    <t>Soljanin</t>
  </si>
  <si>
    <t>1645564</t>
  </si>
  <si>
    <t>Student Support for Attending Gordon Research Seminar and Conference (SMCHR 2016)</t>
  </si>
  <si>
    <t>1714180</t>
  </si>
  <si>
    <t>CIF: Small: Controlled Sensing with Social Learning</t>
  </si>
  <si>
    <t>Krishnamurthy</t>
  </si>
  <si>
    <t>1715671</t>
  </si>
  <si>
    <t>CIF: Small: The Interplay Between Convex Feasibility Problems and Minimization Problems in Signal Recovery</t>
  </si>
  <si>
    <t>Combettes</t>
  </si>
  <si>
    <t>1643039</t>
  </si>
  <si>
    <t>1643790</t>
  </si>
  <si>
    <t>1622992</t>
  </si>
  <si>
    <t>1639404</t>
  </si>
  <si>
    <t>1742907</t>
  </si>
  <si>
    <t>1361920</t>
  </si>
  <si>
    <t>1111342</t>
  </si>
  <si>
    <t>CIF: Large: Collaborative Research: Controlled Sensing, and Distributed Signal Processing and Decision Making  in Networked Systems</t>
  </si>
  <si>
    <t>1454921</t>
  </si>
  <si>
    <t>1444801</t>
  </si>
  <si>
    <t>1638826</t>
  </si>
  <si>
    <t>7957 9251</t>
  </si>
  <si>
    <t>McNeill</t>
  </si>
  <si>
    <t>1456164</t>
  </si>
  <si>
    <t>1218189</t>
  </si>
  <si>
    <t>1639234</t>
  </si>
  <si>
    <t>1162501</t>
  </si>
  <si>
    <t>Collaborative Research: Code Design and Analysis to Approach Capacity with Short Blocklengths Using Feedback</t>
  </si>
  <si>
    <t>7797 9251</t>
  </si>
  <si>
    <t>1741703</t>
  </si>
  <si>
    <t>CIF: Small: Approaching Capacity in High Throughput Communication Systems with Incremental Redundancy</t>
  </si>
  <si>
    <t>nsf 16-1</t>
  </si>
  <si>
    <t>1733948</t>
  </si>
  <si>
    <t>1540330</t>
  </si>
  <si>
    <t>1248100</t>
  </si>
  <si>
    <t>INSPIRE: The underpinnings of Semantic change:  A Linguistic, Cognitive, and Information-Theoretic Investigation</t>
  </si>
  <si>
    <t>Pinango</t>
  </si>
  <si>
    <t>1438875</t>
  </si>
  <si>
    <t>1541928</t>
  </si>
  <si>
    <t>1535908</t>
  </si>
  <si>
    <t>0963726</t>
  </si>
  <si>
    <t>CIF: Medium: Iterative Decoding Beyond Belief Propagation</t>
  </si>
  <si>
    <t>7924 7935 9251</t>
  </si>
  <si>
    <t>1443101</t>
  </si>
  <si>
    <t>0964497</t>
  </si>
  <si>
    <t>NetSE: Medium: Energy Harvesting Active Networked Tags (EnHANTs)</t>
  </si>
  <si>
    <t>Rubenstein</t>
  </si>
  <si>
    <t>1705205</t>
  </si>
  <si>
    <t>CIF: Small: Challenges and opportunities of timing mismatch in multi-user wireless networks</t>
  </si>
  <si>
    <t>7935 9232</t>
  </si>
  <si>
    <t>1546920</t>
  </si>
  <si>
    <t>1644420</t>
  </si>
  <si>
    <t>CIF: Small: Collaborative Research:Security in Dynamic Environments: Harvesting Network Randomness and Diversity</t>
  </si>
  <si>
    <t>1045 9251</t>
  </si>
  <si>
    <t>1540146</t>
  </si>
  <si>
    <t>1448237</t>
  </si>
  <si>
    <t>1217619</t>
  </si>
  <si>
    <t>CIF: Small: Collaborative Research: Inference by Social Sampling</t>
  </si>
  <si>
    <t>7935 9150</t>
  </si>
  <si>
    <t>Javidi</t>
  </si>
  <si>
    <t>Tara</t>
  </si>
  <si>
    <t>1439652</t>
  </si>
  <si>
    <t>1017278</t>
  </si>
  <si>
    <t>CIF:  Small:  Theory of Multiresolution Classification with Bases and Frames</t>
  </si>
  <si>
    <t>1536553</t>
  </si>
  <si>
    <t>8231 9251</t>
  </si>
  <si>
    <t>1117939</t>
  </si>
  <si>
    <t>CIF: Small:  Computational Tools for Visual Inference of Complex Materials</t>
  </si>
  <si>
    <t>1443872</t>
  </si>
  <si>
    <t>1443008</t>
  </si>
  <si>
    <t>1455716</t>
  </si>
  <si>
    <t>nsf 15-1</t>
  </si>
  <si>
    <t>1632863</t>
  </si>
  <si>
    <t>1743822</t>
  </si>
  <si>
    <t>1735450</t>
  </si>
  <si>
    <t>1444405</t>
  </si>
  <si>
    <t>1445406</t>
  </si>
  <si>
    <t>1440033</t>
  </si>
  <si>
    <t>CIF: Small: Collaborative Research: Inference by social sampling</t>
  </si>
  <si>
    <t>Sarwate</t>
  </si>
  <si>
    <t>1535566</t>
  </si>
  <si>
    <t>1643129</t>
  </si>
  <si>
    <t>1733651</t>
  </si>
  <si>
    <t>1738759</t>
  </si>
  <si>
    <t>1739625</t>
  </si>
  <si>
    <t>1747656</t>
  </si>
  <si>
    <t>CIF:  Small: Collaborative Research: Communications with Energy Harvesting Nodes</t>
  </si>
  <si>
    <t>NSF 09-555</t>
  </si>
  <si>
    <t>1462189</t>
  </si>
  <si>
    <t>CIF: Small: Exploiting Side Information: a New Role of Feedback</t>
  </si>
  <si>
    <t>1441917</t>
  </si>
  <si>
    <t>CIF: Small: Quantization for Acquisition and Computation Networks</t>
  </si>
  <si>
    <t>1545143</t>
  </si>
  <si>
    <t>CIF: Small: Collaborative Research: Design and Analysis of Novel Compressed Sensing Algorithms via Connections with Coding Theory</t>
  </si>
  <si>
    <t>1707181</t>
  </si>
  <si>
    <t>1440001</t>
  </si>
  <si>
    <t>CIF: Medium: Collaborative Research: Spatially Coupled Sparse Codes on Graphs - Theory, Practice, and Extensions</t>
  </si>
  <si>
    <t>1346564</t>
  </si>
  <si>
    <t>CIF: Medium: Collaborative Research: Information Theory and Statistical Inference from Large-Alphabet Data</t>
  </si>
  <si>
    <t>Madiman</t>
  </si>
  <si>
    <t>Mokshay</t>
  </si>
  <si>
    <t>1344364</t>
  </si>
  <si>
    <t>1408755</t>
  </si>
  <si>
    <t>CIF:  Medium:  Collaborative Research: Multihop Multiflow Wireless Networks:  A Treasure Hunt</t>
  </si>
  <si>
    <t>1645512</t>
  </si>
  <si>
    <t>AF: Small: Manifold optimization algorithms for protein-protein docking</t>
  </si>
  <si>
    <t>1564044</t>
  </si>
  <si>
    <t>1632599</t>
  </si>
  <si>
    <t>CIF: Small: Collaborative Research: Parallel Online Algorithms for Large-Scale MRI</t>
  </si>
  <si>
    <t>MDOUGLA</t>
  </si>
  <si>
    <t>1642608</t>
  </si>
  <si>
    <t>IMA SUMMER SCHOOL ON MODERN APPLICATIONS OF REPRESENTATION THEORY (SUPPLEMENTARY FUNDING), July 20 - August 6, 2014</t>
  </si>
  <si>
    <t>1642550</t>
  </si>
  <si>
    <t>1559758</t>
  </si>
  <si>
    <t>1749241</t>
  </si>
  <si>
    <t>1748692</t>
  </si>
  <si>
    <t>CREX</t>
  </si>
  <si>
    <t>1451373</t>
  </si>
  <si>
    <t>1162449</t>
  </si>
  <si>
    <t>CIF:  Medium:  Energy-Efficient Encoding of Information</t>
  </si>
  <si>
    <t>7924 7936 9251</t>
  </si>
  <si>
    <t>Toby</t>
  </si>
  <si>
    <t>1045</t>
  </si>
  <si>
    <t>1302456</t>
  </si>
  <si>
    <t>CIF:Medium:Collaborative Research: Distributed coherence: fundamental building blocks, system concepts, and experimental demonstration</t>
  </si>
  <si>
    <t>7924 7935 7937 9150</t>
  </si>
  <si>
    <t>7924 7935 9150</t>
  </si>
  <si>
    <t>Dasgupta</t>
  </si>
  <si>
    <t>Soura</t>
  </si>
  <si>
    <t>wgoodine</t>
  </si>
  <si>
    <t>AWDAPRV</t>
  </si>
  <si>
    <t>4100</t>
  </si>
  <si>
    <t>1526423</t>
  </si>
  <si>
    <t>RI: Small: Tasking on Natural Image Statistics: 2D and 3D Object and Category Detection in the Wild</t>
  </si>
  <si>
    <t>7495 7923</t>
  </si>
  <si>
    <t>Bovik</t>
  </si>
  <si>
    <t>1513915</t>
  </si>
  <si>
    <t>1513858</t>
  </si>
  <si>
    <t>CIF:Medium: Collaborative Research: Feedback Communication: Models, Designs, and Fundamental Limits</t>
  </si>
  <si>
    <t>ribrown</t>
  </si>
  <si>
    <t>1513936</t>
  </si>
  <si>
    <t>CIF:Medium: Data Science: Analytics for Unstructured and Distributed Data</t>
  </si>
  <si>
    <t>Moura</t>
  </si>
  <si>
    <t>Funds committed in FAS</t>
  </si>
  <si>
    <t>1302630</t>
  </si>
  <si>
    <t>1302600</t>
  </si>
  <si>
    <t>CIF: Medium: Collaborative Research: Interference-Aware Cooperation via Structured Codes: Creating an Empirical Cycle</t>
  </si>
  <si>
    <t>Aazhang</t>
  </si>
  <si>
    <t>Behnaam</t>
  </si>
  <si>
    <t>pregalia</t>
  </si>
  <si>
    <t>1410009</t>
  </si>
  <si>
    <t>NeTS:Medium:A Sparse Decomposition Framework for Complex System Design and Analysis</t>
  </si>
  <si>
    <t>1405119</t>
  </si>
  <si>
    <t>CIF: Medium: Polar Coding for Data Storage: Theory and Applications</t>
  </si>
  <si>
    <t>1514245</t>
  </si>
  <si>
    <t>CIF: Medium: Collaborative Research: Quickest Change Detection Techniques with Signal Processing Applications</t>
  </si>
  <si>
    <t>jcozzens</t>
  </si>
  <si>
    <t>1518812</t>
  </si>
  <si>
    <t>NeTS: Large: Collaborative Research: GigaNets: A Path to Experimental Research in Millimeter Wave Networking</t>
  </si>
  <si>
    <t>7797 7925</t>
  </si>
  <si>
    <t>Madhow</t>
  </si>
  <si>
    <t>Upamanyu</t>
  </si>
  <si>
    <t>1302114</t>
  </si>
  <si>
    <t>7924 7935 7937</t>
  </si>
  <si>
    <t>1648917</t>
  </si>
  <si>
    <t>RCN: Millimeter-Wave Wireless Research: Hardware, Communication, Computation, and Networking</t>
  </si>
  <si>
    <t>1302616</t>
  </si>
  <si>
    <t>1302104</t>
  </si>
  <si>
    <t>Distributed coherence: fundamental building blocks, system concepts, and experimental demonstration</t>
  </si>
  <si>
    <t>1409204</t>
  </si>
  <si>
    <t>1409836</t>
  </si>
  <si>
    <t>CIF: Medium: Collaborative Research: Estimating simultaneously structured models: from phase retrieval to network coding</t>
  </si>
  <si>
    <t>1514275</t>
  </si>
  <si>
    <t>CIF: Medium: Fundamental Properties of Millimeter Wave Networks: Signal, Interference, and Connectivity</t>
  </si>
  <si>
    <t>Andrews</t>
  </si>
  <si>
    <t>1302588</t>
  </si>
  <si>
    <t>1302438</t>
  </si>
  <si>
    <t>CIF: Medium: Collaborative Research: Nonasymptotic Analysis of Feature-Rich Decision Problems with Applications to Computer Vision</t>
  </si>
  <si>
    <t>1513883</t>
  </si>
  <si>
    <t>1302687</t>
  </si>
  <si>
    <t>CIF: Medium: Collaborative Research: New Approaches to Robustness in High-Dimensions</t>
  </si>
  <si>
    <t>Wainwright</t>
  </si>
  <si>
    <t>Fazel</t>
  </si>
  <si>
    <t>MR134413</t>
  </si>
  <si>
    <t>Withdrawn - Moved funds to next FY</t>
  </si>
  <si>
    <t>1409422</t>
  </si>
  <si>
    <t>CIF: Medium: Collaborative Research: Tracking low-dimensional information in data streams and dynamical systems</t>
  </si>
  <si>
    <t>1409258</t>
  </si>
  <si>
    <t>Wakin</t>
  </si>
  <si>
    <t>1409261</t>
  </si>
  <si>
    <t>1409406</t>
  </si>
  <si>
    <t>CIF: Medium: Collaborative Research: Subspace Matching and Approximation on the Continuum</t>
  </si>
  <si>
    <t>Sanghavi</t>
  </si>
  <si>
    <t>Sujay</t>
  </si>
  <si>
    <t>1302435</t>
  </si>
  <si>
    <t>1514531</t>
  </si>
  <si>
    <t>CIF: Medium: Collaborative Research: On-demand Physical Layer Cooperation</t>
  </si>
  <si>
    <t>CIF: Medium:Collaborative Research: Nonasymptotic Analysis of Feature-Rich Decision Problems with Applications to Computer Vision</t>
  </si>
  <si>
    <t>1513373</t>
  </si>
  <si>
    <t>Moustakides</t>
  </si>
  <si>
    <t>1403458</t>
  </si>
  <si>
    <t>CIF: Medium: Modeling, Analysis, and Code Design for Portable Wireless Device Transmitters Subject to an Electromagnetic Exposure Constraint</t>
  </si>
  <si>
    <t>Hochwald</t>
  </si>
  <si>
    <t>Bertrand</t>
  </si>
  <si>
    <t>1652633</t>
  </si>
  <si>
    <t>CAREER: A Signal Processing Framework for Computational Imaging: From Theory to Applications</t>
  </si>
  <si>
    <t>1045 7495</t>
  </si>
  <si>
    <t>1453426</t>
  </si>
  <si>
    <t>CAREER: Full-duplex wireless networks by means of reflected power: Theory and applications</t>
  </si>
  <si>
    <t>1453073</t>
  </si>
  <si>
    <t>CAREER: Signal Processing Through the Lens of Geometry</t>
  </si>
  <si>
    <t>1452163</t>
  </si>
  <si>
    <t>CAREER: Role of geometry in dynamical modeling of human movement: Applications to activity quality assessment across Euclidean, non-Euclidean, and function spaces</t>
  </si>
  <si>
    <t>1514538</t>
  </si>
  <si>
    <t>1453432</t>
  </si>
  <si>
    <t>CAREER: Privacy-preserving learning for distributed data</t>
  </si>
  <si>
    <t>1045 7434 7935 9251</t>
  </si>
  <si>
    <t>1652569</t>
  </si>
  <si>
    <t>CAREER: Plenoptic Signal Processing --- A Framework for Sampling, Detection, and Estimation using Plenoptic Functions</t>
  </si>
  <si>
    <t>Aswin</t>
  </si>
  <si>
    <t>1518728</t>
  </si>
  <si>
    <t>1453121</t>
  </si>
  <si>
    <t>CAREER: Reliability in Large-Scale Storage</t>
  </si>
  <si>
    <t>1651492</t>
  </si>
  <si>
    <t>CAREER: Communication- Efficient Distributed Computation: Information- Theoretic Foundations and Algorithms</t>
  </si>
  <si>
    <t>1045 7797 7935</t>
  </si>
  <si>
    <t>1518632</t>
  </si>
  <si>
    <t>Arbabian</t>
  </si>
  <si>
    <t>Amin</t>
  </si>
  <si>
    <t>1453718</t>
  </si>
  <si>
    <t>CAREER: Fundamental Security-Performance Tradeoffs for Active Attacks Against Communication Networks</t>
  </si>
  <si>
    <t>1651588</t>
  </si>
  <si>
    <t>CAREER: Statistical Inference on Large Domains and Large Networks: Fundamental Limits and Efficient Algorithms</t>
  </si>
  <si>
    <t>1650913</t>
  </si>
  <si>
    <t>CAREER: Quick detection for streaming data over dynamic networks</t>
  </si>
  <si>
    <t>1652867</t>
  </si>
  <si>
    <t>CAREER:Information Theoretic Methods for Private Information Retrieval and Search in Distributed Storage Systems</t>
  </si>
  <si>
    <t>1453868</t>
  </si>
  <si>
    <t>CAREER: Generalizable, Robust, and Closed-Loop Brain-Machine Interface Control Architectures</t>
  </si>
  <si>
    <t>Shanechi</t>
  </si>
  <si>
    <t>1651825</t>
  </si>
  <si>
    <t>CAREER: Geometric Techniques for Big Data Medical Imaging</t>
  </si>
  <si>
    <t>Akcakaya</t>
  </si>
  <si>
    <t>Mehmet</t>
  </si>
  <si>
    <t>1440930</t>
  </si>
  <si>
    <t>1011903</t>
  </si>
  <si>
    <t>CIF: Large: Collaborative Research:  Cooperation and Learning over Cognitive Networks</t>
  </si>
  <si>
    <t>1451118</t>
  </si>
  <si>
    <t>1739183</t>
  </si>
  <si>
    <t>1742801</t>
  </si>
  <si>
    <t>nsf 17-1</t>
  </si>
  <si>
    <t>1743769</t>
  </si>
  <si>
    <t>CIF: Medium: Signal representation, sampling and recovery on graphs</t>
  </si>
  <si>
    <t>0844725</t>
  </si>
  <si>
    <t>CAREER: A Theoretical Framework for Vehicular Ad Hoc Networks</t>
  </si>
  <si>
    <t>1443538</t>
  </si>
  <si>
    <t>1451273</t>
  </si>
  <si>
    <t>1535346</t>
  </si>
  <si>
    <t>1503695</t>
  </si>
  <si>
    <t>1150212</t>
  </si>
  <si>
    <t>CAREER: Channel Coding Paradigms for Next-Generation Storage Systems</t>
  </si>
  <si>
    <t>1632198</t>
  </si>
  <si>
    <t>1733734</t>
  </si>
  <si>
    <t>1742836</t>
  </si>
  <si>
    <t>1620104</t>
  </si>
  <si>
    <t>1743096</t>
  </si>
  <si>
    <t>1444373</t>
  </si>
  <si>
    <t>1550455</t>
  </si>
  <si>
    <t>1640995</t>
  </si>
  <si>
    <t>1743361</t>
  </si>
  <si>
    <t>1707560</t>
  </si>
  <si>
    <t>1545663</t>
  </si>
  <si>
    <t>1545733</t>
  </si>
  <si>
    <t>1743600</t>
  </si>
  <si>
    <t>CIF: Medium:  Collaborative Research: Scalable Learning of Nonlinear Models in Large Neural Populations</t>
  </si>
  <si>
    <t>1638405</t>
  </si>
  <si>
    <t>1743025</t>
  </si>
  <si>
    <t>1253205</t>
  </si>
  <si>
    <t>CAREER: Information Theory Beyond Capacity</t>
  </si>
  <si>
    <t>7363 7556 7935</t>
  </si>
  <si>
    <t>1545442</t>
  </si>
  <si>
    <t>1531050</t>
  </si>
  <si>
    <t>CIF: Large: Collaborative Research:  Cooperation and Learning Over Cognitive Networks</t>
  </si>
  <si>
    <t>9218</t>
  </si>
  <si>
    <t>1341966</t>
  </si>
  <si>
    <t>CAREER:  M-ary Distributed Detection in Wireless Sensor Networks</t>
  </si>
  <si>
    <t>1045 1187 7936 9218 hpcc</t>
  </si>
  <si>
    <t>1344179</t>
  </si>
  <si>
    <t>CAREER: Network Coding Theory for Distributed Storage</t>
  </si>
  <si>
    <t>1045 7937 9218 hpcc</t>
  </si>
  <si>
    <t>WTRANTE</t>
  </si>
  <si>
    <t>1408639</t>
  </si>
  <si>
    <t>CAREER: Breaking the Barriers in Wireless Network Information Theory: A Deterministic Approach</t>
  </si>
  <si>
    <t>1045 1187 7935</t>
  </si>
  <si>
    <t>1318980</t>
  </si>
  <si>
    <t>CAREER: Building Secure Wireless Communication Systems via Physical Layer Resources</t>
  </si>
  <si>
    <t>1045 1187 7935 9150</t>
  </si>
  <si>
    <t>1359814</t>
  </si>
  <si>
    <t>CAREER: Efficient Atomic Decompositions of Massive Data Sets</t>
  </si>
  <si>
    <t>Recht</t>
  </si>
  <si>
    <t>1620902</t>
  </si>
  <si>
    <t>1738285</t>
  </si>
  <si>
    <t>CAREER: Structured Nonlinear Estimation via Message Passing: Theory and Applications</t>
  </si>
  <si>
    <t>1642658</t>
  </si>
  <si>
    <t>1358527</t>
  </si>
  <si>
    <t>CIF: Medium: Collaborative Research: Distributed coherence: fundamental building blocks, system concepts, and experimental demonstration</t>
  </si>
  <si>
    <t>7924 7937</t>
  </si>
  <si>
    <t>1358529</t>
  </si>
  <si>
    <t>1358528</t>
  </si>
  <si>
    <t>1558618</t>
  </si>
  <si>
    <t>1558620</t>
  </si>
  <si>
    <t>1348583</t>
  </si>
  <si>
    <t>0953117</t>
  </si>
  <si>
    <t>1558617</t>
  </si>
  <si>
    <t>1558619</t>
  </si>
  <si>
    <t>1149495</t>
  </si>
  <si>
    <t>CAREER: CIF: Anonymous Networking with Guaranteed Quality of Service: Towards a Theoretical Foundation</t>
  </si>
  <si>
    <t>1662322</t>
  </si>
  <si>
    <t>7797 7924</t>
  </si>
  <si>
    <t>1558615</t>
  </si>
  <si>
    <t>1149888</t>
  </si>
  <si>
    <t>CAREER:Coding and Information Theory for Interactive Computing</t>
  </si>
  <si>
    <t>8005 - STCs - 2010 Class</t>
  </si>
  <si>
    <t>Emerging Frontiers of Science of Information</t>
  </si>
  <si>
    <t>1751969</t>
  </si>
  <si>
    <t>0939370</t>
  </si>
  <si>
    <t>1452429</t>
  </si>
  <si>
    <t>1452430</t>
  </si>
  <si>
    <t>1453196</t>
  </si>
  <si>
    <t>1453200</t>
  </si>
  <si>
    <t>1650555</t>
  </si>
  <si>
    <t>1650556</t>
  </si>
  <si>
    <t>1650557</t>
  </si>
  <si>
    <t>1650558</t>
  </si>
  <si>
    <t>1555617</t>
  </si>
  <si>
    <t>1555619</t>
  </si>
  <si>
    <t>1555620</t>
  </si>
  <si>
    <t>1650552</t>
  </si>
  <si>
    <t>1650553</t>
  </si>
  <si>
    <t>Add projects</t>
  </si>
  <si>
    <t>DD Concur Date</t>
  </si>
  <si>
    <t>U of Cal San Diego</t>
  </si>
  <si>
    <t>U of MD College Park</t>
  </si>
  <si>
    <t>California Inst of Tech</t>
  </si>
  <si>
    <t>U of Southern California</t>
  </si>
  <si>
    <t>U of Cal Berkeley</t>
  </si>
  <si>
    <t>U of Minnesota-Twin Cities</t>
  </si>
  <si>
    <t>U of Colorado Boulder</t>
  </si>
  <si>
    <t>SUNY Stony Brook</t>
  </si>
  <si>
    <t>Rutgers Univ New Brunswick</t>
  </si>
  <si>
    <t>MIT</t>
  </si>
  <si>
    <t>U of MD Baltimore County</t>
  </si>
  <si>
    <t>U of Cal Los Angeles</t>
  </si>
  <si>
    <t>University of Virginia</t>
  </si>
  <si>
    <t>William Marsh Rice Univ</t>
  </si>
  <si>
    <t>U of Ill Urbana-Champaign</t>
  </si>
  <si>
    <t>U of Massachusetts Amherst</t>
  </si>
  <si>
    <t>Texas Engineering Exp Sta</t>
  </si>
  <si>
    <t>U of Texas Dallas</t>
  </si>
  <si>
    <t>Georgia Tech Research Corp</t>
  </si>
  <si>
    <t>PA St U University Park</t>
  </si>
  <si>
    <t>Carnegie Mellon University</t>
  </si>
  <si>
    <t>U of Cal Irvine</t>
  </si>
  <si>
    <t>Rensselaer Polytech Inst</t>
  </si>
  <si>
    <t>U of Hawaii</t>
  </si>
  <si>
    <t>University of Michigan</t>
  </si>
  <si>
    <t>U of Texas Austin</t>
  </si>
  <si>
    <t>WV Univ Research Corp</t>
  </si>
  <si>
    <t>U of Cal Davis</t>
  </si>
  <si>
    <t>U of Cal Riverside</t>
  </si>
  <si>
    <t>Boston University</t>
  </si>
  <si>
    <t>U of Illinois Chicago</t>
  </si>
  <si>
    <t>U of Wisconsin Milwaukee</t>
  </si>
  <si>
    <t>NJIT</t>
  </si>
  <si>
    <t>U of Central Florida</t>
  </si>
  <si>
    <t>U of Pennsylvania</t>
  </si>
  <si>
    <t>U of Washington</t>
  </si>
  <si>
    <t>U of Kansas Ctr for Res In</t>
  </si>
  <si>
    <t>SUNY Buffalo</t>
  </si>
  <si>
    <t>U of Texas San Antonio</t>
  </si>
  <si>
    <t>VA Polytechnic Inst &amp; St U</t>
  </si>
  <si>
    <t>U of Arizona</t>
  </si>
  <si>
    <t>Illinois Inst of Tech</t>
  </si>
  <si>
    <t>U of Alabama Tuscaloosa</t>
  </si>
  <si>
    <t>U of Tennessee Knoxville</t>
  </si>
  <si>
    <t>North Carolina State U</t>
  </si>
  <si>
    <t>Worcester Polytech Inst</t>
  </si>
  <si>
    <t>U of Wisconsin Madison</t>
  </si>
  <si>
    <t>UNCG</t>
  </si>
  <si>
    <t>U of Cal Santa Barbara</t>
  </si>
  <si>
    <t>U of Cal Santa Cruz</t>
  </si>
  <si>
    <t>Column Labels</t>
  </si>
  <si>
    <t>Univ of Connecticut</t>
  </si>
  <si>
    <t>CCF AF minus (Dmitri,Mitra) by year</t>
  </si>
  <si>
    <t>5761</t>
  </si>
  <si>
    <t>05100003</t>
  </si>
  <si>
    <t>5761 - INDUSTRY/UNIV COOP RES CENTERS</t>
  </si>
  <si>
    <t>NSF 16-504</t>
  </si>
  <si>
    <t>1650439</t>
  </si>
  <si>
    <t>UNC Charlotte Planning Grant: IUCRC for Center for Visual and Decision Informatics</t>
  </si>
  <si>
    <t>Hadzikadic</t>
  </si>
  <si>
    <t>Mirsad</t>
  </si>
  <si>
    <t>U of NC Charlotte</t>
  </si>
  <si>
    <t>07070000</t>
  </si>
  <si>
    <t>06010000</t>
  </si>
  <si>
    <t>RMONTEL</t>
  </si>
  <si>
    <t>MBJONES</t>
  </si>
  <si>
    <t>IIP</t>
  </si>
  <si>
    <t>1650500</t>
  </si>
  <si>
    <t>Planning I/UCRC Colorado School of Mines: Center for Advanced Subsurface Earth Resource Models</t>
  </si>
  <si>
    <t>5761 8040</t>
  </si>
  <si>
    <t>Wendlandt</t>
  </si>
  <si>
    <t>1650497</t>
  </si>
  <si>
    <t>Planning I/UCRC Northeastern University: Center for Center for On-the-Move Energy Technologies (COMET)</t>
  </si>
  <si>
    <t>Lehman</t>
  </si>
  <si>
    <t>Bradley</t>
  </si>
  <si>
    <t>PBALAN</t>
  </si>
  <si>
    <t>NSF 17-516</t>
  </si>
  <si>
    <t>1738265</t>
  </si>
  <si>
    <t>Phase II IUCRC University of Washington Site Addition:  Center for Health Organization Transformation (CHOT)</t>
  </si>
  <si>
    <t>5761 8042</t>
  </si>
  <si>
    <t>Mastrangelo</t>
  </si>
  <si>
    <t>1650458</t>
  </si>
  <si>
    <t>Planning I/UCRC Drexel University: Center for High Pressure Plasma Energy, Agriculture, and Biomedical Technologies (PEAB)</t>
  </si>
  <si>
    <t>5761 8037 8040</t>
  </si>
  <si>
    <t>Fridman</t>
  </si>
  <si>
    <t>1650517</t>
  </si>
  <si>
    <t>Planning I/UCRC University of Massachusetts Lowell: Center for Science of Heterogeneous Additive Printing of 3D Materials (SHAP3D)</t>
  </si>
  <si>
    <t>123E 5761</t>
  </si>
  <si>
    <t>Mead</t>
  </si>
  <si>
    <t>Joey</t>
  </si>
  <si>
    <t>Univ of Mass Lowell</t>
  </si>
  <si>
    <t>1650488</t>
  </si>
  <si>
    <t>Planning I/UCRC University of Michigan Ann Arbor: Center for High Pressure Plasma Energy, Agriculture, and Biomedical Technologies (PEAB)</t>
  </si>
  <si>
    <t>Foster</t>
  </si>
  <si>
    <t>DPERKIN</t>
  </si>
  <si>
    <t>1650352</t>
  </si>
  <si>
    <t>Georgia Institute of Technology Planning Grant: I/UCRC for Unmanned Aircraft Systems</t>
  </si>
  <si>
    <t>1738669</t>
  </si>
  <si>
    <t>Phase I IUCRC Washington State University: Center for Bioplastics and Biocomposites (CB2)</t>
  </si>
  <si>
    <t>Kessler</t>
  </si>
  <si>
    <t>Washington State Univ</t>
  </si>
  <si>
    <t>1738752</t>
  </si>
  <si>
    <t>Phase I Site Addition:  I/UCRC for Multi-Functional Integrated System Technology (MIST) Center</t>
  </si>
  <si>
    <t>Ghosh</t>
  </si>
  <si>
    <t>Avik</t>
  </si>
  <si>
    <t>1650469</t>
  </si>
  <si>
    <t>Syracuse University Planning Grant: I/UCRC for Alternative Sustainable and Intelligent Computing</t>
  </si>
  <si>
    <t>Qinru</t>
  </si>
  <si>
    <t>1650561</t>
  </si>
  <si>
    <t>Planning I/UCRC Missouri University of Science and Technology: Center for On-the-Move Energy Technologies (COMET)</t>
  </si>
  <si>
    <t>5761 8040 9150</t>
  </si>
  <si>
    <t>Ferdowsi</t>
  </si>
  <si>
    <t>Missouri S&amp;T</t>
  </si>
  <si>
    <t>1650461</t>
  </si>
  <si>
    <t>Planning I/UCRC Georgia Institute of Technology: Center for Science of Heterogeneous Additive Printing of 3D Materials (SHAP3D)</t>
  </si>
  <si>
    <t>Qi</t>
  </si>
  <si>
    <t>Hang (Jerry)</t>
  </si>
  <si>
    <t>1650587</t>
  </si>
  <si>
    <t>University of Oregon Planning Proposal: I/UCRC for Big Learning</t>
  </si>
  <si>
    <t>Dou</t>
  </si>
  <si>
    <t>Dejing</t>
  </si>
  <si>
    <t>U of Oregon Eugene</t>
  </si>
  <si>
    <t>1650585</t>
  </si>
  <si>
    <t>Planning I/UCRC California Institute of Technology: Center for Geomechanics and Mitigation of Geohazards</t>
  </si>
  <si>
    <t>5761 8040 8042</t>
  </si>
  <si>
    <t>Asimaki</t>
  </si>
  <si>
    <t>Domniki</t>
  </si>
  <si>
    <t>1650579</t>
  </si>
  <si>
    <t>Brigham Young University Planning Grant: I/UCRC for Center for Visual and Decision Informatics</t>
  </si>
  <si>
    <t>Giraud-Carrier</t>
  </si>
  <si>
    <t>Christophe</t>
  </si>
  <si>
    <t>Brigham Young University</t>
  </si>
  <si>
    <t>1738417</t>
  </si>
  <si>
    <t>Phase I IUCRC Iowa State University: Center for Bioplastics and Biocomposites</t>
  </si>
  <si>
    <t>123E 5761 9150</t>
  </si>
  <si>
    <t>Grewell</t>
  </si>
  <si>
    <t>1738734</t>
  </si>
  <si>
    <t>Planning Grant - University of Georgia: Center for Bioplastics and Biocomposites (CB2)</t>
  </si>
  <si>
    <t>Locklin</t>
  </si>
  <si>
    <t>U of Georgia Res Fdn Inc</t>
  </si>
  <si>
    <t>1650511</t>
  </si>
  <si>
    <t>Planning I/UCRC Kansas State University: Center for Center for On-the-Move Energy Technologies (COMET)</t>
  </si>
  <si>
    <t>Mirafzal</t>
  </si>
  <si>
    <t>Behrooz</t>
  </si>
  <si>
    <t>1650545</t>
  </si>
  <si>
    <t>University of South Florida Planning Grant: I/UCRC for iPERFORM Center for Assistive Technologies to Enhance Human Performance</t>
  </si>
  <si>
    <t>Carey</t>
  </si>
  <si>
    <t>Stephanie</t>
  </si>
  <si>
    <t>U of South Florida</t>
  </si>
  <si>
    <t>1650473</t>
  </si>
  <si>
    <t>University of Notre Dame Planning Grant: I/UCRC for  Alternative Sustainable and Intelligent Computing (ASIC)</t>
  </si>
  <si>
    <t>Shi</t>
  </si>
  <si>
    <t>Yiyu</t>
  </si>
  <si>
    <t>1738585</t>
  </si>
  <si>
    <t>Planning IUCRC Duke University: Center for Alternative Sustainable and Intelligent Computing</t>
  </si>
  <si>
    <t>Yiran</t>
  </si>
  <si>
    <t>1650538</t>
  </si>
  <si>
    <t>Planning I/UCRC University of Connecticut: Center for Science of Heterogeneous Additive Printing of 3D Materials (SHAP3D)</t>
  </si>
  <si>
    <t>Ma</t>
  </si>
  <si>
    <t>Anson</t>
  </si>
  <si>
    <t>1650463</t>
  </si>
  <si>
    <t>Planning I/UCRC Virginia Polytechnic Institute and State University: Center for Advanced Subsurface Earth Resource Models</t>
  </si>
  <si>
    <t>Chung</t>
  </si>
  <si>
    <t>Matthias</t>
  </si>
  <si>
    <t>1738359</t>
  </si>
  <si>
    <t>Phase II IUCRC University of Louisville: Center for Health Organization Transformation (CHOT)</t>
  </si>
  <si>
    <t>5761 8042 9150</t>
  </si>
  <si>
    <t>5761 9150</t>
  </si>
  <si>
    <t>U of Louisville Res Fdn</t>
  </si>
  <si>
    <t>1650544</t>
  </si>
  <si>
    <t>Phase I I/UCRC University of Connecticut Site: Center for Novel High Voltage/Temperature Materials and Structures (HVT)</t>
  </si>
  <si>
    <t>Cao</t>
  </si>
  <si>
    <t>1738739</t>
  </si>
  <si>
    <t>Planning IUCRC The Ohio State University: Center for Disruptive Musculoskeletal Innovations (CDMI)</t>
  </si>
  <si>
    <t>Marras</t>
  </si>
  <si>
    <t>1650549</t>
  </si>
  <si>
    <t>University of Missouri-Kansas City Planning Grant: I/UCRC for Big Learning</t>
  </si>
  <si>
    <t>Zhu</t>
  </si>
  <si>
    <t>U of Missouri Kansas City</t>
  </si>
  <si>
    <t>1650485</t>
  </si>
  <si>
    <t>Carnegie Mellon University Planning Grant: I/UCRC for Big Learning</t>
  </si>
  <si>
    <t>Salakhutdinov</t>
  </si>
  <si>
    <t>Ruslan</t>
  </si>
  <si>
    <t>RNEW</t>
  </si>
  <si>
    <t>1650541</t>
  </si>
  <si>
    <t>Phase II I/UCRC Ohio State University: Center for Child Prevention Studies (CChIPS)</t>
  </si>
  <si>
    <t>Bolte</t>
  </si>
  <si>
    <t>1504 - GRANT OPP FOR ACAD LIA W/INDUS</t>
  </si>
  <si>
    <t>1747822</t>
  </si>
  <si>
    <t>1538733</t>
  </si>
  <si>
    <t>INTERN DCL - PFI:AIR-RA:  Advanced Thin-Film Photovoltaics for Sustainable Energy</t>
  </si>
  <si>
    <t>018z 8019</t>
  </si>
  <si>
    <t>018Z 8019</t>
  </si>
  <si>
    <t>W.S.</t>
  </si>
  <si>
    <t>1747827</t>
  </si>
  <si>
    <t>1747897</t>
  </si>
  <si>
    <t>1411032</t>
  </si>
  <si>
    <t>INTERN DCL: In Situ Determination of Phase Equilibria and Thermal Expansions in the Ternary Hafnia-Tantala-Titania System</t>
  </si>
  <si>
    <t>018z</t>
  </si>
  <si>
    <t>018Z</t>
  </si>
  <si>
    <t>Kriven</t>
  </si>
  <si>
    <t>Waltraud</t>
  </si>
  <si>
    <t>1747846</t>
  </si>
  <si>
    <t>1038257</t>
  </si>
  <si>
    <t>INTERN DCL - EFRI-SEED: Design for Autonomous Net-Zero Water Buildings</t>
  </si>
  <si>
    <t>Englehardt</t>
  </si>
  <si>
    <t>James</t>
  </si>
  <si>
    <t>University of Miami</t>
  </si>
  <si>
    <t>1700466</t>
  </si>
  <si>
    <t>1464537</t>
  </si>
  <si>
    <t>I/UCRC Phase II:  Advanced Knowledge Enablement, FAU Site</t>
  </si>
  <si>
    <t>Furht</t>
  </si>
  <si>
    <t>Borko</t>
  </si>
  <si>
    <t>Florida Atlantic Univ</t>
  </si>
  <si>
    <t>1747901</t>
  </si>
  <si>
    <t>1543047</t>
  </si>
  <si>
    <t>INTERN DCL - PFI:AIR - TT:  Transitioning Explosive Sensing Technology to the Marketplace</t>
  </si>
  <si>
    <t>018z 8019 9150</t>
  </si>
  <si>
    <t>018Z 8019 9150</t>
  </si>
  <si>
    <t>Apblett</t>
  </si>
  <si>
    <t>Allen</t>
  </si>
  <si>
    <t>1747791</t>
  </si>
  <si>
    <t>1547156</t>
  </si>
  <si>
    <t>INTERN DCL: EAGER/Cybermanufacturing: CYMAN: A CYber MANufacturing and Entrepreneurship Initiative to Foster Global Manufacturing</t>
  </si>
  <si>
    <t>015Z 018z 082E 152E 7916 9150 MANU</t>
  </si>
  <si>
    <t>015Z 018Z 082E 152E 7916 9150 MANU</t>
  </si>
  <si>
    <t>Cecil</t>
  </si>
  <si>
    <t>J.</t>
  </si>
  <si>
    <t>1747923</t>
  </si>
  <si>
    <t>1438569</t>
  </si>
  <si>
    <t>INTERN DCL - Collaborative Research: Acoustic Tweezing Rheometry of Biological Fluids</t>
  </si>
  <si>
    <t>018z 055E 8007</t>
  </si>
  <si>
    <t>018Z 055E 8007</t>
  </si>
  <si>
    <t>Holt</t>
  </si>
  <si>
    <t>R</t>
  </si>
  <si>
    <t>NSF 13-542</t>
  </si>
  <si>
    <t>1742820</t>
  </si>
  <si>
    <t>1535689</t>
  </si>
  <si>
    <t>I/UCRC FRP (REU): Physics-Based Compact Modeling of Gallium Nitride (GaN) Devices for Advanced Power Electronics</t>
  </si>
  <si>
    <t>116e 7609 8036 9150 9251</t>
  </si>
  <si>
    <t>Mantooth</t>
  </si>
  <si>
    <t>Homer</t>
  </si>
  <si>
    <t>U of Arkansas</t>
  </si>
  <si>
    <t>1743081</t>
  </si>
  <si>
    <t>1539938</t>
  </si>
  <si>
    <t>I/UCRC Phase III (REU):  Center for Child Injury Prevention Studies</t>
  </si>
  <si>
    <t>116e 5761 8042 9102 9251</t>
  </si>
  <si>
    <t>Winston</t>
  </si>
  <si>
    <t>Flaura</t>
  </si>
  <si>
    <t>CHOP</t>
  </si>
  <si>
    <t>1747957</t>
  </si>
  <si>
    <t>1430260</t>
  </si>
  <si>
    <t>INTERN DCL - PFI:BIC:  The Living Bridge: The Future of Smart, User-Centered Transportation Infrastructure</t>
  </si>
  <si>
    <t>018z 1662 9150</t>
  </si>
  <si>
    <t>018Z 1662 9150</t>
  </si>
  <si>
    <t>Bell</t>
  </si>
  <si>
    <t>U of New Hampshire</t>
  </si>
  <si>
    <t>1747958</t>
  </si>
  <si>
    <t>1747538</t>
  </si>
  <si>
    <t>1604909</t>
  </si>
  <si>
    <t>INTERN DCL: Triboelectric charging of granular materials</t>
  </si>
  <si>
    <t>Sankaran</t>
  </si>
  <si>
    <t>R. Mohan</t>
  </si>
  <si>
    <t>Case Western Reserve</t>
  </si>
  <si>
    <t>1747965</t>
  </si>
  <si>
    <t>1150960</t>
  </si>
  <si>
    <t>INTERN DCL - CAREER: Phase-change memories and electro-thermal effects at nanoscale</t>
  </si>
  <si>
    <t>018z 107E</t>
  </si>
  <si>
    <t>018Z 107E</t>
  </si>
  <si>
    <t>Gokirmak</t>
  </si>
  <si>
    <t>1747661</t>
  </si>
  <si>
    <t>1038139</t>
  </si>
  <si>
    <t>INTERN DCL: EFRI-SEED:  BUILD - Barriers, Understanding, Integration - Life Cycle Development</t>
  </si>
  <si>
    <t>Bilec</t>
  </si>
  <si>
    <t>Melissa</t>
  </si>
  <si>
    <t>U of Pittsburgh</t>
  </si>
  <si>
    <t>1748008</t>
  </si>
  <si>
    <t>1500234</t>
  </si>
  <si>
    <t>INTERN DCL - PFI:AIR - TT:  Design of functionally-tested, genomics-informed personalized cancer therapy drug treatment plans</t>
  </si>
  <si>
    <t>Pal</t>
  </si>
  <si>
    <t>Ranadip</t>
  </si>
  <si>
    <t>1747548</t>
  </si>
  <si>
    <t>1455444</t>
  </si>
  <si>
    <t>INTERN DCL:  RSB/Collaborative Research: A Sequential Decision Framework to Support Trade Space Exploration of Multi-Hazard Resilient and Sustainable Building Designs</t>
  </si>
  <si>
    <t>018Z 036E 039E 040E 043E 1576 7231 9178</t>
  </si>
  <si>
    <t>Warn</t>
  </si>
  <si>
    <t>Gordon</t>
  </si>
  <si>
    <t>1747875</t>
  </si>
  <si>
    <t>1462602</t>
  </si>
  <si>
    <t>INTERN DCL: Fundamental Studies on Sintering of Alloys, Composites, and Coatings</t>
  </si>
  <si>
    <t>018z 088E 8021 8025 9150</t>
  </si>
  <si>
    <t>Harimkar</t>
  </si>
  <si>
    <t>Sandip</t>
  </si>
  <si>
    <t>1747936</t>
  </si>
  <si>
    <t>1553430</t>
  </si>
  <si>
    <t>INTERN DCL - CAREER: Restoring Function in Chronic Venous Insufficiency: Unraveling the Structural-Mechanics of Venous Valve Tissues</t>
  </si>
  <si>
    <t>018z 1045</t>
  </si>
  <si>
    <t>Shadow</t>
  </si>
  <si>
    <t>1747930</t>
  </si>
  <si>
    <t>1350152</t>
  </si>
  <si>
    <t>INTERN DCL - CAREER: Multi-scale modeling and analysis of reactive granulation processes</t>
  </si>
  <si>
    <t>018z 047e 050e 1045</t>
  </si>
  <si>
    <t>018Z 047e 050e 1045</t>
  </si>
  <si>
    <t>Ramachandran</t>
  </si>
  <si>
    <t>1747945</t>
  </si>
  <si>
    <t>1512764</t>
  </si>
  <si>
    <t>INTERN DCL - UNS: Engineering Infection-Free Implants for Skeletal Reconstruction</t>
  </si>
  <si>
    <t>010E 018z</t>
  </si>
  <si>
    <t>010E 018Z</t>
  </si>
  <si>
    <t>Huinan</t>
  </si>
  <si>
    <t>1747970</t>
  </si>
  <si>
    <t>1747925</t>
  </si>
  <si>
    <t>1563435</t>
  </si>
  <si>
    <t>INTERN DCL - Simulation-Based Design of Polymer Nanocomposites for Structural Applications</t>
  </si>
  <si>
    <t>018z 024e 067e 073e 9102 9150</t>
  </si>
  <si>
    <t>018Z 024E 067E 073E 9102 9150</t>
  </si>
  <si>
    <t>Atamturktur Russcher</t>
  </si>
  <si>
    <t>Sez</t>
  </si>
  <si>
    <t>Nsf 13-542</t>
  </si>
  <si>
    <t>1748534</t>
  </si>
  <si>
    <t>Phase III I/UCRC (REU): Ohio State University: Center for Child Prevention Studies (CChIPS)</t>
  </si>
  <si>
    <t>116E 8042 9251</t>
  </si>
  <si>
    <t>1747919</t>
  </si>
  <si>
    <t>1253516</t>
  </si>
  <si>
    <t>INTERN DCL - CAREER: Self-Organizing Demand Side Management for Smart Grid: A Dynamic Game-Theoretic Framework</t>
  </si>
  <si>
    <t>018z 155E 1653</t>
  </si>
  <si>
    <t>018Z 155E 1653</t>
  </si>
  <si>
    <t>Mohsenian-Rad</t>
  </si>
  <si>
    <t>Amir-Hamed</t>
  </si>
  <si>
    <t>1747979</t>
  </si>
  <si>
    <t>1336364</t>
  </si>
  <si>
    <t>INTERN DCL - Collaborative Research: High Temperature and Pressure Char Kinetics - Diagnostic development, Gasifier experiments, and Modeling</t>
  </si>
  <si>
    <t>018z 061E</t>
  </si>
  <si>
    <t>018Z 061E</t>
  </si>
  <si>
    <t>Porter</t>
  </si>
  <si>
    <t>1747935</t>
  </si>
  <si>
    <t>1336075</t>
  </si>
  <si>
    <t>INTERN DCL - Modeling Studies of Bimodal and Multi-Regime Combustion Dynamics in a Pulsed Turbulent Transient Jet Flame</t>
  </si>
  <si>
    <t>018z 148E</t>
  </si>
  <si>
    <t>018Z 148E</t>
  </si>
  <si>
    <t>Haifeng</t>
  </si>
  <si>
    <t>8019 - Accelerating Innovation Rsrch</t>
  </si>
  <si>
    <t>BKENNY</t>
  </si>
  <si>
    <t>1742657</t>
  </si>
  <si>
    <t>1560873</t>
  </si>
  <si>
    <t>EcoCAR 3 (VRS):  Advancing STEM Education, Innovation, Diversity and Outreach through Advanced Vehicle Technology Competitions</t>
  </si>
  <si>
    <t>5761 7651 8808</t>
  </si>
  <si>
    <t>Agrawal</t>
  </si>
  <si>
    <t>Amer Soc For Eng Ed</t>
  </si>
  <si>
    <t>1742658</t>
  </si>
  <si>
    <t>EcoCAR 3 (RET):  Advancing STEM Education, Innovation, Diversity and Outreach through Advanced Vehicle Technology Competitions</t>
  </si>
  <si>
    <t>115e 5761 7218 7651</t>
  </si>
  <si>
    <t>115E 5761 7218 7651</t>
  </si>
  <si>
    <t>1742659</t>
  </si>
  <si>
    <t>EcoCAR 3 (REU):  Advancing STEM Education, Innovation, Diversity and Outreach through Advanced Vehicle Technology Competitions</t>
  </si>
  <si>
    <t>116e 5761 7651 9251</t>
  </si>
  <si>
    <t>5761 7651</t>
  </si>
  <si>
    <t>1747894</t>
  </si>
  <si>
    <t>1537512</t>
  </si>
  <si>
    <t>INTERN DCL - Laser Deposition Joining of Composites for Wind Turbine Blade Repair</t>
  </si>
  <si>
    <t>018z 082E 083E 9150</t>
  </si>
  <si>
    <t>018Z 082E 083E 9150</t>
  </si>
  <si>
    <t>Ding</t>
  </si>
  <si>
    <t>Hongtao</t>
  </si>
  <si>
    <t>1747670</t>
  </si>
  <si>
    <t>1553987</t>
  </si>
  <si>
    <t>INTERN DCL - CAREER: Understanding the Roles of Strain and Mass Disorder on Fundamental Thermal Transport Processes in Two-Dimensional Materials</t>
  </si>
  <si>
    <t>Pettes</t>
  </si>
  <si>
    <t>1747890</t>
  </si>
  <si>
    <t>1511818</t>
  </si>
  <si>
    <t>INTERN DCL - UNS: Collaborative Research: Multiple-Scale Investigation of Chemical Looping with Oxygen Carrier  Uncoupling</t>
  </si>
  <si>
    <t>018z 061E 148E 8020 9150 9200</t>
  </si>
  <si>
    <t>018Z 061E 148E 8020 9150 9200</t>
  </si>
  <si>
    <t>Hanjiang</t>
  </si>
  <si>
    <t>1747949</t>
  </si>
  <si>
    <t>1350436</t>
  </si>
  <si>
    <t>INTERN DCL - CAREER: A Two-Stage Processing Approach to Shape-Switching Liquid-Crystalline Elastomers for Biomedical Applications</t>
  </si>
  <si>
    <t>018z 080E 8025 8037</t>
  </si>
  <si>
    <t>018Z 080E 1045 8025 8037</t>
  </si>
  <si>
    <t>Yakacki</t>
  </si>
  <si>
    <t>U of Colorado Denver</t>
  </si>
  <si>
    <t>RRODRIG</t>
  </si>
  <si>
    <t>NSF 13-594</t>
  </si>
  <si>
    <t>1464654</t>
  </si>
  <si>
    <t>Collaborative Research:  I/UCRC Phase II:  Security and Software Engineering Research Center (S2ERC)</t>
  </si>
  <si>
    <t>Zage</t>
  </si>
  <si>
    <t>Wayne</t>
  </si>
  <si>
    <t>Ball State University</t>
  </si>
  <si>
    <t>1540007</t>
  </si>
  <si>
    <t>1540028</t>
  </si>
  <si>
    <t>I/UCRC Phase II:  Next Generation Photovoltaics</t>
  </si>
  <si>
    <t>07070003</t>
  </si>
  <si>
    <t>1650564</t>
  </si>
  <si>
    <t>Phase I I/UCRC University of Alabama: Center for Efficient Vehicles and Sustainable Transportation Systems (EV-STS)</t>
  </si>
  <si>
    <t>Yang-Ki</t>
  </si>
  <si>
    <t>RDASGUP</t>
  </si>
  <si>
    <t>NSF 12-516</t>
  </si>
  <si>
    <t>1266065</t>
  </si>
  <si>
    <t>1266057</t>
  </si>
  <si>
    <t>I/UCRC:  Collaborative Research: Phase I I/UCRC for Science Center for Marine Fisheries (SCeMFiS)</t>
  </si>
  <si>
    <t>Mann</t>
  </si>
  <si>
    <t>Roger</t>
  </si>
  <si>
    <t>William &amp; Mary Marine Inst</t>
  </si>
  <si>
    <t>LHORNAK</t>
  </si>
  <si>
    <t>1361977</t>
  </si>
  <si>
    <t>1361975</t>
  </si>
  <si>
    <t>I/UCRC: Technology Innovation for Novel Cost-reducing and Quality-enhancing Musculoskeletal Therapies</t>
  </si>
  <si>
    <t>Vijay</t>
  </si>
  <si>
    <t>1540008</t>
  </si>
  <si>
    <t>1539976</t>
  </si>
  <si>
    <t>I/UCRC Phase I:  Collaborative Research: NSF I/UCRC Center for Fiber-Wireless Integration and Networking (FiWIN) for Heterogeneous Mobile Communications</t>
  </si>
  <si>
    <t>5761 8039</t>
  </si>
  <si>
    <t>Davis</t>
  </si>
  <si>
    <t>scash</t>
  </si>
  <si>
    <t>1738420</t>
  </si>
  <si>
    <t>Phase I IUCRC University of Florida:  Center for Space, High-Performance, and Resilient Computing (SHREC)</t>
  </si>
  <si>
    <t>Lam</t>
  </si>
  <si>
    <t>Herman</t>
  </si>
  <si>
    <t>1266147</t>
  </si>
  <si>
    <t>1266360</t>
  </si>
  <si>
    <t>I/UCRC:  Collaborative Research: I/UCRC Program Center for Configuration Analytics and Automation</t>
  </si>
  <si>
    <t>Jajodia</t>
  </si>
  <si>
    <t>Sushil</t>
  </si>
  <si>
    <t>1650483</t>
  </si>
  <si>
    <t>Phase I I/UCRC University of Texas at Austin: Center for Efficient Vehicles and Sustainable Transportation Systems (EV-STS)</t>
  </si>
  <si>
    <t>Matthews</t>
  </si>
  <si>
    <t>Ronald</t>
  </si>
  <si>
    <t>1338897</t>
  </si>
  <si>
    <t>I/UCRC:  Collaborative Research: Wheat Genetics Resource Center: A Public-Private Consortium</t>
  </si>
  <si>
    <t>Gill</t>
  </si>
  <si>
    <t>Bikram</t>
  </si>
  <si>
    <t>1439693</t>
  </si>
  <si>
    <t>1439728</t>
  </si>
  <si>
    <t>I/UCRC Phase I: Robots and Sensors for the Human Well-being</t>
  </si>
  <si>
    <t>Anneliese</t>
  </si>
  <si>
    <t>University of Denver</t>
  </si>
  <si>
    <t>1338902</t>
  </si>
  <si>
    <t>1338925</t>
  </si>
  <si>
    <t>I/UCRC:  Collaborative Research: Center for Spatiotemporal Thinking Computing and Applications</t>
  </si>
  <si>
    <t>Clarke</t>
  </si>
  <si>
    <t>Keith</t>
  </si>
  <si>
    <t>1539990</t>
  </si>
  <si>
    <t>I/UCRC Phase I: Broadband Wireless Access and Applications Center at the University of Mississippi</t>
  </si>
  <si>
    <t>5761 8039 9150</t>
  </si>
  <si>
    <t>Viswanathan</t>
  </si>
  <si>
    <t>Ramanarayanan</t>
  </si>
  <si>
    <t>DMAJUMD</t>
  </si>
  <si>
    <t>1624684</t>
  </si>
  <si>
    <t>Phase I I/UCRC Johns Hopkins University Site: Advanced Mammalian Biomanufacturing Innovation Center (AMBIC)</t>
  </si>
  <si>
    <t>8038</t>
  </si>
  <si>
    <t>Betenbaugh</t>
  </si>
  <si>
    <t>1624790</t>
  </si>
  <si>
    <t>I/UCRC: Computing and Genomics-An Essential Partnership for Biology Breakthroughs</t>
  </si>
  <si>
    <t>Iyer</t>
  </si>
  <si>
    <t>Ravishankar</t>
  </si>
  <si>
    <t>SPRIYA</t>
  </si>
  <si>
    <t>1439645</t>
  </si>
  <si>
    <t>I/UCRC Phase I: iPerform - I/UCRC for Assistive Technologies to Enhance Human Performance</t>
  </si>
  <si>
    <t>Makedon</t>
  </si>
  <si>
    <t>Fillia</t>
  </si>
  <si>
    <t>U of Texas Arlington</t>
  </si>
  <si>
    <t>1361947</t>
  </si>
  <si>
    <t>1362075</t>
  </si>
  <si>
    <t>I/UCRC:  Center for Electrochemical Processes and Technology (CEProTECH)</t>
  </si>
  <si>
    <t>5761 8041</t>
  </si>
  <si>
    <t>REORGENG</t>
  </si>
  <si>
    <t>1361926</t>
  </si>
  <si>
    <t>I/UCRC:  Consortium for Embedded Systems - Phase II</t>
  </si>
  <si>
    <t>Vrudhula</t>
  </si>
  <si>
    <t>Sarma</t>
  </si>
  <si>
    <t>1650499</t>
  </si>
  <si>
    <t>I/UCRC: Center for Visual and Decision Informatics (CVDI) Site at SUNY Stony Brook</t>
  </si>
  <si>
    <t>Kaufman</t>
  </si>
  <si>
    <t>Arie</t>
  </si>
  <si>
    <t>1362146</t>
  </si>
  <si>
    <t>1362135</t>
  </si>
  <si>
    <t>I/UCRC:  Novel High Voltage/Temperature Materials and Structures</t>
  </si>
  <si>
    <t>Jasiuk</t>
  </si>
  <si>
    <t>Iwona</t>
  </si>
  <si>
    <t>1265675</t>
  </si>
  <si>
    <t>I/UCRC:  in Energy-Smart Electronic Systems (ES2) - Site</t>
  </si>
  <si>
    <t>Joshi</t>
  </si>
  <si>
    <t>Yogendra</t>
  </si>
  <si>
    <t>gmisiore</t>
  </si>
  <si>
    <t>1361505</t>
  </si>
  <si>
    <t>1361498</t>
  </si>
  <si>
    <t>I/UCRC:  Water and Environmental Technology Center</t>
  </si>
  <si>
    <t>Pepper</t>
  </si>
  <si>
    <t>1540040</t>
  </si>
  <si>
    <t>I/UCRC Phase II:  ASU Research Site of the NSF Net-Centric and Cloud Software and Systems I/UCRC</t>
  </si>
  <si>
    <t>Spanias</t>
  </si>
  <si>
    <t>1361509</t>
  </si>
  <si>
    <t>I/UCRC:  Center for Health Organization Transformation</t>
  </si>
  <si>
    <t>Gamm</t>
  </si>
  <si>
    <t>Larry</t>
  </si>
  <si>
    <t>The Texas A&amp;M University S</t>
  </si>
  <si>
    <t>1338922</t>
  </si>
  <si>
    <t>I/UCRC:  Phase II: Center for Advanced Knowledge Enablement</t>
  </si>
  <si>
    <t>Rishe</t>
  </si>
  <si>
    <t>Naphtali</t>
  </si>
  <si>
    <t>Florida International Univ</t>
  </si>
  <si>
    <t>1439657</t>
  </si>
  <si>
    <t>1439713</t>
  </si>
  <si>
    <t>I/UCRC Phase I: Smart Ocean Technology</t>
  </si>
  <si>
    <t>Sumit</t>
  </si>
  <si>
    <t>spriya</t>
  </si>
  <si>
    <t>Kumosa</t>
  </si>
  <si>
    <t>Maciej</t>
  </si>
  <si>
    <t>1362033</t>
  </si>
  <si>
    <t>1362022</t>
  </si>
  <si>
    <t>I/UCRC:  Wind Energy, Science, Technology, and Research (WindSTAR)</t>
  </si>
  <si>
    <t>Rotea</t>
  </si>
  <si>
    <t>Mario</t>
  </si>
  <si>
    <t>1439680</t>
  </si>
  <si>
    <t>1439644</t>
  </si>
  <si>
    <t>I/UCRC Phase I:  Multi-functional Integrated System Technology (MIST)</t>
  </si>
  <si>
    <t>Jiann</t>
  </si>
  <si>
    <t>1266162</t>
  </si>
  <si>
    <t>I/UCRC:  New Site of  I/UCRC Safety, Security, and Rescue Research Center</t>
  </si>
  <si>
    <t>1439695</t>
  </si>
  <si>
    <t>1361815</t>
  </si>
  <si>
    <t>Abbaszadegan</t>
  </si>
  <si>
    <t>Morteza</t>
  </si>
  <si>
    <t>1339009</t>
  </si>
  <si>
    <t>I/UCRC:  Center for Excellence in Logistics and Distribution - Phase 2 Missouri Research Site</t>
  </si>
  <si>
    <t>Noble</t>
  </si>
  <si>
    <t>U of Missouri Columbia</t>
  </si>
  <si>
    <t>Nishida</t>
  </si>
  <si>
    <t>Toshikazu</t>
  </si>
  <si>
    <t>1338775</t>
  </si>
  <si>
    <t>I/UCRC:  Collaborative Research: Center for Arthropod Management Technologies (CAMTech)</t>
  </si>
  <si>
    <t>Bonning</t>
  </si>
  <si>
    <t>Bryony</t>
  </si>
  <si>
    <t xml:space="preserve">     - DATA NOT AVAILABLE</t>
  </si>
  <si>
    <t>1361571</t>
  </si>
  <si>
    <t>1361503</t>
  </si>
  <si>
    <t>I/UCRC:  Multi-university I/UCRC for Dielectrics and Piezoelectrics</t>
  </si>
  <si>
    <t>Randall</t>
  </si>
  <si>
    <t>Clive</t>
  </si>
  <si>
    <t>1464489</t>
  </si>
  <si>
    <t>I/UCRC Phase I (Site Addition):  Expansion of CICI to Add a New Site at UTA on Sustainable Utilization of Composites in Infrastructure Systems</t>
  </si>
  <si>
    <t>125E 5761</t>
  </si>
  <si>
    <t>Puppala</t>
  </si>
  <si>
    <t>1361532</t>
  </si>
  <si>
    <t>1650551</t>
  </si>
  <si>
    <t>I/UCRC Phase II Renewal: Center for Visual and Decision Informatics (CVDI)</t>
  </si>
  <si>
    <t>Raghavan</t>
  </si>
  <si>
    <t>Univ of Louisiana at Lafay</t>
  </si>
  <si>
    <t>1650512</t>
  </si>
  <si>
    <t>Center for Visual and Decision Informatics (CVDI) I/UCRC site at the University of Virginia</t>
  </si>
  <si>
    <t>Beling</t>
  </si>
  <si>
    <t>Peter</t>
  </si>
  <si>
    <t>1266183</t>
  </si>
  <si>
    <t>I/UCRC:  Identification Technology Research (CITeR) - UB Site</t>
  </si>
  <si>
    <t>Govindaraju</t>
  </si>
  <si>
    <t>sglivens</t>
  </si>
  <si>
    <t>1624641</t>
  </si>
  <si>
    <t>Phase I I/UCRC Clemson University Site: Advanced Mammalian Biomanufacturing Innovation Center (AMBIC)</t>
  </si>
  <si>
    <t>Harcum</t>
  </si>
  <si>
    <t>1439722</t>
  </si>
  <si>
    <t>1439622</t>
  </si>
  <si>
    <t>I/UCRC Phase II: Center on Intelligent Storage</t>
  </si>
  <si>
    <t>Reddy</t>
  </si>
  <si>
    <t>A.L. Narasimha</t>
  </si>
  <si>
    <t>1338877</t>
  </si>
  <si>
    <t>I/UCRC:  Collaborative Research: Center for Freeform Optics</t>
  </si>
  <si>
    <t>5761 8037</t>
  </si>
  <si>
    <t>Rolland</t>
  </si>
  <si>
    <t>Jannick</t>
  </si>
  <si>
    <t>1650503</t>
  </si>
  <si>
    <t>I/UCRC Phase II: I/UCRC for Identification Technology Research</t>
  </si>
  <si>
    <t>Schuckers</t>
  </si>
  <si>
    <t>Dickey</t>
  </si>
  <si>
    <t>Elizabeth</t>
  </si>
  <si>
    <t>1650573</t>
  </si>
  <si>
    <t>Colorado State University Site Addition: I/UCRC Center for Configuration Analytics and Automation</t>
  </si>
  <si>
    <t>Ray</t>
  </si>
  <si>
    <t>Indrakshi</t>
  </si>
  <si>
    <t>1624698</t>
  </si>
  <si>
    <t>Phase I I/UCRC University of Delaware Site: Advanced Mammalian Biomanufacturing Innovation Center (AMBIC)</t>
  </si>
  <si>
    <t>8038 9150</t>
  </si>
  <si>
    <t>Kelvin</t>
  </si>
  <si>
    <t>1362167</t>
  </si>
  <si>
    <t>I/UCRC:  IT-Enabled Design and Realization of Engineered Products and Systems</t>
  </si>
  <si>
    <t>Stone</t>
  </si>
  <si>
    <t>1361809</t>
  </si>
  <si>
    <t>I/UCRC:  University of Arkansas Membrane Science, Engineering and Technology (MAST) Center Site Proposal</t>
  </si>
  <si>
    <t>Wickramasinghe</t>
  </si>
  <si>
    <t>Ranil</t>
  </si>
  <si>
    <t>1650527</t>
  </si>
  <si>
    <t>I/UCRC:  Penn State University Phase III: Center for e-Design</t>
  </si>
  <si>
    <t>Terpenny</t>
  </si>
  <si>
    <t>Janis</t>
  </si>
  <si>
    <t>1362165</t>
  </si>
  <si>
    <t>I/UCRC:  Center for Advanced Design and Manufacturing of Integrated Microfluidics (CADMIM)</t>
  </si>
  <si>
    <t>Abraham</t>
  </si>
  <si>
    <t>I/UCRC:  Collaborative Research: I/UCRC Center for Configuration Analytics and Automation</t>
  </si>
  <si>
    <t>Al-Shaer</t>
  </si>
  <si>
    <t>Ehab</t>
  </si>
  <si>
    <t>1439681</t>
  </si>
  <si>
    <t>Daniilidis</t>
  </si>
  <si>
    <t>Kostas</t>
  </si>
  <si>
    <t>Niezrecki</t>
  </si>
  <si>
    <t>1362040</t>
  </si>
  <si>
    <t>Odegard</t>
  </si>
  <si>
    <t>Mich Technological Univ</t>
  </si>
  <si>
    <t>1738714</t>
  </si>
  <si>
    <t>Phase II IUCRC University of Michigan: Center for Unmanned Aircraft Systems (C-UAS)</t>
  </si>
  <si>
    <t>Atkins</t>
  </si>
  <si>
    <t>Ella</t>
  </si>
  <si>
    <t>1650474</t>
  </si>
  <si>
    <t>I/UCRC Phase II: Center for Identification Technology Research</t>
  </si>
  <si>
    <t>Valenti</t>
  </si>
  <si>
    <t>1362048</t>
  </si>
  <si>
    <t>Papautsky</t>
  </si>
  <si>
    <t>U of Cincinnati</t>
  </si>
  <si>
    <t>1650536</t>
  </si>
  <si>
    <t>I/UCRC for Building Reliable Advances and Innovation in Neurotechnology (BRAIN)</t>
  </si>
  <si>
    <t>Contreras-Vidal</t>
  </si>
  <si>
    <t>U of Houston</t>
  </si>
  <si>
    <t>1650566</t>
  </si>
  <si>
    <t>Santello</t>
  </si>
  <si>
    <t>Marco</t>
  </si>
  <si>
    <t>1738783</t>
  </si>
  <si>
    <t>Phase I IUCRC University of Pittsburgh: Center for Space, High-performance, and Resilient Computing (SHREC)</t>
  </si>
  <si>
    <t>1738550</t>
  </si>
  <si>
    <t>Phase I IUCRC Brigham Young University: Center for Space, High-performance,  and Resilient Computing (SHREC)</t>
  </si>
  <si>
    <t>Wirthlin</t>
  </si>
  <si>
    <t>1266311</t>
  </si>
  <si>
    <t>1265960</t>
  </si>
  <si>
    <t>I/UCRC:  Broadband Wireless Access &amp; Applications Center (BWAC)</t>
  </si>
  <si>
    <t>Horowitz</t>
  </si>
  <si>
    <t>Barry</t>
  </si>
  <si>
    <t>1362134</t>
  </si>
  <si>
    <t>I/UCRC:  Cloud and Autonomic Computing I/UCRC site at Texas Tech University (CAC@TTU)</t>
  </si>
  <si>
    <t>Sill</t>
  </si>
  <si>
    <t>1650465</t>
  </si>
  <si>
    <t>I/UCRC: Center for Unmanned Aircraft Systems Phase II Site: Virginia Tech</t>
  </si>
  <si>
    <t>Woolsey</t>
  </si>
  <si>
    <t>Craig</t>
  </si>
  <si>
    <t>1539975</t>
  </si>
  <si>
    <t>I/UCRC Phase I:  VT Site Addition to the Center for UAS</t>
  </si>
  <si>
    <t>1439664</t>
  </si>
  <si>
    <t>1439663</t>
  </si>
  <si>
    <t>I/UCRC Phase II:  Center for Hybrid Multicore Productivity Research</t>
  </si>
  <si>
    <t>Sheldon</t>
  </si>
  <si>
    <t>Botte</t>
  </si>
  <si>
    <t>Gerardine</t>
  </si>
  <si>
    <t>Ohio University</t>
  </si>
  <si>
    <t>cnanders</t>
  </si>
  <si>
    <t>1439718</t>
  </si>
  <si>
    <t>Daescu</t>
  </si>
  <si>
    <t>Ovidiu</t>
  </si>
  <si>
    <t>1338898</t>
  </si>
  <si>
    <t>Davies</t>
  </si>
  <si>
    <t>Angela</t>
  </si>
  <si>
    <t>1338906</t>
  </si>
  <si>
    <t>Byrne</t>
  </si>
  <si>
    <t>1266334</t>
  </si>
  <si>
    <t>I/UCRC:  Full Center Grant: I/UCRC for Cyber-Physical Systems for the Hospital Operating Room</t>
  </si>
  <si>
    <t>5371 8039</t>
  </si>
  <si>
    <t>Garbey</t>
  </si>
  <si>
    <t>Marc</t>
  </si>
  <si>
    <t>1738723</t>
  </si>
  <si>
    <t>Phase III IUCRC Ohio State University: Center for Smart Vehicle Concepts (SVC)</t>
  </si>
  <si>
    <t>Dapino</t>
  </si>
  <si>
    <t>Marcelo</t>
  </si>
  <si>
    <t>1650547</t>
  </si>
  <si>
    <t>I/UCRC: Center for Unmanned Aircraft Systems, Phase II Site</t>
  </si>
  <si>
    <t>McLain</t>
  </si>
  <si>
    <t>1440107</t>
  </si>
  <si>
    <t>1440110</t>
  </si>
  <si>
    <t>I/UCRC Phase II:  Center for Electromagnetic Compatibility</t>
  </si>
  <si>
    <t>5761 8036</t>
  </si>
  <si>
    <t>5761 8043</t>
  </si>
  <si>
    <t>1439732</t>
  </si>
  <si>
    <t>1439639</t>
  </si>
  <si>
    <t>I/UCRC Phase I:  Center for Bioplastics and BIocomposites</t>
  </si>
  <si>
    <t>1650431</t>
  </si>
  <si>
    <t>Hu</t>
  </si>
  <si>
    <t>Xiaohua (Tony)</t>
  </si>
  <si>
    <t>1338766</t>
  </si>
  <si>
    <t>Palli</t>
  </si>
  <si>
    <t>Subba</t>
  </si>
  <si>
    <t>U of Kentucky Res Fdn</t>
  </si>
  <si>
    <t>1540000</t>
  </si>
  <si>
    <t>I/UCRC Phase I (Site): Center for Integrative Materials Joining Science for Energy Applications (CIMJSEA) University of Tennessee, Knoxville, (UTK) Site</t>
  </si>
  <si>
    <t>123E 5761 8041 9150</t>
  </si>
  <si>
    <t>Rawn</t>
  </si>
  <si>
    <t>Claudia</t>
  </si>
  <si>
    <t>Gee-Kung</t>
  </si>
  <si>
    <t>1540003</t>
  </si>
  <si>
    <t>I/UCRC Phase I (Site): Center for Pharmaceutical Development U. of Delaware Site</t>
  </si>
  <si>
    <t>123E 8037 9150</t>
  </si>
  <si>
    <t>Cui</t>
  </si>
  <si>
    <t>Jun-Hong (June)</t>
  </si>
  <si>
    <t>1266036</t>
  </si>
  <si>
    <t>I/UCRC:  Collaborative Research: Broadband Wireless Access &amp; Applications Center (BWAC)</t>
  </si>
  <si>
    <t>Prathima</t>
  </si>
  <si>
    <t>rmontell</t>
  </si>
  <si>
    <t>1338780</t>
  </si>
  <si>
    <t>I/UCRC:  Center for e-Design: IT Enabled Design and Realization of Products and Systems</t>
  </si>
  <si>
    <t>Kyoung-Yun</t>
  </si>
  <si>
    <t>1266279</t>
  </si>
  <si>
    <t>I-UCRC:  The University of Texas at Austin Site of the I-UCRC on Intelligent Maintenance Systems</t>
  </si>
  <si>
    <t>Djurdjanovic</t>
  </si>
  <si>
    <t>Dragan</t>
  </si>
  <si>
    <t>1265886</t>
  </si>
  <si>
    <t>I/UCRC:  Collaborative Research:  Broadband Wireless Access &amp; Applications Center (BWAC)</t>
  </si>
  <si>
    <t>Jung-Min</t>
  </si>
  <si>
    <t>1650468</t>
  </si>
  <si>
    <t>IUCRC: Phase 2: Center for Unmanned Aircraft Systems</t>
  </si>
  <si>
    <t>Frew</t>
  </si>
  <si>
    <t>1650470</t>
  </si>
  <si>
    <t>Phase II I/UCRC University of Wisconsin-Milwaukee: Center for Grid-connected Advanced Power Electronic Systems (GRAPES)</t>
  </si>
  <si>
    <t>Nasiri</t>
  </si>
  <si>
    <t>Adel</t>
  </si>
  <si>
    <t>1539999</t>
  </si>
  <si>
    <t>1540018</t>
  </si>
  <si>
    <t>I/UCRC Phase I:  Collaborative Research: I/UCRC Center for Atomically Thin Multifunctional Coatings (ATOMIC)</t>
  </si>
  <si>
    <t>123E 5761 8041</t>
  </si>
  <si>
    <t>Lou</t>
  </si>
  <si>
    <t>Jun</t>
  </si>
  <si>
    <t>1439653</t>
  </si>
  <si>
    <t>I/UCRC Phase II: Center For Advanced Forestry Systems</t>
  </si>
  <si>
    <t>5761 8038</t>
  </si>
  <si>
    <t>Ettl</t>
  </si>
  <si>
    <t>1362103</t>
  </si>
  <si>
    <t>I/UCRC:  Proposal to add North Carolina State University as a center site for the existing I/UCRC "Center for Lasers and Plasmas in Advanced Manufacturing"</t>
  </si>
  <si>
    <t>Steven</t>
  </si>
  <si>
    <t>1738802</t>
  </si>
  <si>
    <t>Phase II IUCRC Columbia University: Center for Energy Harvesting Materials and Systems (CEHMS)</t>
  </si>
  <si>
    <t>127E 5761</t>
  </si>
  <si>
    <t>Yin</t>
  </si>
  <si>
    <t>Huiming</t>
  </si>
  <si>
    <t>Suri</t>
  </si>
  <si>
    <t>Rominder</t>
  </si>
  <si>
    <t>1439717</t>
  </si>
  <si>
    <t>Matson</t>
  </si>
  <si>
    <t>1464595</t>
  </si>
  <si>
    <t>1464630</t>
  </si>
  <si>
    <t>Collaborative Research:  I/UCRC Phase I:  The Center for Rational Catalyst Synthesis</t>
  </si>
  <si>
    <t>Gupton</t>
  </si>
  <si>
    <t>Bernard</t>
  </si>
  <si>
    <t>Virginia Commonwealth Univ</t>
  </si>
  <si>
    <t>1338914</t>
  </si>
  <si>
    <t>Bol</t>
  </si>
  <si>
    <t>Terrones</t>
  </si>
  <si>
    <t>Mauricio</t>
  </si>
  <si>
    <t>1624718</t>
  </si>
  <si>
    <t>Phase I I/UCRC University of Massachusetts Lowell Site: Advanced Mammalian Biomanufacturing Innovation Center (AMBIC)</t>
  </si>
  <si>
    <t>Yoon</t>
  </si>
  <si>
    <t>Seongkyu</t>
  </si>
  <si>
    <t>5761 8041 9150</t>
  </si>
  <si>
    <t>Regalbuto</t>
  </si>
  <si>
    <t>U of SC Columbia</t>
  </si>
  <si>
    <t>1360860</t>
  </si>
  <si>
    <t>I/UCRC:  Seedling Production and Forest Health in the Southeastern United States</t>
  </si>
  <si>
    <t>5761 8038 9150</t>
  </si>
  <si>
    <t>Enebak</t>
  </si>
  <si>
    <t>1362046</t>
  </si>
  <si>
    <t>I/UCRC:  S2ERC at Georgetown University</t>
  </si>
  <si>
    <t>Burger</t>
  </si>
  <si>
    <t>Georgetown University</t>
  </si>
  <si>
    <t>Lotz</t>
  </si>
  <si>
    <t>U of Cal San Francisco</t>
  </si>
  <si>
    <t>Powell</t>
  </si>
  <si>
    <t>U of Southern Mississippi</t>
  </si>
  <si>
    <t>1439668</t>
  </si>
  <si>
    <t>DuVall</t>
  </si>
  <si>
    <t>1439672</t>
  </si>
  <si>
    <t>Kant</t>
  </si>
  <si>
    <t>ABR</t>
  </si>
  <si>
    <t>1540027</t>
  </si>
  <si>
    <t>I/UCRC Phase II:  Collaborative Research: Ceramic, Composite and Optical Materials Center</t>
  </si>
  <si>
    <t>Haber</t>
  </si>
  <si>
    <t>1439683</t>
  </si>
  <si>
    <t>I/UCRC Phase III: e-Design: IT-Enabled Design and Realization of Engineered Products and Systems</t>
  </si>
  <si>
    <t>Krishnamurty</t>
  </si>
  <si>
    <t>Sundar</t>
  </si>
  <si>
    <t>Korgel</t>
  </si>
  <si>
    <t>1539992</t>
  </si>
  <si>
    <t>I/UCRC Phase II:  Collaborative Research: CIMJSEA Phase II Proposal</t>
  </si>
  <si>
    <t>Lippold</t>
  </si>
  <si>
    <t>1540025</t>
  </si>
  <si>
    <t>1361543</t>
  </si>
  <si>
    <t>I/UCRC:  Phase 2 - UMaine Membership in IUCRC Center for Advanced Forestry Systems</t>
  </si>
  <si>
    <t>University of Maine</t>
  </si>
  <si>
    <t>1361755</t>
  </si>
  <si>
    <t>I/UCRC:  Center for Advanced Forestry Systems University of Georgia Site Phase II</t>
  </si>
  <si>
    <t>1464560</t>
  </si>
  <si>
    <t>Collaborative Research:  I/UCRC Phase II:  Center for Resource Recovery &amp; Recycling</t>
  </si>
  <si>
    <t>Apelian</t>
  </si>
  <si>
    <t>Diran</t>
  </si>
  <si>
    <t>1338820</t>
  </si>
  <si>
    <t>I/UCRC:  Collaborative Research - Proposal for Phase II of the SiSoC NSF I/UCRC</t>
  </si>
  <si>
    <t>Rozgonyi</t>
  </si>
  <si>
    <t>1738793</t>
  </si>
  <si>
    <t>Phase II IUCRC Binghamton University: Center for Energy-Smart Electronic Systems (ES2)</t>
  </si>
  <si>
    <t>Sammakia</t>
  </si>
  <si>
    <t>Bahgat</t>
  </si>
  <si>
    <t>SUNY Binghamton</t>
  </si>
  <si>
    <t>1266196</t>
  </si>
  <si>
    <t>I/UCRC:  Center for Experimental Research in Computer Systems (CERCS) Site</t>
  </si>
  <si>
    <t>Ramanathan</t>
  </si>
  <si>
    <t>Jayashree</t>
  </si>
  <si>
    <t>SBYRD</t>
  </si>
  <si>
    <t>1338817</t>
  </si>
  <si>
    <t>Rohatgi</t>
  </si>
  <si>
    <t>Ajeet</t>
  </si>
  <si>
    <t>1362060</t>
  </si>
  <si>
    <t>I/UCRC:  Proposal to Establish a Joint NSF I/UCR Center for  Particulate Systems and Surfactants</t>
  </si>
  <si>
    <t>Moudgil</t>
  </si>
  <si>
    <t>Brij</t>
  </si>
  <si>
    <t>1439689</t>
  </si>
  <si>
    <t>1439700</t>
  </si>
  <si>
    <t>I/UCRC Phase II: Grid-connected Advanced Power Electronic Systems (GRAPES)</t>
  </si>
  <si>
    <t>8036 9150</t>
  </si>
  <si>
    <t>Dougal</t>
  </si>
  <si>
    <t>1439688</t>
  </si>
  <si>
    <t>I/UCRC Phase II: Center for the Integration of Composites into Infrastructure (CICI)</t>
  </si>
  <si>
    <t>125E 5761 9150</t>
  </si>
  <si>
    <t>GangaRao</t>
  </si>
  <si>
    <t>Hota</t>
  </si>
  <si>
    <t>1540030</t>
  </si>
  <si>
    <t>I/UCRC Phase II:  Center for Lasers and Plasma for Advanced Manufacturing</t>
  </si>
  <si>
    <t>123E 8037</t>
  </si>
  <si>
    <t>Ruzic</t>
  </si>
  <si>
    <t>1362078</t>
  </si>
  <si>
    <t>Somasundaran</t>
  </si>
  <si>
    <t>Ponisseril</t>
  </si>
  <si>
    <t>1439543</t>
  </si>
  <si>
    <t>Nanni</t>
  </si>
  <si>
    <t>1650460</t>
  </si>
  <si>
    <t>Phase II I/UCRC University of Akron:  Center for Tire Research (CenTiRe)</t>
  </si>
  <si>
    <t>Batur</t>
  </si>
  <si>
    <t>Celal</t>
  </si>
  <si>
    <t>University of Akron</t>
  </si>
  <si>
    <t>1738782</t>
  </si>
  <si>
    <t>Phase II IUCRC Villanova University: Center for Energy-Smart Electronic Systems (ES2)</t>
  </si>
  <si>
    <t>Alfonso</t>
  </si>
  <si>
    <t>Villanova University</t>
  </si>
  <si>
    <t>1266013</t>
  </si>
  <si>
    <t>I/UCRC:  Collaborative Research: Center for Excellence in Logistics and Distribution, Phase II</t>
  </si>
  <si>
    <t>5761 8043 9150</t>
  </si>
  <si>
    <t>Ferrell</t>
  </si>
  <si>
    <t>DROBINS</t>
  </si>
  <si>
    <t>1650504</t>
  </si>
  <si>
    <t>Phase II I/UCRC Trustees of Boston University: Center on Biophotonic Sensors and Systems</t>
  </si>
  <si>
    <t>5761 8038 9181</t>
  </si>
  <si>
    <t>Bifano</t>
  </si>
  <si>
    <t>1464542</t>
  </si>
  <si>
    <t>Mishra</t>
  </si>
  <si>
    <t>Brajendra</t>
  </si>
  <si>
    <t>1539853</t>
  </si>
  <si>
    <t>I/UCRC Phase III:  Collaborative Research Program for I/UCRC for Lasers and Plasmas</t>
  </si>
  <si>
    <t>Radovan</t>
  </si>
  <si>
    <t>Southern Methodist Univ</t>
  </si>
  <si>
    <t>1539961</t>
  </si>
  <si>
    <t>1539960</t>
  </si>
  <si>
    <t>I/UCRC Phase II: Collaborative Research:  I/UCRC Center for Surveillance Research, Phase II</t>
  </si>
  <si>
    <t>Potter</t>
  </si>
  <si>
    <t>1361847</t>
  </si>
  <si>
    <t>Tragoudas</t>
  </si>
  <si>
    <t>Spyros</t>
  </si>
  <si>
    <t>Southern Ill U Carbondale</t>
  </si>
  <si>
    <t>NSF 10-595</t>
  </si>
  <si>
    <t>1161014</t>
  </si>
  <si>
    <t>1161022</t>
  </si>
  <si>
    <t>I/UCRC Phase II(Renewal):  NSF Center for High-Performance Reconfigurable Computing (CHREC)</t>
  </si>
  <si>
    <t>El-Ghazawi</t>
  </si>
  <si>
    <t>Tarek</t>
  </si>
  <si>
    <t>George Washington Univ</t>
  </si>
  <si>
    <t>IMCGHEE</t>
  </si>
  <si>
    <t>1540011</t>
  </si>
  <si>
    <t>1540017</t>
  </si>
  <si>
    <t>I/UCRC Phase II:  Collaborative Research: Center for Pharmaceutical Development (CPD)</t>
  </si>
  <si>
    <t>5761 8037 8042</t>
  </si>
  <si>
    <t>Munson</t>
  </si>
  <si>
    <t>1266245</t>
  </si>
  <si>
    <t>Collaborative Research: Phase-II Renewal of CHREC Center at Virginia Tech</t>
  </si>
  <si>
    <t>Athanas</t>
  </si>
  <si>
    <t>1738689</t>
  </si>
  <si>
    <t>Phase II IUCRC Virginia Tech: Center for Energy Harvesting Materials and Systems (CEHMS)</t>
  </si>
  <si>
    <t>Hajj</t>
  </si>
  <si>
    <t>1540010</t>
  </si>
  <si>
    <t>1540032</t>
  </si>
  <si>
    <t>I/UCRC Phase II:  Collaborative Research: Water Equipment and Policy Center</t>
  </si>
  <si>
    <t>123E 5761 8040</t>
  </si>
  <si>
    <t>Zitomer</t>
  </si>
  <si>
    <t>1265999</t>
  </si>
  <si>
    <t>I/UCRC:  Collaborative Research:  Center for Excellence in Logistics and Distribution, Phase II</t>
  </si>
  <si>
    <t>Ellis</t>
  </si>
  <si>
    <t>Kimberly</t>
  </si>
  <si>
    <t>1338917</t>
  </si>
  <si>
    <t>I/UCRC:  Center for Lasers and Plasmas for Advanced Manufacturing (LPAM)</t>
  </si>
  <si>
    <t>Gupta</t>
  </si>
  <si>
    <t>Mool</t>
  </si>
  <si>
    <t>1439708</t>
  </si>
  <si>
    <t>Rizkalla</t>
  </si>
  <si>
    <t>Sami</t>
  </si>
  <si>
    <t>Bommarius</t>
  </si>
  <si>
    <t>1738811</t>
  </si>
  <si>
    <t>Phase II IUCRC  University of Texas at Arlington:  Center for Energy Smart Electronic Systems</t>
  </si>
  <si>
    <t>Agonafer</t>
  </si>
  <si>
    <t>Dereje</t>
  </si>
  <si>
    <t>1265957</t>
  </si>
  <si>
    <t>I/UCRC:  Phase II Renewal of CHREC Center - BYU Site</t>
  </si>
  <si>
    <t>Junhong</t>
  </si>
  <si>
    <t>1650423</t>
  </si>
  <si>
    <t>Phase II I/UCRC Virginia Polytechnic Institute and State University: Center for Tire Research (CenTiRe)</t>
  </si>
  <si>
    <t>Taheri</t>
  </si>
  <si>
    <t>Saied</t>
  </si>
  <si>
    <t>1540045</t>
  </si>
  <si>
    <t>I/UCRC Phase II:  University of Idaho Membership in Center for Advanced Forestry Systems</t>
  </si>
  <si>
    <t>123E 5761 8040 9150</t>
  </si>
  <si>
    <t>Coleman</t>
  </si>
  <si>
    <t>1650588</t>
  </si>
  <si>
    <t>Phase II I/UCRC University of California-Davis: Center for Biophotonics Sensors and Systems</t>
  </si>
  <si>
    <t>1650540</t>
  </si>
  <si>
    <t>S2ERC @ Virginia Tech - Phase 2</t>
  </si>
  <si>
    <t>Clancy</t>
  </si>
  <si>
    <t>T. Charles</t>
  </si>
  <si>
    <t>1712778</t>
  </si>
  <si>
    <t>1747824</t>
  </si>
  <si>
    <t>INTERN DCL: I/UCRC Phase II:  Next Generation Photovoltaics</t>
  </si>
  <si>
    <t>018z 5761 8040</t>
  </si>
  <si>
    <t>018Z 5761 8040</t>
  </si>
  <si>
    <t>1748502</t>
  </si>
  <si>
    <t>I/UCRC Phase II (VRS):  Next Generation Photovoltaics</t>
  </si>
  <si>
    <t>8040 8808 9102</t>
  </si>
  <si>
    <t>1748503</t>
  </si>
  <si>
    <t>I/UCRC Phase II (REU):  Next Generation Photovoltaics</t>
  </si>
  <si>
    <t>116e 8040 9251</t>
  </si>
  <si>
    <t>1743320</t>
  </si>
  <si>
    <t>I/UCRC (RET):  Collaborative Research: Phase I I/UCRC for Science Center for Marine Fisheries (SCeMFiS)</t>
  </si>
  <si>
    <t>115e 7218 8042 9150</t>
  </si>
  <si>
    <t>1748124</t>
  </si>
  <si>
    <t>I/UCRC (REU): Technology Innovation for Novel Cost-reducing and Quality-enhancing Musculoskeletal Therapies</t>
  </si>
  <si>
    <t>116e 8042 9251</t>
  </si>
  <si>
    <t>1747403</t>
  </si>
  <si>
    <t>1545560</t>
  </si>
  <si>
    <t>INTERN DCL: Collaborative Research: Zeolite Thin Films as Efficient and Robust Ion Exchange Membranes in Redox Flow Batteries for Renewable Energy Storage</t>
  </si>
  <si>
    <t>018z 045E</t>
  </si>
  <si>
    <t>018Z 045E</t>
  </si>
  <si>
    <t>Murad</t>
  </si>
  <si>
    <t>Sohail</t>
  </si>
  <si>
    <t>1748569</t>
  </si>
  <si>
    <t>I/UCRC (REU):  Proposal to Establish a Joint NSF I/UCR Center for  Particulate Systems and Surfactants</t>
  </si>
  <si>
    <t>116E 8041 9251</t>
  </si>
  <si>
    <t>1734931</t>
  </si>
  <si>
    <t>I/UCRC Phase II(Evaluator sup): Center for the Integration of Composites into Infrastructure (CICI)</t>
  </si>
  <si>
    <t>125E 9150</t>
  </si>
  <si>
    <t>1734934</t>
  </si>
  <si>
    <t>I/UCRC Phase II(travel sup): Center for the Integration of Composites into Infrastructure (CICI)</t>
  </si>
  <si>
    <t>1747413</t>
  </si>
  <si>
    <t>1741548</t>
  </si>
  <si>
    <t>1741549</t>
  </si>
  <si>
    <t>1708886</t>
  </si>
  <si>
    <t>1743910</t>
  </si>
  <si>
    <t>IUCRC Phase I (REU) Johns Hopkins University Site: Advanced Mammalian Biomanufacturing Innovation Center (AMBIC)</t>
  </si>
  <si>
    <t>116e 8038 9251</t>
  </si>
  <si>
    <t>1748605</t>
  </si>
  <si>
    <t>1748185</t>
  </si>
  <si>
    <t>1624503</t>
  </si>
  <si>
    <t>I/UCRC: Center for Hybrid Multicore Productivity Research (CHMPR) - Rutgers Site</t>
  </si>
  <si>
    <t>043Z</t>
  </si>
  <si>
    <t>Adam</t>
  </si>
  <si>
    <t>Rutgers U Newark</t>
  </si>
  <si>
    <t>1743949</t>
  </si>
  <si>
    <t>1624836</t>
  </si>
  <si>
    <t>Phase II I/UCRC (REU) Colorado School of Mines Site: Center for Advanced Non-Ferrous Structural Alloys (CANFSA)</t>
  </si>
  <si>
    <t>123E 5761 9251</t>
  </si>
  <si>
    <t>116E 123E 5761 9251</t>
  </si>
  <si>
    <t>1748528</t>
  </si>
  <si>
    <t>I/UCRC (REU):  Water and Environmental Technology Center</t>
  </si>
  <si>
    <t>116E 8040 9102 9251</t>
  </si>
  <si>
    <t>1748193</t>
  </si>
  <si>
    <t>Phase II I/UCRC (REU): University of Akron:  Center for Tire Research (CenTiRe)</t>
  </si>
  <si>
    <t>116e 123E 9251</t>
  </si>
  <si>
    <t>116E 123E 5761 9102 9251</t>
  </si>
  <si>
    <t>1659312</t>
  </si>
  <si>
    <t>1748051</t>
  </si>
  <si>
    <t>1134810</t>
  </si>
  <si>
    <t>Collaborative Center (REU): I/UCRC in Center for Energy-Smart Electronic Systems (ES2)</t>
  </si>
  <si>
    <t>116E 5761 8040 9251</t>
  </si>
  <si>
    <t>1747677</t>
  </si>
  <si>
    <t>1624668</t>
  </si>
  <si>
    <t>I/UCRC: Industry/University Cooperative Research Center for Cloud and Autonomic Computing</t>
  </si>
  <si>
    <t>Hariri</t>
  </si>
  <si>
    <t>1747940</t>
  </si>
  <si>
    <t>1508177</t>
  </si>
  <si>
    <t>INTERN DCL: GOALI: OP: Incongruent Growth of Single Crystal 3D Architecture for New Optical Functionalities in Glass</t>
  </si>
  <si>
    <t>018z 1504 8990</t>
  </si>
  <si>
    <t>018Z 1504 8990</t>
  </si>
  <si>
    <t>Jain</t>
  </si>
  <si>
    <t>Himanshu</t>
  </si>
  <si>
    <t>1741046</t>
  </si>
  <si>
    <t>Phase II I/UCRC (REU) Trustees of Boston University: Center on Biophotonic Sensors and Systems</t>
  </si>
  <si>
    <t>116E 8038 9181 9251</t>
  </si>
  <si>
    <t>1737532</t>
  </si>
  <si>
    <t>Collaborative Research:  I/UCRC Phase II (REU):  Center for Resource Recovery &amp; Recycling</t>
  </si>
  <si>
    <t>116e 5761 8040 9251</t>
  </si>
  <si>
    <t>1737685</t>
  </si>
  <si>
    <t>Phase II (Travel Supp) - International Site  @ University of Tokyo, Japan - Center for Resource Recovery &amp; Recycling</t>
  </si>
  <si>
    <t>1748138</t>
  </si>
  <si>
    <t>Collaborative Research (REU):  I/UCRC Phase II:  Center for Resource Recovery &amp; Recycling</t>
  </si>
  <si>
    <t>1739499</t>
  </si>
  <si>
    <t>I/UCRC Phase I (REU):  Multi-functional Integrated System Technology (MIST)</t>
  </si>
  <si>
    <t>116e 5761 8041 9251</t>
  </si>
  <si>
    <t>1748393</t>
  </si>
  <si>
    <t>I/UCRC Phase I (REU) :  Multi-functional Integrated System Technology (MIST)</t>
  </si>
  <si>
    <t>116e 8041 9251</t>
  </si>
  <si>
    <t>1747927</t>
  </si>
  <si>
    <t>1511791</t>
  </si>
  <si>
    <t>INTERN DCL - Collaborative Research: Turbulent Flame Structure of Cavity Stabilized Reacting Shear Layers: Effects of Flow Compressibility, Heat Release, and Finite-rate Kinetics</t>
  </si>
  <si>
    <t>Chelliah</t>
  </si>
  <si>
    <t>1748252</t>
  </si>
  <si>
    <t>I/UCRC Phase I (REU):  Expansion of CICI to Add a New Site at UTA on Sustainable Utilization of Composites in Infrastructure Systems</t>
  </si>
  <si>
    <t>116e 125E 9251</t>
  </si>
  <si>
    <t>116E 125E 5761 9251</t>
  </si>
  <si>
    <t>1744368</t>
  </si>
  <si>
    <t>I/UCRC (REU):  Center for Health Organization Transformation</t>
  </si>
  <si>
    <t>116E 5761 8042 9251</t>
  </si>
  <si>
    <t>1748530</t>
  </si>
  <si>
    <t>1740869</t>
  </si>
  <si>
    <t>I/UCRC (REU):  Collaborative Research: Center for Freeform Optics</t>
  </si>
  <si>
    <t>116e 5761 8037 9102 9251</t>
  </si>
  <si>
    <t>1748535</t>
  </si>
  <si>
    <t>I/UCRC (REU):  Multi-university I/UCRC for Dielectrics and Piezoelectrics</t>
  </si>
  <si>
    <t>116E 123E 9251</t>
  </si>
  <si>
    <t>1734465</t>
  </si>
  <si>
    <t>1748574</t>
  </si>
  <si>
    <t>I/UCRC (REU):  Center for Lasers and Plasmas for Advanced Manufacturing (LPAM)</t>
  </si>
  <si>
    <t>116E 8037 9251</t>
  </si>
  <si>
    <t>1747971</t>
  </si>
  <si>
    <t>INTERN DCL - I/UCRC Phase II:  Next Generation Photovoltaics</t>
  </si>
  <si>
    <t>1743206</t>
  </si>
  <si>
    <t>116E 8040 9251</t>
  </si>
  <si>
    <t>NSF 15-536</t>
  </si>
  <si>
    <t>1743207</t>
  </si>
  <si>
    <t>I/UCRC Phase II (RET):  Next Generation Photovoltaics</t>
  </si>
  <si>
    <t>115e 7218 8040</t>
  </si>
  <si>
    <t>1737293</t>
  </si>
  <si>
    <t>I/UCRC (Above 300k membership):  Center for Advanced Design and Manufacturing of Integrated Microfluidics (CADMIM)</t>
  </si>
  <si>
    <t>8041</t>
  </si>
  <si>
    <t>1748591</t>
  </si>
  <si>
    <t>I/UCRC (REU):  Center for Advanced Design and Manufacturing of Integrated Microfluidics (CADMIM)</t>
  </si>
  <si>
    <t>1742822</t>
  </si>
  <si>
    <t>I/UCRC Phase II (REU): Grid-connected Advanced Power Electronic Systems (GRAPES)</t>
  </si>
  <si>
    <t>116e 8036 9150 9251</t>
  </si>
  <si>
    <t>1748519</t>
  </si>
  <si>
    <t>1738617</t>
  </si>
  <si>
    <t>116E 9251</t>
  </si>
  <si>
    <t>1700774</t>
  </si>
  <si>
    <t>1743295</t>
  </si>
  <si>
    <t>I/UCRC (REU):  Collaborative Research: Wheat Genetics Resource Center: A Public-Private Consortium</t>
  </si>
  <si>
    <t>116e 9251</t>
  </si>
  <si>
    <t>1708783</t>
  </si>
  <si>
    <t>1657550</t>
  </si>
  <si>
    <t>TMHRI</t>
  </si>
  <si>
    <t>1747596</t>
  </si>
  <si>
    <t>I/UCRC Phase I: Center for Unmanned Aircraft Systems</t>
  </si>
  <si>
    <t>1747967</t>
  </si>
  <si>
    <t>1748736</t>
  </si>
  <si>
    <t>8046</t>
  </si>
  <si>
    <t>1747626</t>
  </si>
  <si>
    <t>7218</t>
  </si>
  <si>
    <t>Chaowei</t>
  </si>
  <si>
    <t>1747627</t>
  </si>
  <si>
    <t>1741466</t>
  </si>
  <si>
    <t>I/UCRC Phase I Site (VRS): Center for Integrative Materials Joining Science for Energy Applications (CIMJSEA) University of Tennessee, Knoxville, (UTK) Site</t>
  </si>
  <si>
    <t>123E 5761 8041 8808 9150</t>
  </si>
  <si>
    <t>1741909</t>
  </si>
  <si>
    <t>1624536</t>
  </si>
  <si>
    <t>Phase II I/UCRC (REU) Virginia Polytechnic Institute: Center for Wood-Based Composites (WBC)</t>
  </si>
  <si>
    <t>1049 116E 123E 9251</t>
  </si>
  <si>
    <t>Frazier</t>
  </si>
  <si>
    <t>1748586</t>
  </si>
  <si>
    <t>I/UCRC Phase I (RET):  Collaborative Research: I/UCRC Center for Atomically Thin Multifunctional Coatings (ATOMIC)</t>
  </si>
  <si>
    <t>115e 123E 7218 8041</t>
  </si>
  <si>
    <t>115E 123E 7218 8041</t>
  </si>
  <si>
    <t>1748587</t>
  </si>
  <si>
    <t>I/UCRC Phase I (REU):  Collaborative Research: I/UCRC Center for Atomically Thin Multifunctional Coatings (ATOMIC)</t>
  </si>
  <si>
    <t>116e 123E 8041 9251</t>
  </si>
  <si>
    <t>1742790</t>
  </si>
  <si>
    <t>IUCRC Phase I:  Center for Bioplastics and BIocomposites</t>
  </si>
  <si>
    <t>123e 9150</t>
  </si>
  <si>
    <t>1748366</t>
  </si>
  <si>
    <t>I/UCRC Phase I (REU/VRS):  Center for Bioplastics and BIocomposites</t>
  </si>
  <si>
    <t>116e 123E 9150 9251</t>
  </si>
  <si>
    <t>1744538</t>
  </si>
  <si>
    <t>1624842</t>
  </si>
  <si>
    <t>Phase I (REU) I/UCRC Arizona State University Site: Center for Efficient Vehicles and Sustainable Transportation Systems (EV-STS).</t>
  </si>
  <si>
    <t>Yu</t>
  </si>
  <si>
    <t>Hongbin</t>
  </si>
  <si>
    <t>1745255</t>
  </si>
  <si>
    <t>1730255</t>
  </si>
  <si>
    <t>I/UCRC (Cluster for Grand Challenges):  Center for Health Organization Transformation</t>
  </si>
  <si>
    <t>Kash</t>
  </si>
  <si>
    <t>Bita</t>
  </si>
  <si>
    <t>1744251</t>
  </si>
  <si>
    <t>I/UCRC (REU) Supplement:  Center for Health Organization Transformation</t>
  </si>
  <si>
    <t>1744300</t>
  </si>
  <si>
    <t>Phase II (Travel Supp) - International Site @ University Nottingham, UK IUCRC:  Center for Health Organization Transformation</t>
  </si>
  <si>
    <t>1744154</t>
  </si>
  <si>
    <t>5761 7556</t>
  </si>
  <si>
    <t>Morellas</t>
  </si>
  <si>
    <t>Vassilios</t>
  </si>
  <si>
    <t>1744096</t>
  </si>
  <si>
    <t>1743849</t>
  </si>
  <si>
    <t>1748611</t>
  </si>
  <si>
    <t>I/UCRC Phase II (REU):  University of Idaho Membership in Center for Advanced Forestry Systems</t>
  </si>
  <si>
    <t>116E 123E 8040 9150 9251</t>
  </si>
  <si>
    <t>1748612</t>
  </si>
  <si>
    <t>1748532</t>
  </si>
  <si>
    <t>1741550</t>
  </si>
  <si>
    <t>1741551</t>
  </si>
  <si>
    <t>1646770</t>
  </si>
  <si>
    <t>1134843</t>
  </si>
  <si>
    <t>Cyber Security I/UCRC</t>
  </si>
  <si>
    <t>1723641</t>
  </si>
  <si>
    <t>1744253</t>
  </si>
  <si>
    <t>1624727</t>
  </si>
  <si>
    <t>Phase II I/UCRC (REU) Pennsylvania State University Site: Center for Health Organization Transformation</t>
  </si>
  <si>
    <t>Tucker</t>
  </si>
  <si>
    <t>Conrad</t>
  </si>
  <si>
    <t>1743391</t>
  </si>
  <si>
    <t>I/UCRC (REU): Collaborative Research: Phase I I/UCRC for Science Center for Marine Fisheries (SCeMFiS)</t>
  </si>
  <si>
    <t>116e 8042 9150 9251</t>
  </si>
  <si>
    <t>1744328</t>
  </si>
  <si>
    <t>1624690</t>
  </si>
  <si>
    <t>Phase II I/UCRC (REU) U. of Alabama at Birmingham Site: Center for Health Organization Transformation</t>
  </si>
  <si>
    <t>116e 9150 9251</t>
  </si>
  <si>
    <t>Weech-Maldonado</t>
  </si>
  <si>
    <t>U of Alabama Birmingham</t>
  </si>
  <si>
    <t>1741546</t>
  </si>
  <si>
    <t>1741547</t>
  </si>
  <si>
    <t>1733891</t>
  </si>
  <si>
    <t>Ramirez</t>
  </si>
  <si>
    <t>1748567</t>
  </si>
  <si>
    <t>I/UCRC Phase II (VRS):  Collaborative Research: CIMJSEA Phase II Proposal</t>
  </si>
  <si>
    <t>116E 123E 8041 8808 9251</t>
  </si>
  <si>
    <t>1748568</t>
  </si>
  <si>
    <t>I/UCRC Phase II (REU):  Collaborative Research: CIMJSEA Phase II Proposal</t>
  </si>
  <si>
    <t>116E 123E 8041 9102 9251</t>
  </si>
  <si>
    <t>116E 123E 8041 9251</t>
  </si>
  <si>
    <t>1760213</t>
  </si>
  <si>
    <t>1758247</t>
  </si>
  <si>
    <t>1760022</t>
  </si>
  <si>
    <t>1361806</t>
  </si>
  <si>
    <t>I/UCRC: NSF Net-centric and Cloud Software and Systems</t>
  </si>
  <si>
    <t>Kavi</t>
  </si>
  <si>
    <t>1758242</t>
  </si>
  <si>
    <t>1758245</t>
  </si>
  <si>
    <t>1758241</t>
  </si>
  <si>
    <t>1758233</t>
  </si>
  <si>
    <t>1758229</t>
  </si>
  <si>
    <t>1758239</t>
  </si>
  <si>
    <t>1758236</t>
  </si>
  <si>
    <t>1758244</t>
  </si>
  <si>
    <t>1758237</t>
  </si>
  <si>
    <t>1760023</t>
  </si>
  <si>
    <t>Rigling</t>
  </si>
  <si>
    <t>Wright State University</t>
  </si>
  <si>
    <t>1732084</t>
  </si>
  <si>
    <t>Evaluation and Assessment Program for the Industry University Cooperative Research Center (IUCRC) Program</t>
  </si>
  <si>
    <t>Weilerstein</t>
  </si>
  <si>
    <t>Nat Coll Inven &amp; Inno Alli</t>
  </si>
  <si>
    <t>INCR</t>
  </si>
  <si>
    <t>1762176</t>
  </si>
  <si>
    <t>1747973</t>
  </si>
  <si>
    <t>1449500</t>
  </si>
  <si>
    <t>INTERN DCL - NSF Nanosystems Engineering Research Center for Nantechnology Enabled Water Treatment Systems (NEWT)</t>
  </si>
  <si>
    <t>018z 112E 123E 127E 128E 131E</t>
  </si>
  <si>
    <t>018Z 112E 123E 127E 128E 131E</t>
  </si>
  <si>
    <t>Alvarez</t>
  </si>
  <si>
    <t>Pedro</t>
  </si>
  <si>
    <t>DSCR</t>
  </si>
  <si>
    <t>1724767</t>
  </si>
  <si>
    <t>I/UCRC Pre-Proposal Planning CaliBaja Site Center for Resilient Materials and Systems</t>
  </si>
  <si>
    <t>Graeve</t>
  </si>
  <si>
    <t>Olivia</t>
  </si>
  <si>
    <t>ejupd</t>
  </si>
  <si>
    <t>Preliminary Proposal</t>
  </si>
  <si>
    <t>PREL</t>
  </si>
  <si>
    <t>1724431</t>
  </si>
  <si>
    <t>I/UCRC Pre-Proposal Planning Florida Institute of Technology Site: Center for the Fire Retardant Materials and Safety Research Center (FRMS-RC)</t>
  </si>
  <si>
    <t>061E 123E 5761 8042</t>
  </si>
  <si>
    <t>Jensen</t>
  </si>
  <si>
    <t>Florida Institute of Tech</t>
  </si>
  <si>
    <t>DSCR Total</t>
  </si>
  <si>
    <t>pm_ibm_logn_id5</t>
  </si>
  <si>
    <t>org_code6</t>
  </si>
  <si>
    <t>pgm_ele_code7</t>
  </si>
  <si>
    <t>inst_awd</t>
  </si>
  <si>
    <t>1705440</t>
  </si>
  <si>
    <t>1706960</t>
  </si>
  <si>
    <t>1707961</t>
  </si>
  <si>
    <t>1708280</t>
  </si>
  <si>
    <t>1708892</t>
  </si>
  <si>
    <t>1709328</t>
  </si>
  <si>
    <t>1710211</t>
  </si>
  <si>
    <t>1710357</t>
  </si>
  <si>
    <t>1710640</t>
  </si>
  <si>
    <t>1711798</t>
  </si>
  <si>
    <t>1714291</t>
  </si>
  <si>
    <t>1714468</t>
  </si>
  <si>
    <t>1715212</t>
  </si>
  <si>
    <t>1715606</t>
  </si>
  <si>
    <t>1715627</t>
  </si>
  <si>
    <t>1715777</t>
  </si>
  <si>
    <t>1715822</t>
  </si>
  <si>
    <t>1715911</t>
  </si>
  <si>
    <t>1716046</t>
  </si>
  <si>
    <t>1717075</t>
  </si>
  <si>
    <t>1717947</t>
  </si>
  <si>
    <t>1718161</t>
  </si>
  <si>
    <t>1718670</t>
  </si>
  <si>
    <t>1718970</t>
  </si>
  <si>
    <t>1719196</t>
  </si>
  <si>
    <t>1719353</t>
  </si>
  <si>
    <t>1734300</t>
  </si>
  <si>
    <t>1734763</t>
  </si>
  <si>
    <t>1737230</t>
  </si>
  <si>
    <t>1721662</t>
  </si>
  <si>
    <t>1746005</t>
  </si>
  <si>
    <t>1747438</t>
  </si>
  <si>
    <t>1701747</t>
  </si>
  <si>
    <t>1724992</t>
  </si>
  <si>
    <t>1740501</t>
  </si>
  <si>
    <t>C</t>
  </si>
  <si>
    <t>HC</t>
  </si>
  <si>
    <t>LC</t>
  </si>
  <si>
    <t>7796</t>
  </si>
  <si>
    <t>JSNOEYI</t>
  </si>
  <si>
    <t>eg: 10/1/2016</t>
  </si>
  <si>
    <t>eg: 10/1/2017</t>
  </si>
  <si>
    <t>eg: NSF 17-537</t>
  </si>
  <si>
    <t>eg: 0501%</t>
  </si>
  <si>
    <t>eg: CSE, ENG</t>
  </si>
  <si>
    <t>eg: 7796</t>
  </si>
  <si>
    <t>eg: ~WTH,RTNR</t>
  </si>
  <si>
    <t>eg: %BSF%</t>
  </si>
  <si>
    <t>eg: 9150</t>
  </si>
  <si>
    <t>eg: jsnoeyi</t>
  </si>
  <si>
    <t>eg: NEW,RNEW,ABR</t>
  </si>
  <si>
    <t>eg: 4110</t>
  </si>
  <si>
    <t>12%',2222,3333</t>
  </si>
  <si>
    <t>~1234::2222</t>
  </si>
  <si>
    <t>eg: 2018</t>
  </si>
  <si>
    <t>eg:7796::7798</t>
  </si>
  <si>
    <t xml:space="preserve">eg: </t>
  </si>
  <si>
    <t>eg: 7923</t>
  </si>
  <si>
    <t>eg: 9105</t>
  </si>
  <si>
    <t>eg: STND, CONT</t>
  </si>
  <si>
    <t>eg: 10/1/2018</t>
  </si>
  <si>
    <t>eg: ~0501%</t>
  </si>
  <si>
    <t>eg: CSE</t>
  </si>
  <si>
    <t>eg: 779[678]</t>
  </si>
  <si>
    <t>eg: ~WTH,RTRN</t>
  </si>
  <si>
    <t>eg:NEW,RNEW,ABR</t>
  </si>
  <si>
    <t>eg:jsnoeyi</t>
  </si>
  <si>
    <t>eg:9105</t>
  </si>
  <si>
    <t>eg:%Medium%</t>
  </si>
  <si>
    <t>This page holds hidden settings: reportservers login credentials, sql fragments, preferences, or history...</t>
  </si>
  <si>
    <t>user id:</t>
  </si>
  <si>
    <t>password:</t>
  </si>
  <si>
    <t xml:space="preserve">PC connect string: 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</si>
  <si>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</si>
  <si>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</si>
  <si>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</si>
  <si>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</si>
  <si>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</si>
  <si>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Proposal Title</t>
  </si>
  <si>
    <t>dsn=RPTSERVER;server=RPTSQL.nsf.gov;port=5000;</t>
  </si>
  <si>
    <t>Proposals</t>
  </si>
  <si>
    <t>NSF 17-537</t>
  </si>
  <si>
    <t xml:space="preserve"> jsnoeyi</t>
  </si>
  <si>
    <t xml:space="preserve"> NSF 17-537</t>
  </si>
  <si>
    <t>~9150</t>
  </si>
  <si>
    <t>iisuser</t>
  </si>
  <si>
    <t>IISdata@11/20</t>
  </si>
  <si>
    <t>1749173</t>
  </si>
  <si>
    <t>7926 1045</t>
  </si>
  <si>
    <t>Pending, Review Package Produced</t>
  </si>
  <si>
    <t>Borgwardt</t>
  </si>
  <si>
    <t>Steffen</t>
  </si>
  <si>
    <t>CAREER: Algorithms for Optimal Walks</t>
  </si>
  <si>
    <t>CAR17-18</t>
  </si>
  <si>
    <t>P180207</t>
  </si>
  <si>
    <t>NC</t>
  </si>
  <si>
    <t>1749385</t>
  </si>
  <si>
    <t>7929 1045</t>
  </si>
  <si>
    <t>Haitao</t>
  </si>
  <si>
    <t>Utah State University</t>
  </si>
  <si>
    <t>CAREER: Algorithms for Shortest Paths and Related Problems in Computational Geometry</t>
  </si>
  <si>
    <t>1749563</t>
  </si>
  <si>
    <t>Del Pia</t>
  </si>
  <si>
    <t>Alberto</t>
  </si>
  <si>
    <t>WI</t>
  </si>
  <si>
    <t>CAREER: Mixed-Integer Quadratic Optimization: Algorithms and Complexity</t>
  </si>
  <si>
    <t>1749609</t>
  </si>
  <si>
    <t>Yin Tat</t>
  </si>
  <si>
    <t>CAREER: The Interplay between Combinatorial Optimization and Algorithmic Convex Geometry</t>
  </si>
  <si>
    <t>1749855</t>
  </si>
  <si>
    <t>Orabona</t>
  </si>
  <si>
    <t xml:space="preserve"> Francesco</t>
  </si>
  <si>
    <t>CAREER: Hyperparameter-free Algorithms for Machine Learning</t>
  </si>
  <si>
    <t>P180209</t>
  </si>
  <si>
    <t>1749977</t>
  </si>
  <si>
    <t>Solomon</t>
  </si>
  <si>
    <t>CAREER: Structured Optimization for Geometric Problems</t>
  </si>
  <si>
    <t>1750076</t>
  </si>
  <si>
    <t>7933 1045</t>
  </si>
  <si>
    <t>Schroeder</t>
  </si>
  <si>
    <t>CAREER: Addressing robustness in numerical simulation of nonlinear elastic solids through optimization integration and improved collision treatments</t>
  </si>
  <si>
    <t>1750780</t>
  </si>
  <si>
    <t>Raichel</t>
  </si>
  <si>
    <t>CAREER:  AF: Giving Form to Data with a Geometric Scaffold</t>
  </si>
  <si>
    <t>1751047</t>
  </si>
  <si>
    <t>Gibson</t>
  </si>
  <si>
    <t>CAREER: A Modern Look at Visibility Problems</t>
  </si>
  <si>
    <t>1751102</t>
  </si>
  <si>
    <t>Vouga</t>
  </si>
  <si>
    <t>CAREER: Simulation and Design of Thin Objects Using Discrete Differential Geometry Algorithms</t>
  </si>
  <si>
    <t>1751135</t>
  </si>
  <si>
    <t>Nayyeri</t>
  </si>
  <si>
    <t>OR</t>
  </si>
  <si>
    <t>CAREER: Mapping Problems in Computational Geometry and Topology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</si>
</sst>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&quot;$&quot;* #,##0_);_(&quot;$&quot;* \(#,##0\);_(&quot;$&quot;* &quot;-&quot;??_);_(@_)"/>
    <numFmt numFmtId="167" formatCode="mm/dd/yy\ hh:mm"/>
    <numFmt numFmtId="168" formatCode="[$-409]m/d/yy\ h:mm\ AM/PM;@"/>
    <numFmt numFmtId="169" formatCode=";;;**********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theme="6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indexed="64"/>
      </left>
      <right/>
      <top style="medium">
        <color theme="4" tint="-0.499984740745262"/>
      </top>
      <bottom/>
      <diagonal/>
    </border>
    <border>
      <left/>
      <right style="thin">
        <color indexed="64"/>
      </right>
      <top style="medium">
        <color theme="4" tint="-0.499984740745262"/>
      </top>
      <bottom/>
      <diagonal/>
    </border>
    <border>
      <left/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 style="thin">
        <color indexed="64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medium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medium">
        <color theme="4"/>
      </bottom>
      <diagonal/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theme="4"/>
      </bottom>
      <diagonal/>
    </border>
    <border>
      <left/>
      <right/>
      <top style="thick">
        <color theme="4" tint="-0.249977111117893"/>
      </top>
      <bottom style="thin">
        <color theme="4"/>
      </bottom>
      <diagonal/>
    </border>
    <border>
      <left/>
      <right style="medium">
        <color theme="4" tint="-0.249977111117893"/>
      </right>
      <top style="thick">
        <color theme="4" tint="-0.249977111117893"/>
      </top>
      <bottom/>
      <diagonal/>
    </border>
    <border>
      <left style="thick">
        <color theme="8"/>
      </left>
      <right/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8"/>
      </right>
      <top/>
      <bottom/>
      <diagonal/>
    </border>
    <border>
      <left style="thick">
        <color theme="4" tint="-0.249977111117893"/>
      </left>
      <right style="thick">
        <color theme="4" tint="-0.249977111117893"/>
      </right>
      <top style="medium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43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" fontId="5" fillId="5" borderId="4" xfId="1" applyNumberFormat="1" applyFont="1" applyFill="1" applyBorder="1" applyAlignment="1">
      <alignment horizontal="right"/>
    </xf>
    <xf numFmtId="164" fontId="1" fillId="5" borderId="3" xfId="2" applyNumberFormat="1" applyFill="1" applyBorder="1"/>
    <xf numFmtId="14" fontId="1" fillId="5" borderId="1" xfId="2" applyNumberFormat="1" applyFill="1" applyBorder="1"/>
    <xf numFmtId="0" fontId="0" fillId="8" borderId="0" xfId="0" applyFill="1"/>
    <xf numFmtId="0" fontId="7" fillId="4" borderId="6" xfId="1" applyFont="1" applyFill="1" applyBorder="1" applyAlignment="1">
      <alignment horizontal="left"/>
    </xf>
    <xf numFmtId="166" fontId="0" fillId="0" borderId="0" xfId="3" applyNumberFormat="1" applyFont="1"/>
    <xf numFmtId="164" fontId="0" fillId="0" borderId="0" xfId="0" applyNumberFormat="1"/>
    <xf numFmtId="167" fontId="0" fillId="0" borderId="0" xfId="0" applyNumberFormat="1"/>
    <xf numFmtId="49" fontId="5" fillId="5" borderId="6" xfId="1" applyNumberFormat="1" applyFont="1" applyFill="1" applyBorder="1" applyAlignment="1">
      <alignment horizontal="right"/>
    </xf>
    <xf numFmtId="165" fontId="0" fillId="0" borderId="0" xfId="0" applyNumberFormat="1" applyFill="1"/>
    <xf numFmtId="165" fontId="0" fillId="0" borderId="0" xfId="0" applyNumberFormat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49" fontId="5" fillId="5" borderId="5" xfId="1" applyNumberFormat="1" applyFont="1" applyFill="1" applyBorder="1" applyAlignment="1">
      <alignment horizontal="right"/>
    </xf>
    <xf numFmtId="14" fontId="0" fillId="5" borderId="2" xfId="2" applyNumberFormat="1" applyFont="1" applyFill="1" applyBorder="1"/>
    <xf numFmtId="0" fontId="0" fillId="0" borderId="0" xfId="0" applyBorder="1"/>
    <xf numFmtId="0" fontId="0" fillId="0" borderId="0" xfId="0" applyNumberFormat="1" applyBorder="1"/>
    <xf numFmtId="167" fontId="0" fillId="0" borderId="0" xfId="0" applyNumberFormat="1" applyBorder="1"/>
    <xf numFmtId="49" fontId="0" fillId="0" borderId="0" xfId="0" applyNumberFormat="1" applyBorder="1"/>
    <xf numFmtId="49" fontId="0" fillId="0" borderId="0" xfId="0" applyNumberFormat="1"/>
    <xf numFmtId="14" fontId="5" fillId="5" borderId="6" xfId="1" applyNumberFormat="1" applyFont="1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49" fontId="1" fillId="5" borderId="8" xfId="2" applyNumberForma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 applyAlignment="1">
      <alignment horizontal="left"/>
    </xf>
    <xf numFmtId="49" fontId="0" fillId="5" borderId="7" xfId="2" applyNumberFormat="1" applyFont="1" applyFill="1" applyBorder="1" applyAlignment="1">
      <alignment horizontal="center"/>
    </xf>
    <xf numFmtId="49" fontId="0" fillId="5" borderId="1" xfId="2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>
      <alignment horizontal="right"/>
    </xf>
    <xf numFmtId="49" fontId="1" fillId="5" borderId="0" xfId="2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 applyBorder="1"/>
    <xf numFmtId="166" fontId="0" fillId="0" borderId="0" xfId="3" applyNumberFormat="1" applyFont="1" applyBorder="1"/>
    <xf numFmtId="164" fontId="0" fillId="0" borderId="17" xfId="0" applyNumberFormat="1" applyBorder="1"/>
    <xf numFmtId="164" fontId="0" fillId="0" borderId="18" xfId="0" applyNumberFormat="1" applyBorder="1"/>
    <xf numFmtId="165" fontId="0" fillId="0" borderId="18" xfId="0" applyNumberFormat="1" applyBorder="1"/>
    <xf numFmtId="165" fontId="0" fillId="0" borderId="17" xfId="0" applyNumberFormat="1" applyBorder="1"/>
    <xf numFmtId="167" fontId="0" fillId="0" borderId="17" xfId="0" applyNumberFormat="1" applyBorder="1"/>
    <xf numFmtId="167" fontId="0" fillId="0" borderId="19" xfId="0" applyNumberFormat="1" applyBorder="1"/>
    <xf numFmtId="0" fontId="0" fillId="8" borderId="0" xfId="0" applyFill="1" applyBorder="1"/>
    <xf numFmtId="0" fontId="14" fillId="0" borderId="0" xfId="5" applyNumberFormat="1" applyBorder="1"/>
    <xf numFmtId="0" fontId="6" fillId="6" borderId="20" xfId="1" applyFont="1" applyFill="1" applyBorder="1" applyAlignment="1">
      <alignment horizontal="right"/>
    </xf>
    <xf numFmtId="0" fontId="6" fillId="6" borderId="21" xfId="1" applyFont="1" applyFill="1" applyBorder="1" applyAlignment="1">
      <alignment horizontal="left"/>
    </xf>
    <xf numFmtId="0" fontId="2" fillId="11" borderId="14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168" fontId="0" fillId="0" borderId="0" xfId="0" applyNumberFormat="1"/>
    <xf numFmtId="0" fontId="0" fillId="0" borderId="18" xfId="0" applyNumberFormat="1" applyBorder="1"/>
    <xf numFmtId="49" fontId="0" fillId="0" borderId="18" xfId="0" applyNumberFormat="1" applyBorder="1"/>
    <xf numFmtId="167" fontId="0" fillId="0" borderId="18" xfId="0" applyNumberFormat="1" applyBorder="1"/>
    <xf numFmtId="167" fontId="0" fillId="0" borderId="28" xfId="0" applyNumberFormat="1" applyBorder="1"/>
    <xf numFmtId="167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32" xfId="0" applyBorder="1"/>
    <xf numFmtId="14" fontId="0" fillId="0" borderId="32" xfId="0" applyNumberFormat="1" applyBorder="1"/>
    <xf numFmtId="166" fontId="0" fillId="0" borderId="32" xfId="3" applyNumberFormat="1" applyFon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0" fontId="0" fillId="0" borderId="32" xfId="0" applyNumberFormat="1" applyBorder="1"/>
    <xf numFmtId="167" fontId="0" fillId="0" borderId="33" xfId="0" applyNumberFormat="1" applyBorder="1"/>
    <xf numFmtId="167" fontId="0" fillId="0" borderId="25" xfId="0" applyNumberFormat="1" applyBorder="1"/>
    <xf numFmtId="165" fontId="0" fillId="0" borderId="24" xfId="0" applyNumberFormat="1" applyBorder="1"/>
    <xf numFmtId="0" fontId="0" fillId="0" borderId="24" xfId="0" applyNumberFormat="1" applyBorder="1"/>
    <xf numFmtId="49" fontId="0" fillId="0" borderId="34" xfId="0" applyNumberFormat="1" applyBorder="1"/>
    <xf numFmtId="0" fontId="0" fillId="0" borderId="24" xfId="0" applyNumberFormat="1" applyFill="1" applyBorder="1"/>
    <xf numFmtId="165" fontId="0" fillId="0" borderId="24" xfId="0" applyNumberFormat="1" applyFill="1" applyBorder="1"/>
    <xf numFmtId="0" fontId="13" fillId="5" borderId="0" xfId="0" applyFont="1" applyFill="1" applyBorder="1" applyAlignment="1">
      <alignment horizontal="center" vertical="center"/>
    </xf>
    <xf numFmtId="167" fontId="5" fillId="0" borderId="17" xfId="4" applyNumberFormat="1" applyFont="1" applyBorder="1"/>
    <xf numFmtId="0" fontId="5" fillId="0" borderId="17" xfId="4" applyFont="1" applyBorder="1"/>
    <xf numFmtId="0" fontId="0" fillId="0" borderId="30" xfId="0" applyBorder="1"/>
    <xf numFmtId="166" fontId="0" fillId="0" borderId="31" xfId="3" applyNumberFormat="1" applyFont="1" applyBorder="1"/>
    <xf numFmtId="0" fontId="0" fillId="0" borderId="18" xfId="0" applyBorder="1"/>
    <xf numFmtId="166" fontId="0" fillId="0" borderId="17" xfId="3" applyNumberFormat="1" applyFont="1" applyBorder="1"/>
    <xf numFmtId="0" fontId="0" fillId="0" borderId="23" xfId="0" applyBorder="1"/>
    <xf numFmtId="0" fontId="5" fillId="0" borderId="18" xfId="4" applyNumberFormat="1" applyFont="1" applyBorder="1"/>
    <xf numFmtId="0" fontId="5" fillId="0" borderId="0" xfId="4" applyNumberFormat="1" applyFont="1" applyBorder="1"/>
    <xf numFmtId="167" fontId="0" fillId="0" borderId="35" xfId="0" applyNumberFormat="1" applyBorder="1"/>
    <xf numFmtId="165" fontId="0" fillId="0" borderId="36" xfId="0" applyNumberFormat="1" applyBorder="1"/>
    <xf numFmtId="49" fontId="0" fillId="0" borderId="17" xfId="0" applyNumberFormat="1" applyBorder="1"/>
    <xf numFmtId="0" fontId="5" fillId="0" borderId="0" xfId="4" applyNumberFormat="1" applyFont="1"/>
    <xf numFmtId="0" fontId="14" fillId="0" borderId="0" xfId="5" applyNumberFormat="1"/>
    <xf numFmtId="0" fontId="0" fillId="0" borderId="0" xfId="0" applyNumberFormat="1" applyFill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9" fontId="1" fillId="5" borderId="0" xfId="2" applyNumberFormat="1" applyFill="1" applyBorder="1" applyAlignment="1">
      <alignment horizontal="left"/>
    </xf>
    <xf numFmtId="49" fontId="5" fillId="5" borderId="5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0" fillId="0" borderId="41" xfId="0" applyBorder="1"/>
    <xf numFmtId="0" fontId="0" fillId="0" borderId="38" xfId="0" applyBorder="1"/>
    <xf numFmtId="0" fontId="0" fillId="0" borderId="41" xfId="0" applyBorder="1" applyProtection="1">
      <protection locked="0"/>
    </xf>
    <xf numFmtId="0" fontId="0" fillId="0" borderId="38" xfId="0" applyBorder="1" applyProtection="1">
      <protection locked="0"/>
    </xf>
    <xf numFmtId="0" fontId="0" fillId="0" borderId="8" xfId="0" applyBorder="1"/>
    <xf numFmtId="0" fontId="0" fillId="0" borderId="39" xfId="0" applyBorder="1"/>
    <xf numFmtId="0" fontId="0" fillId="0" borderId="8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42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11" fillId="12" borderId="43" xfId="0" applyFont="1" applyFill="1" applyBorder="1"/>
    <xf numFmtId="0" fontId="11" fillId="12" borderId="44" xfId="0" applyFont="1" applyFill="1" applyBorder="1"/>
    <xf numFmtId="0" fontId="11" fillId="12" borderId="45" xfId="0" applyFont="1" applyFill="1" applyBorder="1"/>
    <xf numFmtId="0" fontId="6" fillId="6" borderId="15" xfId="1" applyFont="1" applyFill="1" applyBorder="1" applyAlignment="1">
      <alignment horizontal="center"/>
    </xf>
    <xf numFmtId="0" fontId="6" fillId="6" borderId="13" xfId="1" applyFont="1" applyFill="1" applyBorder="1" applyAlignment="1">
      <alignment horizontal="center"/>
    </xf>
    <xf numFmtId="0" fontId="6" fillId="6" borderId="16" xfId="1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13" fillId="5" borderId="24" xfId="0" applyFont="1" applyFill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12" fillId="10" borderId="25" xfId="0" applyFont="1" applyFill="1" applyBorder="1" applyAlignment="1">
      <alignment horizontal="center" vertical="center"/>
    </xf>
    <xf numFmtId="14" fontId="18" fillId="5" borderId="2" xfId="2" applyNumberFormat="1" applyFont="1" applyFill="1" applyBorder="1" applyAlignment="1"/>
    <xf numFmtId="14" fontId="18" fillId="5" borderId="3" xfId="2" applyNumberFormat="1" applyFont="1" applyFill="1" applyBorder="1" applyAlignment="1"/>
    <xf numFmtId="14" fontId="18" fillId="5" borderId="1" xfId="2" applyNumberFormat="1" applyFont="1" applyFill="1" applyBorder="1" applyAlignment="1"/>
    <xf numFmtId="49" fontId="18" fillId="5" borderId="5" xfId="2" applyNumberFormat="1" applyFont="1" applyFill="1" applyBorder="1" applyAlignment="1"/>
    <xf numFmtId="49" fontId="18" fillId="8" borderId="37" xfId="0" applyNumberFormat="1" applyFont="1" applyFill="1" applyBorder="1" applyAlignment="1"/>
    <xf numFmtId="49" fontId="18" fillId="5" borderId="37" xfId="2" applyNumberFormat="1" applyFont="1" applyFill="1" applyBorder="1" applyAlignment="1"/>
    <xf numFmtId="49" fontId="18" fillId="5" borderId="1" xfId="2" applyNumberFormat="1" applyFont="1" applyFill="1" applyBorder="1" applyAlignment="1"/>
    <xf numFmtId="0" fontId="17" fillId="8" borderId="37" xfId="0" applyFont="1" applyFill="1" applyBorder="1" applyAlignment="1">
      <alignment horizontal="left"/>
    </xf>
    <xf numFmtId="49" fontId="17" fillId="5" borderId="37" xfId="2" applyNumberFormat="1" applyFont="1" applyFill="1" applyBorder="1" applyAlignment="1">
      <alignment horizontal="left"/>
    </xf>
    <xf numFmtId="49" fontId="18" fillId="5" borderId="5" xfId="2" quotePrefix="1" applyNumberFormat="1" applyFont="1" applyFill="1" applyBorder="1" applyAlignment="1"/>
  </cellXfs>
  <cellStyles count="6">
    <cellStyle name="20% - Accent4" xfId="1" builtinId="42"/>
    <cellStyle name="20% - Accent5" xfId="2" builtinId="46"/>
    <cellStyle name="Currency" xfId="3" builtinId="4"/>
    <cellStyle name="Heading 4" xfId="5" builtinId="19"/>
    <cellStyle name="Hyperlink" xfId="4" builtinId="8"/>
    <cellStyle name="Normal" xfId="0" builtinId="0"/>
  </cellStyles>
  <dxfs count="142"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8" formatCode="[$-409]m/d/yy\ h:mm\ AM/PM;@"/>
    </dxf>
    <dxf>
      <font>
        <color theme="2" tint="-9.9948118533890809E-2"/>
      </font>
    </dxf>
    <dxf>
      <font>
        <color theme="2" tint="-9.9948118533890809E-2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ont>
        <color theme="2" tint="-9.9948118533890809E-2"/>
      </font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\ hh:mm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</dxf>
    <dxf>
      <numFmt numFmtId="167" formatCode="mm/dd/yy\ hh:mm"/>
    </dxf>
    <dxf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4" tint="-0.499984740745262"/>
        </top>
      </border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DDD023"/>
      <color rgb="FFFF6600"/>
      <color rgb="FFFF9933"/>
      <color rgb="FFFF9966"/>
      <color rgb="FFFFFF99"/>
      <color rgb="FF9999FF"/>
      <color rgb="FFFF7C80"/>
      <color rgb="FFFFCC00"/>
      <color rgb="FFFFE593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[psaTracker.xlsm]splits18!PivotTable9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splits18!$G$5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D-4412-951F-B7DE7EB14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D-4412-951F-B7DE7EB14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D-4412-951F-B7DE7EB14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D-4412-951F-B7DE7EB14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D-4412-951F-B7DE7EB148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D-4412-951F-B7DE7EB148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D-4412-951F-B7DE7EB148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3E2-4EAC-89C8-9AB50BF109B3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splits18!$F$6:$F$18</c:f>
              <c:multiLvlStrCache>
                <c:ptCount val="8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RNEW</c:v>
                  </c:pt>
                  <c:pt idx="5">
                    <c:v>ABR</c:v>
                  </c:pt>
                  <c:pt idx="6">
                    <c:v>INCR</c:v>
                  </c:pt>
                  <c:pt idx="7">
                    <c:v>NEW</c:v>
                  </c:pt>
                </c:lvl>
                <c:lvl>
                  <c:pt idx="0">
                    <c:v>AWD</c:v>
                  </c:pt>
                  <c:pt idx="7">
                    <c:v>DSCR</c:v>
                  </c:pt>
                </c:lvl>
              </c:multiLvlStrCache>
            </c:multiLvlStrRef>
          </c:cat>
          <c:val>
            <c:numRef>
              <c:f>splits18!$G$6:$G$18</c:f>
              <c:numCache>
                <c:formatCode>"$"#,##0.00</c:formatCode>
                <c:ptCount val="8"/>
                <c:pt idx="0">
                  <c:v>11873702</c:v>
                </c:pt>
                <c:pt idx="1">
                  <c:v>60000</c:v>
                </c:pt>
                <c:pt idx="2">
                  <c:v>1421878</c:v>
                </c:pt>
                <c:pt idx="3">
                  <c:v>3417386</c:v>
                </c:pt>
                <c:pt idx="4">
                  <c:v>3351970</c:v>
                </c:pt>
                <c:pt idx="5">
                  <c:v>464600</c:v>
                </c:pt>
                <c:pt idx="6">
                  <c:v>225680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D-4412-951F-B7DE7EB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[psaTracker.xlsm]RecentActivity!PivotTable9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RecentActivity!$G$5:$G$6</c:f>
              <c:strCache>
                <c:ptCount val="1"/>
                <c:pt idx="0">
                  <c:v>2011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D8F-4AF9-BE5B-70F7A31942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D8F-4AF9-BE5B-70F7A31942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D8F-4AF9-BE5B-70F7A31942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D8F-4AF9-BE5B-70F7A31942C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D8F-4AF9-BE5B-70F7A31942C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D8F-4AF9-BE5B-70F7A31942C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D8F-4AF9-BE5B-70F7A31942C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694-4421-825C-1B19FBC1A3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694-4421-825C-1B19FBC1A3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694-4421-825C-1B19FBC1A3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692-40CA-89B3-F81FBAAEEE0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692-40CA-89B3-F81FBAAEEE0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692-40CA-89B3-F81FBAAEEE0D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1692-40CA-89B3-F81FBAAEEE0D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1692-40CA-89B3-F81FBAAEEE0D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1692-40CA-89B3-F81FBAAEEE0D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1692-40CA-89B3-F81FBAAEEE0D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1692-40CA-89B3-F81FBAAEEE0D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1692-40CA-89B3-F81FBAAEEE0D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1692-40CA-89B3-F81FBAAEEE0D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1692-40CA-89B3-F81FBAAEEE0D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1692-40CA-89B3-F81FBAAEEE0D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1692-40CA-89B3-F81FBAAEEE0D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RecentActivity!$G$7:$G$20</c:f>
              <c:numCache>
                <c:formatCode>"$"#,##0.00</c:formatCode>
                <c:ptCount val="7"/>
                <c:pt idx="1">
                  <c:v>808504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8F-4AF9-BE5B-70F7A31942C3}"/>
            </c:ext>
          </c:extLst>
        </c:ser>
        <c:ser>
          <c:idx val="1"/>
          <c:order val="1"/>
          <c:tx>
            <c:strRef>
              <c:f>RecentActivity!$H$5:$H$6</c:f>
              <c:strCache>
                <c:ptCount val="1"/>
                <c:pt idx="0">
                  <c:v>2012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RecentActivity!$H$7:$H$20</c:f>
              <c:numCache>
                <c:formatCode>"$"#,##0.00</c:formatCode>
                <c:ptCount val="7"/>
                <c:pt idx="1">
                  <c:v>1540844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692-40CA-89B3-F81FBAAEEE0D}"/>
            </c:ext>
          </c:extLst>
        </c:ser>
        <c:ser>
          <c:idx val="2"/>
          <c:order val="2"/>
          <c:tx>
            <c:strRef>
              <c:f>RecentActivity!$I$5:$I$6</c:f>
              <c:strCache>
                <c:ptCount val="1"/>
                <c:pt idx="0">
                  <c:v>2013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RecentActivity!$I$7:$I$20</c:f>
              <c:numCache>
                <c:formatCode>"$"#,##0.00</c:formatCode>
                <c:ptCount val="7"/>
                <c:pt idx="1">
                  <c:v>618127</c:v>
                </c:pt>
                <c:pt idx="2">
                  <c:v>408167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1692-40CA-89B3-F81FBAAEEE0D}"/>
            </c:ext>
          </c:extLst>
        </c:ser>
        <c:ser>
          <c:idx val="3"/>
          <c:order val="3"/>
          <c:tx>
            <c:strRef>
              <c:f>RecentActivity!$J$5:$J$6</c:f>
              <c:strCache>
                <c:ptCount val="1"/>
                <c:pt idx="0">
                  <c:v>2014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RecentActivity!$J$7:$J$20</c:f>
              <c:numCache>
                <c:formatCode>"$"#,##0.00</c:formatCode>
                <c:ptCount val="7"/>
                <c:pt idx="0">
                  <c:v>23305252</c:v>
                </c:pt>
                <c:pt idx="1">
                  <c:v>589050</c:v>
                </c:pt>
                <c:pt idx="3">
                  <c:v>292054</c:v>
                </c:pt>
                <c:pt idx="4">
                  <c:v>417034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1692-40CA-89B3-F81FBAAEEE0D}"/>
            </c:ext>
          </c:extLst>
        </c:ser>
        <c:ser>
          <c:idx val="4"/>
          <c:order val="4"/>
          <c:tx>
            <c:strRef>
              <c:f>RecentActivity!$K$5:$K$6</c:f>
              <c:strCache>
                <c:ptCount val="1"/>
                <c:pt idx="0">
                  <c:v>2015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RecentActivity!$K$7:$K$20</c:f>
              <c:numCache>
                <c:formatCode>"$"#,##0.00</c:formatCode>
                <c:ptCount val="7"/>
                <c:pt idx="0">
                  <c:v>22960698</c:v>
                </c:pt>
                <c:pt idx="1">
                  <c:v>2025126</c:v>
                </c:pt>
                <c:pt idx="2">
                  <c:v>659930</c:v>
                </c:pt>
                <c:pt idx="3">
                  <c:v>191175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1692-40CA-89B3-F81FBAAEEE0D}"/>
            </c:ext>
          </c:extLst>
        </c:ser>
        <c:ser>
          <c:idx val="5"/>
          <c:order val="5"/>
          <c:tx>
            <c:strRef>
              <c:f>RecentActivity!$L$5:$L$6</c:f>
              <c:strCache>
                <c:ptCount val="1"/>
                <c:pt idx="0">
                  <c:v>2016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RecentActivity!$L$7:$L$20</c:f>
              <c:numCache>
                <c:formatCode>"$"#,##0.00</c:formatCode>
                <c:ptCount val="7"/>
                <c:pt idx="0">
                  <c:v>25322290</c:v>
                </c:pt>
                <c:pt idx="1">
                  <c:v>591431</c:v>
                </c:pt>
                <c:pt idx="2">
                  <c:v>240492</c:v>
                </c:pt>
                <c:pt idx="3">
                  <c:v>272776</c:v>
                </c:pt>
                <c:pt idx="6">
                  <c:v>317896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692-40CA-89B3-F81FBAAEEE0D}"/>
            </c:ext>
          </c:extLst>
        </c:ser>
        <c:ser>
          <c:idx val="6"/>
          <c:order val="6"/>
          <c:tx>
            <c:strRef>
              <c:f>RecentActivity!$M$5:$M$6</c:f>
              <c:strCache>
                <c:ptCount val="1"/>
                <c:pt idx="0">
                  <c:v>2017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RecentActivity!$M$7:$M$20</c:f>
              <c:numCache>
                <c:formatCode>"$"#,##0.00</c:formatCode>
                <c:ptCount val="7"/>
                <c:pt idx="0">
                  <c:v>24480355</c:v>
                </c:pt>
                <c:pt idx="1">
                  <c:v>484470</c:v>
                </c:pt>
                <c:pt idx="3">
                  <c:v>307680</c:v>
                </c:pt>
                <c:pt idx="5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692-40CA-89B3-F81FBAAEEE0D}"/>
            </c:ext>
          </c:extLst>
        </c:ser>
        <c:ser>
          <c:idx val="7"/>
          <c:order val="7"/>
          <c:tx>
            <c:strRef>
              <c:f>RecentActivity!$N$5:$N$6</c:f>
              <c:strCache>
                <c:ptCount val="1"/>
                <c:pt idx="0">
                  <c:v>2018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RecentActivity!$N$7:$N$20</c:f>
              <c:numCache>
                <c:formatCode>"$"#,##0.00</c:formatCode>
                <c:ptCount val="7"/>
                <c:pt idx="0">
                  <c:v>6383776</c:v>
                </c:pt>
                <c:pt idx="1">
                  <c:v>362999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692-40CA-89B3-F81FBAAEEE0D}"/>
            </c:ext>
          </c:extLst>
        </c:ser>
        <c:ser>
          <c:idx val="8"/>
          <c:order val="8"/>
          <c:tx>
            <c:strRef>
              <c:f>RecentActivity!$O$5:$O$6</c:f>
              <c:strCache>
                <c:ptCount val="1"/>
                <c:pt idx="0">
                  <c:v>2019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RecentActivity!$O$7:$O$20</c:f>
              <c:numCache>
                <c:formatCode>"$"#,##0.00</c:formatCode>
                <c:ptCount val="7"/>
                <c:pt idx="0">
                  <c:v>3942245</c:v>
                </c:pt>
                <c:pt idx="1">
                  <c:v>193907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692-40CA-89B3-F81FBAAEEE0D}"/>
            </c:ext>
          </c:extLst>
        </c:ser>
        <c:ser>
          <c:idx val="9"/>
          <c:order val="9"/>
          <c:tx>
            <c:strRef>
              <c:f>RecentActivity!$P$5:$P$6</c:f>
              <c:strCache>
                <c:ptCount val="1"/>
                <c:pt idx="0">
                  <c:v>2020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RecentActivity!$P$7:$P$20</c:f>
              <c:numCache>
                <c:formatCode>"$"#,##0.00</c:formatCode>
                <c:ptCount val="7"/>
                <c:pt idx="0">
                  <c:v>2886955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1692-40CA-89B3-F81FBAAEEE0D}"/>
            </c:ext>
          </c:extLst>
        </c:ser>
        <c:ser>
          <c:idx val="10"/>
          <c:order val="10"/>
          <c:tx>
            <c:strRef>
              <c:f>RecentActivity!$Q$5:$Q$6</c:f>
              <c:strCache>
                <c:ptCount val="1"/>
                <c:pt idx="0">
                  <c:v>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1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3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5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7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9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RecentActivity!$Q$7:$Q$20</c:f>
              <c:numCache>
                <c:formatCode>"$"#,##0.00</c:formatCode>
                <c:ptCount val="7"/>
                <c:pt idx="0">
                  <c:v>742569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1692-40CA-89B3-F81FBAAE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1039586</xdr:colOff>
          <xdr:row>21</xdr:row>
          <xdr:rowOff>65313</xdr:rowOff>
        </xdr:from>
        <xdr:to>
          <xdr:col>2</xdr:col>
          <xdr:colOff>925286</xdr:colOff>
          <xdr:row>22</xdr:row>
          <xdr:rowOff>163285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0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92529</xdr:colOff>
          <xdr:row>21</xdr:row>
          <xdr:rowOff>48983</xdr:rowOff>
        </xdr:from>
        <xdr:to>
          <xdr:col>0</xdr:col>
          <xdr:colOff>979715</xdr:colOff>
          <xdr:row>22</xdr:row>
          <xdr:rowOff>146955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0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1055914</xdr:colOff>
          <xdr:row>21</xdr:row>
          <xdr:rowOff>43543</xdr:rowOff>
        </xdr:from>
        <xdr:to>
          <xdr:col>1</xdr:col>
          <xdr:colOff>631370</xdr:colOff>
          <xdr:row>22</xdr:row>
          <xdr:rowOff>141514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63694ABB-B9FB-4C75-B18C-C919CCF10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Clone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160020</xdr:colOff>
      <xdr:row>3</xdr:row>
      <xdr:rowOff>60959</xdr:rowOff>
    </xdr:from>
    <xdr:to>
      <xdr:col>22</xdr:col>
      <xdr:colOff>504825</xdr:colOff>
      <xdr:row>19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478971</xdr:colOff>
          <xdr:row>38</xdr:row>
          <xdr:rowOff>125186</xdr:rowOff>
        </xdr:from>
        <xdr:to>
          <xdr:col>1</xdr:col>
          <xdr:colOff>364671</xdr:colOff>
          <xdr:row>40</xdr:row>
          <xdr:rowOff>136071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 Timestamp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364671</xdr:colOff>
          <xdr:row>34</xdr:row>
          <xdr:rowOff>163286</xdr:rowOff>
        </xdr:from>
        <xdr:to>
          <xdr:col>1</xdr:col>
          <xdr:colOff>1442357</xdr:colOff>
          <xdr:row>36</xdr:row>
          <xdr:rowOff>65314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992.404954398145" createdVersion="6" refreshedVersion="6" minRefreshableVersion="3" recordCount="619">
  <cacheSource type="worksheet">
    <worksheetSource name="SplitQueryTableRecent"/>
  </cacheSource>
  <cacheFields count="39">
    <cacheField name="run_date" numFmtId="167">
      <sharedItems containsSemiMixedTypes="0" containsNonDate="0" containsDate="1" containsString="0" minDate="2017-09-14T09:43:06" maxDate="2017-09-14T09:43:06"/>
    </cacheField>
    <cacheField name="nsf_rcvd_date" numFmtId="164">
      <sharedItems containsSemiMixedTypes="0" containsNonDate="0" containsDate="1" containsString="0" minDate="2012-10-08T16:44:00" maxDate="2017-09-01T00:00:00"/>
    </cacheField>
    <cacheField name="dd_rcom_date" numFmtId="164">
      <sharedItems containsSemiMixedTypes="0" containsNonDate="0" containsDate="1" containsString="0" minDate="1899-12-31T00:00:00" maxDate="2017-07-24T10:52:13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ntainsBlank="1" count="9">
        <s v="NEW"/>
        <s v="SUPP"/>
        <s v="TRSF"/>
        <s v="CREX"/>
        <s v="FRWD"/>
        <m u="1"/>
        <s v="ABR" u="1"/>
        <s v="INCR" u="1"/>
        <s v="RNEW" u="1"/>
      </sharedItems>
    </cacheField>
    <cacheField name="prop_stts_abbr" numFmtId="165">
      <sharedItems containsBlank="1" count="6">
        <s v="AWD"/>
        <s v="PEND"/>
        <s v="RCOM"/>
        <m u="1"/>
        <s v="WTH" u="1"/>
        <s v="DECL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167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1" maxValue="2021" count="11">
        <n v="2016"/>
        <n v="2014"/>
        <n v="2015"/>
        <n v="2017"/>
        <n v="2012"/>
        <n v="2018"/>
        <n v="2019"/>
        <n v="2020"/>
        <n v="2021"/>
        <n v="2011"/>
        <n v="2013"/>
      </sharedItems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08970"/>
    </cacheField>
    <cacheField name="rqst_dol" numFmtId="165">
      <sharedItems containsSemiMixedTypes="0" containsString="0" containsNumber="1" containsInteger="1" minValue="0" maxValue="120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2-12-20T13:57:30" maxDate="2017-09-12T09:12:41"/>
    </cacheField>
    <cacheField name="0" numFmtId="0">
      <sharedItems containsSemiMixedTypes="0" containsString="0" containsNumber="1" containsInteger="1" minValue="1" maxValue="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3005.589052199073" createdVersion="6" refreshedVersion="6" minRefreshableVersion="3" recordCount="318">
  <cacheSource type="worksheet">
    <worksheetSource name="SplitQueryTable"/>
  </cacheSource>
  <cacheFields count="39">
    <cacheField name="run_date" numFmtId="167">
      <sharedItems containsSemiMixedTypes="0" containsNonDate="0" containsDate="1" containsString="0" minDate="2017-09-27T14:08:11" maxDate="2017-09-27T14:08:11"/>
    </cacheField>
    <cacheField name="nsf_rcvd_date" numFmtId="164">
      <sharedItems containsSemiMixedTypes="0" containsNonDate="0" containsDate="1" containsString="0" minDate="2011-09-26T16:31:00" maxDate="2017-09-20T09:13:49"/>
    </cacheField>
    <cacheField name="dd_rcom_date" numFmtId="164">
      <sharedItems containsSemiMixedTypes="0" containsNonDate="0" containsDate="1" containsString="0" minDate="1899-12-31T00:00:00" maxDate="2017-09-21T11:38:27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7">
        <s v="NEW"/>
        <s v="RNEW"/>
        <s v="SUPP"/>
        <s v="ABR"/>
        <s v="TRSF"/>
        <s v="FRWD"/>
        <s v="INCR"/>
      </sharedItems>
    </cacheField>
    <cacheField name="prop_stts_abbr" numFmtId="0">
      <sharedItems count="4">
        <s v="AWD"/>
        <s v="DSCR"/>
        <s v="RCOM" u="1"/>
        <s v="PEND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7" maxValue="2017"/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29307"/>
    </cacheField>
    <cacheField name="rqst_dol" numFmtId="165">
      <sharedItems containsSemiMixedTypes="0" containsString="0" containsNumber="1" containsInteger="1" minValue="0" maxValue="9162441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3-03-07T08:03:29" maxDate="2017-09-21T11:56:00"/>
    </cacheField>
    <cacheField name="0" numFmtId="0">
      <sharedItems containsSemiMixedTypes="0" containsString="0" containsNumber="1" containsInteger="1" minValue="1" maxValue="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">
  <r>
    <d v="2017-09-14T09:43:06"/>
    <d v="2015-11-18T08:57:00"/>
    <d v="2016-05-19T09:43:29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10"/>
    <s v="I"/>
    <s v="eJ"/>
    <s v="1617610"/>
    <s v="1617610"/>
    <x v="0"/>
    <s v="01"/>
    <n v="418527"/>
    <n v="418527"/>
    <s v="Tugnait"/>
    <s v="Jitendra"/>
    <s v="Auburn University"/>
    <s v="7923 7936 9150"/>
    <s v="7923 7936 9150"/>
    <s v="Standard Grant"/>
    <s v="Proposal Awarded"/>
    <m/>
    <s v="CIF: Small: Complex-Valued Statistical Signal Processing with Dependent Data"/>
    <s v="LFUQUA"/>
    <d v="2016-06-28T06:22:09"/>
    <n v="1"/>
  </r>
  <r>
    <d v="2017-09-14T09:43:06"/>
    <d v="2015-11-18T16:20:00"/>
    <d v="2016-06-16T08:35:1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08"/>
    <s v="I"/>
    <s v="eJ"/>
    <s v="1618908"/>
    <s v="1618908"/>
    <x v="0"/>
    <s v="01"/>
    <n v="497154"/>
    <n v="497154"/>
    <s v="Webb"/>
    <s v="Kevin"/>
    <s v="Purdue University"/>
    <s v="7923 7936"/>
    <s v="7923 7936"/>
    <s v="Standard Grant"/>
    <s v="Proposal Awarded"/>
    <m/>
    <s v="CIF - Small: High Resolution Computational Imaging with Motion in Spatially Varying Fields"/>
    <s v="LFUQUA"/>
    <d v="2016-07-08T09:48:29"/>
    <n v="2"/>
  </r>
  <r>
    <d v="2017-09-14T09:43:06"/>
    <d v="2014-01-10T16:43:00"/>
    <d v="2014-06-24T08:57:5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N"/>
    <s v="eJ"/>
    <s v="1420651"/>
    <s v="1420651"/>
    <x v="1"/>
    <s v="01"/>
    <n v="250000"/>
    <n v="250000"/>
    <s v="Ephremides"/>
    <s v="Anthony"/>
    <s v="U of MD College Park"/>
    <s v="7923 7935"/>
    <s v="7923 7935"/>
    <s v="Standard Grant"/>
    <s v="Proposal Awarded"/>
    <m/>
    <s v="CIF:Small: Collaborative Research:Theoretical Foundation of Distributed Wireless Channel Access"/>
    <s v="JROBEY"/>
    <d v="2014-07-25T09:29:17"/>
    <n v="3"/>
  </r>
  <r>
    <d v="2017-09-14T09:43:06"/>
    <d v="2015-01-12T10:28:00"/>
    <d v="2015-07-15T13:55:3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312"/>
    <s v="I"/>
    <s v="eJ"/>
    <s v="1524312"/>
    <s v="1524312"/>
    <x v="2"/>
    <s v="01"/>
    <n v="499594"/>
    <n v="496844"/>
    <s v="Szpankowski"/>
    <s v="Wojciech"/>
    <s v="Purdue University"/>
    <s v="7923 7935"/>
    <s v="7923 7935"/>
    <s v="Standard Grant"/>
    <s v="Proposal Awarded"/>
    <m/>
    <s v="CIF: Small: Towards Structural Information"/>
    <s v="LFUQUA"/>
    <d v="2015-08-18T08:44:07"/>
    <n v="4"/>
  </r>
  <r>
    <d v="2017-09-14T09:43:06"/>
    <d v="2014-01-10T15:50:00"/>
    <d v="2014-06-10T12:14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L"/>
    <s v="eJ"/>
    <s v="1420575"/>
    <s v="1420575"/>
    <x v="1"/>
    <s v="01"/>
    <n v="250000"/>
    <n v="250000"/>
    <s v="Poor"/>
    <s v="Harold Vincent"/>
    <s v="Princeton University"/>
    <s v="7923 7936"/>
    <s v="7923 7936"/>
    <s v="Standard Grant"/>
    <s v="Proposal Awarded"/>
    <m/>
    <s v="CIF:Small:Collaborative Research: Towards universal signal recovery algorithms"/>
    <s v="LFUQUA"/>
    <d v="2014-06-19T08:59:48"/>
    <n v="5"/>
  </r>
  <r>
    <d v="2017-09-14T09:43:06"/>
    <d v="2016-11-16T13:17:00"/>
    <d v="2017-06-19T17:04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78"/>
    <s v="I"/>
    <s v="eJ"/>
    <s v="1717578"/>
    <s v="1717578"/>
    <x v="3"/>
    <s v="01"/>
    <n v="450000"/>
    <n v="500000"/>
    <s v="Arce"/>
    <s v="Gonzalo"/>
    <s v="University of Delaware"/>
    <s v="7923 7936 9150"/>
    <s v="7923 7935 9150"/>
    <s v="Standard Grant"/>
    <s v="Proposal Awarded"/>
    <m/>
    <s v="CIF:Small:Coded Aperture Spectral X-Ray Tomography"/>
    <s v="ISATTLE"/>
    <d v="2017-06-26T14:32:39"/>
    <n v="6"/>
  </r>
  <r>
    <d v="2017-09-14T09:43:06"/>
    <d v="2015-01-14T15:59:00"/>
    <d v="2015-07-09T10:02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354"/>
    <s v="I"/>
    <s v="eJ"/>
    <s v="1527354"/>
    <s v="1527354"/>
    <x v="2"/>
    <s v="01"/>
    <n v="499998"/>
    <n v="499998"/>
    <s v="Narayan"/>
    <s v="Prakash"/>
    <s v="U of MD College Park"/>
    <s v="7923 7935"/>
    <s v="7923 7935"/>
    <s v="Standard Grant"/>
    <s v="Proposal Awarded"/>
    <m/>
    <s v="CIF: Small: Secure and Private Function Computation by Interactive Communication"/>
    <s v="LFUQUA"/>
    <d v="2015-08-07T13:55:28"/>
    <n v="7"/>
  </r>
  <r>
    <d v="2017-09-14T09:43:06"/>
    <d v="2016-11-04T18:23:00"/>
    <d v="2017-06-19T16:50:5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788"/>
    <s v="I"/>
    <s v="eJ"/>
    <s v="1712788"/>
    <s v="1712788"/>
    <x v="3"/>
    <s v="01"/>
    <n v="449993"/>
    <n v="499122"/>
    <s v="Scharf"/>
    <s v="Louis"/>
    <s v="Colorado State University"/>
    <s v="7923 7935 7936"/>
    <s v="7923 7935 7936"/>
    <s v="Standard Grant"/>
    <s v="Proposal Awarded"/>
    <m/>
    <s v="CCF-BSF:CIF:Small:Signal Processing and Machine Learning on Manifolds, with Applications to Invariant Detection and Covariant Estimation"/>
    <s v="ISATTLE"/>
    <d v="2017-06-28T13:07:11"/>
    <n v="8"/>
  </r>
  <r>
    <d v="2017-09-14T09:43:06"/>
    <d v="2016-11-03T19:09:00"/>
    <d v="2017-06-19T16:35:5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633"/>
    <s v="I"/>
    <s v="eJ"/>
    <s v="1712633"/>
    <s v="1712633"/>
    <x v="3"/>
    <s v="01"/>
    <n v="450000"/>
    <n v="500000"/>
    <s v="Vaidyanathan"/>
    <s v="P."/>
    <s v="California Inst of Tech"/>
    <s v="7923 7936"/>
    <s v="7923 7936"/>
    <s v="Standard Grant"/>
    <s v="Proposal Awarded"/>
    <m/>
    <s v="CIF:Small: Ramanujan-sums in signal representation"/>
    <s v="ISATTLE"/>
    <d v="2017-06-28T13:50:28"/>
    <n v="9"/>
  </r>
  <r>
    <d v="2017-09-14T09:43:06"/>
    <d v="2014-01-14T12:30:00"/>
    <d v="2014-06-20T12:47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N"/>
    <s v="eJ"/>
    <s v="1421848"/>
    <s v="1421848"/>
    <x v="1"/>
    <s v="01"/>
    <n v="162699"/>
    <n v="162699"/>
    <s v="Kumar"/>
    <s v="P. Vijay"/>
    <s v="U of Southern California"/>
    <s v="7923 7935"/>
    <s v="7923 7935"/>
    <s v="Standard Grant"/>
    <s v="Proposal Awarded"/>
    <m/>
    <s v="CIF:Small:Collaborative Research:Efficient Codes and their Performance Limits for Distributed Storage Systems"/>
    <s v="JROBEY"/>
    <d v="2014-07-22T08:41:32"/>
    <n v="10"/>
  </r>
  <r>
    <d v="2017-09-14T09:43:06"/>
    <d v="2016-08-03T15:28:00"/>
    <d v="2016-08-04T16:47:06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56201"/>
    <s v="I"/>
    <s v="eJ"/>
    <s v="1656201"/>
    <s v="1656201"/>
    <x v="0"/>
    <s v="01"/>
    <n v="200772"/>
    <n v="200772"/>
    <s v="Goutsias"/>
    <s v="John"/>
    <s v="Johns Hopkins University"/>
    <s v="7916"/>
    <s v="7916"/>
    <s v="Standard Grant"/>
    <s v="Proposal Awarded"/>
    <m/>
    <s v="EAGER: Towards Understanding the Information-Theoretic Nature of the Human Epigenome"/>
    <s v="LFUQUA"/>
    <d v="2016-09-07T11:37:27"/>
    <n v="11"/>
  </r>
  <r>
    <d v="2017-09-14T09:43:06"/>
    <d v="2015-11-18T13:17:00"/>
    <d v="2016-05-17T14:13:5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145"/>
    <s v="I"/>
    <s v="eJ"/>
    <s v="1618145"/>
    <s v="1618145"/>
    <x v="0"/>
    <s v="01"/>
    <n v="500000"/>
    <n v="500000"/>
    <s v="Anantharam"/>
    <s v="Venkatachalam"/>
    <s v="U of Cal Berkeley"/>
    <s v="7923 7935"/>
    <s v="7923 7935"/>
    <s v="Standard Grant"/>
    <s v="Proposal Awarded"/>
    <m/>
    <s v="CIF: Small: Ensuring robustness of communication between networked energy harvesting nodes"/>
    <s v="LFUQUA"/>
    <d v="2016-06-10T11:48:59"/>
    <n v="12"/>
  </r>
  <r>
    <d v="2017-09-14T09:43:06"/>
    <d v="2014-01-14T17:10:00"/>
    <d v="2014-06-25T16:38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L"/>
    <s v="eJ"/>
    <s v="1423316"/>
    <s v="1423316"/>
    <x v="1"/>
    <s v="01"/>
    <n v="254786"/>
    <n v="254786"/>
    <s v="Giannakis"/>
    <s v="Georgios"/>
    <s v="U of Minnesota-Twin Cities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6"/>
    <n v="13"/>
  </r>
  <r>
    <d v="2017-09-14T09:43:06"/>
    <d v="2014-11-10T14:39:00"/>
    <d v="2015-07-28T16:11:4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14056"/>
    <s v="L"/>
    <s v="eJ"/>
    <s v="1514056"/>
    <s v="1514056"/>
    <x v="2"/>
    <s v="01"/>
    <n v="164889"/>
    <n v="696766"/>
    <s v="Giannakis"/>
    <s v="Georgios"/>
    <s v="U of Minnesota-Twin Cities"/>
    <s v="7924 7936"/>
    <s v="7924 7936"/>
    <s v="Standard Grant"/>
    <s v="Proposal Awarded"/>
    <m/>
    <s v="CIF: Collaborative Research: Parallel Online Algorithms for Large-Scale MRI"/>
    <s v="LFUQUA"/>
    <d v="2015-09-03T07:46:42"/>
    <n v="14"/>
  </r>
  <r>
    <d v="2017-09-14T09:43:06"/>
    <d v="2014-01-14T17:34:00"/>
    <d v="2014-07-14T13:23:43"/>
    <s v="05010000"/>
    <s v="05010000"/>
    <s v="7946 - BIO COMPUTING"/>
    <s v="7797 - COMM &amp; INFORMATION FOUNDATIONS"/>
    <s v="MBASU"/>
    <s v="MBASU"/>
    <s v="4110"/>
    <s v="4110"/>
    <s v="NSF 13-579"/>
    <x v="0"/>
    <x v="0"/>
    <s v="AWD"/>
    <s v="STND"/>
    <s v="STND"/>
    <s v="CCF"/>
    <s v="1423407"/>
    <s v="I"/>
    <s v="eJ"/>
    <s v="1423407"/>
    <s v="1423407"/>
    <x v="1"/>
    <s v="01"/>
    <n v="300000"/>
    <n v="489727"/>
    <s v="Parhi"/>
    <s v="Keshab"/>
    <s v="U of Minnesota-Twin Cities"/>
    <s v="7923 7931 7936"/>
    <s v="7923 7931 7936 7946"/>
    <s v="Standard Grant"/>
    <s v="Proposal Awarded"/>
    <m/>
    <s v="SHF: Small: Advanced Digital Signal Processing with DNA"/>
    <s v="LFUQUA"/>
    <d v="2014-07-24T10:14:14"/>
    <n v="15"/>
  </r>
  <r>
    <d v="2017-09-14T09:43:06"/>
    <d v="2015-11-17T15:54:00"/>
    <d v="2016-07-06T15:28:05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365"/>
    <s v="I"/>
    <s v="eJ"/>
    <s v="1617365"/>
    <s v="1617365"/>
    <x v="0"/>
    <s v="01"/>
    <n v="300000"/>
    <n v="500000"/>
    <s v="Rao"/>
    <s v="Bhaskar"/>
    <s v="U of Cal San Diego"/>
    <s v="7923"/>
    <s v="7923"/>
    <s v="Standard Grant"/>
    <s v="Proposal Awarded"/>
    <m/>
    <s v="CIF: SMALL: MASSIVE MIMO SYSTEMS: Novel Channel Modeling and Estimation Methods"/>
    <s v="LFUQUA"/>
    <d v="2016-07-28T10:45:05"/>
    <n v="16"/>
  </r>
  <r>
    <d v="2017-09-14T09:43:06"/>
    <d v="2014-01-14T19:49:00"/>
    <d v="2014-06-24T08:49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57"/>
    <s v="I"/>
    <s v="eJ"/>
    <s v="1423657"/>
    <s v="1423657"/>
    <x v="1"/>
    <s v="01"/>
    <n v="500000"/>
    <n v="500000"/>
    <s v="Varanasi"/>
    <s v="Mahesh"/>
    <s v="U of Colorado Boulder"/>
    <s v="7923 7935"/>
    <s v="7923 7935"/>
    <s v="Standard Grant"/>
    <s v="Proposal Awarded"/>
    <m/>
    <s v="CIF: Small: Foundations of Wireless Interfering Cellular Networks With and Without Cooperation"/>
    <s v="LFUQUA"/>
    <d v="2014-07-10T15:37:12"/>
    <n v="17"/>
  </r>
  <r>
    <d v="2017-09-14T09:43:06"/>
    <d v="2014-01-14T16:17:00"/>
    <d v="2014-06-30T16:27:20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14"/>
    <s v="I"/>
    <s v="eJ"/>
    <s v="1422914"/>
    <s v="1422914"/>
    <x v="1"/>
    <s v="01"/>
    <n v="494663"/>
    <n v="500000"/>
    <s v="Wang"/>
    <s v="Yao"/>
    <s v="New York University"/>
    <s v="7923 7936"/>
    <s v="7923 7936"/>
    <s v="Standard Grant"/>
    <s v="Proposal Awarded"/>
    <m/>
    <s v="CIF:Small: High Resolution EEG Signal Analysis for Seizure Detection and Treatment"/>
    <s v="LFUQUA"/>
    <d v="2014-07-16T08:09:02"/>
    <n v="18"/>
  </r>
  <r>
    <d v="2017-09-14T09:43:06"/>
    <d v="2015-11-18T16:34:00"/>
    <d v="2016-05-18T10:44:0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99"/>
    <s v="I"/>
    <s v="eJ"/>
    <s v="1618999"/>
    <s v="1618999"/>
    <x v="0"/>
    <s v="01"/>
    <n v="465439"/>
    <n v="465439"/>
    <s v="Djuric"/>
    <s v="Petar"/>
    <s v="SUNY Stony Brook"/>
    <s v="7923 7936"/>
    <s v="7923 7936"/>
    <s v="Standard Grant"/>
    <s v="Proposal Awarded"/>
    <m/>
    <s v="CIF: Small: Dynamic Networks: Learning, Inference, and Prediction with Nonparametric Bayesian Methods"/>
    <s v="LFUQUA"/>
    <d v="2016-06-27T07:43:55"/>
    <n v="19"/>
  </r>
  <r>
    <d v="2017-09-14T09:43:06"/>
    <d v="2014-01-14T19:20:00"/>
    <d v="2014-07-14T13:11:08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624"/>
    <s v="I"/>
    <s v="eJ"/>
    <s v="1423624"/>
    <s v="1423624"/>
    <x v="1"/>
    <s v="01"/>
    <n v="499995"/>
    <n v="499995"/>
    <s v="Jonckheere"/>
    <s v="Edmond"/>
    <s v="U of Southern California"/>
    <s v="7923 7935"/>
    <s v="7923 7935"/>
    <s v="Standard Grant"/>
    <s v="Proposal Awarded"/>
    <m/>
    <s v="NeTS: Small: Pareto-Optimized Heat Diffusion Protocol on Ollivier-Ricci Curvature Controlled Wireless Networks"/>
    <s v="LFUQUA"/>
    <d v="2014-07-24T10:12:50"/>
    <n v="20"/>
  </r>
  <r>
    <d v="2017-09-14T09:43:06"/>
    <d v="2014-01-14T16:25:00"/>
    <d v="2014-07-21T11:4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88"/>
    <s v="I"/>
    <s v="eJ"/>
    <s v="1422988"/>
    <s v="1422988"/>
    <x v="1"/>
    <s v="01"/>
    <n v="238023"/>
    <n v="476045"/>
    <s v="Yates"/>
    <s v="Roy"/>
    <s v="Rutgers Univ New Brunswick"/>
    <s v="7363 7923 7935"/>
    <s v="7363 7923"/>
    <s v="Standard Grant"/>
    <s v="Proposal Awarded"/>
    <m/>
    <s v="CIF: Small: Status Updating Systems and Networks"/>
    <s v="LFUQUA"/>
    <d v="2014-08-05T09:22:55"/>
    <n v="21"/>
  </r>
  <r>
    <d v="2017-09-14T09:43:06"/>
    <d v="2016-11-16T13:26:00"/>
    <d v="2017-06-20T06:39:0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610"/>
    <s v="I"/>
    <s v="eJ"/>
    <s v="1717610"/>
    <s v="1717610"/>
    <x v="3"/>
    <s v="01"/>
    <n v="500000"/>
    <n v="500000"/>
    <s v="Wornell"/>
    <s v="Gregory"/>
    <s v="MIT"/>
    <s v="7923 7936"/>
    <s v="7923 7936"/>
    <s v="Standard Grant"/>
    <s v="Proposal Awarded"/>
    <m/>
    <s v="CIF:Small:Submodular Optimization Techniques for Sensing, Signal Processing, and Inference."/>
    <s v="ISATTLE"/>
    <d v="2017-06-28T13:12:05"/>
    <n v="22"/>
  </r>
  <r>
    <d v="2017-09-14T09:43:06"/>
    <d v="2015-11-17T18:45:00"/>
    <d v="2016-05-18T16:25:0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545"/>
    <s v="I"/>
    <s v="eJ"/>
    <s v="1617545"/>
    <s v="1617545"/>
    <x v="0"/>
    <s v="01"/>
    <n v="225000"/>
    <n v="500000"/>
    <s v="Galton"/>
    <s v="Ian"/>
    <s v="U of Cal San Diego"/>
    <s v="7923 7935 7945"/>
    <s v="7923 7935"/>
    <s v="Standard Grant"/>
    <s v="Proposal Awarded"/>
    <m/>
    <s v="CIF: Small: Circumventing Present-Day Frequency Synthesis Limitations in Digital PLLs"/>
    <s v="LFUQUA"/>
    <d v="2016-06-27T08:48:08"/>
    <n v="23"/>
  </r>
  <r>
    <d v="2017-09-14T09:43:06"/>
    <d v="2015-01-14T14:46:00"/>
    <d v="2015-06-29T14:52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908"/>
    <s v="I"/>
    <s v="eJ"/>
    <s v="1526908"/>
    <s v="1526908"/>
    <x v="2"/>
    <s v="01"/>
    <n v="500000"/>
    <n v="500000"/>
    <s v="Petropulu"/>
    <s v="Athina"/>
    <s v="Rutgers Univ New Brunswick"/>
    <s v="7923 7936"/>
    <s v="7923 7936"/>
    <s v="Standard Grant"/>
    <s v="Proposal Awarded"/>
    <m/>
    <s v="CIF:SMALL:Spatiotemporally Varying Channel Map Estimation and Tracking in Wireless Networks"/>
    <s v="LFUQUA"/>
    <d v="2015-07-27T10:30:03"/>
    <n v="24"/>
  </r>
  <r>
    <d v="2017-09-14T09:43:06"/>
    <d v="2015-11-18T15:10:00"/>
    <d v="2016-05-18T10:38:4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551"/>
    <s v="I"/>
    <s v="eJ"/>
    <s v="1618551"/>
    <s v="1618551"/>
    <x v="0"/>
    <s v="01"/>
    <n v="461642"/>
    <n v="461642"/>
    <s v="Adali"/>
    <s v="Tulay"/>
    <s v="U of MD Baltimore County"/>
    <s v="7923 7936"/>
    <s v="7923 7936"/>
    <s v="Standard Grant"/>
    <s v="Proposal Awarded"/>
    <m/>
    <s v="CIF: Small: Source Separation with an Adaptive Structure for Multi-Modal Data Fusion"/>
    <s v="LFUQUA"/>
    <d v="2016-06-27T07:39:18"/>
    <n v="25"/>
  </r>
  <r>
    <d v="2017-09-14T09:43:06"/>
    <d v="2016-11-16T16:23:00"/>
    <d v="2017-07-07T11:41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560"/>
    <s v="I"/>
    <s v="eJ"/>
    <s v="1718560"/>
    <s v="1718560"/>
    <x v="3"/>
    <s v="01"/>
    <n v="180000"/>
    <n v="499463"/>
    <s v="Mitra"/>
    <s v="Urbashi"/>
    <s v="U of Southern California"/>
    <s v="7923 9102"/>
    <s v="7923 7935 9102"/>
    <s v="Standard Grant"/>
    <s v="Proposal Awarded"/>
    <m/>
    <s v="CIF:Small: Understanding Microbial Signaling Through a Communication Theoretic Lens"/>
    <s v="VLRICHA"/>
    <d v="2017-07-28T09:51:46"/>
    <n v="26"/>
  </r>
  <r>
    <d v="2017-09-14T09:43:06"/>
    <d v="2015-01-09T19:42:00"/>
    <d v="2015-07-09T10:24:3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250"/>
    <s v="I"/>
    <s v="eJ"/>
    <s v="1524250"/>
    <s v="1524250"/>
    <x v="2"/>
    <s v="01"/>
    <n v="500000"/>
    <n v="500000"/>
    <s v="Sayed"/>
    <s v="Ali"/>
    <s v="U of Cal Los Angeles"/>
    <s v="7923 7935"/>
    <s v="7923 7935"/>
    <s v="Standard Grant"/>
    <s v="Proposal Awarded"/>
    <m/>
    <s v="CIF: Small: Inference over Asymmetric Network and Data Structures"/>
    <s v="LFUQUA"/>
    <d v="2015-08-07T14:02:08"/>
    <n v="27"/>
  </r>
  <r>
    <d v="2017-09-14T09:43:06"/>
    <d v="2014-01-14T16:11:00"/>
    <d v="2014-06-25T16:18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871"/>
    <s v="I"/>
    <s v="eJ"/>
    <s v="1422871"/>
    <s v="1422871"/>
    <x v="1"/>
    <s v="01"/>
    <n v="368444"/>
    <n v="369406"/>
    <s v="Brandt-Pearce"/>
    <s v="Maite"/>
    <s v="University of Virginia"/>
    <s v="7923 7936"/>
    <s v="7923 7936"/>
    <s v="Standard Grant"/>
    <s v="Proposal Awarded"/>
    <m/>
    <s v="CIF:  Small:  Statistical Approach to Signal Processing for Long-Haul Fiber-Optic Communication Sytems"/>
    <s v="LFUQUA"/>
    <d v="2014-07-10T15:43:38"/>
    <n v="28"/>
  </r>
  <r>
    <d v="2017-09-14T09:43:06"/>
    <d v="2013-11-12T11:49:00"/>
    <d v="2014-06-10T14:38:3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135"/>
    <s v="1409135"/>
    <x v="1"/>
    <s v="01"/>
    <n v="200000"/>
    <n v="200000"/>
    <s v="Ramchandran"/>
    <s v="Kannan"/>
    <s v="U of Cal Berkeley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9"/>
    <n v="29"/>
  </r>
  <r>
    <d v="2017-09-14T09:43:06"/>
    <d v="2015-01-14T16:52:00"/>
    <d v="2015-06-22T16:20:07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767"/>
    <s v="I"/>
    <s v="eJ"/>
    <s v="1527767"/>
    <s v="1527767"/>
    <x v="2"/>
    <s v="01"/>
    <n v="500000"/>
    <n v="500000"/>
    <s v="Ramchandran"/>
    <s v="Kannan"/>
    <s v="U of Cal Berkeley"/>
    <s v="7797 7923 7936"/>
    <s v="7797 7923 7936"/>
    <s v="Standard Grant"/>
    <s v="Proposal Awarded"/>
    <m/>
    <s v="CIF:Small:Next-Generation Compressive Phase-Retrieval Using Sparse-Graph Codes: Theory, Design and Applications"/>
    <s v="LFUQUA"/>
    <d v="2015-07-23T06:44:52"/>
    <n v="30"/>
  </r>
  <r>
    <d v="2017-09-14T09:43:06"/>
    <d v="2015-01-14T16:21:00"/>
    <d v="2015-06-29T13:53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501"/>
    <s v="I"/>
    <s v="eJ"/>
    <s v="1527501"/>
    <s v="1527501"/>
    <x v="2"/>
    <s v="01"/>
    <n v="500000"/>
    <n v="500000"/>
    <s v="Baraniuk"/>
    <s v="Richard"/>
    <s v="William Marsh Rice Univ"/>
    <s v="7923 7936"/>
    <s v="7923 7936"/>
    <s v="Standard Grant"/>
    <s v="Proposal Awarded"/>
    <m/>
    <s v="CIF: Small: Lens-Free Imaging: Can Signal Processing Replace Lenses?"/>
    <s v="LFUQUA"/>
    <d v="2015-07-27T09:39:51"/>
    <n v="31"/>
  </r>
  <r>
    <d v="2017-09-14T09:43:06"/>
    <d v="2016-11-16T19:09:00"/>
    <d v="2017-07-20T11:46:2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9139"/>
    <s v="I"/>
    <s v="eJ"/>
    <s v="1719139"/>
    <s v="1719139"/>
    <x v="3"/>
    <s v="01"/>
    <n v="450000"/>
    <n v="500000"/>
    <s v="Vardy"/>
    <s v="Alexander"/>
    <s v="U of Cal San Diego"/>
    <s v="7923 7935 7937"/>
    <s v="7923 7935"/>
    <s v="Standard Grant"/>
    <s v="Proposal Awarded"/>
    <m/>
    <s v="CCF-BSF: CIF: Small: Distributed Information Retrieval: Private, Reliable, and Efficient"/>
    <s v="ISATTLE"/>
    <d v="2017-08-31T17:12:45"/>
    <n v="32"/>
  </r>
  <r>
    <d v="2017-09-14T09:43:06"/>
    <d v="2016-11-16T14:31:00"/>
    <d v="2017-06-30T12:08:15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N"/>
    <s v="eJ"/>
    <s v="1717884"/>
    <s v="1717884"/>
    <x v="3"/>
    <s v="01"/>
    <n v="166666"/>
    <n v="166666"/>
    <s v="Bruck"/>
    <s v="Jehoshua"/>
    <s v="California Inst of Tech"/>
    <s v="7923 7935"/>
    <s v="7923 7935"/>
    <s v="Standard Grant"/>
    <s v="Proposal Awarded"/>
    <m/>
    <s v="CIF: Small: Collaborative Research: Error Correction with Natural Redundancy"/>
    <s v="ISATTLE"/>
    <d v="2017-07-17T16:34:08"/>
    <n v="33"/>
  </r>
  <r>
    <d v="2017-09-14T09:43:06"/>
    <d v="2015-11-18T15:36:00"/>
    <d v="2016-06-13T15:00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L"/>
    <s v="eJ"/>
    <s v="1618658"/>
    <s v="1618658"/>
    <x v="0"/>
    <s v="01"/>
    <n v="280000"/>
    <n v="280000"/>
    <s v="Veeravalli"/>
    <s v="Venugopal"/>
    <s v="U of Ill Urbana-Champaign"/>
    <s v="7923 7936"/>
    <s v="7923 7936"/>
    <s v="Standard Grant"/>
    <s v="Proposal Awarded"/>
    <m/>
    <s v="CIF: Small: Collaborative Research: Network Event Detection with Multistream Observations"/>
    <s v="LFUQUA"/>
    <d v="2016-06-30T15:03:36"/>
    <n v="34"/>
  </r>
  <r>
    <d v="2017-09-14T09:43:06"/>
    <d v="2015-01-14T17:13:00"/>
    <d v="2015-06-12T13:59:2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74"/>
    <s v="I"/>
    <s v="eJ"/>
    <s v="1527874"/>
    <s v="1527874"/>
    <x v="2"/>
    <s v="01"/>
    <n v="499014"/>
    <n v="499014"/>
    <s v="Ortega"/>
    <s v="Antonio"/>
    <s v="U of Southern California"/>
    <s v="7923 7936"/>
    <s v="7923 7936"/>
    <s v="Standard Grant"/>
    <s v="Proposal Awarded"/>
    <m/>
    <s v="CIF:Small:Graph Signal Sampling: Theory and Applications"/>
    <s v="LFUQUA"/>
    <d v="2015-07-08T08:33:47"/>
    <n v="35"/>
  </r>
  <r>
    <d v="2017-09-14T09:43:06"/>
    <d v="2015-01-14T16:24:00"/>
    <d v="2015-07-15T14:00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N"/>
    <s v="eJ"/>
    <s v="1527524"/>
    <s v="1527524"/>
    <x v="2"/>
    <s v="01"/>
    <n v="250000"/>
    <n v="250000"/>
    <s v="Effros"/>
    <s v="Michelle"/>
    <s v="California Inst of Tech"/>
    <s v="7923 7935"/>
    <s v="7923 7935"/>
    <s v="Standard Grant"/>
    <s v="Proposal Awarded"/>
    <m/>
    <s v="CIF: Small: Collaborative Research:A Reductionist View of Network Information Theory"/>
    <s v="LFUQUA"/>
    <d v="2015-08-17T14:16:57"/>
    <n v="36"/>
  </r>
  <r>
    <d v="2017-09-14T09:43:06"/>
    <d v="2015-01-13T13:54:00"/>
    <d v="2015-06-30T15:41:5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194"/>
    <s v="I"/>
    <s v="eJ"/>
    <s v="1525194"/>
    <s v="1525194"/>
    <x v="2"/>
    <s v="01"/>
    <n v="449468"/>
    <n v="449468"/>
    <s v="Sidiropoulos"/>
    <s v="Nikolaos"/>
    <s v="U of Minnesota-Twin Cities"/>
    <s v="7923 7936"/>
    <s v="7923 7936"/>
    <s v="Standard Grant"/>
    <s v="Proposal Awarded"/>
    <m/>
    <s v="CIF: Small: Feasible Point Pursuit for Non-convex QCQPs: Algorithms and Signal Processing Applications"/>
    <s v="LFUQUA"/>
    <d v="2015-08-06T08:08:51"/>
    <n v="37"/>
  </r>
  <r>
    <d v="2017-09-14T09:43:06"/>
    <d v="2015-01-14T11:28:00"/>
    <d v="2015-06-15T08:37:39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L"/>
    <s v="eJ"/>
    <s v="1526215"/>
    <s v="1526215"/>
    <x v="2"/>
    <s v="01"/>
    <n v="270496"/>
    <n v="250000"/>
    <s v="Wang"/>
    <s v="Xiaodong"/>
    <s v="Columbia University"/>
    <s v="7923 7936"/>
    <s v="7923 7936"/>
    <s v="Standard Grant"/>
    <s v="Proposal Awarded"/>
    <m/>
    <s v="CIF:Small: Collaborative Research: Communications with Energy Harvesting Nodes"/>
    <s v="LFUQUA"/>
    <d v="2015-07-15T10:45:53"/>
    <n v="38"/>
  </r>
  <r>
    <d v="2017-09-14T09:43:06"/>
    <d v="2015-11-18T16:42:00"/>
    <d v="2016-06-08T13:22:0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53"/>
    <s v="I"/>
    <s v="eJ"/>
    <s v="1619053"/>
    <s v="1619053"/>
    <x v="0"/>
    <s v="01"/>
    <n v="500000"/>
    <n v="500000"/>
    <s v="Siegel"/>
    <s v="Paul"/>
    <s v="U of Cal San Diego"/>
    <s v="7797 7923 7935"/>
    <s v="7923 7935"/>
    <s v="Standard Grant"/>
    <s v="Proposal Awarded"/>
    <m/>
    <s v="CCF-BSF:CIF:Small: Coding Techniques for Emerging Storage Technologies."/>
    <s v="LFUQUA"/>
    <d v="2016-06-28T15:23:48"/>
    <n v="39"/>
  </r>
  <r>
    <d v="2017-09-14T09:43:06"/>
    <d v="2015-11-18T13:57:00"/>
    <d v="2016-06-15T09:22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2"/>
    <s v="I"/>
    <s v="eJ"/>
    <s v="1618272"/>
    <s v="1618272"/>
    <x v="0"/>
    <s v="01"/>
    <n v="400000"/>
    <n v="500000"/>
    <s v="Wesel"/>
    <s v="Richard"/>
    <s v="U of Cal Los Angeles"/>
    <s v="7797 7923 7935"/>
    <s v="7923 7935"/>
    <s v="Standard Grant"/>
    <s v="Proposal Awarded"/>
    <m/>
    <s v="CIF:Small:Approaching Capacity in High Throughput Communication Systems with Incremental Redundancy"/>
    <s v="LFUQUA"/>
    <d v="2016-07-08T09:43:37"/>
    <n v="40"/>
  </r>
  <r>
    <d v="2017-09-14T09:43:06"/>
    <d v="2016-11-07T11:48:00"/>
    <d v="2017-06-19T17:00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867"/>
    <s v="I"/>
    <s v="eJ"/>
    <s v="1712867"/>
    <s v="1712867"/>
    <x v="3"/>
    <s v="01"/>
    <n v="431728"/>
    <n v="431728"/>
    <s v="Sapiro"/>
    <s v="Guillermo"/>
    <s v="Duke University"/>
    <s v="7923 7935 7936"/>
    <s v="7923 7935"/>
    <s v="Standard Grant"/>
    <s v="Proposal Awarded"/>
    <m/>
    <s v="CIF: AF: Small: Foundations of Multimodal Information Integration"/>
    <s v="ISATTLE"/>
    <d v="2017-06-26T15:30:18"/>
    <n v="41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1"/>
    <n v="372392"/>
    <n v="504522"/>
    <s v="Goeckel"/>
    <s v="Dennis"/>
    <s v="U of Massachusetts Amherst"/>
    <s v="7923 7935"/>
    <s v="7923 7935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3"/>
    <n v="8000"/>
    <n v="504522"/>
    <s v="Goeckel"/>
    <s v="Dennis"/>
    <s v="U of Massachusetts Amherst"/>
    <s v="7923 7935"/>
    <s v="7923 7935 9251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5-01-13T15:21:00"/>
    <d v="2015-06-12T13:45:32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398"/>
    <s v="I"/>
    <s v="eJ"/>
    <s v="1525398"/>
    <s v="1525398"/>
    <x v="2"/>
    <s v="01"/>
    <n v="315175"/>
    <n v="315175"/>
    <s v="Selesnick"/>
    <s v="Ivan"/>
    <s v="New York University"/>
    <s v="7923 7936"/>
    <s v="7923 7936"/>
    <s v="Standard Grant"/>
    <s v="Proposal Awarded"/>
    <m/>
    <s v="CIF:Small:Bypassing the L1 Norm: Non-Convex Regularization, Convex Optimization, and Sparse Signal Processing"/>
    <s v="LFUQUA"/>
    <d v="2015-07-08T08:45:44"/>
    <n v="43"/>
  </r>
  <r>
    <d v="2017-09-14T09:43:06"/>
    <d v="2015-11-17T16:22:00"/>
    <d v="2016-06-15T11:00:1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N"/>
    <s v="eJ"/>
    <s v="1617397"/>
    <s v="1617397"/>
    <x v="0"/>
    <s v="01"/>
    <n v="216883"/>
    <n v="216883"/>
    <s v="Srivastava"/>
    <s v="Anuj"/>
    <s v="Florid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3"/>
    <n v="44"/>
  </r>
  <r>
    <d v="2017-09-14T09:43:06"/>
    <d v="2017-03-17T16:02:00"/>
    <d v="2017-04-08T11:15:59"/>
    <s v="05010000"/>
    <s v="05010000"/>
    <s v="7797 - COMM &amp; INFORMATION FOUNDATIONS"/>
    <s v="7797 - COMM &amp; INFORMATION FOUNDATIONS"/>
    <s v="PREGALI"/>
    <s v="PREGALI"/>
    <s v="4110"/>
    <s v="4110"/>
    <s v="NSF 17-1"/>
    <x v="0"/>
    <x v="0"/>
    <s v="AWD"/>
    <s v="STND"/>
    <s v="STND"/>
    <s v="CCF"/>
    <s v="1740960"/>
    <s v="I"/>
    <s v="eJ"/>
    <s v="1740960"/>
    <s v="1740960"/>
    <x v="3"/>
    <s v="01"/>
    <n v="10000"/>
    <n v="20000"/>
    <s v="Orlitsky"/>
    <s v="Alon"/>
    <s v="U of Cal San Diego"/>
    <m/>
    <m/>
    <s v="Standard Grant"/>
    <s v="Proposal Awarded"/>
    <m/>
    <s v="CIF: Student Travel Support for the 2017 IEEE International Symposium on Information Theory"/>
    <s v="VLRICHA"/>
    <d v="2017-05-05T09:28:49"/>
    <n v="45"/>
  </r>
  <r>
    <d v="2017-09-14T09:43:06"/>
    <d v="2013-11-12T13:16:00"/>
    <d v="2014-06-10T14:39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228"/>
    <s v="1409228"/>
    <x v="1"/>
    <s v="01"/>
    <n v="200000"/>
    <n v="200000"/>
    <s v="Medard"/>
    <s v="Muriel"/>
    <s v="MIT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50"/>
    <n v="46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1"/>
    <n v="125315"/>
    <n v="270000"/>
    <s v="Medard"/>
    <s v="Muriel"/>
    <s v="MIT"/>
    <s v="7923 7935"/>
    <s v="7923 7935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2"/>
    <n v="4100"/>
    <n v="270000"/>
    <s v="Medard"/>
    <s v="Muriel"/>
    <s v="MIT"/>
    <s v="7923 7935"/>
    <s v="9251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11-18T16:47:00"/>
    <d v="2016-05-17T16:17:2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85"/>
    <s v="I"/>
    <s v="eJ"/>
    <s v="1619085"/>
    <s v="1619085"/>
    <x v="0"/>
    <s v="01"/>
    <n v="495010"/>
    <n v="495010"/>
    <s v="Narayanan"/>
    <s v="Krishna"/>
    <s v="Texas Engineering Exp Sta"/>
    <s v="7923 7935"/>
    <s v="7923 7935"/>
    <s v="Standard Grant"/>
    <s v="Proposal Awarded"/>
    <m/>
    <s v="CIF: Small: Massive Uncoordinated and Sporadic Multiple Access -- Strengthening Connections between Coding and Random Access"/>
    <s v="LFUQUA"/>
    <d v="2016-06-17T08:56:54"/>
    <n v="48"/>
  </r>
  <r>
    <d v="2017-09-14T09:43:06"/>
    <d v="2014-01-14T16:26:00"/>
    <d v="2014-06-30T13:10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95"/>
    <s v="I"/>
    <s v="eJ"/>
    <s v="1422995"/>
    <s v="1422995"/>
    <x v="1"/>
    <s v="01"/>
    <n v="266000"/>
    <n v="266000"/>
    <s v="Tran"/>
    <s v="Trac"/>
    <s v="Johns Hopkins University"/>
    <s v="7923 7936"/>
    <s v="7923 7936"/>
    <s v="Standard Grant"/>
    <s v="Proposal Awarded"/>
    <m/>
    <s v="CIF:Small: Dynamic Dictionary Learning with Low-rank Interference"/>
    <s v="JROBEY"/>
    <d v="2014-08-05T11:40:56"/>
    <n v="49"/>
  </r>
  <r>
    <d v="2017-09-14T09:43:06"/>
    <d v="2015-01-14T16:32:00"/>
    <d v="2015-07-09T10:25:4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98"/>
    <s v="I"/>
    <s v="eJ"/>
    <s v="1527598"/>
    <s v="1527598"/>
    <x v="2"/>
    <s v="01"/>
    <n v="421557"/>
    <n v="471211"/>
    <s v="Nosratinia"/>
    <s v="Aria"/>
    <s v="U of Texas Dallas"/>
    <s v="7923 7935"/>
    <s v="7923 7935"/>
    <s v="Standard Grant"/>
    <s v="Proposal Awarded"/>
    <m/>
    <s v="CIF: Small: Disparity of Coherence and Channel Information in Wireless Networks - Opportunities and Challenges"/>
    <s v="LFUQUA"/>
    <d v="2015-08-07T14:03:04"/>
    <n v="50"/>
  </r>
  <r>
    <d v="2017-09-14T09:43:06"/>
    <d v="2016-11-16T16:22:00"/>
    <d v="2017-06-19T17:19:2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551"/>
    <s v="I"/>
    <s v="eJ"/>
    <s v="1718551"/>
    <s v="1718551"/>
    <x v="3"/>
    <s v="01"/>
    <n v="399318"/>
    <n v="399318"/>
    <s v="Nosratinia"/>
    <s v="Aria"/>
    <s v="U of Texas Dallas"/>
    <s v="7923 7935 7936"/>
    <s v="7923 7935"/>
    <s v="Standard Grant"/>
    <s v="Proposal Awarded"/>
    <m/>
    <s v="CIF:Small: Covariance Arbitrage: Unlocking the Full Value of Correlation Diversity in Multiuser Wireless Networks"/>
    <s v="ISATTLE"/>
    <d v="2017-06-26T14:19:07"/>
    <n v="51"/>
  </r>
  <r>
    <d v="2017-09-14T09:43:06"/>
    <d v="2015-01-14T14:35:00"/>
    <d v="2015-06-29T14:41:5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48"/>
    <s v="I"/>
    <s v="eJ"/>
    <s v="1526848"/>
    <s v="1526848"/>
    <x v="2"/>
    <s v="01"/>
    <n v="500000"/>
    <n v="500000"/>
    <s v="Yezzi"/>
    <s v="Anthony"/>
    <s v="Georgia Tech Research Corp"/>
    <s v="7923 7936"/>
    <s v="7923 7936"/>
    <s v="Standard Grant"/>
    <s v="Proposal Awarded"/>
    <m/>
    <s v="CIF:Small: Geometric, Variational Algorithms for Radiometric-Based Shape Reconstruction"/>
    <s v="LFUQUA"/>
    <d v="2015-07-27T09:32:58"/>
    <n v="52"/>
  </r>
  <r>
    <d v="2017-09-14T09:43:06"/>
    <d v="2016-11-16T08:39:00"/>
    <d v="2017-07-07T16:05:1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033"/>
    <s v="I"/>
    <s v="eJ"/>
    <s v="1717033"/>
    <s v="1717033"/>
    <x v="3"/>
    <s v="01"/>
    <n v="499998"/>
    <n v="499998"/>
    <s v="Mark"/>
    <s v="Brian"/>
    <s v="George Mason University"/>
    <s v="7923 7935 7937"/>
    <s v="7923 7935"/>
    <s v="Standard Grant"/>
    <s v="Proposal Awarded"/>
    <m/>
    <s v="CIF:Small:Network Tomography and Resource Allocation"/>
    <s v="ISATTLE"/>
    <d v="2017-08-07T17:01:08"/>
    <n v="53"/>
  </r>
  <r>
    <d v="2017-09-14T09:43:06"/>
    <d v="2014-01-14T11:52:00"/>
    <d v="2014-07-14T12:19:5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734"/>
    <s v="I"/>
    <s v="eJ"/>
    <s v="1421734"/>
    <s v="1421734"/>
    <x v="1"/>
    <s v="01"/>
    <n v="187449"/>
    <n v="187449"/>
    <s v="Kubota"/>
    <s v="Toshiro"/>
    <s v="Susquehanna University"/>
    <s v="7923 7936 9229"/>
    <s v="7923 7936 9229"/>
    <s v="Standard Grant"/>
    <s v="Proposal Awarded"/>
    <m/>
    <s v="RUI: Intermediate-level Vision:  Grouping of generic features for image and video processing"/>
    <s v="LFUQUA"/>
    <d v="2014-08-07T10:44:12"/>
    <n v="54"/>
  </r>
  <r>
    <d v="2017-09-14T09:43:06"/>
    <d v="2014-01-14T14:42:00"/>
    <d v="2014-07-14T15:56:2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N"/>
    <s v="eJ"/>
    <s v="1422347"/>
    <s v="1422347"/>
    <x v="1"/>
    <s v="01"/>
    <n v="123471"/>
    <n v="250000"/>
    <s v="Yener"/>
    <s v="Aylin"/>
    <s v="PA St U University Park"/>
    <s v="7923 7935"/>
    <s v="7923 7935"/>
    <s v="Standard Grant"/>
    <s v="Proposal Awarded"/>
    <m/>
    <s v="CIF:Small:Collaborative Research: Foundations of Energy Harvesting Wireless Communications"/>
    <s v="LFUQUA"/>
    <d v="2014-07-28T11:46:17"/>
    <n v="55"/>
  </r>
  <r>
    <d v="2017-09-14T09:43:06"/>
    <d v="2017-07-18T10:33:00"/>
    <d v="2017-07-20T12:18:49"/>
    <s v="05010000"/>
    <s v="05010000"/>
    <s v="7797 - COMM &amp; INFORMATION FOUNDATIONS"/>
    <s v="7797 - COMM &amp; INFORMATION FOUNDATIONS"/>
    <s v="RIBROWN"/>
    <s v="RIBROWN"/>
    <s v="4110"/>
    <s v="4110"/>
    <s v="NSF 17-1"/>
    <x v="0"/>
    <x v="0"/>
    <s v="AWD"/>
    <s v="STND"/>
    <s v="STND"/>
    <s v="CCF"/>
    <s v="1749665"/>
    <s v="I"/>
    <s v="eJ"/>
    <s v="1749665"/>
    <s v="1749665"/>
    <x v="3"/>
    <s v="01"/>
    <n v="225000"/>
    <n v="225000"/>
    <s v="Yener"/>
    <s v="Aylin"/>
    <s v="PA St U University Park"/>
    <s v="7916 7935"/>
    <s v="7916 7935"/>
    <s v="Standard Grant"/>
    <s v="Proposal Awarded"/>
    <m/>
    <s v="EAGER: Coded Caching for Heterogeneous and Energy Harvesting Systems"/>
    <s v="ISATTLE"/>
    <d v="2017-08-31T10:05:11"/>
    <n v="56"/>
  </r>
  <r>
    <d v="2017-09-14T09:43:06"/>
    <d v="2015-11-18T15:36:00"/>
    <d v="2016-05-17T13:55:3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53"/>
    <s v="I"/>
    <s v="eJ"/>
    <s v="1618653"/>
    <s v="1618653"/>
    <x v="0"/>
    <s v="01"/>
    <n v="403168"/>
    <n v="403168"/>
    <s v="Garcia-Frias"/>
    <s v="Javier"/>
    <s v="University of Delaware"/>
    <s v="7923 7935 9150"/>
    <s v="7923 7935 9150"/>
    <s v="Standard Grant"/>
    <s v="Proposal Awarded"/>
    <m/>
    <s v="CIF: Small: Hybrid analog-digital schemes for joint source-channel coding of digital sources"/>
    <s v="LFUQUA"/>
    <d v="2016-06-10T11:51:36"/>
    <n v="57"/>
  </r>
  <r>
    <d v="2017-09-14T09:43:06"/>
    <d v="2015-11-18T17:05:00"/>
    <d v="2016-05-17T13:47:4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189"/>
    <s v="I"/>
    <s v="eJ"/>
    <s v="1619189"/>
    <s v="1619189"/>
    <x v="0"/>
    <s v="01"/>
    <n v="306107"/>
    <n v="306107"/>
    <s v="Duursma"/>
    <s v="Iwan"/>
    <s v="U of Ill Urbana-Champaign"/>
    <s v="7923 7935"/>
    <s v="7923 7935"/>
    <s v="Standard Grant"/>
    <s v="Proposal Awarded"/>
    <m/>
    <s v="CIF:Small:Effective bounds for distributed storage and data access"/>
    <s v="LFUQUA"/>
    <d v="2016-06-10T09:31:49"/>
    <n v="58"/>
  </r>
  <r>
    <d v="2017-09-14T09:43:06"/>
    <d v="2015-01-14T16:04:00"/>
    <d v="2016-06-21T08:33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96"/>
    <s v="I"/>
    <s v="eJ"/>
    <s v="1527396"/>
    <s v="1527396"/>
    <x v="0"/>
    <s v="01"/>
    <n v="400000"/>
    <n v="450549"/>
    <s v="Tian"/>
    <s v="Zhi"/>
    <s v="George Mason University"/>
    <s v="7797 7923 7936"/>
    <s v="7797 7923 7936"/>
    <s v="Standard Grant"/>
    <s v="Proposal Awarded"/>
    <m/>
    <s v="CIF: Small: Task-Cognizant Sparse Sensing for Inference"/>
    <s v="LFUQUA"/>
    <d v="2016-07-21T07:39:33"/>
    <n v="59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1"/>
    <n v="488642"/>
    <n v="499997"/>
    <s v="Haenggi"/>
    <s v="Martin"/>
    <s v="University of Notre Dame"/>
    <s v="7923 7935"/>
    <s v="7923 7935"/>
    <s v="Standard Grant"/>
    <s v="Proposal Awarded"/>
    <m/>
    <s v="CIF:Small:Toward a Stochastic Geometry for Cellular Systems"/>
    <s v="LFUQUA"/>
    <d v="2015-06-26T12:01:38"/>
    <n v="60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2"/>
    <n v="4000"/>
    <n v="499997"/>
    <s v="Haenggi"/>
    <s v="Martin"/>
    <s v="University of Notre Dame"/>
    <s v="7923 7935"/>
    <s v="7935 9251"/>
    <s v="Standard Grant"/>
    <s v="Proposal Awarded"/>
    <m/>
    <s v="CIF:Small:Toward a Stochastic Geometry for Cellular Systems"/>
    <s v="LFUQUA"/>
    <d v="2015-06-26T12:01:38"/>
    <n v="60"/>
  </r>
  <r>
    <d v="2017-09-14T09:43:06"/>
    <d v="2014-01-14T14:08:00"/>
    <d v="2014-06-10T11:48:2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93"/>
    <s v="I"/>
    <s v="eJ"/>
    <s v="1422193"/>
    <s v="1422193"/>
    <x v="1"/>
    <s v="01"/>
    <n v="403270"/>
    <n v="500000"/>
    <s v="Negi"/>
    <s v="Rohit"/>
    <s v="Carnegie Mellon University"/>
    <s v="7923 7936"/>
    <s v="7923 7936"/>
    <s v="Standard Grant"/>
    <s v="Proposal Awarded"/>
    <m/>
    <s v="CIF:Small:Detection and Classification Problems in Online Information Graphs"/>
    <s v="LFUQUA"/>
    <d v="2014-06-18T13:28:56"/>
    <n v="61"/>
  </r>
  <r>
    <d v="2017-09-14T09:43:06"/>
    <d v="2015-07-21T19:11:00"/>
    <d v="2015-07-29T14:14:22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3746"/>
    <s v="I"/>
    <s v="eJ"/>
    <s v="1553746"/>
    <s v="1553746"/>
    <x v="2"/>
    <s v="01"/>
    <n v="199846"/>
    <n v="199846"/>
    <s v="Scaglione"/>
    <s v="Anna"/>
    <s v="Arizona State University"/>
    <s v="7916 7936"/>
    <s v="7916 7936"/>
    <s v="Standard Grant"/>
    <s v="Proposal Awarded"/>
    <m/>
    <s v="EAGER: The Identification of Social Systems Trust: Theory and Experimental Validation"/>
    <s v="LFUQUA"/>
    <d v="2015-08-27T08:01:11"/>
    <n v="62"/>
  </r>
  <r>
    <d v="2017-09-14T09:43:06"/>
    <d v="2016-11-14T14:55:00"/>
    <d v="2017-06-20T09:18:4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4672"/>
    <s v="I"/>
    <s v="eJ"/>
    <s v="1714672"/>
    <s v="1714672"/>
    <x v="3"/>
    <s v="01"/>
    <n v="180000"/>
    <n v="499511"/>
    <s v="Scaglione"/>
    <s v="Anna"/>
    <s v="Arizona State University"/>
    <s v="7923 7937 9102"/>
    <s v="7923 7937 9102"/>
    <s v="Standard Grant"/>
    <s v="Proposal Awarded"/>
    <m/>
    <s v="CCF-BSF: CIF: Small: Identification and Isolation of Malicious Behavior in Multi-Agent Optimization Algorithms"/>
    <s v="ISATTLE"/>
    <d v="2017-07-10T14:23:14"/>
    <n v="63"/>
  </r>
  <r>
    <d v="2017-09-14T09:43:06"/>
    <d v="2015-01-14T15:29:00"/>
    <d v="2015-06-12T14:36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L"/>
    <s v="eJ"/>
    <s v="1527162"/>
    <s v="1527162"/>
    <x v="2"/>
    <s v="01"/>
    <n v="247065"/>
    <n v="244347"/>
    <s v="Schniter"/>
    <s v="Philip"/>
    <s v="Ohio State University"/>
    <s v="7923 7936"/>
    <s v="7923 7936"/>
    <s v="Standard Grant"/>
    <s v="Proposal Awarded"/>
    <m/>
    <s v="CIF:Small:Collaborative Research: Next Generation Communications with Low-Resolution ADCs: Fundamentals and Practical Design"/>
    <s v="LFUQUA"/>
    <d v="2015-07-09T10:02:12"/>
    <n v="64"/>
  </r>
  <r>
    <d v="2017-09-14T09:43:06"/>
    <d v="2016-11-15T16:05:00"/>
    <d v="2017-06-19T16:12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6388"/>
    <s v="I"/>
    <s v="eJ"/>
    <s v="1716388"/>
    <s v="1716388"/>
    <x v="3"/>
    <s v="01"/>
    <n v="499570"/>
    <n v="499570"/>
    <s v="Schniter"/>
    <s v="Philip"/>
    <s v="Ohio State University"/>
    <s v="7923 7936"/>
    <s v="7923 7936"/>
    <s v="Standard Grant"/>
    <s v="Proposal Awarded"/>
    <m/>
    <s v="Approximate Message Passing Algorithms and Networks"/>
    <s v="ISATTLE"/>
    <d v="2017-06-28T14:41:36"/>
    <n v="65"/>
  </r>
  <r>
    <d v="2017-09-14T09:43:06"/>
    <d v="2015-01-14T14:23:00"/>
    <d v="2015-07-09T09:55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80"/>
    <s v="I"/>
    <s v="eJ"/>
    <s v="1526780"/>
    <s v="1526780"/>
    <x v="2"/>
    <s v="01"/>
    <n v="499952"/>
    <n v="499952"/>
    <s v="Jafarkhani"/>
    <s v="Hamid"/>
    <s v="U of Cal Irvine"/>
    <s v="7923 7935"/>
    <s v="7923 7935"/>
    <s v="Standard Grant"/>
    <s v="Proposal Awarded"/>
    <m/>
    <s v="CIF:Small:Challenges and opportunities of timing mismatch in multi-user wireless networks"/>
    <s v="LFUQUA"/>
    <d v="2015-08-07T13:56:35"/>
    <n v="66"/>
  </r>
  <r>
    <d v="2017-09-14T09:43:06"/>
    <d v="2014-01-14T13:50:00"/>
    <d v="2014-07-14T15:55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L"/>
    <s v="eJ"/>
    <s v="1422111"/>
    <s v="1422111"/>
    <x v="1"/>
    <s v="01"/>
    <n v="125000"/>
    <n v="250000"/>
    <s v="Ulukus"/>
    <s v="Sennur"/>
    <s v="U of MD College Park"/>
    <s v="7923 7935"/>
    <s v="7923 7935"/>
    <s v="Standard Grant"/>
    <s v="Proposal Awarded"/>
    <m/>
    <s v="CIF: Small: Collaborative Research: Foundations of Energy Harvesting Wireless Communications"/>
    <s v="LFUQUA"/>
    <d v="2014-07-28T11:46:16"/>
    <n v="67"/>
  </r>
  <r>
    <d v="2017-09-14T09:43:06"/>
    <d v="2016-11-10T16:36:00"/>
    <d v="2017-06-16T16:33:11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3977"/>
    <s v="I"/>
    <s v="eJ"/>
    <s v="1713977"/>
    <s v="1713977"/>
    <x v="3"/>
    <s v="01"/>
    <n v="250000"/>
    <n v="499999"/>
    <s v="Ulukus"/>
    <s v="Sennur"/>
    <s v="U of MD College Park"/>
    <s v="7923 7937 9102"/>
    <s v="7923 7937 9102"/>
    <s v="Standard Grant"/>
    <s v="Proposal Awarded"/>
    <m/>
    <s v="CIF: Small: Alignment for Secrecy: One-Time-Pads in the Air without Keys"/>
    <s v="ISATTLE"/>
    <d v="2017-06-26T10:55:05"/>
    <n v="68"/>
  </r>
  <r>
    <d v="2017-09-14T09:43:06"/>
    <d v="2014-01-14T19:52:00"/>
    <d v="2014-07-18T08:42:1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663"/>
    <s v="I"/>
    <s v="eJ"/>
    <s v="1423663"/>
    <s v="1423663"/>
    <x v="1"/>
    <s v="01"/>
    <n v="400000"/>
    <n v="500000"/>
    <s v="Hassibi"/>
    <s v="Babak"/>
    <s v="California Inst of Tech"/>
    <s v="7923 7936"/>
    <s v="7923 7936"/>
    <s v="Standard Grant"/>
    <s v="Proposal Awarded"/>
    <m/>
    <s v="CIF: Small: Structured Signal Recovery from Noisy Measurements via Convex Programming: A Framework for Analyzing Performance"/>
    <s v="LFUQUA"/>
    <d v="2014-08-04T07:40:29"/>
    <n v="69"/>
  </r>
  <r>
    <d v="2017-09-14T09:43:06"/>
    <d v="2014-01-14T17:34:00"/>
    <d v="2014-06-20T12:33:1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411"/>
    <s v="I"/>
    <s v="eJ"/>
    <s v="1423411"/>
    <s v="1423411"/>
    <x v="1"/>
    <s v="01"/>
    <n v="499542"/>
    <n v="499542"/>
    <s v="Scoglio"/>
    <s v="Caterina"/>
    <s v="Kansas State University"/>
    <s v="7923 7935 9150"/>
    <s v="7923 7935 9150"/>
    <s v="Standard Grant"/>
    <s v="Proposal Awarded"/>
    <m/>
    <s v="CIF: Small: SPREADING PROCESSES OVER MULTILAYER AND INTERCONNECTED NETWORKS"/>
    <s v="LFUQUA"/>
    <d v="2014-07-10T07:41:46"/>
    <n v="70"/>
  </r>
  <r>
    <d v="2017-09-14T09:43:06"/>
    <d v="2014-01-14T10:12:00"/>
    <d v="2014-07-14T12:15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480"/>
    <s v="I"/>
    <s v="eJ"/>
    <s v="1421480"/>
    <s v="1421480"/>
    <x v="1"/>
    <s v="01"/>
    <n v="149998"/>
    <n v="311119"/>
    <s v="Dogandzic"/>
    <s v="Aleksandar"/>
    <s v="Iowa State University"/>
    <s v="7923 7936 9150"/>
    <s v="7923 7936 9150"/>
    <s v="Standard Grant"/>
    <s v="Proposal Awarded"/>
    <m/>
    <s v="CIF: Small: Model-based sparse X-ray CT signal processing using polychromatic measurements"/>
    <s v="JROBEY"/>
    <d v="2014-08-19T09:57:14"/>
    <n v="71"/>
  </r>
  <r>
    <d v="2017-09-14T09:43:06"/>
    <d v="2014-01-14T14:27:00"/>
    <d v="2014-06-23T15:08:3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84"/>
    <s v="I"/>
    <s v="eJ"/>
    <s v="1422284"/>
    <s v="1422284"/>
    <x v="1"/>
    <s v="01"/>
    <n v="344725"/>
    <n v="344725"/>
    <s v="Sadanandarao"/>
    <s v="Sandeep"/>
    <s v="University of Michigan"/>
    <s v="7923 7935"/>
    <s v="7923 7935"/>
    <s v="Standard Grant"/>
    <s v="Proposal Awarded"/>
    <m/>
    <s v="CIF: Small: New inroads into finite-length distributed information coding"/>
    <s v="JROBEY"/>
    <d v="2014-07-24T11:34:32"/>
    <n v="72"/>
  </r>
  <r>
    <d v="2017-09-14T09:43:06"/>
    <d v="2016-11-16T11:30:00"/>
    <d v="2017-07-07T16:08:3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299"/>
    <s v="I"/>
    <s v="eJ"/>
    <s v="1717299"/>
    <s v="1717299"/>
    <x v="3"/>
    <s v="01"/>
    <n v="369903"/>
    <n v="369903"/>
    <s v="Sadanandarao"/>
    <s v="Sandeep"/>
    <s v="University of Michigan"/>
    <s v="7923 7935 7937"/>
    <s v="7923 7935"/>
    <s v="Standard Grant"/>
    <s v="Proposal Awarded"/>
    <m/>
    <s v="CIF:Small: Toward an Algebraic and Probabilistic Foundation for Network Information Theory based on Quasi Structured Codes"/>
    <s v="ISATTLE"/>
    <d v="2017-08-29T17:44:44"/>
    <n v="73"/>
  </r>
  <r>
    <d v="2017-09-14T09:43:06"/>
    <d v="2015-01-14T15:17:00"/>
    <d v="2015-06-15T08:51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N"/>
    <s v="eJ"/>
    <s v="1527079"/>
    <s v="1527079"/>
    <x v="2"/>
    <s v="01"/>
    <n v="248973"/>
    <n v="248973"/>
    <s v="Heath"/>
    <s v="Robert"/>
    <s v="U of Texas Austin"/>
    <s v="7923 7936"/>
    <s v="7923 7936"/>
    <s v="Standard Grant"/>
    <s v="Proposal Awarded"/>
    <m/>
    <s v="CIF: Small: Collaborative Research: Next Generation Communications with Low-Resolution ADCs: Fundamentals and Practical Design"/>
    <s v="LFUQUA"/>
    <d v="2015-07-09T10:02:06"/>
    <n v="74"/>
  </r>
  <r>
    <d v="2017-09-14T09:43:06"/>
    <d v="2015-11-17T15:24:00"/>
    <d v="2016-06-13T20:15:1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319"/>
    <s v="I"/>
    <s v="eJ"/>
    <s v="1617319"/>
    <s v="1617319"/>
    <x v="0"/>
    <s v="02"/>
    <n v="249528"/>
    <n v="499528"/>
    <s v="Flynn"/>
    <s v="Michael"/>
    <s v="University of Michigan"/>
    <s v="7923 7935 7945"/>
    <s v="7923 7935"/>
    <s v="Standard Grant"/>
    <s v="Proposal Awarded"/>
    <m/>
    <s v="CCF: Small: Smart Continually-aware High-Fidelity Sensor Interfaces"/>
    <s v="LFUQUA"/>
    <d v="2016-07-06T06:30:40"/>
    <n v="75"/>
  </r>
  <r>
    <d v="2017-09-14T09:43:06"/>
    <d v="2013-11-12T11:23:00"/>
    <d v="2014-06-10T14:37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L"/>
    <s v="eJ"/>
    <s v="1409106"/>
    <s v="1409106"/>
    <x v="1"/>
    <s v="01"/>
    <n v="600000"/>
    <n v="600000"/>
    <s v="Viswanath"/>
    <s v="Pramod"/>
    <s v="U of Ill Urbana-Champaign"/>
    <s v="7924 7935"/>
    <s v="7935"/>
    <s v="Standard Grant"/>
    <s v="Proposal Awarded"/>
    <m/>
    <s v="CIF: Medium: Collaborative Research: Content Delivery over Heterogeneous Networks: Fundamental Limits and Distributed Algorithms"/>
    <s v="LFUQUA"/>
    <d v="2014-06-20T08:55:47"/>
    <n v="76"/>
  </r>
  <r>
    <d v="2017-09-14T09:43:06"/>
    <d v="2014-01-14T14:25:00"/>
    <d v="2014-07-14T14:21:5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78"/>
    <s v="I"/>
    <s v="eJ"/>
    <s v="1422278"/>
    <s v="1422278"/>
    <x v="1"/>
    <s v="01"/>
    <n v="250000"/>
    <n v="500000"/>
    <s v="Viswanath"/>
    <s v="Pramod"/>
    <s v="U of Ill Urbana-Champaign"/>
    <s v="7923 7935"/>
    <s v="7923 7935"/>
    <s v="Standard Grant"/>
    <s v="Proposal Awarded"/>
    <m/>
    <s v="CIF: Small: Statistical Data Privacy: Fundamental Limits and Efficient Algorithms"/>
    <s v="LFUQUA"/>
    <d v="2014-07-24T13:56:22"/>
    <n v="77"/>
  </r>
  <r>
    <d v="2017-09-14T09:43:06"/>
    <d v="2015-11-18T10:40:00"/>
    <d v="2016-05-18T15:16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N"/>
    <s v="eJ"/>
    <s v="1617745"/>
    <s v="1617745"/>
    <x v="0"/>
    <s v="01"/>
    <n v="250000"/>
    <n v="250000"/>
    <s v="Viswanath"/>
    <s v="Pramod"/>
    <s v="U of Ill Urbana-Champaign"/>
    <s v="7923 7935"/>
    <s v="7923 7935"/>
    <s v="Standard Grant"/>
    <s v="Proposal Awarded"/>
    <m/>
    <s v="CIF: Small: Collaborative Research: Perishable Network Information Flow"/>
    <s v="LFUQUA"/>
    <d v="2016-06-27T15:18:58"/>
    <n v="78"/>
  </r>
  <r>
    <d v="2017-09-14T09:43:06"/>
    <d v="2014-01-14T14:22:00"/>
    <d v="2014-06-25T16:08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62"/>
    <s v="I"/>
    <s v="eJ"/>
    <s v="1422262"/>
    <s v="1422262"/>
    <x v="1"/>
    <s v="01"/>
    <n v="380048"/>
    <n v="380048"/>
    <s v="Aviyente"/>
    <s v="Selin"/>
    <s v="Michigan State University"/>
    <s v="7923 7936"/>
    <s v="7923 7936"/>
    <s v="Standard Grant"/>
    <s v="Proposal Awarded"/>
    <m/>
    <s v="CIF:Small: A comprehensive framework for dynamic network tracking and clustering with applications to functional brain connectivity"/>
    <s v="LFUQUA"/>
    <d v="2014-07-10T16:02:15"/>
    <n v="79"/>
  </r>
  <r>
    <d v="2017-09-14T09:43:06"/>
    <d v="2015-11-16T10:57:00"/>
    <d v="2016-05-18T10:40:4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5489"/>
    <s v="I"/>
    <s v="eJ"/>
    <s v="1615489"/>
    <s v="1615489"/>
    <x v="0"/>
    <s v="01"/>
    <n v="500000"/>
    <n v="500000"/>
    <s v="Aviyente"/>
    <s v="Selin"/>
    <s v="Michigan State University"/>
    <s v="7923 7936"/>
    <s v="7923 7936 8089"/>
    <s v="Standard Grant"/>
    <s v="Proposal Awarded"/>
    <m/>
    <s v="CIF: Small: Low-Dimensional Structure Learning for Tensor Data with Applications to Neuroimaging"/>
    <s v="LFUQUA"/>
    <d v="2016-06-27T07:41:40"/>
    <n v="80"/>
  </r>
  <r>
    <d v="2017-09-14T09:43:06"/>
    <d v="2015-01-14T12:53:00"/>
    <d v="2015-07-23T13:12:0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N"/>
    <s v="eJ"/>
    <s v="1526434"/>
    <s v="1526434"/>
    <x v="2"/>
    <s v="01"/>
    <n v="310000"/>
    <n v="310000"/>
    <s v="Luo"/>
    <s v="Zhi-Quan"/>
    <s v="U of Minnesota-Twin Cities"/>
    <s v="7923 7935"/>
    <s v="7923 7935"/>
    <s v="Standard Grant"/>
    <s v="Proposal Awarded"/>
    <m/>
    <s v="CIF: Small: Collaborative Research: Optimal Provision of Backhaul and Radio Access Networks: A Cross-Network Approach"/>
    <s v="LFUQUA"/>
    <d v="2015-08-26T11:52:17"/>
    <n v="81"/>
  </r>
  <r>
    <d v="2017-09-14T09:43:06"/>
    <d v="2015-11-18T12:13:00"/>
    <d v="2016-05-18T10:35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86"/>
    <s v="I"/>
    <s v="eJ"/>
    <s v="1617986"/>
    <s v="1617986"/>
    <x v="0"/>
    <s v="01"/>
    <n v="498493"/>
    <n v="498493"/>
    <s v="Fernandez-Bugallo"/>
    <s v="Monica"/>
    <s v="SUNY Stony Brook"/>
    <s v="7923 7936"/>
    <s v="7923 7936"/>
    <s v="Standard Grant"/>
    <s v="Proposal Awarded"/>
    <m/>
    <s v="CIF: Small: Advancing Adaptive Importance Sampling for Signal Processing"/>
    <s v="LFUQUA"/>
    <d v="2016-06-24T15:29:49"/>
    <n v="82"/>
  </r>
  <r>
    <d v="2017-09-14T09:43:06"/>
    <d v="2015-01-13T17:03:00"/>
    <d v="2015-07-29T12:31:4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705"/>
    <s v="I"/>
    <s v="eJ"/>
    <s v="1525705"/>
    <s v="1525705"/>
    <x v="2"/>
    <s v="01"/>
    <n v="175000"/>
    <n v="495807"/>
    <s v="Win"/>
    <s v="Moe"/>
    <s v="MIT"/>
    <s v="7923 7935"/>
    <s v="7923 7935"/>
    <s v="Standard Grant"/>
    <s v="Proposal Awarded"/>
    <m/>
    <s v="CIF:Small: Cooperative Interference Engineering for Network Secrecy"/>
    <s v="LFUQUA"/>
    <d v="2015-08-26T11:21:28"/>
    <n v="83"/>
  </r>
  <r>
    <d v="2017-09-14T09:43:06"/>
    <d v="2014-01-09T14:02:00"/>
    <d v="2014-07-24T16:05:0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174"/>
    <s v="I"/>
    <s v="eJ"/>
    <s v="1420174"/>
    <s v="1420174"/>
    <x v="1"/>
    <s v="01"/>
    <n v="154116"/>
    <n v="308442"/>
    <s v="Li"/>
    <s v="Xin"/>
    <s v="WV Univ Research Corp"/>
    <s v="7923 7936 9150"/>
    <s v="7923 7936 9150"/>
    <s v="Standard Grant"/>
    <s v="Proposal Awarded"/>
    <m/>
    <s v="CIF:SMALL: Image Restoration via Bayesian Structured Sparse Coding"/>
    <s v="JROBEY"/>
    <d v="2014-08-20T15:38:35"/>
    <n v="84"/>
  </r>
  <r>
    <d v="2017-09-14T09:43:06"/>
    <d v="2015-01-14T14:39:00"/>
    <d v="2015-06-04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L"/>
    <s v="eJ"/>
    <s v="1526875"/>
    <s v="1526875"/>
    <x v="2"/>
    <s v="01"/>
    <n v="150000"/>
    <n v="150000"/>
    <s v="Milenkovic"/>
    <s v="Olgica"/>
    <s v="U of Ill Urbana-Champaign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4"/>
    <n v="85"/>
  </r>
  <r>
    <d v="2017-09-14T09:43:06"/>
    <d v="2015-01-14T16:37:00"/>
    <d v="2015-07-09T10:38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36"/>
    <s v="L"/>
    <s v="eJ"/>
    <s v="1527636"/>
    <s v="1527636"/>
    <x v="2"/>
    <s v="01"/>
    <n v="250000"/>
    <n v="250000"/>
    <s v="Milenkovic"/>
    <s v="Olgica"/>
    <s v="U of Ill Urbana-Champaign"/>
    <s v="7923 7935"/>
    <s v="7923 7935"/>
    <s v="Standard Grant"/>
    <s v="Proposal Awarded"/>
    <m/>
    <s v="CIF: Small: Collaborative Research: Ordinal Data Compression"/>
    <s v="LFUQUA"/>
    <d v="2015-08-11T14:04:03"/>
    <n v="86"/>
  </r>
  <r>
    <d v="2017-09-14T09:43:06"/>
    <d v="2015-11-18T14:29:00"/>
    <d v="2016-05-18T15:05:5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66"/>
    <s v="I"/>
    <s v="eJ"/>
    <s v="1618366"/>
    <s v="1618366"/>
    <x v="0"/>
    <s v="01"/>
    <n v="500000"/>
    <n v="500000"/>
    <s v="Milenkovic"/>
    <s v="Olgica"/>
    <s v="U of Ill Urbana-Champaign"/>
    <s v="7923 7935"/>
    <s v="7923 7935"/>
    <s v="Standard Grant"/>
    <s v="Proposal Awarded"/>
    <m/>
    <s v="CIF: Small: Coding for DNA-Based Storage Systems"/>
    <s v="LFUQUA"/>
    <d v="2016-06-27T08:41:25"/>
    <n v="87"/>
  </r>
  <r>
    <d v="2017-09-14T09:43:06"/>
    <d v="2014-01-14T13:33:00"/>
    <d v="2014-06-23T15:01:4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045"/>
    <s v="I"/>
    <s v="eJ"/>
    <s v="1422045"/>
    <s v="1422045"/>
    <x v="1"/>
    <s v="01"/>
    <n v="249956"/>
    <n v="499912"/>
    <s v="Guruswami"/>
    <s v="Venkatesan"/>
    <s v="Carnegie Mellon University"/>
    <s v="7923 7926 7937"/>
    <s v="7923 7937"/>
    <s v="Standard Grant"/>
    <s v="Proposal Awarded"/>
    <m/>
    <s v="CIF/AF: Small: Some fundamental complexity-inspired coding theory challenges"/>
    <s v="LFUQUA"/>
    <d v="2014-07-10T15:23:21"/>
    <n v="88"/>
  </r>
  <r>
    <d v="2017-09-14T09:43:06"/>
    <d v="2014-01-14T18:25:00"/>
    <d v="2014-06-20T12:39:14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542"/>
    <s v="I"/>
    <s v="eJ"/>
    <s v="1423542"/>
    <s v="1423542"/>
    <x v="1"/>
    <s v="01"/>
    <n v="376628"/>
    <n v="376628"/>
    <s v="Liu"/>
    <s v="Xin"/>
    <s v="U of Cal Davis"/>
    <s v="7923 7935 9102"/>
    <s v="7923 7935 9102"/>
    <s v="Standard Grant"/>
    <s v="Proposal Awarded"/>
    <m/>
    <s v="NeTS: Small: The Power of Online Learning in Stochastic System Optimization"/>
    <s v="LFUQUA"/>
    <d v="2014-07-22T07:32:31"/>
    <n v="89"/>
  </r>
  <r>
    <d v="2017-09-14T09:43:06"/>
    <d v="2016-09-28T09:41:00"/>
    <d v="2016-11-10T11:05:53"/>
    <s v="05010000"/>
    <s v="05010000"/>
    <s v="7797 - COMM &amp; INFORMATION FOUNDATIONS"/>
    <s v="7797 - COMM &amp; INFORMATION FOUNDATIONS"/>
    <s v="RIBROWN"/>
    <s v="RIBROWN"/>
    <s v="4160"/>
    <s v="4160"/>
    <s v="NSF 16-1"/>
    <x v="0"/>
    <x v="0"/>
    <s v="AWD"/>
    <s v="STND"/>
    <s v="STND"/>
    <s v="CCF"/>
    <s v="1664700"/>
    <s v="I"/>
    <s v="eJ"/>
    <s v="1664700"/>
    <s v="1664700"/>
    <x v="3"/>
    <s v="01"/>
    <n v="20000"/>
    <n v="20000"/>
    <s v="Kishore"/>
    <s v="Shalinee"/>
    <s v="Lehigh University"/>
    <s v="7556 7935"/>
    <s v="7556"/>
    <s v="Standard Grant"/>
    <s v="Proposal Awarded"/>
    <m/>
    <s v="CIF: Small: Student Travel Grants for IEEE Wireless Communications and Networking Conference 2017"/>
    <s v="LFUQUA"/>
    <d v="2016-11-21T11:11:21"/>
    <n v="90"/>
  </r>
  <r>
    <d v="2017-09-14T09:43:06"/>
    <d v="2014-01-14T16:22:00"/>
    <d v="2014-06-20T12:46:10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L"/>
    <s v="eJ"/>
    <s v="1422955"/>
    <s v="1422955"/>
    <x v="1"/>
    <s v="01"/>
    <n v="299504"/>
    <n v="294836"/>
    <s v="Barg"/>
    <s v="Alexander"/>
    <s v="U of MD College Park"/>
    <s v="7923 7935"/>
    <s v="7923 7935"/>
    <s v="Standard Grant"/>
    <s v="Proposal Awarded"/>
    <m/>
    <s v="CIF: Small: Collaborative Research: Efficient Codes and their Performance Limits for Distributed Storage Systems"/>
    <s v="JROBEY"/>
    <d v="2014-07-22T08:41:34"/>
    <n v="91"/>
  </r>
  <r>
    <d v="2017-09-14T09:43:06"/>
    <d v="2015-11-18T15:25:00"/>
    <d v="2016-05-18T15:18:3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L"/>
    <s v="eJ"/>
    <s v="1618603"/>
    <s v="1618603"/>
    <x v="0"/>
    <s v="01"/>
    <n v="249823"/>
    <n v="249823"/>
    <s v="Barg"/>
    <s v="Alexander"/>
    <s v="U of MD College Park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51"/>
    <n v="92"/>
  </r>
  <r>
    <d v="2017-09-14T09:43:06"/>
    <d v="2015-11-18T11:09:00"/>
    <d v="2016-06-08T16:50:1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N"/>
    <s v="eJ"/>
    <s v="1617815"/>
    <s v="1617815"/>
    <x v="0"/>
    <s v="01"/>
    <n v="215000"/>
    <n v="215000"/>
    <s v="Wu"/>
    <s v="Dapeng"/>
    <s v="University of Florida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7"/>
    <n v="93"/>
  </r>
  <r>
    <d v="2017-09-14T09:43:06"/>
    <d v="2015-11-18T15:33:00"/>
    <d v="2016-06-10T16:54:3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N"/>
    <s v="eJ"/>
    <s v="1618637"/>
    <s v="1618637"/>
    <x v="0"/>
    <s v="01"/>
    <n v="250000"/>
    <n v="250000"/>
    <s v="Vidal"/>
    <s v="Rene"/>
    <s v="Johns Hopkins University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1"/>
    <n v="94"/>
  </r>
  <r>
    <d v="2017-09-14T09:43:06"/>
    <d v="2015-01-12T13:12:00"/>
    <d v="2015-07-09T09:52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417"/>
    <s v="I"/>
    <s v="eJ"/>
    <s v="1524417"/>
    <s v="1524417"/>
    <x v="2"/>
    <s v="01"/>
    <n v="482627"/>
    <n v="500000"/>
    <s v="van der Schaar"/>
    <s v="Mihaela"/>
    <s v="U of Cal Los Angeles"/>
    <s v="7923 7935"/>
    <s v="7923 7935"/>
    <s v="Standard Grant"/>
    <s v="Proposal Awarded"/>
    <m/>
    <s v="CIF: Small: Networks: Evolution, Learning and Social Norms"/>
    <s v="LFUQUA"/>
    <d v="2015-08-07T12:16:44"/>
    <n v="95"/>
  </r>
  <r>
    <d v="2017-09-14T09:43:06"/>
    <d v="2014-01-14T18:40:00"/>
    <d v="2014-06-18T13:02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570"/>
    <s v="I"/>
    <s v="eJ"/>
    <s v="1423570"/>
    <s v="1423570"/>
    <x v="1"/>
    <s v="01"/>
    <n v="280717"/>
    <n v="336179"/>
    <s v="Tuncel"/>
    <s v="Ertem"/>
    <s v="U of Cal Riverside"/>
    <s v="7923 7936"/>
    <s v="7923 7936"/>
    <s v="Standard Grant"/>
    <s v="Proposal Awarded"/>
    <m/>
    <s v="CIF: Small: Sensors That Make Sense: Peak-Power, Energy, and Delay Constrained Networks"/>
    <s v="JROBEY"/>
    <d v="2014-06-30T08:49:03"/>
    <n v="96"/>
  </r>
  <r>
    <d v="2017-09-14T09:43:06"/>
    <d v="2015-11-17T17:31:00"/>
    <d v="2016-05-17T09:36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504"/>
    <s v="I"/>
    <s v="eJ"/>
    <s v="1617504"/>
    <s v="1617504"/>
    <x v="0"/>
    <s v="01"/>
    <n v="499787"/>
    <n v="499787"/>
    <s v="Jafar"/>
    <s v="Syed"/>
    <s v="U of Cal Irvine"/>
    <s v="7923 7935"/>
    <s v="7923 7935"/>
    <s v="Standard Grant"/>
    <s v="Proposal Awarded"/>
    <m/>
    <s v="CIF:Small: Fundamental Limits of Robust Interference Management -- Between the Extremes"/>
    <s v="LFUQUA"/>
    <d v="2016-06-10T08:51:15"/>
    <n v="97"/>
  </r>
  <r>
    <d v="2017-09-14T09:43:06"/>
    <d v="2016-11-16T13:24:00"/>
    <d v="2017-07-14T10:43:2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602"/>
    <s v="I"/>
    <s v="eJ"/>
    <s v="1717602"/>
    <s v="1717602"/>
    <x v="3"/>
    <s v="01"/>
    <n v="470000"/>
    <n v="500000"/>
    <s v="Calderbank"/>
    <s v="Arthur"/>
    <s v="Duke University"/>
    <s v="7923 7935"/>
    <s v="7923 7935"/>
    <s v="Standard Grant"/>
    <s v="Proposal Awarded"/>
    <m/>
    <s v="CIF:Small:High Performance Memories that Integrate Coding and Computer Architecture"/>
    <s v="ISATTLE"/>
    <d v="2017-08-30T15:04:25"/>
    <n v="98"/>
  </r>
  <r>
    <d v="2017-09-14T09:43:06"/>
    <d v="2016-11-16T16:11:00"/>
    <d v="2017-07-17T09:43:3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7"/>
    <s v="I"/>
    <s v="eJ"/>
    <s v="1718477"/>
    <s v="1718477"/>
    <x v="3"/>
    <s v="01"/>
    <n v="477478"/>
    <n v="500000"/>
    <s v="Neely"/>
    <s v="Michael"/>
    <s v="U of Southern California"/>
    <s v="7923 7935"/>
    <s v="7935"/>
    <s v="Standard Grant"/>
    <s v="Proposal Awarded"/>
    <m/>
    <s v="NeTS:Small:Optimal Learning Times for Task-Oriented Communication Networks"/>
    <s v="ISATTLE"/>
    <d v="2017-08-30T16:45:08"/>
    <n v="99"/>
  </r>
  <r>
    <d v="2017-09-14T09:43:06"/>
    <d v="2015-01-14T19:01:00"/>
    <d v="2015-06-04T08:48:1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59"/>
    <s v="L"/>
    <s v="eJ"/>
    <s v="1528159"/>
    <s v="1528159"/>
    <x v="2"/>
    <s v="01"/>
    <n v="250000"/>
    <n v="250000"/>
    <s v="Weissman"/>
    <s v="Itschak(Tsachy)"/>
    <s v="Stanford University"/>
    <s v="7923 7935"/>
    <s v="7923 7935"/>
    <s v="Standard Grant"/>
    <s v="Proposal Awarded"/>
    <m/>
    <s v="CIF: Small: Collaborative Research: Inference of Information Measures on Large Alphabets: Fundamental Limits, Fast Algorithms, and Applications"/>
    <s v="LFUQUA"/>
    <d v="2015-06-24T13:51:14"/>
    <n v="100"/>
  </r>
  <r>
    <d v="2017-09-14T09:43:06"/>
    <d v="2017-03-08T17:53:00"/>
    <d v="2017-06-05T15:55:32"/>
    <s v="05010000"/>
    <s v="05010000"/>
    <s v="7797 - COMM &amp; INFORMATION FOUNDATIONS"/>
    <s v="7797 - COMM &amp; INFORMATION FOUNDATIONS"/>
    <s v="JCOZZEN"/>
    <s v="JCOZZEN"/>
    <s v="4110"/>
    <s v="4110"/>
    <s v="NSF 17-1"/>
    <x v="0"/>
    <x v="0"/>
    <s v="AWD"/>
    <s v="STND"/>
    <s v="STND"/>
    <s v="CCF"/>
    <s v="1740391"/>
    <s v="I"/>
    <s v="eJ"/>
    <s v="1740391"/>
    <s v="1740391"/>
    <x v="3"/>
    <s v="01"/>
    <n v="375000"/>
    <n v="1000000"/>
    <s v="Marka"/>
    <s v="Szabolcs"/>
    <s v="Columbia University"/>
    <s v="049Z 7936"/>
    <s v="049Z 7936"/>
    <s v="Standard Grant"/>
    <s v="Proposal Awarded"/>
    <m/>
    <s v="RAISE: Deep Gravitational Wave Exploration, Instrumental Insights and Noise Removal Through Machine Learning"/>
    <s v="DCOATES"/>
    <d v="2017-06-14T13:47:13"/>
    <n v="101"/>
  </r>
  <r>
    <d v="2017-09-14T09:43:06"/>
    <d v="2014-01-14T16:31:00"/>
    <d v="2014-06-20T12:26:1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040"/>
    <s v="I"/>
    <s v="eJ"/>
    <s v="1423040"/>
    <s v="1423040"/>
    <x v="1"/>
    <s v="01"/>
    <n v="499771"/>
    <n v="499771"/>
    <s v="Guo"/>
    <s v="Dongning"/>
    <s v="Northwestern University"/>
    <s v="7923 7935"/>
    <s v="7923 7935"/>
    <s v="Standard Grant"/>
    <s v="Proposal Awarded"/>
    <m/>
    <s v="CIF:Small: Many-User Information Theory: A New Paradigm"/>
    <s v="LFUQUA"/>
    <d v="2014-07-10T07:39:56"/>
    <n v="102"/>
  </r>
  <r>
    <d v="2017-09-14T09:43:06"/>
    <d v="2016-11-16T16:48:00"/>
    <d v="2017-07-17T16:55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771"/>
    <s v="I"/>
    <s v="eJ"/>
    <s v="1718771"/>
    <s v="1718771"/>
    <x v="3"/>
    <s v="01"/>
    <n v="499703"/>
    <n v="499703"/>
    <s v="Romberg"/>
    <s v="Justin"/>
    <s v="Georgia Tech Research Corp"/>
    <s v="7923 7936"/>
    <s v="7923 7936"/>
    <s v="Standard Grant"/>
    <s v="Proposal Awarded"/>
    <m/>
    <s v="CIF:Small:Model-Based Blind Demixing for Signal Processing and Machine Learning"/>
    <s v="ISATTLE"/>
    <d v="2017-08-31T15:24:15"/>
    <n v="103"/>
  </r>
  <r>
    <d v="2017-09-14T09:43:06"/>
    <d v="2014-01-14T19:37:00"/>
    <d v="2014-07-14T16:03:4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48"/>
    <s v="I"/>
    <s v="eJ"/>
    <s v="1423648"/>
    <s v="1423648"/>
    <x v="1"/>
    <s v="01"/>
    <n v="500000"/>
    <n v="500000"/>
    <s v="Franceschetti"/>
    <s v="Massimo"/>
    <s v="U of Cal San Diego"/>
    <s v="7923 7935"/>
    <s v="7923 7935"/>
    <s v="Standard Grant"/>
    <s v="Proposal Awarded"/>
    <m/>
    <s v="CIF: Small: A wave-theoretic approach to information transport in scattering environments"/>
    <s v="LFUQUA"/>
    <d v="2014-07-28T08:08:33"/>
    <n v="104"/>
  </r>
  <r>
    <d v="2017-09-14T09:43:06"/>
    <d v="2016-11-16T14:45:00"/>
    <d v="2017-06-16T16:37:06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942"/>
    <s v="I"/>
    <s v="eJ"/>
    <s v="1717942"/>
    <s v="1717942"/>
    <x v="3"/>
    <s v="01"/>
    <n v="500000"/>
    <n v="500000"/>
    <s v="Franceschetti"/>
    <s v="Massimo"/>
    <s v="U of Cal San Diego"/>
    <s v="7923 7935"/>
    <s v="7923 7935"/>
    <s v="Standard Grant"/>
    <s v="Proposal Awarded"/>
    <m/>
    <s v="CIF: Small: Blind information measures for waves: a deterministic approach"/>
    <s v="ISATTLE"/>
    <d v="2017-06-22T16:28:32"/>
    <n v="105"/>
  </r>
  <r>
    <d v="2017-09-14T09:43:06"/>
    <d v="2016-11-16T16:35:00"/>
    <d v="2017-06-30T12:12:0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N"/>
    <s v="eJ"/>
    <s v="1718658"/>
    <s v="1718658"/>
    <x v="3"/>
    <s v="01"/>
    <n v="190000"/>
    <n v="190000"/>
    <s v="Sprintson"/>
    <s v="Alexander"/>
    <s v="Texas Engineering Exp Sta"/>
    <s v="7923 7935 7937"/>
    <s v="7923 7935"/>
    <s v="Standard Grant"/>
    <s v="Proposal Awarded"/>
    <m/>
    <s v="CIF:Small:Collaborative Research:Codes for Storage with Queues for Access"/>
    <s v="ISATTLE"/>
    <d v="2017-07-18T11:13:13"/>
    <n v="106"/>
  </r>
  <r>
    <d v="2017-09-14T09:43:06"/>
    <d v="2015-01-14T16:34:00"/>
    <d v="2015-06-12T13:55:1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618"/>
    <s v="I"/>
    <s v="eJ"/>
    <s v="1527618"/>
    <s v="1527618"/>
    <x v="2"/>
    <s v="01"/>
    <n v="500000"/>
    <n v="500000"/>
    <s v="Ishwar"/>
    <s v="Prakash"/>
    <s v="Boston University"/>
    <s v="7923 7936"/>
    <s v="7923 7936"/>
    <s v="Standard Grant"/>
    <s v="Proposal Awarded"/>
    <m/>
    <s v="CIF:Small:Learning Mixed Membership Models with a Separable Latent Structure: theory, provably efficient algorithms, and applications"/>
    <s v="LFUQUA"/>
    <d v="2015-07-09T07:07:56"/>
    <n v="107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1"/>
    <n v="426385"/>
    <n v="490000"/>
    <s v="Vaswani"/>
    <s v="Namrata"/>
    <s v="Iowa State University"/>
    <s v="7923 7936 9150"/>
    <s v="7923 7936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2"/>
    <n v="16000"/>
    <n v="490000"/>
    <s v="Vaswani"/>
    <s v="Namrata"/>
    <s v="Iowa State University"/>
    <s v="7923 7936 9150"/>
    <s v="7936 9251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11-18T15:27:00"/>
    <d v="2016-05-18T15:09:42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15"/>
    <s v="I"/>
    <s v="eJ"/>
    <s v="1618615"/>
    <s v="1618615"/>
    <x v="0"/>
    <s v="01"/>
    <n v="442320"/>
    <n v="442320"/>
    <s v="Gursoy"/>
    <s v="Mustafa"/>
    <s v="Syracuse University"/>
    <s v="7923 7935"/>
    <s v="7923 7935"/>
    <s v="Standard Grant"/>
    <s v="Proposal Awarded"/>
    <m/>
    <s v="CIF: Small: Fundamental Limits of Wireless Communications with Stochastic Information Flows and Queueing Constraints"/>
    <s v="LFUQUA"/>
    <d v="2016-06-27T08:44:02"/>
    <n v="109"/>
  </r>
  <r>
    <d v="2017-09-14T09:43:06"/>
    <d v="2016-11-16T17:04:00"/>
    <d v="2017-06-30T12:07:5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L"/>
    <s v="eJ"/>
    <s v="1718886"/>
    <s v="1718886"/>
    <x v="3"/>
    <s v="01"/>
    <n v="299999"/>
    <n v="333334"/>
    <s v="Jiang"/>
    <s v="Anxiao"/>
    <s v="Texas Engineering Exp Sta"/>
    <s v="7923 7935"/>
    <s v="7923 7935"/>
    <s v="Standard Grant"/>
    <s v="Proposal Awarded"/>
    <m/>
    <s v="CIF: Small: Collaborative Research: Error Correction with Natural Redundancy"/>
    <s v="ISATTLE"/>
    <d v="2017-07-17T16:36:39"/>
    <n v="110"/>
  </r>
  <r>
    <d v="2017-09-14T09:43:06"/>
    <d v="2015-01-08T13:36:00"/>
    <d v="2015-06-22T15:51:2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3768"/>
    <s v="I"/>
    <s v="eJ"/>
    <s v="1523768"/>
    <s v="1523768"/>
    <x v="2"/>
    <s v="01"/>
    <n v="460111"/>
    <n v="493637"/>
    <s v="Nemirovski"/>
    <s v="Arkadi"/>
    <s v="Georgia Tech Research Corp"/>
    <s v="7797 7923 7936"/>
    <s v="7797 7936"/>
    <s v="Standard Grant"/>
    <s v="Proposal Awarded"/>
    <m/>
    <s v="CIF: Small: Statistical Inference via Convex Optimization"/>
    <s v="LFUQUA"/>
    <d v="2015-07-30T08:24:02"/>
    <n v="111"/>
  </r>
  <r>
    <d v="2017-09-14T09:43:06"/>
    <d v="2014-01-14T16:27:00"/>
    <d v="2014-06-20T12:20:4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97"/>
    <s v="I"/>
    <s v="eJ"/>
    <s v="1422997"/>
    <s v="1422997"/>
    <x v="1"/>
    <s v="01"/>
    <n v="493142"/>
    <n v="494214"/>
    <s v="Wang"/>
    <s v="Chih-Chun"/>
    <s v="Purdue University"/>
    <s v="7923 7935"/>
    <s v="7923 7935"/>
    <s v="Standard Grant"/>
    <s v="Proposal Awarded"/>
    <m/>
    <s v="CIF: Small: Network Information Theory Meets Network Optimization: Optimal Linear Network Coding for Packet Erasure Networks"/>
    <s v="LFUQUA"/>
    <d v="2014-07-10T15:20:39"/>
    <n v="112"/>
  </r>
  <r>
    <d v="2017-09-14T09:43:06"/>
    <d v="2015-11-18T14:55:00"/>
    <d v="2016-05-18T15:15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L"/>
    <s v="eJ"/>
    <s v="1618475"/>
    <s v="1618475"/>
    <x v="0"/>
    <s v="01"/>
    <n v="249854"/>
    <n v="249854"/>
    <s v="Wang"/>
    <s v="Chih-Chun"/>
    <s v="Purdue University"/>
    <s v="7923 7935"/>
    <s v="7923 7935"/>
    <s v="Standard Grant"/>
    <s v="Proposal Awarded"/>
    <m/>
    <s v="CIF: Small: Collaborative Research: Perishable Network Information Flow"/>
    <s v="LFUQUA"/>
    <d v="2016-06-27T15:19:03"/>
    <n v="113"/>
  </r>
  <r>
    <d v="2017-09-14T09:43:06"/>
    <d v="2014-01-10T16:15:00"/>
    <d v="2014-06-24T08:5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L"/>
    <s v="eJ"/>
    <s v="1420608"/>
    <s v="1420608"/>
    <x v="1"/>
    <s v="01"/>
    <n v="250000"/>
    <n v="250000"/>
    <s v="Luo"/>
    <s v="Jie"/>
    <s v="Colorado State University"/>
    <s v="7923 7935"/>
    <s v="7923 7935"/>
    <s v="Standard Grant"/>
    <s v="Proposal Awarded"/>
    <m/>
    <s v="CIF:Small: Collaborative Research:Theoretical Foundation of Distributed Wireless Channel Access"/>
    <s v="JROBEY"/>
    <d v="2014-07-25T09:29:16"/>
    <n v="114"/>
  </r>
  <r>
    <d v="2017-09-14T09:43:06"/>
    <d v="2015-01-14T15:15:00"/>
    <d v="2015-07-28T11:20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N"/>
    <s v="eJ"/>
    <s v="1527059"/>
    <s v="1527059"/>
    <x v="2"/>
    <s v="01"/>
    <n v="200000"/>
    <n v="250000"/>
    <s v="Tuninetti"/>
    <s v="Daniela"/>
    <s v="U of Illinois Chicago"/>
    <s v="7923 7935"/>
    <s v="7923 7935"/>
    <s v="Standard Grant"/>
    <s v="Proposal Awarded"/>
    <m/>
    <s v="CIF: Small: Collaborative Research: From Pliable to Content-Type Coding"/>
    <s v="LFUQUA"/>
    <d v="2015-08-27T15:24:49"/>
    <n v="115"/>
  </r>
  <r>
    <d v="2017-09-14T09:43:06"/>
    <d v="2015-11-18T09:53:00"/>
    <d v="2016-05-17T09:41:3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673"/>
    <s v="I"/>
    <s v="eJ"/>
    <s v="1617673"/>
    <s v="1617673"/>
    <x v="0"/>
    <s v="01"/>
    <n v="500000"/>
    <n v="500000"/>
    <s v="Wagner"/>
    <s v="Aaron"/>
    <s v="Cornell University"/>
    <s v="7923 7935"/>
    <s v="7923 7935"/>
    <s v="Standard Grant"/>
    <s v="Proposal Awarded"/>
    <m/>
    <s v="CIF:Small:Harnessing Network Compression Gains: Fundamental Limits and Practical Implementations"/>
    <s v="LFUQUA"/>
    <d v="2016-06-10T08:53:05"/>
    <n v="116"/>
  </r>
  <r>
    <d v="2017-09-14T09:43:06"/>
    <d v="2015-07-10T17:29:00"/>
    <d v="2015-07-28T16:19:31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1489"/>
    <s v="I"/>
    <s v="eJ"/>
    <s v="1551489"/>
    <s v="1551489"/>
    <x v="2"/>
    <s v="01"/>
    <n v="199891"/>
    <n v="199891"/>
    <s v="Ourmazd"/>
    <s v="Abbas"/>
    <s v="U of Wisconsin Milwaukee"/>
    <s v="7916 7936"/>
    <s v="7916 7936"/>
    <s v="Standard Grant"/>
    <s v="Proposal Awarded"/>
    <m/>
    <s v="EAGER:Topological Machine Learning"/>
    <s v="LFUQUA"/>
    <d v="2015-08-25T08:02:29"/>
    <n v="117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1"/>
    <n v="498176"/>
    <n v="514176"/>
    <s v="Pfister"/>
    <s v="Henry"/>
    <s v="Duke University"/>
    <s v="7923 7935"/>
    <s v="7923 7935"/>
    <s v="Standard Grant"/>
    <s v="Proposal Awarded"/>
    <m/>
    <s v="CIF: Small: Capacity via Symmetry"/>
    <s v="DCOATES"/>
    <d v="2017-06-28T19:23:17"/>
    <n v="118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2"/>
    <n v="16000"/>
    <n v="514176"/>
    <s v="Pfister"/>
    <s v="Henry"/>
    <s v="Duke University"/>
    <s v="7923 7935"/>
    <s v="7923 7935 9251"/>
    <s v="Standard Grant"/>
    <s v="Proposal Awarded"/>
    <m/>
    <s v="CIF: Small: Capacity via Symmetry"/>
    <s v="DCOATES"/>
    <d v="2017-06-28T19:23:17"/>
    <n v="118"/>
  </r>
  <r>
    <d v="2017-09-14T09:43:06"/>
    <d v="2014-01-14T13:51:00"/>
    <d v="2014-06-25T16:26:5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6"/>
    <s v="I"/>
    <s v="eJ"/>
    <s v="1422116"/>
    <s v="1422116"/>
    <x v="1"/>
    <s v="01"/>
    <n v="269014"/>
    <n v="340055"/>
    <s v="Thai"/>
    <s v="My"/>
    <s v="University of Florida"/>
    <s v="7923 7935"/>
    <s v="7923 7935"/>
    <s v="Standard Grant"/>
    <s v="Proposal Awarded"/>
    <m/>
    <s v="CIF: Small: Modeling and Dynamic Analyzing for Multiplex Social Networks"/>
    <s v="JROBEY"/>
    <d v="2014-07-23T08:33:51"/>
    <n v="119"/>
  </r>
  <r>
    <d v="2017-09-14T09:43:06"/>
    <d v="2014-01-14T14:00:00"/>
    <d v="2014-07-14T14:18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57"/>
    <s v="I"/>
    <s v="eJ"/>
    <s v="1422157"/>
    <s v="1422157"/>
    <x v="1"/>
    <s v="01"/>
    <n v="498210"/>
    <n v="498210"/>
    <s v="Scott"/>
    <s v="Clayton"/>
    <s v="University of Michigan"/>
    <s v="7923 7936"/>
    <s v="7923 7936"/>
    <s v="Standard Grant"/>
    <s v="Proposal Awarded"/>
    <m/>
    <s v="CIF: Small: Weakly Supervised Learning"/>
    <s v="LFUQUA"/>
    <d v="2014-07-24T13:55:14"/>
    <n v="120"/>
  </r>
  <r>
    <d v="2017-09-14T09:43:06"/>
    <d v="2014-01-14T12:22:00"/>
    <d v="2014-07-22T19:0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828"/>
    <s v="I"/>
    <s v="eJ"/>
    <s v="1421828"/>
    <s v="1421828"/>
    <x v="1"/>
    <s v="01"/>
    <n v="475000"/>
    <n v="500000"/>
    <s v="Walsh"/>
    <s v="John"/>
    <s v="Drexel University"/>
    <s v="7923 7935"/>
    <s v="7923 7935"/>
    <s v="Standard Grant"/>
    <s v="Proposal Awarded"/>
    <m/>
    <s v="CIF:Small:Computer assisted rate regions for multi-source distributed storage and network coding"/>
    <s v="LFUQUA"/>
    <d v="2014-08-12T11:45:17"/>
    <n v="121"/>
  </r>
  <r>
    <d v="2017-09-14T09:43:06"/>
    <d v="2016-11-16T16:10:00"/>
    <d v="2017-06-18T21:20:0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0"/>
    <s v="I"/>
    <s v="eJ"/>
    <s v="1718470"/>
    <s v="1718470"/>
    <x v="3"/>
    <s v="01"/>
    <n v="449996"/>
    <n v="490982"/>
    <s v="Ramamoorthy"/>
    <s v="Aditya"/>
    <s v="Iowa State University"/>
    <s v="7923 7935"/>
    <s v="7923 7935"/>
    <s v="Standard Grant"/>
    <s v="Proposal Awarded"/>
    <m/>
    <s v="CIF:Small:Towards practical coded caching"/>
    <s v="ISATTLE"/>
    <d v="2017-06-26T11:52:49"/>
    <n v="122"/>
  </r>
  <r>
    <d v="2017-09-14T09:43:06"/>
    <d v="2015-11-18T17:16:00"/>
    <d v="2016-06-08T15:00:1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L"/>
    <s v="eJ"/>
    <s v="1619216"/>
    <s v="1619216"/>
    <x v="0"/>
    <s v="01"/>
    <n v="250000"/>
    <n v="250000"/>
    <s v="Kiyavash"/>
    <s v="Negar"/>
    <s v="U of Ill Urbana-Champaign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52"/>
    <n v="123"/>
  </r>
  <r>
    <d v="2017-09-14T09:43:06"/>
    <d v="2016-11-14T01:04:00"/>
    <d v="2017-06-19T16:26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305"/>
    <s v="I"/>
    <s v="eJ"/>
    <s v="1714305"/>
    <s v="1714305"/>
    <x v="3"/>
    <s v="01"/>
    <n v="450000"/>
    <n v="500000"/>
    <s v="Montanari"/>
    <s v="Andrea"/>
    <s v="Stanford University"/>
    <s v="7923 7936"/>
    <s v="7923 7936"/>
    <s v="Standard Grant"/>
    <s v="Proposal Awarded"/>
    <m/>
    <s v="CIF:Small:Information-theoretic and Computational Thresholds in Statistical Learning"/>
    <s v="ISATTLE"/>
    <d v="2017-06-28T15:11:13"/>
    <n v="124"/>
  </r>
  <r>
    <d v="2017-09-14T09:43:06"/>
    <d v="2015-11-18T14:45:00"/>
    <d v="2016-05-12T10:31:27"/>
    <s v="05010000"/>
    <s v="05010000"/>
    <s v="7796 - ALGORITHMIC FOUNDATIONS"/>
    <s v="7797 - COMM &amp; INFORMATION FOUNDATIONS"/>
    <s v="MBASU"/>
    <s v="RIBROWN"/>
    <s v="4110"/>
    <s v="4110"/>
    <s v="NSF 15-573"/>
    <x v="0"/>
    <x v="0"/>
    <s v="AWD"/>
    <s v="STND"/>
    <s v="STND"/>
    <s v="CCF"/>
    <s v="1618427"/>
    <s v="I"/>
    <s v="eJ"/>
    <s v="1618427"/>
    <s v="1618427"/>
    <x v="0"/>
    <s v="01"/>
    <n v="306025"/>
    <n v="461109"/>
    <s v="Vikalo"/>
    <s v="Haris"/>
    <s v="U of Texas Austin"/>
    <s v="7923 7931"/>
    <s v="7923 7931"/>
    <s v="Standard Grant"/>
    <s v="Proposal Awarded"/>
    <m/>
    <s v="AF: Small: Reconstructing Mixtures of DNA Sequences from High-Throughput Sequencing Data"/>
    <s v="JMADIGA"/>
    <d v="2016-06-03T17:20:26"/>
    <n v="125"/>
  </r>
  <r>
    <d v="2017-09-14T09:43:06"/>
    <d v="2015-01-14T13:25:00"/>
    <d v="2015-07-13T23:59:31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6547"/>
    <s v="I"/>
    <s v="eJ"/>
    <s v="1526547"/>
    <s v="1526547"/>
    <x v="2"/>
    <s v="02"/>
    <n v="169096"/>
    <n v="338193"/>
    <s v="Kliewer"/>
    <s v="Joerg"/>
    <s v="NJIT"/>
    <s v="7923"/>
    <s v="7923 7935"/>
    <s v="Standard Grant"/>
    <s v="Proposal Awarded"/>
    <m/>
    <s v="TWC: Small: Communication under Adversarial Attacks in Complex Networks - Fundamental Limits and Secure Coding Strategies"/>
    <s v="LFUQUA"/>
    <d v="2015-08-17T07:13:27"/>
    <n v="126"/>
  </r>
  <r>
    <d v="2017-09-14T09:43:06"/>
    <d v="2016-11-16T15:29:00"/>
    <d v="2017-06-19T17:17:4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195"/>
    <s v="I"/>
    <s v="eJ"/>
    <s v="1718195"/>
    <s v="1718195"/>
    <x v="3"/>
    <s v="01"/>
    <n v="395283"/>
    <n v="395283"/>
    <s v="Rahnavard"/>
    <s v="Nazanin"/>
    <s v="U of Central Florida"/>
    <s v="7923 7935 7936 9102"/>
    <s v="7923 7935"/>
    <s v="Standard Grant"/>
    <s v="Proposal Awarded"/>
    <m/>
    <s v="CIF:Small: A Tensor-based Framework for Reliable Radio Cartography"/>
    <s v="ISATTLE"/>
    <d v="2017-06-28T13:19:36"/>
    <n v="127"/>
  </r>
  <r>
    <d v="2017-09-14T09:43:06"/>
    <d v="2015-01-13T16:37:00"/>
    <d v="2015-07-09T10:35:4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25"/>
    <s v="N"/>
    <s v="eJ"/>
    <s v="1525629"/>
    <s v="1525629"/>
    <x v="2"/>
    <s v="01"/>
    <n v="249848"/>
    <n v="249848"/>
    <s v="Simeone"/>
    <s v="Osvaldo"/>
    <s v="NJIT"/>
    <s v="7923 7935"/>
    <s v="7923 7935"/>
    <s v="Standard Grant"/>
    <s v="Proposal Awarded"/>
    <m/>
    <s v="CIF: Small: Collaborative Research: Communicating While Computing: Mobile Fog Computing Over Wireless Heterogeneous Networks"/>
    <s v="LFUQUA"/>
    <d v="2015-08-11T12:18:35"/>
    <n v="128"/>
  </r>
  <r>
    <d v="2017-09-14T09:43:06"/>
    <d v="2015-11-18T10:59:00"/>
    <d v="2016-06-13T15:01:43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N"/>
    <s v="eJ"/>
    <s v="1617789"/>
    <s v="1617789"/>
    <x v="0"/>
    <s v="01"/>
    <n v="220000"/>
    <n v="220000"/>
    <s v="Liang"/>
    <s v="Yingbin"/>
    <s v="Syracuse University"/>
    <s v="7923 7936"/>
    <s v="7923 7936"/>
    <s v="Standard Grant"/>
    <s v="Proposal Awarded"/>
    <m/>
    <s v="CIF: Small: Collaborative Research: Network Event Detection with Multistream Observations"/>
    <s v="LFUQUA"/>
    <d v="2016-06-30T15:03:32"/>
    <n v="129"/>
  </r>
  <r>
    <d v="2017-09-14T09:43:06"/>
    <d v="2015-11-18T13:14:00"/>
    <d v="2016-07-12T16:38:3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017"/>
    <s v="N"/>
    <s v="eJ"/>
    <s v="1618127"/>
    <s v="1618127"/>
    <x v="0"/>
    <s v="01"/>
    <n v="78652"/>
    <n v="250000"/>
    <s v="Liang"/>
    <s v="Yingbin"/>
    <s v="Syracuse University"/>
    <s v="7923 7936"/>
    <s v="7923 7936"/>
    <s v="Standard Grant"/>
    <s v="Proposal Awarded"/>
    <m/>
    <s v="CIF: Small: Collaborative Research: Secret Key Generation Under Resource Constraints"/>
    <s v="LFUQUA"/>
    <d v="2016-08-01T14:18:26"/>
    <n v="130"/>
  </r>
  <r>
    <d v="2017-09-14T09:43:06"/>
    <d v="2015-01-12T18:59:00"/>
    <d v="2015-07-09T10:31:2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N"/>
    <s v="eJ"/>
    <s v="1524839"/>
    <s v="1524839"/>
    <x v="2"/>
    <s v="01"/>
    <n v="130000"/>
    <n v="131502"/>
    <s v="Liu"/>
    <s v="Tie"/>
    <s v="Texas Engineering Exp Sta"/>
    <s v="7923 7935"/>
    <s v="7923 7935"/>
    <s v="Standard Grant"/>
    <s v="Proposal Awarded"/>
    <m/>
    <s v="CIF: Small: Collaborative Research: Fundamental Limits of Information Systems: A Computational Approach"/>
    <s v="LFUQUA"/>
    <d v="2015-08-06T15:45:32"/>
    <n v="131"/>
  </r>
  <r>
    <d v="2017-09-14T09:43:06"/>
    <d v="2016-11-16T17:46:00"/>
    <d v="2017-06-16T16:35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9017"/>
    <s v="I"/>
    <s v="eJ"/>
    <s v="1719017"/>
    <s v="1719017"/>
    <x v="3"/>
    <s v="01"/>
    <n v="439315"/>
    <n v="499989"/>
    <s v="Liu"/>
    <s v="Tie"/>
    <s v="Texas Engineering Exp Sta"/>
    <s v="7923 7935"/>
    <s v="7923 7935"/>
    <s v="Standard Grant"/>
    <s v="Proposal Awarded"/>
    <m/>
    <s v="CIF: Small: Info-Clustering: An Information-Theoretic Framework for Data Clustering"/>
    <s v="ISATTLE"/>
    <d v="2017-06-22T16:32:35"/>
    <n v="132"/>
  </r>
  <r>
    <d v="2017-09-14T09:43:06"/>
    <d v="2016-11-16T09:54:00"/>
    <d v="2017-06-20T06:35:0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120"/>
    <s v="I"/>
    <s v="eJ"/>
    <s v="1717120"/>
    <s v="1717120"/>
    <x v="3"/>
    <s v="01"/>
    <n v="450000"/>
    <n v="500000"/>
    <s v="Ribeiro"/>
    <s v="Alejandro"/>
    <s v="U of Pennsylvania"/>
    <s v="7923 7936"/>
    <s v="7923 7936"/>
    <s v="Standard Grant"/>
    <s v="Proposal Awarded"/>
    <m/>
    <s v="CIF: SMALL: Metric Representations of Network Data"/>
    <s v="ISATTLE"/>
    <d v="2017-06-26T15:52:52"/>
    <n v="133"/>
  </r>
  <r>
    <d v="2017-09-14T09:43:06"/>
    <d v="2013-11-06T17:10:00"/>
    <d v="2014-06-10T14:38:1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7278"/>
    <s v="1407278"/>
    <x v="1"/>
    <s v="01"/>
    <n v="199986"/>
    <n v="199986"/>
    <s v="Dimakis"/>
    <s v="Georgios-Alex"/>
    <s v="U of Texas Austin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5"/>
    <n v="134"/>
  </r>
  <r>
    <d v="2017-09-14T09:43:06"/>
    <d v="2014-01-14T15:19:00"/>
    <d v="2014-06-30T16:20:4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549"/>
    <s v="I"/>
    <s v="eJ"/>
    <s v="1422549"/>
    <s v="1422549"/>
    <x v="1"/>
    <s v="01"/>
    <n v="425239"/>
    <n v="467992"/>
    <s v="Dimakis"/>
    <s v="Georgios-Alex"/>
    <s v="U of Texas Austin"/>
    <s v="7923 7936"/>
    <s v="7923 7936"/>
    <s v="Standard Grant"/>
    <s v="Proposal Awarded"/>
    <m/>
    <s v="CIF: Small: Sparsity in Quadratic Optimization through Low-Rank Approximations"/>
    <s v="LFUQUA"/>
    <d v="2014-07-16T07:49:17"/>
    <n v="135"/>
  </r>
  <r>
    <d v="2017-09-14T09:43:06"/>
    <d v="2015-11-18T15:43:00"/>
    <d v="2016-05-18T15:12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89"/>
    <s v="I"/>
    <s v="eJ"/>
    <s v="1618689"/>
    <s v="1618689"/>
    <x v="0"/>
    <s v="01"/>
    <n v="449094"/>
    <n v="449094"/>
    <s v="Dimakis"/>
    <s v="Georgios-Alex"/>
    <s v="U of Texas Austin"/>
    <s v="7923 7935"/>
    <s v="7923 7935"/>
    <s v="Standard Grant"/>
    <s v="Proposal Awarded"/>
    <m/>
    <s v="CIF: Small: Index Coding and Matrix Factorizations"/>
    <s v="LFUQUA"/>
    <d v="2016-06-27T08:46:12"/>
    <n v="136"/>
  </r>
  <r>
    <d v="2017-09-14T09:43:06"/>
    <d v="2014-01-14T15:40:00"/>
    <d v="2014-06-10T12:02:2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58"/>
    <s v="I"/>
    <s v="eJ"/>
    <s v="1422658"/>
    <s v="1422658"/>
    <x v="1"/>
    <s v="01"/>
    <n v="499962"/>
    <n v="499962"/>
    <s v="Pezeshki"/>
    <s v="Ali"/>
    <s v="Colorado State University"/>
    <s v="7923 7936"/>
    <s v="7923 7936"/>
    <s v="Standard Grant"/>
    <s v="Proposal Awarded"/>
    <m/>
    <s v="CIF:Small:String Submodularity and Near-Optimal Adaptive Control and Sensing"/>
    <s v="LFUQUA"/>
    <d v="2014-06-20T08:50:41"/>
    <n v="137"/>
  </r>
  <r>
    <d v="2017-09-14T09:43:06"/>
    <d v="2016-07-27T15:30:00"/>
    <d v="2016-08-02T15:50:30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AWD"/>
    <s v="STND"/>
    <s v="STND"/>
    <s v="CCF"/>
    <s v="1654873"/>
    <s v="I"/>
    <s v="eJ"/>
    <s v="1654873"/>
    <s v="1654873"/>
    <x v="0"/>
    <s v="01"/>
    <n v="79824"/>
    <n v="79824"/>
    <s v="Pezeshki"/>
    <s v="Ali"/>
    <s v="Colorado State University"/>
    <s v="7556"/>
    <s v="7556 7936"/>
    <s v="Standard Grant"/>
    <s v="Proposal Awarded"/>
    <m/>
    <s v="Workshop on Geometry for Signal Processing and Machine Learning"/>
    <s v="JROBEY"/>
    <d v="2016-09-06T14:23:30"/>
    <n v="138"/>
  </r>
  <r>
    <d v="2017-09-14T09:43:06"/>
    <d v="2015-01-14T15:17:00"/>
    <d v="2015-07-20T06:56:5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N"/>
    <s v="eJ"/>
    <s v="1527074"/>
    <s v="1527074"/>
    <x v="2"/>
    <s v="01"/>
    <n v="115000"/>
    <n v="230000"/>
    <s v="Bloch"/>
    <s v="Matthieu"/>
    <s v="Georgia Tech Research Corp"/>
    <s v="7923 7935"/>
    <s v="7923 7935"/>
    <s v="Standard Grant"/>
    <s v="Proposal Awarded"/>
    <m/>
    <s v="CIF: Small: Collaborative Research:Towards more Secure Systems: Uniformization for Secrecy"/>
    <s v="LFUQUA"/>
    <d v="2015-09-22T14:15:16"/>
    <n v="139"/>
  </r>
  <r>
    <d v="2017-09-14T09:43:06"/>
    <d v="2017-02-24T14:30:00"/>
    <d v="2017-05-15T13:56:11"/>
    <s v="05010000"/>
    <s v="05010000"/>
    <s v="7797 - COMM &amp; INFORMATION FOUNDATIONS"/>
    <s v="7797 - COMM &amp; INFORMATION FOUNDATIONS"/>
    <s v="RIBROWN"/>
    <s v="RIBROWN"/>
    <s v="4160"/>
    <s v="4160"/>
    <s v="NSF 17-1"/>
    <x v="0"/>
    <x v="0"/>
    <s v="AWD"/>
    <s v="STND"/>
    <s v="STND"/>
    <s v="CCF"/>
    <s v="1738268"/>
    <s v="I"/>
    <s v="eJ"/>
    <s v="1738268"/>
    <s v="1738268"/>
    <x v="3"/>
    <s v="01"/>
    <n v="10000"/>
    <n v="20000"/>
    <s v="Bloch"/>
    <s v="Matthieu"/>
    <s v="Georgia Tech Research Corp"/>
    <s v="7556 7935"/>
    <s v="7556 7935"/>
    <s v="Standard Grant"/>
    <s v="Proposal Awarded"/>
    <m/>
    <s v="Request for Support for U.S. Participants in the 2017 IEEE North American School for Information Theory"/>
    <s v="ISATTLE"/>
    <d v="2017-06-26T13:07:27"/>
    <n v="140"/>
  </r>
  <r>
    <d v="2017-09-14T09:43:06"/>
    <d v="2015-01-14T16:03:00"/>
    <d v="2015-07-18T13:11:46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7387"/>
    <s v="I"/>
    <s v="eJ"/>
    <s v="1527387"/>
    <s v="1527387"/>
    <x v="2"/>
    <s v="02"/>
    <n v="210007"/>
    <n v="420015"/>
    <s v="Bloch"/>
    <s v="Matthieu"/>
    <s v="Georgia Tech Research Corp"/>
    <s v="7923"/>
    <s v="7923 7935"/>
    <s v="Standard Grant"/>
    <s v="Proposal Awarded"/>
    <m/>
    <s v="TWC: Small: Towards stealth networks: fundamental limits and algorithms for stealth communications"/>
    <s v="LFUQUA"/>
    <d v="2015-08-24T14:16:58"/>
    <n v="141"/>
  </r>
  <r>
    <d v="2017-09-14T09:43:06"/>
    <d v="2015-11-18T19:46:00"/>
    <d v="2016-05-17T13:43:2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452"/>
    <s v="I"/>
    <s v="eJ"/>
    <s v="1619452"/>
    <s v="1619452"/>
    <x v="0"/>
    <s v="01"/>
    <n v="499468"/>
    <n v="499468"/>
    <s v="Santhanam"/>
    <s v="Narayana"/>
    <s v="U of Hawaii"/>
    <s v="7923 7935 9150"/>
    <s v="7923 9150"/>
    <s v="Standard Grant"/>
    <s v="Proposal Awarded"/>
    <m/>
    <s v="CIF:Small:Collaborative Research:Statistics of slow mixing Markov processes: theory and applications to community detection"/>
    <s v="LFUQUA"/>
    <d v="2016-06-10T11:53:35"/>
    <n v="142"/>
  </r>
  <r>
    <d v="2017-09-14T09:43:06"/>
    <d v="2014-01-14T15:11:00"/>
    <d v="2014-06-25T16:33:4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511"/>
    <s v="I"/>
    <s v="eJ"/>
    <s v="1422511"/>
    <s v="1422511"/>
    <x v="1"/>
    <s v="01"/>
    <n v="500000"/>
    <n v="500000"/>
    <s v="Devroye"/>
    <s v="Natasha"/>
    <s v="U of Illinois Chicago"/>
    <s v="7923 7935"/>
    <s v="7923 7935"/>
    <s v="Standard Grant"/>
    <s v="Proposal Awarded"/>
    <m/>
    <s v="Network Capacity when Some Common Information Theoretic Assumptions Break Down"/>
    <s v="LFUQUA"/>
    <d v="2014-07-10T16:01:04"/>
    <n v="143"/>
  </r>
  <r>
    <d v="2017-09-14T09:43:06"/>
    <d v="2016-06-01T17:27:00"/>
    <d v="2016-06-15T09:25:36"/>
    <s v="05010000"/>
    <s v="05010000"/>
    <s v="7797 - COMM &amp; INFORMATION FOUNDATIONS"/>
    <s v="7797 - COMM &amp; INFORMATION FOUNDATIONS"/>
    <s v="RIBROWN"/>
    <s v="RIBROWN"/>
    <s v="4110"/>
    <s v="4110"/>
    <s v="NSF 16-1"/>
    <x v="0"/>
    <x v="0"/>
    <s v="AWD"/>
    <s v="STND"/>
    <s v="STND"/>
    <s v="CCF"/>
    <s v="1645381"/>
    <s v="I"/>
    <s v="eJ"/>
    <s v="1645381"/>
    <s v="1645381"/>
    <x v="0"/>
    <s v="01"/>
    <n v="249999"/>
    <n v="249999"/>
    <s v="Devroye"/>
    <s v="Natasha"/>
    <s v="U of Illinois Chicago"/>
    <s v="7916"/>
    <s v="7916"/>
    <s v="Standard Grant"/>
    <s v="Proposal Awarded"/>
    <m/>
    <s v="EAGER: Understanding cooperation through the zero-error relay channel"/>
    <s v="LFUQUA"/>
    <d v="2016-07-08T08:52:51"/>
    <n v="144"/>
  </r>
  <r>
    <d v="2017-09-14T09:43:06"/>
    <d v="2014-01-14T16:43:00"/>
    <d v="2014-07-14T15:29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140"/>
    <s v="I"/>
    <s v="eJ"/>
    <s v="1423140"/>
    <s v="1423140"/>
    <x v="1"/>
    <s v="01"/>
    <n v="274361"/>
    <n v="482944"/>
    <s v="Molisch"/>
    <s v="Andreas"/>
    <s v="U of Southern California"/>
    <s v="7923 7935"/>
    <s v="7923 7935"/>
    <s v="Standard Grant"/>
    <s v="Proposal Awarded"/>
    <m/>
    <s v="CIF: Small: Communication Theory Foundations and System Optimization of Femto-Caching and D2D Networks for Wireless Video"/>
    <s v="LFUQUA"/>
    <d v="2014-07-28T11:39:28"/>
    <n v="145"/>
  </r>
  <r>
    <d v="2017-09-14T09:43:06"/>
    <d v="2015-11-18T12:56:00"/>
    <d v="2016-05-18T15:03:5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078"/>
    <s v="I"/>
    <s v="eJ"/>
    <s v="1618078"/>
    <s v="1618078"/>
    <x v="0"/>
    <s v="01"/>
    <n v="496285"/>
    <n v="496285"/>
    <s v="Molisch"/>
    <s v="Andreas"/>
    <s v="U of Southern California"/>
    <s v="7923 7935"/>
    <s v="7923 7935"/>
    <s v="Standard Grant"/>
    <s v="Proposal Awarded"/>
    <m/>
    <s v="CIF Small: Massive MIMO in the MM-Wave Range: The Theory of Making it Practical"/>
    <s v="LFUQUA"/>
    <d v="2016-06-27T07:54:20"/>
    <n v="146"/>
  </r>
  <r>
    <d v="2017-09-14T09:43:06"/>
    <d v="2016-11-16T14:45:00"/>
    <d v="2017-06-26T15:58:1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943"/>
    <s v="I"/>
    <s v="eJ"/>
    <s v="1717943"/>
    <s v="1717943"/>
    <x v="3"/>
    <s v="01"/>
    <n v="449996"/>
    <n v="499663"/>
    <s v="Lai"/>
    <s v="Lifeng"/>
    <s v="U of Cal Davis"/>
    <s v="7923 7936"/>
    <s v="7923 7936"/>
    <s v="Standard Grant"/>
    <s v="Proposal Awarded"/>
    <m/>
    <s v="CIF: Small: Distributed Statistical Inference with Compressed Data"/>
    <s v="ISATTLE"/>
    <d v="2017-07-07T15:53:09"/>
    <n v="147"/>
  </r>
  <r>
    <d v="2017-09-14T09:43:06"/>
    <d v="2014-01-14T13:49:00"/>
    <d v="2014-06-09T12:4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04"/>
    <s v="I"/>
    <s v="eJ"/>
    <s v="1422104"/>
    <s v="1422104"/>
    <x v="1"/>
    <s v="01"/>
    <n v="297101"/>
    <n v="297101"/>
    <s v="Hirakawa"/>
    <s v="Keigo"/>
    <s v="University of Dayton"/>
    <s v="7923 7936"/>
    <s v="7923 7936"/>
    <s v="Standard Grant"/>
    <s v="Proposal Awarded"/>
    <m/>
    <s v="CIF:Small:Integrating Imaging Detectors"/>
    <s v="LFUQUA"/>
    <d v="2014-06-18T13:22:48"/>
    <n v="148"/>
  </r>
  <r>
    <d v="2017-09-14T09:43:06"/>
    <d v="2015-01-14T15:24:00"/>
    <d v="2015-06-04T08:54:0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7130"/>
    <s v="1527130"/>
    <x v="2"/>
    <s v="01"/>
    <n v="150000"/>
    <n v="150000"/>
    <s v="Dolecek"/>
    <s v="Lara"/>
    <s v="U of Cal Los Angeles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43"/>
    <n v="149"/>
  </r>
  <r>
    <d v="2017-09-14T09:43:06"/>
    <d v="2016-11-16T15:59:00"/>
    <d v="2017-07-14T10:47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389"/>
    <s v="I"/>
    <s v="eJ"/>
    <s v="1718389"/>
    <s v="1718389"/>
    <x v="3"/>
    <s v="01"/>
    <n v="470000"/>
    <n v="499999"/>
    <s v="Dolecek"/>
    <s v="Lara"/>
    <s v="U of Cal Los Angeles"/>
    <s v="7923 7935 9102"/>
    <s v="7923 7935 9102"/>
    <s v="Standard Grant"/>
    <s v="Proposal Awarded"/>
    <m/>
    <s v="CCF-BSF:CIF: Small: Coding for Fast Storage Access and In-Memory  Computing"/>
    <s v="ISATTLE"/>
    <d v="2017-08-30T15:11:33"/>
    <n v="150"/>
  </r>
  <r>
    <d v="2017-09-14T09:43:06"/>
    <d v="2015-11-18T11:36:00"/>
    <d v="2016-05-17T09:56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9"/>
    <s v="I"/>
    <s v="eJ"/>
    <s v="1617889"/>
    <s v="1617889"/>
    <x v="0"/>
    <s v="01"/>
    <n v="342695"/>
    <n v="342695"/>
    <s v="Venkitasubramaniam"/>
    <s v="Parvathinathan"/>
    <s v="Lehigh University"/>
    <s v="7923 7935"/>
    <s v="7923 7935"/>
    <s v="Standard Grant"/>
    <s v="Proposal Awarded"/>
    <m/>
    <s v="CIF: Small: Combining Information Theoretic Security and Stochastic Control to Study Advanced Persistent Threats"/>
    <s v="LFUQUA"/>
    <d v="2016-06-10T09:23:50"/>
    <n v="151"/>
  </r>
  <r>
    <d v="2017-09-14T09:43:06"/>
    <d v="2014-06-06T09:09:00"/>
    <d v="2014-06-16T12:35:48"/>
    <s v="05010000"/>
    <s v="05010000"/>
    <s v="7796 - ALGORITHMIC FOUNDATIONS"/>
    <s v="7797 - COMM &amp; INFORMATION FOUNDATIONS"/>
    <s v="MBASU"/>
    <s v="MBASU"/>
    <s v="4110"/>
    <s v="4110"/>
    <s v="NSF 14-562"/>
    <x v="0"/>
    <x v="0"/>
    <s v="AWD"/>
    <s v="STND"/>
    <s v="STND"/>
    <s v="CCF"/>
    <s v="1447235"/>
    <s v="I"/>
    <s v="eJ"/>
    <s v="1447235"/>
    <s v="1447235"/>
    <x v="1"/>
    <s v="01"/>
    <n v="136768"/>
    <n v="200000"/>
    <s v="Qian"/>
    <s v="Xiaoning"/>
    <s v="Texas Engineering Exp Sta"/>
    <s v="7916 7931 7936"/>
    <s v="7916 7931 7936"/>
    <s v="Standard Grant"/>
    <s v="Proposal Awarded"/>
    <m/>
    <s v="EAGER: Identifying Blockmodel Functional Modules across Multiple Networks"/>
    <s v="JROBEY"/>
    <d v="2014-06-18T09:55:33"/>
    <n v="152"/>
  </r>
  <r>
    <d v="2017-09-14T09:43:06"/>
    <d v="2015-11-18T11:04:00"/>
    <d v="2016-06-08T16:48:0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L"/>
    <s v="eJ"/>
    <s v="1617801"/>
    <s v="1617801"/>
    <x v="0"/>
    <s v="01"/>
    <n v="285000"/>
    <n v="285000"/>
    <s v="She"/>
    <s v="Yiyuan"/>
    <s v="Florida State University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2"/>
    <n v="153"/>
  </r>
  <r>
    <d v="2017-09-14T09:43:06"/>
    <d v="2014-01-14T16:59:00"/>
    <d v="2014-07-14T14:58:0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271"/>
    <s v="I"/>
    <s v="eJ"/>
    <s v="1423271"/>
    <s v="1423271"/>
    <x v="1"/>
    <s v="01"/>
    <n v="500000"/>
    <n v="500000"/>
    <s v="Diggavi"/>
    <s v="Suhas"/>
    <s v="U of Cal Los Angeles"/>
    <s v="7923 7935"/>
    <s v="7923 7935"/>
    <s v="Standard Grant"/>
    <s v="Proposal Awarded"/>
    <m/>
    <s v="CIF:Small:Content-centric Wireless Networks"/>
    <s v="LFUQUA"/>
    <d v="2014-07-25T13:51:25"/>
    <n v="154"/>
  </r>
  <r>
    <d v="2017-09-14T09:43:06"/>
    <d v="2015-01-14T16:03:00"/>
    <d v="2015-06-29T13:43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88"/>
    <s v="I"/>
    <s v="eJ"/>
    <s v="1527388"/>
    <s v="1527388"/>
    <x v="2"/>
    <s v="01"/>
    <n v="500000"/>
    <n v="500000"/>
    <s v="Raginsky"/>
    <s v="Maxim"/>
    <s v="U of Ill Urbana-Champaign"/>
    <s v="7923 7936"/>
    <s v="7923 7936"/>
    <s v="Standard Grant"/>
    <s v="Proposal Awarded"/>
    <m/>
    <s v="CIF:Small:Learning Signal Representations for Multiple Inference Tasks"/>
    <s v="LFUQUA"/>
    <d v="2015-07-27T06:14:27"/>
    <n v="155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1"/>
    <n v="499560"/>
    <n v="515560"/>
    <s v="Lu"/>
    <s v="Yue"/>
    <s v="Harvard University"/>
    <s v="7923 7935 9251"/>
    <s v="7923 7935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2"/>
    <n v="16000"/>
    <n v="515560"/>
    <s v="Lu"/>
    <s v="Yue"/>
    <s v="Harvard University"/>
    <s v="7923 7935 9251"/>
    <s v="7923 7935 9251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9:04:00"/>
    <d v="2017-06-20T06:41:5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133"/>
    <s v="I"/>
    <s v="eJ"/>
    <s v="1719133"/>
    <s v="1719133"/>
    <x v="3"/>
    <s v="01"/>
    <n v="499999"/>
    <n v="499999"/>
    <s v="Chaudhuri"/>
    <s v="Kamalika"/>
    <s v="U of Cal San Diego"/>
    <s v="7923 7936 9102"/>
    <s v="7923 7936 9102"/>
    <s v="Standard Grant"/>
    <s v="Proposal Awarded"/>
    <m/>
    <s v="CCF: CIF: Small: Interactive Learning from Noisy, Heterogeneous Feedback"/>
    <s v="ISATTLE"/>
    <d v="2017-07-07T11:52:37"/>
    <n v="157"/>
  </r>
  <r>
    <d v="2017-09-14T09:43:06"/>
    <d v="2015-01-08T15:12:00"/>
    <d v="2015-06-16T15:44:00"/>
    <s v="05010000"/>
    <s v="05010000"/>
    <s v="7796 - ALGORITHMIC FOUNDATIONS"/>
    <s v="7797 - COMM &amp; INFORMATION FOUNDATIONS"/>
    <s v="TKIMBRE"/>
    <s v="PREGALI"/>
    <s v="4110"/>
    <s v="4110"/>
    <s v="NSF 14-598"/>
    <x v="0"/>
    <x v="0"/>
    <s v="AWD"/>
    <s v="STND"/>
    <s v="STND"/>
    <s v="CCF"/>
    <s v="1523816"/>
    <s v="I"/>
    <s v="eJ"/>
    <s v="1523816"/>
    <s v="1523816"/>
    <x v="2"/>
    <s v="02"/>
    <n v="142364"/>
    <n v="427093"/>
    <s v="Dvir"/>
    <s v="Zeev"/>
    <s v="Princeton University"/>
    <s v="7434 7923 7927 7935"/>
    <s v="7923 7935"/>
    <s v="Standard Grant"/>
    <s v="Proposal Awarded"/>
    <m/>
    <s v="AF:  Small:  New Techniques for Private Information Retrieval and Locally Decodable Codes"/>
    <s v="LFUQUA"/>
    <d v="2015-07-20T11:16:31"/>
    <n v="158"/>
  </r>
  <r>
    <d v="2017-09-14T09:43:06"/>
    <d v="2014-09-24T12:54:00"/>
    <d v="2015-01-23T13:24:20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AWD"/>
    <s v="STND"/>
    <s v="STND"/>
    <s v="CCF"/>
    <s v="1464222"/>
    <s v="I"/>
    <s v="eJ"/>
    <s v="1464222"/>
    <s v="1464222"/>
    <x v="2"/>
    <s v="01"/>
    <n v="175000"/>
    <n v="175000"/>
    <s v="Banavar"/>
    <s v="Mahesh"/>
    <s v="Clarkson University"/>
    <s v="7936 8228"/>
    <s v="7936 8228"/>
    <s v="Standard Grant"/>
    <s v="Proposal Awarded"/>
    <m/>
    <s v="CRII: CIF: Distributed Sensor Localization With Ordinal Data Constraints"/>
    <s v="JROBEY"/>
    <d v="2015-02-02T14:53:10"/>
    <n v="159"/>
  </r>
  <r>
    <d v="2017-09-14T09:43:06"/>
    <d v="2015-11-18T16:05:00"/>
    <d v="2016-05-17T13:51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800"/>
    <s v="I"/>
    <s v="eJ"/>
    <s v="1618800"/>
    <s v="1618800"/>
    <x v="0"/>
    <s v="01"/>
    <n v="499995"/>
    <n v="499995"/>
    <s v="Nazer"/>
    <s v="Bobak"/>
    <s v="Boston University"/>
    <s v="7923 7935"/>
    <s v="7923 7935"/>
    <s v="Standard Grant"/>
    <s v="Proposal Awarded"/>
    <m/>
    <s v="CIF: Small: Algebraic Network Information Theory"/>
    <s v="LFUQUA"/>
    <d v="2016-06-10T09:29:39"/>
    <n v="160"/>
  </r>
  <r>
    <d v="2017-09-14T09:43:06"/>
    <d v="2015-01-13T14:33:00"/>
    <d v="2015-07-15T15:50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276"/>
    <s v="I"/>
    <s v="eJ"/>
    <s v="1525276"/>
    <s v="1525276"/>
    <x v="2"/>
    <s v="01"/>
    <n v="160000"/>
    <n v="456617"/>
    <s v="Bajwa"/>
    <s v="Waheed"/>
    <s v="Rutgers Univ New Brunswick"/>
    <s v="7923 7936"/>
    <s v="7923 7936"/>
    <s v="Standard Grant"/>
    <s v="Proposal Awarded"/>
    <m/>
    <s v="CIF: Small: Active data screening for efficient feature learning"/>
    <s v="LFUQUA"/>
    <d v="2015-08-18T08:58:10"/>
    <n v="161"/>
  </r>
  <r>
    <d v="2017-09-14T09:43:06"/>
    <d v="2015-11-18T12:16:00"/>
    <d v="2016-06-09T16:52:4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L"/>
    <s v="eJ"/>
    <s v="1617999"/>
    <s v="1617999"/>
    <x v="0"/>
    <s v="01"/>
    <n v="280000"/>
    <n v="280000"/>
    <s v="Turaga"/>
    <s v="Pavan"/>
    <s v="Arizon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8"/>
    <n v="162"/>
  </r>
  <r>
    <d v="2017-09-14T09:43:06"/>
    <d v="2015-11-18T13:59:00"/>
    <d v="2016-05-17T14:04:5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8"/>
    <s v="I"/>
    <s v="eJ"/>
    <s v="1618278"/>
    <s v="1618278"/>
    <x v="0"/>
    <s v="01"/>
    <n v="500000"/>
    <n v="500000"/>
    <s v="Ozgur"/>
    <s v="Ayfer"/>
    <s v="Stanford University"/>
    <s v="7923 7935"/>
    <s v="7923 7935"/>
    <s v="Standard Grant"/>
    <s v="Proposal Awarded"/>
    <m/>
    <s v="CIF: Small: Energy-neutral Massively Large Wireless Networks"/>
    <s v="LFUQUA"/>
    <d v="2016-06-10T11:46:54"/>
    <n v="163"/>
  </r>
  <r>
    <d v="2017-09-14T09:43:06"/>
    <d v="2016-10-19T15:40:00"/>
    <d v="2017-06-16T13:01:2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N"/>
    <s v="eJ"/>
    <s v="1704624"/>
    <s v="1704624"/>
    <x v="3"/>
    <s v="01"/>
    <n v="451330"/>
    <n v="600000"/>
    <s v="Ozgur"/>
    <s v="Ayfer"/>
    <s v="Stanford University"/>
    <s v="7924 7935"/>
    <s v="7924 7935"/>
    <s v="Standard Grant"/>
    <s v="Proposal Awarded"/>
    <m/>
    <s v="CIF:Medium:Collaborative Research: Geometric Network Information Theory"/>
    <s v="ISATTLE"/>
    <d v="2017-06-22T16:10:23"/>
    <n v="164"/>
  </r>
  <r>
    <d v="2017-09-14T09:43:06"/>
    <d v="2016-11-17T12:47:00"/>
    <d v="2017-06-19T16:39:23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L"/>
    <s v="eJ"/>
    <s v="1719205"/>
    <s v="1719205"/>
    <x v="3"/>
    <s v="01"/>
    <n v="270000"/>
    <n v="299944"/>
    <s v="Scutari"/>
    <s v="Gesualdo"/>
    <s v="Purdue University"/>
    <s v="7923 7935"/>
    <s v="7923 7935"/>
    <s v="Standard Grant"/>
    <s v="Proposal Awarded"/>
    <m/>
    <s v="CIF:Small:Collaborative Research:Distributed Fog Computing for Non-Convex Big-Data Analytics"/>
    <s v="ISATTLE"/>
    <d v="2017-06-28T13:40:29"/>
    <n v="165"/>
  </r>
  <r>
    <d v="2017-09-14T09:43:06"/>
    <d v="2016-11-16T14:22:00"/>
    <d v="2017-06-18T21:22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842"/>
    <s v="I"/>
    <s v="eJ"/>
    <s v="1717842"/>
    <s v="1717842"/>
    <x v="3"/>
    <s v="01"/>
    <n v="450000"/>
    <n v="495000"/>
    <s v="Polyanskiy"/>
    <s v="Yury"/>
    <s v="MIT"/>
    <s v="7923 7935"/>
    <s v="7923 7935"/>
    <s v="Standard Grant"/>
    <s v="Proposal Awarded"/>
    <m/>
    <s v="CIF: Small: Fundamental limits and coding for massive wireless random-access"/>
    <s v="ISATTLE"/>
    <d v="2017-06-28T11:36:39"/>
    <n v="166"/>
  </r>
  <r>
    <d v="2017-09-14T09:43:06"/>
    <d v="2015-01-14T09:57:00"/>
    <d v="2015-07-15T15:55:1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990"/>
    <s v="I"/>
    <s v="eJ"/>
    <s v="1525990"/>
    <s v="1525990"/>
    <x v="2"/>
    <s v="01"/>
    <n v="185000"/>
    <n v="500000"/>
    <s v="Atia"/>
    <s v="George"/>
    <s v="U of Central Florida"/>
    <s v="7923 7936"/>
    <s v="7923 7936"/>
    <s v="Standard Grant"/>
    <s v="Proposal Awarded"/>
    <m/>
    <s v="CIF:Small:Advanced Ion Channel Models for Neurological Signal Processing -- Theory and Application to Brain-Computer Interfacing"/>
    <s v="LFUQUA"/>
    <d v="2015-08-18T08:59:33"/>
    <n v="167"/>
  </r>
  <r>
    <d v="2017-09-14T09:43:06"/>
    <d v="2015-01-14T16:15:00"/>
    <d v="2015-06-29T13:47:0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456"/>
    <s v="I"/>
    <s v="eJ"/>
    <s v="1527456"/>
    <s v="1527456"/>
    <x v="2"/>
    <s v="01"/>
    <n v="250134"/>
    <n v="250134"/>
    <s v="Chi"/>
    <s v="Yuejie"/>
    <s v="Ohio State University"/>
    <s v="7923 7936"/>
    <s v="7923 7926"/>
    <s v="Standard Grant"/>
    <s v="Proposal Awarded"/>
    <m/>
    <s v="CIF: Small: Inverse Methods for Parametric Mixture Models"/>
    <s v="LFUQUA"/>
    <d v="2015-07-28T14:35:08"/>
    <n v="168"/>
  </r>
  <r>
    <d v="2017-09-14T09:43:06"/>
    <d v="2014-01-14T14:21:00"/>
    <d v="2014-06-16T09:37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52"/>
    <s v="I"/>
    <s v="eJ"/>
    <s v="1422252"/>
    <s v="1422252"/>
    <x v="1"/>
    <s v="01"/>
    <n v="257190"/>
    <n v="257190"/>
    <s v="Datta"/>
    <s v="Somantika"/>
    <s v="University of Idaho"/>
    <s v="7923 7936 9150"/>
    <s v="7923 7936 9150"/>
    <s v="Standard Grant"/>
    <s v="Proposal Awarded"/>
    <m/>
    <s v="CIF: Small: Stochastic frames in signal processing"/>
    <s v="JROBEY"/>
    <d v="2014-06-18T10:58:03"/>
    <n v="169"/>
  </r>
  <r>
    <d v="2017-09-14T09:43:06"/>
    <d v="2015-01-14T16:57:00"/>
    <d v="2015-06-29T15:41:5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09"/>
    <s v="I"/>
    <s v="eJ"/>
    <s v="1527809"/>
    <s v="1527809"/>
    <x v="2"/>
    <s v="01"/>
    <n v="499778"/>
    <n v="499778"/>
    <s v="Wright"/>
    <s v="John"/>
    <s v="Columbia University"/>
    <s v="7923 7936"/>
    <s v="7923 7936"/>
    <s v="Standard Grant"/>
    <s v="Proposal Awarded"/>
    <m/>
    <s v="CIF: Small: Structured Signal Modeling via Nonconvex Optimization"/>
    <s v="LFUQUA"/>
    <d v="2015-07-27T08:15:37"/>
    <n v="170"/>
  </r>
  <r>
    <d v="2017-09-14T09:43:06"/>
    <d v="2014-01-14T10:58:00"/>
    <d v="2014-06-25T16:39:1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N"/>
    <s v="eJ"/>
    <s v="1421583"/>
    <s v="1421583"/>
    <x v="1"/>
    <s v="01"/>
    <n v="171409"/>
    <n v="171409"/>
    <s v="Gatsis"/>
    <s v="Nikolaos"/>
    <s v="U of Texas San Antonio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4"/>
    <n v="171"/>
  </r>
  <r>
    <d v="2017-09-14T09:43:06"/>
    <d v="2014-01-14T15:36:00"/>
    <d v="2014-06-12T11:19:4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31"/>
    <s v="I"/>
    <s v="eJ"/>
    <s v="1422631"/>
    <s v="1422631"/>
    <x v="1"/>
    <s v="01"/>
    <n v="264628"/>
    <n v="175873"/>
    <s v="Dalton"/>
    <s v="Lori"/>
    <s v="Ohio State University"/>
    <s v="7923 7936"/>
    <s v="7923 7936"/>
    <s v="Standard Grant"/>
    <s v="Proposal Awarded"/>
    <m/>
    <s v="CIF:Small:Optimal Clustering"/>
    <s v="LFUQUA"/>
    <d v="2014-06-25T06:18:16"/>
    <n v="172"/>
  </r>
  <r>
    <d v="2017-09-14T09:43:06"/>
    <d v="2015-11-18T15:01:00"/>
    <d v="2016-05-18T15:19:0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N"/>
    <s v="eJ"/>
    <s v="1618512"/>
    <s v="1618512"/>
    <x v="0"/>
    <s v="01"/>
    <n v="249996"/>
    <n v="249996"/>
    <s v="Mazumdar"/>
    <s v="Arya"/>
    <s v="U of Massachusetts Amherst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44"/>
    <n v="173"/>
  </r>
  <r>
    <d v="2017-09-14T09:43:06"/>
    <d v="2016-11-16T16:50:00"/>
    <d v="2017-06-19T16:39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N"/>
    <s v="eJ"/>
    <s v="1718796"/>
    <s v="1718796"/>
    <x v="3"/>
    <s v="01"/>
    <n v="200000"/>
    <n v="200000"/>
    <s v="Slavakis"/>
    <s v="Konstantinos"/>
    <s v="SUNY Buffalo"/>
    <s v="7923 7935"/>
    <s v="7923 7935"/>
    <s v="Standard Grant"/>
    <s v="Proposal Awarded"/>
    <m/>
    <s v="CIF:Small:Collaborative Research:Distributed Fog Computing for Non-Convex Big-Data Analytics"/>
    <s v="ISATTLE"/>
    <d v="2017-06-28T13:40:24"/>
    <n v="174"/>
  </r>
  <r>
    <d v="2017-09-14T09:43:06"/>
    <d v="2015-01-14T16:26:00"/>
    <d v="2015-07-28T11:20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L"/>
    <s v="eJ"/>
    <s v="1527550"/>
    <s v="1527550"/>
    <x v="2"/>
    <s v="01"/>
    <n v="200000"/>
    <n v="250000"/>
    <s v="Fragouli"/>
    <s v="Christina"/>
    <s v="U of Cal Los Angeles"/>
    <s v="7923 7935"/>
    <s v="7935"/>
    <s v="Standard Grant"/>
    <s v="Proposal Awarded"/>
    <m/>
    <s v="CIF: Small: Collaborative Research: From Pliable to Content-Type Coding"/>
    <s v="LFUQUA"/>
    <d v="2015-08-27T15:24:54"/>
    <n v="175"/>
  </r>
  <r>
    <d v="2017-09-14T09:43:06"/>
    <d v="2016-11-15T14:22:00"/>
    <d v="2017-07-19T16:43:41"/>
    <s v="05050000"/>
    <s v="05010000"/>
    <s v="8060 - Secure &amp;Trustworthy Cyberspace"/>
    <s v="7797 - COMM &amp; INFORMATION FOUNDATIONS"/>
    <s v="WLOU"/>
    <s v="PREGALI"/>
    <s v="4110"/>
    <s v="4110"/>
    <s v="NSF 16-580"/>
    <x v="0"/>
    <x v="0"/>
    <s v="AWD"/>
    <s v="STND"/>
    <s v="STND"/>
    <s v="CNS"/>
    <s v="1715947"/>
    <s v="I"/>
    <s v="eJ"/>
    <s v="1715947"/>
    <s v="1715947"/>
    <x v="3"/>
    <s v="02"/>
    <n v="125000"/>
    <n v="500000"/>
    <s v="Tandon"/>
    <s v="Ravi"/>
    <s v="U of Arizona"/>
    <s v="025Z 7434 7923"/>
    <s v="7923 7935"/>
    <s v="Standard Grant"/>
    <s v="Proposal Awarded"/>
    <m/>
    <s v="SaTC: CORE: Small: Robust Physical Layer Security with Channel Knowledge Uncertainty"/>
    <s v="PCONYER"/>
    <d v="2017-08-29T13:28:40"/>
    <n v="176"/>
  </r>
  <r>
    <d v="2017-09-14T09:43:06"/>
    <d v="2014-01-14T14:43:00"/>
    <d v="2014-07-09T08:38:0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358"/>
    <s v="I"/>
    <s v="eJ"/>
    <s v="1422358"/>
    <s v="1422358"/>
    <x v="1"/>
    <s v="01"/>
    <n v="249107"/>
    <n v="498213"/>
    <s v="Kosut"/>
    <s v="Oliver"/>
    <s v="Arizona State University"/>
    <s v="7434 7923 7935"/>
    <s v="7923 7935"/>
    <s v="Standard Grant"/>
    <s v="Proposal Awarded"/>
    <m/>
    <s v="CIF: Small: A Framework for Low Latency Universal Compression with Privacy Guarantees"/>
    <s v="LFUQUA"/>
    <d v="2014-07-18T08:53:14"/>
    <n v="177"/>
  </r>
  <r>
    <d v="2017-09-14T09:43:06"/>
    <d v="2014-01-10T11:12:00"/>
    <d v="2014-06-10T12:15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N"/>
    <s v="eJ"/>
    <s v="1420328"/>
    <s v="1420328"/>
    <x v="1"/>
    <s v="01"/>
    <n v="248934"/>
    <n v="238191"/>
    <s v="Maleki"/>
    <s v="Mohammad Ali"/>
    <s v="Columbia University"/>
    <s v="7923 7936"/>
    <s v="7923 7936"/>
    <s v="Standard Grant"/>
    <s v="Proposal Awarded"/>
    <m/>
    <s v="CIF:Small:Collaborative Research: Towards universal signal recovery algorithms"/>
    <s v="LFUQUA"/>
    <d v="2014-06-19T08:59:46"/>
    <n v="178"/>
  </r>
  <r>
    <d v="2017-09-14T09:43:06"/>
    <d v="2015-01-14T10:35:00"/>
    <d v="2015-07-23T13:11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L"/>
    <s v="eJ"/>
    <s v="1526078"/>
    <s v="1526078"/>
    <x v="2"/>
    <s v="01"/>
    <n v="90001"/>
    <n v="180001"/>
    <s v="Hong"/>
    <s v="Mingyi"/>
    <s v="Iowa State University"/>
    <s v="7923 7935 9150"/>
    <s v="7923 7935 9150"/>
    <s v="Standard Grant"/>
    <s v="Proposal Awarded"/>
    <m/>
    <s v="CIF: Small: Collaborative Research: Optimal Provision of Backhaul and Radio Access Networks: A Cross-Network Approach"/>
    <s v="LFUQUA"/>
    <d v="2015-08-26T11:52:12"/>
    <n v="179"/>
  </r>
  <r>
    <d v="2017-09-14T09:43:06"/>
    <d v="2015-11-17T14:57:00"/>
    <d v="2016-06-08T15:00:4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N"/>
    <s v="eJ"/>
    <s v="1617286"/>
    <s v="1617286"/>
    <x v="0"/>
    <s v="01"/>
    <n v="250000"/>
    <n v="250000"/>
    <s v="Mittal"/>
    <s v="Prateek"/>
    <s v="Princeton University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46"/>
    <n v="180"/>
  </r>
  <r>
    <d v="2017-09-14T09:43:06"/>
    <d v="2015-01-14T14:22:00"/>
    <d v="2015-07-15T13:59:4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L"/>
    <s v="eJ"/>
    <s v="1526771"/>
    <s v="1526771"/>
    <x v="2"/>
    <s v="01"/>
    <n v="249956"/>
    <n v="249956"/>
    <s v="Langberg"/>
    <s v="Michael"/>
    <s v="SUNY Buffalo"/>
    <s v="7923 7935"/>
    <s v="7923 7935"/>
    <s v="Standard Grant"/>
    <s v="Proposal Awarded"/>
    <m/>
    <s v="CIF: Small: Collaborative Research:A Reductionist View of Network Information Theory"/>
    <s v="LFUQUA"/>
    <d v="2015-08-17T14:16:53"/>
    <n v="181"/>
  </r>
  <r>
    <d v="2017-09-14T09:43:06"/>
    <d v="2014-01-14T13:31:00"/>
    <d v="2014-06-09T12:33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034"/>
    <s v="I"/>
    <s v="eJ"/>
    <s v="1422034"/>
    <s v="1422034"/>
    <x v="1"/>
    <s v="01"/>
    <n v="465189"/>
    <n v="465189"/>
    <s v="Goyal"/>
    <s v="Vivek"/>
    <s v="Boston University"/>
    <s v="7923 7936"/>
    <s v="7923 7936"/>
    <s v="Standard Grant"/>
    <s v="Proposal Awarded"/>
    <m/>
    <s v="CIF: Small: Low-Light 3D Imaging: From Fundamental Limits to Practical Systems"/>
    <s v="LFUQUA"/>
    <d v="2014-06-13T14:22:42"/>
    <n v="182"/>
  </r>
  <r>
    <d v="2017-09-14T09:43:06"/>
    <d v="2014-01-14T14:02:00"/>
    <d v="2014-07-21T11:13:31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2165"/>
    <s v="I"/>
    <s v="eJ"/>
    <s v="1422165"/>
    <s v="1422165"/>
    <x v="1"/>
    <s v="01"/>
    <n v="451000"/>
    <n v="499291"/>
    <s v="Yagan"/>
    <s v="Osman"/>
    <s v="Carnegie Mellon University"/>
    <s v="7923 7935"/>
    <s v="7923 7935"/>
    <s v="Standard Grant"/>
    <s v="Proposal Awarded"/>
    <m/>
    <s v="NeTS: CIF: Small: Robust and Optimal Design of Interdependent Networks"/>
    <s v="LFUQUA"/>
    <d v="2014-08-06T06:55:59"/>
    <n v="183"/>
  </r>
  <r>
    <d v="2017-09-14T09:43:06"/>
    <d v="2015-11-18T11:54:00"/>
    <d v="2016-06-13T14:09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34"/>
    <s v="I"/>
    <s v="eJ"/>
    <s v="1617934"/>
    <s v="1617934"/>
    <x v="0"/>
    <s v="01"/>
    <n v="500000"/>
    <n v="500000"/>
    <s v="Yagan"/>
    <s v="Osman"/>
    <s v="Carnegie Mellon University"/>
    <s v="7923 7936"/>
    <s v="7923 7936"/>
    <s v="Standard Grant"/>
    <s v="Proposal Awarded"/>
    <m/>
    <s v="CIF: Small: Designing Secure, Reliable, and Resilient Wireless Sensor Networks"/>
    <s v="LFUQUA"/>
    <d v="2016-06-30T10:44:20"/>
    <n v="184"/>
  </r>
  <r>
    <d v="2017-09-14T09:43:06"/>
    <d v="2015-01-14T14:56:00"/>
    <d v="2015-06-04T08:53:4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6962"/>
    <s v="1526962"/>
    <x v="2"/>
    <s v="01"/>
    <n v="200000"/>
    <n v="200000"/>
    <s v="El Rouayheb"/>
    <s v="Salim"/>
    <s v="Illinois Inst of Tech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8"/>
    <n v="185"/>
  </r>
  <r>
    <d v="2017-09-14T09:43:06"/>
    <d v="2015-01-14T17:54:00"/>
    <d v="2015-07-21T10:47:19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030"/>
    <s v="I"/>
    <s v="eJ"/>
    <s v="1528030"/>
    <s v="1528030"/>
    <x v="2"/>
    <s v="01"/>
    <n v="110584"/>
    <n v="221167"/>
    <s v="Chakareski"/>
    <s v="Jacob"/>
    <s v="U of Alabama Tuscaloosa"/>
    <s v="7923 7935 9150"/>
    <s v="7923 7935 9150"/>
    <s v="Standard Grant"/>
    <s v="Proposal Awarded"/>
    <m/>
    <s v="CIF: Small: Mobile Immersive Communication: View Sampling and Rate-Distortion Limits"/>
    <s v="LFUQUA"/>
    <d v="2015-08-26T07:56:23"/>
    <n v="186"/>
  </r>
  <r>
    <d v="2017-09-14T09:43:06"/>
    <d v="2015-01-14T16:19:00"/>
    <d v="2015-06-12T14:40:34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N"/>
    <s v="eJ"/>
    <s v="1527486"/>
    <s v="1527486"/>
    <x v="2"/>
    <s v="01"/>
    <n v="229504"/>
    <n v="229504"/>
    <s v="Aggarwal"/>
    <s v="Vaneet"/>
    <s v="Purdue University"/>
    <s v="7923 7936"/>
    <s v="7923 7936"/>
    <s v="Standard Grant"/>
    <s v="Proposal Awarded"/>
    <m/>
    <s v="CIF:Small: Collaborative Research: Communications with Energy Harvesting Nodes"/>
    <s v="LFUQUA"/>
    <d v="2015-07-15T10:46:00"/>
    <n v="187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1"/>
    <n v="160000"/>
    <n v="464731"/>
    <s v="Courtade"/>
    <s v="Thomas A"/>
    <s v="U of Cal Berkeley"/>
    <s v="7923 7935"/>
    <s v="7923 7935"/>
    <s v="Standard Grant"/>
    <s v="Proposal Awarded"/>
    <m/>
    <s v="CIF: Small: Rate Distortion Paradigms for the Big Data Era"/>
    <s v="LFUQUA"/>
    <d v="2015-08-25T07:36:17"/>
    <n v="188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2"/>
    <n v="5000"/>
    <n v="464731"/>
    <s v="Courtade"/>
    <s v="Thomas A"/>
    <s v="U of Cal Berkeley"/>
    <s v="7923 7935"/>
    <s v="7923 7935 9251"/>
    <s v="Standard Grant"/>
    <s v="Proposal Awarded"/>
    <m/>
    <s v="CIF: Small: Rate Distortion Paradigms for the Big Data Era"/>
    <s v="LFUQUA"/>
    <d v="2015-08-25T07:36:17"/>
    <n v="188"/>
  </r>
  <r>
    <d v="2017-09-14T09:43:06"/>
    <d v="2016-10-19T16:58:00"/>
    <d v="2017-06-16T13:01:0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L"/>
    <s v="eJ"/>
    <s v="1704967"/>
    <s v="1704967"/>
    <x v="3"/>
    <s v="01"/>
    <n v="451330"/>
    <n v="600000"/>
    <s v="Courtade"/>
    <s v="Thomas A"/>
    <s v="U of Cal Berkeley"/>
    <s v="7924 7935"/>
    <s v="7924 7935"/>
    <s v="Standard Grant"/>
    <s v="Proposal Awarded"/>
    <m/>
    <s v="CIF:Medium:Collaborative Research: Geometric Network Information Theory"/>
    <s v="ISATTLE"/>
    <d v="2017-06-22T16:10:28"/>
    <n v="189"/>
  </r>
  <r>
    <d v="2017-09-14T09:43:06"/>
    <d v="2015-12-22T10:33:00"/>
    <d v="2016-01-19T10:06:22"/>
    <s v="05010000"/>
    <s v="05010000"/>
    <s v="7797 - COMM &amp; INFORMATION FOUNDATIONS"/>
    <s v="7797 - COMM &amp; INFORMATION FOUNDATIONS"/>
    <s v="PREGALI"/>
    <s v="PREGALI"/>
    <s v="4110"/>
    <s v="4110"/>
    <s v="NSF 15-1"/>
    <x v="0"/>
    <x v="0"/>
    <s v="AWD"/>
    <s v="STND"/>
    <s v="STND"/>
    <s v="CCF"/>
    <s v="1623821"/>
    <s v="I"/>
    <s v="eJ"/>
    <s v="1623821"/>
    <s v="1623821"/>
    <x v="0"/>
    <s v="01"/>
    <n v="175000"/>
    <n v="175000"/>
    <s v="Varshney"/>
    <s v="Lav"/>
    <s v="U of Ill Urbana-Champaign"/>
    <s v="7916 7935"/>
    <s v="7916 7935"/>
    <s v="Standard Grant"/>
    <s v="Proposal Awarded"/>
    <m/>
    <s v="CIF: EAGER: Towards an Information Theory of Attention"/>
    <s v="LFUQUA"/>
    <d v="2016-02-03T11:25:30"/>
    <n v="190"/>
  </r>
  <r>
    <d v="2017-09-14T09:43:06"/>
    <d v="2016-11-16T12:59:00"/>
    <d v="2017-06-19T16:04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30"/>
    <s v="I"/>
    <s v="eJ"/>
    <s v="1717530"/>
    <s v="1717530"/>
    <x v="3"/>
    <s v="01"/>
    <n v="405455"/>
    <n v="405455"/>
    <s v="Varshney"/>
    <s v="Lav"/>
    <s v="U of Ill Urbana-Champaign"/>
    <s v="7923 7936"/>
    <s v="7923 7936"/>
    <s v="Standard Grant"/>
    <s v="Proposal Awarded"/>
    <m/>
    <s v="CIF: Small: Foundations of Belief Sharing in Human-Machine Systems"/>
    <s v="ISATTLE"/>
    <d v="2017-06-28T14:14:05"/>
    <n v="191"/>
  </r>
  <r>
    <d v="2017-09-14T09:43:06"/>
    <d v="2015-11-18T15:40:00"/>
    <d v="2016-06-10T16:53:5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L"/>
    <s v="eJ"/>
    <s v="1618677"/>
    <s v="1618677"/>
    <x v="0"/>
    <s v="01"/>
    <n v="249152"/>
    <n v="249152"/>
    <s v="Patel"/>
    <s v="Vishal"/>
    <s v="Rutgers Univ New Brunswick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5"/>
    <n v="192"/>
  </r>
  <r>
    <d v="2017-09-14T09:43:06"/>
    <d v="2014-09-24T15:55:00"/>
    <d v="2015-01-15T08:40:5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336"/>
    <s v="I"/>
    <s v="eJ"/>
    <s v="1464336"/>
    <s v="1464336"/>
    <x v="2"/>
    <s v="01"/>
    <n v="174371"/>
    <n v="174371"/>
    <s v="Cadambe"/>
    <s v="Viveck"/>
    <s v="PA St U University Park"/>
    <s v="7935 8552"/>
    <s v="7935 8228"/>
    <s v="Standard Grant"/>
    <s v="Proposal Awarded"/>
    <m/>
    <s v="CRII: CIF: Towards a Systematic Interference Alignment Approach for Network Information Flow"/>
    <s v="JROBEY"/>
    <d v="2015-01-23T14:27:38"/>
    <n v="193"/>
  </r>
  <r>
    <d v="2017-09-14T09:43:06"/>
    <d v="2015-01-14T10:43:00"/>
    <d v="2015-07-09T10:30:0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L"/>
    <s v="eJ"/>
    <s v="1526095"/>
    <s v="1526095"/>
    <x v="2"/>
    <s v="01"/>
    <n v="368354"/>
    <n v="368354"/>
    <s v="Tian"/>
    <s v="Chao"/>
    <s v="U of Tennessee Knoxville"/>
    <s v="7923 7935 9150"/>
    <s v="7923 7935 9150"/>
    <s v="Standard Grant"/>
    <s v="Proposal Awarded"/>
    <m/>
    <s v="CIF: Small: Collaborative Research: Fundamental Limits of Information Systems: A Computational Approach"/>
    <s v="LFUQUA"/>
    <d v="2015-08-06T15:45:38"/>
    <n v="194"/>
  </r>
  <r>
    <d v="2017-09-14T09:43:06"/>
    <d v="2016-11-16T14:54:00"/>
    <d v="2017-06-19T17:06:0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007"/>
    <s v="I"/>
    <s v="eJ"/>
    <s v="1718007"/>
    <s v="1718007"/>
    <x v="3"/>
    <s v="01"/>
    <n v="480947"/>
    <n v="480947"/>
    <s v="Chan"/>
    <s v="Stanley"/>
    <s v="Purdue University"/>
    <s v="7923 7935 7936"/>
    <s v="7923 7935"/>
    <s v="Standard Grant"/>
    <s v="Proposal Awarded"/>
    <m/>
    <s v="CIF: Small: Signal Processing for Quanta Image Sensors: Reconstruction, Sampling, and Applications"/>
    <s v="ISATTLE"/>
    <d v="2017-06-28T14:30:34"/>
    <n v="195"/>
  </r>
  <r>
    <d v="2017-09-14T09:43:06"/>
    <d v="2014-09-24T15:03:00"/>
    <d v="2015-01-29T16:39:4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293"/>
    <s v="I"/>
    <s v="eJ"/>
    <s v="1464293"/>
    <s v="1464293"/>
    <x v="2"/>
    <s v="01"/>
    <n v="174890"/>
    <n v="174890"/>
    <s v="Dhillon"/>
    <s v="Harpreet"/>
    <s v="VA Polytechnic Inst &amp; St U"/>
    <s v="7935 8228"/>
    <s v="7935 8228"/>
    <s v="Standard Grant"/>
    <s v="Proposal Awarded"/>
    <m/>
    <s v="CRII: CIF: Towards Self-Powered Heterogeneous Cellular Networks"/>
    <s v="JROBEY"/>
    <d v="2015-02-04T15:31:00"/>
    <n v="196"/>
  </r>
  <r>
    <d v="2017-09-14T09:43:06"/>
    <d v="2015-11-18T11:35:00"/>
    <d v="2016-05-17T09:44:37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4"/>
    <s v="I"/>
    <s v="eJ"/>
    <s v="1617884"/>
    <s v="1617884"/>
    <x v="0"/>
    <s v="01"/>
    <n v="499618"/>
    <n v="499618"/>
    <s v="Mohajer"/>
    <s v="Soheil"/>
    <s v="U of Minnesota-Twin Cities"/>
    <s v="7923 7935"/>
    <s v="7923 7935"/>
    <s v="Standard Grant"/>
    <s v="Proposal Awarded"/>
    <m/>
    <s v="CIF: Small: Fundamental Analysis and Design of Repair-Efficient Cloud Storage Systems: a Linear Perspective"/>
    <s v="LFUQUA"/>
    <d v="2016-06-10T08:54:45"/>
    <n v="197"/>
  </r>
  <r>
    <d v="2017-09-14T09:43:06"/>
    <d v="2015-11-18T10:09:00"/>
    <d v="2016-06-08T16:17:3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91"/>
    <s v="I"/>
    <s v="eJ"/>
    <s v="1617691"/>
    <s v="1617691"/>
    <x v="0"/>
    <s v="01"/>
    <n v="414215"/>
    <n v="417350"/>
    <s v="Zhang"/>
    <s v="Xin"/>
    <s v="Florida State University"/>
    <s v="7923 7936"/>
    <s v="7923 7936"/>
    <s v="Standard Grant"/>
    <s v="Proposal Awarded"/>
    <m/>
    <s v="CIF: Small: Efficient Discriminant Analysis Through Parsimonious Probabilistic Models"/>
    <s v="LFUQUA"/>
    <d v="2016-06-28T16:13:03"/>
    <n v="198"/>
  </r>
  <r>
    <d v="2017-09-14T09:43:06"/>
    <d v="2015-11-18T14:12:00"/>
    <d v="2016-06-08T13:19:0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18"/>
    <s v="I"/>
    <s v="eJ"/>
    <s v="1618318"/>
    <s v="1618318"/>
    <x v="0"/>
    <s v="01"/>
    <n v="317896"/>
    <n v="399986"/>
    <s v="Liu"/>
    <s v="Jia"/>
    <s v="Ohio State University"/>
    <s v="7797 7923 7935"/>
    <s v="7797 7923 7935"/>
    <s v="Standard Grant"/>
    <s v="Proposal Awarded"/>
    <m/>
    <s v="CIF: Small: Taming Convergence and Delay in Stochastic Network Optimization with Hessian Information"/>
    <s v="LFUQUA"/>
    <d v="2016-06-28T15:25:45"/>
    <n v="199"/>
  </r>
  <r>
    <d v="2017-09-14T09:43:06"/>
    <d v="2016-11-16T11:35:00"/>
    <d v="2017-06-30T12:11:44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L"/>
    <s v="eJ"/>
    <s v="1717314"/>
    <s v="1717314"/>
    <x v="3"/>
    <s v="01"/>
    <n v="309236"/>
    <n v="309236"/>
    <s v="Soljanin"/>
    <s v="Emina"/>
    <s v="Rutgers Univ New Brunswick"/>
    <s v="7923 7935 7937 9102"/>
    <s v="7923 7935"/>
    <s v="Standard Grant"/>
    <s v="Proposal Awarded"/>
    <m/>
    <s v="CIF:Small:Collaborative Research:Codes for Storage with Queues for Access"/>
    <s v="ISATTLE"/>
    <d v="2017-07-18T11:13:08"/>
    <n v="200"/>
  </r>
  <r>
    <d v="2017-09-14T09:43:06"/>
    <d v="2016-06-03T13:55:00"/>
    <d v="2016-07-14T12:17:55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45564"/>
    <s v="I"/>
    <s v="eJ"/>
    <s v="1645564"/>
    <s v="1645564"/>
    <x v="0"/>
    <s v="01"/>
    <n v="8000"/>
    <n v="16000"/>
    <s v="Johnson"/>
    <s v="Charles"/>
    <s v="Cornell University"/>
    <s v="7556 7936"/>
    <s v="7556 7936"/>
    <s v="Standard Grant"/>
    <s v="Proposal Awarded"/>
    <m/>
    <s v="Student Support for Attending Gordon Research Seminar and Conference (SMCHR 2016)"/>
    <s v="LFUQUA"/>
    <d v="2016-08-10T13:43:49"/>
    <n v="201"/>
  </r>
  <r>
    <d v="2017-09-14T09:43:06"/>
    <d v="2016-11-11T13:34:00"/>
    <d v="2017-06-26T15:12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180"/>
    <s v="I"/>
    <s v="eJ"/>
    <s v="1714180"/>
    <s v="1714180"/>
    <x v="3"/>
    <s v="01"/>
    <n v="421391"/>
    <n v="421391"/>
    <s v="Krishnamurthy"/>
    <s v="Vikram"/>
    <s v="Cornell University"/>
    <s v="7923 7936"/>
    <s v="7923 7936"/>
    <s v="Standard Grant"/>
    <s v="Proposal Awarded"/>
    <m/>
    <s v="CIF: Small: Controlled Sensing with Social Learning"/>
    <s v="ISATTLE"/>
    <d v="2017-07-07T15:39:54"/>
    <n v="202"/>
  </r>
  <r>
    <d v="2017-09-14T09:43:06"/>
    <d v="2016-11-15T13:05:00"/>
    <d v="2017-06-19T17:02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5671"/>
    <s v="I"/>
    <s v="eJ"/>
    <s v="1715671"/>
    <s v="1715671"/>
    <x v="3"/>
    <s v="01"/>
    <n v="362067"/>
    <n v="362067"/>
    <s v="Combettes"/>
    <s v="Patrick"/>
    <s v="North Carolina State U"/>
    <s v="7923 7935"/>
    <s v="7923 7935"/>
    <s v="Standard Grant"/>
    <s v="Proposal Awarded"/>
    <m/>
    <s v="CIF: Small: The Interplay Between Convex Feasibility Problems and Minimization Problems in Signal Recovery"/>
    <s v="ISATTLE"/>
    <d v="2017-06-28T14:59:02"/>
    <n v="203"/>
  </r>
  <r>
    <d v="2017-09-14T09:43:06"/>
    <d v="2016-05-04T00:00:00"/>
    <d v="2016-06-08T13:24:26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039"/>
    <s v="I"/>
    <s v="eJ"/>
    <s v="1524250"/>
    <s v="1643039"/>
    <x v="0"/>
    <s v="01"/>
    <n v="14000"/>
    <n v="14000"/>
    <s v="Sayed"/>
    <s v="Ali"/>
    <s v="U of Cal Los Angeles"/>
    <s v="7935 9251"/>
    <s v="7935 9251"/>
    <s v="Standard Grant"/>
    <s v="Proposal Awarded"/>
    <m/>
    <s v="CIF: Small: Inference over Asymmetric Network and Data Structures"/>
    <s v="ISATTLE"/>
    <d v="2016-06-09T17:56:51"/>
    <n v="204"/>
  </r>
  <r>
    <d v="2017-09-14T09:43:06"/>
    <d v="2016-05-16T00:00:00"/>
    <d v="2016-06-13T13:14:25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43790"/>
    <s v="I"/>
    <s v="eJ"/>
    <s v="1527767"/>
    <s v="1643790"/>
    <x v="0"/>
    <s v="01"/>
    <n v="16000"/>
    <n v="16000"/>
    <s v="Ramchandran"/>
    <s v="Kannan"/>
    <s v="U of Cal Berkeley"/>
    <s v="7936 9251"/>
    <s v="7936 9251"/>
    <s v="Standard Grant"/>
    <s v="Proposal Awarded"/>
    <m/>
    <s v="CIF:Small:Next-Generation Compressive Phase-Retrieval Using Sparse-Graph Codes: Theory, Design and Applications"/>
    <s v="VLRICHA"/>
    <d v="2016-07-06T10:24:19"/>
    <n v="205"/>
  </r>
  <r>
    <d v="2017-09-14T09:43:06"/>
    <d v="2015-12-14T00:00:00"/>
    <d v="2016-05-18T10:45:18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22992"/>
    <s v="I"/>
    <s v="eJ"/>
    <s v="1527501"/>
    <s v="1622992"/>
    <x v="0"/>
    <s v="01"/>
    <n v="16000"/>
    <n v="16000"/>
    <s v="Baraniuk"/>
    <s v="Richard"/>
    <s v="William Marsh Rice Univ"/>
    <s v="7936 9251"/>
    <s v="7936 9251"/>
    <s v="Standard Grant"/>
    <s v="Proposal Awarded"/>
    <m/>
    <s v="CIF: Small: Lens-Free Imaging: Can Signal Processing Replace Lenses?"/>
    <s v="ISATTLE"/>
    <d v="2016-06-01T16:02:53"/>
    <n v="206"/>
  </r>
  <r>
    <d v="2017-09-14T09:43:06"/>
    <d v="2016-03-22T00:00:00"/>
    <d v="2016-06-15T10:52:21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9404"/>
    <s v="I"/>
    <s v="eJ"/>
    <s v="1527501"/>
    <s v="1639404"/>
    <x v="0"/>
    <s v="01"/>
    <n v="16000"/>
    <n v="16000"/>
    <s v="Baraniuk"/>
    <s v="Richard"/>
    <s v="William Marsh Rice Univ"/>
    <s v="9251"/>
    <s v="9251"/>
    <s v="Standard Grant"/>
    <s v="Proposal Awarded"/>
    <m/>
    <s v="CIF: Small: Lens-Free Imaging: Can Signal Processing Replace Lenses?"/>
    <s v="VLRICHA"/>
    <d v="2016-07-06T10:50:35"/>
    <n v="207"/>
  </r>
  <r>
    <d v="2017-09-14T09:43:06"/>
    <d v="2017-04-03T00:00:00"/>
    <d v="2017-05-14T19:09:5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2907"/>
    <s v="I"/>
    <s v="eJ"/>
    <s v="1527501"/>
    <s v="1742907"/>
    <x v="3"/>
    <s v="01"/>
    <n v="16000"/>
    <n v="16000"/>
    <s v="Baraniuk"/>
    <s v="Richard"/>
    <s v="William Marsh Rice Univ"/>
    <s v="7936 9251"/>
    <s v="7936"/>
    <s v="Standard Grant"/>
    <s v="Proposal Awarded"/>
    <m/>
    <s v="CIF: Small: Lens-Free Imaging: Can Signal Processing Replace Lenses?"/>
    <s v="VLRICHA"/>
    <d v="2017-05-15T14:55:42"/>
    <n v="208"/>
  </r>
  <r>
    <d v="2017-09-14T09:43:06"/>
    <d v="2013-09-27T00:00:00"/>
    <d v="2014-02-11T09:27:4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361920"/>
    <s v="I"/>
    <s v="eJ"/>
    <s v="1111342"/>
    <s v="1361920"/>
    <x v="1"/>
    <s v="01"/>
    <n v="5000"/>
    <n v="5000"/>
    <s v="Veeravalli"/>
    <s v="Venugopal"/>
    <s v="U of Ill Urbana-Champaign"/>
    <s v="7936 9251"/>
    <s v="7936 9251"/>
    <s v="Standard Grant"/>
    <s v="Proposal Awarded"/>
    <m/>
    <s v="CIF: Large: Collaborative Research: Controlled Sensing, and Distributed Signal Processing and Decision Making  in Networked Systems"/>
    <s v="DOYOUNG"/>
    <d v="2014-02-12T09:42:27"/>
    <n v="209"/>
  </r>
  <r>
    <d v="2017-09-14T09:43:06"/>
    <d v="2014-07-23T00:00:00"/>
    <d v="2014-07-28T11:38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4921"/>
    <s v="I"/>
    <s v="eJ"/>
    <s v="1111342"/>
    <s v="1454921"/>
    <x v="1"/>
    <s v="01"/>
    <n v="16000"/>
    <n v="16000"/>
    <s v="Veeravalli"/>
    <s v="Venugopal"/>
    <s v="U of Ill Urbana-Champaign"/>
    <s v="9251"/>
    <s v="9251"/>
    <s v="Standard Grant"/>
    <s v="Proposal Awarded"/>
    <m/>
    <s v="CIF: Large: Collaborative Research: Controlled Sensing, and Distributed Signal Processing and Decision Making  in Networked Systems"/>
    <s v="DOYOUNG"/>
    <d v="2014-07-28T13:48:37"/>
    <n v="210"/>
  </r>
  <r>
    <d v="2017-09-14T09:43:06"/>
    <d v="2014-04-30T00:00:00"/>
    <d v="2014-05-30T09:22:18"/>
    <s v="05010000"/>
    <s v="05010000"/>
    <s v="8211 - CyberSEES"/>
    <s v="7797 - COMM &amp; INFORMATION FOUNDATIONS"/>
    <s v="PREGALI"/>
    <s v="PREGALI"/>
    <s v="4110"/>
    <s v="4110"/>
    <s v=""/>
    <x v="1"/>
    <x v="0"/>
    <s v="AWD"/>
    <s v="STND"/>
    <s v="STND"/>
    <s v="CCF"/>
    <s v="1444801"/>
    <s v="I"/>
    <s v="eJ"/>
    <s v="1331800"/>
    <s v="1444801"/>
    <x v="1"/>
    <s v="01"/>
    <n v="16000"/>
    <n v="16000"/>
    <s v="Cruz"/>
    <s v="Maria"/>
    <s v="U of Illinois Chicago"/>
    <s v="9251"/>
    <s v="9251"/>
    <s v="Standard Grant"/>
    <s v="Proposal Awarded"/>
    <m/>
    <s v="CyberSEES: Type 2: Data Integration for Urban Metabolism"/>
    <s v="DOYOUNG"/>
    <d v="2014-06-05T10:29:40"/>
    <n v="211"/>
  </r>
  <r>
    <d v="2017-09-14T09:43:06"/>
    <d v="2016-03-16T00:00:00"/>
    <d v="2016-05-17T10:16:36"/>
    <s v="05010000"/>
    <s v="05010000"/>
    <s v="7797 - COMM &amp; INFORMATION FOUNDATIONS"/>
    <s v="7797 - COMM &amp; INFORMATION FOUNDATIONS"/>
    <s v="RSHAH"/>
    <s v="RSHAH"/>
    <s v="4110"/>
    <s v="4110"/>
    <s v="NSF 16-1"/>
    <x v="1"/>
    <x v="0"/>
    <s v="AWD"/>
    <s v="STND"/>
    <s v="STND"/>
    <s v="CCF"/>
    <s v="1638826"/>
    <s v="I"/>
    <s v="eJ"/>
    <s v="1319458"/>
    <s v="1638826"/>
    <x v="0"/>
    <s v="01"/>
    <n v="16000"/>
    <n v="16000"/>
    <s v="McNeill"/>
    <s v="John"/>
    <s v="Worcester Polytech Inst"/>
    <s v="7957 9251"/>
    <s v="7957 9251"/>
    <s v="Standard Grant"/>
    <s v="Proposal Awarded"/>
    <m/>
    <s v="An Efficient Framework for Channel State Dissemination and Network Synchronization"/>
    <s v="ISATTLE"/>
    <d v="2016-05-25T13:44:48"/>
    <n v="212"/>
  </r>
  <r>
    <d v="2017-09-14T09:43:06"/>
    <d v="2014-07-30T00:00:00"/>
    <d v="2014-07-31T10:40:58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6164"/>
    <s v="I"/>
    <s v="eJ"/>
    <s v="1218189"/>
    <s v="1456164"/>
    <x v="1"/>
    <s v="01"/>
    <n v="8000"/>
    <n v="8000"/>
    <s v="Nowak"/>
    <s v="Robert"/>
    <s v="U of Wisconsin Madison"/>
    <s v="9251"/>
    <s v="9251"/>
    <s v="Standard Grant"/>
    <s v="Proposal Awarded"/>
    <m/>
    <s v="CIF: Small: Adaptive Information: Sequential Sensing and Active Learning Theory,  Methods and Applications"/>
    <s v="JROBEY"/>
    <d v="2014-08-20T08:37:12"/>
    <n v="213"/>
  </r>
  <r>
    <d v="2017-09-14T09:43:06"/>
    <d v="2017-03-24T00:00:00"/>
    <d v="2017-04-20T22:27:4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1703"/>
    <s v="I"/>
    <s v="eJ"/>
    <s v="1618272"/>
    <s v="1741703"/>
    <x v="3"/>
    <s v="01"/>
    <n v="10000"/>
    <n v="10000"/>
    <s v="Wesel"/>
    <s v="Richard"/>
    <s v="U of Cal Los Angeles"/>
    <s v="7935 9251"/>
    <s v="7935 9251"/>
    <s v="Standard Grant"/>
    <s v="Proposal Awarded"/>
    <m/>
    <s v="CIF: Small: Approaching Capacity in High Throughput Communication Systems with Incremental Redundancy"/>
    <s v="VLRICHA"/>
    <d v="2017-04-24T09:15:53"/>
    <n v="214"/>
  </r>
  <r>
    <d v="2017-09-14T09:43:06"/>
    <d v="2017-01-27T00:00:00"/>
    <d v="2017-02-06T11:56:3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948"/>
    <s v="I"/>
    <s v="eJ"/>
    <s v="1421957"/>
    <s v="1733948"/>
    <x v="3"/>
    <s v="01"/>
    <n v="14000"/>
    <n v="14000"/>
    <s v="Goeckel"/>
    <s v="Dennis"/>
    <s v="U of Massachusetts Amherst"/>
    <s v="7935 9251"/>
    <s v="7935 9251"/>
    <s v="Standard Grant"/>
    <s v="Proposal Awarded"/>
    <m/>
    <s v="CIF: Small: Everlasting Security for Disadvantaged Wireless Communications"/>
    <s v="VLRICHA"/>
    <d v="2017-02-09T10:46:06"/>
    <n v="215"/>
  </r>
  <r>
    <d v="2017-09-14T09:43:06"/>
    <d v="2015-03-11T00:00:00"/>
    <d v="2015-04-09T14:09:3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330"/>
    <s v="I"/>
    <s v="eJ"/>
    <s v="1248100"/>
    <s v="1540330"/>
    <x v="2"/>
    <s v="01"/>
    <n v="8000"/>
    <n v="30000"/>
    <s v="Pinango"/>
    <s v="Maria"/>
    <s v="Yale University"/>
    <s v="9251"/>
    <s v="7935 9251"/>
    <s v="Standard Grant"/>
    <s v="Proposal Awarded"/>
    <m/>
    <s v="INSPIRE: The underpinnings of Semantic change:  A Linguistic, Cognitive, and Information-Theoretic Investigation"/>
    <s v="VLRICHA"/>
    <d v="2015-04-10T13:27:30"/>
    <n v="216"/>
  </r>
  <r>
    <d v="2017-09-14T09:43:06"/>
    <d v="2014-02-21T00:00:00"/>
    <d v="2014-05-01T12:57:0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38875"/>
    <s v="I"/>
    <s v="eJ"/>
    <s v="1319458"/>
    <s v="1438875"/>
    <x v="1"/>
    <s v="01"/>
    <n v="20250"/>
    <n v="14580"/>
    <s v="Brown"/>
    <s v="Donald"/>
    <s v="Worcester Polytech Inst"/>
    <s v="9251"/>
    <m/>
    <s v="Standard Grant"/>
    <s v="Proposal Awarded"/>
    <m/>
    <s v="An Efficient Framework for Channel State Dissemination and Network Synchronization"/>
    <s v="DOYOUNG"/>
    <d v="2014-05-05T08:47:03"/>
    <n v="217"/>
  </r>
  <r>
    <d v="2017-09-14T09:43:06"/>
    <d v="2015-03-31T00:00:00"/>
    <d v="2015-05-20T11:49:1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1928"/>
    <s v="I"/>
    <s v="eJ"/>
    <s v="1319458"/>
    <s v="1541928"/>
    <x v="2"/>
    <s v="01"/>
    <n v="16000"/>
    <n v="16000"/>
    <s v="Brown"/>
    <s v="Donald"/>
    <s v="Worcester Polytech Inst"/>
    <s v="9251"/>
    <s v="9251"/>
    <s v="Standard Grant"/>
    <s v="Proposal Awarded"/>
    <m/>
    <s v="An Efficient Framework for Channel State Dissemination and Network Synchronization"/>
    <s v="VLRICHA"/>
    <d v="2015-05-26T18:09:16"/>
    <n v="218"/>
  </r>
  <r>
    <d v="2017-09-14T09:43:06"/>
    <d v="2016-10-19T00:00:00"/>
    <d v="2017-01-06T15:37:42"/>
    <s v="05010000"/>
    <s v="05010000"/>
    <s v="7797 - COMM &amp; INFORMATION FOUNDATIONS"/>
    <s v="7797 - COMM &amp; INFORMATION FOUNDATIONS"/>
    <s v="RIBROWN"/>
    <s v="RIBROWN"/>
    <s v="4110"/>
    <s v="4110"/>
    <s v=""/>
    <x v="1"/>
    <x v="0"/>
    <s v="AWD"/>
    <s v="STND"/>
    <s v="STND"/>
    <s v="CCF"/>
    <s v="1705205"/>
    <s v="I"/>
    <s v="eJ"/>
    <s v="1526780"/>
    <s v="1705205"/>
    <x v="3"/>
    <s v="01"/>
    <n v="53120"/>
    <n v="53120"/>
    <s v="Jafarkhani"/>
    <s v="Hamid"/>
    <s v="U of Cal Irvine"/>
    <s v="7935 9232"/>
    <s v="7935 9232"/>
    <s v="Standard Grant"/>
    <s v="Proposal Awarded"/>
    <m/>
    <s v="CIF: Small: Challenges and opportunities of timing mismatch in multi-user wireless networks"/>
    <s v="ISATTLE"/>
    <d v="2017-01-25T15:19:41"/>
    <n v="219"/>
  </r>
  <r>
    <d v="2017-09-14T09:43:06"/>
    <d v="2015-05-28T00:00:00"/>
    <d v="2015-07-13T09:16:20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6920"/>
    <s v="I"/>
    <s v="eJ"/>
    <s v="1423411"/>
    <s v="1546920"/>
    <x v="2"/>
    <s v="01"/>
    <n v="11250"/>
    <n v="22500"/>
    <s v="Scoglio"/>
    <s v="Caterina"/>
    <s v="Kansas State University"/>
    <m/>
    <m/>
    <s v="Standard Grant"/>
    <s v="Proposal Awarded"/>
    <m/>
    <s v="CIF: Small: SPREADING PROCESSES OVER MULTILAYER AND INTERCONNECTED NETWORKS"/>
    <s v="LFUQUA"/>
    <d v="2015-07-21T12:27:16"/>
    <n v="220"/>
  </r>
  <r>
    <d v="2017-09-14T09:43:06"/>
    <d v="2016-05-19T00:00:00"/>
    <d v="2016-06-08T14:06:10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4420"/>
    <s v="I"/>
    <s v="eJ"/>
    <s v="1320428"/>
    <s v="1644420"/>
    <x v="0"/>
    <s v="01"/>
    <n v="20000"/>
    <n v="20000"/>
    <s v="Deng"/>
    <s v="Jing"/>
    <s v="UNCG"/>
    <s v="7935 9251"/>
    <s v="7935 9251"/>
    <s v="Standard Grant"/>
    <s v="Proposal Awarded"/>
    <m/>
    <s v="CIF: Small: Collaborative Research:Security in Dynamic Environments: Harvesting Network Randomness and Diversity"/>
    <s v="ISATTLE"/>
    <d v="2016-06-09T17:57:57"/>
    <n v="221"/>
  </r>
  <r>
    <d v="2017-09-14T09:43:06"/>
    <d v="2015-03-06T00:00:00"/>
    <d v="2015-03-19T15:53:2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146"/>
    <s v="I"/>
    <s v="eJ"/>
    <s v="1422045"/>
    <s v="1540146"/>
    <x v="2"/>
    <s v="01"/>
    <n v="16000"/>
    <n v="16000"/>
    <s v="Guruswami"/>
    <s v="Venkatesan"/>
    <s v="Carnegie Mellon University"/>
    <s v="7935 9251"/>
    <s v="7935 9251"/>
    <s v="Standard Grant"/>
    <s v="Proposal Awarded"/>
    <m/>
    <s v="CIF/AF: Small: Some fundamental complexity-inspired coding theory challenges"/>
    <s v="WPOWELL"/>
    <d v="2015-03-20T14:16:42"/>
    <n v="222"/>
  </r>
  <r>
    <d v="2017-09-14T09:43:06"/>
    <d v="2015-02-13T00:00:00"/>
    <d v="2015-03-31T09:32:43"/>
    <s v="05010000"/>
    <s v="05010000"/>
    <s v="8211 - CyberSEES"/>
    <s v="7797 - COMM &amp; INFORMATION FOUNDATIONS"/>
    <s v="ANIKOLI"/>
    <s v="PREGALI"/>
    <s v="4110"/>
    <s v="4110"/>
    <s v=""/>
    <x v="1"/>
    <x v="0"/>
    <s v="AWD"/>
    <s v="STND"/>
    <s v="STND"/>
    <s v="CCF"/>
    <s v="1536553"/>
    <s v="I"/>
    <s v="eJ"/>
    <s v="1442971"/>
    <s v="1536553"/>
    <x v="2"/>
    <s v="01"/>
    <n v="16000"/>
    <n v="0"/>
    <s v="Lv"/>
    <s v="Qin"/>
    <s v="U of Colorado Boulder"/>
    <s v="8231 9251"/>
    <s v="8231 9251"/>
    <s v="Standard Grant"/>
    <s v="Proposal Awarded"/>
    <m/>
    <s v="CyberSEES: Type 2: Collaborative Research: Connecting Next-generation Air Pollution Exposure Measurements to Environmentally Sustainable Communities"/>
    <s v="WPOWELL"/>
    <d v="2015-04-08T07:14:25"/>
    <n v="223"/>
  </r>
  <r>
    <d v="2017-09-14T09:43:06"/>
    <d v="2014-04-09T00:00:00"/>
    <d v="2014-05-01T13:02:27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43008"/>
    <s v="I"/>
    <s v="eJ"/>
    <s v="1319653"/>
    <s v="1443008"/>
    <x v="1"/>
    <s v="01"/>
    <n v="10400"/>
    <n v="1040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5-05T08:55:12"/>
    <n v="224"/>
  </r>
  <r>
    <d v="2017-09-14T09:43:06"/>
    <d v="2014-07-28T00:00:00"/>
    <d v="2014-07-30T10:10:4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5716"/>
    <s v="I"/>
    <s v="eJ"/>
    <s v="1319653"/>
    <s v="1455716"/>
    <x v="1"/>
    <s v="01"/>
    <n v="15500"/>
    <n v="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7-31T10:12:15"/>
    <n v="225"/>
  </r>
  <r>
    <d v="2017-09-14T09:43:06"/>
    <d v="2016-02-04T00:00:00"/>
    <d v="2016-04-12T10:39:17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2863"/>
    <s v="I"/>
    <s v="eJ"/>
    <s v="1464222"/>
    <s v="1632863"/>
    <x v="0"/>
    <s v="01"/>
    <n v="8000"/>
    <n v="8000"/>
    <s v="Banavar"/>
    <s v="Mahesh"/>
    <s v="Clarkson University"/>
    <s v="7936 9251"/>
    <s v="7936 9251"/>
    <s v="Standard Grant"/>
    <s v="Proposal Awarded"/>
    <m/>
    <s v="CRII: CIF: Distributed Sensor Localization With Ordinal Data Constraints"/>
    <s v="DCOATES"/>
    <d v="2016-05-02T13:16:29"/>
    <n v="226"/>
  </r>
  <r>
    <d v="2017-09-14T09:43:06"/>
    <d v="2017-04-26T00:00:00"/>
    <d v="2017-04-30T10:53:1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3822"/>
    <s v="I"/>
    <s v="eJ"/>
    <s v="1618800"/>
    <s v="1743822"/>
    <x v="3"/>
    <s v="01"/>
    <n v="11500"/>
    <n v="11500"/>
    <s v="Nazer"/>
    <s v="Bobak"/>
    <s v="Boston University"/>
    <s v="7935 9251"/>
    <s v="7935 9251"/>
    <s v="Standard Grant"/>
    <s v="Proposal Awarded"/>
    <m/>
    <s v="CIF: Small: Algebraic Network Information Theory"/>
    <s v="VLRICHA"/>
    <d v="2017-05-07T18:57:17"/>
    <n v="227"/>
  </r>
  <r>
    <d v="2017-09-14T09:43:06"/>
    <d v="2017-02-08T00:00:00"/>
    <d v="2017-04-28T15:03:30"/>
    <s v="05050000"/>
    <s v="05010000"/>
    <s v="7918 - CYBER-PHYSICAL SYSTEMS (CPS)"/>
    <s v="7797 - COMM &amp; INFORMATION FOUNDATIONS"/>
    <s v="RIBROWN"/>
    <s v="RIBROWN"/>
    <s v="4110"/>
    <s v="4110"/>
    <s v="NSF 16-1"/>
    <x v="1"/>
    <x v="0"/>
    <s v="AWD"/>
    <s v="STND"/>
    <s v="STND"/>
    <s v="CNS"/>
    <s v="1735450"/>
    <s v="I"/>
    <s v="eJ"/>
    <s v="1646408"/>
    <s v="1735450"/>
    <x v="3"/>
    <s v="01"/>
    <n v="16000"/>
    <n v="16000"/>
    <s v="Meyer"/>
    <s v="Miriah"/>
    <s v="University of Utah"/>
    <s v="9251"/>
    <s v="9251"/>
    <s v="Standard Grant"/>
    <s v="Proposal Awarded"/>
    <m/>
    <s v="CPS: Synergy: A Layered Framework of Sensors, Models, Land-Use Information and Citizens for Understanding Air Quality in Urban Environments"/>
    <s v="VLRICHA"/>
    <d v="2017-05-05T13:21:57"/>
    <n v="228"/>
  </r>
  <r>
    <d v="2017-09-14T09:43:06"/>
    <d v="2014-05-09T00:00:00"/>
    <d v="2014-05-30T10:54:5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45406"/>
    <s v="I"/>
    <s v="eJ"/>
    <s v="1440033"/>
    <s v="1445406"/>
    <x v="1"/>
    <s v="01"/>
    <n v="6500"/>
    <n v="6500"/>
    <s v="Sarwate"/>
    <s v="Anand"/>
    <s v="Rutgers Univ New Brunswick"/>
    <s v="9251"/>
    <s v="7797 9251"/>
    <s v="Standard Grant"/>
    <s v="Proposal Awarded"/>
    <m/>
    <s v="CIF: Small: Collaborative Research: Inference by social sampling"/>
    <s v="DOYOUNG"/>
    <d v="2014-06-05T10:52:28"/>
    <n v="229"/>
  </r>
  <r>
    <d v="2017-09-14T09:43:06"/>
    <d v="2015-02-04T00:00:00"/>
    <d v="2015-02-09T15:21:39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35566"/>
    <s v="I"/>
    <s v="eJ"/>
    <s v="1318093"/>
    <s v="1535566"/>
    <x v="2"/>
    <s v="01"/>
    <n v="7975"/>
    <n v="7975"/>
    <s v="Mazumdar"/>
    <s v="Arya"/>
    <s v="U of Minnesota-Twin Cities"/>
    <s v="7935 9251"/>
    <s v="7935 9251"/>
    <s v="Standard Grant"/>
    <s v="Proposal Awarded"/>
    <m/>
    <s v="CIF: Small: Collaborative Research: Combinatorial Joint Source-Channel Coding"/>
    <s v="WPOWELL"/>
    <d v="2015-02-18T09:11:36"/>
    <n v="230"/>
  </r>
  <r>
    <d v="2017-09-14T09:43:06"/>
    <d v="2016-05-06T00:00:00"/>
    <d v="2016-06-08T13:25:25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129"/>
    <s v="I"/>
    <s v="eJ"/>
    <s v="1527550"/>
    <s v="1643129"/>
    <x v="0"/>
    <s v="01"/>
    <n v="16000"/>
    <n v="16000"/>
    <s v="Fragouli"/>
    <s v="Christina"/>
    <s v="U of Cal Los Angeles"/>
    <s v="7935 9251"/>
    <s v="7935 9251"/>
    <s v="Standard Grant"/>
    <s v="Proposal Awarded"/>
    <m/>
    <s v="CIF: Small: Collaborative Research: From Pliable to Content-Type Coding"/>
    <s v="LFUQUA"/>
    <d v="2016-06-28T12:56:59"/>
    <n v="231"/>
  </r>
  <r>
    <d v="2017-09-14T09:43:06"/>
    <d v="2017-01-25T00:00:00"/>
    <d v="2017-03-20T10:27:3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651"/>
    <s v="I"/>
    <s v="eJ"/>
    <s v="1422165"/>
    <s v="1733651"/>
    <x v="3"/>
    <s v="01"/>
    <n v="16000"/>
    <n v="16000"/>
    <s v="Yagan"/>
    <s v="Osman"/>
    <s v="Carnegie Mellon University"/>
    <s v="7935 9251"/>
    <s v="7935 9251"/>
    <s v="Standard Grant"/>
    <s v="Proposal Awarded"/>
    <m/>
    <s v="NeTS: CIF: Small: Robust and Optimal Design of Interdependent Networks"/>
    <s v="VLRICHA"/>
    <d v="2017-03-31T11:34:05"/>
    <n v="232"/>
  </r>
  <r>
    <d v="2017-09-14T09:43:06"/>
    <d v="2017-02-28T00:00:00"/>
    <d v="2017-03-22T12:33:27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8759"/>
    <s v="I"/>
    <s v="eJ"/>
    <s v="1526962"/>
    <s v="1738759"/>
    <x v="3"/>
    <s v="01"/>
    <n v="8000"/>
    <n v="8000"/>
    <s v="El Rouayheb"/>
    <s v="Salim"/>
    <s v="Illinois Inst of Tech"/>
    <s v="7935 9251"/>
    <s v="7935 9251"/>
    <s v="Standard Grant"/>
    <s v="Proposal Awarded"/>
    <m/>
    <s v="CIF: Small: Collaborative Research:Synchronization and Deduplication of Distributed Coded Data: Fundamental Limits and Algorithms"/>
    <s v="VLRICHA"/>
    <d v="2017-04-03T13:06:15"/>
    <n v="233"/>
  </r>
  <r>
    <d v="2017-09-14T09:43:06"/>
    <d v="2017-03-06T00:00:00"/>
    <d v="2017-03-22T12:36:56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9625"/>
    <s v="I"/>
    <s v="eJ"/>
    <s v="1528030"/>
    <s v="1739625"/>
    <x v="3"/>
    <s v="01"/>
    <n v="19000"/>
    <n v="19000"/>
    <s v="Chakareski"/>
    <s v="Jacob"/>
    <s v="U of Alabama Tuscaloosa"/>
    <s v="7935 9251"/>
    <s v="7935 9251"/>
    <s v="Standard Grant"/>
    <s v="Proposal Awarded"/>
    <m/>
    <s v="CIF: Small: Mobile Immersive Communication: View Sampling and Rate-Distortion Limits"/>
    <s v="VLRICHA"/>
    <d v="2017-03-31T14:30:39"/>
    <n v="234"/>
  </r>
  <r>
    <d v="2017-09-14T09:43:06"/>
    <d v="2017-06-20T00:00:00"/>
    <d v="2017-07-18T17:10:1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7656"/>
    <s v="I"/>
    <s v="eJ"/>
    <s v="1527486"/>
    <s v="1747656"/>
    <x v="3"/>
    <s v="01"/>
    <n v="7800"/>
    <n v="7800"/>
    <s v="Aggarwal"/>
    <s v="Vaneet"/>
    <s v="Purdue University"/>
    <s v="7936 9251"/>
    <s v="7936 9251"/>
    <s v="Standard Grant"/>
    <s v="Proposal Awarded"/>
    <m/>
    <s v="CIF:  Small: Collaborative Research: Communications with Energy Harvesting Nodes"/>
    <s v="VLRICHA"/>
    <d v="2017-07-24T11:14:07"/>
    <n v="235"/>
  </r>
  <r>
    <d v="2017-09-14T09:43:06"/>
    <d v="2014-09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62189"/>
    <s v="I"/>
    <s v="eJ"/>
    <s v="1462189"/>
    <s v="1462189"/>
    <x v="4"/>
    <s v="01"/>
    <n v="456745"/>
    <n v="456745"/>
    <s v="Tse"/>
    <s v="David"/>
    <s v="Stanford University"/>
    <s v="7923 7935"/>
    <s v="7923 7935"/>
    <s v="Standard Grant"/>
    <s v="Proposal Awarded"/>
    <m/>
    <s v="CIF: Small: Exploiting Side Information: a New Role of Feedback"/>
    <s v="JROBEY"/>
    <d v="2014-09-15T09:47:42"/>
    <n v="236"/>
  </r>
  <r>
    <d v="2017-09-14T09:43:06"/>
    <d v="2016-10-20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3-579"/>
    <x v="2"/>
    <x v="0"/>
    <s v="AWD"/>
    <s v="STND"/>
    <s v="STND"/>
    <s v="CCF"/>
    <s v="1707181"/>
    <s v="I"/>
    <s v="eJ"/>
    <s v="1707181"/>
    <s v="1707181"/>
    <x v="1"/>
    <s v="01"/>
    <n v="277808"/>
    <n v="277808"/>
    <s v="Rohde"/>
    <s v="Gustavo"/>
    <s v="University of Virginia"/>
    <m/>
    <s v="7923 7936"/>
    <s v="Standard Grant"/>
    <s v="Proposal Awarded"/>
    <m/>
    <s v="CIF: Small: Transport and other Lagrangian transforms for signal analysis and discrimination"/>
    <s v="ISATTLE"/>
    <d v="2017-02-08T13:50:37"/>
    <n v="237"/>
  </r>
  <r>
    <d v="2017-09-14T09:43:06"/>
    <d v="2016-06-02T00:00:00"/>
    <d v="1899-12-31T00:00:00"/>
    <s v="05010000"/>
    <s v="05010000"/>
    <s v="7796 - ALGORITHMIC FOUNDATIONS"/>
    <s v="7797 - COMM &amp; INFORMATION FOUNDATIONS"/>
    <s v="MBASU"/>
    <s v="MBASU"/>
    <s v="4110"/>
    <s v="4110"/>
    <s v="NSF 14-598"/>
    <x v="2"/>
    <x v="0"/>
    <s v="AWD"/>
    <s v="STND"/>
    <s v="STND"/>
    <s v="CCF"/>
    <s v="1645512"/>
    <s v="I"/>
    <s v="eJ"/>
    <s v="1645512"/>
    <s v="1645512"/>
    <x v="2"/>
    <s v="02"/>
    <n v="409690"/>
    <n v="419154"/>
    <s v="Kozakov"/>
    <s v="Dmytro"/>
    <s v="SUNY Stony Brook"/>
    <m/>
    <s v="7923 7931"/>
    <s v="Standard Grant"/>
    <s v="Proposal Awarded"/>
    <m/>
    <s v="AF: Small: Manifold optimization algorithms for protein-protein docking"/>
    <s v="LFUQUA"/>
    <d v="2016-06-29T15:41:09"/>
    <n v="238"/>
  </r>
  <r>
    <d v="2017-09-14T09:43:06"/>
    <d v="2014-03-10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40033"/>
    <s v="I"/>
    <s v="eJ"/>
    <s v="1440033"/>
    <s v="1440033"/>
    <x v="4"/>
    <s v="01"/>
    <n v="175762"/>
    <n v="175762"/>
    <s v="Sarwate"/>
    <s v="Anand"/>
    <s v="Rutgers Univ New Brunswick"/>
    <m/>
    <s v="7923 7935"/>
    <s v="Standard Grant"/>
    <s v="Proposal Awarded"/>
    <m/>
    <s v="CIF: Small: Collaborative Research: Inference by social sampling"/>
    <s v="JROBEY"/>
    <d v="2014-03-19T10:12:09"/>
    <n v="239"/>
  </r>
  <r>
    <d v="2017-09-14T09:43:06"/>
    <d v="2015-09-16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98"/>
    <x v="2"/>
    <x v="0"/>
    <s v="AWD"/>
    <s v="STND"/>
    <s v="STND"/>
    <s v="CCF"/>
    <s v="1564044"/>
    <s v="I"/>
    <s v="eJ"/>
    <s v="1564044"/>
    <s v="1564044"/>
    <x v="2"/>
    <s v="01"/>
    <n v="224829"/>
    <n v="224829"/>
    <s v="Scutari"/>
    <s v="Gesualdo"/>
    <s v="Purdue University"/>
    <s v="7923 7935"/>
    <s v="7923 7935"/>
    <s v="Standard Grant"/>
    <s v="Proposal Awarded"/>
    <m/>
    <s v="CIF: Small: Collaborative Research: Communicating While Computing: Mobile Fog Computing Over Wireless Heterogeneous Networks"/>
    <s v="VLRICHA"/>
    <d v="2015-09-17T16:01:29"/>
    <n v="240"/>
  </r>
  <r>
    <d v="2017-09-14T09:43:06"/>
    <d v="2016-02-02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4-598"/>
    <x v="2"/>
    <x v="0"/>
    <s v="AWD"/>
    <s v="STND"/>
    <s v="STND"/>
    <s v="CCF"/>
    <s v="1632599"/>
    <s v="I"/>
    <s v="eJ"/>
    <s v="1632599"/>
    <s v="1632599"/>
    <x v="2"/>
    <s v="01"/>
    <n v="121438"/>
    <n v="121438"/>
    <s v="Scutari"/>
    <s v="Gesualdo"/>
    <s v="Purdue University"/>
    <m/>
    <s v="7924 7936"/>
    <s v="Standard Grant"/>
    <s v="Proposal Awarded"/>
    <m/>
    <s v="CIF: Small: Collaborative Research: Parallel Online Algorithms for Large-Scale MRI"/>
    <s v="VLRICHA"/>
    <d v="2016-03-09T08:47:04"/>
    <n v="241"/>
  </r>
  <r>
    <d v="2017-09-14T09:43:06"/>
    <d v="2016-04-29T00:00:00"/>
    <d v="1899-12-31T00:00:00"/>
    <s v="03040000"/>
    <s v="05010000"/>
    <s v="1264 - ALGEBRA,NUMBER THEORY,AND COM"/>
    <s v="7797 - COMM &amp; INFORMATION FOUNDATIONS"/>
    <s v="MDOUGLA"/>
    <s v="MDOUGLA"/>
    <s v="4160"/>
    <s v="4160"/>
    <s v="NSF 10-578"/>
    <x v="2"/>
    <x v="0"/>
    <s v="AWD"/>
    <s v="STND"/>
    <s v="STND"/>
    <s v="DMS"/>
    <s v="1642608"/>
    <s v="I"/>
    <s v="eJ"/>
    <s v="1642608"/>
    <s v="1642608"/>
    <x v="1"/>
    <s v="02"/>
    <n v="6190"/>
    <n v="24711"/>
    <s v="Kondor"/>
    <s v="Imre"/>
    <s v="PA St U University Park"/>
    <m/>
    <s v="7556"/>
    <s v="Standard Grant"/>
    <s v="Proposal Awarded"/>
    <m/>
    <s v="IMA SUMMER SCHOOL ON MODERN APPLICATIONS OF REPRESENTATION THEORY (SUPPLEMENTARY FUNDING), July 20 - August 6, 2014"/>
    <s v="VLRICHA"/>
    <d v="2016-06-02T10:23:13"/>
    <n v="242"/>
  </r>
  <r>
    <d v="2017-09-14T09:43:06"/>
    <d v="2016-04-28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642550"/>
    <s v="I"/>
    <s v="eJ"/>
    <s v="1642550"/>
    <s v="1642550"/>
    <x v="2"/>
    <s v="01"/>
    <n v="246331"/>
    <n v="246331"/>
    <s v="Mazumdar"/>
    <s v="Arya"/>
    <s v="U of Massachusetts Amherst"/>
    <m/>
    <s v="7923 7935"/>
    <s v="Standard Grant"/>
    <s v="Proposal Awarded"/>
    <m/>
    <s v="CIF: Small: Collaborative Research: Ordinal Data Compression"/>
    <s v="LFUQUA"/>
    <d v="2016-05-20T09:53:55"/>
    <n v="243"/>
  </r>
  <r>
    <d v="2017-09-14T09:43:06"/>
    <d v="2015-08-2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3-579"/>
    <x v="2"/>
    <x v="0"/>
    <s v="AWD"/>
    <s v="STND"/>
    <s v="STND"/>
    <s v="CCF"/>
    <s v="1559758"/>
    <s v="I"/>
    <s v="eJ"/>
    <s v="1559758"/>
    <s v="1559758"/>
    <x v="1"/>
    <s v="01"/>
    <n v="120000"/>
    <n v="122185"/>
    <s v="Tandon"/>
    <s v="Ravi"/>
    <s v="U of Arizona"/>
    <m/>
    <s v="7923 7935"/>
    <s v="Standard Grant"/>
    <s v="Proposal Awarded"/>
    <m/>
    <s v="CIF: Small: Collaborative Research: Synergistic Exploitation of Network Dynamics and Knowledge Heterogeneity in Wireless Networks"/>
    <s v="LFUQUA"/>
    <d v="2015-09-08T14:26:31"/>
    <n v="244"/>
  </r>
  <r>
    <d v="2017-09-14T09:43:06"/>
    <d v="2017-07-14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749241"/>
    <s v="I"/>
    <s v="eJ"/>
    <s v="1749241"/>
    <s v="1749241"/>
    <x v="2"/>
    <s v="01"/>
    <n v="206012"/>
    <n v="206012"/>
    <s v="Wu"/>
    <s v="Yihong"/>
    <s v="Yale University"/>
    <s v="7935"/>
    <s v="7923 7935"/>
    <s v="Standard Grant"/>
    <s v="Proposal Awarded"/>
    <m/>
    <s v="CIF: Small: Collaborative Research: Inference of Information Measures on Large Alphabets: Fundamental Limits, Fast Algorithims, and Applications"/>
    <s v="ISATTLE"/>
    <d v="2017-08-31T15:10:42"/>
    <n v="245"/>
  </r>
  <r>
    <d v="2017-09-14T09:43:06"/>
    <d v="2017-07-07T00:00:00"/>
    <d v="1899-12-31T00:00:00"/>
    <s v="05050000"/>
    <s v="05010000"/>
    <s v="8060 - Secure &amp;Trustworthy Cyberspace"/>
    <s v="7797 - COMM &amp; INFORMATION FOUNDATIONS"/>
    <s v="WLOU"/>
    <s v="WLOU"/>
    <s v="4110"/>
    <s v="4110"/>
    <s v="NSF 15-575"/>
    <x v="2"/>
    <x v="0"/>
    <s v="AWD"/>
    <s v="STND"/>
    <s v="STND"/>
    <s v="CNS"/>
    <s v="1748692"/>
    <s v="I"/>
    <s v="eJ"/>
    <s v="1748692"/>
    <s v="1748692"/>
    <x v="0"/>
    <s v="02"/>
    <n v="169092"/>
    <n v="338185"/>
    <s v="Koyluoglu"/>
    <s v="Onur Ozan"/>
    <s v="U of Cal Berkeley"/>
    <s v="7923"/>
    <s v="7797 7923"/>
    <s v="Standard Grant"/>
    <s v="Proposal Awarded"/>
    <m/>
    <s v="TWC: Small: Coding-based Mechanisms for Building Secure Cloud Storage Systems"/>
    <s v="PCONYER"/>
    <d v="2017-09-12T09:12:41"/>
    <n v="246"/>
  </r>
  <r>
    <d v="2017-09-14T09:43:06"/>
    <d v="2014-07-11T00:00:00"/>
    <d v="2014-07-18T14:04:47"/>
    <s v="05010000"/>
    <s v="05010000"/>
    <s v="7797 - COMM &amp; INFORMATION FOUNDATIONS"/>
    <s v="7797 - COMM &amp; INFORMATION FOUNDATIONS"/>
    <s v="JCOZZEN"/>
    <s v="JCOZZEN"/>
    <s v="4110"/>
    <s v="4110"/>
    <s v=""/>
    <x v="3"/>
    <x v="0"/>
    <s v="AWD"/>
    <s v="STND"/>
    <s v="STND"/>
    <s v="CCF"/>
    <s v="1451373"/>
    <s v="I"/>
    <s v="eJ"/>
    <s v="1162449"/>
    <s v="1451373"/>
    <x v="1"/>
    <s v="01"/>
    <n v="417034"/>
    <n v="417034"/>
    <s v="Berger"/>
    <s v="Toby"/>
    <s v="University of Virginia"/>
    <s v="7924 7936"/>
    <s v="7924 7936 9251"/>
    <s v="Standard Grant"/>
    <s v="Proposal Awarded"/>
    <m/>
    <s v="CIF:  Medium:  Energy-Efficient Encoding of Information"/>
    <s v="LFUQUA"/>
    <d v="2014-08-18T12:03:59"/>
    <n v="247"/>
  </r>
  <r>
    <d v="2017-09-14T09:43:06"/>
    <d v="2012-10-09T15:24:00"/>
    <d v="2013-02-17T17:30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L"/>
    <s v="eJ"/>
    <s v="1302456"/>
    <s v="1302456"/>
    <x v="2"/>
    <s v="01"/>
    <n v="185806"/>
    <n v="516902"/>
    <s v="Dasgupta"/>
    <s v="Soura"/>
    <s v="University of Iowa"/>
    <s v="7924 7935 7937 9150"/>
    <s v="7924 7935 9150"/>
    <s v="Continuing grant"/>
    <s v="Proposal Awarded"/>
    <s v="Increment withdrawn by program"/>
    <s v="CIF:Medium:Collaborative Research: Distributed coherence: fundamental building blocks, system concepts, and experimental demonstration"/>
    <s v="wgoodine"/>
    <d v="2013-07-15T11:01:39"/>
    <n v="248"/>
  </r>
  <r>
    <d v="2017-09-14T09:43:06"/>
    <d v="2015-01-14T12:48:00"/>
    <d v="2015-07-24T09:34:29"/>
    <s v="05020000"/>
    <s v="05010000"/>
    <s v="7495 - ROBUST INTELLIGENCE"/>
    <s v="7797 - COMM &amp; INFORMATION FOUNDATIONS"/>
    <s v="JYANG"/>
    <s v="JCOZZEN"/>
    <s v="4110"/>
    <s v="4100"/>
    <s v="NSF 14-596"/>
    <x v="0"/>
    <x v="0"/>
    <s v="AWD"/>
    <s v="CONT"/>
    <s v="CONT"/>
    <s v="IIS"/>
    <s v="1526423"/>
    <s v="I"/>
    <s v="eJ"/>
    <s v="1526423"/>
    <s v="1526423"/>
    <x v="2"/>
    <s v="01"/>
    <n v="150000"/>
    <n v="441933"/>
    <s v="Bovik"/>
    <s v="Alan"/>
    <s v="U of Texas Austin"/>
    <s v="7495 7923"/>
    <s v="7936"/>
    <s v="Continuing grant"/>
    <s v="Proposal Awarded"/>
    <m/>
    <s v="RI: Small: Tasking on Natural Image Statistics: 2D and 3D Object and Category Detection in the Wild"/>
    <s v="LFUQUA"/>
    <d v="2015-08-25T15:11:00"/>
    <n v="249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2"/>
    <s v="01"/>
    <n v="191500"/>
    <n v="400000"/>
    <s v="Verdu"/>
    <s v="Sergio"/>
    <s v="Princeton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8"/>
    <n v="250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3"/>
    <s v="01"/>
    <n v="208500"/>
    <n v="400000"/>
    <s v="Verdu"/>
    <s v="Sergio"/>
    <s v="Princeton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9-05T14:41:32"/>
    <n v="250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2"/>
    <s v="01"/>
    <n v="589412"/>
    <n v="1200000"/>
    <s v="Moura"/>
    <s v="Jose"/>
    <s v="Carnegie Mellon University"/>
    <s v="7924 7936"/>
    <s v="7924 7936"/>
    <s v="Continuing grant"/>
    <s v="Proposal Awarded"/>
    <m/>
    <s v="CIF:Medium: Data Science: Analytics for Unstructured and Distributed Data"/>
    <s v="LFUQUA"/>
    <d v="2015-06-29T12:24:24"/>
    <n v="251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3"/>
    <s v="01"/>
    <n v="600000"/>
    <n v="1200000"/>
    <s v="Moura"/>
    <s v="Jose"/>
    <s v="Carnegie Mellon University"/>
    <s v="7924 7936"/>
    <s v="7924 7936"/>
    <s v="Continuing grant"/>
    <s v="Proposal Awarded"/>
    <s v="Funds committed in FAS"/>
    <s v="CIF:Medium: Data Science: Analytics for Unstructured and Distributed Data"/>
    <s v="LFUQUA"/>
    <d v="2015-06-29T12:24:24"/>
    <n v="251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1"/>
    <s v="01"/>
    <n v="97119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6-10T14:21:18"/>
    <n v="252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2"/>
    <s v="01"/>
    <n v="194238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1T15:53:25"/>
    <n v="252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3"/>
    <s v="01"/>
    <n v="95826"/>
    <n v="399888"/>
    <s v="Swindlehurst"/>
    <s v="Arnold"/>
    <s v="U of Cal Irvine"/>
    <s v="7924 7936"/>
    <s v="7924 7936"/>
    <s v="Continuing grant"/>
    <s v="Proposal Awarded"/>
    <m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5"/>
    <s v="01"/>
    <n v="98523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6"/>
    <s v="02"/>
    <n v="101320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7"/>
    <s v="02"/>
    <n v="104219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3"/>
    <s v="01"/>
    <n v="92922"/>
    <n v="400000"/>
    <s v="Li"/>
    <s v="Jian"/>
    <s v="University of Florida"/>
    <s v="7924 7936"/>
    <s v="7924 7936"/>
    <s v="Continuing grant"/>
    <s v="Proposal Awarded"/>
    <m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5"/>
    <s v="01"/>
    <n v="100788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6"/>
    <s v="02"/>
    <n v="99271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7"/>
    <s v="02"/>
    <n v="107019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1"/>
    <s v="01"/>
    <n v="539954"/>
    <n v="825669"/>
    <s v="Mitra"/>
    <s v="Urbashi"/>
    <s v="U of Southern California"/>
    <s v="7924 7936"/>
    <s v="7924 7936"/>
    <s v="Continuing grant"/>
    <s v="Proposal Awarded"/>
    <m/>
    <s v="NeTS:Medium:A Sparse Decomposition Framework for Complex System Design and Analysis"/>
    <s v="LFUQUA"/>
    <d v="2014-07-25T07:44:33"/>
    <n v="255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0"/>
    <s v="01"/>
    <n v="285715"/>
    <n v="825669"/>
    <s v="Mitra"/>
    <s v="Urbashi"/>
    <s v="U of Southern California"/>
    <s v="7924 7936"/>
    <s v="7924 7936"/>
    <s v="Continuing grant"/>
    <s v="Proposal Awarded"/>
    <s v="Awarded"/>
    <s v="NeTS:Medium:A Sparse Decomposition Framework for Complex System Design and Analysis"/>
    <s v="VLRICHA"/>
    <d v="2016-09-19T11:35:11"/>
    <n v="255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3"/>
    <s v="01"/>
    <n v="142255"/>
    <n v="800000"/>
    <s v="Ramchandran"/>
    <s v="Kannan"/>
    <s v="U of Cal Berkeley"/>
    <s v="7924 7935"/>
    <s v="7924 7935"/>
    <s v="Continuing grant"/>
    <s v="Proposal Awarded"/>
    <m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5"/>
    <s v="01"/>
    <n v="25833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6"/>
    <s v="01"/>
    <n v="15552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7"/>
    <s v="01"/>
    <n v="143877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1"/>
    <s v="01"/>
    <n v="608970"/>
    <n v="1200000"/>
    <s v="Vardy"/>
    <s v="Alexander"/>
    <s v="U of Cal San Diego"/>
    <s v="7924 7935"/>
    <s v="7924 7935"/>
    <s v="Continuing grant"/>
    <s v="Proposal Awarded"/>
    <m/>
    <s v="CIF: Medium: Polar Coding for Data Storage: Theory and Applications"/>
    <s v="LFUQUA"/>
    <d v="2014-05-14T10:18:53"/>
    <n v="257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0"/>
    <s v="01"/>
    <n v="591030"/>
    <n v="1200000"/>
    <s v="Vardy"/>
    <s v="Alexander"/>
    <s v="U of Cal San Diego"/>
    <s v="7924 7935"/>
    <s v="7924 7935"/>
    <s v="Continuing grant"/>
    <s v="Proposal Awarded"/>
    <s v="Awarded"/>
    <s v="CIF: Medium: Polar Coding for Data Storage: Theory and Applications"/>
    <s v="VLRICHA"/>
    <d v="2016-09-16T09:10:08"/>
    <n v="257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2"/>
    <s v="01"/>
    <n v="316940"/>
    <n v="700000"/>
    <s v="Veeravalli"/>
    <s v="Venugopal"/>
    <s v="U of Ill Urbana-Champaign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7:00"/>
    <n v="258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3"/>
    <s v="01"/>
    <n v="337035"/>
    <n v="700000"/>
    <s v="Veeravalli"/>
    <s v="Venugopal"/>
    <s v="U of Ill Urbana-Champaign"/>
    <s v="7924 7936"/>
    <s v="7924 7936"/>
    <s v="Continuing grant"/>
    <s v="Proposal Awarded"/>
    <s v="Awarded"/>
    <s v="CIF: Medium: Collaborative Research: Quickest Change Detection Techniques with Signal Processing Applications"/>
    <s v="jcozzens"/>
    <d v="2017-07-12T13:35:32"/>
    <n v="258"/>
  </r>
  <r>
    <d v="2017-09-14T09:43:06"/>
    <d v="2012-10-08T17:09:00"/>
    <d v="2013-02-17T17:30:50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14"/>
    <s v="1302114"/>
    <x v="2"/>
    <s v="01"/>
    <n v="0"/>
    <n v="350106"/>
    <s v="Madhow"/>
    <s v="Upamanyu"/>
    <s v="U of Cal Santa Barbara"/>
    <s v="7924 7935 7937"/>
    <s v="7924 7935"/>
    <s v="Continuing grant"/>
    <s v="Proposal Awarded"/>
    <s v="Awarded"/>
    <s v="CIF:Medium:Collaborative Research: Distributed coherence: fundamental building blocks, system concepts, and experimental demonstration"/>
    <s v="AWDAPRV"/>
    <d v="2015-06-29T14:04:52"/>
    <n v="259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0"/>
    <s v="01"/>
    <n v="294068"/>
    <n v="599999"/>
    <s v="Tse"/>
    <s v="David"/>
    <s v="Stanford University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4"/>
    <n v="260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5"/>
    <s v="01"/>
    <n v="303561"/>
    <n v="599999"/>
    <s v="Tse"/>
    <s v="David"/>
    <s v="Stanford University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4"/>
    <n v="260"/>
  </r>
  <r>
    <d v="2017-09-14T09:43:06"/>
    <d v="2016-06-20T16:39:00"/>
    <d v="2016-06-29T13:43:33"/>
    <s v="05050000"/>
    <s v="05010000"/>
    <s v="7363 - RES IN NETWORKING TECH &amp; SYS"/>
    <s v="7797 - COMM &amp; INFORMATION FOUNDATIONS"/>
    <s v="TNANDAG"/>
    <s v="RIBROWN"/>
    <s v="4110"/>
    <s v="4110"/>
    <s v="NSF 15-527"/>
    <x v="0"/>
    <x v="0"/>
    <s v="AWD"/>
    <s v="CONT"/>
    <s v="CONT"/>
    <s v="CNS"/>
    <s v="1648917"/>
    <s v="I"/>
    <s v="eJ"/>
    <s v="1648917"/>
    <s v="1648917"/>
    <x v="0"/>
    <s v="04"/>
    <n v="75000"/>
    <n v="300000"/>
    <s v="Sayeed"/>
    <s v="Akbar"/>
    <s v="U of Wisconsin Madison"/>
    <m/>
    <s v="7935"/>
    <s v="Continuing grant"/>
    <s v="Proposal Awarded"/>
    <m/>
    <s v="RCN: Millimeter-Wave Wireless Research: Hardware, Communication, Computation, and Networking"/>
    <s v="LFUQUA"/>
    <d v="2016-07-15T07:05:13"/>
    <n v="261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0"/>
    <s v="01"/>
    <n v="297994"/>
    <n v="600000"/>
    <s v="Orlitsky"/>
    <s v="Alon"/>
    <s v="U of Cal San Diego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9"/>
    <n v="262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5"/>
    <s v="01"/>
    <n v="300457"/>
    <n v="600000"/>
    <s v="Orlitsky"/>
    <s v="Alon"/>
    <s v="U of Cal San Diego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9"/>
    <n v="262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0"/>
    <s v="01"/>
    <n v="157703"/>
    <n v="500000"/>
    <s v="Orlitsky"/>
    <s v="Alon"/>
    <s v="U of Cal San Diego"/>
    <s v="7797 7923 7935"/>
    <s v="7923 7935"/>
    <s v="Continuing grant"/>
    <s v="Proposal Awarded"/>
    <m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3"/>
    <s v="01"/>
    <n v="165926"/>
    <n v="500000"/>
    <s v="Orlitsky"/>
    <s v="Alon"/>
    <s v="U of Cal San Diego"/>
    <s v="7797 7923 7935"/>
    <s v="7923 7935"/>
    <s v="Continuing grant"/>
    <s v="Proposal Awarded"/>
    <s v="Funds committed in FAS"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5"/>
    <s v="01"/>
    <n v="176371"/>
    <n v="500000"/>
    <s v="Orlitsky"/>
    <s v="Alon"/>
    <s v="U of Cal San Diego"/>
    <s v="7797 7923 7935"/>
    <s v="7923 7935"/>
    <s v="Continuing grant"/>
    <s v="Proposal Awarded"/>
    <s v="Pending FAS commitment"/>
    <s v="CIF:SMALL: Information Theoretic Foundations of Data Science"/>
    <s v="LFUQUA"/>
    <d v="2016-07-28T07:39:23"/>
    <n v="263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1"/>
    <s v="01"/>
    <n v="7380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1T08:56:14"/>
    <n v="264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2"/>
    <s v="01"/>
    <n v="15384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5T08:23:20"/>
    <n v="264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0"/>
    <s v="01"/>
    <n v="183487"/>
    <n v="400000"/>
    <s v="Mitzenmacher"/>
    <s v="Michael"/>
    <s v="Harvard University"/>
    <s v="7924 7935"/>
    <s v="7924"/>
    <s v="Continuing grant"/>
    <s v="Proposal Awarded"/>
    <m/>
    <s v="CIF: NeTS: Medium: Collaborative Research: Unifying Data Synchronization"/>
    <s v="LFUQUA"/>
    <d v="2016-02-18T15:44:17"/>
    <n v="265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5"/>
    <s v="01"/>
    <n v="216513"/>
    <n v="400000"/>
    <s v="Mitzenmacher"/>
    <s v="Michael"/>
    <s v="Harvard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17"/>
    <n v="265"/>
  </r>
  <r>
    <d v="2017-09-14T09:43:06"/>
    <d v="2012-10-08T16:44:00"/>
    <d v="2013-02-17T17:31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04"/>
    <s v="1302104"/>
    <x v="2"/>
    <s v="01"/>
    <n v="0"/>
    <n v="331939"/>
    <s v="Brown"/>
    <s v="Donald"/>
    <s v="Worcester Polytech Inst"/>
    <s v="7924 7935 7937"/>
    <s v="7924 7935"/>
    <s v="Continuing grant"/>
    <s v="Proposal Awarded"/>
    <s v="Awarded"/>
    <s v="Distributed coherence: fundamental building blocks, system concepts, and experimental demonstration"/>
    <s v="AWDAPRV"/>
    <d v="2015-06-29T14:09:59"/>
    <n v="266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0"/>
    <s v="01"/>
    <n v="383513"/>
    <n v="799963"/>
    <s v="Trachtenberg"/>
    <s v="Ari"/>
    <s v="Boston University"/>
    <s v="7924 7935"/>
    <s v="7924"/>
    <s v="Continuing grant"/>
    <s v="Proposal Awarded"/>
    <m/>
    <s v="CIF: NeTS: Medium: Collaborative Research: Unifying Data Synchronization"/>
    <s v="LFUQUA"/>
    <d v="2016-02-18T15:44:30"/>
    <n v="267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5"/>
    <s v="01"/>
    <n v="416450"/>
    <n v="799963"/>
    <s v="Trachtenberg"/>
    <s v="Ari"/>
    <s v="Boston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30"/>
    <n v="267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1"/>
    <s v="01"/>
    <n v="263644"/>
    <n v="595804"/>
    <s v="Hassibi"/>
    <s v="Babak"/>
    <s v="California Inst of Tech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2"/>
    <n v="268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0"/>
    <s v="01"/>
    <n v="236356"/>
    <n v="595804"/>
    <s v="Hassibi"/>
    <s v="Babak"/>
    <s v="California Inst of Tech"/>
    <s v="7924 7935"/>
    <s v="7924 7935"/>
    <s v="Continuing grant"/>
    <s v="Proposal Awarded"/>
    <s v="Awarded"/>
    <s v="CIF: Medium: Collaborative Research: Estimating simultaneously structured models: from phase retrieval to network coding"/>
    <s v="VLRICHA"/>
    <d v="2016-09-13T11:52:57"/>
    <n v="268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3"/>
    <s v="01"/>
    <n v="292280"/>
    <n v="1200000"/>
    <s v="Viswanath"/>
    <s v="Pramod"/>
    <s v="U of Ill Urbana-Champaign"/>
    <s v="7924 7935"/>
    <s v="7924 7935"/>
    <s v="Continuing grant"/>
    <s v="Proposal Awarded"/>
    <m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5"/>
    <s v="01"/>
    <n v="30010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6"/>
    <s v="01"/>
    <n v="30762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2"/>
    <s v="01"/>
    <n v="485667"/>
    <n v="1197907"/>
    <s v="Andrews"/>
    <s v="Jeffrey"/>
    <s v="U of Texas Austin"/>
    <s v="7924 7935"/>
    <s v="7924 7935"/>
    <s v="Continuing grant"/>
    <s v="Proposal Awarded"/>
    <m/>
    <s v="CIF: Medium: Fundamental Properties of Millimeter Wave Networks: Signal, Interference, and Connectivity"/>
    <s v="LFUQUA"/>
    <d v="2015-06-11T09:49:28"/>
    <n v="270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3"/>
    <s v="01"/>
    <n v="514256"/>
    <n v="1197907"/>
    <s v="Andrews"/>
    <s v="Jeffrey"/>
    <s v="U of Texas Austin"/>
    <s v="7924 7935"/>
    <s v="7924 7935"/>
    <s v="Continuing grant"/>
    <s v="Proposal Awarded"/>
    <s v="Awarded"/>
    <s v="CIF: Medium: Fundamental Properties of Millimeter Wave Networks: Signal, Interference, and Connectivity"/>
    <s v="ribrown"/>
    <d v="2017-05-31T10:04:25"/>
    <n v="270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0"/>
    <s v="01"/>
    <n v="259300"/>
    <n v="400000"/>
    <s v="Guruswami"/>
    <s v="Venkatesan"/>
    <s v="Carnegie Mellon University"/>
    <s v="7924 7935"/>
    <s v="7924 7935"/>
    <s v="Continuing grant"/>
    <s v="Proposal Awarded"/>
    <m/>
    <s v="CIF: Medium: Collaborative Research: Frontiers in coding for cloud storage systems"/>
    <s v="LFUQUA"/>
    <d v="2016-02-17T14:36:21"/>
    <n v="271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5"/>
    <s v="01"/>
    <n v="140700"/>
    <n v="400000"/>
    <s v="Guruswami"/>
    <s v="Venkatesan"/>
    <s v="Carnegie Mellon University"/>
    <s v="7924 7935"/>
    <s v="7924 7935"/>
    <s v="Continuing grant"/>
    <s v="Proposal Awarded"/>
    <s v="Pending FAS commitment"/>
    <s v="CIF: Medium: Collaborative Research: Frontiers in coding for cloud storage systems"/>
    <s v="LFUQUA"/>
    <d v="2016-02-17T14:36:21"/>
    <n v="271"/>
  </r>
  <r>
    <d v="2017-09-14T09:43:06"/>
    <d v="2012-10-09T16:33:00"/>
    <d v="2013-05-28T21:24:17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N"/>
    <s v="eJ"/>
    <s v="1302588"/>
    <s v="1302588"/>
    <x v="2"/>
    <s v="01"/>
    <n v="208317"/>
    <n v="398134"/>
    <s v="Javidi"/>
    <s v="Tara"/>
    <s v="U of Cal San Diego"/>
    <s v="7924 7936"/>
    <s v="7924 7936"/>
    <s v="Continuing grant"/>
    <s v="Proposal Awarded"/>
    <s v="Awarded"/>
    <s v="CIF: Medium: Collaborative Research: Nonasymptotic Analysis of Feature-Rich Decision Problems with Applications to Computer Vision"/>
    <s v="jcozzens"/>
    <d v="2015-06-03T11:18:34"/>
    <n v="272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2"/>
    <s v="01"/>
    <n v="168197"/>
    <n v="400000"/>
    <s v="Javidi"/>
    <s v="Tara"/>
    <s v="U of Cal San Diego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2"/>
    <n v="273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3"/>
    <s v="01"/>
    <n v="214517"/>
    <n v="400000"/>
    <s v="Javidi"/>
    <s v="Tara"/>
    <s v="U of Cal San Diego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6-06T09:18:45"/>
    <n v="273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0"/>
    <s v="01"/>
    <n v="441470"/>
    <n v="868710"/>
    <s v="Kovacevic"/>
    <s v="Jelena"/>
    <s v="Carnegie Mellon University"/>
    <s v="7924 7936"/>
    <s v="7924 7936 8089"/>
    <s v="Continuing grant"/>
    <s v="Proposal Awarded"/>
    <m/>
    <s v="CIF:Medium:Signal representation, sampling and recovery on graphs"/>
    <s v="LFUQUA"/>
    <d v="2016-05-13T09:01:38"/>
    <n v="274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5"/>
    <s v="01"/>
    <n v="248530"/>
    <n v="868710"/>
    <s v="Kovacevic"/>
    <s v="Jelena"/>
    <s v="Carnegie Mellon University"/>
    <s v="7924 7936"/>
    <s v="7924 7936 8089"/>
    <s v="Continuing grant"/>
    <s v="Proposal Awarded"/>
    <s v="Pending FAS commitment"/>
    <s v="CIF:Medium:Signal representation, sampling and recovery on graphs"/>
    <s v="LFUQUA"/>
    <d v="2016-05-13T09:01:38"/>
    <n v="274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0"/>
    <s v="01"/>
    <n v="259432"/>
    <n v="400000"/>
    <s v="Vishwanath"/>
    <s v="Sriram"/>
    <s v="U of Texas Austin"/>
    <s v="7924 7935"/>
    <s v="7924 7935"/>
    <s v="Continuing grant"/>
    <s v="Proposal Awarded"/>
    <m/>
    <s v="CIF: Medium: Collaborative Research: Frontiers in coding for cloud storage systems"/>
    <s v="LFUQUA"/>
    <d v="2016-02-17T14:36:27"/>
    <n v="275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5"/>
    <s v="01"/>
    <n v="140568"/>
    <n v="400000"/>
    <s v="Vishwanath"/>
    <s v="Sriram"/>
    <s v="U of Texas Austin"/>
    <s v="7924 7935"/>
    <s v="7924"/>
    <s v="Continuing grant"/>
    <s v="Proposal Awarded"/>
    <s v="Pending FAS commitment"/>
    <s v="CIF: Medium: Collaborative Research: Frontiers in coding for cloud storage systems"/>
    <s v="LFUQUA"/>
    <d v="2016-02-17T14:36:27"/>
    <n v="275"/>
  </r>
  <r>
    <d v="2017-09-14T09:43:06"/>
    <d v="2012-10-09T18:14:00"/>
    <d v="2013-03-04T13:01:58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L"/>
    <s v="eJ"/>
    <s v="1302687"/>
    <s v="1302687"/>
    <x v="2"/>
    <s v="01"/>
    <n v="210208"/>
    <n v="400001"/>
    <s v="Wainwright"/>
    <s v="Martin"/>
    <s v="U of Cal Berkeley"/>
    <s v="7924 7936"/>
    <s v="7924"/>
    <s v="Continuing grant"/>
    <s v="Proposal Awarded"/>
    <s v="Awarded"/>
    <s v="CIF: Medium: Collaborative Research: New Approaches to Robustness in High-Dimensions"/>
    <s v="jcozzens"/>
    <d v="2015-04-16T14:49:20"/>
    <n v="276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1"/>
    <s v="01"/>
    <n v="261408"/>
    <n v="581357"/>
    <s v="Fazel"/>
    <s v="Maryam"/>
    <s v="U of Washington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6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0"/>
    <s v="01"/>
    <n v="0"/>
    <n v="581357"/>
    <s v="Fazel"/>
    <s v="Maryam"/>
    <s v="U of Washington"/>
    <s v="7924 7935"/>
    <s v="7924 7935"/>
    <s v="Continuing grant"/>
    <s v="Proposal Awarded"/>
    <s v="Withdrawn - Moved funds to next FY"/>
    <s v="CIF: Medium: Collaborative Research: Estimating simultaneously structured models: from phase retrieval to network coding"/>
    <s v="MR134413"/>
    <d v="2017-06-23T11:12:33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3"/>
    <s v="01"/>
    <n v="238597"/>
    <n v="581357"/>
    <s v="Fazel"/>
    <s v="Maryam"/>
    <s v="U of Washington"/>
    <s v="7924 7935"/>
    <s v="7924 7935"/>
    <s v="Continuing grant"/>
    <s v="Proposal Awarded"/>
    <s v="Awarded"/>
    <s v="CIF: Medium: Collaborative Research: Estimating simultaneously structured models: from phase retrieval to network coding"/>
    <s v="pregalia"/>
    <d v="2017-06-05T09:36:01"/>
    <n v="277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2"/>
    <s v="01"/>
    <n v="257346"/>
    <n v="400000"/>
    <s v="Wagner"/>
    <s v="Aaron"/>
    <s v="Cornell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25"/>
    <n v="278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3"/>
    <s v="01"/>
    <n v="135431"/>
    <n v="400000"/>
    <s v="Wagner"/>
    <s v="Aaron"/>
    <s v="Cornell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8-08T11:21:13"/>
    <n v="278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3"/>
    <s v="01"/>
    <n v="65532"/>
    <n v="800000"/>
    <s v="Wagner"/>
    <s v="Aaron"/>
    <s v="Cornell University"/>
    <s v="7924 7935 9102"/>
    <s v="7924 7935"/>
    <s v="Continuing grant"/>
    <s v="Proposal Awarded"/>
    <m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5"/>
    <s v="01"/>
    <n v="148167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6"/>
    <s v="01"/>
    <n v="189796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7"/>
    <s v="01"/>
    <n v="246505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3"/>
    <s v="01"/>
    <n v="88685"/>
    <n v="400000"/>
    <s v="Kiyavash"/>
    <s v="Negar"/>
    <s v="U of Ill Urbana-Champaign"/>
    <s v="7924 7935"/>
    <s v="7924 7935"/>
    <s v="Continuing grant"/>
    <s v="Proposal Awarded"/>
    <m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5"/>
    <s v="01"/>
    <n v="9111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6"/>
    <s v="01"/>
    <n v="93605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7"/>
    <s v="01"/>
    <n v="9488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1"/>
    <s v="01"/>
    <n v="184051"/>
    <n v="534255"/>
    <s v="Rozell"/>
    <s v="Christopher"/>
    <s v="Georgia Tech Research Corp"/>
    <s v="1045 7495 7936"/>
    <s v="1045 7495 7936"/>
    <s v="Continuing grant"/>
    <s v="Proposal Awarded"/>
    <m/>
    <s v="CAREER: Exploiting low-dimensional structure in data for more effective, efficient and interactive machine intelligence"/>
    <s v="JROBEY"/>
    <d v="2014-01-24T08:31:26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0"/>
    <s v="01"/>
    <n v="190181"/>
    <n v="534255"/>
    <s v="Rozell"/>
    <s v="Christopher"/>
    <s v="Georgia Tech Research Corp"/>
    <s v="1045 7495 7936"/>
    <s v="1045 7495 7936"/>
    <s v="Continuing grant"/>
    <s v="Proposal Awarded"/>
    <s v="Awarded"/>
    <s v="CAREER: Exploiting low-dimensional structure in data for more effective, efficient and interactive machine intelligence"/>
    <s v="jcozzens"/>
    <d v="2016-07-07T16:37:35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5"/>
    <s v="01"/>
    <n v="100607"/>
    <n v="534255"/>
    <s v="Rozell"/>
    <s v="Christopher"/>
    <s v="Georgia Tech Research Corp"/>
    <s v="1045 7495 7936"/>
    <s v="1045 7495 7936"/>
    <s v="Continuing grant"/>
    <s v="Proposal Awarded"/>
    <s v="Pending FAS commitment"/>
    <s v="CAREER: Exploiting low-dimensional structure in data for more effective, efficient and interactive machine intelligence"/>
    <s v="JROBEY"/>
    <d v="2014-01-24T08:31:26"/>
    <n v="281"/>
  </r>
  <r>
    <d v="2017-09-14T09:43:06"/>
    <d v="2013-11-12T14:49:00"/>
    <d v="2014-05-30T10:22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L"/>
    <s v="eJ"/>
    <s v="1409422"/>
    <s v="1409422"/>
    <x v="1"/>
    <s v="01"/>
    <n v="177395"/>
    <n v="385545"/>
    <s v="Rozell"/>
    <s v="Christopher"/>
    <s v="Georgia Tech Research Corp"/>
    <s v="7936"/>
    <s v="7924 7936"/>
    <s v="Continuing grant"/>
    <s v="Proposal Awarded"/>
    <m/>
    <s v="CIF: Medium: Collaborative Research: Tracking low-dimensional information in data streams and dynamical systems"/>
    <s v="LFUQUA"/>
    <d v="2014-06-11T06:35:12"/>
    <n v="282"/>
  </r>
  <r>
    <d v="2017-09-14T09:43:06"/>
    <d v="2013-11-12T13:37:00"/>
    <d v="2014-06-04T09:02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N"/>
    <s v="eJ"/>
    <s v="1409258"/>
    <s v="1409258"/>
    <x v="1"/>
    <s v="01"/>
    <n v="166512"/>
    <n v="406796"/>
    <s v="Wakin"/>
    <s v="Michael"/>
    <s v="Colorado School of Mines"/>
    <s v="7924 7936"/>
    <s v="7924 7936"/>
    <s v="Continuing grant"/>
    <s v="Proposal Awarded"/>
    <m/>
    <s v="CIF: Medium: Collaborative Research: Tracking low-dimensional information in data streams and dynamical systems"/>
    <s v="LFUQUA"/>
    <d v="2014-06-11T06:35:09"/>
    <n v="283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1"/>
    <s v="01"/>
    <n v="166512"/>
    <n v="297716"/>
    <s v="Wakin"/>
    <s v="Michael"/>
    <s v="Colorado School of Mines"/>
    <s v="7924 7936"/>
    <s v="7936"/>
    <s v="Continuing grant"/>
    <s v="Proposal Awarded"/>
    <m/>
    <s v="CIF: Medium: Collaborative Research: Subspace Matching and Approximation on the Continuum"/>
    <s v="LFUQUA"/>
    <d v="2014-06-20T08:49:17"/>
    <n v="284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0"/>
    <s v="01"/>
    <n v="89362"/>
    <n v="297716"/>
    <s v="Wakin"/>
    <s v="Michael"/>
    <s v="Colorado School of Mines"/>
    <s v="7924 7936"/>
    <s v="7936"/>
    <s v="Continuing grant"/>
    <s v="Proposal Awarded"/>
    <s v="Awarded"/>
    <s v="CIF: Medium: Collaborative Research: Subspace Matching and Approximation on the Continuum"/>
    <s v="jcozzens"/>
    <d v="2016-07-26T10:06:02"/>
    <n v="284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3"/>
    <s v="01"/>
    <n v="75756"/>
    <n v="400000"/>
    <s v="Liang"/>
    <s v="Yingbin"/>
    <s v="Syracus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5"/>
    <s v="01"/>
    <n v="77883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6"/>
    <s v="01"/>
    <n v="92980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7"/>
    <s v="01"/>
    <n v="95707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3"/>
    <s v="01"/>
    <n v="85183"/>
    <n v="399993"/>
    <s v="Avestimehr"/>
    <s v="Amir"/>
    <s v="U of Southern California"/>
    <s v="7924 7935"/>
    <s v="7924 7935"/>
    <s v="Continuing grant"/>
    <s v="Proposal Awarded"/>
    <m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5"/>
    <s v="01"/>
    <n v="88512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6"/>
    <s v="01"/>
    <n v="106611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7"/>
    <s v="01"/>
    <n v="69694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2-10-09T15:10:00"/>
    <d v="2013-03-04T13:02:26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N"/>
    <s v="eJ"/>
    <s v="1302435"/>
    <s v="1302435"/>
    <x v="2"/>
    <s v="01"/>
    <n v="378653"/>
    <n v="799659"/>
    <s v="Sanghavi"/>
    <s v="Sujay"/>
    <s v="U of Texas Austin"/>
    <s v="7924 7936"/>
    <s v="7924"/>
    <s v="Continuing grant"/>
    <s v="Proposal Awarded"/>
    <s v="Awarded"/>
    <s v="CIF: Medium: Collaborative Research: New Approaches to Robustness in High-Dimensions"/>
    <s v="VLRICHA"/>
    <d v="2015-08-27T19:21:55"/>
    <n v="287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1"/>
    <s v="01"/>
    <n v="180667"/>
    <n v="474728"/>
    <s v="Davenport"/>
    <s v="Mark"/>
    <s v="Georgia Tech Research Corp"/>
    <s v="1045 7936"/>
    <s v="1045 7936"/>
    <s v="Continuing grant"/>
    <s v="Proposal Awarded"/>
    <m/>
    <s v="CAREER: Learning from Coarse, Nonmetric, and Incomplete Data"/>
    <s v="JROBEY"/>
    <d v="2014-01-17T14:34:58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0"/>
    <s v="01"/>
    <n v="192760"/>
    <n v="474728"/>
    <s v="Davenport"/>
    <s v="Mark"/>
    <s v="Georgia Tech Research Corp"/>
    <s v="1045 7936"/>
    <s v="1045 7936"/>
    <s v="Continuing grant"/>
    <s v="Proposal Awarded"/>
    <s v="Awarded"/>
    <s v="CAREER: Learning from Coarse, Nonmetric, and Incomplete Data"/>
    <s v="jcozzens"/>
    <d v="2016-06-01T15:19:25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5"/>
    <s v="01"/>
    <n v="101301"/>
    <n v="474728"/>
    <s v="Davenport"/>
    <s v="Mark"/>
    <s v="Georgia Tech Research Corp"/>
    <s v="1045 7936"/>
    <s v="1045 7936"/>
    <s v="Continuing grant"/>
    <s v="Proposal Awarded"/>
    <s v="Pending FAS commitment"/>
    <s v="CAREER: Learning from Coarse, Nonmetric, and Incomplete Data"/>
    <s v="JROBEY"/>
    <d v="2014-01-17T14:34:58"/>
    <n v="288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1"/>
    <s v="01"/>
    <n v="335943"/>
    <n v="574913"/>
    <s v="Davenport"/>
    <s v="Mark"/>
    <s v="Georgia Tech Research Corp"/>
    <s v="7936"/>
    <s v="7924 7936"/>
    <s v="Continuing grant"/>
    <s v="Proposal Awarded"/>
    <m/>
    <s v="CIF: Medium: Collaborative Research: Subspace Matching and Approximation on the Continuum"/>
    <s v="LFUQUA"/>
    <d v="2014-06-20T08:49:19"/>
    <n v="289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0"/>
    <s v="01"/>
    <n v="178795"/>
    <n v="574913"/>
    <s v="Davenport"/>
    <s v="Mark"/>
    <s v="Georgia Tech Research Corp"/>
    <s v="7936"/>
    <s v="7924 7936"/>
    <s v="Continuing grant"/>
    <s v="Proposal Awarded"/>
    <s v="Awarded"/>
    <s v="CIF: Medium: Collaborative Research: Subspace Matching and Approximation on the Continuum"/>
    <s v="VLRICHA"/>
    <d v="2016-09-13T10:53:50"/>
    <n v="289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1"/>
    <s v="01"/>
    <n v="167125"/>
    <n v="450000"/>
    <s v="Cuff"/>
    <s v="Paul"/>
    <s v="Princeton University"/>
    <s v="1045 7937"/>
    <s v="1045 7937"/>
    <s v="Continuing grant"/>
    <s v="Proposal Awarded"/>
    <m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5"/>
    <s v="01"/>
    <n v="99375"/>
    <n v="450000"/>
    <s v="Cuff"/>
    <s v="Paul"/>
    <s v="Princeton University"/>
    <s v="1045 7937"/>
    <s v="1045 7937"/>
    <s v="Continuing grant"/>
    <s v="Proposal Awarded"/>
    <s v="Pending FAS commitment"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0"/>
    <s v="02"/>
    <n v="183500"/>
    <n v="450000"/>
    <s v="Cuff"/>
    <s v="Paul"/>
    <s v="Princeton University"/>
    <s v="1045 7937"/>
    <s v="1045 7937"/>
    <s v="Continuing grant"/>
    <s v="Proposal Awarded"/>
    <s v="Awarded"/>
    <s v="CAREER: Digital Encoding of Information Signals for Security with Limited Resources"/>
    <s v="ribrown"/>
    <d v="2016-04-25T13:55:55"/>
    <n v="290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1"/>
    <s v="01"/>
    <n v="166815"/>
    <n v="595893"/>
    <s v="Sankar"/>
    <s v="Lalitha"/>
    <s v="Arizona State University"/>
    <s v="1045 7937"/>
    <s v="1045 7937"/>
    <s v="Continuing grant"/>
    <s v="Proposal Awarded"/>
    <m/>
    <s v="CAREER: Privacy-Guaranteed Distributed Interactions in Critical Infrastructure Networks"/>
    <s v="LFUQUA"/>
    <d v="2014-01-27T11:51:37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5"/>
    <s v="02"/>
    <n v="97678"/>
    <n v="595893"/>
    <s v="Sankar"/>
    <s v="Lalitha"/>
    <s v="Arizona State University"/>
    <s v="1045 7937"/>
    <s v="1045 7937"/>
    <s v="Continuing grant"/>
    <s v="Proposal Awarded"/>
    <s v="Pending FAS commitment"/>
    <s v="CAREER: Privacy-Guaranteed Distributed Interactions in Critical Infrastructure Networks"/>
    <s v="VLRICHA"/>
    <d v="2016-02-09T10:21:03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0"/>
    <s v="03"/>
    <n v="185507"/>
    <n v="595893"/>
    <s v="Sankar"/>
    <s v="Lalitha"/>
    <s v="Arizona State University"/>
    <s v="1045 7937"/>
    <s v="1045 7937"/>
    <s v="Continuing grant"/>
    <s v="Proposal Awarded"/>
    <s v="Awarded"/>
    <s v="CAREER: Privacy-Guaranteed Distributed Interactions in Critical Infrastructure Networks"/>
    <s v="VLRICHA"/>
    <d v="2016-02-09T10:21:03"/>
    <n v="291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2"/>
    <s v="01"/>
    <n v="366566"/>
    <n v="800000"/>
    <s v="Diggavi"/>
    <s v="Suhas"/>
    <s v="U of Cal Los Angeles"/>
    <s v="7924 7935"/>
    <s v="7924 7935"/>
    <s v="Continuing grant"/>
    <s v="Proposal Awarded"/>
    <m/>
    <s v="CIF: Medium: Collaborative Research: On-demand Physical Layer Cooperation"/>
    <s v="LFUQUA"/>
    <d v="2015-06-11T10:51:03"/>
    <n v="292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3"/>
    <s v="01"/>
    <n v="300434"/>
    <n v="800000"/>
    <s v="Diggavi"/>
    <s v="Suhas"/>
    <s v="U of Cal Los Angeles"/>
    <s v="7924 7935"/>
    <s v="7924 7935"/>
    <s v="Continuing grant"/>
    <s v="Proposal Awarded"/>
    <s v="Awarded"/>
    <s v="CIF: Medium: Collaborative Research: On-demand Physical Layer Cooperation"/>
    <s v="ribrown"/>
    <d v="2017-06-12T10:04:37"/>
    <n v="292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3"/>
    <s v="01"/>
    <n v="218271"/>
    <n v="450000"/>
    <s v="Diggavi"/>
    <s v="Suhas"/>
    <s v="U of Cal Los Angeles"/>
    <s v="7924 7935"/>
    <s v="7924 7935"/>
    <s v="Continuing grant"/>
    <s v="Proposal Awarded"/>
    <m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5"/>
    <s v="01"/>
    <n v="130196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6"/>
    <s v="01"/>
    <n v="44411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7"/>
    <s v="01"/>
    <n v="57122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2-10-09T15:13:00"/>
    <d v="2013-05-28T18:15:20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L"/>
    <s v="eJ"/>
    <s v="1302438"/>
    <s v="1302438"/>
    <x v="2"/>
    <s v="01"/>
    <n v="334407"/>
    <n v="800000"/>
    <s v="Raginsky"/>
    <s v="Maxim"/>
    <s v="U of Ill Urbana-Champaign"/>
    <s v="7924 7936"/>
    <s v="7924 7936"/>
    <s v="Continuing grant"/>
    <s v="Proposal Awarded"/>
    <s v="Awarded"/>
    <s v="CIF: Medium:Collaborative Research: Nonasymptotic Analysis of Feature-Rich Decision Problems with Applications to Computer Vision"/>
    <s v="jcozzens"/>
    <d v="2015-06-03T11:17:41"/>
    <n v="294"/>
  </r>
  <r>
    <d v="2017-09-14T09:43:06"/>
    <d v="2014-11-07T09:19:00"/>
    <d v="2015-06-04T17:06:5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N"/>
    <s v="eJ"/>
    <s v="1513373"/>
    <s v="1513373"/>
    <x v="2"/>
    <s v="01"/>
    <n v="226694"/>
    <n v="500000"/>
    <s v="Moustakides"/>
    <s v="George"/>
    <s v="Rutgers Univ New Brunswick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6:56"/>
    <n v="295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0"/>
    <s v="01"/>
    <n v="195367"/>
    <n v="399923"/>
    <s v="Rangan"/>
    <s v="Sundeep"/>
    <s v="New York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10"/>
    <n v="296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5"/>
    <s v="01"/>
    <n v="204556"/>
    <n v="399923"/>
    <s v="Rangan"/>
    <s v="Sundeep"/>
    <s v="New York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10"/>
    <n v="296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1"/>
    <s v="01"/>
    <n v="509934"/>
    <n v="1200000"/>
    <s v="Hochwald"/>
    <s v="Bertrand"/>
    <s v="University of Notre Dame"/>
    <s v="7924 7936"/>
    <s v="7936"/>
    <s v="Continuing grant"/>
    <s v="Proposal Awarded"/>
    <m/>
    <s v="CIF: Medium: Modeling, Analysis, and Code Design for Portable Wireless Device Transmitters Subject to an Electromagnetic Exposure Constraint"/>
    <s v="LFUQUA"/>
    <d v="2014-06-10T09:33:4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2"/>
    <s v="01"/>
    <n v="34125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5-07-29T10:48:2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0"/>
    <s v="01"/>
    <n v="34880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6-08-16T11:27:37"/>
    <n v="297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2"/>
    <s v="01"/>
    <n v="97746"/>
    <n v="619353"/>
    <s v="Smaragdis"/>
    <s v="Paris"/>
    <s v="U of Ill Urbana-Champaign"/>
    <s v="1045 7936"/>
    <s v="1045 7936"/>
    <s v="Continuing grant"/>
    <s v="Proposal Awarded"/>
    <m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0"/>
    <s v="01"/>
    <n v="98306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6-07-28T12:08:39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3"/>
    <s v="01"/>
    <n v="100920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7-08-02T11:23:33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5"/>
    <s v="01"/>
    <n v="117553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6"/>
    <s v="01"/>
    <n v="135338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6-07-20T16:10:00"/>
    <d v="2017-02-23T15:33:43"/>
    <s v="05020000"/>
    <s v="05010000"/>
    <s v="7495 - ROBUST INTELLIGENCE"/>
    <s v="7797 - COMM &amp; INFORMATION FOUNDATIONS"/>
    <s v="JYANG"/>
    <s v="JCOZZEN"/>
    <s v="4110"/>
    <s v="4110"/>
    <s v="NSF 15-555"/>
    <x v="0"/>
    <x v="0"/>
    <s v="AWD"/>
    <s v="CONT"/>
    <s v="CONT"/>
    <s v="IIS"/>
    <s v="1652633"/>
    <s v="I"/>
    <s v="eJ"/>
    <s v="1652633"/>
    <s v="1652633"/>
    <x v="3"/>
    <s v="01"/>
    <n v="274500"/>
    <n v="600000"/>
    <s v="Veeraraghavan"/>
    <s v="Ashok"/>
    <s v="William Marsh Rice Univ"/>
    <s v="1045 7495"/>
    <s v="1045"/>
    <s v="Continuing grant"/>
    <s v="Proposal Awarded"/>
    <m/>
    <s v="CAREER: A Signal Processing Framework for Computational Imaging: From Theory to Applications"/>
    <s v="DCOATES"/>
    <d v="2017-03-10T15:21:34"/>
    <n v="299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1"/>
    <s v="01"/>
    <n v="167868"/>
    <n v="442542"/>
    <s v="Khan"/>
    <s v="Usman"/>
    <s v="Tufts University"/>
    <s v="1045 7936"/>
    <s v="1045 7936"/>
    <s v="Continuing grant"/>
    <s v="Proposal Awarded"/>
    <m/>
    <s v="CAREER: Smart Monitoring and Inspection with Unmanned Aerial Vehicles"/>
    <s v="JROBEY"/>
    <d v="2014-01-17T14:34:26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0"/>
    <s v="01"/>
    <n v="178791"/>
    <n v="442542"/>
    <s v="Khan"/>
    <s v="Usman"/>
    <s v="Tufts University"/>
    <s v="1045 7936"/>
    <s v="1045 7936"/>
    <s v="Continuing grant"/>
    <s v="Proposal Awarded"/>
    <s v="Awarded"/>
    <s v="CAREER: Smart Monitoring and Inspection with Unmanned Aerial Vehicles"/>
    <s v="jcozzens"/>
    <d v="2016-02-11T10:03:48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5"/>
    <s v="01"/>
    <n v="93883"/>
    <n v="442542"/>
    <s v="Khan"/>
    <s v="Usman"/>
    <s v="Tufts University"/>
    <s v="1045 7936"/>
    <s v="1045 7936"/>
    <s v="Continuing grant"/>
    <s v="Proposal Awarded"/>
    <s v="Pending FAS commitment"/>
    <s v="CAREER: Smart Monitoring and Inspection with Unmanned Aerial Vehicles"/>
    <s v="JROBEY"/>
    <d v="2014-01-17T14:34:26"/>
    <n v="300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0"/>
    <s v="01"/>
    <n v="199523"/>
    <n v="526157"/>
    <s v="Aeron"/>
    <s v="Shuchin"/>
    <s v="Tufts University"/>
    <s v="1045 7936"/>
    <s v="1045 7936"/>
    <s v="Continuing grant"/>
    <s v="Proposal Awarded"/>
    <m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5"/>
    <s v="01"/>
    <n v="105088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6"/>
    <s v="01"/>
    <n v="108827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7"/>
    <s v="01"/>
    <n v="112719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1"/>
    <s v="01"/>
    <n v="90248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9T10:49:36"/>
    <n v="302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2"/>
    <s v="01"/>
    <n v="188697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18T16:46:41"/>
    <n v="302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2"/>
    <s v="01"/>
    <n v="171896"/>
    <n v="598777"/>
    <s v="Bajwa"/>
    <s v="Waheed"/>
    <s v="Rutgers Univ New Brunswick"/>
    <s v="1045 7936"/>
    <s v="1045 7936"/>
    <s v="Continuing grant"/>
    <s v="Proposal Awarded"/>
    <m/>
    <s v="CAREER: Signal Processing Through the Lens of Geometry"/>
    <s v="JROBEY"/>
    <d v="2015-01-23T15:11:56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3"/>
    <s v="01"/>
    <n v="234475"/>
    <n v="598777"/>
    <s v="Bajwa"/>
    <s v="Waheed"/>
    <s v="Rutgers Univ New Brunswick"/>
    <s v="1045 7936"/>
    <s v="1045 7936"/>
    <s v="Continuing grant"/>
    <s v="Proposal Awarded"/>
    <s v="Awarded"/>
    <s v="CAREER: Signal Processing Through the Lens of Geometry"/>
    <s v="jcozzens"/>
    <d v="2017-06-13T10:25:47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6"/>
    <s v="01"/>
    <n v="143629"/>
    <n v="598777"/>
    <s v="Bajwa"/>
    <s v="Waheed"/>
    <s v="Rutgers Univ New Brunswick"/>
    <s v="1045 7936"/>
    <s v="1045 7936"/>
    <s v="Continuing grant"/>
    <s v="Proposal Awarded"/>
    <s v="Pending FAS commitment"/>
    <s v="CAREER: Signal Processing Through the Lens of Geometry"/>
    <s v="JROBEY"/>
    <d v="2015-01-23T15:11:56"/>
    <n v="303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2"/>
    <s v="01"/>
    <n v="223714"/>
    <n v="580348"/>
    <s v="Turaga"/>
    <s v="Pavan"/>
    <s v="Arizona State University"/>
    <s v="1045 7936"/>
    <s v="1045 7936"/>
    <s v="Continuing grant"/>
    <s v="Proposal Awarded"/>
    <m/>
    <s v="CAREER: Role of geometry in dynamical modeling of human movement: Applications to activity quality assessment across Euclidean, non-Euclidean, and function spaces"/>
    <s v="JROBEY"/>
    <d v="2015-01-28T10:33:35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3"/>
    <s v="01"/>
    <n v="244453"/>
    <n v="580348"/>
    <s v="Turaga"/>
    <s v="Pavan"/>
    <s v="Arizona State University"/>
    <s v="1045 7936"/>
    <s v="1045 7936"/>
    <s v="Continuing grant"/>
    <s v="Proposal Awarded"/>
    <s v="Awarded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6"/>
    <s v="01"/>
    <n v="67833"/>
    <n v="580348"/>
    <s v="Turaga"/>
    <s v="Pavan"/>
    <s v="Arizona State University"/>
    <s v="1045 7936"/>
    <s v="1045 7936"/>
    <s v="Continuing grant"/>
    <s v="Proposal Awarded"/>
    <s v="Pending FAS commitment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0"/>
    <s v="01"/>
    <n v="194369"/>
    <n v="400000"/>
    <s v="Viventi"/>
    <s v="Jonathan"/>
    <s v="Duke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06"/>
    <n v="305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5"/>
    <s v="01"/>
    <n v="205361"/>
    <n v="400000"/>
    <s v="Viventi"/>
    <s v="Jonathan"/>
    <s v="Duke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06"/>
    <n v="305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2"/>
    <s v="01"/>
    <n v="194985"/>
    <n v="400000"/>
    <s v="Ozgur"/>
    <s v="Ayfer"/>
    <s v="Stanford University"/>
    <s v="7924 7935"/>
    <s v="7924 7935"/>
    <s v="Continuing grant"/>
    <s v="Proposal Awarded"/>
    <m/>
    <s v="CIF: Medium: Collaborative Research: On-demand Physical Layer Cooperation"/>
    <s v="LFUQUA"/>
    <d v="2015-06-11T10:51:07"/>
    <n v="306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3"/>
    <s v="01"/>
    <n v="138015"/>
    <n v="400000"/>
    <s v="Ozgur"/>
    <s v="Ayfer"/>
    <s v="Stanford University"/>
    <s v="7924 7935"/>
    <s v="7924 7935"/>
    <s v="Continuing grant"/>
    <s v="Proposal Awarded"/>
    <s v="Awarded"/>
    <s v="CIF: Medium: Collaborative Research: On-demand Physical Layer Cooperation"/>
    <s v="ribrown"/>
    <d v="2017-06-21T09:50:03"/>
    <n v="306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1"/>
    <n v="76215"/>
    <n v="666746"/>
    <s v="Sarwate"/>
    <s v="Anand"/>
    <s v="Rutgers Univ New Brunswick"/>
    <s v="1045 7434 7935 9251"/>
    <s v="1045 7935"/>
    <s v="Continuing grant"/>
    <s v="Proposal Awarded"/>
    <m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3"/>
    <s v="01"/>
    <n v="218356"/>
    <n v="666746"/>
    <s v="Sarwate"/>
    <s v="Anand"/>
    <s v="Rutgers Univ New Brunswick"/>
    <s v="1045 7434 7935 9251"/>
    <s v="1045 7935"/>
    <s v="Continuing grant"/>
    <s v="Proposal Awarded"/>
    <s v="Awarded"/>
    <s v="CAREER: Privacy-preserving learning for distributed data"/>
    <s v="ribrown"/>
    <d v="2017-05-31T10:26:52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6"/>
    <s v="01"/>
    <n v="105779"/>
    <n v="666746"/>
    <s v="Sarwate"/>
    <s v="Anand"/>
    <s v="Rutgers Univ New Brunswick"/>
    <s v="1045 7434 7935 9251"/>
    <s v="1045 7935"/>
    <s v="Continuing grant"/>
    <s v="Proposal Awarded"/>
    <s v="Pending FAS commitment"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3"/>
    <n v="6200"/>
    <n v="666746"/>
    <s v="Sarwate"/>
    <s v="Anand"/>
    <s v="Rutgers Univ New Brunswick"/>
    <s v="1045 7434 7935 9251"/>
    <s v="1045 9251"/>
    <s v="Continuing grant"/>
    <s v="Proposal Awarded"/>
    <m/>
    <s v="CAREER: Privacy-preserving learning for distributed data"/>
    <s v="JROBEY"/>
    <d v="2015-01-23T11:28:47"/>
    <n v="307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1"/>
    <s v="01"/>
    <n v="185533"/>
    <n v="400000"/>
    <s v="Chandrasekaran"/>
    <s v="Venkat"/>
    <s v="California Inst of Tech"/>
    <s v="1045 7936"/>
    <s v="1045 7936"/>
    <s v="Continuing grant"/>
    <s v="Proposal Awarded"/>
    <m/>
    <s v="CAREER: Computational and Statistical Tradeoffs in Massive Data Analysis"/>
    <s v="JROBEY"/>
    <d v="2014-01-22T08:55:41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0"/>
    <s v="01"/>
    <n v="191460"/>
    <n v="400000"/>
    <s v="Chandrasekaran"/>
    <s v="Venkat"/>
    <s v="California Inst of Tech"/>
    <s v="1045 7936"/>
    <s v="1045 7936"/>
    <s v="Continuing grant"/>
    <s v="Proposal Awarded"/>
    <s v="Awarded"/>
    <s v="CAREER: Computational and Statistical Tradeoffs in Massive Data Analysis"/>
    <s v="jcozzens"/>
    <d v="2016-07-07T10:28:24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5"/>
    <s v="01"/>
    <n v="98007"/>
    <n v="400000"/>
    <s v="Chandrasekaran"/>
    <s v="Venkat"/>
    <s v="California Inst of Tech"/>
    <s v="1045 7936"/>
    <s v="1045 7936"/>
    <s v="Continuing grant"/>
    <s v="Proposal Awarded"/>
    <s v="Pending FAS commitment"/>
    <s v="CAREER: Computational and Statistical Tradeoffs in Massive Data Analysis"/>
    <s v="JROBEY"/>
    <d v="2014-01-22T08:55:41"/>
    <n v="308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3"/>
    <s v="01"/>
    <n v="249534"/>
    <n v="590847"/>
    <s v="Sankaranarayanan"/>
    <s v="Aswin"/>
    <s v="Carnegie Mellon University"/>
    <s v="1045 7936"/>
    <s v="1045 7936"/>
    <s v="Continuing grant"/>
    <s v="Proposal Awarded"/>
    <m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6"/>
    <s v="01"/>
    <n v="97483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7"/>
    <s v="01"/>
    <n v="95136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8"/>
    <s v="01"/>
    <n v="89847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0"/>
    <s v="01"/>
    <n v="205461"/>
    <n v="541321"/>
    <s v="Atia"/>
    <s v="George"/>
    <s v="U of Central Florida"/>
    <s v="1045 7936"/>
    <s v="1045 7936"/>
    <s v="Continuing grant"/>
    <s v="Proposal Awarded"/>
    <m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5"/>
    <s v="01"/>
    <n v="10660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6"/>
    <s v="01"/>
    <n v="113686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7"/>
    <s v="01"/>
    <n v="11556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3"/>
    <s v="01"/>
    <n v="95859"/>
    <n v="400000"/>
    <s v="Chi"/>
    <s v="Yuejie"/>
    <s v="Ohio Stat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5"/>
    <s v="01"/>
    <n v="9903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6"/>
    <s v="01"/>
    <n v="10099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7"/>
    <s v="01"/>
    <n v="104113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0"/>
    <s v="01"/>
    <n v="190082"/>
    <n v="500000"/>
    <s v="Abbe"/>
    <s v="Emmanuel"/>
    <s v="Princeton University"/>
    <s v="1045 7935"/>
    <s v="1045 7935"/>
    <s v="Continuing grant"/>
    <s v="Proposal Awarded"/>
    <m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5"/>
    <s v="01"/>
    <n v="203151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7"/>
    <s v="01"/>
    <n v="106767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2"/>
    <s v="01"/>
    <n v="84255"/>
    <n v="449341"/>
    <s v="Dalton"/>
    <s v="Lori"/>
    <s v="Ohio State University"/>
    <s v="1045 7936 9102"/>
    <s v="1045 7936"/>
    <s v="Continuing grant"/>
    <s v="Proposal Awarded"/>
    <m/>
    <s v="CAREER: Optimal Bayesian Methods for Classification"/>
    <s v="LFUQUA"/>
    <d v="2015-03-03T10:13:4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0"/>
    <s v="01"/>
    <n v="86951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jcozzens"/>
    <d v="2016-06-01T15:24:1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3"/>
    <s v="01"/>
    <n v="89754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5"/>
    <s v="01"/>
    <n v="92672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6"/>
    <s v="01"/>
    <n v="95709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11-20T10:28:00"/>
    <d v="2015-07-20T23:09:04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728"/>
    <s v="1518728"/>
    <x v="2"/>
    <s v="01"/>
    <n v="108000"/>
    <n v="400000"/>
    <s v="Zhang"/>
    <s v="Xinyu"/>
    <s v="U of Wisconsin Madison"/>
    <s v="7925"/>
    <s v="7797 7925"/>
    <s v="Continuing grant"/>
    <s v="Proposal Awarded"/>
    <m/>
    <s v="NeTS: Large: Collaborative Research: GigaNets: A Path to Experimental Research in Millimeter Wave Networking"/>
    <s v="LFUQUA"/>
    <d v="2015-08-25T10:03:12"/>
    <n v="314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1"/>
    <s v="01"/>
    <n v="279332"/>
    <n v="650000"/>
    <s v="Grover"/>
    <s v="Pulkit"/>
    <s v="Carnegie Mellon University"/>
    <s v="1045 7937"/>
    <s v="1045 7937"/>
    <s v="Continuing grant"/>
    <s v="Proposal Awarded"/>
    <m/>
    <s v="CAREER: Towards Green Communications Using an Information-Lens: Foundations of the Joint Design of Communication Strategies and Circuits"/>
    <s v="LFUQUA"/>
    <d v="2014-01-27T11:50:09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5"/>
    <s v="01"/>
    <n v="99036"/>
    <n v="650000"/>
    <s v="Grover"/>
    <s v="Pulkit"/>
    <s v="Carnegie Mellon University"/>
    <s v="1045 7937"/>
    <s v="1045 7937"/>
    <s v="Continuing grant"/>
    <s v="Proposal Awarded"/>
    <s v="Pending FAS commitment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0"/>
    <s v="02"/>
    <n v="217632"/>
    <n v="650000"/>
    <s v="Grover"/>
    <s v="Pulkit"/>
    <s v="Carnegie Mellon University"/>
    <s v="1045 7937"/>
    <s v="1045 7937"/>
    <s v="Continuing grant"/>
    <s v="Proposal Awarded"/>
    <s v="Awarded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0"/>
    <s v="01"/>
    <n v="176120"/>
    <n v="457685"/>
    <s v="Oh"/>
    <s v="Sewoong"/>
    <s v="U of Ill Urbana-Champaign"/>
    <s v="1045 7935"/>
    <s v="1045 7935"/>
    <s v="Continuing grant"/>
    <s v="Proposal Awarded"/>
    <m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5"/>
    <s v="01"/>
    <n v="183430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7"/>
    <s v="01"/>
    <n v="98135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3"/>
    <s v="01"/>
    <n v="189894"/>
    <n v="500000"/>
    <s v="Tandon"/>
    <s v="Ravi"/>
    <s v="U of Arizona"/>
    <s v="1045 7797 7935"/>
    <s v="1045 7935"/>
    <s v="Continuing grant"/>
    <s v="Proposal Awarded"/>
    <m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6"/>
    <s v="01"/>
    <n v="203167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8"/>
    <s v="01"/>
    <n v="106939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4-11-19T15:12:00"/>
    <d v="2015-07-20T23:09:39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632"/>
    <s v="1518632"/>
    <x v="2"/>
    <s v="01"/>
    <n v="192000"/>
    <n v="600000"/>
    <s v="Arbabian"/>
    <s v="Amin"/>
    <s v="Stanford University"/>
    <s v="7925"/>
    <s v="7925"/>
    <s v="Continuing grant"/>
    <s v="Proposal Awarded"/>
    <m/>
    <s v="NeTS: Large: Collaborative Research: GigaNets: A Path to Experimental Research in Millimeter Wave Networking"/>
    <s v="LFUQUA"/>
    <d v="2015-08-25T10:03:05"/>
    <n v="318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1"/>
    <s v="01"/>
    <n v="161103"/>
    <n v="415010"/>
    <s v="Haldar"/>
    <s v="Justin"/>
    <s v="U of Southern California"/>
    <s v="1045 7936"/>
    <s v="1045 7936"/>
    <s v="Continuing grant"/>
    <s v="Proposal Awarded"/>
    <m/>
    <s v="CAREER: Low-Rank Matrix Modeling for Constrained Reconstruction from Noisy and Sparsely-Sampled Data"/>
    <s v="JROBEY"/>
    <d v="2014-04-02T08:14:31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0"/>
    <s v="01"/>
    <n v="167093"/>
    <n v="415010"/>
    <s v="Haldar"/>
    <s v="Justin"/>
    <s v="U of Southern California"/>
    <s v="1045 7936"/>
    <s v="1045 7936"/>
    <s v="Continuing grant"/>
    <s v="Proposal Awarded"/>
    <s v="Awarded"/>
    <s v="CAREER: Low-Rank Matrix Modeling for Constrained Reconstruction from Noisy and Sparsely-Sampled Data"/>
    <s v="jcozzens"/>
    <d v="2016-02-25T08:03:20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5"/>
    <s v="01"/>
    <n v="86814"/>
    <n v="415010"/>
    <s v="Haldar"/>
    <s v="Justin"/>
    <s v="U of Southern California"/>
    <s v="1045 7936"/>
    <s v="1045 7936"/>
    <s v="Continuing grant"/>
    <s v="Proposal Awarded"/>
    <s v="Pending FAS commitment"/>
    <s v="CAREER: Low-Rank Matrix Modeling for Constrained Reconstruction from Noisy and Sparsely-Sampled Data"/>
    <s v="JROBEY"/>
    <d v="2014-04-02T08:14:31"/>
    <n v="319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2"/>
    <s v="01"/>
    <n v="145296"/>
    <n v="475699"/>
    <s v="Kosut"/>
    <s v="Oliver"/>
    <s v="Arizona State University"/>
    <s v="1045 7935"/>
    <s v="1045 7935"/>
    <s v="Continuing grant"/>
    <s v="Proposal Awarded"/>
    <m/>
    <s v="CAREER: Fundamental Security-Performance Tradeoffs for Active Attacks Against Communication Networks"/>
    <s v="JROBEY"/>
    <d v="2015-01-23T14:31:3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3"/>
    <s v="01"/>
    <n v="247093"/>
    <n v="475699"/>
    <s v="Kosut"/>
    <s v="Oliver"/>
    <s v="Arizona State University"/>
    <s v="1045 7935"/>
    <s v="1045 7935"/>
    <s v="Continuing grant"/>
    <s v="Proposal Awarded"/>
    <s v="Awarded"/>
    <s v="CAREER: Fundamental Security-Performance Tradeoffs for Active Attacks Against Communication Networks"/>
    <s v="ribrown"/>
    <d v="2017-02-03T12:46:0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6"/>
    <s v="01"/>
    <n v="83310"/>
    <n v="475699"/>
    <s v="Kosut"/>
    <s v="Oliver"/>
    <s v="Arizona State University"/>
    <s v="1045 7935"/>
    <s v="1045 7935"/>
    <s v="Continuing grant"/>
    <s v="Proposal Awarded"/>
    <s v="Pending FAS commitment"/>
    <s v="CAREER: Fundamental Security-Performance Tradeoffs for Active Attacks Against Communication Networks"/>
    <s v="JROBEY"/>
    <d v="2015-01-23T14:31:35"/>
    <n v="320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3"/>
    <s v="01"/>
    <n v="209342"/>
    <n v="633773"/>
    <s v="Wu"/>
    <s v="Yihong"/>
    <s v="Yale University"/>
    <s v="1045 7936"/>
    <s v="1045 7936"/>
    <s v="Continuing grant"/>
    <s v="Proposal Awarded"/>
    <m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6"/>
    <s v="01"/>
    <n v="113873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7"/>
    <s v="01"/>
    <n v="117630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8"/>
    <s v="01"/>
    <n v="130155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3"/>
    <s v="01"/>
    <n v="176353"/>
    <n v="500000"/>
    <s v="Xie"/>
    <s v="Yao"/>
    <s v="Georgia Tech Research Corp"/>
    <s v="1045 7936"/>
    <s v="1045 7936"/>
    <s v="Continuing grant"/>
    <s v="Proposal Awarded"/>
    <m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6"/>
    <s v="01"/>
    <n v="104560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7"/>
    <s v="01"/>
    <n v="107843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8"/>
    <s v="01"/>
    <n v="111244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3"/>
    <s v="01"/>
    <n v="179039"/>
    <n v="623977"/>
    <s v="El Rouayheb"/>
    <s v="Salim"/>
    <s v="Illinois Inst of Tech"/>
    <s v="1045 7935"/>
    <s v="1045 7935"/>
    <s v="Continuing grant"/>
    <s v="Proposal Awarded"/>
    <m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6"/>
    <s v="01"/>
    <n v="19180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8"/>
    <s v="01"/>
    <n v="9313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0"/>
    <s v="01"/>
    <n v="179438"/>
    <n v="499999"/>
    <s v="Babadi"/>
    <s v="Behtash"/>
    <s v="U of MD College Park"/>
    <s v="1045 7936 8089"/>
    <s v="1045 7936 8089"/>
    <s v="Continuing grant"/>
    <s v="Proposal Awarded"/>
    <m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5"/>
    <s v="01"/>
    <n v="98968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6"/>
    <s v="01"/>
    <n v="103385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7"/>
    <s v="01"/>
    <n v="108022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2"/>
    <s v="01"/>
    <n v="191550"/>
    <n v="508090"/>
    <s v="Shanechi"/>
    <s v="Maryam"/>
    <s v="U of Southern California"/>
    <s v="1045 7936"/>
    <s v="1045 7936 8089"/>
    <s v="Continuing grant"/>
    <s v="Proposal Awarded"/>
    <m/>
    <s v="CAREER: Generalizable, Robust, and Closed-Loop Brain-Machine Interface Control Architectures"/>
    <s v="JROBEY"/>
    <d v="2015-02-03T12:21:20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3"/>
    <s v="01"/>
    <n v="204361"/>
    <n v="508090"/>
    <s v="Shanechi"/>
    <s v="Maryam"/>
    <s v="U of Southern California"/>
    <s v="1045 7936"/>
    <s v="1045 7936 8089"/>
    <s v="Continuing grant"/>
    <s v="Proposal Awarded"/>
    <s v="Awarded"/>
    <s v="CAREER: Generalizable, Robust, and Closed-Loop Brain-Machine Interface Control Architectures"/>
    <s v="jcozzens"/>
    <d v="2017-03-15T16:03:21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6"/>
    <s v="01"/>
    <n v="107237"/>
    <n v="508090"/>
    <s v="Shanechi"/>
    <s v="Maryam"/>
    <s v="U of Southern California"/>
    <s v="1045 7936"/>
    <s v="1045 7936 8089"/>
    <s v="Continuing grant"/>
    <s v="Proposal Awarded"/>
    <s v="Pending FAS commitment"/>
    <s v="CAREER: Generalizable, Robust, and Closed-Loop Brain-Machine Interface Control Architectures"/>
    <s v="JROBEY"/>
    <d v="2015-02-03T12:21:20"/>
    <n v="325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3"/>
    <s v="01"/>
    <n v="178578"/>
    <n v="752998"/>
    <s v="Tang"/>
    <s v="Gongguo"/>
    <s v="Colorado School of Mines"/>
    <s v="7924 7936"/>
    <s v="7924 7936"/>
    <s v="Continuing grant"/>
    <s v="Proposal Awarded"/>
    <m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5"/>
    <s v="01"/>
    <n v="184843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6"/>
    <s v="02"/>
    <n v="191380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7"/>
    <s v="02"/>
    <n v="198197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0"/>
    <s v="01"/>
    <n v="192086"/>
    <n v="497847"/>
    <s v="Cadambe"/>
    <s v="Viveck"/>
    <s v="PA St U University Park"/>
    <s v="1045 7935"/>
    <s v="1045 7935"/>
    <s v="Continuing grant"/>
    <s v="Proposal Awarded"/>
    <m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5"/>
    <s v="01"/>
    <n v="201554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7"/>
    <s v="01"/>
    <n v="104207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0"/>
    <s v="01"/>
    <n v="190703"/>
    <n v="400000"/>
    <s v="Duchi"/>
    <s v="John"/>
    <s v="Stanford University"/>
    <s v="1045 7936"/>
    <s v="1045 7936"/>
    <s v="Continuing grant"/>
    <s v="Proposal Awarded"/>
    <m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5"/>
    <s v="01"/>
    <n v="9932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6"/>
    <s v="01"/>
    <n v="10208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7"/>
    <s v="01"/>
    <n v="10493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3"/>
    <s v="01"/>
    <n v="88635"/>
    <n v="400000"/>
    <s v="Chen"/>
    <s v="Yudong"/>
    <s v="Cornell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5"/>
    <s v="01"/>
    <n v="9111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6"/>
    <s v="01"/>
    <n v="9345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7"/>
    <s v="01"/>
    <n v="95880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3"/>
    <s v="01"/>
    <n v="99295"/>
    <n v="399011"/>
    <s v="Soltanalian"/>
    <s v="Mojtaba"/>
    <s v="U of Illinois Chicago"/>
    <s v="7924 7936"/>
    <s v="7924 7936"/>
    <s v="Continuing grant"/>
    <s v="Proposal Awarded"/>
    <m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5"/>
    <s v="01"/>
    <n v="98125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6"/>
    <s v="02"/>
    <n v="100244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7"/>
    <s v="02"/>
    <n v="101347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3"/>
    <s v="01"/>
    <n v="194445"/>
    <n v="500000"/>
    <s v="Akcakaya"/>
    <s v="Mehmet"/>
    <s v="U of Minnesota-Twin Cities"/>
    <s v="1045 7936"/>
    <s v="1045 7936"/>
    <s v="Continuing grant"/>
    <s v="Proposal Awarded"/>
    <m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6"/>
    <s v="01"/>
    <n v="100181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7"/>
    <s v="01"/>
    <n v="101900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8"/>
    <s v="01"/>
    <n v="103474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3"/>
    <s v="01"/>
    <n v="93987"/>
    <n v="500000"/>
    <s v="Kannan"/>
    <s v="Sreeram"/>
    <s v="U of Washington"/>
    <s v="1045 7935"/>
    <s v="1045 7935"/>
    <s v="Continuing grant"/>
    <s v="Proposal Awarded"/>
    <m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5"/>
    <s v="01"/>
    <n v="95550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7"/>
    <s v="01"/>
    <n v="103329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6"/>
    <s v="02"/>
    <n v="99358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8"/>
    <s v="02"/>
    <n v="107776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3"/>
    <s v="01"/>
    <n v="186624"/>
    <n v="750000"/>
    <s v="Kannan"/>
    <s v="Sreeram"/>
    <s v="U of Washington"/>
    <s v="7924 7935"/>
    <s v="7924 7935"/>
    <s v="Continuing grant"/>
    <s v="Proposal Awarded"/>
    <m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5"/>
    <s v="01"/>
    <n v="18337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6"/>
    <s v="01"/>
    <n v="18778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7"/>
    <s v="01"/>
    <n v="192210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4-03-18T00:00:00"/>
    <d v="2014-05-01T12:59:5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0930"/>
    <s v="I"/>
    <s v="eJ"/>
    <s v="1011903"/>
    <s v="1440930"/>
    <x v="1"/>
    <s v="01"/>
    <n v="8000"/>
    <n v="8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DOYOUNG"/>
    <d v="2014-05-05T08:50:28"/>
    <n v="334"/>
  </r>
  <r>
    <d v="2017-09-14T09:43:06"/>
    <d v="2014-07-08T00:00:00"/>
    <d v="2014-07-14T17:2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51118"/>
    <s v="I"/>
    <s v="eJ"/>
    <s v="1011903"/>
    <s v="1451118"/>
    <x v="1"/>
    <s v="01"/>
    <n v="16000"/>
    <n v="16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JROBEY"/>
    <d v="2014-07-17T11:53:07"/>
    <n v="335"/>
  </r>
  <r>
    <d v="2017-09-14T09:43:06"/>
    <d v="2017-03-03T00:00:00"/>
    <d v="2017-03-22T12:35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39183"/>
    <s v="I"/>
    <s v="eJ"/>
    <s v="1563753"/>
    <s v="1739183"/>
    <x v="3"/>
    <s v="01"/>
    <n v="16000"/>
    <n v="16000"/>
    <s v="Trachtenberg"/>
    <s v="Ari"/>
    <s v="Boston University"/>
    <s v="7935 9251"/>
    <s v="7935 9251"/>
    <s v="Continuing grant"/>
    <s v="Proposal Awarded"/>
    <m/>
    <s v="CIF: NeTS: Medium: Collaborative Research: Unifying Data Synchronization"/>
    <s v="VLRICHA"/>
    <d v="2017-04-03T13:07:32"/>
    <n v="336"/>
  </r>
  <r>
    <d v="2017-09-14T09:43:06"/>
    <d v="2017-03-31T00:00:00"/>
    <d v="2017-04-20T22:26:5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01"/>
    <s v="I"/>
    <s v="eJ"/>
    <s v="1563742"/>
    <s v="1742801"/>
    <x v="3"/>
    <s v="01"/>
    <n v="17260"/>
    <n v="17620"/>
    <s v="Guruswami"/>
    <s v="Venkatesan"/>
    <s v="Carnegie Mellon University"/>
    <s v="7935 9251"/>
    <s v="7935 9251"/>
    <s v="Continuing grant"/>
    <s v="Proposal Awarded"/>
    <m/>
    <s v="CIF: Medium: Collaborative Research: Frontiers in coding for cloud storage systems"/>
    <s v="VLRICHA"/>
    <d v="2017-05-01T09:36:08"/>
    <n v="337"/>
  </r>
  <r>
    <d v="2017-09-14T09:43:06"/>
    <d v="2017-04-25T00:00:00"/>
    <d v="2017-06-20T06:31:27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769"/>
    <s v="I"/>
    <s v="eJ"/>
    <s v="1563918"/>
    <s v="1743769"/>
    <x v="3"/>
    <s v="01"/>
    <n v="8000"/>
    <n v="8000"/>
    <s v="Kovacevic"/>
    <s v="Jelena"/>
    <s v="Carnegie Mellon University"/>
    <s v="7936 9251"/>
    <s v="7936 9251"/>
    <s v="Continuing grant"/>
    <s v="Proposal Awarded"/>
    <m/>
    <s v="CIF: Medium: Signal representation, sampling and recovery on graphs"/>
    <s v="ISATTLE"/>
    <d v="2017-06-28T13:08:17"/>
    <n v="338"/>
  </r>
  <r>
    <d v="2017-09-14T09:43:06"/>
    <d v="2014-10-17T00:00:00"/>
    <d v="2014-11-17T11:14:2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03695"/>
    <s v="I"/>
    <s v="eJ"/>
    <s v="1150212"/>
    <s v="1503695"/>
    <x v="2"/>
    <s v="01"/>
    <n v="8000"/>
    <n v="8000"/>
    <s v="Dolecek"/>
    <s v="Lara"/>
    <s v="U of Cal Los Angeles"/>
    <s v="9251"/>
    <s v="1045 9251"/>
    <s v="Continuing grant"/>
    <s v="Proposal Awarded"/>
    <m/>
    <s v="CAREER: Channel Coding Paradigms for Next-Generation Storage Systems"/>
    <s v="JROBEY"/>
    <d v="2014-11-18T11:52:13"/>
    <n v="339"/>
  </r>
  <r>
    <d v="2017-09-14T09:43:06"/>
    <d v="2016-01-29T00:00:00"/>
    <d v="2016-04-12T10:38:20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32198"/>
    <s v="I"/>
    <s v="eJ"/>
    <s v="1350616"/>
    <s v="1632198"/>
    <x v="0"/>
    <s v="01"/>
    <n v="8576"/>
    <n v="0"/>
    <s v="Davenport"/>
    <s v="Mark"/>
    <s v="Georgia Tech Research Corp"/>
    <s v="7936 9251"/>
    <s v="7936 9251"/>
    <s v="Continuing grant"/>
    <s v="Proposal Awarded"/>
    <s v="Awarded"/>
    <s v="CAREER: Learning from Coarse, Nonmetric, and Incomplete Data"/>
    <s v="LFUQUA"/>
    <d v="2016-04-29T11:22:36"/>
    <n v="340"/>
  </r>
  <r>
    <d v="2017-09-14T09:43:06"/>
    <d v="2017-01-26T00:00:00"/>
    <d v="2017-04-26T08:27:14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33734"/>
    <s v="I"/>
    <s v="eJ"/>
    <s v="1350616"/>
    <s v="1733734"/>
    <x v="3"/>
    <s v="01"/>
    <n v="16000"/>
    <n v="16000"/>
    <s v="Davenport"/>
    <s v="Mark"/>
    <s v="Georgia Tech Research Corp"/>
    <s v="7936 9251"/>
    <s v="7936 9251"/>
    <s v="Continuing grant"/>
    <s v="Proposal Awarded"/>
    <m/>
    <s v="CAREER: Learning from Coarse, Nonmetric, and Incomplete Data"/>
    <s v="JKITTLE"/>
    <d v="2017-04-28T09:33:24"/>
    <n v="341"/>
  </r>
  <r>
    <d v="2017-09-14T09:43:06"/>
    <d v="2017-03-31T00:00:00"/>
    <d v="2017-04-07T10:39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36"/>
    <s v="I"/>
    <s v="eJ"/>
    <s v="1350914"/>
    <s v="1742836"/>
    <x v="3"/>
    <s v="01"/>
    <n v="8000"/>
    <n v="8000"/>
    <s v="Sankar"/>
    <s v="Lalitha"/>
    <s v="Arizona State University"/>
    <s v="7935 9251"/>
    <s v="7935 9251"/>
    <s v="Continuing grant"/>
    <s v="Proposal Awarded"/>
    <m/>
    <s v="CAREER: Privacy-Guaranteed Distributed Interactions in Critical Infrastructure Networks"/>
    <s v="VLRICHA"/>
    <d v="2017-04-21T10:56:30"/>
    <n v="342"/>
  </r>
  <r>
    <d v="2017-09-14T09:43:06"/>
    <d v="2015-11-30T00:00:00"/>
    <d v="2016-01-19T09:56:25"/>
    <s v="05010000"/>
    <s v="05010000"/>
    <s v="7797 - COMM &amp; INFORMATION FOUNDATIONS"/>
    <s v="7797 - COMM &amp; INFORMATION FOUNDATIONS"/>
    <s v="PREGALI"/>
    <s v="PREGALI"/>
    <s v="4110"/>
    <s v="4110"/>
    <s v="NSF 15-1"/>
    <x v="1"/>
    <x v="0"/>
    <s v="AWD"/>
    <s v="CONT"/>
    <s v="CONT"/>
    <s v="CCF"/>
    <s v="1620104"/>
    <s v="I"/>
    <s v="eJ"/>
    <s v="1514531"/>
    <s v="1620104"/>
    <x v="0"/>
    <s v="01"/>
    <n v="16000"/>
    <n v="16000"/>
    <s v="Diggavi"/>
    <s v="Suhas"/>
    <s v="U of Cal Los Angeles"/>
    <s v="9251"/>
    <s v="9251"/>
    <s v="Continuing grant"/>
    <s v="Proposal Awarded"/>
    <m/>
    <s v="CIF: Medium: Collaborative Research: On-demand Physical Layer Cooperation"/>
    <s v="JROBEY"/>
    <d v="2016-01-25T13:49:54"/>
    <n v="343"/>
  </r>
  <r>
    <d v="2017-09-14T09:43:06"/>
    <d v="2017-04-07T00:00:00"/>
    <d v="2017-04-20T22:25:49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3096"/>
    <s v="I"/>
    <s v="eJ"/>
    <s v="1514531"/>
    <s v="1743096"/>
    <x v="3"/>
    <s v="01"/>
    <n v="16000"/>
    <n v="16000"/>
    <s v="Diggavi"/>
    <s v="Suhas"/>
    <s v="U of Cal Los Angeles"/>
    <s v="7935 9251"/>
    <s v="7935 9251"/>
    <s v="Continuing grant"/>
    <s v="Proposal Awarded"/>
    <s v="Awarded"/>
    <s v="CIF: Medium: Collaborative Research: On-demand Physical Layer Cooperation"/>
    <s v="VLRICHA"/>
    <d v="2017-04-21T12:18:28"/>
    <n v="344"/>
  </r>
  <r>
    <d v="2017-09-14T09:43:06"/>
    <d v="2014-04-25T00:00:00"/>
    <d v="2014-05-08T11:39:2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4373"/>
    <s v="I"/>
    <s v="eJ"/>
    <s v="1350264"/>
    <s v="1444373"/>
    <x v="1"/>
    <s v="01"/>
    <n v="800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DOYOUNG"/>
    <d v="2014-05-09T11:46:58"/>
    <n v="345"/>
  </r>
  <r>
    <d v="2017-09-14T09:43:06"/>
    <d v="2015-06-26T00:00:00"/>
    <d v="2015-07-15T16:04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50455"/>
    <s v="I"/>
    <s v="eJ"/>
    <s v="1350264"/>
    <s v="1550455"/>
    <x v="2"/>
    <s v="01"/>
    <n v="1015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VLRICHA"/>
    <d v="2015-07-31T12:42:26"/>
    <n v="346"/>
  </r>
  <r>
    <d v="2017-09-14T09:43:06"/>
    <d v="2016-04-07T00:00:00"/>
    <d v="2016-06-08T09:21:16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40995"/>
    <s v="I"/>
    <s v="eJ"/>
    <s v="1350264"/>
    <s v="1640995"/>
    <x v="0"/>
    <s v="01"/>
    <n v="12000"/>
    <n v="12000"/>
    <s v="Khan"/>
    <s v="Usman"/>
    <s v="Tufts University"/>
    <s v="9251"/>
    <s v="9251"/>
    <s v="Continuing grant"/>
    <s v="Proposal Awarded"/>
    <s v="Awarded"/>
    <s v="CAREER: Smart Monitoring and Inspection with Unmanned Aerial Vehicles"/>
    <s v="LFUQUA"/>
    <d v="2016-06-10T16:09:19"/>
    <n v="347"/>
  </r>
  <r>
    <d v="2017-09-14T09:43:06"/>
    <d v="2017-04-14T00:00:00"/>
    <d v="2017-06-01T09:54:2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43361"/>
    <s v="I"/>
    <s v="eJ"/>
    <s v="1350264"/>
    <s v="1743361"/>
    <x v="3"/>
    <s v="01"/>
    <n v="12000"/>
    <n v="12000"/>
    <s v="Khan"/>
    <s v="Usman"/>
    <s v="Tufts University"/>
    <s v="7936 9251"/>
    <s v="7936 9251"/>
    <s v="Continuing grant"/>
    <s v="Proposal Awarded"/>
    <m/>
    <s v="CAREER: Smart Monitoring and Inspection with Unmanned Aerial Vehicles"/>
    <s v="VLRICHA"/>
    <d v="2017-06-16T17:50:17"/>
    <n v="348"/>
  </r>
  <r>
    <d v="2017-09-14T09:43:06"/>
    <d v="2016-10-24T00:00:00"/>
    <d v="2017-03-20T11:16:52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07560"/>
    <s v="I"/>
    <s v="eJ"/>
    <s v="1553075"/>
    <s v="1707560"/>
    <x v="3"/>
    <s v="01"/>
    <n v="12000"/>
    <n v="12000"/>
    <s v="Aeron"/>
    <s v="Shuchin"/>
    <s v="Tufts University"/>
    <s v="7936 9251"/>
    <s v="7936 9251"/>
    <s v="Continuing grant"/>
    <s v="Proposal Awarded"/>
    <m/>
    <s v="CAREER: Advancing Multidimensional Data Science via New Algebraic Models and Scalable Algorithms"/>
    <s v="VLRICHA"/>
    <d v="2017-04-03T12:58:39"/>
    <n v="349"/>
  </r>
  <r>
    <d v="2017-09-14T09:43:06"/>
    <d v="2015-05-12T00:00:00"/>
    <d v="2015-05-20T11:55:4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663"/>
    <s v="I"/>
    <s v="eJ"/>
    <s v="1302600"/>
    <s v="1545663"/>
    <x v="2"/>
    <s v="01"/>
    <n v="10800"/>
    <n v="10800"/>
    <s v="Nazer"/>
    <s v="Bobak"/>
    <s v="Boston University"/>
    <s v="9251"/>
    <s v="9251"/>
    <s v="Continuing grant"/>
    <s v="Proposal Awarded"/>
    <s v="Awarded"/>
    <s v="CIF: Medium: Collaborative Research: Interference-Aware Cooperation via Structured Codes: Creating an Empirical Cycle"/>
    <s v="VLRICHA"/>
    <d v="2015-05-27T17:57:37"/>
    <n v="350"/>
  </r>
  <r>
    <d v="2017-09-14T09:43:06"/>
    <d v="2015-05-13T00:00:00"/>
    <d v="2015-06-02T10:57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45733"/>
    <s v="I"/>
    <s v="eJ"/>
    <s v="1452163"/>
    <s v="1545733"/>
    <x v="2"/>
    <s v="01"/>
    <n v="8000"/>
    <n v="8000"/>
    <s v="Turaga"/>
    <s v="Pavan"/>
    <s v="Arizona State University"/>
    <s v="9251"/>
    <s v="9251"/>
    <s v="Continuing grant"/>
    <s v="Proposal Awarded"/>
    <m/>
    <s v="CAREER: Role of geometry in dynamical modeling of human movement: Applications to activity quality assessment across Euclidean, non-Euclidean, and function spaces"/>
    <s v="VLRICHA"/>
    <d v="2015-06-04T14:44:52"/>
    <n v="351"/>
  </r>
  <r>
    <d v="2017-09-14T09:43:06"/>
    <d v="2017-04-20T00:00:00"/>
    <d v="2017-06-20T06:30:40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600"/>
    <s v="I"/>
    <s v="eJ"/>
    <s v="1564051"/>
    <s v="1743600"/>
    <x v="3"/>
    <s v="01"/>
    <n v="16000"/>
    <n v="44600"/>
    <s v="Viventi"/>
    <s v="Jonathan"/>
    <s v="Duke University"/>
    <s v="7936 9251"/>
    <s v="7936 9251"/>
    <s v="Continuing grant"/>
    <s v="Proposal Awarded"/>
    <m/>
    <s v="CIF: Medium:  Collaborative Research: Scalable Learning of Nonlinear Models in Large Neural Populations"/>
    <s v="ISATTLE"/>
    <d v="2017-06-26T09:58:12"/>
    <n v="352"/>
  </r>
  <r>
    <d v="2017-09-14T09:43:06"/>
    <d v="2016-03-10T00:00:00"/>
    <d v="2016-05-17T09:31:24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CONT"/>
    <s v="CONT"/>
    <s v="CCF"/>
    <s v="1638405"/>
    <s v="I"/>
    <s v="eJ"/>
    <s v="1453432"/>
    <s v="1638405"/>
    <x v="0"/>
    <s v="01"/>
    <n v="8200"/>
    <n v="8200"/>
    <s v="Sarwate"/>
    <s v="Anand"/>
    <s v="Rutgers Univ New Brunswick"/>
    <s v="7935 9251"/>
    <s v="7935 9251"/>
    <s v="Continuing grant"/>
    <s v="Proposal Awarded"/>
    <m/>
    <s v="CAREER: Privacy-preserving learning for distributed data"/>
    <s v="DCOATES"/>
    <d v="2016-05-25T11:28:46"/>
    <n v="353"/>
  </r>
  <r>
    <d v="2017-09-14T09:43:06"/>
    <d v="2017-04-06T00:00:00"/>
    <d v="2017-04-25T08:44:48"/>
    <s v="05010000"/>
    <s v="05010000"/>
    <s v="7797 - COMM &amp; INFORMATION FOUNDATIONS"/>
    <s v="7797 - COMM &amp; INFORMATION FOUNDATIONS"/>
    <s v="RIBROWN"/>
    <s v="RIBROWN"/>
    <s v="4110"/>
    <s v="4110"/>
    <s v="NSF 17-1"/>
    <x v="1"/>
    <x v="0"/>
    <s v="AWD"/>
    <s v="CONT"/>
    <s v="CONT"/>
    <s v="CCF"/>
    <s v="1743025"/>
    <s v="I"/>
    <s v="eJ"/>
    <s v="1253205"/>
    <s v="1743025"/>
    <x v="3"/>
    <s v="01"/>
    <n v="15000"/>
    <n v="30000"/>
    <s v="Polyanskiy"/>
    <s v="Yury"/>
    <s v="MIT"/>
    <s v="7363 7556 7935"/>
    <s v="7556 7935"/>
    <s v="Continuing grant"/>
    <s v="Proposal Awarded"/>
    <s v="Awarded"/>
    <s v="CAREER: Information Theory Beyond Capacity"/>
    <s v="VLRICHA"/>
    <d v="2017-05-05T10:19:07"/>
    <n v="354"/>
  </r>
  <r>
    <d v="2017-09-14T09:43:06"/>
    <d v="2015-05-06T00:00:00"/>
    <d v="2015-05-20T11:50:5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442"/>
    <s v="I"/>
    <s v="eJ"/>
    <s v="1350314"/>
    <s v="1545442"/>
    <x v="2"/>
    <s v="01"/>
    <n v="16000"/>
    <n v="16000"/>
    <s v="Grover"/>
    <s v="Pulkit"/>
    <s v="Carnegie Mellon University"/>
    <s v="9251"/>
    <s v="9251"/>
    <s v="Continuing grant"/>
    <s v="Proposal Awarded"/>
    <m/>
    <s v="CAREER: Towards Green Communications Using an Information-Lens: Foundations of the Joint Design of Communication Strategies and Circuits"/>
    <s v="VLRICHA"/>
    <d v="2015-05-26T18:11:56"/>
    <n v="355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9"/>
    <s v="01"/>
    <n v="60178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2"/>
    <s v="01"/>
    <n v="90283"/>
    <n v="324803"/>
    <s v="Vosoughi"/>
    <s v="Azadeh"/>
    <s v="U of Central Florida"/>
    <m/>
    <s v="1045 1187 7936 9218 hpcc"/>
    <s v="Continuing grant"/>
    <s v="Proposal Awarded"/>
    <s v="Awarded"/>
    <s v="CAREER:  M-ary Distributed Detection in Wireless Sensor Networks"/>
    <s v="jcozzens"/>
    <d v="2015-06-03T11:23:54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10"/>
    <s v="02"/>
    <n v="174056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AWD"/>
    <s v="CONT"/>
    <s v="CONT"/>
    <s v="CCF"/>
    <s v="1318980"/>
    <s v="I"/>
    <s v="eJ"/>
    <s v="1318980"/>
    <s v="1318980"/>
    <x v="9"/>
    <s v="01"/>
    <n v="168302"/>
    <n v="390988"/>
    <s v="Lai"/>
    <s v="Lifeng"/>
    <s v="Worcester Polytech Inst"/>
    <s v="1045"/>
    <s v="1045 1187 7935 9150"/>
    <s v="Continuing grant"/>
    <s v="Proposal Awarded"/>
    <m/>
    <s v="CAREER: Building Secure Wireless Communication Systems via Physical Layer Resources"/>
    <s v="JROBEY"/>
    <d v="2012-12-20T13:57:30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10"/>
    <s v="01"/>
    <n v="168155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3-04-15T08:39:04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2"/>
    <s v="01"/>
    <n v="54531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5-04-09T16:14:20"/>
    <n v="357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4"/>
    <s v="01"/>
    <n v="84061"/>
    <n v="356249"/>
    <s v="Recht"/>
    <s v="Benjamin"/>
    <s v="U of Cal Berkeley"/>
    <m/>
    <s v="1045 7936"/>
    <s v="Continuing grant"/>
    <s v="Proposal Awarded"/>
    <m/>
    <s v="CAREER: Efficient Atomic Decompositions of Massive Data Sets"/>
    <s v="JROBEY"/>
    <d v="2013-09-13T08:29:12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1"/>
    <s v="01"/>
    <n v="185052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4-06-11T09:15:39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0"/>
    <s v="01"/>
    <n v="87136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6-07-26T10:00:33"/>
    <n v="358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2"/>
    <s v="01"/>
    <n v="182594"/>
    <n v="425429"/>
    <s v="Smida"/>
    <s v="Besma"/>
    <s v="U of Illinois Chicago"/>
    <s v="9102"/>
    <s v="1045 7935"/>
    <s v="Continuing grant"/>
    <s v="Proposal Awarded"/>
    <m/>
    <s v="CAREER: Full-duplex wireless networks by means of reflected power: Theory and applications"/>
    <s v="ISATTLE"/>
    <d v="2016-01-11T12:41:37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3"/>
    <s v="01"/>
    <n v="157113"/>
    <n v="425429"/>
    <s v="Smida"/>
    <s v="Besma"/>
    <s v="U of Illinois Chicago"/>
    <s v="9102"/>
    <s v="1045 7935"/>
    <s v="Continuing grant"/>
    <s v="Proposal Awarded"/>
    <s v="Awarded"/>
    <s v="CAREER: Full-duplex wireless networks by means of reflected power: Theory and applications"/>
    <s v="ribrown"/>
    <d v="2017-09-05T13:43:58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6"/>
    <s v="01"/>
    <n v="85722"/>
    <n v="425429"/>
    <s v="Smida"/>
    <s v="Besma"/>
    <s v="U of Illinois Chicago"/>
    <s v="9102"/>
    <s v="1045 7935"/>
    <s v="Continuing grant"/>
    <s v="Proposal Awarded"/>
    <s v="Pending FAS commitment"/>
    <s v="CAREER: Full-duplex wireless networks by means of reflected power: Theory and applications"/>
    <s v="ISATTLE"/>
    <d v="2016-01-11T12:41:37"/>
    <n v="359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3"/>
    <s v="01"/>
    <n v="109833"/>
    <n v="364647"/>
    <s v="Fletcher"/>
    <s v="Alyson"/>
    <s v="U of Cal Los Angeles"/>
    <m/>
    <s v="1045 7936"/>
    <s v="Continuing grant"/>
    <s v="Proposal Awarded"/>
    <s v="Funds committed in FAS"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2"/>
    <s v="02"/>
    <n v="207351"/>
    <n v="364647"/>
    <s v="Fletcher"/>
    <s v="Alyson"/>
    <s v="U of Cal Los Angeles"/>
    <m/>
    <s v="1045 7936"/>
    <s v="Continuing grant"/>
    <s v="Proposal Awarded"/>
    <m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0"/>
    <s v="01"/>
    <n v="192790"/>
    <n v="400000"/>
    <s v="Fletcher"/>
    <s v="Alyson"/>
    <s v="U of Cal Los Angeles"/>
    <m/>
    <s v="7924 7936 8089"/>
    <s v="Continuing grant"/>
    <s v="Proposal Awarded"/>
    <m/>
    <s v="CIF: Medium: Collaborative Research: Scalable Learning of Nonlinear Models in Large Neural Populations"/>
    <s v="VLRICHA"/>
    <d v="2017-05-01T10:30:22"/>
    <n v="361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5"/>
    <s v="01"/>
    <n v="207210"/>
    <n v="400000"/>
    <s v="Fletcher"/>
    <s v="Alyson"/>
    <s v="U of Cal Los Angeles"/>
    <m/>
    <s v="7924 7936 8089"/>
    <s v="Continuing grant"/>
    <s v="Proposal Awarded"/>
    <s v="Pending FAS commitment"/>
    <s v="CIF: Medium: Collaborative Research: Scalable Learning of Nonlinear Models in Large Neural Populations"/>
    <s v="VLRICHA"/>
    <d v="2017-05-01T10:30:22"/>
    <n v="361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32"/>
    <x v="2"/>
    <x v="0"/>
    <s v="AWD"/>
    <s v="CONT"/>
    <s v="CONT"/>
    <s v="CCF"/>
    <s v="1642658"/>
    <s v="I"/>
    <s v="eJ"/>
    <s v="1642658"/>
    <s v="1642658"/>
    <x v="2"/>
    <s v="01"/>
    <n v="185464"/>
    <n v="511174"/>
    <s v="Mazumdar"/>
    <s v="Arya"/>
    <s v="U of Massachusetts Amherst"/>
    <m/>
    <s v="1045 7935"/>
    <s v="Continuing grant"/>
    <s v="Proposal Awarded"/>
    <m/>
    <s v="CAREER: Reliability in Large-Scale Storage"/>
    <s v="JMADIGA"/>
    <d v="2016-05-25T12:36:26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3"/>
    <s v="01"/>
    <n v="217524"/>
    <n v="511174"/>
    <s v="Mazumdar"/>
    <s v="Arya"/>
    <s v="U of Massachusetts Amherst"/>
    <m/>
    <s v="1045 7935"/>
    <s v="Continuing grant"/>
    <s v="Proposal Awarded"/>
    <s v="Awarded"/>
    <s v="CAREER: Reliability in Large-Scale Storage"/>
    <s v="ribrown"/>
    <d v="2017-01-10T16:32:22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6"/>
    <s v="01"/>
    <n v="108185"/>
    <n v="511174"/>
    <s v="Mazumdar"/>
    <s v="Arya"/>
    <s v="U of Massachusetts Amherst"/>
    <m/>
    <s v="1045 7935"/>
    <s v="Continuing grant"/>
    <s v="Proposal Awarded"/>
    <s v="Pending FAS commitment"/>
    <s v="CAREER: Reliability in Large-Scale Storage"/>
    <s v="JMADIGA"/>
    <d v="2016-05-25T12:36:26"/>
    <n v="362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0"/>
    <s v="AWD"/>
    <s v="CONT"/>
    <s v="CONT"/>
    <s v="CCF"/>
    <s v="1748585"/>
    <s v="I"/>
    <s v="eJ"/>
    <s v="1748585"/>
    <s v="1748585"/>
    <x v="0"/>
    <s v="01"/>
    <n v="142413"/>
    <n v="298202"/>
    <s v="Koyluoglu"/>
    <s v="Onur Ozan"/>
    <s v="U of Cal Berkeley"/>
    <s v="7924 7935"/>
    <s v="7924 7935"/>
    <s v="Continuing grant"/>
    <s v="Proposal Awarded"/>
    <m/>
    <s v="CIF: Medium: Collaborative Research: Frontiers in coding for cloud storage systems"/>
    <s v="ISATTLE"/>
    <d v="2017-08-31T14:02:26"/>
    <n v="363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5-573"/>
    <x v="2"/>
    <x v="0"/>
    <s v="AWD"/>
    <s v="CONT"/>
    <s v="CONT"/>
    <s v="CCF"/>
    <s v="1748585"/>
    <s v="I"/>
    <s v="eJ"/>
    <s v="1748585"/>
    <s v="1748585"/>
    <x v="5"/>
    <s v="01"/>
    <n v="155789"/>
    <n v="298202"/>
    <s v="Koyluoglu"/>
    <s v="Onur Ozan"/>
    <s v="U of Cal Berkeley"/>
    <s v="7924 7935"/>
    <s v="7924 7935"/>
    <s v="Continuing grant"/>
    <s v="Proposal Awarded"/>
    <s v="Pending FAS commitment"/>
    <s v="CIF: Medium: Collaborative Research: Frontiers in coding for cloud storage systems"/>
    <s v="ISATTLE"/>
    <d v="2017-08-31T14:02:26"/>
    <n v="363"/>
  </r>
  <r>
    <d v="2017-09-14T09:43:06"/>
    <d v="2013-08-23T08:32:53"/>
    <d v="2013-08-26T08:11:49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7"/>
    <s v="I"/>
    <s v="eJ"/>
    <s v="1302456"/>
    <s v="1358527"/>
    <x v="10"/>
    <s v="01"/>
    <n v="185806"/>
    <n v="185806"/>
    <s v="Dasgupta"/>
    <s v="Soura"/>
    <s v="University of Iowa"/>
    <s v="7924 7937"/>
    <s v="7924 7935"/>
    <s v="Continuing grant"/>
    <s v="Proposal Awarded"/>
    <m/>
    <s v="CIF: Medium: Collaborative Research: Distributed coherence: fundamental building blocks, system concepts, and experimental demonstration"/>
    <s v="JROBEY"/>
    <d v="2013-08-28T12:29:01"/>
    <n v="364"/>
  </r>
  <r>
    <d v="2017-09-14T09:43:06"/>
    <d v="2013-08-23T08:32:55"/>
    <d v="2013-08-26T08:12:35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9"/>
    <s v="I"/>
    <s v="eJ"/>
    <s v="1302114"/>
    <s v="1358529"/>
    <x v="10"/>
    <s v="01"/>
    <n v="108634"/>
    <n v="108634"/>
    <s v="Madhow"/>
    <s v="Upamanyu"/>
    <s v="U of Cal Santa Barbara"/>
    <s v="7924 7937"/>
    <s v="7924 7937"/>
    <s v="Continuing grant"/>
    <s v="Proposal Awarded"/>
    <m/>
    <s v="CIF: Medium: Collaborative Research: Distributed coherence: fundamental building blocks, system concepts, and experimental demonstration"/>
    <s v="JROBEY"/>
    <d v="2013-08-29T10:51:50"/>
    <n v="365"/>
  </r>
  <r>
    <d v="2017-09-14T09:43:06"/>
    <d v="2013-08-23T08:32:54"/>
    <d v="2013-08-26T08:12:1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8"/>
    <s v="I"/>
    <s v="eJ"/>
    <s v="1302104"/>
    <s v="1358528"/>
    <x v="10"/>
    <s v="01"/>
    <n v="113727"/>
    <n v="113727"/>
    <s v="Brown"/>
    <s v="Donald"/>
    <s v="Worcester Polytech Inst"/>
    <s v="7924 7937"/>
    <s v="7924 7935"/>
    <s v="Continuing grant"/>
    <s v="Proposal Awarded"/>
    <m/>
    <s v="Distributed coherence: fundamental building blocks, system concepts, and experimental demonstration"/>
    <s v="JROBEY"/>
    <d v="2013-08-29T11:15:02"/>
    <n v="366"/>
  </r>
  <r>
    <d v="2017-09-14T09:43:06"/>
    <d v="2015-08-13T15:14:15"/>
    <d v="2015-08-24T14:34:47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18"/>
    <s v="I"/>
    <s v="eJ"/>
    <s v="1409422"/>
    <s v="1558618"/>
    <x v="2"/>
    <s v="01"/>
    <n v="192614"/>
    <n v="192614"/>
    <s v="Rozell"/>
    <s v="Christopher"/>
    <s v="Georgia Tech Research Corp"/>
    <s v="7936"/>
    <s v="7936"/>
    <s v="Continuing grant"/>
    <s v="Proposal Awarded"/>
    <m/>
    <s v="CIF: Medium: Collaborative Research: Tracking low-dimensional information in data streams and dynamical systems"/>
    <s v="LFUQUA"/>
    <d v="2015-09-04T09:25:33"/>
    <n v="367"/>
  </r>
  <r>
    <d v="2017-09-14T09:43:06"/>
    <d v="2015-08-13T15:15:55"/>
    <d v="2015-08-24T14:35:36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20"/>
    <s v="I"/>
    <s v="eJ"/>
    <s v="1409258"/>
    <s v="1558620"/>
    <x v="2"/>
    <s v="01"/>
    <n v="183150"/>
    <n v="183150"/>
    <s v="Wakin"/>
    <s v="Michael"/>
    <s v="Colorado School of Mines"/>
    <s v="7936"/>
    <s v="7936"/>
    <s v="Continuing grant"/>
    <s v="Proposal Awarded"/>
    <m/>
    <s v="CIF: Medium: Collaborative Research: Tracking low-dimensional information in data streams and dynamical systems"/>
    <s v="LFUQUA"/>
    <d v="2015-09-04T09:27:01"/>
    <n v="368"/>
  </r>
  <r>
    <d v="2017-09-14T09:43:06"/>
    <d v="2015-08-13T15:13:23"/>
    <d v="2015-08-20T08:51:2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7"/>
    <s v="I"/>
    <s v="eJ"/>
    <s v="1150212"/>
    <s v="1558617"/>
    <x v="2"/>
    <s v="01"/>
    <n v="86634"/>
    <n v="86634"/>
    <s v="Dolecek"/>
    <s v="Lara"/>
    <s v="U of Cal Los Angeles"/>
    <s v="7935"/>
    <s v="7935"/>
    <s v="Continuing grant"/>
    <s v="Proposal Awarded"/>
    <m/>
    <s v="CAREER: Channel Coding Paradigms for Next-Generation Storage Systems"/>
    <s v="LFUQUA"/>
    <d v="2015-09-04T08:06:53"/>
    <n v="369"/>
  </r>
  <r>
    <d v="2017-09-14T09:43:06"/>
    <d v="2015-08-13T15:14:57"/>
    <d v="2015-08-20T08:52:0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9"/>
    <s v="I"/>
    <s v="eJ"/>
    <s v="1149495"/>
    <s v="1558619"/>
    <x v="2"/>
    <s v="01"/>
    <n v="102250"/>
    <n v="102250"/>
    <s v="Venkitasubramaniam"/>
    <s v="Parvathinathan"/>
    <s v="Lehigh University"/>
    <s v="7935"/>
    <s v="7935"/>
    <s v="Continuing grant"/>
    <s v="Proposal Awarded"/>
    <m/>
    <s v="CAREER: CIF: Anonymous Networking with Guaranteed Quality of Service: Towards a Theoretical Foundation"/>
    <s v="LFUQUA"/>
    <d v="2015-09-04T08:07:51"/>
    <n v="370"/>
  </r>
  <r>
    <d v="2017-09-14T09:43:06"/>
    <d v="2016-09-14T16:27:29"/>
    <d v="2016-09-19T07:53:03"/>
    <s v="05010000"/>
    <s v="05010000"/>
    <s v="7797 - COMM &amp; INFORMATION FOUNDATIONS"/>
    <s v="7797 - COMM &amp; INFORMATION FOUNDATIONS"/>
    <s v="RIBROWN"/>
    <s v="JCOZZEN"/>
    <s v="4110"/>
    <s v="4110"/>
    <s v=""/>
    <x v="4"/>
    <x v="0"/>
    <s v="AWD"/>
    <s v="CONT"/>
    <s v="CONT"/>
    <s v="CCF"/>
    <s v="1662322"/>
    <s v="I"/>
    <s v="eJ"/>
    <s v="1513373"/>
    <s v="1662322"/>
    <x v="0"/>
    <s v="01"/>
    <n v="240492"/>
    <n v="240492"/>
    <s v="Moustakides"/>
    <s v="George"/>
    <s v="Rutgers Univ New Brunswick"/>
    <s v="7797 7924"/>
    <s v="7797 7924"/>
    <s v="Continuing grant"/>
    <s v="Proposal Awarded"/>
    <m/>
    <s v="CIF: Medium: Collaborative Research: Quickest Change Detection Techniques with Signal Processing Applications"/>
    <s v="JMADIGA"/>
    <d v="2016-09-19T11:49:53"/>
    <n v="371"/>
  </r>
  <r>
    <d v="2017-09-14T09:43:06"/>
    <d v="2014-07-18T00:00:00"/>
    <d v="2014-07-24T09:5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29"/>
    <s v="I"/>
    <s v="eJ"/>
    <s v="0939370"/>
    <s v="1452429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4:07:58"/>
    <n v="372"/>
  </r>
  <r>
    <d v="2017-09-14T09:43:06"/>
    <d v="2014-07-18T00:00:00"/>
    <d v="2014-07-24T09:58:3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30"/>
    <s v="I"/>
    <s v="eJ"/>
    <s v="0939370"/>
    <s v="145243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2:18"/>
    <n v="373"/>
  </r>
  <r>
    <d v="2017-09-14T09:43:06"/>
    <d v="2014-07-21T00:00:00"/>
    <d v="2014-07-24T09:59:3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196"/>
    <s v="I"/>
    <s v="eJ"/>
    <s v="0939370"/>
    <s v="1453196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3:38"/>
    <n v="374"/>
  </r>
  <r>
    <d v="2017-09-14T09:43:06"/>
    <d v="2014-07-21T00:00:00"/>
    <d v="2014-07-24T10:3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200"/>
    <s v="I"/>
    <s v="eJ"/>
    <s v="0939370"/>
    <s v="145320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4:30"/>
    <n v="375"/>
  </r>
  <r>
    <d v="2017-09-14T09:43:06"/>
    <d v="2016-07-11T00:00:00"/>
    <d v="2016-07-14T12:35:3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5"/>
    <s v="I"/>
    <s v="eJ"/>
    <s v="0939370"/>
    <s v="1650555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08:28:56"/>
    <n v="376"/>
  </r>
  <r>
    <d v="2017-09-14T09:43:06"/>
    <d v="2016-07-11T00:00:00"/>
    <d v="2016-07-14T12:45:0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6"/>
    <s v="I"/>
    <s v="eJ"/>
    <s v="0939370"/>
    <s v="1650556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14:29:24"/>
    <n v="377"/>
  </r>
  <r>
    <d v="2017-09-14T09:43:06"/>
    <d v="2016-07-11T00:00:00"/>
    <d v="2016-07-28T12:18:08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7"/>
    <s v="I"/>
    <s v="eJ"/>
    <s v="0939370"/>
    <s v="1650557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5T12:21:32"/>
    <n v="378"/>
  </r>
  <r>
    <d v="2017-09-14T09:43:06"/>
    <d v="2016-07-11T00:00:00"/>
    <d v="2016-07-14T12:30:4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8"/>
    <s v="I"/>
    <s v="eJ"/>
    <s v="0939370"/>
    <s v="1650558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19T11:28:43"/>
    <n v="379"/>
  </r>
  <r>
    <d v="2017-09-14T09:43:06"/>
    <d v="2015-07-28T00:00:00"/>
    <d v="2015-07-29T12:33:08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7"/>
    <s v="I"/>
    <s v="eJ"/>
    <s v="0939370"/>
    <s v="1555617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8-27T11:48:46"/>
    <n v="380"/>
  </r>
  <r>
    <d v="2017-09-14T09:43:06"/>
    <d v="2015-07-28T00:00:00"/>
    <d v="2015-07-29T12:34:1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9"/>
    <s v="I"/>
    <s v="eJ"/>
    <s v="0939370"/>
    <s v="1555619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46:45"/>
    <n v="381"/>
  </r>
  <r>
    <d v="2017-09-14T09:43:06"/>
    <d v="2015-07-28T00:00:00"/>
    <d v="2015-07-29T12:35:3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20"/>
    <s v="I"/>
    <s v="eJ"/>
    <s v="0939370"/>
    <s v="1555620"/>
    <x v="2"/>
    <s v="01"/>
    <n v="16000"/>
    <n v="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50:00"/>
    <n v="382"/>
  </r>
  <r>
    <d v="2017-09-14T09:43:06"/>
    <d v="2016-07-11T00:00:00"/>
    <d v="2016-07-28T12:16:53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650552"/>
    <s v="I"/>
    <s v="eJ"/>
    <s v="0939370"/>
    <s v="1650552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2T10:19:05"/>
    <n v="383"/>
  </r>
  <r>
    <d v="2017-09-14T09:43:06"/>
    <d v="2016-07-11T00:00:00"/>
    <d v="2016-07-28T12:17:33"/>
    <s v="05010000"/>
    <s v="05010000"/>
    <s v="8005 - STCs - 2010 Class"/>
    <s v="7797 - COMM &amp; INFORMATION FOUNDATIONS"/>
    <s v="JCOZZEN"/>
    <s v="JCOZZEN"/>
    <s v="4110"/>
    <s v="4110"/>
    <s v="NSF 16-1"/>
    <x v="1"/>
    <x v="0"/>
    <s v="AWD"/>
    <s v="CAGR"/>
    <s v="CAGR"/>
    <s v="CCF"/>
    <s v="1650553"/>
    <s v="I"/>
    <s v="eJ"/>
    <s v="0939370"/>
    <s v="1650553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3T16:10:52"/>
    <n v="384"/>
  </r>
  <r>
    <d v="2017-09-14T09:43:06"/>
    <d v="2015-07-10T17:14:00"/>
    <d v="2016-02-18T08:31:45"/>
    <s v="03040000"/>
    <s v="05010000"/>
    <s v="1263 - PROBABILITY"/>
    <s v="7797 - COMM &amp; INFORMATION FOUNDATIONS"/>
    <s v="FVIENS"/>
    <s v="PREGALI"/>
    <s v="4160"/>
    <s v="4160"/>
    <s v="NSF 10-578"/>
    <x v="0"/>
    <x v="0"/>
    <s v="CLOS"/>
    <s v="STND"/>
    <s v="STND"/>
    <s v="DMS"/>
    <s v="1551486"/>
    <s v="I"/>
    <s v="eJ"/>
    <s v="1551486"/>
    <s v="1551486"/>
    <x v="0"/>
    <s v="03"/>
    <n v="5000"/>
    <n v="49005"/>
    <s v="Williams"/>
    <s v="Ruth"/>
    <s v="U of Cal San Diego"/>
    <s v="7556"/>
    <s v="7556 9263"/>
    <s v="Standard Grant"/>
    <s v="Award Closed"/>
    <m/>
    <s v="Stochastic Networks Conference 2016"/>
    <s v="DMARTIN"/>
    <d v="2016-03-02T11:30:35"/>
    <n v="385"/>
  </r>
  <r>
    <d v="2017-09-14T09:43:06"/>
    <d v="2015-11-03T14:24:00"/>
    <d v="2015-12-10T08:55:59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611969"/>
    <s v="I"/>
    <s v="eJ"/>
    <s v="1611969"/>
    <s v="1611969"/>
    <x v="0"/>
    <s v="01"/>
    <n v="10000"/>
    <n v="20000"/>
    <s v="Verdu"/>
    <s v="Sergio"/>
    <s v="Princeton University"/>
    <s v="7556"/>
    <s v="7556"/>
    <s v="Standard Grant"/>
    <s v="Award Closed"/>
    <m/>
    <s v="2016 IEEE International Symposium on Information Theory Student Travel Support"/>
    <s v="VLRICHA"/>
    <d v="2015-12-14T14:19:49"/>
    <n v="386"/>
  </r>
  <r>
    <d v="2017-09-14T09:43:06"/>
    <d v="2014-01-03T11:42:00"/>
    <d v="2014-02-18T17:31:53"/>
    <s v="05010000"/>
    <s v="05010000"/>
    <s v="7797 - COMM &amp; INFORMATION FOUNDATIONS"/>
    <s v="7797 - COMM &amp; INFORMATION FOUNDATIONS"/>
    <s v="JCOZZEN"/>
    <s v="JCOZZEN"/>
    <s v="4160"/>
    <s v="4160"/>
    <s v="NSF 13-579"/>
    <x v="0"/>
    <x v="0"/>
    <s v="CLOS"/>
    <s v="STND"/>
    <s v="STND"/>
    <s v="CCF"/>
    <s v="1419742"/>
    <s v="I"/>
    <s v="eJ"/>
    <s v="1419742"/>
    <s v="1419742"/>
    <x v="1"/>
    <s v="01"/>
    <n v="12500"/>
    <n v="10000"/>
    <s v="Djuric"/>
    <s v="Petar"/>
    <s v="SUNY Stony Brook"/>
    <s v="7936"/>
    <s v="7936"/>
    <s v="Standard Grant"/>
    <s v="Award Closed"/>
    <m/>
    <s v="Travel Support for Student Participation in the 2014 IEEE International Conference on Acoustics, Speech and Signal Processing"/>
    <s v="JROBEY"/>
    <d v="2014-02-24T12:11:10"/>
    <n v="387"/>
  </r>
  <r>
    <d v="2017-09-14T09:43:06"/>
    <d v="2014-03-04T17:23:00"/>
    <d v="2014-06-12T11:26:16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439725"/>
    <s v="I"/>
    <s v="eJ"/>
    <s v="1439725"/>
    <s v="1439725"/>
    <x v="1"/>
    <s v="01"/>
    <n v="200000"/>
    <n v="200000"/>
    <s v="Ramchandran"/>
    <s v="Kannan"/>
    <s v="U of Cal Berkeley"/>
    <s v="7916 7936"/>
    <s v="7916 7936"/>
    <s v="Standard Grant"/>
    <s v="Award Closed"/>
    <m/>
    <s v="EAGER: Ultra-FFAST Alias Codes for Sparse Spectrum Estimation: Next Generation Compressed Sensing"/>
    <s v="JROBEY"/>
    <d v="2014-06-16T10:09:48"/>
    <n v="388"/>
  </r>
  <r>
    <d v="2017-09-14T09:43:06"/>
    <d v="2014-02-13T14:49:00"/>
    <d v="2014-03-31T15:42:50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4211"/>
    <s v="I"/>
    <s v="eJ"/>
    <s v="1434211"/>
    <s v="1434211"/>
    <x v="1"/>
    <s v="01"/>
    <n v="10000"/>
    <n v="20000"/>
    <s v="Veeravalli"/>
    <s v="Venugopal"/>
    <s v="U of Ill Urbana-Champaign"/>
    <s v="7935"/>
    <s v="7935"/>
    <s v="Standard Grant"/>
    <s v="Award Closed"/>
    <m/>
    <s v="IF: Student Travel Support for the 2014 IEEE International Symposium on Information Theory"/>
    <s v="JROBEY"/>
    <d v="2014-04-09T09:11:18"/>
    <n v="389"/>
  </r>
  <r>
    <d v="2017-09-14T09:43:06"/>
    <d v="2016-05-18T10:55:00"/>
    <d v="2016-05-19T12:28:36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CLOS"/>
    <s v="STND"/>
    <s v="STND"/>
    <s v="CCF"/>
    <s v="1644333"/>
    <s v="I"/>
    <s v="eJ"/>
    <s v="1644333"/>
    <s v="1644333"/>
    <x v="0"/>
    <s v="01"/>
    <n v="10000"/>
    <n v="10000"/>
    <s v="Ortega"/>
    <s v="Antonio"/>
    <s v="U of Southern California"/>
    <s v="7556 7936"/>
    <s v="7556 7936"/>
    <s v="Standard Grant"/>
    <s v="Award Closed"/>
    <m/>
    <s v="Workshop on Graph Signal Processing: Student Travel Support"/>
    <s v="JMADIGA"/>
    <d v="2016-06-11T16:15:43"/>
    <n v="390"/>
  </r>
  <r>
    <d v="2017-09-14T09:43:06"/>
    <d v="2015-01-20T12:55:00"/>
    <d v="2015-02-12T16:21:31"/>
    <s v="05010000"/>
    <s v="05010000"/>
    <s v="7797 - COMM &amp; INFORMATION FOUNDATIONS"/>
    <s v="7797 - COMM &amp; INFORMATION FOUNDATIONS"/>
    <s v="PREGALI"/>
    <s v="PREGALI"/>
    <s v="4110"/>
    <s v="4110"/>
    <s v="NSF 14-1"/>
    <x v="0"/>
    <x v="0"/>
    <s v="CLOS"/>
    <s v="STND"/>
    <s v="STND"/>
    <s v="CCF"/>
    <s v="1530587"/>
    <s v="I"/>
    <s v="eJ"/>
    <s v="1530587"/>
    <s v="1530587"/>
    <x v="2"/>
    <s v="01"/>
    <n v="10000"/>
    <n v="20000"/>
    <s v="Tse"/>
    <s v="David"/>
    <s v="Stanford University"/>
    <m/>
    <m/>
    <s v="Standard Grant"/>
    <s v="Award Closed"/>
    <m/>
    <s v="CIF: Student Travel Support for the 2015 IEEE International Symposium on Information Theory"/>
    <s v="LFUQUA"/>
    <d v="2015-03-06T08:12:06"/>
    <n v="391"/>
  </r>
  <r>
    <d v="2017-09-14T09:43:06"/>
    <d v="2015-01-09T10:00:00"/>
    <d v="2015-02-09T17:33:12"/>
    <s v="05050000"/>
    <s v="05010000"/>
    <s v="7363 - RES IN NETWORKING TECH &amp; SYS"/>
    <s v="7797 - COMM &amp; INFORMATION FOUNDATIONS"/>
    <s v="TNANDAG"/>
    <s v="PREGALI"/>
    <s v="4160"/>
    <s v="4160"/>
    <s v="NSF 14-1"/>
    <x v="0"/>
    <x v="0"/>
    <s v="CLOS"/>
    <s v="STND"/>
    <s v="STND"/>
    <s v="CNS"/>
    <s v="1523972"/>
    <s v="I"/>
    <s v="eJ"/>
    <s v="1523972"/>
    <s v="1523972"/>
    <x v="2"/>
    <s v="02"/>
    <n v="37500"/>
    <n v="75000"/>
    <s v="Modiano"/>
    <s v="Eytan"/>
    <s v="MIT"/>
    <s v="7556"/>
    <s v="7556"/>
    <s v="Standard Grant"/>
    <s v="Award Closed"/>
    <m/>
    <s v="Workshop on low latency wireless networks"/>
    <s v="DCOATES"/>
    <d v="2015-02-12T16:31:59"/>
    <n v="392"/>
  </r>
  <r>
    <d v="2017-09-14T09:43:06"/>
    <d v="2014-01-28T16:17:00"/>
    <d v="2014-05-08T11:10:59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0414"/>
    <s v="I"/>
    <s v="eJ"/>
    <s v="1430414"/>
    <s v="1430414"/>
    <x v="1"/>
    <s v="01"/>
    <n v="10000"/>
    <n v="20000"/>
    <s v="Yener"/>
    <s v="Aylin"/>
    <s v="PA St U University Park"/>
    <s v="7935"/>
    <s v="7935"/>
    <s v="Standard Grant"/>
    <s v="Award Closed"/>
    <m/>
    <s v="CIF: Support for the 2014 IEEE North American School for Information Theory"/>
    <s v="JROBEY"/>
    <d v="2014-05-09T15:33:59"/>
    <n v="393"/>
  </r>
  <r>
    <d v="2017-09-14T09:43:06"/>
    <d v="2014-01-14T10:21:00"/>
    <d v="2014-07-21T13:14:2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496"/>
    <s v="I"/>
    <s v="eJ"/>
    <s v="1421496"/>
    <s v="1421496"/>
    <x v="1"/>
    <s v="01"/>
    <n v="150000"/>
    <n v="499559"/>
    <s v="Yazici"/>
    <s v="Birsen"/>
    <s v="Rensselaer Polytech Inst"/>
    <s v="7923 7936"/>
    <s v="7923 7936"/>
    <s v="Standard Grant"/>
    <s v="Award Closed"/>
    <m/>
    <s v="CIF: Small: Theory, Methods and Algorithms for Synthetic Aperture Interferometry Using Ultra-Narrowband Waveforms"/>
    <s v="LFUQUA"/>
    <d v="2014-08-21T14:10:11"/>
    <n v="394"/>
  </r>
  <r>
    <d v="2017-09-14T09:43:06"/>
    <d v="2014-01-14T13:54:00"/>
    <d v="2014-07-14T12:24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090"/>
    <s v="N"/>
    <s v="eJ"/>
    <s v="1422129"/>
    <s v="1422129"/>
    <x v="1"/>
    <s v="01"/>
    <n v="120000"/>
    <n v="250000"/>
    <s v="Ulukus"/>
    <s v="Sennur"/>
    <s v="U of MD College Park"/>
    <s v="7923 7935"/>
    <s v="7923 7935"/>
    <s v="Standard Grant"/>
    <s v="Award Closed"/>
    <m/>
    <s v="CIF: Small: Collaborative Research: Synergistic Exploitation of Network Dynamics and Knowledge Heterogeneity in Wireless Networks"/>
    <s v="LFUQUA"/>
    <d v="2014-07-28T12:28:37"/>
    <n v="395"/>
  </r>
  <r>
    <d v="2017-09-14T09:43:06"/>
    <d v="2014-02-14T14:50:00"/>
    <d v="2014-03-31T15:45:46"/>
    <s v="05010000"/>
    <s v="05010000"/>
    <s v="7797 - COMM &amp; INFORMATION FOUNDATIONS"/>
    <s v="7797 - COMM &amp; INFORMATION FOUNDATIONS"/>
    <s v="PREGALI"/>
    <s v="PREGALI"/>
    <s v="4110"/>
    <s v="4110"/>
    <s v="NSF 13-1"/>
    <x v="0"/>
    <x v="0"/>
    <s v="CLOS"/>
    <s v="STND"/>
    <s v="STND"/>
    <s v="CCF"/>
    <s v="1434600"/>
    <s v="I"/>
    <s v="eJ"/>
    <s v="1434600"/>
    <s v="1434600"/>
    <x v="1"/>
    <s v="01"/>
    <n v="79641"/>
    <n v="79651"/>
    <s v="Host-Madsen"/>
    <s v="Anders"/>
    <s v="U of Hawaii"/>
    <s v="7916 9150"/>
    <s v="7916 9150"/>
    <s v="Standard Grant"/>
    <s v="Award Closed"/>
    <m/>
    <s v="CIF:EAGER:Information Theory Approaches for finding Atypical Sequences"/>
    <s v="JROBEY"/>
    <d v="2014-04-03T15:23:52"/>
    <n v="396"/>
  </r>
  <r>
    <d v="2017-09-14T09:43:06"/>
    <d v="2015-03-24T10:11:00"/>
    <d v="2015-04-20T11:52:59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541309"/>
    <s v="I"/>
    <s v="eJ"/>
    <s v="1541309"/>
    <s v="1541309"/>
    <x v="2"/>
    <s v="01"/>
    <n v="12500"/>
    <n v="25000"/>
    <s v="Li"/>
    <s v="Tongtong"/>
    <s v="Michigan State University"/>
    <m/>
    <m/>
    <s v="Standard Grant"/>
    <s v="Award Closed"/>
    <m/>
    <s v="Travel Support for Student Participation in the 2016 IEEE International Conference on Acoustics, Speech and Signal Processing (ICASSP)"/>
    <s v="ISATTLE"/>
    <d v="2015-04-29T15:48:12"/>
    <n v="397"/>
  </r>
  <r>
    <d v="2017-09-14T09:43:06"/>
    <d v="2014-01-14T15:17:00"/>
    <d v="2014-07-14T16:05:5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540"/>
    <s v="I"/>
    <s v="eJ"/>
    <s v="1422540"/>
    <s v="1422540"/>
    <x v="1"/>
    <s v="01"/>
    <n v="149999"/>
    <n v="497586"/>
    <s v="Romberg"/>
    <s v="Justin"/>
    <s v="Georgia Tech Research Corp"/>
    <s v="7923 7936"/>
    <s v="7923 7936"/>
    <s v="Standard Grant"/>
    <s v="Award Closed"/>
    <m/>
    <s v="CIF: Small: Blind Channel Estimation and Solving Bilinear Equations by Lifting and Factoring"/>
    <s v="JROBEY"/>
    <d v="2014-08-19T12:13:26"/>
    <n v="398"/>
  </r>
  <r>
    <d v="2017-09-14T09:43:06"/>
    <d v="2015-06-05T13:00:00"/>
    <d v="2015-07-15T15:58:14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CLOS"/>
    <s v="STND"/>
    <s v="STND"/>
    <s v="CCF"/>
    <s v="1547772"/>
    <s v="I"/>
    <s v="eJ"/>
    <s v="1547772"/>
    <s v="1547772"/>
    <x v="2"/>
    <s v="01"/>
    <n v="10000"/>
    <n v="10000"/>
    <s v="Franceschetti"/>
    <s v="Massimo"/>
    <s v="U of Cal San Diego"/>
    <s v="7936"/>
    <s v="7936"/>
    <s v="Standard Grant"/>
    <s v="Award Closed"/>
    <m/>
    <s v="CIF: Student Travel Support for the North American School on Information Theory"/>
    <s v="VLRICHA"/>
    <d v="2015-07-31T14:27:46"/>
    <n v="399"/>
  </r>
  <r>
    <d v="2017-09-14T09:43:06"/>
    <d v="2015-04-23T13:01:00"/>
    <d v="2015-06-08T08:13:41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543790"/>
    <s v="I"/>
    <s v="eJ"/>
    <s v="1543790"/>
    <s v="1543790"/>
    <x v="2"/>
    <s v="01"/>
    <n v="12500"/>
    <n v="15000"/>
    <s v="Pfister"/>
    <s v="Henry"/>
    <s v="Duke University"/>
    <s v="7935"/>
    <s v="7935"/>
    <s v="Standard Grant"/>
    <s v="Award Closed"/>
    <m/>
    <s v="CIF: Student Travel Support: Workshop on Sensing and Analysis of High-Dimensional Data"/>
    <s v="ISATTLE"/>
    <d v="2015-06-17T17:35:15"/>
    <n v="400"/>
  </r>
  <r>
    <d v="2017-09-14T09:43:06"/>
    <d v="2015-10-06T12:12:00"/>
    <d v="2015-10-21T12:20:32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600711"/>
    <s v="I"/>
    <s v="eJ"/>
    <s v="1600711"/>
    <s v="1600711"/>
    <x v="0"/>
    <s v="01"/>
    <n v="6800"/>
    <n v="6800"/>
    <s v="Pezeshki"/>
    <s v="Ali"/>
    <s v="Colorado State University"/>
    <s v="7556 7936"/>
    <s v="7556 7936"/>
    <s v="Standard Grant"/>
    <s v="Award Closed"/>
    <m/>
    <s v="Forty-six Years of Statistical Signal Processing"/>
    <s v="LFUQUA"/>
    <d v="2015-10-22T08:23:12"/>
    <n v="401"/>
  </r>
  <r>
    <d v="2017-09-14T09:43:06"/>
    <d v="2015-09-22T15:46:00"/>
    <d v="2015-12-04T08:49:13"/>
    <s v="05010000"/>
    <s v="05010000"/>
    <s v="7796 - ALGORITHMIC FOUNDATIONS"/>
    <s v="7797 - COMM &amp; INFORMATION FOUNDATIONS"/>
    <s v="TKIMBRE"/>
    <s v="PREGALI"/>
    <s v="4160"/>
    <s v="4160"/>
    <s v="NSF 15-1"/>
    <x v="0"/>
    <x v="0"/>
    <s v="CLOS"/>
    <s v="STND"/>
    <s v="STND"/>
    <s v="CCF"/>
    <s v="1564968"/>
    <s v="I"/>
    <s v="eJ"/>
    <s v="1564968"/>
    <s v="1564968"/>
    <x v="0"/>
    <s v="03"/>
    <n v="5000"/>
    <n v="20000"/>
    <s v="Rao"/>
    <s v="Anup"/>
    <s v="U of Washington"/>
    <s v="7556 7926"/>
    <m/>
    <s v="Standard Grant"/>
    <s v="Award Closed"/>
    <m/>
    <s v="Travel Support for the Nexus of Information and Computation Theories Program"/>
    <s v="VLRICHA"/>
    <d v="2015-12-08T10:08:01"/>
    <n v="402"/>
  </r>
  <r>
    <d v="2017-09-14T09:43:06"/>
    <d v="2014-10-15T14:10:00"/>
    <d v="2015-01-21T13:44:34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502875"/>
    <s v="I"/>
    <s v="eJ"/>
    <s v="1502875"/>
    <s v="1502875"/>
    <x v="2"/>
    <s v="01"/>
    <n v="150000"/>
    <n v="150000"/>
    <s v="Veeraraghavan"/>
    <s v="Ashok"/>
    <s v="William Marsh Rice Univ"/>
    <s v="7916 7936"/>
    <s v="7916 7936"/>
    <s v="Standard Grant"/>
    <s v="Award Closed"/>
    <m/>
    <s v="EAGER: Fabrication of Thin, Lens-Free Cameras for Visible and SWIR Imaging"/>
    <s v="JROBEY"/>
    <d v="2015-02-02T11:22:14"/>
    <n v="403"/>
  </r>
  <r>
    <d v="2017-09-14T09:43:06"/>
    <d v="2014-01-14T14:18:00"/>
    <d v="2014-07-14T12:27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241"/>
    <s v="I"/>
    <s v="eJ"/>
    <s v="1422241"/>
    <s v="1422241"/>
    <x v="1"/>
    <s v="01"/>
    <n v="122734"/>
    <n v="492578"/>
    <s v="Liu"/>
    <s v="Lingjia"/>
    <s v="U of Kansas Ctr for Res In"/>
    <s v="7923 7935 9150"/>
    <s v="7923 7935 9150"/>
    <s v="Standard Grant"/>
    <s v="Award Closed"/>
    <m/>
    <s v="CIF: Small: Fundamentals of Energy-Efficiency in Delay-SensitiveWireless Communications"/>
    <s v="LFUQUA"/>
    <d v="2014-07-28T12:29:30"/>
    <n v="404"/>
  </r>
  <r>
    <d v="2017-09-14T09:43:06"/>
    <d v="2014-01-14T16:23:00"/>
    <d v="2014-07-23T15:28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L"/>
    <s v="eJ"/>
    <s v="1422966"/>
    <s v="1422966"/>
    <x v="1"/>
    <s v="01"/>
    <n v="75000"/>
    <n v="250000"/>
    <s v="Chi"/>
    <s v="Yuejie"/>
    <s v="Ohio State University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2"/>
    <n v="405"/>
  </r>
  <r>
    <d v="2017-09-14T09:43:06"/>
    <d v="2013-08-20T16:13:00"/>
    <d v="2013-11-05T15:01:58"/>
    <s v="07010000"/>
    <s v="05010000"/>
    <s v="7564 - COMMS, CIRCUITS &amp; SENS SYS"/>
    <s v="7797 - COMM &amp; INFORMATION FOUNDATIONS"/>
    <s v="ZTIAN"/>
    <s v="PREGALI"/>
    <s v="4160"/>
    <s v="4160"/>
    <s v="NSF 13-1"/>
    <x v="0"/>
    <x v="0"/>
    <s v="CLOS"/>
    <s v="STND"/>
    <s v="STND"/>
    <s v="ECCS"/>
    <s v="1358182"/>
    <s v="I"/>
    <s v="eJ"/>
    <s v="1358182"/>
    <s v="1358182"/>
    <x v="1"/>
    <s v="02"/>
    <n v="25000"/>
    <n v="50000"/>
    <s v="Dhople"/>
    <s v="Sairaj"/>
    <s v="U of Minnesota-Twin Cities"/>
    <s v="153E 155E 7935"/>
    <s v="7935"/>
    <s v="Standard Grant"/>
    <s v="Award Closed"/>
    <m/>
    <s v="Workshop on Control, Computing, and Signal Processing Challenges in Future Power Systems.  To be Held in Arlington,VA November, 14-16, 2013"/>
    <s v="JROBEY"/>
    <d v="2013-11-14T08:53:27"/>
    <n v="406"/>
  </r>
  <r>
    <d v="2017-09-14T09:43:06"/>
    <d v="2014-01-14T16:36:00"/>
    <d v="2014-07-23T15:28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N"/>
    <s v="eJ"/>
    <s v="1423088"/>
    <s v="1423088"/>
    <x v="1"/>
    <s v="01"/>
    <n v="75000"/>
    <n v="250000"/>
    <s v="Wu"/>
    <s v="Yihong"/>
    <s v="U of Ill Urbana-Champaign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4"/>
    <n v="407"/>
  </r>
  <r>
    <d v="2017-09-14T09:43:06"/>
    <d v="2014-01-14T12:58:00"/>
    <d v="2014-07-14T15:50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919"/>
    <s v="I"/>
    <s v="eJ"/>
    <s v="1421919"/>
    <s v="1421919"/>
    <x v="1"/>
    <s v="01"/>
    <n v="150000"/>
    <n v="500000"/>
    <s v="Sandryhaila"/>
    <s v="Aliaksei"/>
    <s v="Carnegie Mellon University"/>
    <s v="7923 7936"/>
    <s v="7923 7936"/>
    <s v="Standard Grant"/>
    <s v="Award Closed"/>
    <m/>
    <s v="CIF: Small: Multiresolution Analysis of Graphs"/>
    <s v="JROBEY"/>
    <d v="2014-08-20T08:29:57"/>
    <n v="408"/>
  </r>
  <r>
    <d v="2017-09-14T09:43:06"/>
    <d v="2014-09-24T12:03:00"/>
    <d v="2015-01-23T11:14:22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CLOS"/>
    <s v="STND"/>
    <s v="STND"/>
    <s v="CCF"/>
    <s v="1464205"/>
    <s v="I"/>
    <s v="eJ"/>
    <s v="1464205"/>
    <s v="1464205"/>
    <x v="2"/>
    <s v="01"/>
    <n v="175000"/>
    <n v="175000"/>
    <s v="Tang"/>
    <s v="Gongguo"/>
    <s v="Colorado School of Mines"/>
    <s v="7936 8228"/>
    <s v="7936 8228"/>
    <s v="Standard Grant"/>
    <s v="Award Closed"/>
    <m/>
    <s v="CRII: CIF: Measure Estimation from Moments: Theory, Algorithms, and Applications"/>
    <s v="JROBEY"/>
    <d v="2015-02-02T12:54:32"/>
    <n v="409"/>
  </r>
  <r>
    <d v="2017-09-14T09:43:06"/>
    <d v="2016-03-22T00:00:00"/>
    <d v="2016-05-17T10:25:31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CLOS"/>
    <s v="STND"/>
    <s v="STND"/>
    <s v="CCF"/>
    <s v="1639234"/>
    <s v="I"/>
    <s v="eJ"/>
    <s v="1162501"/>
    <s v="1639234"/>
    <x v="0"/>
    <s v="01"/>
    <n v="10000"/>
    <n v="10000"/>
    <s v="Wesel"/>
    <s v="Richard"/>
    <s v="U of Cal Los Angeles"/>
    <s v="7797 9251"/>
    <s v="7797 9251"/>
    <s v="Standard Grant"/>
    <s v="Award Closed"/>
    <m/>
    <s v="Collaborative Research: Code Design and Analysis to Approach Capacity with Short Blocklengths Using Feedback"/>
    <s v="ISATTLE"/>
    <d v="2016-06-01T16:08:56"/>
    <n v="410"/>
  </r>
  <r>
    <d v="2017-09-14T09:43:06"/>
    <d v="2015-02-09T00:00:00"/>
    <d v="2015-03-30T14:55:07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535908"/>
    <s v="I"/>
    <s v="eJ"/>
    <s v="0963726"/>
    <s v="1535908"/>
    <x v="2"/>
    <s v="01"/>
    <n v="8000"/>
    <n v="0"/>
    <s v="Vasic"/>
    <s v="Bane"/>
    <s v="U of Arizona"/>
    <s v="7935 9251"/>
    <s v="7924 7935 9251"/>
    <s v="Standard Grant"/>
    <s v="Award Closed"/>
    <m/>
    <s v="CIF: Medium: Iterative Decoding Beyond Belief Propagation"/>
    <s v="VLRICHA"/>
    <d v="2015-04-14T13:51:15"/>
    <n v="411"/>
  </r>
  <r>
    <d v="2017-09-14T09:43:06"/>
    <d v="2014-04-10T00:00:00"/>
    <d v="2014-05-01T13:05:53"/>
    <s v="05010000"/>
    <s v="05010000"/>
    <s v="7797 - COMM &amp; INFORMATION FOUNDATIONS"/>
    <s v="7797 - COMM &amp; INFORMATION FOUNDATIONS"/>
    <s v="PREGALI"/>
    <s v="JCOZZEN"/>
    <s v="4110"/>
    <s v="4110"/>
    <s v=""/>
    <x v="1"/>
    <x v="0"/>
    <s v="CLOS"/>
    <s v="STND"/>
    <s v="STND"/>
    <s v="CCF"/>
    <s v="1443101"/>
    <s v="I"/>
    <s v="eJ"/>
    <s v="0964497"/>
    <s v="1443101"/>
    <x v="1"/>
    <s v="01"/>
    <n v="40000"/>
    <n v="40000"/>
    <s v="Rubenstein"/>
    <s v="Dan"/>
    <s v="Columbia University"/>
    <s v="9251"/>
    <s v="9251"/>
    <s v="Standard Grant"/>
    <s v="Award Closed"/>
    <m/>
    <s v="NetSE: Medium: Energy Harvesting Active Networked Tags (EnHANTs)"/>
    <s v="JROBEY"/>
    <d v="2014-05-27T11:30:59"/>
    <n v="412"/>
  </r>
  <r>
    <d v="2017-09-14T09:43:06"/>
    <d v="2014-06-10T00:00:00"/>
    <d v="2014-06-17T10:32:0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448237"/>
    <s v="I"/>
    <s v="eJ"/>
    <s v="1217619"/>
    <s v="1448237"/>
    <x v="1"/>
    <s v="01"/>
    <n v="7200"/>
    <n v="7200"/>
    <s v="Javidi"/>
    <s v="Tara"/>
    <s v="U of Cal San Diego"/>
    <s v="7935 9251"/>
    <s v="7935 9150"/>
    <s v="Standard Grant"/>
    <s v="Award Closed"/>
    <m/>
    <s v="CIF: Small: Collaborative Research: Inference by Social Sampling"/>
    <s v="DOYOUNG"/>
    <d v="2014-06-19T11:59:44"/>
    <n v="413"/>
  </r>
  <r>
    <d v="2017-09-14T09:43:06"/>
    <d v="2014-03-04T00:00:00"/>
    <d v="2014-05-08T09:46:09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39652"/>
    <s v="I"/>
    <s v="eJ"/>
    <s v="1017278"/>
    <s v="1439652"/>
    <x v="1"/>
    <s v="01"/>
    <n v="8000"/>
    <n v="8000"/>
    <s v="Kovacevic"/>
    <s v="Jelena"/>
    <s v="Carnegie Mellon University"/>
    <s v="9251"/>
    <s v="9251"/>
    <s v="Standard Grant"/>
    <s v="Award Closed"/>
    <m/>
    <s v="CIF:  Small:  Theory of Multiresolution Classification with Bases and Frames"/>
    <s v="DOYOUNG"/>
    <d v="2014-05-09T09:40:22"/>
    <n v="414"/>
  </r>
  <r>
    <d v="2017-09-14T09:43:06"/>
    <d v="2014-04-17T00:00:00"/>
    <d v="2014-05-08T11:3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43872"/>
    <s v="I"/>
    <s v="eJ"/>
    <s v="1117939"/>
    <s v="1443872"/>
    <x v="1"/>
    <s v="01"/>
    <n v="16000"/>
    <n v="16000"/>
    <s v="Veeraraghavan"/>
    <s v="Ashok"/>
    <s v="William Marsh Rice Univ"/>
    <s v="9251"/>
    <s v="9251"/>
    <s v="Standard Grant"/>
    <s v="Award Closed"/>
    <m/>
    <s v="CIF: Small:  Computational Tools for Visual Inference of Complex Materials"/>
    <s v="DOYOUNG"/>
    <d v="2014-05-20T13:42:53"/>
    <n v="415"/>
  </r>
  <r>
    <d v="2017-09-14T09:43:06"/>
    <d v="2014-04-25T00:00:00"/>
    <d v="2014-06-10T08:33:10"/>
    <s v="05010000"/>
    <s v="05010000"/>
    <s v="8211 - CyberSEES"/>
    <s v="7797 - COMM &amp; INFORMATION FOUNDATIONS"/>
    <s v="PREGALI"/>
    <s v="PREGALI"/>
    <s v="4110"/>
    <s v="4110"/>
    <s v=""/>
    <x v="1"/>
    <x v="0"/>
    <s v="CLOS"/>
    <s v="STND"/>
    <s v="STND"/>
    <s v="CCF"/>
    <s v="1444405"/>
    <s v="I"/>
    <s v="eJ"/>
    <s v="1331712"/>
    <s v="1444405"/>
    <x v="1"/>
    <s v="01"/>
    <n v="7204"/>
    <n v="8020"/>
    <s v="Zhang"/>
    <s v="Wei"/>
    <s v="Ohio State University"/>
    <s v="9251"/>
    <s v="9251"/>
    <s v="Standard Grant"/>
    <s v="Award Closed"/>
    <m/>
    <s v="CyberSEES:Type 1: Integrated Management of Data Centers, Electric Grid, and Transportation for Cyber-Enabled Sustainability"/>
    <s v="DOYOUNG"/>
    <d v="2014-06-11T07:15:40"/>
    <n v="416"/>
  </r>
  <r>
    <d v="2017-09-14T09:43:06"/>
    <d v="2014-03-3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441917"/>
    <s v="I"/>
    <s v="eJ"/>
    <s v="1441917"/>
    <s v="1441917"/>
    <x v="9"/>
    <s v="01"/>
    <n v="156840"/>
    <n v="156840"/>
    <s v="Goyal"/>
    <s v="Vivek"/>
    <s v="Boston University"/>
    <m/>
    <s v="7923 7935"/>
    <s v="Standard Grant"/>
    <s v="Award Closed"/>
    <m/>
    <s v="CIF: Small: Quantization for Acquisition and Computation Networks"/>
    <s v="JROBEY"/>
    <d v="2014-04-07T09:58:52"/>
    <n v="417"/>
  </r>
  <r>
    <d v="2017-09-14T09:43:06"/>
    <d v="2015-05-05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545143"/>
    <s v="I"/>
    <s v="eJ"/>
    <s v="1545143"/>
    <s v="1545143"/>
    <x v="4"/>
    <s v="01"/>
    <n v="118694"/>
    <n v="118694"/>
    <s v="Pfister"/>
    <s v="Henry"/>
    <s v="Duke University"/>
    <m/>
    <s v="7923 7936"/>
    <s v="Standard Grant"/>
    <s v="Award Closed"/>
    <m/>
    <s v="CIF: Small: Collaborative Research: Design and Analysis of Novel Compressed Sensing Algorithms via Connections with Coding Theory"/>
    <s v="ISATTLE"/>
    <d v="2015-06-05T12:30:17"/>
    <n v="418"/>
  </r>
  <r>
    <d v="2017-09-14T09:43:06"/>
    <d v="2014-03-07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40001"/>
    <s v="I"/>
    <s v="eJ"/>
    <s v="1440001"/>
    <s v="1440001"/>
    <x v="4"/>
    <s v="01"/>
    <n v="130691"/>
    <n v="130691"/>
    <s v="Kliewer"/>
    <s v="Joerg"/>
    <s v="NJIT"/>
    <m/>
    <s v="7924 7935"/>
    <s v="Standard Grant"/>
    <s v="Award Closed"/>
    <m/>
    <s v="CIF: Medium: Collaborative Research: Spatially Coupled Sparse Codes on Graphs - Theory, Practice, and Extensions"/>
    <s v="JROBEY"/>
    <d v="2014-03-12T09:43:58"/>
    <n v="419"/>
  </r>
  <r>
    <d v="2017-09-14T09:43:06"/>
    <d v="2013-06-14T13:35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346564"/>
    <s v="I"/>
    <s v="eJ"/>
    <s v="1346564"/>
    <s v="1346564"/>
    <x v="9"/>
    <s v="01"/>
    <n v="351672"/>
    <n v="351672"/>
    <s v="Madiman"/>
    <s v="Mokshay"/>
    <s v="University of Delaware"/>
    <m/>
    <s v="7924 7935"/>
    <s v="Standard Grant"/>
    <s v="Award Closed"/>
    <m/>
    <s v="CIF: Medium: Collaborative Research: Information Theory and Statistical Inference from Large-Alphabet Data"/>
    <s v="JROBEY"/>
    <d v="2013-09-12T08:06:53"/>
    <n v="420"/>
  </r>
  <r>
    <d v="2017-09-14T09:43:06"/>
    <d v="2013-05-30T15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344364"/>
    <s v="I"/>
    <s v="eJ"/>
    <s v="1344364"/>
    <s v="1344364"/>
    <x v="4"/>
    <s v="01"/>
    <n v="196560"/>
    <n v="196560"/>
    <s v="Dimakis"/>
    <s v="Georgios-Alex"/>
    <s v="U of Texas Austin"/>
    <m/>
    <s v="7923 7936"/>
    <s v="Standard Grant"/>
    <s v="Award Closed"/>
    <m/>
    <s v="CIF: Small: Collaborative Research: Design and Analysis of Novel Compressed Sensing Algorithms via Connections with Coding Theory"/>
    <s v="JROBEY"/>
    <d v="2013-07-18T11:19:31"/>
    <n v="421"/>
  </r>
  <r>
    <d v="2017-09-14T09:43:06"/>
    <d v="2013-11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08755"/>
    <s v="I"/>
    <s v="eJ"/>
    <s v="1408755"/>
    <s v="1408755"/>
    <x v="4"/>
    <s v="01"/>
    <n v="145697"/>
    <n v="145697"/>
    <s v="Avestimehr"/>
    <s v="Amir"/>
    <s v="U of Southern California"/>
    <s v="7924 7935"/>
    <s v="7924 7935"/>
    <s v="Standard Grant"/>
    <s v="Award Closed"/>
    <m/>
    <s v="CIF:  Medium:  Collaborative Research: Multihop Multiflow Wireless Networks:  A Treasure Hunt"/>
    <s v="JROBEY"/>
    <d v="2013-11-14T08:54:08"/>
    <n v="422"/>
  </r>
  <r>
    <d v="2017-09-14T09:43:06"/>
    <d v="2014-04-15T00:00:00"/>
    <d v="2014-05-01T13:07:3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43538"/>
    <s v="I"/>
    <s v="eJ"/>
    <s v="0844725"/>
    <s v="1443538"/>
    <x v="1"/>
    <s v="01"/>
    <n v="7000"/>
    <n v="7000"/>
    <s v="Pishro-Nik"/>
    <s v="Hossein"/>
    <s v="U of Massachusetts Amherst"/>
    <s v="9251"/>
    <s v="9251"/>
    <s v="Continuing grant"/>
    <s v="Award Closed"/>
    <m/>
    <s v="CAREER: A Theoretical Framework for Vehicular Ad Hoc Networks"/>
    <s v="DOYOUNG"/>
    <d v="2014-05-05T09:42:00"/>
    <n v="423"/>
  </r>
  <r>
    <d v="2017-09-14T09:43:06"/>
    <d v="2014-07-10T00:00:00"/>
    <d v="2014-07-16T11:08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51273"/>
    <s v="I"/>
    <s v="eJ"/>
    <s v="0844725"/>
    <s v="1451273"/>
    <x v="1"/>
    <s v="01"/>
    <n v="13000"/>
    <n v="13000"/>
    <s v="Pishro-Nik"/>
    <s v="Hossein"/>
    <s v="U of Massachusetts Amherst"/>
    <s v="1045 9251"/>
    <s v="1045 9251"/>
    <s v="Continuing grant"/>
    <s v="Award Closed"/>
    <m/>
    <s v="CAREER: A Theoretical Framework for Vehicular Ad Hoc Networks"/>
    <s v="JROBEY"/>
    <d v="2014-07-18T13:32:27"/>
    <n v="424"/>
  </r>
  <r>
    <d v="2017-09-14T09:43:06"/>
    <d v="2015-02-03T00:00:00"/>
    <d v="2015-05-18T12:01:46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535346"/>
    <s v="I"/>
    <s v="eJ"/>
    <s v="0844725"/>
    <s v="1535346"/>
    <x v="2"/>
    <s v="01"/>
    <n v="7000"/>
    <n v="7000"/>
    <s v="Pishro-Nik"/>
    <s v="Hossein"/>
    <s v="U of Massachusetts Amherst"/>
    <s v="7936 9251"/>
    <s v="7936 9251"/>
    <s v="Continuing grant"/>
    <s v="Award Closed"/>
    <m/>
    <s v="CAREER: A Theoretical Framework for Vehicular Ad Hoc Networks"/>
    <s v="VLRICHA"/>
    <d v="2015-05-18T17:38:17"/>
    <n v="425"/>
  </r>
  <r>
    <d v="2017-09-14T09:43:06"/>
    <d v="2015-01-21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9-555"/>
    <x v="2"/>
    <x v="0"/>
    <s v="CLOS"/>
    <s v="CONT"/>
    <s v="CONT"/>
    <s v="CCF"/>
    <s v="1531050"/>
    <s v="I"/>
    <s v="eJ"/>
    <s v="1531050"/>
    <s v="1531050"/>
    <x v="4"/>
    <s v="02"/>
    <n v="98814"/>
    <n v="320541"/>
    <s v="Scaglione"/>
    <s v="Anna"/>
    <s v="Arizona State University"/>
    <m/>
    <s v="9218"/>
    <s v="Continuing grant"/>
    <s v="Award Closed"/>
    <m/>
    <s v="CIF: Large: Collaborative Research:  Cooperation and Learning Over Cognitive Networks"/>
    <s v="ISATTLE"/>
    <d v="2015-06-05T12:26:30"/>
    <n v="426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9"/>
    <s v="01"/>
    <n v="71512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WTRANTE"/>
    <s v="4110"/>
    <s v="4110"/>
    <s v="NSF 08-557"/>
    <x v="2"/>
    <x v="0"/>
    <s v="CLOS"/>
    <s v="CONT"/>
    <s v="CONT"/>
    <s v="CCF"/>
    <s v="1344179"/>
    <s v="I"/>
    <s v="eJ"/>
    <s v="1344179"/>
    <s v="1344179"/>
    <x v="2"/>
    <s v="01"/>
    <n v="96603"/>
    <n v="351432"/>
    <s v="Dimakis"/>
    <s v="Georgios-Alex"/>
    <s v="U of Texas Austin"/>
    <m/>
    <s v="1045 7937 9218 hpcc"/>
    <s v="Continuing grant"/>
    <s v="Award Closed"/>
    <s v="Awarded"/>
    <s v="CAREER: Network Coding Theory for Distributed Storage"/>
    <s v="pregalia"/>
    <d v="2015-06-18T16:19:02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10"/>
    <s v="02"/>
    <n v="183317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4"/>
    <s v="01"/>
    <n v="133820"/>
    <n v="226420"/>
    <s v="Avestimehr"/>
    <s v="Amir"/>
    <s v="U of Southern California"/>
    <s v="1045 1187 7935"/>
    <s v="104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10"/>
    <s v="02"/>
    <n v="92599"/>
    <n v="226420"/>
    <s v="Avestimehr"/>
    <s v="Amir"/>
    <s v="U of Southern California"/>
    <s v="1045 1187 7935"/>
    <s v="1045 793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5-08-13T15:10:39"/>
    <d v="2015-08-20T08:50:21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CLOS"/>
    <s v="CONT"/>
    <s v="CONT"/>
    <s v="CCF"/>
    <s v="1558615"/>
    <s v="I"/>
    <s v="eJ"/>
    <s v="1149888"/>
    <s v="1558615"/>
    <x v="2"/>
    <s v="01"/>
    <n v="95282"/>
    <n v="95282"/>
    <s v="Braverman"/>
    <s v="Mark"/>
    <s v="Princeton University"/>
    <s v="7936"/>
    <s v="7936"/>
    <s v="Continuing grant"/>
    <s v="Award Closed"/>
    <m/>
    <s v="CAREER:Coding and Information Theory for Interactive Computing"/>
    <s v="LFUQUA"/>
    <d v="2015-09-03T12:54:06"/>
    <n v="429"/>
  </r>
  <r>
    <d v="2017-09-14T09:43:06"/>
    <d v="2014-01-14T10:23:00"/>
    <d v="2014-07-08T12:29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PIXF"/>
    <s v="STND"/>
    <s v="STND"/>
    <s v="CCF"/>
    <s v="1421502"/>
    <s v="I"/>
    <s v="eJ"/>
    <s v="1421502"/>
    <s v="1421502"/>
    <x v="1"/>
    <s v="01"/>
    <n v="222191"/>
    <n v="499999"/>
    <s v="Rohde"/>
    <s v="Gustavo"/>
    <s v="Carnegie Mellon University"/>
    <s v="7923 7936"/>
    <s v="7923 7936"/>
    <s v="Standard Grant"/>
    <s v="Award Closed - PI Transferred"/>
    <m/>
    <s v="CIF: Small: Transport and other Lagrangian transforms for signal analysis and discrimination"/>
    <s v="ISATTLE"/>
    <d v="2017-02-08T13:50:37"/>
    <n v="430"/>
  </r>
  <r>
    <d v="2017-09-14T09:43:06"/>
    <d v="2015-01-14T15:50:00"/>
    <d v="2015-06-10T11:22:03"/>
    <s v="05010000"/>
    <s v="05010000"/>
    <s v="7796 - ALGORITHMIC FOUNDATIONS"/>
    <s v="7797 - COMM &amp; INFORMATION FOUNDATIONS"/>
    <s v="MBASU"/>
    <s v="MBASU"/>
    <s v="4110"/>
    <s v="4110"/>
    <s v="NSF 14-598"/>
    <x v="0"/>
    <x v="0"/>
    <s v="PIXF"/>
    <s v="STND"/>
    <s v="STND"/>
    <s v="CCF"/>
    <s v="1527292"/>
    <s v="I"/>
    <s v="eJ"/>
    <s v="1527292"/>
    <s v="1527292"/>
    <x v="2"/>
    <s v="02"/>
    <n v="30146"/>
    <n v="499960"/>
    <s v="Kozakov"/>
    <s v="Dmytro"/>
    <s v="Boston University"/>
    <s v="7923 7931"/>
    <s v="7923 7931"/>
    <s v="Standard Grant"/>
    <s v="Award Closed - PI Transferred"/>
    <m/>
    <s v="AF:Small:Manifold optimization algorithms for protein-protein docking"/>
    <s v="LFUQUA"/>
    <d v="2016-06-29T15:41:09"/>
    <n v="431"/>
  </r>
  <r>
    <d v="2017-09-14T09:43:06"/>
    <d v="2014-11-10T16:47:00"/>
    <d v="2015-07-28T16:12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PIXF"/>
    <s v="STND"/>
    <s v="STND"/>
    <s v="CCF"/>
    <s v="1514056"/>
    <s v="N"/>
    <s v="eJ"/>
    <s v="1514403"/>
    <s v="1514403"/>
    <x v="2"/>
    <s v="01"/>
    <n v="0"/>
    <n v="503234"/>
    <s v="Scutari"/>
    <s v="Gesualdo"/>
    <s v="SUNY Buffalo"/>
    <s v="7924 7936"/>
    <s v="7924 7936"/>
    <s v="Standard Grant"/>
    <s v="Award Closed - PI Transferred"/>
    <m/>
    <s v="CIF: Collaborative Research: Parallel Online Algorithms for Large-Scale MRI"/>
    <s v="VLRICHA"/>
    <d v="2016-03-09T08:47:04"/>
    <n v="432"/>
  </r>
  <r>
    <d v="2017-09-14T09:43:06"/>
    <d v="2015-01-14T16:35:00"/>
    <d v="2015-07-09T10:35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25"/>
    <s v="L"/>
    <s v="eJ"/>
    <s v="1527625"/>
    <s v="1527625"/>
    <x v="2"/>
    <s v="01"/>
    <n v="0"/>
    <n v="249994"/>
    <s v="Scutari"/>
    <s v="Gesualdo"/>
    <s v="SUNY Buffalo"/>
    <s v="7923 7935"/>
    <s v="7923 7935"/>
    <s v="Standard Grant"/>
    <s v="Award Closed - PI Transferred"/>
    <m/>
    <s v="CIF: Small: Collaborative Research: Communicating While Computing: Mobile Fog Computing Over Wireless Heterogeneous Networks"/>
    <s v="VLRICHA"/>
    <d v="2015-09-17T16:01:29"/>
    <n v="433"/>
  </r>
  <r>
    <d v="2017-09-14T09:43:06"/>
    <d v="2013-12-06T17:57:00"/>
    <d v="2014-05-16T19:42:17"/>
    <s v="03040000"/>
    <s v="05010000"/>
    <s v="1264 - ALGEBRA,NUMBER THEORY,AND COM"/>
    <s v="7797 - COMM &amp; INFORMATION FOUNDATIONS"/>
    <s v="ESOMMER"/>
    <s v="JCOZZEN"/>
    <s v="4160"/>
    <s v="4160"/>
    <s v="NSF 10-578"/>
    <x v="0"/>
    <x v="0"/>
    <s v="PIXF"/>
    <s v="STND"/>
    <s v="STND"/>
    <s v="DMS"/>
    <s v="1417916"/>
    <s v="I"/>
    <s v="eJ"/>
    <s v="1417916"/>
    <s v="1417916"/>
    <x v="1"/>
    <s v="02"/>
    <n v="3810"/>
    <n v="49848"/>
    <s v="Kondor"/>
    <s v="Imre"/>
    <s v="University of Chicago"/>
    <s v="7556"/>
    <s v="7556"/>
    <s v="Standard Grant"/>
    <s v="Award Closed - PI Transferred"/>
    <m/>
    <s v="IMA SUMMER SCHOOL ON MODERN APPLICATIONS OF REPRESENTATION THEORY (SUPPLEMENTARY FUNDING)"/>
    <s v="VLRICHA"/>
    <d v="2016-06-02T10:23:13"/>
    <n v="434"/>
  </r>
  <r>
    <d v="2017-09-14T09:43:06"/>
    <d v="2015-01-14T14:20:00"/>
    <d v="2015-07-09T10:38:4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36"/>
    <s v="N"/>
    <s v="eJ"/>
    <s v="1526763"/>
    <s v="1526763"/>
    <x v="2"/>
    <s v="01"/>
    <n v="3642"/>
    <n v="249973"/>
    <s v="Mazumdar"/>
    <s v="Arya"/>
    <s v="U of Minnesota-Twin Cities"/>
    <s v="7923 7935"/>
    <s v="7923 7935"/>
    <s v="Standard Grant"/>
    <s v="Award Closed - PI Transferred"/>
    <m/>
    <s v="CIF: Small: Collaborative Research: Ordinal Data Compression"/>
    <s v="LFUQUA"/>
    <d v="2016-05-20T09:53:55"/>
    <n v="435"/>
  </r>
  <r>
    <d v="2017-09-14T09:43:06"/>
    <d v="2014-01-14T13:46:00"/>
    <d v="2014-07-14T10:17:56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PIXF"/>
    <s v="STND"/>
    <s v="STND"/>
    <s v="CCF"/>
    <s v="1422090"/>
    <s v="L"/>
    <s v="eJ"/>
    <s v="1422090"/>
    <s v="1422090"/>
    <x v="1"/>
    <s v="01"/>
    <n v="0"/>
    <n v="250000"/>
    <s v="Tandon"/>
    <s v="Ravi"/>
    <s v="VA Polytechnic Inst &amp; St U"/>
    <s v="7923 7935"/>
    <s v="7923 7935"/>
    <s v="Standard Grant"/>
    <s v="Award Closed - PI Transferred"/>
    <m/>
    <s v="CIF: Small: Collaborative Research: Synergistic Exploitation of Network Dynamics and Knowledge Heterogeneity in Wireless Networks"/>
    <s v="LFUQUA"/>
    <d v="2015-09-08T14:26:31"/>
    <n v="436"/>
  </r>
  <r>
    <d v="2017-09-14T09:43:06"/>
    <d v="2015-01-14T15:20:00"/>
    <d v="2015-06-04T08:48:3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8159"/>
    <s v="N"/>
    <s v="eJ"/>
    <s v="1527105"/>
    <s v="1527105"/>
    <x v="2"/>
    <s v="01"/>
    <n v="43988"/>
    <n v="250000"/>
    <s v="Wu"/>
    <s v="Yihong"/>
    <s v="U of Ill Urbana-Champaign"/>
    <s v="7923 7935"/>
    <s v="7923 7935"/>
    <s v="Standard Grant"/>
    <s v="Award Closed - PI Transferred"/>
    <m/>
    <s v="CIF: Small: Collaborative Research: Inference of Information Measures on Large Alphabets: Fundamental Limits, Fast Algorithims, and Applications"/>
    <s v="ISATTLE"/>
    <d v="2017-08-31T15:10:42"/>
    <n v="437"/>
  </r>
  <r>
    <d v="2017-09-14T09:43:06"/>
    <d v="2015-11-17T15:35:00"/>
    <d v="2016-07-17T13:39:14"/>
    <s v="05050000"/>
    <s v="05010000"/>
    <s v="8060 - Secure &amp;Trustworthy Cyberspace"/>
    <s v="7797 - COMM &amp; INFORMATION FOUNDATIONS"/>
    <s v="WLOU"/>
    <s v="RIBROWN"/>
    <s v="4110"/>
    <s v="4110"/>
    <s v="NSF 15-575"/>
    <x v="0"/>
    <x v="0"/>
    <s v="PIXF"/>
    <s v="STND"/>
    <s v="STND"/>
    <s v="CNS"/>
    <s v="1617335"/>
    <s v="I"/>
    <s v="eJ"/>
    <s v="1617335"/>
    <s v="1617335"/>
    <x v="0"/>
    <s v="02"/>
    <n v="10908"/>
    <n v="360000"/>
    <s v="Koyluoglu"/>
    <s v="Onur Ozan"/>
    <s v="U of Arizona"/>
    <s v="7434 7923"/>
    <s v="7797 7923"/>
    <s v="Standard Grant"/>
    <s v="Award Closed - PI Transferred"/>
    <m/>
    <s v="TWC: Small: Coding-based Mechanisms for Building Secure Cloud Storage Systems"/>
    <s v="PCONYER"/>
    <d v="2017-09-12T09:12:41"/>
    <n v="438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2"/>
    <s v="01"/>
    <n v="0"/>
    <n v="425429"/>
    <s v="Smida"/>
    <s v="Besma"/>
    <s v="Purdue University"/>
    <s v="1045 7935"/>
    <s v="1045 7935"/>
    <s v="Continuing grant"/>
    <s v="Award Closed - PI Transferred"/>
    <m/>
    <s v="CAREER: Full-duplex wireless networks by means of reflected power: Theory and applications"/>
    <s v="ISATTLE"/>
    <d v="2016-01-11T12:41:36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3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6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0"/>
    <s v="01"/>
    <n v="0"/>
    <n v="400000"/>
    <s v="Fletcher"/>
    <s v="Alyson"/>
    <s v="U of Cal Santa Cruz"/>
    <s v="7924 7936 8089"/>
    <s v="7924 7936 8089"/>
    <s v="Continuing grant"/>
    <s v="Award Closed - PI Transferred"/>
    <m/>
    <s v="CIF:Medium:Collaborative Research:Scalable Learning of Nonlinear Models in Large Neural Populations"/>
    <s v="VLRICHA"/>
    <d v="2017-05-01T10:30:22"/>
    <n v="440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5"/>
    <s v="01"/>
    <n v="0"/>
    <n v="400000"/>
    <s v="Fletcher"/>
    <s v="Alyson"/>
    <s v="U of Cal Santa Cruz"/>
    <s v="7924 7936 8089"/>
    <s v="7924 7936 8089"/>
    <s v="Continuing grant"/>
    <s v="Award Closed - PI Transferred"/>
    <s v="CGI Transferred"/>
    <s v="CIF:Medium:Collaborative Research:Scalable Learning of Nonlinear Models in Large Neural Populations"/>
    <s v="VLRICHA"/>
    <d v="2017-05-01T10:30:22"/>
    <n v="440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2"/>
    <s v="01"/>
    <n v="28827"/>
    <n v="594640"/>
    <s v="Mazumdar"/>
    <s v="Arya"/>
    <s v="U of Minnesota-Twin Cities"/>
    <s v="1045 7935"/>
    <s v="1045 7935"/>
    <s v="Continuing grant"/>
    <s v="Award Closed - PI Transferred"/>
    <m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3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6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0"/>
    <s v="01"/>
    <n v="101798"/>
    <n v="400000"/>
    <s v="Koyluoglu"/>
    <s v="Onur Ozan"/>
    <s v="U of Arizona"/>
    <s v="7924 7935"/>
    <s v="7924 7935"/>
    <s v="Continuing grant"/>
    <s v="Award Closed - PI Transferred"/>
    <m/>
    <s v="CIF: Medium: Collaborative Research: Frontiers in coding for cloud storage systems"/>
    <s v="ISATTLE"/>
    <d v="2017-08-31T14:02:26"/>
    <n v="442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5"/>
    <s v="01"/>
    <n v="0"/>
    <n v="400000"/>
    <s v="Koyluoglu"/>
    <s v="Onur Ozan"/>
    <s v="U of Arizona"/>
    <s v="7924 7935"/>
    <s v="7924 7935"/>
    <s v="Continuing grant"/>
    <s v="Award Closed - PI Transferred"/>
    <s v="CGI Transferred"/>
    <s v="CIF: Medium: Collaborative Research: Frontiers in coding for cloud storage systems"/>
    <s v="ISATTLE"/>
    <d v="2017-08-31T14:02:26"/>
    <n v="442"/>
  </r>
  <r>
    <d v="2017-09-14T09:43:06"/>
    <d v="2013-07-12T06:38:40"/>
    <d v="2013-07-13T20:29:1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PIXF"/>
    <s v="CONT"/>
    <s v="CONT"/>
    <s v="CCF"/>
    <s v="1348583"/>
    <s v="I"/>
    <s v="eJ"/>
    <s v="0953117"/>
    <s v="1348583"/>
    <x v="10"/>
    <s v="01"/>
    <n v="0"/>
    <n v="92599"/>
    <s v="Avestimehr"/>
    <s v="Amir"/>
    <s v="Cornell University"/>
    <s v="1045 7935"/>
    <s v="1045 7935"/>
    <s v="Continuing grant"/>
    <s v="Award Closed - PI Transferred"/>
    <m/>
    <s v="CAREER: Breaking the Barriers in Wireless Network Information Theory: A Deterministic Approach"/>
    <s v="JROBEY"/>
    <d v="2013-11-18T08:59:12"/>
    <n v="443"/>
  </r>
  <r>
    <d v="2017-09-14T09:43:06"/>
    <d v="2017-08-31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1"/>
    <m/>
    <s v="STND"/>
    <s v="STND"/>
    <s v="CCF"/>
    <s v="1758736"/>
    <s v="I"/>
    <s v="eJ"/>
    <s v=""/>
    <s v="1758736"/>
    <x v="0"/>
    <s v="01"/>
    <n v="317896"/>
    <n v="317896"/>
    <s v="Liu"/>
    <s v="Jia"/>
    <s v="Iowa State University"/>
    <m/>
    <s v="7797 7923 7935"/>
    <s v="Standard Grant"/>
    <m/>
    <m/>
    <s v="CIF: Small: Taming Convergence and Delay in Stochastic Network Optimization with Hessian Information"/>
    <s v="FLBATCH"/>
    <d v="2017-09-01T01:28:09"/>
    <n v="444"/>
  </r>
  <r>
    <d v="2017-09-14T09:43:06"/>
    <d v="2017-07-20T00:00:00"/>
    <d v="2017-07-24T10:52:13"/>
    <s v="05010000"/>
    <s v="05010000"/>
    <s v="7797 - COMM &amp; INFORMATION FOUNDATIONS"/>
    <s v="7797 - COMM &amp; INFORMATION FOUNDATIONS"/>
    <s v="JCOZZEN"/>
    <s v="JCOZZEN"/>
    <s v="4110"/>
    <s v="4110"/>
    <s v=""/>
    <x v="1"/>
    <x v="2"/>
    <m/>
    <s v="CAGR"/>
    <s v="CAGR"/>
    <s v="CCF"/>
    <s v="1751969"/>
    <s v="I"/>
    <s v="eJ"/>
    <s v=""/>
    <s v="1751969"/>
    <x v="3"/>
    <s v="01"/>
    <n v="16000"/>
    <n v="16000"/>
    <s v="Szpankowski"/>
    <s v="Wojciech"/>
    <s v="Purdue University"/>
    <s v="7936 9251"/>
    <s v="7936 9251"/>
    <s v="Cooperative Agreement"/>
    <m/>
    <m/>
    <s v="Emerging Frontiers of Science of Information"/>
    <s v="nvinson"/>
    <d v="2017-07-21T14:24:24"/>
    <n v="4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d v="2017-09-27T14:08:11"/>
    <d v="2013-09-27T15:47:00"/>
    <d v="2014-01-31T13:46:1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PIXF"/>
    <s v="CONT"/>
    <s v="CONT"/>
    <s v="IIP"/>
    <s v="1362165"/>
    <s v="N"/>
    <s v="eJ"/>
    <s v="1362048"/>
    <s v="1362048"/>
    <n v="2017"/>
    <s v="01"/>
    <n v="0"/>
    <n v="300000"/>
    <s v="Papautsky"/>
    <s v="Ian"/>
    <s v="U of Cincinnati"/>
    <s v="5761 8041"/>
    <s v="5761 8041"/>
    <s v="Continuing grant"/>
    <s v="Award Closed - PI Transferred"/>
    <s v="Awarded"/>
    <s v="I/UCRC:  Center for Advanced Design and Manufacturing of Integrated Microfluidics (CADMIM)"/>
    <s v="WPOWELL"/>
    <d v="2017-06-21T08:52:59"/>
    <n v="1"/>
  </r>
  <r>
    <d v="2017-09-27T14:08:11"/>
    <d v="2012-09-28T16:45:00"/>
    <d v="2013-04-12T14:18:04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PIXF"/>
    <s v="CONT"/>
    <s v="CONT"/>
    <s v="IIP"/>
    <s v="1266334"/>
    <s v="L"/>
    <s v="eJ"/>
    <s v="1266334"/>
    <s v="1266334"/>
    <n v="2017"/>
    <s v="01"/>
    <n v="0"/>
    <n v="1686543"/>
    <s v="Garbey"/>
    <s v="Marc"/>
    <s v="U of Houston"/>
    <s v="5371 8039"/>
    <s v="5371 8039"/>
    <s v="Continuing grant"/>
    <s v="Award Closed - PI Transferred"/>
    <s v="CGI Transferred"/>
    <s v="I/UCRC:  Full Center Grant: I/UCRC for Cyber-Physical Systems for the Hospital Operating Room"/>
    <s v="LFUQUA"/>
    <d v="2016-08-18T08:40:57"/>
    <n v="2"/>
  </r>
  <r>
    <d v="2017-09-27T14:08:11"/>
    <d v="2013-09-27T13:33:00"/>
    <d v="2014-01-31T13:16:2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CLOS"/>
    <s v="CONT"/>
    <s v="CONT"/>
    <s v="IIP"/>
    <s v="1362075"/>
    <s v="N"/>
    <s v="eJ"/>
    <s v="1361947"/>
    <s v="1361947"/>
    <n v="2017"/>
    <s v="01"/>
    <n v="59710"/>
    <n v="299344"/>
    <s v="Ramachandran"/>
    <s v="P."/>
    <s v="Washington University"/>
    <s v="5761 8041"/>
    <s v="5761 8041"/>
    <s v="Continuing grant"/>
    <s v="Award Closed"/>
    <s v="Increment withdrawn by program"/>
    <s v="I/UCRC:  Center for Electrochemical Processes and Technology (CEProTECH)"/>
    <s v="REORGENG"/>
    <d v="2015-06-26T22:41:10"/>
    <n v="3"/>
  </r>
  <r>
    <d v="2017-09-27T14:08:11"/>
    <d v="2014-03-04T13:59:00"/>
    <d v="2014-08-01T20:30:0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N"/>
    <s v="eJ"/>
    <s v="1439657"/>
    <s v="1439657"/>
    <n v="2017"/>
    <s v="01"/>
    <n v="65000"/>
    <n v="425000"/>
    <s v="Roy"/>
    <s v="Sumit"/>
    <s v="U of Washington"/>
    <s v="5761 8039"/>
    <s v="5761 8039"/>
    <s v="Continuing grant"/>
    <s v="Award Closed"/>
    <s v="Increment withdrawn by program"/>
    <s v="I/UCRC Phase I: Smart Ocean Technology"/>
    <s v="spriya"/>
    <d v="2015-03-20T17:59:28"/>
    <n v="4"/>
  </r>
  <r>
    <d v="2017-09-27T14:08:11"/>
    <d v="2014-03-04T16:46:00"/>
    <d v="2014-08-01T20:29:17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L"/>
    <s v="eJ"/>
    <s v="1439713"/>
    <s v="1439713"/>
    <n v="2017"/>
    <s v="01"/>
    <n v="108699"/>
    <n v="619995"/>
    <s v="Cui"/>
    <s v="Jun-Hong (June)"/>
    <s v="Univ of Connecticut"/>
    <s v="5761 8039"/>
    <s v="5761 8039"/>
    <s v="Continuing grant"/>
    <s v="Award Closed"/>
    <s v="Increment withdrawn by program"/>
    <s v="I/UCRC Phase I: Smart Ocean Technology"/>
    <s v="spriya"/>
    <d v="2015-03-20T17:32:42"/>
    <n v="5"/>
  </r>
  <r>
    <d v="2017-09-27T14:08:11"/>
    <d v="2012-09-28T11:04:00"/>
    <d v="2013-04-10T10:28:06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CLOS"/>
    <s v="CONT"/>
    <s v="CONT"/>
    <s v="IIP"/>
    <s v="1265960"/>
    <s v="N"/>
    <s v="eJ"/>
    <s v="1266036"/>
    <s v="1266036"/>
    <n v="2017"/>
    <s v="01"/>
    <n v="59999"/>
    <n v="299995"/>
    <s v="Agrawal"/>
    <s v="Prathima"/>
    <s v="Auburn University"/>
    <s v="5761 8039"/>
    <s v="5761 8039"/>
    <s v="Continuing grant"/>
    <s v="Award Closed"/>
    <s v="Increment withdrawn by program"/>
    <s v="I/UCRC:  Collaborative Research: Broadband Wireless Access &amp; Applications Center (BWAC)"/>
    <s v="rmontell"/>
    <d v="2015-03-20T17:48:15"/>
    <n v="6"/>
  </r>
  <r>
    <d v="2017-09-27T14:08:11"/>
    <d v="2013-03-04T16:00:00"/>
    <d v="2013-09-16T18:14:3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L"/>
    <s v="eJ"/>
    <s v="1338820"/>
    <s v="1338820"/>
    <n v="2017"/>
    <s v="01"/>
    <n v="82725"/>
    <n v="432500"/>
    <s v="Rozgonyi"/>
    <s v="George"/>
    <s v="North Carolina State U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7"/>
  </r>
  <r>
    <d v="2017-09-27T14:08:11"/>
    <d v="2012-09-28T14:30:00"/>
    <d v="2013-02-13T17:40:00"/>
    <s v="07070000"/>
    <s v="05050000"/>
    <s v="5761 - INDUSTRY/UNIV COOP RES CENTERS"/>
    <s v="5761 - INDUSTRY/UNIV COOP RES CENTERS"/>
    <s v="LHORNAK"/>
    <s v="RRODRIG"/>
    <s v="4110"/>
    <s v="4110"/>
    <s v="NSF 12-516"/>
    <x v="1"/>
    <x v="0"/>
    <s v="CLOS"/>
    <s v="CONT"/>
    <s v="CONT"/>
    <s v="IIP"/>
    <s v="1266196"/>
    <s v="I"/>
    <s v="eJ"/>
    <s v="1266196"/>
    <s v="1266196"/>
    <n v="2017"/>
    <s v="01"/>
    <n v="40000"/>
    <n v="200000"/>
    <s v="Ramanathan"/>
    <s v="Jayashree"/>
    <s v="Ohio State University"/>
    <s v="5761 8039"/>
    <s v="5761 8039"/>
    <s v="Continuing grant"/>
    <s v="Award Closed"/>
    <s v="Increment withdrawn by program"/>
    <s v="I/UCRC:  Center for Experimental Research in Computer Systems (CERCS) Site"/>
    <s v="SBYRD"/>
    <d v="2013-03-07T08:03:29"/>
    <n v="8"/>
  </r>
  <r>
    <d v="2017-09-27T14:08:11"/>
    <d v="2013-03-04T15:53:00"/>
    <d v="2013-09-16T18:15:0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N"/>
    <s v="eJ"/>
    <s v="1338817"/>
    <s v="1338817"/>
    <n v="2017"/>
    <s v="01"/>
    <n v="40000"/>
    <n v="120000"/>
    <s v="Rohatgi"/>
    <s v="Ajeet"/>
    <s v="Georgia Tech Research Corp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9"/>
  </r>
  <r>
    <d v="2017-09-27T14:08:11"/>
    <d v="2012-09-28T10:27:00"/>
    <d v="2013-01-31T07:46:2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266013"/>
    <s v="L"/>
    <s v="eJ"/>
    <s v="1266013"/>
    <s v="1266013"/>
    <n v="2017"/>
    <s v="01"/>
    <n v="48999"/>
    <n v="199996"/>
    <s v="Ferrell"/>
    <s v="William"/>
    <s v="Clemson University"/>
    <s v="5761 8043 9150"/>
    <s v="5761 8043 9150"/>
    <s v="Continuing grant"/>
    <s v="Award Closed"/>
    <s v="Increment withdrawn by program"/>
    <s v="I/UCRC:  Collaborative Research: Center for Excellence in Logistics and Distribution, Phase II"/>
    <s v="DROBINS"/>
    <d v="2015-08-06T12:14:57"/>
    <n v="10"/>
  </r>
  <r>
    <d v="2017-09-27T14:08:11"/>
    <d v="2011-09-26T16:31:00"/>
    <d v="2012-01-27T16:00:52"/>
    <s v="07070000"/>
    <s v="05100003"/>
    <s v="5761 - INDUSTRY/UNIV COOP RES CENTERS"/>
    <s v="5761 - INDUSTRY/UNIV COOP RES CENTERS"/>
    <s v="RDASGUP"/>
    <s v=""/>
    <s v="4110"/>
    <s v="4110"/>
    <s v="NSF 10-595"/>
    <x v="1"/>
    <x v="0"/>
    <s v="CLOS"/>
    <s v="CONT"/>
    <s v="CONT"/>
    <s v="IIP"/>
    <s v="1161022"/>
    <s v="N"/>
    <s v="eJ"/>
    <s v="1161014"/>
    <s v="1161014"/>
    <n v="2017"/>
    <s v="01"/>
    <n v="40000"/>
    <n v="200000"/>
    <s v="El-Ghazawi"/>
    <s v="Tarek"/>
    <s v="George Washington Univ"/>
    <s v="5761 8039"/>
    <s v="5761 8039"/>
    <s v="Continuing grant"/>
    <s v="Award Closed"/>
    <s v="Increment withdrawn by program"/>
    <s v="I/UCRC Phase II(Renewal):  NSF Center for High-Performance Reconfigurable Computing (CHREC)"/>
    <s v="IMCGHEE"/>
    <d v="2016-09-23T14:02:53"/>
    <n v="11"/>
  </r>
  <r>
    <d v="2017-09-27T14:08:11"/>
    <d v="2016-07-11T12:11:00"/>
    <d v="2016-12-21T05:29:2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439"/>
    <s v="I"/>
    <s v="eJ"/>
    <s v="1650439"/>
    <s v="1650439"/>
    <n v="2017"/>
    <s v="01"/>
    <n v="15000"/>
    <n v="15000"/>
    <s v="Hadzikadic"/>
    <s v="Mirsad"/>
    <s v="U of NC Charlotte"/>
    <s v="5761"/>
    <m/>
    <s v="Standard Grant"/>
    <s v="Proposal Awarded"/>
    <m/>
    <s v="UNC Charlotte Planning Grant: IUCRC for Center for Visual and Decision Informatics"/>
    <s v="VLRICHA"/>
    <d v="2017-01-11T09:07:49"/>
    <n v="12"/>
  </r>
  <r>
    <d v="2017-09-27T14:08:11"/>
    <d v="2016-07-11T15:22:00"/>
    <d v="2017-01-13T09:47:35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00"/>
    <s v="I"/>
    <s v="eJ"/>
    <s v="1650500"/>
    <s v="1650500"/>
    <n v="2017"/>
    <s v="01"/>
    <n v="14998"/>
    <n v="14998"/>
    <s v="Wendlandt"/>
    <s v="Richard"/>
    <s v="Colorado School of Mines"/>
    <s v="5761 8040"/>
    <s v="5761 8040"/>
    <s v="Standard Grant"/>
    <s v="Proposal Awarded"/>
    <m/>
    <s v="Planning I/UCRC Colorado School of Mines: Center for Advanced Subsurface Earth Resource Models"/>
    <s v="WPOWELL"/>
    <d v="2017-01-27T17:12:31"/>
    <n v="13"/>
  </r>
  <r>
    <d v="2017-09-27T14:08:11"/>
    <d v="2016-07-11T15:18:00"/>
    <d v="2017-02-06T11:02:08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97"/>
    <s v="I"/>
    <s v="eJ"/>
    <s v="1650497"/>
    <s v="1650497"/>
    <n v="2017"/>
    <s v="01"/>
    <n v="15000"/>
    <n v="15000"/>
    <s v="Lehman"/>
    <s v="Bradley"/>
    <s v="Northeastern University"/>
    <s v="5761 8040"/>
    <s v="5761 8040"/>
    <s v="Standard Grant"/>
    <s v="Proposal Awarded"/>
    <m/>
    <s v="Planning I/UCRC Northeastern University: Center for Center for On-the-Move Energy Technologies (COMET)"/>
    <s v="WPOWELL"/>
    <d v="2017-03-16T15:10:28"/>
    <n v="14"/>
  </r>
  <r>
    <d v="2017-09-27T14:08:11"/>
    <d v="2017-02-24T14:06:00"/>
    <d v="2017-07-18T17:34:3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265"/>
    <s v="I"/>
    <s v="eJ"/>
    <s v="1738265"/>
    <s v="1738265"/>
    <n v="2017"/>
    <s v="01"/>
    <n v="200000"/>
    <n v="200000"/>
    <s v="Mastrangelo"/>
    <s v="Christina"/>
    <s v="U of Washington"/>
    <s v="5761 8042"/>
    <s v="5761"/>
    <s v="Standard Grant"/>
    <s v="Proposal Awarded"/>
    <m/>
    <s v="Phase II IUCRC University of Washington Site Addition:  Center for Health Organization Transformation (CHOT)"/>
    <s v="WPOWELL"/>
    <d v="2017-08-07T11:25:58"/>
    <n v="15"/>
  </r>
  <r>
    <d v="2017-09-27T14:08:11"/>
    <d v="2016-07-11T13:14:00"/>
    <d v="2017-01-03T13:30:4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58"/>
    <s v="I"/>
    <s v="eJ"/>
    <s v="1650458"/>
    <s v="1650458"/>
    <n v="2017"/>
    <s v="01"/>
    <n v="15000"/>
    <n v="15000"/>
    <s v="Fridman"/>
    <s v="Alexander"/>
    <s v="Drexel University"/>
    <s v="5761 8037 8040"/>
    <s v="5761 8037 8040"/>
    <s v="Standard Grant"/>
    <s v="Proposal Awarded"/>
    <m/>
    <s v="Planning I/UCRC Drexel University: Center for High Pressure Plasma Energy, Agriculture, and Biomedical Technologies (PEAB)"/>
    <s v="WPOWELL"/>
    <d v="2017-01-24T10:52:55"/>
    <n v="16"/>
  </r>
  <r>
    <d v="2017-09-27T14:08:11"/>
    <d v="2016-07-11T16:15:00"/>
    <d v="2017-01-03T13:48:46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7"/>
    <s v="I"/>
    <s v="eJ"/>
    <s v="1650517"/>
    <s v="1650517"/>
    <n v="2017"/>
    <s v="01"/>
    <n v="15000"/>
    <n v="15000"/>
    <s v="Mead"/>
    <s v="Joey"/>
    <s v="Univ of Mass Lowell"/>
    <s v="123E 5761"/>
    <s v="123E 5761"/>
    <s v="Standard Grant"/>
    <s v="Proposal Awarded"/>
    <m/>
    <s v="Planning I/UCRC University of Massachusetts Lowell: Center for Science of Heterogeneous Additive Printing of 3D Materials (SHAP3D)"/>
    <s v="WPOWELL"/>
    <d v="2017-01-25T20:11:21"/>
    <n v="17"/>
  </r>
  <r>
    <d v="2017-09-27T14:08:11"/>
    <d v="2016-07-11T14:50:00"/>
    <d v="2017-01-03T13:46:37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88"/>
    <s v="I"/>
    <s v="eJ"/>
    <s v="1650488"/>
    <s v="1650488"/>
    <n v="2017"/>
    <s v="01"/>
    <n v="15000"/>
    <n v="0"/>
    <s v="Foster"/>
    <s v="John"/>
    <s v="University of Michigan"/>
    <s v="5761 8037 8040"/>
    <s v="5761 8037 8040"/>
    <s v="Standard Grant"/>
    <s v="Proposal Awarded"/>
    <m/>
    <s v="Planning I/UCRC University of Michigan Ann Arbor: Center for High Pressure Plasma Energy, Agriculture, and Biomedical Technologies (PEAB)"/>
    <s v="WPOWELL"/>
    <d v="2017-01-25T20:06:06"/>
    <n v="18"/>
  </r>
  <r>
    <d v="2017-09-27T14:08:11"/>
    <d v="2016-07-08T15:11:00"/>
    <d v="2017-01-13T12:27:5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352"/>
    <s v="I"/>
    <s v="eJ"/>
    <s v="1650352"/>
    <s v="1650352"/>
    <n v="2017"/>
    <s v="01"/>
    <n v="14999"/>
    <n v="14999"/>
    <s v="Johnson"/>
    <s v="Eric"/>
    <s v="Georgia Tech Research Corp"/>
    <s v="5761"/>
    <s v="5761"/>
    <s v="Standard Grant"/>
    <s v="Proposal Awarded"/>
    <m/>
    <s v="Georgia Institute of Technology Planning Grant: I/UCRC for Unmanned Aircraft Systems"/>
    <s v="VLRICHA"/>
    <d v="2017-02-08T06:22:56"/>
    <n v="19"/>
  </r>
  <r>
    <d v="2017-09-27T14:08:11"/>
    <d v="2017-02-28T14:18:00"/>
    <d v="2017-07-09T17:43:18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669"/>
    <s v="I"/>
    <s v="eJ"/>
    <s v="1738669"/>
    <s v="1738669"/>
    <n v="2017"/>
    <s v="01"/>
    <n v="300000"/>
    <n v="300000"/>
    <s v="Kessler"/>
    <s v="Michael"/>
    <s v="Washington State Univ"/>
    <s v="123E 5761"/>
    <s v="5761"/>
    <s v="Standard Grant"/>
    <s v="Proposal Awarded"/>
    <m/>
    <s v="Phase I IUCRC Washington State University: Center for Bioplastics and Biocomposites (CB2)"/>
    <s v="WPOWELL"/>
    <d v="2017-07-27T18:44:44"/>
    <n v="20"/>
  </r>
  <r>
    <d v="2017-09-27T14:08:11"/>
    <d v="2017-02-28T16:06:00"/>
    <d v="2017-07-10T16:20:44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52"/>
    <s v="I"/>
    <s v="eJ"/>
    <s v="1738752"/>
    <s v="1738752"/>
    <n v="2017"/>
    <s v="01"/>
    <n v="300000"/>
    <n v="300000"/>
    <s v="Ghosh"/>
    <s v="Avik"/>
    <s v="University of Virginia"/>
    <s v="5761"/>
    <s v="5761"/>
    <s v="Standard Grant"/>
    <s v="Proposal Awarded"/>
    <m/>
    <s v="Phase I Site Addition:  I/UCRC for Multi-Functional Integrated System Technology (MIST) Center"/>
    <s v="WPOWELL"/>
    <d v="2017-07-27T20:35:40"/>
    <n v="21"/>
  </r>
  <r>
    <d v="2017-09-27T14:08:11"/>
    <d v="2016-07-11T13:50:00"/>
    <d v="2017-01-27T17:09:21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69"/>
    <s v="I"/>
    <s v="eJ"/>
    <s v="1650469"/>
    <s v="1650469"/>
    <n v="2017"/>
    <s v="01"/>
    <n v="15000"/>
    <n v="15000"/>
    <s v="Qiu"/>
    <s v="Qinru"/>
    <s v="Syracuse University"/>
    <s v="5761"/>
    <s v="5761"/>
    <s v="Standard Grant"/>
    <s v="Proposal Awarded"/>
    <m/>
    <s v="Syracuse University Planning Grant: I/UCRC for Alternative Sustainable and Intelligent Computing"/>
    <s v="VLRICHA"/>
    <d v="2017-02-15T13:29:41"/>
    <n v="22"/>
  </r>
  <r>
    <d v="2017-09-27T14:08:11"/>
    <d v="2016-07-11T17:22:00"/>
    <d v="2017-02-02T12:16:3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61"/>
    <s v="I"/>
    <s v="eJ"/>
    <s v="1650561"/>
    <s v="1650561"/>
    <n v="2017"/>
    <s v="01"/>
    <n v="14992"/>
    <n v="14992"/>
    <s v="Ferdowsi"/>
    <s v="Mehdi"/>
    <s v="Missouri S&amp;T"/>
    <s v="5761 8040 9150"/>
    <s v="5761 8040 9150"/>
    <s v="Standard Grant"/>
    <s v="Proposal Awarded"/>
    <m/>
    <s v="Planning I/UCRC Missouri University of Science and Technology: Center for On-the-Move Energy Technologies (COMET)"/>
    <s v="WPOWELL"/>
    <d v="2017-02-24T12:13:01"/>
    <n v="23"/>
  </r>
  <r>
    <d v="2017-09-27T14:08:11"/>
    <d v="2016-07-11T13:21:00"/>
    <d v="2017-01-09T12:26:3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61"/>
    <s v="I"/>
    <s v="eJ"/>
    <s v="1650461"/>
    <s v="1650461"/>
    <n v="2017"/>
    <s v="01"/>
    <n v="15000"/>
    <n v="15000"/>
    <s v="Qi"/>
    <s v="Hang (Jerry)"/>
    <s v="Georgia Tech Research Corp"/>
    <s v="123E 5761"/>
    <s v="123E 5761"/>
    <s v="Standard Grant"/>
    <s v="Proposal Awarded"/>
    <m/>
    <s v="Planning I/UCRC Georgia Institute of Technology: Center for Science of Heterogeneous Additive Printing of 3D Materials (SHAP3D)"/>
    <s v="WPOWELL"/>
    <d v="2017-01-26T14:40:07"/>
    <n v="24"/>
  </r>
  <r>
    <d v="2017-09-27T14:08:11"/>
    <d v="2016-07-11T19:42:00"/>
    <d v="2017-02-07T17:16:43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87"/>
    <s v="I"/>
    <s v="eJ"/>
    <s v="1650587"/>
    <s v="1650587"/>
    <n v="2017"/>
    <s v="01"/>
    <n v="15000"/>
    <n v="15000"/>
    <s v="Dou"/>
    <s v="Dejing"/>
    <s v="U of Oregon Eugene"/>
    <s v="5761"/>
    <s v="5761"/>
    <s v="Standard Grant"/>
    <s v="Proposal Awarded"/>
    <m/>
    <s v="University of Oregon Planning Proposal: I/UCRC for Big Learning"/>
    <s v="VLRICHA"/>
    <d v="2017-02-21T14:01:11"/>
    <n v="25"/>
  </r>
  <r>
    <d v="2017-09-27T14:08:11"/>
    <d v="2016-07-11T19:28:00"/>
    <d v="2017-01-13T09:51:32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85"/>
    <s v="I"/>
    <s v="eJ"/>
    <s v="1650585"/>
    <s v="1650585"/>
    <n v="2017"/>
    <s v="01"/>
    <n v="15000"/>
    <n v="15000"/>
    <s v="Asimaki"/>
    <s v="Domniki"/>
    <s v="California Inst of Tech"/>
    <s v="5761 8040 8042"/>
    <s v="5761 8040 8042"/>
    <s v="Standard Grant"/>
    <s v="Proposal Awarded"/>
    <m/>
    <s v="Planning I/UCRC California Institute of Technology: Center for Geomechanics and Mitigation of Geohazards"/>
    <s v="WPOWELL"/>
    <d v="2017-01-31T10:02:42"/>
    <n v="26"/>
  </r>
  <r>
    <d v="2017-09-27T14:08:11"/>
    <d v="2016-07-11T18:47:00"/>
    <d v="2016-12-19T21:43:12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579"/>
    <s v="I"/>
    <s v="eJ"/>
    <s v="1650579"/>
    <s v="1650579"/>
    <n v="2017"/>
    <s v="01"/>
    <n v="13982"/>
    <n v="13982"/>
    <s v="Giraud-Carrier"/>
    <s v="Christophe"/>
    <s v="Brigham Young University"/>
    <s v="5761"/>
    <m/>
    <s v="Standard Grant"/>
    <s v="Proposal Awarded"/>
    <m/>
    <s v="Brigham Young University Planning Grant: I/UCRC for Center for Visual and Decision Informatics"/>
    <s v="DCOATES"/>
    <d v="2017-01-24T14:28:22"/>
    <n v="27"/>
  </r>
  <r>
    <d v="2017-09-27T14:08:11"/>
    <d v="2017-02-27T14:40:00"/>
    <d v="2017-07-09T17:21:4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417"/>
    <s v="I"/>
    <s v="eJ"/>
    <s v="1738417"/>
    <s v="1738417"/>
    <n v="2017"/>
    <s v="01"/>
    <n v="300000"/>
    <n v="300000"/>
    <s v="Grewell"/>
    <s v="David"/>
    <s v="Iowa State University"/>
    <s v="123E 5761 9150"/>
    <s v="123E 5761 9150"/>
    <s v="Standard Grant"/>
    <s v="Proposal Awarded"/>
    <m/>
    <s v="Phase I IUCRC Iowa State University: Center for Bioplastics and Biocomposites"/>
    <s v="WPOWELL"/>
    <d v="2017-07-27T19:25:01"/>
    <n v="28"/>
  </r>
  <r>
    <d v="2017-09-27T14:08:11"/>
    <d v="2017-02-28T15:56:00"/>
    <d v="2017-07-09T17:23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4"/>
    <s v="I"/>
    <s v="eJ"/>
    <s v="1738734"/>
    <s v="1738734"/>
    <n v="2017"/>
    <s v="01"/>
    <n v="15000"/>
    <n v="15000"/>
    <s v="Locklin"/>
    <s v="Jason"/>
    <s v="U of Georgia Res Fdn Inc"/>
    <s v="5761"/>
    <s v="5761"/>
    <s v="Standard Grant"/>
    <s v="Proposal Awarded"/>
    <m/>
    <s v="Planning Grant - University of Georgia: Center for Bioplastics and Biocomposites (CB2)"/>
    <s v="WPOWELL"/>
    <d v="2017-07-21T16:35:38"/>
    <n v="29"/>
  </r>
  <r>
    <d v="2017-09-27T14:08:11"/>
    <d v="2016-07-11T15:49:00"/>
    <d v="2017-02-03T16:11:4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1"/>
    <s v="I"/>
    <s v="eJ"/>
    <s v="1650511"/>
    <s v="1650511"/>
    <n v="2017"/>
    <s v="01"/>
    <n v="15000"/>
    <n v="15000"/>
    <s v="Mirafzal"/>
    <s v="Behrooz"/>
    <s v="Kansas State University"/>
    <s v="5761 8040 9150"/>
    <s v="5761 8040 9150"/>
    <s v="Standard Grant"/>
    <s v="Proposal Awarded"/>
    <m/>
    <s v="Planning I/UCRC Kansas State University: Center for Center for On-the-Move Energy Technologies (COMET)"/>
    <s v="WPOWELL"/>
    <d v="2017-03-02T20:55:39"/>
    <n v="30"/>
  </r>
  <r>
    <d v="2017-09-27T14:08:11"/>
    <d v="2016-07-11T16:57:00"/>
    <d v="2017-01-27T14:43:2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545"/>
    <s v="I"/>
    <s v="eJ"/>
    <s v="1650545"/>
    <s v="1650545"/>
    <n v="2017"/>
    <s v="01"/>
    <n v="15000"/>
    <n v="15000"/>
    <s v="Carey"/>
    <s v="Stephanie"/>
    <s v="U of South Florida"/>
    <s v="5761"/>
    <s v="5761"/>
    <s v="Standard Grant"/>
    <s v="Proposal Awarded"/>
    <m/>
    <s v="University of South Florida Planning Grant: I/UCRC for iPERFORM Center for Assistive Technologies to Enhance Human Performance"/>
    <s v="VLRICHA"/>
    <d v="2017-02-13T14:17:46"/>
    <n v="31"/>
  </r>
  <r>
    <d v="2017-09-27T14:08:11"/>
    <d v="2016-07-11T14:04:00"/>
    <d v="2017-01-27T17:00:5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73"/>
    <s v="I"/>
    <s v="eJ"/>
    <s v="1650473"/>
    <s v="1650473"/>
    <n v="2017"/>
    <s v="01"/>
    <n v="14999"/>
    <n v="14999"/>
    <s v="Shi"/>
    <s v="Yiyu"/>
    <s v="University of Notre Dame"/>
    <s v="5761"/>
    <s v="5761"/>
    <s v="Standard Grant"/>
    <s v="Proposal Awarded"/>
    <m/>
    <s v="University of Notre Dame Planning Grant: I/UCRC for  Alternative Sustainable and Intelligent Computing (ASIC)"/>
    <s v="VLRICHA"/>
    <d v="2017-02-14T13:10:52"/>
    <n v="32"/>
  </r>
  <r>
    <d v="2017-09-27T14:08:11"/>
    <d v="2017-02-28T10:28:00"/>
    <d v="2017-06-28T14:59:29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STND"/>
    <s v="STND"/>
    <s v="CNS"/>
    <s v="1738585"/>
    <s v="I"/>
    <s v="eJ"/>
    <s v="1738585"/>
    <s v="1738585"/>
    <n v="2017"/>
    <s v="01"/>
    <n v="15000"/>
    <n v="15000"/>
    <s v="Chen"/>
    <s v="Yiran"/>
    <s v="Duke University"/>
    <s v="5761"/>
    <s v="5761"/>
    <s v="Standard Grant"/>
    <s v="Proposal Awarded"/>
    <m/>
    <s v="Planning IUCRC Duke University: Center for Alternative Sustainable and Intelligent Computing"/>
    <s v="VLRICHA"/>
    <d v="2017-07-28T09:08:42"/>
    <n v="33"/>
  </r>
  <r>
    <d v="2017-09-27T14:08:11"/>
    <d v="2016-07-11T16:54:00"/>
    <d v="2017-01-03T13:50:3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38"/>
    <s v="I"/>
    <s v="eJ"/>
    <s v="1650538"/>
    <s v="1650538"/>
    <n v="2017"/>
    <s v="01"/>
    <n v="15000"/>
    <n v="15000"/>
    <s v="Ma"/>
    <s v="Anson"/>
    <s v="Univ of Connecticut"/>
    <s v="123E 5761"/>
    <s v="123E 5761"/>
    <s v="Standard Grant"/>
    <s v="Proposal Awarded"/>
    <m/>
    <s v="Planning I/UCRC University of Connecticut: Center for Science of Heterogeneous Additive Printing of 3D Materials (SHAP3D)"/>
    <s v="WPOWELL"/>
    <d v="2017-01-25T20:16:16"/>
    <n v="34"/>
  </r>
  <r>
    <d v="2017-09-27T14:08:11"/>
    <d v="2016-07-11T13:26:00"/>
    <d v="2017-01-13T09:45:34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463"/>
    <s v="I"/>
    <s v="eJ"/>
    <s v="1650463"/>
    <s v="1650463"/>
    <n v="2017"/>
    <s v="01"/>
    <n v="15000"/>
    <n v="15000"/>
    <s v="Chung"/>
    <s v="Matthias"/>
    <s v="VA Polytechnic Inst &amp; St U"/>
    <s v="5761 8040"/>
    <s v="5761 8040"/>
    <s v="Standard Grant"/>
    <s v="Proposal Awarded"/>
    <m/>
    <s v="Planning I/UCRC Virginia Polytechnic Institute and State University: Center for Advanced Subsurface Earth Resource Models"/>
    <s v="WPOWELL"/>
    <d v="2017-01-27T17:08:03"/>
    <n v="35"/>
  </r>
  <r>
    <d v="2017-09-27T14:08:11"/>
    <d v="2017-02-27T11:14:00"/>
    <d v="2017-07-13T08:55:0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359"/>
    <s v="I"/>
    <s v="eJ"/>
    <s v="1738359"/>
    <s v="1738359"/>
    <n v="2017"/>
    <s v="01"/>
    <n v="200000"/>
    <n v="200000"/>
    <s v="Johnson"/>
    <s v="Christopher"/>
    <s v="U of Louisville Res Fdn"/>
    <s v="5761 8042 9150"/>
    <s v="5761 9150"/>
    <s v="Standard Grant"/>
    <s v="Proposal Awarded"/>
    <m/>
    <s v="Phase II IUCRC University of Louisville: Center for Health Organization Transformation (CHOT)"/>
    <s v="WPOWELL"/>
    <d v="2017-08-03T11:36:53"/>
    <n v="36"/>
  </r>
  <r>
    <d v="2017-09-27T14:08:11"/>
    <d v="2016-07-11T16:56:00"/>
    <d v="2017-01-10T12:14:52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44"/>
    <s v="I"/>
    <s v="eJ"/>
    <s v="1650544"/>
    <s v="1650544"/>
    <n v="2017"/>
    <s v="01"/>
    <n v="300000"/>
    <n v="450000"/>
    <s v="Cao"/>
    <s v="Yang"/>
    <s v="Univ of Connecticut"/>
    <s v="123E 5761"/>
    <s v="123E 5761"/>
    <s v="Standard Grant"/>
    <s v="Proposal Awarded"/>
    <m/>
    <s v="Phase I I/UCRC University of Connecticut Site: Center for Novel High Voltage/Temperature Materials and Structures (HVT)"/>
    <s v="WPOWELL"/>
    <d v="2017-01-24T08:30:55"/>
    <n v="37"/>
  </r>
  <r>
    <d v="2017-09-27T14:08:11"/>
    <d v="2017-02-28T15:59:00"/>
    <d v="2017-07-09T17:25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9"/>
    <s v="I"/>
    <s v="eJ"/>
    <s v="1738739"/>
    <s v="1738739"/>
    <n v="2017"/>
    <s v="01"/>
    <n v="14996"/>
    <n v="14996"/>
    <s v="Marras"/>
    <s v="William"/>
    <s v="Ohio State University"/>
    <s v="5761 8042"/>
    <s v="5761"/>
    <s v="Standard Grant"/>
    <s v="Proposal Awarded"/>
    <m/>
    <s v="Planning IUCRC The Ohio State University: Center for Disruptive Musculoskeletal Innovations (CDMI)"/>
    <s v="WPOWELL"/>
    <d v="2017-07-28T12:11:34"/>
    <n v="38"/>
  </r>
  <r>
    <d v="2017-09-27T14:08:11"/>
    <d v="2016-07-11T17:03:00"/>
    <d v="2017-01-27T14:21:0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49"/>
    <s v="I"/>
    <s v="eJ"/>
    <s v="1650549"/>
    <s v="1650549"/>
    <n v="2017"/>
    <s v="01"/>
    <n v="15000"/>
    <n v="15000"/>
    <s v="Li"/>
    <s v="Zhu"/>
    <s v="U of Missouri Kansas City"/>
    <s v="5761 9150"/>
    <s v="5761 9150"/>
    <s v="Standard Grant"/>
    <s v="Proposal Awarded"/>
    <m/>
    <s v="University of Missouri-Kansas City Planning Grant: I/UCRC for Big Learning"/>
    <s v="VLRICHA"/>
    <d v="2017-02-13T12:56:14"/>
    <n v="39"/>
  </r>
  <r>
    <d v="2017-09-27T14:08:11"/>
    <d v="2016-07-11T14:40:00"/>
    <d v="2017-01-27T15:25:50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85"/>
    <s v="I"/>
    <s v="eJ"/>
    <s v="1650485"/>
    <s v="1650485"/>
    <n v="2017"/>
    <s v="01"/>
    <n v="14999"/>
    <n v="15000"/>
    <s v="Salakhutdinov"/>
    <s v="Ruslan"/>
    <s v="Carnegie Mellon University"/>
    <s v="5761"/>
    <s v="5761"/>
    <s v="Standard Grant"/>
    <s v="Proposal Awarded"/>
    <m/>
    <s v="Carnegie Mellon University Planning Grant: I/UCRC for Big Learning"/>
    <s v="VLRICHA"/>
    <d v="2017-02-15T13:33:31"/>
    <n v="40"/>
  </r>
  <r>
    <d v="2017-09-27T14:08:11"/>
    <d v="2016-07-11T16:56:00"/>
    <d v="2017-02-03T16:10:12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STND"/>
    <s v="STND"/>
    <s v="IIP"/>
    <s v="1650541"/>
    <s v="I"/>
    <s v="eJ"/>
    <s v="1650541"/>
    <s v="1650541"/>
    <n v="2017"/>
    <s v="01"/>
    <n v="199983"/>
    <n v="374283"/>
    <s v="Bolte"/>
    <s v="John"/>
    <s v="Ohio State University"/>
    <s v="5761 8042"/>
    <s v="5761 8042"/>
    <s v="Standard Grant"/>
    <s v="Proposal Awarded"/>
    <m/>
    <s v="Phase II I/UCRC Ohio State University: Center for Child Prevention Studies (CChIPS)"/>
    <s v="WPOWELL"/>
    <d v="2017-03-02T19:53:59"/>
    <n v="41"/>
  </r>
  <r>
    <d v="2017-09-27T14:08:11"/>
    <d v="2017-06-22T00:00:00"/>
    <d v="2017-07-24T08:13:4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2"/>
    <s v="I"/>
    <s v="eJ"/>
    <s v="1538733"/>
    <s v="1747822"/>
    <n v="2017"/>
    <s v="01"/>
    <n v="41000"/>
    <n v="41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6T21:17:18"/>
    <n v="42"/>
  </r>
  <r>
    <d v="2017-09-27T14:08:11"/>
    <d v="2017-06-22T00:00:00"/>
    <d v="2017-07-24T10:38:0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7"/>
    <s v="I"/>
    <s v="eJ"/>
    <s v="1538733"/>
    <s v="1747827"/>
    <n v="2017"/>
    <s v="01"/>
    <n v="50000"/>
    <n v="50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3T21:20:41"/>
    <n v="43"/>
  </r>
  <r>
    <d v="2017-09-27T14:08:11"/>
    <d v="2017-06-23T00:00:00"/>
    <d v="2017-07-24T16:26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7"/>
    <s v="I"/>
    <s v="eJ"/>
    <s v="1411032"/>
    <s v="1747897"/>
    <n v="2017"/>
    <s v="01"/>
    <n v="44376"/>
    <n v="44376"/>
    <s v="Kriven"/>
    <s v="Waltraud"/>
    <s v="U of Ill Urbana-Champaign"/>
    <s v="018z"/>
    <s v="018Z"/>
    <s v="Standard Grant"/>
    <s v="Proposal Awarded"/>
    <m/>
    <s v="INTERN DCL: In Situ Determination of Phase Equilibria and Thermal Expansions in the Ternary Hafnia-Tantala-Titania System"/>
    <s v="WPOWELL"/>
    <d v="2017-08-31T12:49:47"/>
    <n v="44"/>
  </r>
  <r>
    <d v="2017-09-27T14:08:11"/>
    <d v="2017-06-22T00:00:00"/>
    <d v="2017-07-21T16:20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46"/>
    <s v="I"/>
    <s v="eJ"/>
    <s v="1038257"/>
    <s v="1747846"/>
    <n v="2017"/>
    <s v="01"/>
    <n v="40563"/>
    <n v="40563"/>
    <s v="Englehardt"/>
    <s v="James"/>
    <s v="University of Miami"/>
    <s v="018z"/>
    <s v="018Z"/>
    <s v="Standard Grant"/>
    <s v="Proposal Awarded"/>
    <m/>
    <s v="INTERN DCL - EFRI-SEED: Design for Autonomous Net-Zero Water Buildings"/>
    <s v="WPOWELL"/>
    <d v="2017-09-07T09:04:22"/>
    <n v="45"/>
  </r>
  <r>
    <d v="2017-09-27T14:08:11"/>
    <d v="2016-10-05T00:00:00"/>
    <d v="2017-06-19T16:04:5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STND"/>
    <s v="STND"/>
    <s v="CNS"/>
    <s v="1700466"/>
    <s v="I"/>
    <s v="eJ"/>
    <s v="1464537"/>
    <s v="1700466"/>
    <n v="2017"/>
    <s v="01"/>
    <n v="25000"/>
    <n v="25000"/>
    <s v="Furht"/>
    <s v="Borko"/>
    <s v="Florida Atlantic Univ"/>
    <s v="5761"/>
    <s v="5761"/>
    <s v="Standard Grant"/>
    <s v="Proposal Awarded"/>
    <m/>
    <s v="I/UCRC Phase II:  Advanced Knowledge Enablement, FAU Site"/>
    <s v="PCONYER"/>
    <d v="2017-07-06T16:51:42"/>
    <n v="46"/>
  </r>
  <r>
    <d v="2017-09-27T14:08:11"/>
    <d v="2017-06-23T00:00:00"/>
    <d v="2017-07-24T08:14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01"/>
    <s v="I"/>
    <s v="eJ"/>
    <s v="1543047"/>
    <s v="1747901"/>
    <n v="2017"/>
    <s v="01"/>
    <n v="24793"/>
    <n v="24793"/>
    <s v="Apblett"/>
    <s v="Allen"/>
    <s v="Oklahoma State University"/>
    <s v="018z 8019 9150"/>
    <s v="018Z 8019 9150"/>
    <s v="Standard Grant"/>
    <s v="Proposal Awarded"/>
    <m/>
    <s v="INTERN DCL - PFI:AIR - TT:  Transitioning Explosive Sensing Technology to the Marketplace"/>
    <s v="WPOWELL"/>
    <d v="2017-08-26T21:01:17"/>
    <n v="47"/>
  </r>
  <r>
    <d v="2017-09-27T14:08:11"/>
    <d v="2017-06-21T00:00:00"/>
    <d v="2017-07-24T08:12:4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791"/>
    <s v="I"/>
    <s v="eJ"/>
    <s v="1547156"/>
    <s v="1747791"/>
    <n v="2017"/>
    <s v="01"/>
    <n v="40002"/>
    <n v="40002"/>
    <s v="Cecil"/>
    <s v="J."/>
    <s v="Oklahoma State University"/>
    <s v="015Z 018z 082E 152E 7916 9150 MANU"/>
    <s v="015Z 018Z 082E 152E 7916 9150 MANU"/>
    <s v="Standard Grant"/>
    <s v="Proposal Awarded"/>
    <m/>
    <s v="INTERN DCL: EAGER/Cybermanufacturing: CYMAN: A CYber MANufacturing and Entrepreneurship Initiative to Foster Global Manufacturing"/>
    <s v="WPOWELL"/>
    <d v="2017-08-26T21:21:03"/>
    <n v="48"/>
  </r>
  <r>
    <d v="2017-09-27T14:08:11"/>
    <d v="2017-06-23T00:00:00"/>
    <d v="2017-07-24T08:1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3"/>
    <s v="I"/>
    <s v="eJ"/>
    <s v="1438569"/>
    <s v="1747923"/>
    <n v="2017"/>
    <s v="01"/>
    <n v="26009"/>
    <n v="26009"/>
    <s v="Holt"/>
    <s v="R"/>
    <s v="Boston University"/>
    <s v="018z 055E 8007"/>
    <s v="018Z 055E 8007"/>
    <s v="Standard Grant"/>
    <s v="Proposal Awarded"/>
    <m/>
    <s v="INTERN DCL - Collaborative Research: Acoustic Tweezing Rheometry of Biological Fluids"/>
    <s v="WPOWELL"/>
    <d v="2017-08-11T14:38:46"/>
    <n v="49"/>
  </r>
  <r>
    <d v="2017-09-27T14:08:11"/>
    <d v="2017-03-31T00:00:00"/>
    <d v="2017-06-27T16:22:3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2820"/>
    <s v="I"/>
    <s v="eJ"/>
    <s v="1535689"/>
    <s v="1742820"/>
    <n v="2017"/>
    <s v="01"/>
    <n v="8000"/>
    <n v="8000"/>
    <s v="Mantooth"/>
    <s v="Homer"/>
    <s v="U of Arkansas"/>
    <s v="116e 7609 8036 9150 9251"/>
    <s v="116e 7609 8036 9150 9251"/>
    <s v="Standard Grant"/>
    <s v="Proposal Awarded"/>
    <m/>
    <s v="I/UCRC FRP (REU): Physics-Based Compact Modeling of Gallium Nitride (GaN) Devices for Advanced Power Electronics"/>
    <s v="WPOWELL"/>
    <d v="2017-07-12T15:51:35"/>
    <n v="50"/>
  </r>
  <r>
    <d v="2017-09-27T14:08:11"/>
    <d v="2017-04-07T00:00:00"/>
    <d v="2017-05-15T15:50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3081"/>
    <s v="I"/>
    <s v="eJ"/>
    <s v="1539938"/>
    <s v="1743081"/>
    <n v="2017"/>
    <s v="01"/>
    <n v="8000"/>
    <n v="8000"/>
    <s v="Winston"/>
    <s v="Flaura"/>
    <s v="CHOP"/>
    <s v="116e 5761 8042 9102 9251"/>
    <s v="116e 5761 8042 9102 9251"/>
    <s v="Standard Grant"/>
    <s v="Proposal Awarded"/>
    <m/>
    <s v="I/UCRC Phase III (REU):  Center for Child Injury Prevention Studies"/>
    <s v="WPOWELL"/>
    <d v="2017-05-31T10:39:43"/>
    <n v="51"/>
  </r>
  <r>
    <d v="2017-09-27T14:08:11"/>
    <d v="2017-06-23T00:00:00"/>
    <d v="2017-07-24T10:56:0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7"/>
    <s v="I"/>
    <s v="eJ"/>
    <s v="1430260"/>
    <s v="1747957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2:29"/>
    <n v="52"/>
  </r>
  <r>
    <d v="2017-09-27T14:08:11"/>
    <d v="2017-06-23T00:00:00"/>
    <d v="2017-07-24T10:57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8"/>
    <s v="I"/>
    <s v="eJ"/>
    <s v="1430260"/>
    <s v="1747958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5:32"/>
    <n v="53"/>
  </r>
  <r>
    <d v="2017-09-27T14:08:11"/>
    <d v="2017-06-16T00:00:00"/>
    <d v="2017-07-21T16:18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38"/>
    <s v="I"/>
    <s v="eJ"/>
    <s v="1604909"/>
    <s v="1747538"/>
    <n v="2017"/>
    <s v="01"/>
    <n v="22669"/>
    <n v="22669"/>
    <s v="Sankaran"/>
    <s v="R. Mohan"/>
    <s v="Case Western Reserve"/>
    <s v="018z"/>
    <s v="018Z"/>
    <s v="Standard Grant"/>
    <s v="Proposal Awarded"/>
    <m/>
    <s v="INTERN DCL: Triboelectric charging of granular materials"/>
    <s v="WPOWELL"/>
    <d v="2017-08-29T13:06:23"/>
    <n v="54"/>
  </r>
  <r>
    <d v="2017-09-27T14:08:11"/>
    <d v="2017-06-23T00:00:00"/>
    <d v="2017-07-24T10:58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65"/>
    <s v="I"/>
    <s v="eJ"/>
    <s v="1150960"/>
    <s v="1747965"/>
    <n v="2017"/>
    <s v="01"/>
    <n v="50000"/>
    <n v="50000"/>
    <s v="Gokirmak"/>
    <s v="Ali"/>
    <s v="Univ of Connecticut"/>
    <s v="018z 107E"/>
    <s v="018Z 107E"/>
    <s v="Standard Grant"/>
    <s v="Proposal Awarded"/>
    <m/>
    <s v="INTERN DCL - CAREER: Phase-change memories and electro-thermal effects at nanoscale"/>
    <s v="WPOWELL"/>
    <d v="2017-08-24T13:52:34"/>
    <n v="55"/>
  </r>
  <r>
    <d v="2017-09-27T14:08:11"/>
    <d v="2017-06-20T00:00:00"/>
    <d v="2017-07-24T08:11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61"/>
    <s v="I"/>
    <s v="eJ"/>
    <s v="1038139"/>
    <s v="1747661"/>
    <n v="2017"/>
    <s v="01"/>
    <n v="31630"/>
    <n v="31630"/>
    <s v="Bilec"/>
    <s v="Melissa"/>
    <s v="U of Pittsburgh"/>
    <s v="018z"/>
    <s v="018Z"/>
    <s v="Standard Grant"/>
    <s v="Proposal Awarded"/>
    <m/>
    <s v="INTERN DCL: EFRI-SEED:  BUILD - Barriers, Understanding, Integration - Life Cycle Development"/>
    <s v="WPOWELL"/>
    <d v="2017-08-26T21:11:37"/>
    <n v="56"/>
  </r>
  <r>
    <d v="2017-09-27T14:08:11"/>
    <d v="2017-06-26T00:00:00"/>
    <d v="2017-07-24T10:43:2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8008"/>
    <s v="I"/>
    <s v="eJ"/>
    <s v="1500234"/>
    <s v="1748008"/>
    <n v="2017"/>
    <s v="01"/>
    <n v="38698"/>
    <n v="38698"/>
    <s v="Pal"/>
    <s v="Ranadip"/>
    <s v="Texas Tech University"/>
    <s v="018z 8019"/>
    <s v="018Z 8019"/>
    <s v="Standard Grant"/>
    <s v="Proposal Awarded"/>
    <m/>
    <s v="INTERN DCL - PFI:AIR - TT:  Design of functionally-tested, genomics-informed personalized cancer therapy drug treatment plans"/>
    <s v="WPOWELL"/>
    <d v="2017-08-30T12:20:48"/>
    <n v="57"/>
  </r>
  <r>
    <d v="2017-09-27T14:08:11"/>
    <d v="2017-06-16T00:00:00"/>
    <d v="2017-07-21T16:19:3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48"/>
    <s v="I"/>
    <s v="eJ"/>
    <s v="1455444"/>
    <s v="1747548"/>
    <n v="2017"/>
    <s v="01"/>
    <n v="36787"/>
    <n v="36787"/>
    <s v="Warn"/>
    <s v="Gordon"/>
    <s v="PA St U University Park"/>
    <s v="018Z 036E 039E 040E 043E 1576 7231 9178"/>
    <s v="018Z 036E 039E 040E 043E 1576 7231 9178"/>
    <s v="Standard Grant"/>
    <s v="Proposal Awarded"/>
    <m/>
    <s v="INTERN DCL:  RSB/Collaborative Research: A Sequential Decision Framework to Support Trade Space Exploration of Multi-Hazard Resilient and Sustainable Building Designs"/>
    <s v="WPOWELL"/>
    <d v="2017-08-24T11:07:32"/>
    <n v="58"/>
  </r>
  <r>
    <d v="2017-09-27T14:08:11"/>
    <d v="2017-06-22T00:00:00"/>
    <d v="2017-07-24T10:39:0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75"/>
    <s v="I"/>
    <s v="eJ"/>
    <s v="1462602"/>
    <s v="1747875"/>
    <n v="2017"/>
    <s v="01"/>
    <n v="49652"/>
    <n v="45360"/>
    <s v="Harimkar"/>
    <s v="Sandip"/>
    <s v="Oklahoma State University"/>
    <s v="018z 088E 8021 8025 9150"/>
    <s v="018z 088E 8021 8025 9150"/>
    <s v="Standard Grant"/>
    <s v="Proposal Awarded"/>
    <m/>
    <s v="INTERN DCL: Fundamental Studies on Sintering of Alloys, Composites, and Coatings"/>
    <s v="WPOWELL"/>
    <d v="2017-08-29T14:05:53"/>
    <n v="59"/>
  </r>
  <r>
    <d v="2017-09-27T14:08:11"/>
    <d v="2017-06-23T00:00:00"/>
    <d v="2017-07-24T10:54:1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6"/>
    <s v="I"/>
    <s v="eJ"/>
    <s v="1553430"/>
    <s v="1747936"/>
    <n v="2017"/>
    <s v="01"/>
    <n v="50000"/>
    <n v="50000"/>
    <s v="Huang"/>
    <s v="Shadow"/>
    <s v="North Carolina State U"/>
    <s v="018z 1045"/>
    <s v="018Z"/>
    <s v="Standard Grant"/>
    <s v="Proposal Awarded"/>
    <m/>
    <s v="INTERN DCL - CAREER: Restoring Function in Chronic Venous Insufficiency: Unraveling the Structural-Mechanics of Venous Valve Tissues"/>
    <s v="WPOWELL"/>
    <d v="2017-09-03T19:03:04"/>
    <n v="60"/>
  </r>
  <r>
    <d v="2017-09-27T14:08:11"/>
    <d v="2017-06-23T00:00:00"/>
    <d v="2017-07-24T10:52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0"/>
    <s v="I"/>
    <s v="eJ"/>
    <s v="1350152"/>
    <s v="1747930"/>
    <n v="2017"/>
    <s v="01"/>
    <n v="50000"/>
    <n v="50000"/>
    <s v="Ramachandran"/>
    <s v="Rohit"/>
    <s v="Rutgers Univ New Brunswick"/>
    <s v="018z 047e 050e 1045"/>
    <s v="018Z 047e 050e 1045"/>
    <s v="Standard Grant"/>
    <s v="Proposal Awarded"/>
    <m/>
    <s v="INTERN DCL - CAREER: Multi-scale modeling and analysis of reactive granulation processes"/>
    <s v="WPOWELL"/>
    <d v="2017-08-24T21:24:56"/>
    <n v="61"/>
  </r>
  <r>
    <d v="2017-09-27T14:08:11"/>
    <d v="2017-06-23T00:00:00"/>
    <d v="2017-07-24T10:55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5"/>
    <s v="I"/>
    <s v="eJ"/>
    <s v="1512764"/>
    <s v="1747945"/>
    <n v="2017"/>
    <s v="01"/>
    <n v="15405"/>
    <n v="15405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8-30T14:05:28"/>
    <n v="62"/>
  </r>
  <r>
    <d v="2017-09-27T14:08:11"/>
    <d v="2017-06-23T00:00:00"/>
    <d v="2017-07-24T10:59:3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0"/>
    <s v="I"/>
    <s v="eJ"/>
    <s v="1512764"/>
    <s v="1747970"/>
    <n v="2017"/>
    <s v="01"/>
    <n v="34591"/>
    <n v="34591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9-03T19:14:57"/>
    <n v="63"/>
  </r>
  <r>
    <d v="2017-09-27T14:08:11"/>
    <d v="2017-06-23T00:00:00"/>
    <d v="2017-07-19T08:47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5"/>
    <s v="I"/>
    <s v="eJ"/>
    <s v="1563435"/>
    <s v="1747925"/>
    <n v="2017"/>
    <s v="01"/>
    <n v="42504"/>
    <n v="42504"/>
    <s v="Atamturktur Russcher"/>
    <s v="Sez"/>
    <s v="Clemson University"/>
    <s v="018z 024e 067e 073e 9102 9150"/>
    <s v="018Z 024E 067E 073E 9102 9150"/>
    <s v="Standard Grant"/>
    <s v="Proposal Awarded"/>
    <m/>
    <s v="INTERN DCL - Simulation-Based Design of Polymer Nanocomposites for Structural Applications"/>
    <s v="WPOWELL"/>
    <d v="2017-09-07T10:27:56"/>
    <n v="64"/>
  </r>
  <r>
    <d v="2017-09-27T14:08:11"/>
    <d v="2017-07-06T00:00:00"/>
    <d v="2017-07-19T09:05:4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8534"/>
    <s v="I"/>
    <s v="eJ"/>
    <s v="1650541"/>
    <s v="1748534"/>
    <n v="2017"/>
    <s v="01"/>
    <n v="7188"/>
    <n v="7188"/>
    <s v="Bolte"/>
    <s v="John"/>
    <s v="Ohio State University"/>
    <s v="116E 8042 9251"/>
    <s v="116E 8042 9251"/>
    <s v="Standard Grant"/>
    <s v="Proposal Awarded"/>
    <m/>
    <s v="Phase III I/UCRC (REU): Ohio State University: Center for Child Prevention Studies (CChIPS)"/>
    <s v="JKITTLE"/>
    <d v="2017-07-27T08:47:47"/>
    <n v="65"/>
  </r>
  <r>
    <d v="2017-09-27T14:08:11"/>
    <d v="2017-06-23T00:00:00"/>
    <d v="2017-07-24T08:15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19"/>
    <s v="I"/>
    <s v="eJ"/>
    <s v="1253516"/>
    <s v="1747919"/>
    <n v="2017"/>
    <s v="01"/>
    <n v="50000"/>
    <n v="50000"/>
    <s v="Mohsenian-Rad"/>
    <s v="Amir-Hamed"/>
    <s v="U of Cal Riverside"/>
    <s v="018z 155E 1653"/>
    <s v="018Z 155E 1653"/>
    <s v="Standard Grant"/>
    <s v="Proposal Awarded"/>
    <m/>
    <s v="INTERN DCL - CAREER: Self-Organizing Demand Side Management for Smart Grid: A Dynamic Game-Theoretic Framework"/>
    <s v="WPOWELL"/>
    <d v="2017-08-11T14:34:32"/>
    <n v="66"/>
  </r>
  <r>
    <d v="2017-09-27T14:08:11"/>
    <d v="2017-06-23T00:00:00"/>
    <d v="2017-07-24T08:05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9"/>
    <s v="I"/>
    <s v="eJ"/>
    <s v="1336364"/>
    <s v="1747979"/>
    <n v="2017"/>
    <s v="01"/>
    <n v="29030"/>
    <n v="29030"/>
    <s v="Porter"/>
    <s v="Jason"/>
    <s v="Colorado School of Mines"/>
    <s v="018z 061E"/>
    <s v="018Z 061E"/>
    <s v="Standard Grant"/>
    <s v="Proposal Awarded"/>
    <m/>
    <s v="INTERN DCL - Collaborative Research: High Temperature and Pressure Char Kinetics - Diagnostic development, Gasifier experiments, and Modeling"/>
    <s v="WPOWELL"/>
    <d v="2017-09-06T09:16:46"/>
    <n v="67"/>
  </r>
  <r>
    <d v="2017-09-27T14:08:11"/>
    <d v="2017-06-23T00:00:00"/>
    <d v="2017-07-24T10:53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5"/>
    <s v="I"/>
    <s v="eJ"/>
    <s v="1336075"/>
    <s v="1747935"/>
    <n v="2017"/>
    <s v="01"/>
    <n v="29999"/>
    <n v="30000"/>
    <s v="Wang"/>
    <s v="Haifeng"/>
    <s v="Purdue University"/>
    <s v="018z 148E"/>
    <s v="018Z 148E"/>
    <s v="Standard Grant"/>
    <s v="Proposal Awarded"/>
    <m/>
    <s v="INTERN DCL - Modeling Studies of Bimodal and Multi-Regime Combustion Dynamics in a Pulsed Turbulent Transient Jet Flame"/>
    <s v="WPOWELL"/>
    <d v="2017-09-13T10:26:22"/>
    <n v="68"/>
  </r>
  <r>
    <d v="2017-09-27T14:08:11"/>
    <d v="2017-03-30T00:00:00"/>
    <d v="2017-07-13T09:01:17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7"/>
    <s v="I"/>
    <s v="eJ"/>
    <s v="1560873"/>
    <s v="1742657"/>
    <n v="2017"/>
    <s v="01"/>
    <n v="66872"/>
    <n v="66872"/>
    <s v="Agrawal"/>
    <s v="Ashok"/>
    <s v="Amer Soc For Eng Ed"/>
    <s v="5761 7651 8808"/>
    <s v="5761 7651 8808"/>
    <s v="Standard Grant"/>
    <s v="Proposal Awarded"/>
    <m/>
    <s v="EcoCAR 3 (VRS):  Advancing STEM Education, Innovation, Diversity and Outreach through Advanced Vehicle Technology Competitions"/>
    <s v="WPOWELL"/>
    <d v="2017-07-31T10:19:02"/>
    <n v="69"/>
  </r>
  <r>
    <d v="2017-09-27T14:08:11"/>
    <d v="2017-03-30T00:00:00"/>
    <d v="2017-07-13T09:02:12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8"/>
    <s v="I"/>
    <s v="eJ"/>
    <s v="1560873"/>
    <s v="1742658"/>
    <n v="2017"/>
    <s v="01"/>
    <n v="36022"/>
    <n v="39222"/>
    <s v="Agrawal"/>
    <s v="Ashok"/>
    <s v="Amer Soc For Eng Ed"/>
    <s v="115e 5761 7218 7651"/>
    <s v="115E 5761 7218 7651"/>
    <s v="Standard Grant"/>
    <s v="Proposal Awarded"/>
    <m/>
    <s v="EcoCAR 3 (RET):  Advancing STEM Education, Innovation, Diversity and Outreach through Advanced Vehicle Technology Competitions"/>
    <s v="VLRICHA"/>
    <d v="2017-07-18T13:32:12"/>
    <n v="70"/>
  </r>
  <r>
    <d v="2017-09-27T14:08:11"/>
    <d v="2017-03-30T00:00:00"/>
    <d v="2017-07-13T09:03:09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9"/>
    <s v="I"/>
    <s v="eJ"/>
    <s v="1560873"/>
    <s v="1742659"/>
    <n v="2017"/>
    <s v="01"/>
    <n v="67000"/>
    <n v="67000"/>
    <s v="Agrawal"/>
    <s v="Ashok"/>
    <s v="Amer Soc For Eng Ed"/>
    <s v="116e 5761 7651 9251"/>
    <s v="5761 7651"/>
    <s v="Standard Grant"/>
    <s v="Proposal Awarded"/>
    <m/>
    <s v="EcoCAR 3 (REU):  Advancing STEM Education, Innovation, Diversity and Outreach through Advanced Vehicle Technology Competitions"/>
    <s v="VLRICHA"/>
    <d v="2017-07-18T13:35:13"/>
    <n v="71"/>
  </r>
  <r>
    <d v="2017-09-27T14:08:11"/>
    <d v="2017-06-23T00:00:00"/>
    <d v="2017-07-19T08:45:2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4"/>
    <s v="I"/>
    <s v="eJ"/>
    <s v="1537512"/>
    <s v="1747894"/>
    <n v="2017"/>
    <s v="01"/>
    <n v="50000"/>
    <n v="50000"/>
    <s v="Ding"/>
    <s v="Hongtao"/>
    <s v="University of Iowa"/>
    <s v="018z 082E 083E 9150"/>
    <s v="018Z 082E 083E 9150"/>
    <s v="Standard Grant"/>
    <s v="Proposal Awarded"/>
    <m/>
    <s v="INTERN DCL - Laser Deposition Joining of Composites for Wind Turbine Blade Repair"/>
    <s v="WPOWELL"/>
    <d v="2017-08-23T20:42:53"/>
    <n v="72"/>
  </r>
  <r>
    <d v="2017-09-27T14:08:11"/>
    <d v="2017-06-20T00:00:00"/>
    <d v="2017-07-24T16:23:5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70"/>
    <s v="I"/>
    <s v="eJ"/>
    <s v="1553987"/>
    <s v="1747670"/>
    <n v="2017"/>
    <s v="01"/>
    <n v="50000"/>
    <n v="50000"/>
    <s v="Pettes"/>
    <s v="Michael"/>
    <s v="Univ of Connecticut"/>
    <s v="018z"/>
    <s v="018z"/>
    <s v="Standard Grant"/>
    <s v="Proposal Awarded"/>
    <m/>
    <s v="INTERN DCL - CAREER: Understanding the Roles of Strain and Mass Disorder on Fundamental Thermal Transport Processes in Two-Dimensional Materials"/>
    <s v="WPOWELL"/>
    <d v="2017-08-30T14:22:07"/>
    <n v="73"/>
  </r>
  <r>
    <d v="2017-09-27T14:08:11"/>
    <d v="2017-06-23T00:00:00"/>
    <d v="2017-07-24T10:40:1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0"/>
    <s v="I"/>
    <s v="eJ"/>
    <s v="1511818"/>
    <s v="1747890"/>
    <n v="2017"/>
    <s v="01"/>
    <n v="38165"/>
    <n v="38990"/>
    <s v="Tian"/>
    <s v="Hanjiang"/>
    <s v="WV Univ Research Corp"/>
    <s v="018z 061E 148E 8020 9150 9200"/>
    <s v="018Z 061E 148E 8020 9150 9200"/>
    <s v="Standard Grant"/>
    <s v="Proposal Awarded"/>
    <m/>
    <s v="INTERN DCL - UNS: Collaborative Research: Multiple-Scale Investigation of Chemical Looping with Oxygen Carrier  Uncoupling"/>
    <s v="WPOWELL"/>
    <d v="2017-08-29T13:54:14"/>
    <n v="74"/>
  </r>
  <r>
    <d v="2017-09-27T14:08:11"/>
    <d v="2017-06-23T00:00:00"/>
    <d v="2017-07-24T10:42:2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9"/>
    <s v="I"/>
    <s v="eJ"/>
    <s v="1350436"/>
    <s v="1747949"/>
    <n v="2017"/>
    <s v="01"/>
    <n v="29778"/>
    <n v="29778"/>
    <s v="Yakacki"/>
    <s v="Christopher"/>
    <s v="U of Colorado Denver"/>
    <s v="018z 080E 8025 8037"/>
    <s v="018Z 080E 1045 8025 8037"/>
    <s v="Standard Grant"/>
    <s v="Proposal Awarded"/>
    <m/>
    <s v="INTERN DCL - CAREER: A Two-Stage Processing Approach to Shape-Switching Liquid-Crystalline Elastomers for Biomedical Applications"/>
    <s v="WPOWELL"/>
    <d v="2017-08-30T11:56:16"/>
    <n v="75"/>
  </r>
  <r>
    <d v="2017-09-27T14:08:11"/>
    <d v="2014-09-26T16:55:00"/>
    <d v="2015-04-15T16:10:55"/>
    <s v="07070000"/>
    <s v="05100003"/>
    <s v="5761 - INDUSTRY/UNIV COOP RES CENTERS"/>
    <s v="5761 - INDUSTRY/UNIV COOP RES CENTERS"/>
    <s v="TNANDAG"/>
    <s v="RRODRIG"/>
    <s v="4110"/>
    <s v="4110"/>
    <s v="NSF 13-594"/>
    <x v="0"/>
    <x v="0"/>
    <s v="AWD"/>
    <s v="CONT"/>
    <s v="CONT"/>
    <s v="IIP"/>
    <s v="1464654"/>
    <s v="L"/>
    <s v="eJ"/>
    <s v="1464654"/>
    <s v="1464654"/>
    <n v="2017"/>
    <s v="01"/>
    <n v="100000"/>
    <n v="692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6-14T11:52:22"/>
    <n v="76"/>
  </r>
  <r>
    <d v="2017-09-27T14:08:11"/>
    <d v="2015-03-03T15:56:00"/>
    <d v="2015-07-06T22:17:22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28"/>
    <s v="N"/>
    <s v="eJ"/>
    <s v="1540007"/>
    <s v="1540007"/>
    <n v="2017"/>
    <s v="01"/>
    <n v="45000"/>
    <n v="225000"/>
    <s v="Sampath"/>
    <s v="W.S."/>
    <s v="Colorado State University"/>
    <s v="5761 8040"/>
    <s v="5761 8040"/>
    <s v="Continuing grant"/>
    <s v="Proposal Awarded"/>
    <s v="Awarded"/>
    <s v="I/UCRC Phase II:  Next Generation Photovoltaics"/>
    <s v="WPOWELL"/>
    <d v="2017-07-12T07:02:41"/>
    <n v="77"/>
  </r>
  <r>
    <d v="2017-09-27T14:08:11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7"/>
    <s v="01"/>
    <n v="150000"/>
    <n v="750000"/>
    <s v="Hong"/>
    <s v="Yang-Ki"/>
    <s v="U of Alabama Tuscaloosa"/>
    <s v="5761 8040 9150"/>
    <s v="5761 8040 9150"/>
    <s v="Continuing grant"/>
    <s v="Proposal Awarded"/>
    <m/>
    <s v="Phase I I/UCRC University of Alabama: Center for Efficient Vehicles and Sustainable Transportation Systems (EV-STS)"/>
    <s v="WPOWELL"/>
    <d v="2017-01-31T15:19:47"/>
    <n v="78"/>
  </r>
  <r>
    <d v="2017-09-27T14:08:11"/>
    <d v="2012-09-28T11:48:00"/>
    <d v="2013-02-04T16:03:48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N"/>
    <s v="eJ"/>
    <s v="1266065"/>
    <s v="1266065"/>
    <n v="2017"/>
    <s v="01"/>
    <n v="60000"/>
    <n v="300000"/>
    <s v="Mann"/>
    <s v="Roger"/>
    <s v="William &amp; Mary Marine Inst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6-06T09:41:31"/>
    <n v="79"/>
  </r>
  <r>
    <d v="2017-09-27T14:08:11"/>
    <d v="2013-09-27T14:15:00"/>
    <d v="2014-01-31T13:32:4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N"/>
    <s v="eJ"/>
    <s v="1361977"/>
    <s v="1361977"/>
    <n v="2017"/>
    <s v="01"/>
    <n v="60000"/>
    <n v="442500"/>
    <s v="Goel"/>
    <s v="Vijay"/>
    <s v="University of Toled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6-15T10:34:52"/>
    <n v="80"/>
  </r>
  <r>
    <d v="2017-09-27T14:08:11"/>
    <d v="2015-03-03T15:58:00"/>
    <d v="2015-07-14T11:25:56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N"/>
    <s v="eJ"/>
    <s v="1540008"/>
    <s v="1540008"/>
    <n v="2017"/>
    <s v="01"/>
    <n v="0"/>
    <n v="325000"/>
    <s v="Davis"/>
    <s v="Christopher"/>
    <s v="U of MD College Park"/>
    <s v="5761 8039"/>
    <s v="5761 8039"/>
    <s v="Continuing grant"/>
    <s v="Proposal Awarded"/>
    <s v="Increment withdrawn by program"/>
    <s v="I/UCRC Phase I:  Collaborative Research: NSF I/UCRC Center for Fiber-Wireless Integration and Networking (FiWIN) for Heterogeneous Mobile Communications"/>
    <s v="scash"/>
    <d v="2017-09-05T11:11:54"/>
    <n v="81"/>
  </r>
  <r>
    <d v="2017-09-27T14:08:11"/>
    <d v="2017-02-27T14:44:00"/>
    <d v="2017-07-16T17:12:06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420"/>
    <s v="I"/>
    <s v="eJ"/>
    <s v="1738420"/>
    <s v="1738420"/>
    <n v="2017"/>
    <s v="01"/>
    <n v="450000"/>
    <n v="750000"/>
    <s v="Lam"/>
    <s v="Herman"/>
    <s v="University of Florida"/>
    <s v="5761"/>
    <s v="5761"/>
    <s v="Continuing grant"/>
    <s v="Proposal Awarded"/>
    <m/>
    <s v="Phase I IUCRC University of Florida:  Center for Space, High-Performance, and Resilient Computing (SHREC)"/>
    <s v="DCOATES"/>
    <d v="2017-08-16T19:36:13"/>
    <n v="82"/>
  </r>
  <r>
    <d v="2017-09-27T14:08:11"/>
    <d v="2012-09-28T13:26:00"/>
    <d v="2013-03-21T09:33:23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360"/>
    <s v="N"/>
    <s v="eJ"/>
    <s v="1266147"/>
    <s v="1266147"/>
    <n v="2017"/>
    <s v="01"/>
    <n v="60000"/>
    <n v="300000"/>
    <s v="Jajodia"/>
    <s v="Sushil"/>
    <s v="George Mason University"/>
    <s v="5761 8039"/>
    <s v="5761 8039"/>
    <s v="Continuing grant"/>
    <s v="Proposal Awarded"/>
    <s v="Awarded"/>
    <s v="I/UCRC:  Collaborative Research: I/UCRC Program Center for Configuration Analytics and Automation"/>
    <s v="VLRICHA"/>
    <d v="2017-06-14T12:01:34"/>
    <n v="83"/>
  </r>
  <r>
    <d v="2017-09-27T14:08:11"/>
    <d v="2016-07-11T14:27:00"/>
    <d v="2017-03-03T08:37:13"/>
    <s v="07070000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483"/>
    <s v="I"/>
    <s v="eJ"/>
    <s v="1650483"/>
    <s v="1650483"/>
    <n v="2017"/>
    <s v="01"/>
    <n v="150000"/>
    <n v="750000"/>
    <s v="Matthews"/>
    <s v="Ronald"/>
    <s v="U of Texas Austin"/>
    <s v="5761 8040 9150"/>
    <s v="5761 8040 9150"/>
    <s v="Continuing grant"/>
    <s v="Proposal Awarded"/>
    <m/>
    <s v="Phase I I/UCRC University of Texas at Austin: Center for Efficient Vehicles and Sustainable Transportation Systems (EV-STS)"/>
    <s v="WPOWELL"/>
    <d v="2017-03-28T14:12:15"/>
    <n v="84"/>
  </r>
  <r>
    <d v="2017-09-27T14:08:11"/>
    <d v="2013-03-05T14:27:00"/>
    <d v="2013-07-18T16:34:2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L"/>
    <s v="eJ"/>
    <s v="1338897"/>
    <s v="1338897"/>
    <n v="2017"/>
    <s v="01"/>
    <n v="92500"/>
    <n v="632500"/>
    <s v="Gill"/>
    <s v="Bikram"/>
    <s v="Kansas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8-18T15:23:31"/>
    <n v="85"/>
  </r>
  <r>
    <d v="2017-09-27T14:08:11"/>
    <d v="2014-03-04T16:04:00"/>
    <d v="2014-08-04T12:48:14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3"/>
    <s v="1439693"/>
    <n v="2017"/>
    <s v="01"/>
    <n v="65000"/>
    <n v="324998"/>
    <s v="Andrews"/>
    <s v="Anneliese"/>
    <s v="University of Denver"/>
    <s v="5761 8039"/>
    <s v="5761 8039"/>
    <s v="Continuing grant"/>
    <s v="Proposal Awarded"/>
    <s v="Awarded"/>
    <s v="I/UCRC Phase I: Robots and Sensors for the Human Well-being"/>
    <s v="VLRICHA"/>
    <d v="2017-08-30T08:18:01"/>
    <n v="86"/>
  </r>
  <r>
    <d v="2017-09-27T14:08:11"/>
    <d v="2013-03-05T14:42:00"/>
    <d v="2013-07-30T17:00:28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02"/>
    <s v="1338902"/>
    <n v="2017"/>
    <s v="01"/>
    <n v="60000"/>
    <n v="180000"/>
    <s v="Clarke"/>
    <s v="Keith"/>
    <s v="U of Cal Santa Barbara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9:10:38"/>
    <n v="87"/>
  </r>
  <r>
    <d v="2017-09-27T14:08:11"/>
    <d v="2015-03-03T14:11:00"/>
    <d v="2015-07-24T08:23:09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90"/>
    <s v="I"/>
    <s v="eJ"/>
    <s v="1539990"/>
    <s v="1539990"/>
    <n v="2017"/>
    <s v="01"/>
    <n v="65000"/>
    <n v="325000"/>
    <s v="Viswanathan"/>
    <s v="Ramanarayanan"/>
    <s v="University of Mississippi"/>
    <s v="5761 8039 9150"/>
    <s v="5761 8039"/>
    <s v="Continuing grant"/>
    <s v="Proposal Awarded"/>
    <s v="Awarded"/>
    <s v="I/UCRC Phase I: Broadband Wireless Access and Applications Center at the University of Mississippi"/>
    <s v="JHFRENC"/>
    <d v="2017-08-17T14:48:55"/>
    <n v="88"/>
  </r>
  <r>
    <d v="2017-09-27T14:08:11"/>
    <d v="2016-01-11T15:22:00"/>
    <d v="2016-08-01T18:55:05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84"/>
    <s v="I"/>
    <s v="eJ"/>
    <s v="1624684"/>
    <s v="1624684"/>
    <n v="2017"/>
    <s v="01"/>
    <n v="12500"/>
    <n v="750000"/>
    <s v="Betenbaugh"/>
    <s v="Michael"/>
    <s v="Johns Hopkins University"/>
    <s v="8038"/>
    <s v="8038"/>
    <s v="Continuing grant"/>
    <s v="Proposal Awarded"/>
    <s v="Awarded"/>
    <s v="Phase I I/UCRC Johns Hopkins University Site: Advanced Mammalian Biomanufacturing Innovation Center (AMBIC)"/>
    <s v="VLRICHA"/>
    <d v="2017-08-16T13:35:47"/>
    <n v="89"/>
  </r>
  <r>
    <d v="2017-09-27T14:08:11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7"/>
    <s v="01"/>
    <n v="150000"/>
    <n v="750000"/>
    <s v="Iyer"/>
    <s v="Ravishankar"/>
    <s v="U of Ill Urbana-Champaign"/>
    <s v="5761"/>
    <m/>
    <s v="Continuing grant"/>
    <s v="Proposal Awarded"/>
    <s v="Awarded"/>
    <s v="I/UCRC: Computing and Genomics-An Essential Partnership for Biology Breakthroughs"/>
    <s v="VLRICHA"/>
    <d v="2017-08-16T14:05:36"/>
    <n v="90"/>
  </r>
  <r>
    <d v="2017-09-27T14:08:11"/>
    <d v="2014-03-04T13:24:00"/>
    <d v="2014-07-29T18:34:2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L"/>
    <s v="eJ"/>
    <s v="1439645"/>
    <s v="1439645"/>
    <n v="2017"/>
    <s v="01"/>
    <n v="107654"/>
    <n v="512840"/>
    <s v="Makedon"/>
    <s v="Fillia"/>
    <s v="U of Texas Arlington"/>
    <s v="5761 8039"/>
    <s v="5761 8039"/>
    <s v="Continuing grant"/>
    <s v="Proposal Awarded"/>
    <s v="Awarded"/>
    <s v="I/UCRC Phase I: iPerform - I/UCRC for Assistive Technologies to Enhance Human Performance"/>
    <s v="VLRICHA"/>
    <d v="2017-06-30T09:19:04"/>
    <n v="91"/>
  </r>
  <r>
    <d v="2017-09-27T14:08:11"/>
    <d v="2013-09-27T12:54:00"/>
    <d v="2014-03-25T18:22:54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1926"/>
    <s v="L"/>
    <s v="eJ"/>
    <s v="1361926"/>
    <s v="1361926"/>
    <n v="2017"/>
    <s v="01"/>
    <n v="83175"/>
    <n v="630000"/>
    <s v="Vrudhula"/>
    <s v="Sarma"/>
    <s v="Arizona State University"/>
    <s v="5761 8039"/>
    <s v="5761 8039"/>
    <s v="Continuing grant"/>
    <s v="Proposal Awarded"/>
    <s v="Awarded"/>
    <s v="I/UCRC:  Consortium for Embedded Systems - Phase II"/>
    <s v="VLRICHA"/>
    <d v="2017-06-14T12:07:26"/>
    <n v="92"/>
  </r>
  <r>
    <d v="2017-09-27T14:08:11"/>
    <d v="2016-07-11T15:21:00"/>
    <d v="2017-01-26T11:00:4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99"/>
    <s v="I"/>
    <s v="eJ"/>
    <s v="1650499"/>
    <s v="1650499"/>
    <n v="2017"/>
    <s v="01"/>
    <n v="100000"/>
    <n v="500000"/>
    <s v="Kaufman"/>
    <s v="Arie"/>
    <s v="SUNY Stony Brook"/>
    <s v="5761"/>
    <m/>
    <s v="Continuing grant"/>
    <s v="Proposal Awarded"/>
    <m/>
    <s v="I/UCRC: Center for Visual and Decision Informatics (CVDI) Site at SUNY Stony Brook"/>
    <s v="ISATTLE"/>
    <d v="2017-02-13T11:02:17"/>
    <n v="93"/>
  </r>
  <r>
    <d v="2017-09-27T14:08:11"/>
    <d v="2013-09-27T17:50:00"/>
    <d v="2014-01-31T13:42:4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146"/>
    <s v="1362146"/>
    <n v="2017"/>
    <s v="01"/>
    <n v="60000"/>
    <n v="300000"/>
    <s v="Jasiuk"/>
    <s v="Iwona"/>
    <s v="U of Ill Urbana-Champaign"/>
    <s v="123E 5761"/>
    <s v="123E 5761"/>
    <s v="Continuing grant"/>
    <s v="Proposal Awarded"/>
    <s v="Awarded"/>
    <s v="I/UCRC:  Novel High Voltage/Temperature Materials and Structures"/>
    <s v="VLRICHA"/>
    <d v="2017-04-03T13:27:52"/>
    <n v="94"/>
  </r>
  <r>
    <d v="2017-09-27T14:08:11"/>
    <d v="2012-09-26T15:07:00"/>
    <d v="2013-04-16T17:32:2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5675"/>
    <s v="I"/>
    <s v="eJ"/>
    <s v="1265675"/>
    <s v="1265675"/>
    <n v="2017"/>
    <s v="01"/>
    <n v="0"/>
    <n v="239999"/>
    <s v="Joshi"/>
    <s v="Yogendra"/>
    <s v="Georgia Tech Research Corp"/>
    <s v="5761 8040"/>
    <s v="5761 8040"/>
    <s v="Continuing grant"/>
    <s v="Proposal Awarded"/>
    <s v="Increment withdrawn by program"/>
    <s v="I/UCRC:  in Energy-Smart Electronic Systems (ES2) - Site"/>
    <s v="gmisiore"/>
    <d v="2017-07-24T15:39:46"/>
    <n v="95"/>
  </r>
  <r>
    <d v="2017-09-27T14:08:11"/>
    <d v="2013-09-24T16:30:00"/>
    <d v="2014-03-17T17:20:3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505"/>
    <s v="1361505"/>
    <n v="2017"/>
    <s v="01"/>
    <n v="40000"/>
    <n v="200000"/>
    <s v="Pepper"/>
    <s v="Ian"/>
    <s v="U of Arizona"/>
    <s v="5761 8040"/>
    <s v="5761 8040"/>
    <s v="Continuing grant"/>
    <s v="Proposal Awarded"/>
    <s v="Awarded"/>
    <s v="I/UCRC:  Water and Environmental Technology Center"/>
    <s v="VLRICHA"/>
    <d v="2017-06-06T09:44:02"/>
    <n v="96"/>
  </r>
  <r>
    <d v="2017-09-27T14:08:11"/>
    <d v="2015-03-03T18:16:00"/>
    <d v="2015-07-24T08:24:48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40040"/>
    <s v="I"/>
    <s v="eJ"/>
    <s v="1540040"/>
    <s v="1540040"/>
    <n v="2017"/>
    <s v="01"/>
    <n v="45000"/>
    <n v="225000"/>
    <s v="Spanias"/>
    <s v="Andreas"/>
    <s v="Arizona State University"/>
    <s v="5761 8039"/>
    <s v="5761 8039"/>
    <s v="Continuing grant"/>
    <s v="Proposal Awarded"/>
    <s v="Awarded"/>
    <s v="I/UCRC Phase II:  ASU Research Site of the NSF Net-Centric and Cloud Software and Systems I/UCRC"/>
    <s v="VLRICHA"/>
    <d v="2017-09-13T08:57:02"/>
    <n v="97"/>
  </r>
  <r>
    <d v="2017-09-27T14:08:11"/>
    <d v="2013-09-24T16:42:00"/>
    <d v="2014-02-05T15:01:45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L"/>
    <s v="eJ"/>
    <s v="1361509"/>
    <s v="1361509"/>
    <n v="2017"/>
    <s v="01"/>
    <n v="71825"/>
    <n v="379125"/>
    <s v="Gamm"/>
    <s v="Larry"/>
    <s v="The Texas A&amp;M University S"/>
    <s v="5761 8042"/>
    <s v="5761 8042"/>
    <s v="Continuing grant"/>
    <s v="Proposal Awarded"/>
    <s v="Awarded"/>
    <s v="I/UCRC:  Center for Health Organization Transformation"/>
    <s v="VLRICHA"/>
    <d v="2017-03-23T08:59:04"/>
    <n v="98"/>
  </r>
  <r>
    <d v="2017-09-27T14:08:11"/>
    <d v="2013-03-05T16:19:00"/>
    <d v="2013-08-09T11:28:49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2"/>
    <s v="I"/>
    <s v="eJ"/>
    <s v="1338922"/>
    <s v="1338922"/>
    <n v="2017"/>
    <s v="01"/>
    <n v="71750"/>
    <n v="449542"/>
    <s v="Rishe"/>
    <s v="Naphtali"/>
    <s v="Florida International Univ"/>
    <s v="5761 8039"/>
    <s v="5761 8039"/>
    <s v="Continuing grant"/>
    <s v="Proposal Awarded"/>
    <s v="Awarded"/>
    <s v="I/UCRC:  Phase II: Center for Advanced Knowledge Enablement"/>
    <s v="VLRICHA"/>
    <d v="2017-08-22T15:50:01"/>
    <n v="99"/>
  </r>
  <r>
    <d v="2017-09-27T14:08:11"/>
    <d v="2013-09-27T17:30:00"/>
    <d v="2014-01-31T13:40:5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L"/>
    <s v="eJ"/>
    <s v="1362135"/>
    <s v="1362135"/>
    <n v="2017"/>
    <s v="01"/>
    <n v="116532"/>
    <n v="602660"/>
    <s v="Kumosa"/>
    <s v="Maciej"/>
    <s v="University of Denver"/>
    <s v="123E 5761"/>
    <s v="123E 5761"/>
    <s v="Continuing grant"/>
    <s v="Proposal Awarded"/>
    <s v="Awarded"/>
    <s v="I/UCRC:  Novel High Voltage/Temperature Materials and Structures"/>
    <s v="JKITTLE"/>
    <d v="2017-03-29T09:02:04"/>
    <n v="100"/>
  </r>
  <r>
    <d v="2017-09-27T14:08:11"/>
    <d v="2013-09-27T15:29:00"/>
    <d v="2014-03-17T17:27:1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N"/>
    <s v="eJ"/>
    <s v="1362033"/>
    <s v="1362033"/>
    <n v="2017"/>
    <s v="01"/>
    <n v="59999"/>
    <n v="299983"/>
    <s v="Rotea"/>
    <s v="Mario"/>
    <s v="U of Texas Dallas"/>
    <s v="5761 8040"/>
    <s v="5761 8040"/>
    <s v="Continuing grant"/>
    <s v="Proposal Awarded"/>
    <s v="Awarded"/>
    <s v="I/UCRC:  Wind Energy, Science, Technology, and Research (WindSTAR)"/>
    <s v="VLRICHA"/>
    <d v="2017-08-17T06:47:03"/>
    <n v="101"/>
  </r>
  <r>
    <d v="2017-09-27T14:08:11"/>
    <d v="2014-03-04T15:28:00"/>
    <d v="2014-07-24T08:39:45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N"/>
    <s v="eJ"/>
    <s v="1439680"/>
    <s v="1439680"/>
    <n v="2017"/>
    <s v="01"/>
    <n v="65000"/>
    <n v="323597"/>
    <s v="Yuan"/>
    <s v="Jiann"/>
    <s v="U of Central Florida"/>
    <s v="5761 8041"/>
    <s v="5761 8041"/>
    <s v="Continuing grant"/>
    <s v="Proposal Awarded"/>
    <s v="Awarded"/>
    <s v="I/UCRC Phase I:  Multi-functional Integrated System Technology (MIST)"/>
    <s v="VLRICHA"/>
    <d v="2017-09-08T09:44:11"/>
    <n v="102"/>
  </r>
  <r>
    <d v="2017-09-27T14:08:11"/>
    <d v="2012-09-28T13:51:00"/>
    <d v="2013-05-08T12:53:17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162"/>
    <s v="I"/>
    <s v="eJ"/>
    <s v="1266162"/>
    <s v="1266162"/>
    <n v="2017"/>
    <s v="01"/>
    <n v="60000"/>
    <n v="300000"/>
    <s v="Xiao"/>
    <s v="Jing"/>
    <s v="U of NC Charlotte"/>
    <s v="5761 8039"/>
    <s v="5761 8039"/>
    <s v="Continuing grant"/>
    <s v="Proposal Awarded"/>
    <s v="Increment withdrawn by program"/>
    <s v="I/UCRC:  New Site of  I/UCRC Safety, Security, and Rescue Research Center"/>
    <s v="spriya"/>
    <d v="2015-03-20T17:49:48"/>
    <n v="103"/>
  </r>
  <r>
    <d v="2017-09-27T14:08:11"/>
    <d v="2014-03-04T16:11:00"/>
    <d v="2014-08-04T12:48:3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5"/>
    <s v="1439695"/>
    <n v="2017"/>
    <s v="01"/>
    <n v="65000"/>
    <n v="325000"/>
    <s v="Xiao"/>
    <s v="Jing"/>
    <s v="U of NC Charlotte"/>
    <s v="5761 8039"/>
    <s v="5761 8039"/>
    <s v="Continuing grant"/>
    <s v="Proposal Awarded"/>
    <s v="Awarded"/>
    <s v="I/UCRC Phase I: Robots and Sensors for the Human Well-being"/>
    <s v="VLRICHA"/>
    <d v="2017-07-23T22:30:25"/>
    <n v="104"/>
  </r>
  <r>
    <d v="2017-09-27T14:08:11"/>
    <d v="2013-09-26T18:07:00"/>
    <d v="2014-03-17T17:21:16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815"/>
    <s v="1361815"/>
    <n v="2017"/>
    <s v="01"/>
    <n v="40000"/>
    <n v="200000"/>
    <s v="Abbaszadegan"/>
    <s v="Morteza"/>
    <s v="Arizona State University"/>
    <s v="5761 8040"/>
    <s v="5761 8040"/>
    <s v="Continuing grant"/>
    <s v="Proposal Awarded"/>
    <s v="Awarded"/>
    <s v="I/UCRC:  Water and Environmental Technology Center"/>
    <s v="VLRICHA"/>
    <d v="2017-04-10T11:55:59"/>
    <n v="105"/>
  </r>
  <r>
    <d v="2017-09-27T14:08:11"/>
    <d v="2013-03-08T12:45:00"/>
    <d v="2013-07-03T11:21:1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9009"/>
    <s v="I"/>
    <s v="eJ"/>
    <s v="1339009"/>
    <s v="1339009"/>
    <n v="2017"/>
    <s v="01"/>
    <n v="39999"/>
    <n v="199995"/>
    <s v="Noble"/>
    <s v="James"/>
    <s v="U of Missouri Columbia"/>
    <s v="5761 8042"/>
    <s v="5761 8042"/>
    <s v="Continuing grant"/>
    <s v="Proposal Awarded"/>
    <s v="Awarded"/>
    <s v="I/UCRC:  Center for Excellence in Logistics and Distribution - Phase 2 Missouri Research Site"/>
    <s v="VLRICHA"/>
    <d v="2017-07-17T18:00:46"/>
    <n v="106"/>
  </r>
  <r>
    <d v="2017-09-27T14:08:11"/>
    <d v="2014-03-04T13:14:00"/>
    <d v="2014-07-24T08:38:40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L"/>
    <s v="eJ"/>
    <s v="1439644"/>
    <s v="1439644"/>
    <n v="2017"/>
    <s v="01"/>
    <n v="107500"/>
    <n v="657500"/>
    <s v="Nishida"/>
    <s v="Toshikazu"/>
    <s v="University of Florida"/>
    <s v="5761 8041"/>
    <s v="5761 8041"/>
    <s v="Continuing grant"/>
    <s v="Proposal Awarded"/>
    <s v="Awarded"/>
    <s v="I/UCRC Phase I:  Multi-functional Integrated System Technology (MIST)"/>
    <s v="VLRICHA"/>
    <d v="2017-08-19T21:43:47"/>
    <n v="107"/>
  </r>
  <r>
    <d v="2017-09-27T14:08:11"/>
    <d v="2013-03-04T11:48:00"/>
    <d v="2013-06-13T11:39:33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L"/>
    <s v="eJ"/>
    <s v="1338775"/>
    <s v="1338775"/>
    <n v="2017"/>
    <s v="01"/>
    <n v="92500"/>
    <n v="495000"/>
    <s v="Bonning"/>
    <s v="Bryony"/>
    <s v="Iowa State University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08"/>
  </r>
  <r>
    <d v="2017-09-27T14:08:11"/>
    <d v="2013-09-25T13:05:00"/>
    <d v="2014-01-18T20:44:06"/>
    <s v="07070000"/>
    <s v="07070000"/>
    <s v="     - DATA NOT AVAILABLE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N"/>
    <s v="eJ"/>
    <s v="1361571"/>
    <s v="1361571"/>
    <n v="2017"/>
    <s v="01"/>
    <n v="60000"/>
    <n v="300000"/>
    <s v="Randall"/>
    <s v="Clive"/>
    <s v="PA St U University Park"/>
    <s v="123E 5761"/>
    <s v="123E 5761"/>
    <s v="Continuing grant"/>
    <s v="Proposal Awarded"/>
    <s v="Awarded"/>
    <s v="I/UCRC:  Multi-university I/UCRC for Dielectrics and Piezoelectrics"/>
    <s v="VLRICHA"/>
    <d v="2017-03-27T13:04:55"/>
    <n v="109"/>
  </r>
  <r>
    <d v="2017-09-27T14:08:11"/>
    <d v="2014-09-25T14:51:00"/>
    <d v="2015-03-11T10:11:1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489"/>
    <s v="I"/>
    <s v="eJ"/>
    <s v="1464489"/>
    <s v="1464489"/>
    <n v="2017"/>
    <s v="01"/>
    <n v="65000"/>
    <n v="325000"/>
    <s v="Puppala"/>
    <s v="Anand"/>
    <s v="U of Texas Arlington"/>
    <s v="125E 5761"/>
    <s v="125E 5761"/>
    <s v="Continuing grant"/>
    <s v="Proposal Awarded"/>
    <s v="Awarded"/>
    <s v="I/UCRC Phase I (Site Addition):  Expansion of CICI to Add a New Site at UTA on Sustainable Utilization of Composites in Infrastructure Systems"/>
    <s v="VLRICHA"/>
    <d v="2017-07-24T18:23:20"/>
    <n v="110"/>
  </r>
  <r>
    <d v="2017-09-27T14:08:11"/>
    <d v="2013-09-25T09:03:00"/>
    <d v="2014-03-17T17:22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N"/>
    <s v="eJ"/>
    <s v="1361532"/>
    <s v="1361532"/>
    <n v="2017"/>
    <s v="01"/>
    <n v="40000"/>
    <n v="200007"/>
    <s v="Lee"/>
    <s v="Eva"/>
    <s v="Georgia Tech Research Corp"/>
    <s v="5761 8042"/>
    <s v="5761 8042"/>
    <s v="Continuing grant"/>
    <s v="Proposal Awarded"/>
    <s v="Awarded"/>
    <s v="I/UCRC:  Center for Health Organization Transformation"/>
    <s v="VLRICHA"/>
    <d v="2017-06-15T10:55:29"/>
    <n v="111"/>
  </r>
  <r>
    <d v="2017-09-27T14:08:11"/>
    <d v="2016-07-11T17:10:00"/>
    <d v="2017-01-26T11:02:33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51"/>
    <s v="I"/>
    <s v="eJ"/>
    <s v="1650551"/>
    <s v="1650551"/>
    <n v="2017"/>
    <s v="01"/>
    <n v="99999"/>
    <n v="499995"/>
    <s v="Raghavan"/>
    <s v="Vijay"/>
    <s v="Univ of Louisiana at Lafay"/>
    <s v="5761 9150"/>
    <s v="9150"/>
    <s v="Continuing grant"/>
    <s v="Proposal Awarded"/>
    <m/>
    <s v="I/UCRC Phase II Renewal: Center for Visual and Decision Informatics (CVDI)"/>
    <s v="VLRICHA"/>
    <d v="2017-02-13T11:56:35"/>
    <n v="112"/>
  </r>
  <r>
    <d v="2017-09-27T14:08:11"/>
    <d v="2016-07-11T15:56:00"/>
    <d v="2017-01-26T11:01:51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12"/>
    <s v="I"/>
    <s v="eJ"/>
    <s v="1650512"/>
    <s v="1650512"/>
    <n v="2017"/>
    <s v="01"/>
    <n v="91894"/>
    <n v="500000"/>
    <s v="Beling"/>
    <s v="Peter"/>
    <s v="University of Virginia"/>
    <s v="5761"/>
    <m/>
    <s v="Continuing grant"/>
    <s v="Proposal Awarded"/>
    <m/>
    <s v="Center for Visual and Decision Informatics (CVDI) I/UCRC site at the University of Virginia"/>
    <s v="VLRICHA"/>
    <d v="2017-02-13T12:01:17"/>
    <n v="113"/>
  </r>
  <r>
    <d v="2017-09-27T14:08:11"/>
    <d v="2012-09-28T14:10:00"/>
    <d v="2013-04-12T13:38:54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266183"/>
    <s v="I"/>
    <s v="eJ"/>
    <s v="1266183"/>
    <s v="1266183"/>
    <n v="2017"/>
    <s v="01"/>
    <n v="0"/>
    <n v="300000"/>
    <s v="Govindaraju"/>
    <s v="Venugopal"/>
    <s v="SUNY Buffalo"/>
    <s v="5761 8039"/>
    <s v="5761 8039"/>
    <s v="Continuing grant"/>
    <s v="Proposal Awarded"/>
    <s v="Increment withdrawn by program"/>
    <s v="I/UCRC:  Identification Technology Research (CITeR) - UB Site"/>
    <s v="sglivens"/>
    <d v="2017-08-30T12:45:33"/>
    <n v="114"/>
  </r>
  <r>
    <d v="2017-09-27T14:08:11"/>
    <d v="2016-01-11T14:43:00"/>
    <d v="2016-08-01T16:49:01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41"/>
    <s v="I"/>
    <s v="eJ"/>
    <s v="1624641"/>
    <s v="1624641"/>
    <n v="2017"/>
    <s v="01"/>
    <n v="12500"/>
    <n v="750000"/>
    <s v="Harcum"/>
    <s v="Sarah"/>
    <s v="Clemson University"/>
    <s v="8038"/>
    <s v="8038"/>
    <s v="Continuing grant"/>
    <s v="Proposal Awarded"/>
    <s v="Awarded"/>
    <s v="Phase I I/UCRC Clemson University Site: Advanced Mammalian Biomanufacturing Innovation Center (AMBIC)"/>
    <s v="VLRICHA"/>
    <d v="2017-08-16T13:52:19"/>
    <n v="115"/>
  </r>
  <r>
    <d v="2017-09-27T14:08:11"/>
    <d v="2014-03-04T17:05:00"/>
    <d v="2014-08-01T20:28:2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722"/>
    <s v="1439722"/>
    <n v="2017"/>
    <s v="01"/>
    <n v="65000"/>
    <n v="325000"/>
    <s v="Reddy"/>
    <s v="A.L. Narasimha"/>
    <s v="Texas Engineering Exp Sta"/>
    <s v="5761 8039"/>
    <s v="5761 8039"/>
    <s v="Continuing grant"/>
    <s v="Proposal Awarded"/>
    <s v="Awarded"/>
    <s v="I/UCRC Phase II: Center on Intelligent Storage"/>
    <s v="VLRICHA"/>
    <d v="2017-08-30T14:28:48"/>
    <n v="116"/>
  </r>
  <r>
    <d v="2017-09-27T14:08:11"/>
    <d v="2013-03-05T10:03:00"/>
    <d v="2013-06-26T07:32:0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L"/>
    <s v="eJ"/>
    <s v="1338877"/>
    <s v="1338877"/>
    <n v="2017"/>
    <s v="01"/>
    <n v="95000"/>
    <n v="595000"/>
    <s v="Rolland"/>
    <s v="Jannick"/>
    <s v="University of Rochester"/>
    <s v="5761 8037"/>
    <s v="5761 8037"/>
    <s v="Continuing grant"/>
    <s v="Proposal Awarded"/>
    <s v="Increment withdrawn by program"/>
    <s v="I/UCRC:  Collaborative Research: Center for Freeform Optics"/>
    <s v="REORGENG"/>
    <d v="2015-06-26T22:41:10"/>
    <n v="117"/>
  </r>
  <r>
    <d v="2017-09-27T14:08:11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7"/>
    <s v="01"/>
    <n v="100000"/>
    <n v="500000"/>
    <s v="Schuckers"/>
    <s v="Stephanie"/>
    <s v="Clarkson University"/>
    <s v="5761"/>
    <s v="5761"/>
    <s v="Continuing grant"/>
    <s v="Proposal Awarded"/>
    <m/>
    <s v="I/UCRC Phase II: I/UCRC for Identification Technology Research"/>
    <s v="DCOATES"/>
    <d v="2017-02-28T17:43:19"/>
    <n v="118"/>
  </r>
  <r>
    <d v="2017-09-27T14:08:11"/>
    <d v="2013-09-24T16:21:00"/>
    <d v="2014-01-18T20:38:3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L"/>
    <s v="eJ"/>
    <s v="1361503"/>
    <s v="1361503"/>
    <n v="2017"/>
    <s v="01"/>
    <n v="102696"/>
    <n v="533441"/>
    <s v="Dickey"/>
    <s v="Elizabeth"/>
    <s v="North Carolina State U"/>
    <s v="123E 5761"/>
    <s v="123E 5761"/>
    <s v="Continuing grant"/>
    <s v="Proposal Awarded"/>
    <s v="Awarded"/>
    <s v="I/UCRC:  Multi-university I/UCRC for Dielectrics and Piezoelectrics"/>
    <s v="VLRICHA"/>
    <d v="2017-03-23T09:01:01"/>
    <n v="119"/>
  </r>
  <r>
    <d v="2017-09-27T14:08:11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7"/>
    <s v="01"/>
    <n v="149972"/>
    <n v="299956"/>
    <s v="Ray"/>
    <s v="Indrakshi"/>
    <s v="Colorado State University"/>
    <s v="5761"/>
    <s v="5761"/>
    <s v="Continuing grant"/>
    <s v="Proposal Awarded"/>
    <m/>
    <s v="Colorado State University Site Addition: I/UCRC Center for Configuration Analytics and Automation"/>
    <s v="DCOATES"/>
    <d v="2017-02-21T09:26:09"/>
    <n v="120"/>
  </r>
  <r>
    <d v="2017-09-27T14:08:11"/>
    <d v="2016-01-11T15:37:00"/>
    <d v="2016-08-01T17:17:1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98"/>
    <s v="I"/>
    <s v="eJ"/>
    <s v="1624698"/>
    <s v="1624698"/>
    <n v="2017"/>
    <s v="01"/>
    <n v="12500"/>
    <n v="750000"/>
    <s v="Lee"/>
    <s v="Kelvin"/>
    <s v="University of Delaware"/>
    <s v="8038 9150"/>
    <s v="8038 9150"/>
    <s v="Continuing grant"/>
    <s v="Proposal Awarded"/>
    <s v="Awarded"/>
    <s v="Phase I I/UCRC University of Delaware Site: Advanced Mammalian Biomanufacturing Innovation Center (AMBIC)"/>
    <s v="VLRICHA"/>
    <d v="2017-08-16T13:43:58"/>
    <n v="121"/>
  </r>
  <r>
    <d v="2017-09-27T14:08:11"/>
    <d v="2013-09-27T19:18:00"/>
    <d v="2014-03-25T18:18:27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67"/>
    <s v="I"/>
    <s v="eJ"/>
    <s v="1362167"/>
    <s v="1362167"/>
    <n v="2017"/>
    <s v="01"/>
    <n v="60000"/>
    <n v="300000"/>
    <s v="Stone"/>
    <s v="Robert"/>
    <s v="Oregon State University"/>
    <s v="5761 8039"/>
    <s v="5761 8039"/>
    <s v="Continuing grant"/>
    <s v="Proposal Awarded"/>
    <s v="Awarded"/>
    <s v="I/UCRC:  IT-Enabled Design and Realization of Engineered Products and Systems"/>
    <s v="VLRICHA"/>
    <d v="2017-07-13T15:13:20"/>
    <n v="122"/>
  </r>
  <r>
    <d v="2017-09-27T14:08:11"/>
    <d v="2013-09-26T17:44:00"/>
    <d v="2014-02-05T15:04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809"/>
    <s v="I"/>
    <s v="eJ"/>
    <s v="1361809"/>
    <s v="1361809"/>
    <n v="2017"/>
    <s v="01"/>
    <n v="60000"/>
    <n v="300000"/>
    <s v="Wickramasinghe"/>
    <s v="Ranil"/>
    <s v="U of Arkansas"/>
    <s v="123E 5761 9150"/>
    <s v="123E 5761 9150"/>
    <s v="Continuing grant"/>
    <s v="Proposal Awarded"/>
    <s v="Awarded"/>
    <s v="I/UCRC:  University of Arkansas Membrane Science, Engineering and Technology (MAST) Center Site Proposal"/>
    <s v="VLRICHA"/>
    <d v="2017-03-27T13:00:57"/>
    <n v="123"/>
  </r>
  <r>
    <d v="2017-09-27T14:08:11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7"/>
    <s v="01"/>
    <n v="50000"/>
    <n v="150000"/>
    <s v="Terpenny"/>
    <s v="Janis"/>
    <s v="PA St U University Park"/>
    <s v="5761"/>
    <s v="5761"/>
    <s v="Continuing grant"/>
    <s v="Proposal Awarded"/>
    <m/>
    <s v="I/UCRC:  Penn State University Phase III: Center for e-Design"/>
    <s v="VLRICHA"/>
    <d v="2017-02-28T10:05:52"/>
    <n v="124"/>
  </r>
  <r>
    <d v="2017-09-27T14:08:11"/>
    <d v="2013-09-27T19:15:00"/>
    <d v="2014-01-31T13:4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65"/>
    <s v="L"/>
    <s v="eJ"/>
    <s v="1362165"/>
    <s v="1362165"/>
    <n v="2017"/>
    <s v="01"/>
    <n v="103175"/>
    <n v="595000"/>
    <s v="Lee"/>
    <s v="Abraham"/>
    <s v="U of Cal Irvine"/>
    <s v="5761 8041"/>
    <s v="5761 8041"/>
    <s v="Continuing grant"/>
    <s v="Proposal Awarded"/>
    <s v="Awarded"/>
    <s v="I/UCRC:  Center for Advanced Design and Manufacturing of Integrated Microfluidics (CADMIM)"/>
    <s v="VLRICHA"/>
    <d v="2017-02-06T11:58:54"/>
    <n v="125"/>
  </r>
  <r>
    <d v="2017-09-27T14:08:11"/>
    <d v="2012-09-28T17:05:00"/>
    <d v="2013-03-17T20:07:48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6360"/>
    <s v="L"/>
    <s v="eJ"/>
    <s v="1266360"/>
    <s v="1266360"/>
    <n v="2017"/>
    <s v="01"/>
    <n v="102275"/>
    <n v="595000"/>
    <s v="Al-Shaer"/>
    <s v="Ehab"/>
    <s v="U of NC Charlotte"/>
    <s v="5761 8039"/>
    <s v="5761 8039"/>
    <s v="Continuing grant"/>
    <s v="Proposal Awarded"/>
    <s v="Awarded"/>
    <s v="I/UCRC:  Collaborative Research: I/UCRC Center for Configuration Analytics and Automation"/>
    <s v="VLRICHA"/>
    <d v="2017-06-19T12:58:37"/>
    <n v="126"/>
  </r>
  <r>
    <d v="2017-09-27T14:08:11"/>
    <d v="2014-03-04T15:29:00"/>
    <d v="2014-08-04T12:47:45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81"/>
    <s v="1439681"/>
    <n v="2017"/>
    <s v="01"/>
    <n v="65000"/>
    <n v="325000"/>
    <s v="Daniilidis"/>
    <s v="Kostas"/>
    <s v="U of Pennsylvania"/>
    <s v="5761 8039"/>
    <s v="5761 8039"/>
    <s v="Continuing grant"/>
    <s v="Proposal Awarded"/>
    <s v="Awarded"/>
    <s v="I/UCRC Phase I: Robots and Sensors for the Human Well-being"/>
    <s v="VLRICHA"/>
    <d v="2017-09-07T11:07:40"/>
    <n v="127"/>
  </r>
  <r>
    <d v="2017-09-27T14:08:11"/>
    <d v="2013-09-27T15:19:00"/>
    <d v="2014-02-05T15:26:5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L"/>
    <s v="eJ"/>
    <s v="1362022"/>
    <s v="1362022"/>
    <n v="2017"/>
    <s v="01"/>
    <n v="102950"/>
    <n v="484653"/>
    <s v="Niezrecki"/>
    <s v="Christopher"/>
    <s v="Univ of Mass Lowell"/>
    <s v="5761 8040"/>
    <s v="5761 8040"/>
    <s v="Continuing grant"/>
    <s v="Proposal Awarded"/>
    <s v="Awarded"/>
    <s v="I/UCRC:  Wind Energy, Science, Technology, and Research (WindSTAR)"/>
    <s v="VLRICHA"/>
    <d v="2017-06-06T09:47:06"/>
    <n v="128"/>
  </r>
  <r>
    <d v="2017-09-27T14:08:11"/>
    <d v="2013-09-27T15:39:00"/>
    <d v="2014-01-31T13:41:4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040"/>
    <s v="1362040"/>
    <n v="2017"/>
    <s v="01"/>
    <n v="59999"/>
    <n v="299997"/>
    <s v="Odegard"/>
    <s v="Gregory"/>
    <s v="Mich Technological Univ"/>
    <s v="123E 5761"/>
    <s v="123E 5761"/>
    <s v="Continuing grant"/>
    <s v="Proposal Awarded"/>
    <s v="Awarded"/>
    <s v="I/UCRC:  Novel High Voltage/Temperature Materials and Structures"/>
    <s v="JKITTLE"/>
    <d v="2017-03-29T08:59:31"/>
    <n v="129"/>
  </r>
  <r>
    <d v="2017-09-27T14:08:11"/>
    <d v="2017-02-28T15:30:00"/>
    <d v="2017-07-06T22:08:10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14"/>
    <s v="I"/>
    <s v="eJ"/>
    <s v="1738714"/>
    <s v="1738714"/>
    <n v="2017"/>
    <s v="01"/>
    <n v="200000"/>
    <n v="500000"/>
    <s v="Atkins"/>
    <s v="Ella"/>
    <s v="University of Michigan"/>
    <s v="5761"/>
    <s v="5761"/>
    <s v="Continuing grant"/>
    <s v="Proposal Awarded"/>
    <m/>
    <s v="Phase II IUCRC University of Michigan: Center for Unmanned Aircraft Systems (C-UAS)"/>
    <s v="PCONYER"/>
    <d v="2017-08-29T11:09:41"/>
    <n v="130"/>
  </r>
  <r>
    <d v="2017-09-27T14:08:11"/>
    <d v="2016-07-11T14:05:00"/>
    <d v="2017-02-04T18:23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74"/>
    <s v="I"/>
    <s v="eJ"/>
    <s v="1650474"/>
    <s v="1650474"/>
    <n v="2017"/>
    <s v="01"/>
    <n v="100000"/>
    <n v="750000"/>
    <s v="Valenti"/>
    <s v="Matthew"/>
    <s v="WV Univ Research Corp"/>
    <s v="5761 9150"/>
    <s v="5761 9150"/>
    <s v="Continuing grant"/>
    <s v="Proposal Awarded"/>
    <m/>
    <s v="I/UCRC Phase II: Center for Identification Technology Research"/>
    <s v="DCOATES"/>
    <d v="2017-03-10T11:12:26"/>
    <n v="131"/>
  </r>
  <r>
    <d v="2017-09-27T14:08:11"/>
    <d v="2016-07-11T16:51:00"/>
    <d v="2017-02-02T14:47:46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36"/>
    <s v="I"/>
    <s v="eJ"/>
    <s v="1650536"/>
    <s v="1650536"/>
    <n v="2017"/>
    <s v="01"/>
    <n v="150000"/>
    <n v="7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3-08T17:12:17"/>
    <n v="132"/>
  </r>
  <r>
    <d v="2017-09-27T14:08:11"/>
    <d v="2016-07-11T17:48:00"/>
    <d v="2017-02-09T18:05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66"/>
    <s v="I"/>
    <s v="eJ"/>
    <s v="1650566"/>
    <s v="1650566"/>
    <n v="2017"/>
    <s v="01"/>
    <n v="150000"/>
    <n v="7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3-14T16:07:35"/>
    <n v="133"/>
  </r>
  <r>
    <d v="2017-09-27T14:08:11"/>
    <d v="2017-02-28T16:34:00"/>
    <d v="2017-07-16T17:34:31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83"/>
    <s v="I"/>
    <s v="eJ"/>
    <s v="1738783"/>
    <s v="1738783"/>
    <n v="2017"/>
    <s v="01"/>
    <n v="450000"/>
    <n v="750000"/>
    <s v="George"/>
    <s v="Alan"/>
    <s v="U of Pittsburgh"/>
    <s v="5761"/>
    <s v="5761"/>
    <s v="Continuing grant"/>
    <s v="Proposal Awarded"/>
    <m/>
    <s v="Phase I IUCRC University of Pittsburgh: Center for Space, High-performance, and Resilient Computing (SHREC)"/>
    <s v="PCONYER"/>
    <d v="2017-08-09T11:52:16"/>
    <n v="134"/>
  </r>
  <r>
    <d v="2017-09-27T14:08:11"/>
    <d v="2017-02-27T18:26:00"/>
    <d v="2017-07-16T17:22:34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550"/>
    <s v="I"/>
    <s v="eJ"/>
    <s v="1738550"/>
    <s v="1738550"/>
    <n v="2017"/>
    <s v="01"/>
    <n v="450000"/>
    <n v="750000"/>
    <s v="Wirthlin"/>
    <s v="Michael"/>
    <s v="Brigham Young University"/>
    <s v="5761"/>
    <s v="5761"/>
    <s v="Continuing grant"/>
    <s v="Proposal Awarded"/>
    <m/>
    <s v="Phase I IUCRC Brigham Young University: Center for Space, High-performance,  and Resilient Computing (SHREC)"/>
    <s v="PCONYER"/>
    <d v="2017-08-15T15:05:52"/>
    <n v="135"/>
  </r>
  <r>
    <d v="2017-09-27T14:08:11"/>
    <d v="2012-09-28T16:18:00"/>
    <d v="2013-07-10T17:07:29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5960"/>
    <s v="N"/>
    <s v="eJ"/>
    <s v="1266311"/>
    <s v="1266311"/>
    <n v="2017"/>
    <s v="01"/>
    <n v="60000"/>
    <n v="300000"/>
    <s v="Horowitz"/>
    <s v="Barry"/>
    <s v="University of Virginia"/>
    <s v="5761 8039"/>
    <s v="5761 8039"/>
    <s v="Continuing grant"/>
    <s v="Proposal Awarded"/>
    <s v="Increment withdrawn by program"/>
    <s v="I/UCRC:  Broadband Wireless Access &amp; Applications Center (BWAC)"/>
    <s v="VLRICHA"/>
    <d v="2015-09-04T14:27:21"/>
    <n v="136"/>
  </r>
  <r>
    <d v="2017-09-27T14:08:11"/>
    <d v="2013-09-27T17:27:00"/>
    <d v="2014-03-25T18:17:50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34"/>
    <s v="I"/>
    <s v="eJ"/>
    <s v="1362134"/>
    <s v="1362134"/>
    <n v="2017"/>
    <s v="01"/>
    <n v="60000"/>
    <n v="400000"/>
    <s v="Sill"/>
    <s v="Alan"/>
    <s v="Texas Tech University"/>
    <s v="5761 8039"/>
    <s v="5761 8039"/>
    <s v="Continuing grant"/>
    <s v="Proposal Awarded"/>
    <s v="Awarded"/>
    <s v="I/UCRC:  Cloud and Autonomic Computing I/UCRC site at Texas Tech University (CAC@TTU)"/>
    <s v="VLRICHA"/>
    <d v="2017-06-30T09:04:12"/>
    <n v="137"/>
  </r>
  <r>
    <d v="2017-09-27T14:08:11"/>
    <d v="2016-07-11T13:40:00"/>
    <d v="2017-02-02T11:34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5"/>
    <s v="I"/>
    <s v="eJ"/>
    <s v="1650465"/>
    <s v="1650465"/>
    <n v="2017"/>
    <s v="01"/>
    <n v="100000"/>
    <n v="5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DCOATES"/>
    <d v="2017-02-22T12:36:57"/>
    <n v="138"/>
  </r>
  <r>
    <d v="2017-09-27T14:08:11"/>
    <d v="2015-03-03T12:49:00"/>
    <d v="2015-07-27T13:33:27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75"/>
    <s v="I"/>
    <s v="eJ"/>
    <s v="1539975"/>
    <s v="1539975"/>
    <n v="2017"/>
    <s v="01"/>
    <n v="0"/>
    <n v="324996"/>
    <s v="Woolsey"/>
    <s v="Craig"/>
    <s v="VA Polytechnic Inst &amp; St U"/>
    <s v="5761 8039"/>
    <m/>
    <s v="Continuing grant"/>
    <s v="Proposal Awarded"/>
    <s v="Increment withdrawn by program"/>
    <s v="I/UCRC Phase I:  VT Site Addition to the Center for UAS"/>
    <s v="sglivens"/>
    <d v="2017-08-16T14:57:18"/>
    <n v="139"/>
  </r>
  <r>
    <d v="2017-09-27T14:08:11"/>
    <d v="2014-03-04T14:30:00"/>
    <d v="2014-08-01T20:32:18"/>
    <s v="07070000"/>
    <s v="05100003"/>
    <s v="     - DATA NOT AVAILABLE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4"/>
    <s v="1439664"/>
    <n v="2017"/>
    <s v="01"/>
    <n v="45000"/>
    <n v="225000"/>
    <s v="Brown"/>
    <s v="Sheldon"/>
    <s v="U of Cal San Diego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17:44"/>
    <n v="140"/>
  </r>
  <r>
    <d v="2017-09-27T14:08:11"/>
    <d v="2013-09-27T16:09:00"/>
    <d v="2014-01-31T13:1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75"/>
    <s v="L"/>
    <s v="eJ"/>
    <s v="1362075"/>
    <s v="1362075"/>
    <n v="2017"/>
    <s v="01"/>
    <n v="102275"/>
    <n v="531375"/>
    <s v="Botte"/>
    <s v="Gerardine"/>
    <s v="Ohio University"/>
    <s v="5761 8041"/>
    <s v="5761 8041"/>
    <s v="Continuing grant"/>
    <s v="Proposal Awarded"/>
    <s v="Increment withdrawn by program"/>
    <s v="I/UCRC:  Center for Electrochemical Processes and Technology (CEProTECH)"/>
    <s v="cnanders"/>
    <d v="2017-02-07T08:54:08"/>
    <n v="141"/>
  </r>
  <r>
    <d v="2017-09-27T14:08:11"/>
    <d v="2014-03-04T17:00:00"/>
    <d v="2014-08-04T12:45:4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N"/>
    <s v="eJ"/>
    <s v="1439718"/>
    <s v="1439718"/>
    <n v="2017"/>
    <s v="01"/>
    <n v="65000"/>
    <n v="324999"/>
    <s v="Daescu"/>
    <s v="Ovidiu"/>
    <s v="U of Texas Dallas"/>
    <s v="5761 8039"/>
    <s v="5761 8039"/>
    <s v="Continuing grant"/>
    <s v="Proposal Awarded"/>
    <s v="Awarded"/>
    <s v="I/UCRC Phase I: iPerform - I/UCRC for Assistive Technologies to Enhance Human Performance"/>
    <s v="VLRICHA"/>
    <d v="2017-07-17T18:02:55"/>
    <n v="142"/>
  </r>
  <r>
    <d v="2017-09-27T14:08:11"/>
    <d v="2013-03-05T14:28:00"/>
    <d v="2013-06-27T14:09:0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N"/>
    <s v="eJ"/>
    <s v="1338898"/>
    <s v="1338898"/>
    <n v="2017"/>
    <s v="01"/>
    <n v="60000"/>
    <n v="400000"/>
    <s v="Davies"/>
    <s v="Angela"/>
    <s v="U of NC Charlotte"/>
    <s v="5761 8037"/>
    <s v="5761 8037"/>
    <s v="Continuing grant"/>
    <s v="Proposal Awarded"/>
    <s v="Awarded"/>
    <s v="I/UCRC:  Collaborative Research: Center for Freeform Optics"/>
    <s v="VLRICHA"/>
    <d v="2017-06-06T09:49:43"/>
    <n v="143"/>
  </r>
  <r>
    <d v="2017-09-27T14:08:11"/>
    <d v="2013-03-05T15:16:00"/>
    <d v="2013-07-18T16:36:51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N"/>
    <s v="eJ"/>
    <s v="1338906"/>
    <s v="1338906"/>
    <n v="2017"/>
    <s v="01"/>
    <n v="60000"/>
    <n v="300000"/>
    <s v="Byrne"/>
    <s v="Patrick"/>
    <s v="Colorado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7-26T07:41:28"/>
    <n v="144"/>
  </r>
  <r>
    <d v="2017-09-27T14:08:11"/>
    <d v="2017-02-28T15:45:00"/>
    <d v="2017-07-18T16:35:5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723"/>
    <s v="I"/>
    <s v="eJ"/>
    <s v="1738723"/>
    <s v="1738723"/>
    <n v="2017"/>
    <s v="01"/>
    <n v="50000"/>
    <n v="500000"/>
    <s v="Dapino"/>
    <s v="Marcelo"/>
    <s v="Ohio State University"/>
    <s v="5761 8037"/>
    <s v="5761"/>
    <s v="Continuing grant"/>
    <s v="Proposal Awarded"/>
    <m/>
    <s v="Phase III IUCRC Ohio State University: Center for Smart Vehicle Concepts (SVC)"/>
    <s v="WPOWELL"/>
    <d v="2017-08-07T11:34:01"/>
    <n v="145"/>
  </r>
  <r>
    <d v="2017-09-27T14:08:11"/>
    <d v="2016-07-11T17:02:00"/>
    <d v="2017-02-07T20:51:21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47"/>
    <s v="I"/>
    <s v="eJ"/>
    <s v="1650547"/>
    <s v="1650547"/>
    <n v="2017"/>
    <s v="01"/>
    <n v="100000"/>
    <n v="5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3-15T17:50:46"/>
    <n v="146"/>
  </r>
  <r>
    <d v="2017-09-27T14:08:11"/>
    <d v="2014-03-11T12:34:00"/>
    <d v="2014-07-31T08:35:0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N"/>
    <s v="eJ"/>
    <s v="1440107"/>
    <s v="1440107"/>
    <n v="2017"/>
    <s v="01"/>
    <n v="0"/>
    <n v="199985"/>
    <s v="Chen"/>
    <s v="Ji"/>
    <s v="U of Houston"/>
    <s v="5761 8036"/>
    <s v="5761 8043"/>
    <s v="Continuing grant"/>
    <s v="Proposal Awarded"/>
    <s v="Increment withdrawn by program"/>
    <s v="I/UCRC Phase II:  Center for Electromagnetic Compatibility"/>
    <s v="gmisiore"/>
    <d v="2017-09-15T14:03:19"/>
    <n v="147"/>
  </r>
  <r>
    <d v="2017-09-27T14:08:11"/>
    <d v="2014-03-04T18:50:00"/>
    <d v="2014-08-04T12:46:5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N"/>
    <s v="eJ"/>
    <s v="1439732"/>
    <s v="1439732"/>
    <n v="2017"/>
    <s v="01"/>
    <n v="0"/>
    <n v="324995"/>
    <s v="Kessler"/>
    <s v="Michael"/>
    <s v="Washington State Univ"/>
    <s v="123E 5761 9150"/>
    <s v="123E 5761 9150"/>
    <s v="Continuing grant"/>
    <s v="Proposal Awarded"/>
    <s v="Increment withdrawn by program"/>
    <s v="I/UCRC Phase I:  Center for Bioplastics and BIocomposites"/>
    <s v="cnanders"/>
    <d v="2017-08-03T11:59:30"/>
    <n v="148"/>
  </r>
  <r>
    <d v="2017-09-27T14:08:11"/>
    <d v="2016-07-11T11:12:00"/>
    <d v="2017-02-22T16:40:18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31"/>
    <s v="I"/>
    <s v="eJ"/>
    <s v="1650431"/>
    <s v="1650431"/>
    <n v="2017"/>
    <s v="01"/>
    <n v="99994"/>
    <n v="487253"/>
    <s v="Hu"/>
    <s v="Xiaohua (Tony)"/>
    <s v="Drexel University"/>
    <s v="5761"/>
    <m/>
    <s v="Continuing grant"/>
    <s v="Proposal Awarded"/>
    <m/>
    <s v="I/UCRC Phase II Renewal: Center for Visual and Decision Informatics (CVDI)"/>
    <s v="DCOATES"/>
    <d v="2017-03-16T17:14:08"/>
    <n v="149"/>
  </r>
  <r>
    <d v="2017-09-27T14:08:11"/>
    <d v="2013-03-04T10:28:00"/>
    <d v="2013-06-13T11:40:3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N"/>
    <s v="eJ"/>
    <s v="1338766"/>
    <s v="1338766"/>
    <n v="2017"/>
    <s v="01"/>
    <n v="60000"/>
    <n v="300000"/>
    <s v="Palli"/>
    <s v="Subba"/>
    <s v="U of Kentucky Res Fdn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50"/>
  </r>
  <r>
    <d v="2017-09-27T14:08:11"/>
    <d v="2015-03-03T15:19:00"/>
    <d v="2015-07-14T12:07:2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0"/>
    <s v="I"/>
    <s v="eJ"/>
    <s v="1540000"/>
    <s v="1540000"/>
    <n v="2017"/>
    <s v="01"/>
    <n v="64999"/>
    <n v="425000"/>
    <s v="Rawn"/>
    <s v="Claudia"/>
    <s v="U of Tennessee Knoxville"/>
    <s v="123E 5761 8041 9150"/>
    <s v="123E 5761 8041 9150"/>
    <s v="Continuing grant"/>
    <s v="Proposal Awarded"/>
    <s v="Awarded"/>
    <s v="I/UCRC Phase I (Site): Center for Integrative Materials Joining Science for Energy Applications (CIMJSEA) University of Tennessee, Knoxville, (UTK) Site"/>
    <s v="VLRICHA"/>
    <d v="2017-08-19T21:54:59"/>
    <n v="151"/>
  </r>
  <r>
    <d v="2017-09-27T14:08:11"/>
    <d v="2015-03-03T13:16:00"/>
    <d v="2015-07-14T11:24:45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L"/>
    <s v="eJ"/>
    <s v="1539976"/>
    <s v="1539976"/>
    <n v="2017"/>
    <s v="01"/>
    <n v="108385"/>
    <n v="652233"/>
    <s v="Chang"/>
    <s v="Gee-Kung"/>
    <s v="Georgia Tech Research Corp"/>
    <s v="5761 8039"/>
    <s v="5761 8039"/>
    <s v="Continuing grant"/>
    <s v="Proposal Awarded"/>
    <s v="Awarded"/>
    <s v="I/UCRC Phase I:  Collaborative Research: NSF I/UCRC Center for Fiber-Wireless Integration and Networking (FiWIN) for Heterogeneous Mobile Communications"/>
    <s v="VLRICHA"/>
    <d v="2017-08-19T21:39:52"/>
    <n v="152"/>
  </r>
  <r>
    <d v="2017-09-27T14:08:11"/>
    <d v="2015-03-03T15:25:00"/>
    <d v="2015-07-28T17:41:38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3"/>
    <s v="I"/>
    <s v="eJ"/>
    <s v="1540003"/>
    <s v="1540003"/>
    <n v="2017"/>
    <s v="01"/>
    <n v="0"/>
    <n v="325000"/>
    <s v="Roberts"/>
    <s v="Christopher"/>
    <s v="University of Delaware"/>
    <s v="123E 8037 9150"/>
    <s v="123E 8037 9150"/>
    <s v="Continuing grant"/>
    <s v="Proposal Awarded"/>
    <s v="Increment withdrawn by program"/>
    <s v="I/UCRC Phase I (Site): Center for Pharmaceutical Development U. of Delaware Site"/>
    <s v="cnanders"/>
    <d v="2017-09-19T13:29:50"/>
    <n v="153"/>
  </r>
  <r>
    <d v="2017-09-27T14:08:11"/>
    <d v="2013-03-04T12:20:00"/>
    <d v="2013-06-25T12:36:20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780"/>
    <s v="I"/>
    <s v="eJ"/>
    <s v="1338780"/>
    <s v="1338780"/>
    <n v="2017"/>
    <s v="01"/>
    <n v="60000"/>
    <n v="300000"/>
    <s v="Kim"/>
    <s v="Kyoung-Yun"/>
    <s v="Wayne State University"/>
    <s v="5761 8039"/>
    <s v="5761 8039"/>
    <s v="Continuing grant"/>
    <s v="Proposal Awarded"/>
    <s v="Awarded"/>
    <s v="I/UCRC:  Center for e-Design: IT Enabled Design and Realization of Products and Systems"/>
    <s v="VLRICHA"/>
    <d v="2017-08-16T14:08:34"/>
    <n v="154"/>
  </r>
  <r>
    <d v="2017-09-27T14:08:11"/>
    <d v="2012-09-28T15:54:00"/>
    <d v="2013-02-13T17:36:32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279"/>
    <s v="I"/>
    <s v="eJ"/>
    <s v="1266279"/>
    <s v="1266279"/>
    <n v="2017"/>
    <s v="01"/>
    <n v="59999"/>
    <n v="353195"/>
    <s v="Djurdjanovic"/>
    <s v="Dragan"/>
    <s v="U of Texas Austin"/>
    <s v="5761 8039"/>
    <s v="5761 8039"/>
    <s v="Continuing grant"/>
    <s v="Proposal Awarded"/>
    <s v="Awarded"/>
    <s v="I-UCRC:  The University of Texas at Austin Site of the I-UCRC on Intelligent Maintenance Systems"/>
    <s v="VLRICHA"/>
    <d v="2017-05-02T12:14:56"/>
    <n v="155"/>
  </r>
  <r>
    <d v="2017-09-27T14:08:11"/>
    <d v="2012-09-27T15:36:00"/>
    <d v="2013-07-10T17:04:59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5960"/>
    <s v="N"/>
    <s v="eJ"/>
    <s v="1265886"/>
    <s v="1265886"/>
    <n v="2017"/>
    <s v="01"/>
    <n v="60000"/>
    <n v="300000"/>
    <s v="Park"/>
    <s v="Jung-Min"/>
    <s v="VA Polytechnic Inst &amp; St U"/>
    <s v="5761 8039"/>
    <s v="5761 8039"/>
    <s v="Continuing grant"/>
    <s v="Proposal Awarded"/>
    <s v="Awarded"/>
    <s v="I/UCRC:  Collaborative Research:  Broadband Wireless Access &amp; Applications Center (BWAC)"/>
    <s v="VLRICHA"/>
    <d v="2017-07-03T09:30:49"/>
    <n v="156"/>
  </r>
  <r>
    <d v="2017-09-27T14:08:11"/>
    <d v="2016-07-11T13:49:00"/>
    <d v="2017-02-21T19:02:0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8"/>
    <s v="I"/>
    <s v="eJ"/>
    <s v="1650468"/>
    <s v="1650468"/>
    <n v="2017"/>
    <s v="01"/>
    <n v="100000"/>
    <n v="499996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3-23T14:58:13"/>
    <n v="157"/>
  </r>
  <r>
    <d v="2017-09-27T14:08:11"/>
    <d v="2016-07-11T13:52:00"/>
    <d v="2016-12-21T15:52:5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CONT"/>
    <s v="CONT"/>
    <s v="IIP"/>
    <s v="1650470"/>
    <s v="I"/>
    <s v="eJ"/>
    <s v="1650470"/>
    <s v="1650470"/>
    <n v="2017"/>
    <s v="01"/>
    <n v="199757"/>
    <n v="299560"/>
    <s v="Nasiri"/>
    <s v="Adel"/>
    <s v="U of Wisconsin Milwaukee"/>
    <s v="5761 8036"/>
    <s v="5761 8036"/>
    <s v="Continuing grant"/>
    <s v="Proposal Awarded"/>
    <m/>
    <s v="Phase II I/UCRC University of Wisconsin-Milwaukee: Center for Grid-connected Advanced Power Electronic Systems (GRAPES)"/>
    <s v="WPOWELL"/>
    <d v="2017-01-19T10:33:22"/>
    <n v="158"/>
  </r>
  <r>
    <d v="2017-09-27T14:08:11"/>
    <d v="2015-03-03T15:10:00"/>
    <d v="2015-06-26T14:44:3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N"/>
    <s v="eJ"/>
    <s v="1539999"/>
    <s v="1539999"/>
    <n v="2017"/>
    <s v="01"/>
    <n v="65000"/>
    <n v="325000"/>
    <s v="Lou"/>
    <s v="Jun"/>
    <s v="William Marsh Rice Univ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4T18:20:26"/>
    <n v="159"/>
  </r>
  <r>
    <d v="2017-09-27T14:08:11"/>
    <d v="2014-03-04T12:58:00"/>
    <d v="2014-07-24T08:35:14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L"/>
    <s v="eJ"/>
    <s v="1439639"/>
    <s v="1439639"/>
    <n v="2017"/>
    <s v="01"/>
    <n v="0"/>
    <n v="657500"/>
    <s v="Grewell"/>
    <s v="David"/>
    <s v="Iowa State University"/>
    <s v="123E 5761 9150"/>
    <s v="123E 5761 9150"/>
    <s v="Continuing grant"/>
    <s v="Proposal Awarded"/>
    <s v="Increment withdrawn by program"/>
    <s v="I/UCRC Phase I:  Center for Bioplastics and BIocomposites"/>
    <s v="cnanders"/>
    <d v="2017-08-01T13:31:26"/>
    <n v="160"/>
  </r>
  <r>
    <d v="2017-09-27T14:08:11"/>
    <d v="2014-03-04T13:41:00"/>
    <d v="2014-07-31T08:31:46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53"/>
    <s v="I"/>
    <s v="eJ"/>
    <s v="1439653"/>
    <s v="1439653"/>
    <n v="2017"/>
    <s v="01"/>
    <n v="65000"/>
    <n v="325000"/>
    <s v="Ettl"/>
    <s v="Gregory"/>
    <s v="U of Washington"/>
    <s v="5761 8038"/>
    <s v="5761 8038"/>
    <s v="Continuing grant"/>
    <s v="Proposal Awarded"/>
    <s v="Awarded"/>
    <s v="I/UCRC Phase II: Center For Advanced Forestry Systems"/>
    <s v="WPOWELL"/>
    <d v="2017-09-20T08:26:22"/>
    <n v="161"/>
  </r>
  <r>
    <d v="2017-09-27T14:08:11"/>
    <d v="2013-09-27T16:39:00"/>
    <d v="2014-02-05T15:08:4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03"/>
    <s v="I"/>
    <s v="eJ"/>
    <s v="1362103"/>
    <s v="1362103"/>
    <n v="2017"/>
    <s v="01"/>
    <n v="60000"/>
    <n v="299631"/>
    <s v="Shannon"/>
    <s v="Steven"/>
    <s v="North Carolina State U"/>
    <s v="5761 8041"/>
    <s v="5761 8041"/>
    <s v="Continuing grant"/>
    <s v="Proposal Awarded"/>
    <s v="Increment withdrawn by program"/>
    <s v="I/UCRC:  Proposal to add North Carolina State University as a center site for the existing I/UCRC &quot;Center for Lasers and Plasmas in Advanced Manufacturing&quot;"/>
    <s v="WPOWELL"/>
    <d v="2015-07-23T13:33:29"/>
    <n v="162"/>
  </r>
  <r>
    <d v="2017-09-27T14:08:11"/>
    <d v="2014-03-11T12:47:00"/>
    <d v="2014-07-31T08:36:29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L"/>
    <s v="eJ"/>
    <s v="1440110"/>
    <s v="1440110"/>
    <n v="2017"/>
    <s v="01"/>
    <n v="87875"/>
    <n v="520000"/>
    <s v="Fan"/>
    <s v="Jun"/>
    <s v="Missouri S&amp;T"/>
    <s v="5761 8036"/>
    <s v="5761 8043"/>
    <s v="Continuing grant"/>
    <s v="Proposal Awarded"/>
    <s v="Increment withdrawn by program"/>
    <s v="I/UCRC Phase II:  Center for Electromagnetic Compatibility"/>
    <s v="REORGENG"/>
    <d v="2015-06-26T22:41:10"/>
    <n v="163"/>
  </r>
  <r>
    <d v="2017-09-27T14:08:11"/>
    <d v="2017-02-28T16:52:00"/>
    <d v="2017-07-13T08:59:5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802"/>
    <s v="I"/>
    <s v="eJ"/>
    <s v="1738802"/>
    <s v="1738802"/>
    <n v="2017"/>
    <s v="01"/>
    <n v="192759"/>
    <n v="500000"/>
    <s v="Yin"/>
    <s v="Huiming"/>
    <s v="Columbia University"/>
    <s v="127E 5761"/>
    <s v="5761"/>
    <s v="Continuing grant"/>
    <s v="Proposal Awarded"/>
    <m/>
    <s v="Phase II IUCRC Columbia University: Center for Energy Harvesting Materials and Systems (CEHMS)"/>
    <s v="WPOWELL"/>
    <d v="2017-08-03T21:03:45"/>
    <n v="164"/>
  </r>
  <r>
    <d v="2017-09-27T14:08:11"/>
    <d v="2013-09-24T16:03:00"/>
    <d v="2014-02-07T07:18:3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L"/>
    <s v="eJ"/>
    <s v="1361498"/>
    <s v="1361498"/>
    <n v="2017"/>
    <s v="01"/>
    <n v="98080"/>
    <n v="510220"/>
    <s v="Suri"/>
    <s v="Rominder"/>
    <s v="Temple University"/>
    <s v="5761 8040"/>
    <s v="5761 8040"/>
    <s v="Continuing grant"/>
    <s v="Proposal Awarded"/>
    <s v="Increment withdrawn by program"/>
    <s v="I/UCRC:  Water and Environmental Technology Center"/>
    <s v="REORGENG"/>
    <d v="2015-06-26T22:41:10"/>
    <n v="165"/>
  </r>
  <r>
    <d v="2017-09-27T14:08:11"/>
    <d v="2014-03-04T16:52:00"/>
    <d v="2014-08-04T12:48:5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717"/>
    <s v="1439717"/>
    <n v="2017"/>
    <s v="01"/>
    <n v="65000"/>
    <n v="325000"/>
    <s v="Matson"/>
    <s v="Eric"/>
    <s v="Purdue University"/>
    <s v="5761 8039"/>
    <s v="5761 8039"/>
    <s v="Continuing grant"/>
    <s v="Proposal Awarded"/>
    <s v="Awarded"/>
    <s v="I/UCRC Phase I: Robots and Sensors for the Human Well-being"/>
    <s v="VLRICHA"/>
    <d v="2017-08-03T13:54:36"/>
    <n v="166"/>
  </r>
  <r>
    <d v="2017-09-27T14:08:11"/>
    <d v="2014-09-26T14:33:00"/>
    <d v="2015-03-04T11:05:4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N"/>
    <s v="eJ"/>
    <s v="1464595"/>
    <s v="1464595"/>
    <n v="2017"/>
    <s v="01"/>
    <n v="65000"/>
    <n v="425000"/>
    <s v="Gupton"/>
    <s v="Bernard"/>
    <s v="Virginia Commonwealth Univ"/>
    <s v="5761 9150"/>
    <s v="5761 8041"/>
    <s v="Continuing grant"/>
    <s v="Proposal Awarded"/>
    <s v="Awarded"/>
    <s v="Collaborative Research:  I/UCRC Phase I:  The Center for Rational Catalyst Synthesis"/>
    <s v="VLRICHA"/>
    <d v="2017-08-27T20:27:35"/>
    <n v="167"/>
  </r>
  <r>
    <d v="2017-09-27T14:08:11"/>
    <d v="2013-03-05T15:44:00"/>
    <d v="2013-07-30T17:00:53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14"/>
    <s v="1338914"/>
    <n v="2017"/>
    <s v="01"/>
    <n v="60000"/>
    <n v="300000"/>
    <s v="Bol"/>
    <s v="Peter"/>
    <s v="Harvard University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8:25:37"/>
    <n v="168"/>
  </r>
  <r>
    <d v="2017-09-27T14:08:11"/>
    <d v="2015-03-03T16:24:00"/>
    <d v="2015-06-26T14:43:18"/>
    <s v="07070000"/>
    <s v="07070000"/>
    <s v="     - DATA NOT AVAILABLE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L"/>
    <s v="eJ"/>
    <s v="1540018"/>
    <s v="1540018"/>
    <n v="2017"/>
    <s v="01"/>
    <n v="107605"/>
    <n v="558025"/>
    <s v="Terrones"/>
    <s v="Mauricio"/>
    <s v="PA St U University Park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3T22:34:15"/>
    <n v="169"/>
  </r>
  <r>
    <d v="2017-09-27T14:08:11"/>
    <d v="2016-01-11T15:57:00"/>
    <d v="2016-08-01T17:19:3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718"/>
    <s v="I"/>
    <s v="eJ"/>
    <s v="1624718"/>
    <s v="1624718"/>
    <n v="2017"/>
    <s v="01"/>
    <n v="12500"/>
    <n v="749849"/>
    <s v="Yoon"/>
    <s v="Seongkyu"/>
    <s v="Univ of Mass Lowell"/>
    <s v="8038"/>
    <s v="8038"/>
    <s v="Continuing grant"/>
    <s v="Proposal Awarded"/>
    <s v="Awarded"/>
    <s v="Phase I I/UCRC University of Massachusetts Lowell Site: Advanced Mammalian Biomanufacturing Innovation Center (AMBIC)"/>
    <s v="VLRICHA"/>
    <d v="2017-08-16T13:54:48"/>
    <n v="170"/>
  </r>
  <r>
    <d v="2017-09-27T14:08:11"/>
    <d v="2014-09-26T16:04:00"/>
    <d v="2015-03-04T11:04:46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L"/>
    <s v="eJ"/>
    <s v="1464630"/>
    <s v="1464630"/>
    <n v="2017"/>
    <s v="01"/>
    <n v="106974"/>
    <n v="779875"/>
    <s v="Regalbuto"/>
    <s v="John"/>
    <s v="U of SC Columbia"/>
    <s v="5761 8041 9150"/>
    <s v="5761 8041"/>
    <s v="Continuing grant"/>
    <s v="Proposal Awarded"/>
    <s v="Awarded"/>
    <s v="Collaborative Research:  I/UCRC Phase I:  The Center for Rational Catalyst Synthesis"/>
    <s v="PAHAWKI"/>
    <d v="2017-07-20T08:12:55"/>
    <n v="171"/>
  </r>
  <r>
    <d v="2017-09-27T14:08:11"/>
    <d v="2013-09-17T09:33:00"/>
    <d v="2014-02-12T08:17:1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0860"/>
    <s v="I"/>
    <s v="eJ"/>
    <s v="1360860"/>
    <s v="1360860"/>
    <n v="2017"/>
    <s v="01"/>
    <n v="60000"/>
    <n v="300000"/>
    <s v="Enebak"/>
    <s v="Scott"/>
    <s v="Auburn University"/>
    <s v="5761 8038 9150"/>
    <s v="5761 8038 9150"/>
    <s v="Continuing grant"/>
    <s v="Proposal Awarded"/>
    <s v="Awarded"/>
    <s v="I/UCRC:  Seedling Production and Forest Health in the Southeastern United States"/>
    <s v="VLRICHA"/>
    <d v="2017-02-06T12:07:37"/>
    <n v="172"/>
  </r>
  <r>
    <d v="2017-09-27T14:08:11"/>
    <d v="2013-09-27T15:46:00"/>
    <d v="2014-03-25T18:16:18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046"/>
    <s v="I"/>
    <s v="eJ"/>
    <s v="1362046"/>
    <s v="1362046"/>
    <n v="2017"/>
    <s v="01"/>
    <n v="60000"/>
    <n v="359999"/>
    <s v="Burger"/>
    <s v="Eric"/>
    <s v="Georgetown University"/>
    <s v="5761 8039"/>
    <s v="5761 8039"/>
    <s v="Continuing grant"/>
    <s v="Proposal Awarded"/>
    <s v="Awarded"/>
    <s v="I/UCRC:  S2ERC at Georgetown University"/>
    <s v="VLRICHA"/>
    <d v="2017-06-14T10:29:30"/>
    <n v="173"/>
  </r>
  <r>
    <d v="2017-09-27T14:08:11"/>
    <d v="2013-09-27T14:13:00"/>
    <d v="2014-01-31T13:31:5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L"/>
    <s v="eJ"/>
    <s v="1361975"/>
    <s v="1361975"/>
    <n v="2017"/>
    <s v="01"/>
    <n v="100100"/>
    <n v="661001"/>
    <s v="Lotz"/>
    <s v="Jeffrey"/>
    <s v="U of Cal San Francisc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7-03T14:32:26"/>
    <n v="174"/>
  </r>
  <r>
    <d v="2017-09-27T14:08:11"/>
    <d v="2012-09-28T11:36:00"/>
    <d v="2013-02-04T16:02:5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L"/>
    <s v="eJ"/>
    <s v="1266057"/>
    <s v="1266057"/>
    <n v="2017"/>
    <s v="01"/>
    <n v="101868"/>
    <n v="529340"/>
    <s v="Powell"/>
    <s v="Eric"/>
    <s v="U of Southern Mississippi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4-05T14:38:14"/>
    <n v="175"/>
  </r>
  <r>
    <d v="2017-09-27T14:08:11"/>
    <d v="2014-03-04T14:50:00"/>
    <d v="2014-08-01T20:33:34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8"/>
    <s v="1439668"/>
    <n v="2017"/>
    <s v="01"/>
    <n v="65000"/>
    <n v="425000"/>
    <s v="DuVall"/>
    <s v="Scott"/>
    <s v="University of Utah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21:35"/>
    <n v="176"/>
  </r>
  <r>
    <d v="2017-09-27T14:08:11"/>
    <d v="2014-03-04T14:57:00"/>
    <d v="2014-08-01T20:27:5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672"/>
    <s v="1439672"/>
    <n v="2017"/>
    <s v="01"/>
    <n v="65001"/>
    <n v="325001"/>
    <s v="Kant"/>
    <s v="Krishna"/>
    <s v="Temple University"/>
    <s v="5761 8039"/>
    <s v="5761 8039"/>
    <s v="Continuing grant"/>
    <s v="Proposal Awarded"/>
    <s v="Awarded"/>
    <s v="I/UCRC Phase II: Center on Intelligent Storage"/>
    <s v="VLRICHA"/>
    <d v="2017-09-06T15:21:11"/>
    <n v="177"/>
  </r>
  <r>
    <d v="2017-09-27T14:08:11"/>
    <d v="2015-03-03T16:51:00"/>
    <d v="2015-07-10T13:47:26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L"/>
    <s v="eJ"/>
    <s v="1540027"/>
    <s v="1540027"/>
    <n v="2017"/>
    <s v="01"/>
    <n v="88250"/>
    <n v="470000"/>
    <s v="Haber"/>
    <s v="Richard"/>
    <s v="Rutgers Univ New Brunswick"/>
    <s v="123E 5761 8041"/>
    <s v="123E 5761 8041"/>
    <s v="Continuing grant"/>
    <s v="Proposal Awarded"/>
    <s v="Awarded"/>
    <s v="I/UCRC Phase II:  Collaborative Research: Ceramic, Composite and Optical Materials Center"/>
    <s v="VLRICHA"/>
    <d v="2017-08-27T20:25:15"/>
    <n v="178"/>
  </r>
  <r>
    <d v="2017-09-27T14:08:11"/>
    <d v="2014-03-04T15:39:00"/>
    <d v="2014-08-01T15:21:51"/>
    <s v="07070000"/>
    <s v="05100003"/>
    <s v="5761 - INDUSTRY/UNIV COOP RES CENTERS"/>
    <s v="5761 - INDUSTRY/UNIV COOP RES CENTERS"/>
    <s v="SPRIYA"/>
    <s v=""/>
    <s v="4110"/>
    <s v="4110"/>
    <s v="NSF 13-594"/>
    <x v="3"/>
    <x v="0"/>
    <s v="AWD"/>
    <s v="CONT"/>
    <s v="CONT"/>
    <s v="IIP"/>
    <s v="1439683"/>
    <s v="I"/>
    <s v="eJ"/>
    <s v="1439683"/>
    <s v="1439683"/>
    <n v="2017"/>
    <s v="01"/>
    <n v="15000"/>
    <n v="75000"/>
    <s v="Krishnamurty"/>
    <s v="Sundar"/>
    <s v="U of Massachusetts Amherst"/>
    <s v="5761 8039"/>
    <s v="5761 8039"/>
    <s v="Continuing grant"/>
    <s v="Proposal Awarded"/>
    <s v="Awarded"/>
    <s v="I/UCRC Phase III: e-Design: IT-Enabled Design and Realization of Engineered Products and Systems"/>
    <s v="VLRICHA"/>
    <d v="2017-08-16T14:03:10"/>
    <n v="179"/>
  </r>
  <r>
    <d v="2017-09-27T14:08:11"/>
    <d v="2015-03-03T16:52:00"/>
    <d v="2015-07-06T22:16:18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8"/>
    <s v="L"/>
    <s v="eJ"/>
    <s v="1540028"/>
    <s v="1540028"/>
    <n v="2017"/>
    <s v="01"/>
    <n v="88250"/>
    <n v="461250"/>
    <s v="Korgel"/>
    <s v="Brian"/>
    <s v="U of Texas Austin"/>
    <s v="5761 8040"/>
    <s v="5761 8040"/>
    <s v="Continuing grant"/>
    <s v="Proposal Awarded"/>
    <s v="Awarded"/>
    <s v="I/UCRC Phase II:  Next Generation Photovoltaics"/>
    <s v="PAHAWKI"/>
    <d v="2017-07-20T08:20:24"/>
    <n v="180"/>
  </r>
  <r>
    <d v="2017-09-27T14:08:11"/>
    <d v="2015-03-03T14:16:00"/>
    <d v="2015-07-10T13:45:35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39992"/>
    <s v="L"/>
    <s v="eJ"/>
    <s v="1539992"/>
    <s v="1539992"/>
    <n v="2017"/>
    <s v="01"/>
    <n v="108100"/>
    <n v="550000"/>
    <s v="Lippold"/>
    <s v="John"/>
    <s v="Ohio State University"/>
    <s v="123E 5761 8041"/>
    <s v="123E 5761 8041"/>
    <s v="Continuing grant"/>
    <s v="Proposal Awarded"/>
    <s v="Awarded"/>
    <s v="I/UCRC Phase II:  Collaborative Research: CIMJSEA Phase II Proposal"/>
    <s v="VLRICHA"/>
    <d v="2017-08-22T15:11:18"/>
    <n v="181"/>
  </r>
  <r>
    <d v="2017-09-27T14:08:11"/>
    <d v="2015-03-03T16:49:00"/>
    <d v="2015-07-10T13:48:32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N"/>
    <s v="eJ"/>
    <s v="1540025"/>
    <s v="1540025"/>
    <n v="2017"/>
    <s v="01"/>
    <n v="45000"/>
    <n v="325000"/>
    <s v="Brown"/>
    <s v="Philip"/>
    <s v="Clemson University"/>
    <s v="123E 5761 8041 9150"/>
    <s v="123E 5761 8041 9150"/>
    <s v="Continuing grant"/>
    <s v="Proposal Awarded"/>
    <s v="Awarded"/>
    <s v="I/UCRC Phase II:  Collaborative Research: Ceramic, Composite and Optical Materials Center"/>
    <s v="WPOWELL"/>
    <d v="2017-09-21T06:55:54"/>
    <n v="182"/>
  </r>
  <r>
    <d v="2017-09-27T14:08:11"/>
    <d v="2013-09-25T10:24:00"/>
    <d v="2014-02-07T07:12:51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543"/>
    <s v="I"/>
    <s v="eJ"/>
    <s v="1361543"/>
    <s v="1361543"/>
    <n v="2017"/>
    <s v="01"/>
    <n v="60000"/>
    <n v="300000"/>
    <s v="Wagner"/>
    <s v="Robert"/>
    <s v="University of Maine"/>
    <s v="5761 8038 9150"/>
    <s v="5761 8038 9150"/>
    <s v="Continuing grant"/>
    <s v="Proposal Awarded"/>
    <s v="Awarded"/>
    <s v="I/UCRC:  Phase 2 - UMaine Membership in IUCRC Center for Advanced Forestry Systems"/>
    <s v="VLRICHA"/>
    <d v="2017-07-20T14:53:10"/>
    <n v="183"/>
  </r>
  <r>
    <d v="2017-09-27T14:08:11"/>
    <d v="2013-09-26T15:41:00"/>
    <d v="2014-02-07T07:14:45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755"/>
    <s v="I"/>
    <s v="eJ"/>
    <s v="1361755"/>
    <s v="1361755"/>
    <n v="2017"/>
    <s v="01"/>
    <n v="60000"/>
    <n v="300000"/>
    <s v="Kane"/>
    <s v="Michael"/>
    <s v="U of Georgia Res Fdn Inc"/>
    <s v="5761 8038"/>
    <s v="5761 8038"/>
    <s v="Continuing grant"/>
    <s v="Proposal Awarded"/>
    <s v="Awarded"/>
    <s v="I/UCRC:  Center for Advanced Forestry Systems University of Georgia Site Phase II"/>
    <s v="VLRICHA"/>
    <d v="2017-03-27T13:14:06"/>
    <n v="184"/>
  </r>
  <r>
    <d v="2017-09-27T14:08:11"/>
    <d v="2014-09-26T13:18:00"/>
    <d v="2015-02-23T07:5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L"/>
    <s v="eJ"/>
    <s v="1464560"/>
    <s v="1464560"/>
    <n v="2017"/>
    <s v="01"/>
    <n v="88550"/>
    <n v="324999"/>
    <s v="Apelian"/>
    <s v="Diran"/>
    <s v="Worcester Polytech Inst"/>
    <s v="5761 8040"/>
    <s v="5761 8040"/>
    <s v="Continuing grant"/>
    <s v="Proposal Awarded"/>
    <s v="Awarded"/>
    <s v="Collaborative Research:  I/UCRC Phase II:  Center for Resource Recovery &amp; Recycling"/>
    <s v="PAHAWKI"/>
    <d v="2017-07-20T08:21:32"/>
    <n v="185"/>
  </r>
  <r>
    <d v="2017-09-27T14:08:11"/>
    <d v="2017-02-28T16:44:00"/>
    <d v="2017-07-24T08:08:56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93"/>
    <s v="I"/>
    <s v="eJ"/>
    <s v="1738793"/>
    <s v="1738793"/>
    <n v="2017"/>
    <s v="01"/>
    <n v="200000"/>
    <n v="500000"/>
    <s v="Sammakia"/>
    <s v="Bahgat"/>
    <s v="SUNY Binghamton"/>
    <s v="5761 8040"/>
    <s v="5761"/>
    <s v="Continuing grant"/>
    <s v="Proposal Awarded"/>
    <m/>
    <s v="Phase II IUCRC Binghamton University: Center for Energy-Smart Electronic Systems (ES2)"/>
    <s v="WPOWELL"/>
    <d v="2017-08-20T19:42:50"/>
    <n v="186"/>
  </r>
  <r>
    <d v="2017-09-27T14:08:11"/>
    <d v="2013-09-27T15:57:00"/>
    <d v="2014-02-05T15:30:58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L"/>
    <s v="eJ"/>
    <s v="1362060"/>
    <s v="1362060"/>
    <n v="2017"/>
    <s v="01"/>
    <n v="82500"/>
    <n v="628464"/>
    <s v="Moudgil"/>
    <s v="Brij"/>
    <s v="University of Florida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07:47:55"/>
    <n v="187"/>
  </r>
  <r>
    <d v="2017-09-27T14:08:11"/>
    <d v="2014-03-04T15:55:00"/>
    <d v="2014-07-30T13:31:1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700"/>
    <s v="N"/>
    <s v="eJ"/>
    <s v="1439689"/>
    <s v="1439689"/>
    <n v="2017"/>
    <s v="01"/>
    <n v="45000"/>
    <n v="225000"/>
    <s v="Dougal"/>
    <s v="Roger"/>
    <s v="U of SC Columbia"/>
    <s v="5761 8040 9150"/>
    <s v="8036 9150"/>
    <s v="Continuing grant"/>
    <s v="Proposal Awarded"/>
    <s v="Awarded"/>
    <s v="I/UCRC Phase II: Grid-connected Advanced Power Electronic Systems (GRAPES)"/>
    <s v="VLRICHA"/>
    <d v="2017-08-11T12:38:43"/>
    <n v="188"/>
  </r>
  <r>
    <d v="2017-09-27T14:08:11"/>
    <d v="2014-03-04T15:53:00"/>
    <d v="2014-08-01T10:48:4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L"/>
    <s v="eJ"/>
    <s v="1439688"/>
    <s v="1439688"/>
    <n v="2017"/>
    <s v="01"/>
    <n v="93000"/>
    <n v="484998"/>
    <s v="GangaRao"/>
    <s v="Hota"/>
    <s v="WV Univ Research Corp"/>
    <s v="125E 5761 9150"/>
    <s v="125E 5761 9150"/>
    <s v="Continuing grant"/>
    <s v="Proposal Awarded"/>
    <s v="Awarded"/>
    <s v="I/UCRC Phase II: Center for the Integration of Composites into Infrastructure (CICI)"/>
    <s v="VLRICHA"/>
    <d v="2017-09-08T10:07:18"/>
    <n v="189"/>
  </r>
  <r>
    <d v="2017-09-27T14:08:11"/>
    <d v="2015-03-03T16:59:00"/>
    <d v="2015-07-27T17:36:07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0"/>
    <s v="I"/>
    <s v="eJ"/>
    <s v="1540030"/>
    <s v="1540030"/>
    <n v="2017"/>
    <s v="01"/>
    <n v="45000"/>
    <n v="225000"/>
    <s v="Ruzic"/>
    <s v="David"/>
    <s v="U of Ill Urbana-Champaign"/>
    <s v="123E 8037"/>
    <s v="123E 8037"/>
    <s v="Continuing grant"/>
    <s v="Proposal Awarded"/>
    <s v="Awarded"/>
    <s v="I/UCRC Phase II:  Center for Lasers and Plasma for Advanced Manufacturing"/>
    <s v="VLRICHA"/>
    <d v="2017-09-15T06:54:41"/>
    <n v="190"/>
  </r>
  <r>
    <d v="2017-09-27T14:08:11"/>
    <d v="2013-09-27T16:11:00"/>
    <d v="2014-02-05T15:32:34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N"/>
    <s v="eJ"/>
    <s v="1362078"/>
    <s v="1362078"/>
    <n v="2017"/>
    <s v="01"/>
    <n v="40000"/>
    <n v="300000"/>
    <s v="Somasundaran"/>
    <s v="Ponisseril"/>
    <s v="Columbia University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12:09:00"/>
    <n v="191"/>
  </r>
  <r>
    <d v="2017-09-27T14:08:11"/>
    <d v="2014-03-03T15:02:00"/>
    <d v="2014-08-01T10:4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543"/>
    <s v="1439543"/>
    <n v="2017"/>
    <s v="01"/>
    <n v="45000"/>
    <n v="225000"/>
    <s v="Nanni"/>
    <s v="Antonio"/>
    <s v="University of Miami"/>
    <s v="125E 5761"/>
    <s v="125E 5761"/>
    <s v="Continuing grant"/>
    <s v="Proposal Awarded"/>
    <s v="Awarded"/>
    <s v="I/UCRC Phase II: Center for the Integration of Composites into Infrastructure (CICI)"/>
    <s v="VLRICHA"/>
    <d v="2017-08-19T22:01:35"/>
    <n v="192"/>
  </r>
  <r>
    <d v="2017-09-27T14:08:11"/>
    <d v="2016-07-11T13:19:00"/>
    <d v="2017-01-03T13:34:47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60"/>
    <s v="I"/>
    <s v="eJ"/>
    <s v="1650460"/>
    <s v="1650460"/>
    <n v="2017"/>
    <s v="01"/>
    <n v="199989"/>
    <n v="499979"/>
    <s v="Batur"/>
    <s v="Celal"/>
    <s v="University of Akron"/>
    <s v="123E 5761"/>
    <s v="123E 5761"/>
    <s v="Continuing grant"/>
    <s v="Proposal Awarded"/>
    <m/>
    <s v="Phase II I/UCRC University of Akron:  Center for Tire Research (CenTiRe)"/>
    <s v="WPOWELL"/>
    <d v="2017-01-24T08:17:25"/>
    <n v="193"/>
  </r>
  <r>
    <d v="2017-09-27T14:08:11"/>
    <d v="2017-02-28T16:33:00"/>
    <d v="2017-07-24T08:07:22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82"/>
    <s v="I"/>
    <s v="eJ"/>
    <s v="1738782"/>
    <s v="1738782"/>
    <n v="2017"/>
    <s v="01"/>
    <n v="200000"/>
    <n v="500000"/>
    <s v="Ortega"/>
    <s v="Alfonso"/>
    <s v="Villanova University"/>
    <s v="5761 8040"/>
    <s v="5761 8040"/>
    <s v="Continuing grant"/>
    <s v="Proposal Awarded"/>
    <m/>
    <s v="Phase II IUCRC Villanova University: Center for Energy-Smart Electronic Systems (ES2)"/>
    <s v="WPOWELL"/>
    <d v="2017-08-20T19:54:40"/>
    <n v="194"/>
  </r>
  <r>
    <d v="2017-09-27T14:08:11"/>
    <d v="2016-07-11T15:40:00"/>
    <d v="2016-12-21T15:55:06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04"/>
    <s v="I"/>
    <s v="eJ"/>
    <s v="1650504"/>
    <s v="1650504"/>
    <n v="2017"/>
    <s v="01"/>
    <n v="200000"/>
    <n v="612496"/>
    <s v="Bifano"/>
    <s v="Thomas"/>
    <s v="Boston University"/>
    <s v="5761 8038 9181"/>
    <s v="5761 8038 9181"/>
    <s v="Continuing grant"/>
    <s v="Proposal Awarded"/>
    <m/>
    <s v="Phase II I/UCRC Trustees of Boston University: Center on Biophotonic Sensors and Systems"/>
    <s v="WPOWELL"/>
    <d v="2017-01-19T11:32:31"/>
    <n v="195"/>
  </r>
  <r>
    <d v="2017-09-27T14:08:11"/>
    <d v="2014-09-26T12:03:00"/>
    <d v="2015-02-23T08:01:2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N"/>
    <s v="eJ"/>
    <s v="1464542"/>
    <s v="1464542"/>
    <n v="2017"/>
    <s v="01"/>
    <n v="45000"/>
    <n v="325000"/>
    <s v="Mishra"/>
    <s v="Brajendra"/>
    <s v="Colorado School of Mines"/>
    <s v="5761 8040"/>
    <s v="5761 8040"/>
    <s v="Continuing grant"/>
    <s v="Proposal Awarded"/>
    <s v="Awarded"/>
    <s v="Collaborative Research:  I/UCRC Phase II:  Center for Resource Recovery &amp; Recycling"/>
    <s v="VLRICHA"/>
    <d v="2017-08-01T06:33:03"/>
    <n v="196"/>
  </r>
  <r>
    <d v="2017-09-27T14:08:11"/>
    <d v="2015-03-01T12:28:00"/>
    <d v="2015-07-27T17:34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39853"/>
    <s v="I"/>
    <s v="eJ"/>
    <s v="1539853"/>
    <s v="1539853"/>
    <n v="2017"/>
    <s v="01"/>
    <n v="15000"/>
    <n v="75000"/>
    <s v="Kovacevic"/>
    <s v="Radovan"/>
    <s v="Southern Methodist Univ"/>
    <s v="123E 8037"/>
    <s v="123E 8037"/>
    <s v="Continuing grant"/>
    <s v="Proposal Awarded"/>
    <s v="Awarded"/>
    <s v="I/UCRC Phase III:  Collaborative Research Program for I/UCRC for Lasers and Plasmas"/>
    <s v="VLRICHA"/>
    <d v="2017-08-22T15:27:01"/>
    <n v="197"/>
  </r>
  <r>
    <d v="2017-09-27T14:08:11"/>
    <d v="2015-03-03T08:48:00"/>
    <d v="2015-07-27T13:30:21"/>
    <s v="07070000"/>
    <s v="05100003"/>
    <s v="5761 - INDUSTRY/UNIV COOP RES CENTERS"/>
    <s v="5761 - INDUSTRY/UNIV COOP RES CENTERS"/>
    <s v="TNANDAG"/>
    <s v="TNANDAG"/>
    <s v="4110"/>
    <s v="4110"/>
    <s v="NSF 13-594"/>
    <x v="1"/>
    <x v="0"/>
    <s v="AWD"/>
    <s v="CONT"/>
    <s v="CONT"/>
    <s v="IIP"/>
    <s v="1539960"/>
    <s v="N"/>
    <s v="eJ"/>
    <s v="1539961"/>
    <s v="1539961"/>
    <n v="2017"/>
    <s v="01"/>
    <n v="45000"/>
    <n v="225000"/>
    <s v="Potter"/>
    <s v="Lee"/>
    <s v="Ohio State University"/>
    <s v="5761 8039"/>
    <s v="5761 8039"/>
    <s v="Continuing grant"/>
    <s v="Proposal Awarded"/>
    <s v="Awarded"/>
    <s v="I/UCRC Phase II: Collaborative Research:  I/UCRC Center for Surveillance Research, Phase II"/>
    <s v="VLRICHA"/>
    <d v="2017-08-09T16:27:38"/>
    <n v="198"/>
  </r>
  <r>
    <d v="2017-09-27T14:08:11"/>
    <d v="2013-09-27T10:03:00"/>
    <d v="2014-03-25T18:24:01"/>
    <s v="07070000"/>
    <s v="05100003"/>
    <s v="5761 - INDUSTRY/UNIV COOP RES CENTERS"/>
    <s v="5761 - INDUSTRY/UNIV COOP RES CENTERS"/>
    <s v="SPRIYA"/>
    <s v=""/>
    <s v="4110"/>
    <s v="4110"/>
    <s v="NSF 12-516"/>
    <x v="1"/>
    <x v="0"/>
    <s v="AWD"/>
    <s v="CONT"/>
    <s v="CONT"/>
    <s v="IIP"/>
    <s v="1361926"/>
    <s v="N"/>
    <s v="eJ"/>
    <s v="1361847"/>
    <s v="1361847"/>
    <n v="2017"/>
    <s v="01"/>
    <n v="40000"/>
    <n v="200000"/>
    <s v="Tragoudas"/>
    <s v="Spyros"/>
    <s v="Southern Ill U Carbondale"/>
    <s v="5761 8039"/>
    <s v="5761 8039"/>
    <s v="Continuing grant"/>
    <s v="Proposal Awarded"/>
    <s v="Awarded"/>
    <s v="I/UCRC:  Consortium for Embedded Systems - Phase II"/>
    <s v="VLRICHA"/>
    <d v="2017-06-14T12:12:40"/>
    <n v="199"/>
  </r>
  <r>
    <d v="2017-09-27T14:08:11"/>
    <d v="2015-03-03T16:05:00"/>
    <d v="2015-07-29T11:53:09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N"/>
    <s v="eJ"/>
    <s v="1540011"/>
    <s v="1540011"/>
    <n v="2017"/>
    <s v="01"/>
    <n v="45000"/>
    <n v="225000"/>
    <s v="Munson"/>
    <s v="Eric"/>
    <s v="U of Kentucky Res Fdn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5T06:50:59"/>
    <n v="200"/>
  </r>
  <r>
    <d v="2017-09-27T14:08:11"/>
    <d v="2012-09-28T15:24:00"/>
    <d v="2013-02-13T17:40:21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6245"/>
    <s v="I"/>
    <s v="eJ"/>
    <s v="1266245"/>
    <s v="1266245"/>
    <n v="2017"/>
    <s v="01"/>
    <n v="40000"/>
    <n v="200000"/>
    <s v="Athanas"/>
    <s v="Peter"/>
    <s v="VA Polytechnic Inst &amp; St U"/>
    <s v="5761 8039"/>
    <s v="5761 8039"/>
    <s v="Continuing grant"/>
    <s v="Proposal Awarded"/>
    <s v="Awarded"/>
    <s v="Collaborative Research: Phase-II Renewal of CHREC Center at Virginia Tech"/>
    <s v="VLRICHA"/>
    <d v="2017-08-16T13:59:30"/>
    <n v="201"/>
  </r>
  <r>
    <d v="2017-09-27T14:08:11"/>
    <d v="2017-02-28T14:54:00"/>
    <d v="2017-07-13T08:57:23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689"/>
    <s v="I"/>
    <s v="eJ"/>
    <s v="1738689"/>
    <s v="1738689"/>
    <n v="2017"/>
    <s v="01"/>
    <n v="200000"/>
    <n v="500000"/>
    <s v="Hajj"/>
    <s v="Muhammad"/>
    <s v="VA Polytechnic Inst &amp; St U"/>
    <s v="127E 5761"/>
    <s v="5761"/>
    <s v="Continuing grant"/>
    <s v="Proposal Awarded"/>
    <m/>
    <s v="Phase II IUCRC Virginia Tech: Center for Energy Harvesting Materials and Systems (CEHMS)"/>
    <s v="WPOWELL"/>
    <d v="2017-08-09T19:13:21"/>
    <n v="202"/>
  </r>
  <r>
    <d v="2017-09-27T14:08:11"/>
    <d v="2015-03-03T16:02:00"/>
    <d v="2015-06-26T14:47:34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N"/>
    <s v="eJ"/>
    <s v="1540010"/>
    <s v="1540010"/>
    <n v="2017"/>
    <s v="01"/>
    <n v="45000"/>
    <n v="225000"/>
    <s v="Zitomer"/>
    <s v="Daniel"/>
    <s v="Marquette University"/>
    <s v="123E 5761 8040"/>
    <s v="123E 5761 8040"/>
    <s v="Continuing grant"/>
    <s v="Proposal Awarded"/>
    <s v="Awarded"/>
    <s v="I/UCRC Phase II:  Collaborative Research: Water Equipment and Policy Center"/>
    <s v="VLRICHA"/>
    <d v="2017-08-19T20:57:03"/>
    <n v="203"/>
  </r>
  <r>
    <d v="2017-09-27T14:08:11"/>
    <d v="2012-09-28T09:53:00"/>
    <d v="2013-02-13T08:18:3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266013"/>
    <s v="N"/>
    <s v="eJ"/>
    <s v="1265999"/>
    <s v="1265999"/>
    <n v="2017"/>
    <s v="01"/>
    <n v="49576"/>
    <n v="200000"/>
    <s v="Ellis"/>
    <s v="Kimberly"/>
    <s v="VA Polytechnic Inst &amp; St U"/>
    <s v="5761 8043 9150"/>
    <s v="5761 8043 9150"/>
    <s v="Continuing grant"/>
    <s v="Proposal Awarded"/>
    <s v="Increment withdrawn by program"/>
    <s v="I/UCRC:  Collaborative Research:  Center for Excellence in Logistics and Distribution, Phase II"/>
    <s v="DROBINS"/>
    <d v="2015-09-10T15:41:17"/>
    <n v="204"/>
  </r>
  <r>
    <d v="2017-09-27T14:08:11"/>
    <d v="2013-03-05T15:50:00"/>
    <d v="2013-07-17T17:58:23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338917"/>
    <s v="I"/>
    <s v="eJ"/>
    <s v="1338917"/>
    <s v="1338917"/>
    <n v="2017"/>
    <s v="01"/>
    <n v="39220"/>
    <n v="194750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REORGENG"/>
    <d v="2015-06-26T22:41:10"/>
    <n v="205"/>
  </r>
  <r>
    <d v="2017-09-27T14:08:11"/>
    <d v="2014-03-04T16:18:00"/>
    <d v="2014-07-30T13:21:51"/>
    <s v="07070000"/>
    <s v="07070000"/>
    <s v="5761 - INDUSTRY/UNIV COOP RES CENTERS"/>
    <s v="5761 - INDUSTRY/UNIV COOP RES CENTERS"/>
    <s v="RMONTEL"/>
    <s v="LHORNAK"/>
    <s v="4110"/>
    <s v="4110"/>
    <s v="NSF 13-594"/>
    <x v="1"/>
    <x v="0"/>
    <s v="AWD"/>
    <s v="CONT"/>
    <s v="CONT"/>
    <s v="IIP"/>
    <s v="1439700"/>
    <s v="L"/>
    <s v="eJ"/>
    <s v="1439700"/>
    <s v="1439700"/>
    <n v="2017"/>
    <s v="01"/>
    <n v="86975"/>
    <n v="520000"/>
    <s v="Mantooth"/>
    <s v="Homer"/>
    <s v="U of Arkansas"/>
    <s v="8036 9150"/>
    <s v="8036 9150"/>
    <s v="Continuing grant"/>
    <s v="Proposal Awarded"/>
    <s v="Increment withdrawn by program"/>
    <s v="I/UCRC Phase II: Grid-connected Advanced Power Electronic Systems (GRAPES)"/>
    <s v="REORGENG"/>
    <d v="2015-06-26T22:41:10"/>
    <n v="206"/>
  </r>
  <r>
    <d v="2017-09-27T14:08:11"/>
    <d v="2014-03-04T16:32:00"/>
    <d v="2014-08-01T10:50:2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708"/>
    <s v="1439708"/>
    <n v="2017"/>
    <s v="01"/>
    <n v="45000"/>
    <n v="225000"/>
    <s v="Rizkalla"/>
    <s v="Sami"/>
    <s v="North Carolina State U"/>
    <s v="125E 5761"/>
    <s v="125E 5761"/>
    <s v="Continuing grant"/>
    <s v="Proposal Awarded"/>
    <s v="Awarded"/>
    <s v="I/UCRC Phase II: Center for the Integration of Composites into Infrastructure (CICI)"/>
    <s v="WPOWELL"/>
    <d v="2017-09-20T13:50:13"/>
    <n v="207"/>
  </r>
  <r>
    <d v="2017-09-27T14:08:11"/>
    <d v="2015-03-03T16:23:00"/>
    <d v="2015-07-29T11:52:3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L"/>
    <s v="eJ"/>
    <s v="1540017"/>
    <s v="1540017"/>
    <n v="2017"/>
    <s v="01"/>
    <n v="93062"/>
    <n v="461919"/>
    <s v="Bommarius"/>
    <s v="Andreas"/>
    <s v="Georgia Tech Research Corp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8T12:37:22"/>
    <n v="208"/>
  </r>
  <r>
    <d v="2017-09-27T14:08:11"/>
    <d v="2017-02-28T16:56:00"/>
    <d v="2017-07-24T08:10:25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811"/>
    <s v="I"/>
    <s v="eJ"/>
    <s v="1738811"/>
    <s v="1738811"/>
    <n v="2017"/>
    <s v="01"/>
    <n v="199997"/>
    <n v="499992"/>
    <s v="Agonafer"/>
    <s v="Dereje"/>
    <s v="U of Texas Arlington"/>
    <s v="5761"/>
    <s v="5761 8040"/>
    <s v="Continuing grant"/>
    <s v="Proposal Awarded"/>
    <m/>
    <s v="Phase II IUCRC  University of Texas at Arlington:  Center for Energy Smart Electronic Systems"/>
    <s v="WPOWELL"/>
    <d v="2017-08-20T19:47:17"/>
    <n v="209"/>
  </r>
  <r>
    <d v="2017-09-27T14:08:11"/>
    <d v="2012-09-27T18:52:00"/>
    <d v="2013-02-13T17:37:27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5957"/>
    <s v="I"/>
    <s v="eJ"/>
    <s v="1265957"/>
    <s v="1265957"/>
    <n v="2017"/>
    <s v="01"/>
    <n v="40000"/>
    <n v="200000"/>
    <s v="Wirthlin"/>
    <s v="Michael"/>
    <s v="Brigham Young University"/>
    <s v="5761 8039 9150"/>
    <s v="5761 8039 9150"/>
    <s v="Continuing grant"/>
    <s v="Proposal Awarded"/>
    <s v="Awarded"/>
    <s v="I/UCRC:  Phase II Renewal of CHREC Center - BYU Site"/>
    <s v="VLRICHA"/>
    <d v="2017-06-14T10:33:36"/>
    <n v="210"/>
  </r>
  <r>
    <d v="2017-09-27T14:08:11"/>
    <d v="2015-03-03T17:09:00"/>
    <d v="2015-06-26T14:46:1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L"/>
    <s v="eJ"/>
    <s v="1540032"/>
    <s v="1540032"/>
    <n v="2017"/>
    <s v="01"/>
    <n v="87425"/>
    <n v="457125"/>
    <s v="Chen"/>
    <s v="Junhong"/>
    <s v="U of Wisconsin Milwaukee"/>
    <s v="123E 5761 8040"/>
    <s v="123E 5761 8040"/>
    <s v="Continuing grant"/>
    <s v="Proposal Awarded"/>
    <s v="Awarded"/>
    <s v="I/UCRC Phase II:  Collaborative Research: Water Equipment and Policy Center"/>
    <s v="VLRICHA"/>
    <d v="2017-08-10T11:19:01"/>
    <n v="211"/>
  </r>
  <r>
    <d v="2017-09-27T14:08:11"/>
    <d v="2016-07-11T09:25:00"/>
    <d v="2017-01-03T13:28:2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23"/>
    <s v="I"/>
    <s v="eJ"/>
    <s v="1650423"/>
    <s v="1650423"/>
    <n v="2017"/>
    <s v="01"/>
    <n v="199969"/>
    <n v="499891"/>
    <s v="Taheri"/>
    <s v="Saied"/>
    <s v="VA Polytechnic Inst &amp; St U"/>
    <s v="123E 5761"/>
    <s v="123E 5761"/>
    <s v="Continuing grant"/>
    <s v="Proposal Awarded"/>
    <m/>
    <s v="Phase II I/UCRC Virginia Polytechnic Institute and State University: Center for Tire Research (CenTiRe)"/>
    <s v="WPOWELL"/>
    <d v="2017-01-23T20:17:14"/>
    <n v="212"/>
  </r>
  <r>
    <d v="2017-09-27T14:08:11"/>
    <d v="2015-03-03T19:01:00"/>
    <d v="2015-07-07T11:28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45"/>
    <s v="I"/>
    <s v="eJ"/>
    <s v="1540045"/>
    <s v="1540045"/>
    <n v="2017"/>
    <s v="01"/>
    <n v="45000"/>
    <n v="225000"/>
    <s v="Coleman"/>
    <s v="Mark"/>
    <s v="University of Idaho"/>
    <s v="123E 5761 8040 9150"/>
    <s v="123E 5761 8040 9150"/>
    <s v="Continuing grant"/>
    <s v="Proposal Awarded"/>
    <s v="Awarded"/>
    <s v="I/UCRC Phase II:  University of Idaho Membership in Center for Advanced Forestry Systems"/>
    <s v="VLRICHA"/>
    <d v="2017-08-19T21:00:26"/>
    <n v="213"/>
  </r>
  <r>
    <d v="2017-09-27T14:08:11"/>
    <d v="2016-07-11T19:53:00"/>
    <d v="2016-12-21T15:56:1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88"/>
    <s v="I"/>
    <s v="eJ"/>
    <s v="1650588"/>
    <s v="1650588"/>
    <n v="2017"/>
    <s v="01"/>
    <n v="200000"/>
    <n v="550000"/>
    <s v="Chan"/>
    <s v="James"/>
    <s v="U of Cal Davis"/>
    <s v="5761 8038 9181"/>
    <s v="5761 8038 9181"/>
    <s v="Continuing grant"/>
    <s v="Proposal Awarded"/>
    <m/>
    <s v="Phase II I/UCRC University of California-Davis: Center for Biophotonics Sensors and Systems"/>
    <s v="WPOWELL"/>
    <d v="2017-01-19T11:11:11"/>
    <n v="214"/>
  </r>
  <r>
    <d v="2017-09-27T14:08:11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50540"/>
    <s v="I"/>
    <s v="eJ"/>
    <s v="1650540"/>
    <s v="1650540"/>
    <n v="2017"/>
    <s v="01"/>
    <n v="100000"/>
    <n v="500000"/>
    <s v="Clancy"/>
    <s v="T. Charles"/>
    <s v="VA Polytechnic Inst &amp; St U"/>
    <s v="5761"/>
    <s v="5761"/>
    <s v="Continuing grant"/>
    <s v="Proposal Awarded"/>
    <m/>
    <s v="S2ERC @ Virginia Tech - Phase 2"/>
    <s v="DCOATES"/>
    <d v="2017-02-22T11:28:46"/>
    <n v="215"/>
  </r>
  <r>
    <d v="2017-09-27T14:08:11"/>
    <d v="2016-11-04T00:00:00"/>
    <d v="2017-02-27T16:26:4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12778"/>
    <s v="I"/>
    <s v="eJ"/>
    <s v="1464654"/>
    <s v="1712778"/>
    <n v="2017"/>
    <s v="01"/>
    <n v="20000"/>
    <n v="20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3-08T10:33:21"/>
    <n v="216"/>
  </r>
  <r>
    <d v="2017-09-27T14:08:11"/>
    <d v="2017-06-22T00:00:00"/>
    <d v="2017-07-24T10:3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824"/>
    <s v="I"/>
    <s v="eJ"/>
    <s v="1540007"/>
    <s v="1747824"/>
    <n v="2017"/>
    <s v="01"/>
    <n v="44999"/>
    <n v="45000"/>
    <s v="Sampath"/>
    <s v="W.S."/>
    <s v="Colorado State University"/>
    <s v="018z 5761 8040"/>
    <s v="018Z 5761 8040"/>
    <s v="Continuing grant"/>
    <s v="Proposal Awarded"/>
    <s v="Awarded"/>
    <s v="INTERN DCL: I/UCRC Phase II:  Next Generation Photovoltaics"/>
    <s v="WPOWELL"/>
    <d v="2017-08-11T14:47:42"/>
    <n v="217"/>
  </r>
  <r>
    <d v="2017-09-27T14:08:11"/>
    <d v="2017-07-05T00:00:00"/>
    <d v="2017-07-24T10:45:1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02"/>
    <s v="I"/>
    <s v="eJ"/>
    <s v="1540007"/>
    <s v="1748502"/>
    <n v="2017"/>
    <s v="01"/>
    <n v="20000"/>
    <n v="20000"/>
    <s v="Sampath"/>
    <s v="W.S."/>
    <s v="Colorado State University"/>
    <s v="8040 8808 9102"/>
    <s v="8040 8808 9102"/>
    <s v="Continuing grant"/>
    <s v="Proposal Awarded"/>
    <s v="Awarded"/>
    <s v="I/UCRC Phase II (VRS):  Next Generation Photovoltaics"/>
    <s v="WPOWELL"/>
    <d v="2017-08-11T15:09:26"/>
    <n v="218"/>
  </r>
  <r>
    <d v="2017-09-27T14:08:11"/>
    <d v="2017-07-05T00:00:00"/>
    <d v="2017-07-19T09:02:0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03"/>
    <s v="I"/>
    <s v="eJ"/>
    <s v="1540007"/>
    <s v="1748503"/>
    <n v="2017"/>
    <s v="01"/>
    <n v="16000"/>
    <n v="16000"/>
    <s v="Sampath"/>
    <s v="W.S."/>
    <s v="Colorado State University"/>
    <s v="116e 8040 9251"/>
    <s v="116e 8040 9251"/>
    <s v="Continuing grant"/>
    <s v="Proposal Awarded"/>
    <s v="Awarded"/>
    <s v="I/UCRC Phase II (REU):  Next Generation Photovoltaics"/>
    <s v="JHFRENC"/>
    <d v="2017-07-24T15:01:38"/>
    <n v="219"/>
  </r>
  <r>
    <d v="2017-09-27T14:08:11"/>
    <d v="2017-04-13T00:00:00"/>
    <d v="2017-06-27T16:27:2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320"/>
    <s v="I"/>
    <s v="eJ"/>
    <s v="1266065"/>
    <s v="1743320"/>
    <n v="2017"/>
    <s v="01"/>
    <n v="10000"/>
    <n v="10000"/>
    <s v="Mann"/>
    <s v="Roger"/>
    <s v="William &amp; Mary Marine Inst"/>
    <s v="115e 7218 8042 9150"/>
    <s v="115e 7218 8042 9150"/>
    <s v="Continuing grant"/>
    <s v="Proposal Awarded"/>
    <s v="Awarded"/>
    <s v="I/UCRC (RET):  Collaborative Research: Phase I I/UCRC for Science Center for Marine Fisheries (SCeMFiS)"/>
    <s v="VLRICHA"/>
    <d v="2017-07-10T12:56:37"/>
    <n v="220"/>
  </r>
  <r>
    <d v="2017-09-27T14:08:11"/>
    <d v="2017-06-27T00:00:00"/>
    <d v="2017-07-19T08:54:0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24"/>
    <s v="I"/>
    <s v="eJ"/>
    <s v="1361977"/>
    <s v="1748124"/>
    <n v="2017"/>
    <s v="01"/>
    <n v="8000"/>
    <n v="8000"/>
    <s v="Goel"/>
    <s v="Vijay"/>
    <s v="University of Toledo"/>
    <s v="116e 8042 9251"/>
    <s v="116E 8042 9251"/>
    <s v="Continuing grant"/>
    <s v="Proposal Awarded"/>
    <s v="Awarded"/>
    <s v="I/UCRC (REU): Technology Innovation for Novel Cost-reducing and Quality-enhancing Musculoskeletal Therapies"/>
    <s v="JKITTLE"/>
    <d v="2017-07-24T14:33:53"/>
    <n v="221"/>
  </r>
  <r>
    <d v="2017-09-27T14:08:11"/>
    <d v="2017-06-15T00:00:00"/>
    <d v="2017-07-21T16:17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403"/>
    <s v="I"/>
    <s v="eJ"/>
    <s v="1545560"/>
    <s v="1747403"/>
    <n v="2017"/>
    <s v="01"/>
    <n v="34292"/>
    <n v="34292"/>
    <s v="Murad"/>
    <s v="Sohail"/>
    <s v="Illinois Inst of Tech"/>
    <s v="018z 045E"/>
    <s v="018Z 045E"/>
    <s v="Continuing grant"/>
    <s v="Proposal Awarded"/>
    <m/>
    <s v="INTERN DCL: Collaborative Research: Zeolite Thin Films as Efficient and Robust Ion Exchange Membranes in Redox Flow Batteries for Renewable Energy Storage"/>
    <s v="WPOWELL"/>
    <d v="2017-08-29T12:06:08"/>
    <n v="222"/>
  </r>
  <r>
    <d v="2017-09-27T14:08:11"/>
    <d v="2017-07-06T00:00:00"/>
    <d v="2017-07-18T09:01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9"/>
    <s v="I"/>
    <s v="eJ"/>
    <s v="1362060"/>
    <s v="1748569"/>
    <n v="2017"/>
    <s v="01"/>
    <n v="16000"/>
    <n v="16000"/>
    <s v="Moudgil"/>
    <s v="Brij"/>
    <s v="University of Florida"/>
    <s v="116E 8041 9251"/>
    <s v="116E 8041 9251"/>
    <s v="Continuing grant"/>
    <s v="Proposal Awarded"/>
    <s v="Awarded"/>
    <s v="I/UCRC (REU):  Proposal to Establish a Joint NSF I/UCR Center for  Particulate Systems and Surfactants"/>
    <s v="WPOWELL"/>
    <d v="2017-08-05T20:50:31"/>
    <n v="223"/>
  </r>
  <r>
    <d v="2017-09-27T14:08:11"/>
    <d v="2017-02-06T00:00:00"/>
    <d v="2017-03-29T12:10:1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1"/>
    <s v="I"/>
    <s v="eJ"/>
    <s v="1439688"/>
    <s v="1734931"/>
    <n v="2017"/>
    <s v="01"/>
    <n v="13975"/>
    <n v="13975"/>
    <s v="GangaRao"/>
    <s v="Hota"/>
    <s v="WV Univ Research Corp"/>
    <s v="125E 5761 9150"/>
    <s v="125E 9150"/>
    <s v="Continuing grant"/>
    <s v="Proposal Awarded"/>
    <s v="Awarded"/>
    <s v="I/UCRC Phase II(Evaluator sup): Center for the Integration of Composites into Infrastructure (CICI)"/>
    <s v="WPOWELL"/>
    <d v="2017-04-21T11:59:22"/>
    <n v="224"/>
  </r>
  <r>
    <d v="2017-09-27T14:08:11"/>
    <d v="2017-02-06T00:00:00"/>
    <d v="2017-03-29T12:11:0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4"/>
    <s v="I"/>
    <s v="eJ"/>
    <s v="1439688"/>
    <s v="1734934"/>
    <n v="2017"/>
    <s v="01"/>
    <n v="19875"/>
    <n v="19875"/>
    <s v="GangaRao"/>
    <s v="Hota"/>
    <s v="WV Univ Research Corp"/>
    <s v="125E 5761 9150"/>
    <m/>
    <s v="Continuing grant"/>
    <s v="Proposal Awarded"/>
    <s v="Awarded"/>
    <s v="I/UCRC Phase II(travel sup): Center for the Integration of Composites into Infrastructure (CICI)"/>
    <s v="WPOWELL"/>
    <d v="2017-04-20T11:39:05"/>
    <n v="225"/>
  </r>
  <r>
    <d v="2017-09-27T14:08:11"/>
    <d v="2017-06-15T00:00:00"/>
    <d v="2017-07-19T08:40:5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7413"/>
    <s v="I"/>
    <s v="eJ"/>
    <s v="1439688"/>
    <s v="1747413"/>
    <n v="2017"/>
    <s v="01"/>
    <n v="200000"/>
    <n v="200000"/>
    <s v="GangaRao"/>
    <s v="Hota"/>
    <s v="WV Univ Research Corp"/>
    <m/>
    <s v="5761"/>
    <s v="Continuing grant"/>
    <s v="Proposal Awarded"/>
    <s v="Awarded"/>
    <s v="I/UCRC Phase II: Center for the Integration of Composites into Infrastructure (CICI)"/>
    <s v="WPOWELL"/>
    <d v="2017-08-09T20:30:30"/>
    <n v="226"/>
  </r>
  <r>
    <d v="2017-09-27T14:08:11"/>
    <d v="2017-03-23T09:56:48"/>
    <d v="2017-07-04T10:37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8"/>
    <s v="I"/>
    <s v="eJ"/>
    <s v="1338902"/>
    <s v="1741548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VLRICHA"/>
    <d v="2017-07-17T17:32:02"/>
    <n v="227"/>
  </r>
  <r>
    <d v="2017-09-27T14:08:11"/>
    <d v="2017-03-23T09:57:16"/>
    <d v="2017-06-19T12:34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9"/>
    <s v="I"/>
    <s v="eJ"/>
    <s v="1338902"/>
    <s v="1741549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PCONYER"/>
    <d v="2017-07-11T10:09:34"/>
    <n v="228"/>
  </r>
  <r>
    <d v="2017-09-27T14:08:11"/>
    <d v="2016-10-28T00:00:00"/>
    <d v="2017-02-14T19:38:5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886"/>
    <s v="I"/>
    <s v="eJ"/>
    <s v="1439622"/>
    <s v="1708886"/>
    <n v="2017"/>
    <s v="01"/>
    <n v="196549"/>
    <n v="196549"/>
    <s v="Du"/>
    <s v="David"/>
    <s v="U of Minnesota-Twin Cities"/>
    <s v="5761"/>
    <s v="5761"/>
    <s v="Continuing grant"/>
    <s v="Proposal Awarded"/>
    <s v="Increment withdrawn by program"/>
    <s v="I/UCRC Phase II: Center on Intelligent Storage"/>
    <s v="VLRICHA"/>
    <d v="2017-02-28T16:40:49"/>
    <n v="229"/>
  </r>
  <r>
    <d v="2017-09-27T14:08:11"/>
    <d v="2017-04-28T00:00:00"/>
    <d v="2017-05-15T15:23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910"/>
    <s v="I"/>
    <s v="eJ"/>
    <s v="1624684"/>
    <s v="1743910"/>
    <n v="2017"/>
    <s v="01"/>
    <n v="16000"/>
    <n v="16000"/>
    <s v="Betenbaugh"/>
    <s v="Michael"/>
    <s v="Johns Hopkins University"/>
    <s v="116e 8038 9251"/>
    <s v="116e 8038 9251"/>
    <s v="Continuing grant"/>
    <s v="Proposal Awarded"/>
    <s v="Awarded"/>
    <s v="IUCRC Phase I (REU) Johns Hopkins University Site: Advanced Mammalian Biomanufacturing Innovation Center (AMBIC)"/>
    <s v="VLRICHA"/>
    <d v="2017-05-23T08:22:45"/>
    <n v="230"/>
  </r>
  <r>
    <d v="2017-09-27T14:08:11"/>
    <d v="2017-07-06T00:00:00"/>
    <d v="2017-07-12T17:15:48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605"/>
    <s v="I"/>
    <s v="eJ"/>
    <s v="1361926"/>
    <s v="1748605"/>
    <n v="2017"/>
    <s v="01"/>
    <n v="8000"/>
    <n v="8000"/>
    <s v="Vrudhula"/>
    <s v="Sarma"/>
    <s v="Arizona State University"/>
    <s v="9251"/>
    <s v="9251"/>
    <s v="Continuing grant"/>
    <s v="Proposal Awarded"/>
    <s v="Awarded"/>
    <s v="I/UCRC:  Consortium for Embedded Systems - Phase II"/>
    <s v="VLRICHA"/>
    <d v="2017-07-14T14:46:53"/>
    <n v="231"/>
  </r>
  <r>
    <d v="2017-09-27T14:08:11"/>
    <d v="2017-06-28T00:00:00"/>
    <d v="2017-07-14T18:21:49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185"/>
    <s v="I"/>
    <s v="eJ"/>
    <s v="1624503"/>
    <s v="1748185"/>
    <n v="2017"/>
    <s v="01"/>
    <n v="50000"/>
    <n v="50000"/>
    <s v="Adam"/>
    <s v="Nabil"/>
    <s v="Rutgers U Newark"/>
    <s v="5761"/>
    <s v="043Z"/>
    <s v="Continuing grant"/>
    <s v="Proposal Awarded"/>
    <s v="Increment withdrawn by program"/>
    <s v="I/UCRC: Center for Hybrid Multicore Productivity Research (CHMPR) - Rutgers Site"/>
    <s v="VLRICHA"/>
    <d v="2017-08-21T10:41:31"/>
    <n v="232"/>
  </r>
  <r>
    <d v="2017-09-27T14:08:11"/>
    <d v="2017-04-28T00:00:00"/>
    <d v="2017-06-28T11:02:5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3949"/>
    <s v="I"/>
    <s v="eJ"/>
    <s v="1624836"/>
    <s v="1743949"/>
    <n v="2017"/>
    <s v="01"/>
    <n v="16000"/>
    <n v="16000"/>
    <s v="Kaufman"/>
    <s v="Michael"/>
    <s v="Colorado School of Mines"/>
    <s v="123E 5761 9251"/>
    <s v="116E 123E 5761 9251"/>
    <s v="Continuing grant"/>
    <s v="Proposal Awarded"/>
    <m/>
    <s v="Phase II I/UCRC (REU) Colorado School of Mines Site: Center for Advanced Non-Ferrous Structural Alloys (CANFSA)"/>
    <s v="VLRICHA"/>
    <d v="2017-07-18T08:33:01"/>
    <n v="233"/>
  </r>
  <r>
    <d v="2017-09-27T14:08:11"/>
    <d v="2017-07-06T00:00:00"/>
    <d v="2017-07-19T09:04:0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28"/>
    <s v="I"/>
    <s v="eJ"/>
    <s v="1361505"/>
    <s v="1748528"/>
    <n v="2017"/>
    <s v="01"/>
    <n v="16000"/>
    <n v="16000"/>
    <s v="Pepper"/>
    <s v="Ian"/>
    <s v="U of Arizona"/>
    <s v="116E 8040 9102 9251"/>
    <s v="116E 8040 9102 9251"/>
    <s v="Continuing grant"/>
    <s v="Proposal Awarded"/>
    <s v="Awarded"/>
    <s v="I/UCRC (REU):  Water and Environmental Technology Center"/>
    <s v="JKITTLE"/>
    <d v="2017-07-27T08:19:03"/>
    <n v="234"/>
  </r>
  <r>
    <d v="2017-09-27T14:08:11"/>
    <d v="2017-06-28T00:00:00"/>
    <d v="2017-07-19T08:55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93"/>
    <s v="I"/>
    <s v="eJ"/>
    <s v="1650460"/>
    <s v="1748193"/>
    <n v="2017"/>
    <s v="01"/>
    <n v="8000"/>
    <n v="8000"/>
    <s v="Batur"/>
    <s v="Celal"/>
    <s v="University of Akron"/>
    <s v="116e 123E 9251"/>
    <s v="116E 123E 5761 9102 9251"/>
    <s v="Continuing grant"/>
    <s v="Proposal Awarded"/>
    <m/>
    <s v="Phase II I/UCRC (REU): University of Akron:  Center for Tire Research (CenTiRe)"/>
    <s v="JKITTLE"/>
    <d v="2017-07-27T08:15:08"/>
    <n v="235"/>
  </r>
  <r>
    <d v="2017-09-27T14:08:11"/>
    <d v="2016-08-23T00:00:00"/>
    <d v="2017-04-29T11:56:0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659312"/>
    <s v="I"/>
    <s v="eJ"/>
    <s v="1338922"/>
    <s v="1659312"/>
    <n v="2017"/>
    <s v="01"/>
    <n v="20000"/>
    <n v="20000"/>
    <s v="Rishe"/>
    <s v="Naphtali"/>
    <s v="Florida International Univ"/>
    <s v="5761"/>
    <m/>
    <s v="Continuing grant"/>
    <s v="Proposal Awarded"/>
    <s v="Awarded"/>
    <s v="I/UCRC:  Phase II: Center for Advanced Knowledge Enablement"/>
    <s v="VLRICHA"/>
    <d v="2017-05-08T14:21:45"/>
    <n v="236"/>
  </r>
  <r>
    <d v="2017-09-27T14:08:11"/>
    <d v="2017-06-26T00:00:00"/>
    <d v="2017-07-19T08:49:4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051"/>
    <s v="I"/>
    <s v="eJ"/>
    <s v="1134810"/>
    <s v="1748051"/>
    <n v="2017"/>
    <s v="01"/>
    <n v="6800"/>
    <n v="6800"/>
    <s v="Ortega"/>
    <s v="Alfonso"/>
    <s v="Villanova University"/>
    <s v="116e 8040 9251"/>
    <s v="116E 5761 8040 9251"/>
    <s v="Continuing grant"/>
    <s v="Proposal Awarded"/>
    <m/>
    <s v="Collaborative Center (REU): I/UCRC in Center for Energy-Smart Electronic Systems (ES2)"/>
    <s v="JKITTLE"/>
    <d v="2017-07-24T12:06:29"/>
    <n v="237"/>
  </r>
  <r>
    <d v="2017-09-27T14:08:11"/>
    <d v="2017-06-20T00:00:00"/>
    <d v="2017-07-17T10:48:4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77"/>
    <s v="I"/>
    <s v="eJ"/>
    <s v="1624668"/>
    <s v="1747677"/>
    <n v="2017"/>
    <s v="01"/>
    <n v="25000"/>
    <n v="25000"/>
    <s v="Hariri"/>
    <s v="Salim"/>
    <s v="U of Arizona"/>
    <s v="5761"/>
    <s v="5761"/>
    <s v="Continuing grant"/>
    <s v="Proposal Awarded"/>
    <s v="Increment withdrawn by program"/>
    <s v="I/UCRC: Industry/University Cooperative Research Center for Cloud and Autonomic Computing"/>
    <s v="VLRICHA"/>
    <d v="2017-08-21T11:20:12"/>
    <n v="238"/>
  </r>
  <r>
    <d v="2017-09-27T14:08:11"/>
    <d v="2017-06-23T00:00:00"/>
    <d v="2017-07-24T10:41:2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40"/>
    <s v="I"/>
    <s v="eJ"/>
    <s v="1508177"/>
    <s v="1747940"/>
    <n v="2017"/>
    <s v="01"/>
    <n v="50000"/>
    <n v="50000"/>
    <s v="Jain"/>
    <s v="Himanshu"/>
    <s v="Lehigh University"/>
    <s v="018z 1504 8990"/>
    <s v="018Z 1504 8990"/>
    <s v="Continuing grant"/>
    <s v="Proposal Awarded"/>
    <s v="Awarded"/>
    <s v="INTERN DCL: GOALI: OP: Incongruent Growth of Single Crystal 3D Architecture for New Optical Functionalities in Glass"/>
    <s v="WPOWELL"/>
    <d v="2017-08-23T21:27:02"/>
    <n v="239"/>
  </r>
  <r>
    <d v="2017-09-27T14:08:11"/>
    <d v="2017-03-21T00:00:00"/>
    <d v="2017-04-17T18:12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1046"/>
    <s v="I"/>
    <s v="eJ"/>
    <s v="1650504"/>
    <s v="1741046"/>
    <n v="2017"/>
    <s v="01"/>
    <n v="8000"/>
    <n v="8000"/>
    <s v="Bifano"/>
    <s v="Thomas"/>
    <s v="Boston University"/>
    <s v="116E 8038 9181 9251"/>
    <s v="116E 8038 9181 9251"/>
    <s v="Continuing grant"/>
    <s v="Proposal Awarded"/>
    <m/>
    <s v="Phase II I/UCRC (REU) Trustees of Boston University: Center on Biophotonic Sensors and Systems"/>
    <s v="VLRICHA"/>
    <d v="2017-04-27T07:35:35"/>
    <n v="240"/>
  </r>
  <r>
    <d v="2017-09-27T14:08:11"/>
    <d v="2017-02-16T00:00:00"/>
    <d v="2017-05-15T15:47:3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37532"/>
    <s v="I"/>
    <s v="eJ"/>
    <s v="1464560"/>
    <s v="1737532"/>
    <n v="2017"/>
    <s v="01"/>
    <n v="8000"/>
    <n v="8000"/>
    <s v="Mishra"/>
    <s v="Brajendra"/>
    <s v="Worcester Polytech Inst"/>
    <s v="116e 5761 8040 9251"/>
    <s v="116e 5761 8040 9251"/>
    <s v="Continuing grant"/>
    <s v="Proposal Awarded"/>
    <s v="Awarded"/>
    <s v="Collaborative Research:  I/UCRC Phase II (REU):  Center for Resource Recovery &amp; Recycling"/>
    <s v="VLRICHA"/>
    <d v="2017-05-23T06:57:58"/>
    <n v="241"/>
  </r>
  <r>
    <d v="2017-09-27T14:08:11"/>
    <d v="2017-02-17T00:00:00"/>
    <d v="2017-07-09T17:17:54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685"/>
    <s v="I"/>
    <s v="eJ"/>
    <s v="1464560"/>
    <s v="1737685"/>
    <n v="2017"/>
    <s v="01"/>
    <n v="25000"/>
    <n v="25000"/>
    <s v="Mishra"/>
    <s v="Brajendra"/>
    <s v="Worcester Polytech Inst"/>
    <m/>
    <s v="5761"/>
    <s v="Continuing grant"/>
    <s v="Proposal Awarded"/>
    <s v="Awarded"/>
    <s v="Phase II (Travel Supp) - International Site  @ University of Tokyo, Japan - Center for Resource Recovery &amp; Recycling"/>
    <s v="WPOWELL"/>
    <d v="2017-07-21T11:38:18"/>
    <n v="242"/>
  </r>
  <r>
    <d v="2017-09-27T14:08:11"/>
    <d v="2017-06-28T00:00:00"/>
    <d v="2017-07-19T08:54:5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38"/>
    <s v="I"/>
    <s v="eJ"/>
    <s v="1464560"/>
    <s v="1748138"/>
    <n v="2017"/>
    <s v="01"/>
    <n v="8000"/>
    <n v="8000"/>
    <s v="Mishra"/>
    <s v="Brajendra"/>
    <s v="Worcester Polytech Inst"/>
    <s v="116e 8040 9251"/>
    <s v="116E 5761 8040 9251"/>
    <s v="Continuing grant"/>
    <s v="Proposal Awarded"/>
    <s v="Awarded"/>
    <s v="Collaborative Research (REU):  I/UCRC Phase II:  Center for Resource Recovery &amp; Recycling"/>
    <s v="JKITTLE"/>
    <d v="2017-07-24T14:35:48"/>
    <n v="243"/>
  </r>
  <r>
    <d v="2017-09-27T14:08:11"/>
    <d v="2017-03-06T00:00:00"/>
    <d v="2017-04-26T14:44:2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9499"/>
    <s v="I"/>
    <s v="eJ"/>
    <s v="1439680"/>
    <s v="1739499"/>
    <n v="2017"/>
    <s v="01"/>
    <n v="8000"/>
    <n v="8000"/>
    <s v="Yuan"/>
    <s v="Jiann"/>
    <s v="U of Central Florida"/>
    <s v="116e 5761 8041 9251"/>
    <s v="116e 5761 8041 9251"/>
    <s v="Continuing grant"/>
    <s v="Proposal Awarded"/>
    <s v="Awarded"/>
    <s v="I/UCRC Phase I (REU):  Multi-functional Integrated System Technology (MIST)"/>
    <s v="VLRICHA"/>
    <d v="2017-05-05T10:26:34"/>
    <n v="244"/>
  </r>
  <r>
    <d v="2017-09-27T14:08:11"/>
    <d v="2017-06-30T00:00:00"/>
    <d v="2017-07-19T09:00:3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93"/>
    <s v="I"/>
    <s v="eJ"/>
    <s v="1439644"/>
    <s v="1748393"/>
    <n v="2017"/>
    <s v="01"/>
    <n v="16000"/>
    <n v="16000"/>
    <s v="Nishida"/>
    <s v="Toshikazu"/>
    <s v="University of Florida"/>
    <s v="116e 8041 9251"/>
    <s v="116e 8041 9251"/>
    <s v="Continuing grant"/>
    <s v="Proposal Awarded"/>
    <s v="Awarded"/>
    <s v="I/UCRC Phase I (REU) :  Multi-functional Integrated System Technology (MIST)"/>
    <s v="WPOWELL"/>
    <d v="2017-08-20T19:32:30"/>
    <n v="245"/>
  </r>
  <r>
    <d v="2017-09-27T14:08:11"/>
    <d v="2017-06-23T00:00:00"/>
    <d v="2017-07-24T16:44:1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27"/>
    <s v="I"/>
    <s v="eJ"/>
    <s v="1511791"/>
    <s v="1747927"/>
    <n v="2017"/>
    <s v="02"/>
    <n v="11018"/>
    <n v="29717"/>
    <s v="Chelliah"/>
    <s v="Harsha"/>
    <s v="University of Virginia"/>
    <s v="018Z 148E"/>
    <s v="018Z 148E"/>
    <s v="Continuing grant"/>
    <s v="Proposal Awarded"/>
    <s v="Increment withdrawn by program"/>
    <s v="INTERN DCL - Collaborative Research: Turbulent Flame Structure of Cavity Stabilized Reacting Shear Layers: Effects of Flow Compressibility, Heat Release, and Finite-rate Kinetics"/>
    <s v="WPOWELL"/>
    <d v="2017-08-26T21:41:45"/>
    <n v="246"/>
  </r>
  <r>
    <d v="2017-09-27T14:08:11"/>
    <d v="2017-06-29T00:00:00"/>
    <d v="2017-07-24T10:44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252"/>
    <s v="I"/>
    <s v="eJ"/>
    <s v="1464489"/>
    <s v="1748252"/>
    <n v="2017"/>
    <s v="01"/>
    <n v="16000"/>
    <n v="16000"/>
    <s v="Puppala"/>
    <s v="Anand"/>
    <s v="U of Texas Arlington"/>
    <s v="116e 125E 9251"/>
    <s v="116E 125E 5761 9251"/>
    <s v="Continuing grant"/>
    <s v="Proposal Awarded"/>
    <s v="Awarded"/>
    <s v="I/UCRC Phase I (REU):  Expansion of CICI to Add a New Site at UTA on Sustainable Utilization of Composites in Infrastructure Systems"/>
    <s v="VLRICHA"/>
    <d v="2017-08-09T13:41:34"/>
    <n v="247"/>
  </r>
  <r>
    <d v="2017-09-27T14:08:11"/>
    <d v="2017-05-15T00:00:00"/>
    <d v="2017-06-27T16:29:5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4368"/>
    <s v="I"/>
    <s v="eJ"/>
    <s v="1361532"/>
    <s v="1744368"/>
    <n v="2017"/>
    <s v="01"/>
    <n v="8000"/>
    <n v="8000"/>
    <s v="Lee"/>
    <s v="Eva"/>
    <s v="Georgia Tech Research Corp"/>
    <s v="116E 5761 8042 9251"/>
    <s v="116E 5761 8042 9251"/>
    <s v="Continuing grant"/>
    <s v="Proposal Awarded"/>
    <s v="Awarded"/>
    <s v="I/UCRC (REU):  Center for Health Organization Transformation"/>
    <s v="VLRICHA"/>
    <d v="2017-07-10T12:23:34"/>
    <n v="248"/>
  </r>
  <r>
    <d v="2017-09-27T14:08:11"/>
    <d v="2017-07-06T00:00:00"/>
    <d v="2017-07-19T09:04:5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0"/>
    <s v="I"/>
    <s v="eJ"/>
    <s v="1361532"/>
    <s v="1748530"/>
    <n v="2017"/>
    <s v="01"/>
    <n v="16000"/>
    <n v="16000"/>
    <s v="Lee"/>
    <s v="Eva"/>
    <s v="Georgia Tech Research Corp"/>
    <s v="116E 8042 9251"/>
    <s v="116E 8042 9251"/>
    <s v="Continuing grant"/>
    <s v="Proposal Awarded"/>
    <s v="Awarded"/>
    <s v="I/UCRC (REU):  Center for Health Organization Transformation"/>
    <s v="JKITTLE"/>
    <d v="2017-07-27T08:21:06"/>
    <n v="249"/>
  </r>
  <r>
    <d v="2017-09-27T14:08:11"/>
    <d v="2017-03-16T00:00:00"/>
    <d v="2017-06-27T16:30:4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0869"/>
    <s v="I"/>
    <s v="eJ"/>
    <s v="1338877"/>
    <s v="1740869"/>
    <n v="2017"/>
    <s v="01"/>
    <n v="8000"/>
    <n v="8000"/>
    <s v="Rolland"/>
    <s v="Jannick"/>
    <s v="University of Rochester"/>
    <s v="116e 5761 8037 9102 9251"/>
    <s v="116e 5761 8037 9102 9251"/>
    <s v="Continuing grant"/>
    <s v="Proposal Awarded"/>
    <s v="Increment withdrawn by program"/>
    <s v="I/UCRC (REU):  Collaborative Research: Center for Freeform Optics"/>
    <s v="VLRICHA"/>
    <d v="2017-07-10T12:32:12"/>
    <n v="250"/>
  </r>
  <r>
    <d v="2017-09-27T14:08:11"/>
    <d v="2017-07-06T00:00:00"/>
    <d v="2017-07-18T09:05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5"/>
    <s v="I"/>
    <s v="eJ"/>
    <s v="1361503"/>
    <s v="1748535"/>
    <n v="2017"/>
    <s v="01"/>
    <n v="16000"/>
    <n v="16000"/>
    <s v="Dickey"/>
    <s v="Elizabeth"/>
    <s v="North Carolina State U"/>
    <s v="116E 123E 9251"/>
    <s v="116E 123E 9251"/>
    <s v="Continuing grant"/>
    <s v="Proposal Awarded"/>
    <s v="Awarded"/>
    <s v="I/UCRC (REU):  Multi-university I/UCRC for Dielectrics and Piezoelectrics"/>
    <s v="WPOWELL"/>
    <d v="2017-07-19T10:22:21"/>
    <n v="251"/>
  </r>
  <r>
    <d v="2017-09-27T14:08:11"/>
    <d v="2017-02-02T00:00:00"/>
    <d v="2017-02-22T08:00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465"/>
    <s v="I"/>
    <s v="eJ"/>
    <s v="1338917"/>
    <s v="1734465"/>
    <n v="2017"/>
    <s v="01"/>
    <n v="14513"/>
    <n v="14513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VLRICHA"/>
    <d v="2017-03-01T11:02:58"/>
    <n v="252"/>
  </r>
  <r>
    <d v="2017-09-27T14:08:11"/>
    <d v="2017-07-06T00:00:00"/>
    <d v="2017-07-24T14:59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74"/>
    <s v="I"/>
    <s v="eJ"/>
    <s v="1338917"/>
    <s v="1748574"/>
    <n v="2017"/>
    <s v="01"/>
    <n v="15993"/>
    <n v="15993"/>
    <s v="Gupta"/>
    <s v="Mool"/>
    <s v="University of Virginia"/>
    <s v="116E 8037 9251"/>
    <s v="116E 8037 9251"/>
    <s v="Continuing grant"/>
    <s v="Proposal Awarded"/>
    <s v="Increment withdrawn by program"/>
    <s v="I/UCRC (REU):  Center for Lasers and Plasmas for Advanced Manufacturing (LPAM)"/>
    <s v="WPOWELL"/>
    <d v="2017-08-30T12:23:44"/>
    <n v="253"/>
  </r>
  <r>
    <d v="2017-09-27T14:08:11"/>
    <d v="2017-06-23T00:00:00"/>
    <d v="2017-07-24T11:00:2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71"/>
    <s v="I"/>
    <s v="eJ"/>
    <s v="1540028"/>
    <s v="1747971"/>
    <n v="2017"/>
    <s v="01"/>
    <n v="50000"/>
    <n v="50000"/>
    <s v="Korgel"/>
    <s v="Brian"/>
    <s v="U of Texas Austin"/>
    <s v="018z 5761 8040"/>
    <s v="018Z 5761 8040"/>
    <s v="Continuing grant"/>
    <s v="Proposal Awarded"/>
    <s v="Awarded"/>
    <s v="INTERN DCL - I/UCRC Phase II:  Next Generation Photovoltaics"/>
    <s v="WPOWELL"/>
    <d v="2017-08-24T10:44:12"/>
    <n v="254"/>
  </r>
  <r>
    <d v="2017-09-27T14:08:11"/>
    <d v="2017-04-11T00:00:00"/>
    <d v="2017-05-15T15:52:5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06"/>
    <s v="I"/>
    <s v="eJ"/>
    <s v="1540028"/>
    <s v="1743206"/>
    <n v="2017"/>
    <s v="01"/>
    <n v="8000"/>
    <n v="8000"/>
    <s v="Korgel"/>
    <s v="Brian"/>
    <s v="U of Texas Austin"/>
    <s v="116E 8040 9251"/>
    <s v="116E 8040 9251"/>
    <s v="Continuing grant"/>
    <s v="Proposal Awarded"/>
    <s v="Awarded"/>
    <s v="I/UCRC Phase II (REU):  Next Generation Photovoltaics"/>
    <s v="WPOWELL"/>
    <d v="2017-05-17T17:02:23"/>
    <n v="255"/>
  </r>
  <r>
    <d v="2017-09-27T14:08:11"/>
    <d v="2017-04-11T00:00:00"/>
    <d v="2017-06-27T16:33:23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3207"/>
    <s v="I"/>
    <s v="eJ"/>
    <s v="1540028"/>
    <s v="1743207"/>
    <n v="2017"/>
    <s v="01"/>
    <n v="10000"/>
    <n v="10000"/>
    <s v="Korgel"/>
    <s v="Brian"/>
    <s v="U of Texas Austin"/>
    <s v="115e 7218 8040"/>
    <s v="115e 7218 8040"/>
    <s v="Continuing grant"/>
    <s v="Proposal Awarded"/>
    <s v="Awarded"/>
    <s v="I/UCRC Phase II (RET):  Next Generation Photovoltaics"/>
    <s v="VLRICHA"/>
    <d v="2017-07-10T12:52:38"/>
    <n v="256"/>
  </r>
  <r>
    <d v="2017-09-27T14:08:11"/>
    <d v="2017-02-15T00:00:00"/>
    <d v="2017-07-21T16:09:15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293"/>
    <s v="I"/>
    <s v="eJ"/>
    <s v="1362165"/>
    <s v="1737293"/>
    <n v="2017"/>
    <s v="01"/>
    <n v="20000"/>
    <n v="20000"/>
    <s v="Lee"/>
    <s v="Abraham"/>
    <s v="U of Cal Irvine"/>
    <s v="8041"/>
    <m/>
    <s v="Continuing grant"/>
    <s v="Proposal Awarded"/>
    <s v="Awarded"/>
    <s v="I/UCRC (Above 300k membership):  Center for Advanced Design and Manufacturing of Integrated Microfluidics (CADMIM)"/>
    <s v="WPOWELL"/>
    <d v="2017-08-10T20:21:24"/>
    <n v="257"/>
  </r>
  <r>
    <d v="2017-09-27T14:08:11"/>
    <d v="2017-07-06T00:00:00"/>
    <d v="2017-07-19T09:07:4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91"/>
    <s v="I"/>
    <s v="eJ"/>
    <s v="1362165"/>
    <s v="1748591"/>
    <n v="2017"/>
    <s v="01"/>
    <n v="8000"/>
    <n v="8000"/>
    <s v="Lee"/>
    <s v="Abraham"/>
    <s v="U of Cal Irvine"/>
    <s v="116E 8041 9251"/>
    <s v="116E 8041 9251"/>
    <s v="Continuing grant"/>
    <s v="Proposal Awarded"/>
    <s v="Awarded"/>
    <s v="I/UCRC (REU):  Center for Advanced Design and Manufacturing of Integrated Microfluidics (CADMIM)"/>
    <s v="JKITTLE"/>
    <d v="2017-07-27T08:26:37"/>
    <n v="258"/>
  </r>
  <r>
    <d v="2017-09-27T14:08:11"/>
    <d v="2017-03-31T00:00:00"/>
    <d v="2017-06-27T16:32:3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2822"/>
    <s v="I"/>
    <s v="eJ"/>
    <s v="1439700"/>
    <s v="1742822"/>
    <n v="2017"/>
    <s v="01"/>
    <n v="8000"/>
    <n v="8000"/>
    <s v="Mantooth"/>
    <s v="Homer"/>
    <s v="U of Arkansas"/>
    <s v="116e 8036 9150 9251"/>
    <s v="116e 8036 9150 9251"/>
    <s v="Continuing grant"/>
    <s v="Proposal Awarded"/>
    <s v="Increment withdrawn by program"/>
    <s v="I/UCRC Phase II (REU): Grid-connected Advanced Power Electronic Systems (GRAPES)"/>
    <s v="VLRICHA"/>
    <d v="2017-07-10T12:50:47"/>
    <n v="259"/>
  </r>
  <r>
    <d v="2017-09-27T14:08:11"/>
    <d v="2017-07-06T00:00:00"/>
    <d v="2017-07-19T09:02:5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19"/>
    <s v="I"/>
    <s v="eJ"/>
    <s v="1738617"/>
    <s v="1748519"/>
    <n v="2017"/>
    <s v="01"/>
    <n v="8000"/>
    <n v="8000"/>
    <s v="Papautsky"/>
    <s v="Ian"/>
    <s v="U of Illinois Chicago"/>
    <s v="116E 9251"/>
    <s v="116E 9251"/>
    <s v="Continuing grant"/>
    <s v="Proposal Awarded"/>
    <m/>
    <s v="I/UCRC (REU):  Center for Advanced Design and Manufacturing of Integrated Microfluidics (CADMIM)"/>
    <s v="JKITTLE"/>
    <d v="2017-07-27T08:17:09"/>
    <n v="260"/>
  </r>
  <r>
    <d v="2017-09-27T14:08:11"/>
    <d v="2016-10-07T00:00:00"/>
    <d v="2017-01-09T15:16:1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0774"/>
    <s v="I"/>
    <s v="eJ"/>
    <s v="1265957"/>
    <s v="1700774"/>
    <n v="2017"/>
    <s v="01"/>
    <n v="20000"/>
    <n v="20000"/>
    <s v="Wirthlin"/>
    <s v="Michael"/>
    <s v="Brigham Young University"/>
    <s v="5761"/>
    <m/>
    <s v="Continuing grant"/>
    <s v="Proposal Awarded"/>
    <s v="Awarded"/>
    <s v="I/UCRC:  Phase II Renewal of CHREC Center - BYU Site"/>
    <s v="PCONYER"/>
    <d v="2017-02-02T14:58:53"/>
    <n v="261"/>
  </r>
  <r>
    <d v="2017-09-27T14:08:11"/>
    <d v="2017-04-12T00:00:00"/>
    <d v="2017-06-28T10:59:0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95"/>
    <s v="I"/>
    <s v="eJ"/>
    <s v="1338906"/>
    <s v="1743295"/>
    <n v="2017"/>
    <s v="01"/>
    <n v="6000"/>
    <n v="6000"/>
    <s v="Byrne"/>
    <s v="Patrick"/>
    <s v="Colorado State University"/>
    <s v="116e 9251"/>
    <s v="116e 9251"/>
    <s v="Continuing grant"/>
    <s v="Proposal Awarded"/>
    <s v="Awarded"/>
    <s v="I/UCRC (REU):  Collaborative Research: Wheat Genetics Resource Center: A Public-Private Consortium"/>
    <s v="VLRICHA"/>
    <d v="2017-07-10T12:14:10"/>
    <n v="262"/>
  </r>
  <r>
    <d v="2017-09-27T14:08:11"/>
    <d v="2016-10-28T00:00:00"/>
    <d v="2017-01-09T15:17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783"/>
    <s v="I"/>
    <s v="eJ"/>
    <s v="1657550"/>
    <s v="1708783"/>
    <n v="2017"/>
    <s v="01"/>
    <n v="199487"/>
    <n v="199487"/>
    <s v="Garbey"/>
    <s v="Marc"/>
    <s v="TMHRI"/>
    <s v="5761"/>
    <s v="5761"/>
    <s v="Continuing grant"/>
    <s v="Proposal Awarded"/>
    <s v="Increment withdrawn by program"/>
    <s v="I/UCRC:  Full Center Grant: I/UCRC for Cyber-Physical Systems for the Hospital Operating Room"/>
    <s v="PCONYER"/>
    <d v="2017-02-09T11:10:01"/>
    <n v="263"/>
  </r>
  <r>
    <d v="2017-09-27T14:08:11"/>
    <d v="2017-06-19T00:00:00"/>
    <d v="2017-07-12T17:03:37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596"/>
    <s v="I"/>
    <s v="eJ"/>
    <s v="1650547"/>
    <s v="1747596"/>
    <n v="2017"/>
    <s v="01"/>
    <n v="14500"/>
    <n v="14500"/>
    <s v="McLain"/>
    <s v="Timothy"/>
    <s v="Brigham Young University"/>
    <s v="9251"/>
    <s v="9251"/>
    <s v="Continuing grant"/>
    <s v="Proposal Awarded"/>
    <m/>
    <s v="I/UCRC Phase I: Center for Unmanned Aircraft Systems"/>
    <s v="VLRICHA"/>
    <d v="2017-07-17T09:22:37"/>
    <n v="264"/>
  </r>
  <r>
    <d v="2017-09-27T14:08:11"/>
    <d v="2017-06-23T00:00:00"/>
    <d v="2017-07-17T10:52:5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967"/>
    <s v="I"/>
    <s v="eJ"/>
    <s v="1650547"/>
    <s v="1747967"/>
    <n v="2017"/>
    <s v="01"/>
    <n v="49950"/>
    <n v="49950"/>
    <s v="McLain"/>
    <s v="Timothy"/>
    <s v="Brigham Young University"/>
    <s v="018Z"/>
    <s v="043Z"/>
    <s v="Continuing grant"/>
    <s v="Proposal Awarded"/>
    <m/>
    <s v="I/UCRC: Center for Unmanned Aircraft Systems, Phase II Site"/>
    <s v="VLRICHA"/>
    <d v="2017-07-25T18:14:31"/>
    <n v="265"/>
  </r>
  <r>
    <d v="2017-09-27T14:08:11"/>
    <d v="2017-07-10T00:00:00"/>
    <d v="2017-07-13T08:21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736"/>
    <s v="I"/>
    <s v="eJ"/>
    <s v="1650547"/>
    <s v="1748736"/>
    <n v="2017"/>
    <s v="01"/>
    <n v="10000"/>
    <n v="10000"/>
    <s v="McLain"/>
    <s v="Timothy"/>
    <s v="Brigham Young University"/>
    <s v="8046"/>
    <s v="8046"/>
    <s v="Continuing grant"/>
    <s v="Proposal Awarded"/>
    <m/>
    <s v="I/UCRC: Center for Unmanned Aircraft Systems, Phase II Site"/>
    <s v="VLRICHA"/>
    <d v="2017-07-20T10:00:52"/>
    <n v="266"/>
  </r>
  <r>
    <d v="2017-09-27T14:08:11"/>
    <d v="2017-06-19T00:00:00"/>
    <d v="2017-07-13T08:18:3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6"/>
    <s v="I"/>
    <s v="eJ"/>
    <s v="1338925"/>
    <s v="1747626"/>
    <n v="2017"/>
    <s v="01"/>
    <n v="10000"/>
    <n v="10000"/>
    <s v="Yang"/>
    <s v="Chaowei"/>
    <s v="George Mason University"/>
    <s v="7218"/>
    <s v="7218"/>
    <s v="Continuing grant"/>
    <s v="Proposal Awarded"/>
    <s v="Increment withdrawn by program"/>
    <s v="I/UCRC:  Collaborative Research: Center for Spatiotemporal Thinking Computing and Applications"/>
    <s v="VLRICHA"/>
    <d v="2017-07-18T14:00:37"/>
    <n v="267"/>
  </r>
  <r>
    <d v="2017-09-27T14:08:11"/>
    <d v="2017-06-19T00:00:00"/>
    <d v="2017-07-12T17:13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7"/>
    <s v="I"/>
    <s v="eJ"/>
    <s v="1338925"/>
    <s v="1747627"/>
    <n v="2017"/>
    <s v="01"/>
    <n v="16000"/>
    <n v="16000"/>
    <s v="Yang"/>
    <s v="Chaowei"/>
    <s v="George Mason University"/>
    <s v="9251"/>
    <s v="9251"/>
    <s v="Continuing grant"/>
    <s v="Proposal Awarded"/>
    <s v="Increment withdrawn by program"/>
    <s v="I/UCRC:  Collaborative Research: Center for Spatiotemporal Thinking Computing and Applications"/>
    <s v="VLRICHA"/>
    <d v="2017-07-17T09:43:06"/>
    <n v="268"/>
  </r>
  <r>
    <d v="2017-09-27T14:08:11"/>
    <d v="2017-03-22T00:00:00"/>
    <d v="2017-06-27T16:26:3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466"/>
    <s v="I"/>
    <s v="eJ"/>
    <s v="1540000"/>
    <s v="1741466"/>
    <n v="2017"/>
    <s v="01"/>
    <n v="10000"/>
    <n v="10000"/>
    <s v="Rawn"/>
    <s v="Claudia"/>
    <s v="U of Tennessee Knoxville"/>
    <s v="123E 5761 8041 8808 9150"/>
    <s v="123E 5761 8041 8808 9150"/>
    <s v="Continuing grant"/>
    <s v="Proposal Awarded"/>
    <s v="Awarded"/>
    <s v="I/UCRC Phase I Site (VRS): Center for Integrative Materials Joining Science for Energy Applications (CIMJSEA) University of Tennessee, Knoxville, (UTK) Site"/>
    <s v="WPOWELL"/>
    <d v="2017-07-12T16:05:16"/>
    <n v="269"/>
  </r>
  <r>
    <d v="2017-09-27T14:08:11"/>
    <d v="2017-03-28T00:00:00"/>
    <d v="2017-06-27T16:31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909"/>
    <s v="I"/>
    <s v="eJ"/>
    <s v="1624536"/>
    <s v="1741909"/>
    <n v="2017"/>
    <s v="01"/>
    <n v="8000"/>
    <n v="8000"/>
    <s v="Frazier"/>
    <s v="Charles"/>
    <s v="VA Polytechnic Inst &amp; St U"/>
    <s v="1049 116E 123E 9251"/>
    <s v="1049 116E 123E 9251"/>
    <s v="Continuing grant"/>
    <s v="Proposal Awarded"/>
    <m/>
    <s v="Phase II I/UCRC (REU) Virginia Polytechnic Institute: Center for Wood-Based Composites (WBC)"/>
    <s v="VLRICHA"/>
    <d v="2017-07-10T12:49:19"/>
    <n v="270"/>
  </r>
  <r>
    <d v="2017-09-27T14:08:11"/>
    <d v="2017-07-06T00:00:00"/>
    <d v="2017-07-24T10:49:35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8586"/>
    <s v="I"/>
    <s v="eJ"/>
    <s v="1539999"/>
    <s v="1748586"/>
    <n v="2017"/>
    <s v="01"/>
    <n v="10000"/>
    <n v="10000"/>
    <s v="Lou"/>
    <s v="Jun"/>
    <s v="William Marsh Rice Univ"/>
    <s v="115e 123E 7218 8041"/>
    <s v="115E 123E 7218 8041"/>
    <s v="Continuing grant"/>
    <s v="Proposal Awarded"/>
    <s v="Awarded"/>
    <s v="I/UCRC Phase I (RET):  Collaborative Research: I/UCRC Center for Atomically Thin Multifunctional Coatings (ATOMIC)"/>
    <s v="JHFRENC"/>
    <d v="2017-08-21T10:35:38"/>
    <n v="271"/>
  </r>
  <r>
    <d v="2017-09-27T14:08:11"/>
    <d v="2017-07-06T00:00:00"/>
    <d v="2017-07-24T17:18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87"/>
    <s v="I"/>
    <s v="eJ"/>
    <s v="1539999"/>
    <s v="1748587"/>
    <n v="2017"/>
    <s v="01"/>
    <n v="8000"/>
    <n v="8000"/>
    <s v="Lou"/>
    <s v="Jun"/>
    <s v="William Marsh Rice Univ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JHFRENC"/>
    <d v="2017-08-18T15:08:07"/>
    <n v="272"/>
  </r>
  <r>
    <d v="2017-09-27T14:08:11"/>
    <d v="2017-03-31T00:00:00"/>
    <d v="2017-07-18T08:04:0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2790"/>
    <s v="I"/>
    <s v="eJ"/>
    <s v="1439639"/>
    <s v="1742790"/>
    <n v="2017"/>
    <s v="01"/>
    <n v="20000"/>
    <n v="20000"/>
    <s v="Grewell"/>
    <s v="David"/>
    <s v="Iowa State University"/>
    <s v="123e 9150"/>
    <s v="5761"/>
    <s v="Continuing grant"/>
    <s v="Proposal Awarded"/>
    <s v="Increment withdrawn by program"/>
    <s v="IUCRC Phase I:  Center for Bioplastics and BIocomposites"/>
    <s v="WPOWELL"/>
    <d v="2017-08-23T12:38:32"/>
    <n v="273"/>
  </r>
  <r>
    <d v="2017-09-27T14:08:11"/>
    <d v="2017-06-30T00:00:00"/>
    <d v="2017-07-19T09:28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66"/>
    <s v="I"/>
    <s v="eJ"/>
    <s v="1439639"/>
    <s v="1748366"/>
    <n v="2017"/>
    <s v="01"/>
    <n v="26000"/>
    <n v="26000"/>
    <s v="Grewell"/>
    <s v="David"/>
    <s v="Iowa State University"/>
    <s v="116e 123E 9150 9251"/>
    <s v="116e 123E 9150 9251"/>
    <s v="Continuing grant"/>
    <s v="Proposal Awarded"/>
    <s v="Increment withdrawn by program"/>
    <s v="I/UCRC Phase I (REU/VRS):  Center for Bioplastics and BIocomposites"/>
    <s v="WPOWELL"/>
    <d v="2017-08-23T20:56:57"/>
    <n v="274"/>
  </r>
  <r>
    <d v="2017-09-27T14:08:11"/>
    <d v="2017-05-16T00:00:00"/>
    <d v="2017-06-28T11:06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538"/>
    <s v="I"/>
    <s v="eJ"/>
    <s v="1624842"/>
    <s v="1744538"/>
    <n v="2017"/>
    <s v="01"/>
    <n v="8000"/>
    <n v="8000"/>
    <s v="Yu"/>
    <s v="Hongbin"/>
    <s v="Arizona State University"/>
    <s v="116e 8040 9251"/>
    <s v="116e 8040 9251"/>
    <s v="Continuing grant"/>
    <s v="Proposal Awarded"/>
    <m/>
    <s v="Phase I (REU) I/UCRC Arizona State University Site: Center for Efficient Vehicles and Sustainable Transportation Systems (EV-STS)."/>
    <s v="VLRICHA"/>
    <d v="2017-07-10T12:33:46"/>
    <n v="275"/>
  </r>
  <r>
    <d v="2017-09-27T14:08:11"/>
    <d v="2017-05-26T00:00:00"/>
    <d v="2017-06-27T16:29:0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5255"/>
    <s v="I"/>
    <s v="eJ"/>
    <s v="1624842"/>
    <s v="1745255"/>
    <n v="2017"/>
    <s v="01"/>
    <n v="8000"/>
    <n v="8000"/>
    <s v="Yu"/>
    <s v="Hongbin"/>
    <s v="Arizona State University"/>
    <s v="116e 5761 8040 9251"/>
    <s v="116e 5761 8040 9251"/>
    <s v="Continuing grant"/>
    <s v="Proposal Awarded"/>
    <m/>
    <s v="Phase I (REU) I/UCRC Arizona State University Site: Center for Efficient Vehicles and Sustainable Transportation Systems (EV-STS)."/>
    <s v="VLRICHA"/>
    <d v="2017-07-10T12:47:54"/>
    <n v="276"/>
  </r>
  <r>
    <d v="2017-09-27T14:08:11"/>
    <d v="2017-01-18T00:00:00"/>
    <d v="2017-03-29T12:09:0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0255"/>
    <s v="I"/>
    <s v="eJ"/>
    <s v="1361509"/>
    <s v="1730255"/>
    <n v="2017"/>
    <s v="01"/>
    <n v="35000"/>
    <n v="35000"/>
    <s v="Kash"/>
    <s v="Bita"/>
    <s v="The Texas A&amp;M University S"/>
    <s v="5761"/>
    <s v="5761"/>
    <s v="Continuing grant"/>
    <s v="Proposal Awarded"/>
    <s v="Awarded"/>
    <s v="I/UCRC (Cluster for Grand Challenges):  Center for Health Organization Transformation"/>
    <s v="WPOWELL"/>
    <d v="2017-04-28T15:37:29"/>
    <n v="277"/>
  </r>
  <r>
    <d v="2017-09-27T14:08:11"/>
    <d v="2017-05-10T00:00:00"/>
    <d v="2017-06-28T11:04:0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251"/>
    <s v="I"/>
    <s v="eJ"/>
    <s v="1361509"/>
    <s v="1744251"/>
    <n v="2017"/>
    <s v="01"/>
    <n v="8000"/>
    <n v="8000"/>
    <s v="Kash"/>
    <s v="Bita"/>
    <s v="The Texas A&amp;M University S"/>
    <s v="116e 8042 9251"/>
    <s v="116e 8042 9251"/>
    <s v="Continuing grant"/>
    <s v="Proposal Awarded"/>
    <s v="Awarded"/>
    <s v="I/UCRC (REU) Supplement:  Center for Health Organization Transformation"/>
    <s v="VLRICHA"/>
    <d v="2017-07-10T12:25:02"/>
    <n v="278"/>
  </r>
  <r>
    <d v="2017-09-27T14:08:11"/>
    <d v="2017-05-12T00:00:00"/>
    <d v="2017-07-19T08:39:3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00"/>
    <s v="I"/>
    <s v="eJ"/>
    <s v="1361509"/>
    <s v="1744300"/>
    <n v="2017"/>
    <s v="01"/>
    <n v="25000"/>
    <n v="25000"/>
    <s v="Kash"/>
    <s v="Bita"/>
    <s v="The Texas A&amp;M University S"/>
    <m/>
    <s v="5761"/>
    <s v="Continuing grant"/>
    <s v="Proposal Awarded"/>
    <s v="Awarded"/>
    <s v="Phase II (Travel Supp) - International Site @ University Nottingham, UK IUCRC:  Center for Health Organization Transformation"/>
    <s v="WPOWELL"/>
    <d v="2017-08-23T20:23:51"/>
    <n v="279"/>
  </r>
  <r>
    <d v="2017-09-27T14:08:11"/>
    <d v="2017-05-05T00:00:00"/>
    <d v="2017-06-09T11:29:25"/>
    <s v="05050000"/>
    <s v="05100003"/>
    <s v="5761 - INDUSTRY/UNIV COOP RES CENTERS"/>
    <s v="5761 - INDUSTRY/UNIV COOP RES CENTERS"/>
    <s v="TNANDAG"/>
    <s v="TNANDAG"/>
    <s v="4160"/>
    <s v="4160"/>
    <s v=""/>
    <x v="2"/>
    <x v="0"/>
    <s v="AWD"/>
    <s v="CONT"/>
    <s v="CONT"/>
    <s v="CNS"/>
    <s v="1744154"/>
    <s v="I"/>
    <s v="eJ"/>
    <s v="1439728"/>
    <s v="1744154"/>
    <n v="2017"/>
    <s v="01"/>
    <n v="20000"/>
    <n v="20000"/>
    <s v="Morellas"/>
    <s v="Vassilios"/>
    <s v="U of Minnesota-Twin Cities"/>
    <s v="5761 7556"/>
    <s v="5761 7556"/>
    <s v="Continuing grant"/>
    <s v="Proposal Awarded"/>
    <s v="Increment withdrawn by program"/>
    <s v="I/UCRC Phase I: Robots and Sensors for the Human Well-being"/>
    <s v="VLRICHA"/>
    <d v="2017-06-16T16:41:38"/>
    <n v="280"/>
  </r>
  <r>
    <d v="2017-09-27T14:08:11"/>
    <d v="2017-05-04T00:00:00"/>
    <d v="2017-07-19T08:38:1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096"/>
    <s v="I"/>
    <s v="eJ"/>
    <s v="1440110"/>
    <s v="1744096"/>
    <n v="2017"/>
    <s v="01"/>
    <n v="20000"/>
    <n v="20000"/>
    <s v="Fan"/>
    <s v="Jun"/>
    <s v="Missouri S&amp;T"/>
    <m/>
    <s v="5761"/>
    <s v="Continuing grant"/>
    <s v="Proposal Awarded"/>
    <s v="Increment withdrawn by program"/>
    <s v="I/UCRC Phase II:  Center for Electromagnetic Compatibility"/>
    <s v="WPOWELL"/>
    <d v="2017-08-23T20:48:03"/>
    <n v="281"/>
  </r>
  <r>
    <d v="2017-09-27T14:08:11"/>
    <d v="2017-04-26T00:00:00"/>
    <d v="2017-07-17T16:15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849"/>
    <s v="I"/>
    <s v="eJ"/>
    <s v="1540045"/>
    <s v="1743849"/>
    <n v="2017"/>
    <s v="01"/>
    <n v="100000"/>
    <n v="100000"/>
    <s v="Coleman"/>
    <s v="Mark"/>
    <s v="University of Idaho"/>
    <s v="5761"/>
    <s v="5761"/>
    <s v="Continuing grant"/>
    <s v="Proposal Awarded"/>
    <s v="Awarded"/>
    <s v="I/UCRC Phase II:  University of Idaho Membership in Center for Advanced Forestry Systems"/>
    <s v="WPOWELL"/>
    <d v="2017-08-22T21:27:24"/>
    <n v="282"/>
  </r>
  <r>
    <d v="2017-09-27T14:08:11"/>
    <d v="2017-07-06T00:00:00"/>
    <d v="2017-07-19T09:08:32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1"/>
    <s v="I"/>
    <s v="eJ"/>
    <s v="1540045"/>
    <s v="1748611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8T07:44:01"/>
    <n v="283"/>
  </r>
  <r>
    <d v="2017-09-27T14:08:11"/>
    <d v="2017-07-06T00:00:00"/>
    <d v="2017-07-19T08:37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2"/>
    <s v="I"/>
    <s v="eJ"/>
    <s v="1540045"/>
    <s v="1748612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4T12:07:35"/>
    <n v="284"/>
  </r>
  <r>
    <d v="2017-09-27T14:08:11"/>
    <d v="2017-07-06T00:00:00"/>
    <d v="2017-07-24T16:29:4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2"/>
    <s v="I"/>
    <s v="eJ"/>
    <s v="1540018"/>
    <s v="1748532"/>
    <n v="2017"/>
    <s v="01"/>
    <n v="16000"/>
    <n v="16000"/>
    <s v="Terrones"/>
    <s v="Mauricio"/>
    <s v="PA St U University Park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VLRICHA"/>
    <d v="2017-08-09T13:37:35"/>
    <n v="285"/>
  </r>
  <r>
    <d v="2017-09-27T14:08:11"/>
    <d v="2017-03-23T09:57:46"/>
    <d v="2017-05-08T17:17:4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0"/>
    <s v="I"/>
    <s v="eJ"/>
    <s v="1338914"/>
    <s v="1741550"/>
    <n v="2017"/>
    <s v="01"/>
    <n v="30000"/>
    <n v="30000"/>
    <s v="Ur"/>
    <s v="Jason"/>
    <s v="Harvard University"/>
    <s v="5761"/>
    <s v="5761"/>
    <s v="Continuing grant"/>
    <s v="Proposal Awarded"/>
    <s v="Awarded"/>
    <s v="I/UCRC:  Collaborative Research: Center for Spatiotemporal Thinking Computing and Applications"/>
    <s v="DCOATES"/>
    <d v="2017-05-31T11:49:37"/>
    <n v="286"/>
  </r>
  <r>
    <d v="2017-09-27T14:08:11"/>
    <d v="2017-03-23T09:58:10"/>
    <d v="2017-05-12T14:56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1"/>
    <s v="I"/>
    <s v="eJ"/>
    <s v="1338914"/>
    <s v="1741551"/>
    <n v="2017"/>
    <s v="01"/>
    <n v="30000"/>
    <n v="30000"/>
    <s v="Ur"/>
    <s v="Jason"/>
    <s v="Harvard University"/>
    <m/>
    <s v="5761"/>
    <s v="Continuing grant"/>
    <s v="Proposal Awarded"/>
    <s v="Awarded"/>
    <s v="I/UCRC:  Collaborative Research: Center for Spatiotemporal Thinking Computing and Applications"/>
    <s v="DCOATES"/>
    <d v="2017-05-31T11:52:05"/>
    <n v="287"/>
  </r>
  <r>
    <d v="2017-09-27T14:08:11"/>
    <d v="2016-06-09T00:00:00"/>
    <d v="2016-12-21T12:06:18"/>
    <s v="05050000"/>
    <s v="05100003"/>
    <s v="5761 - INDUSTRY/UNIV COOP RES CENTERS"/>
    <s v="5761 - INDUSTRY/UNIV COOP RES CENTERS"/>
    <s v="DPERKIN"/>
    <s v="TNANDAG"/>
    <s v="4110"/>
    <s v="4110"/>
    <s v=""/>
    <x v="2"/>
    <x v="0"/>
    <s v="AWD"/>
    <s v="CONT"/>
    <s v="CONT"/>
    <s v="CNS"/>
    <s v="1646770"/>
    <s v="I"/>
    <s v="eJ"/>
    <s v="1134843"/>
    <s v="1646770"/>
    <n v="2017"/>
    <s v="01"/>
    <n v="25000"/>
    <n v="25000"/>
    <s v="Clancy"/>
    <s v="T. Charles"/>
    <s v="VA Polytechnic Inst &amp; St U"/>
    <s v="5761"/>
    <m/>
    <s v="Continuing grant"/>
    <s v="Proposal Awarded"/>
    <m/>
    <s v="Cyber Security I/UCRC"/>
    <s v="DCOATES"/>
    <d v="2017-01-13T12:32:04"/>
    <n v="288"/>
  </r>
  <r>
    <d v="2017-09-27T14:08:11"/>
    <d v="2016-12-15T00:00:00"/>
    <d v="2017-03-30T10:32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23641"/>
    <s v="I"/>
    <s v="eJ"/>
    <s v="1362046"/>
    <s v="1723641"/>
    <n v="2017"/>
    <s v="01"/>
    <n v="20000"/>
    <n v="20000"/>
    <s v="Burger"/>
    <s v="Eric"/>
    <s v="Georgetown University"/>
    <s v="5761"/>
    <s v="5761"/>
    <s v="Continuing grant"/>
    <s v="Proposal Awarded"/>
    <s v="Awarded"/>
    <s v="I/UCRC:  S2ERC at Georgetown University"/>
    <s v="VLRICHA"/>
    <d v="2017-04-30T18:34:25"/>
    <n v="289"/>
  </r>
  <r>
    <d v="2017-09-27T14:08:11"/>
    <d v="2017-05-11T00:00:00"/>
    <d v="2017-06-27T16:28:13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4253"/>
    <s v="I"/>
    <s v="eJ"/>
    <s v="1624727"/>
    <s v="1744253"/>
    <n v="2017"/>
    <s v="01"/>
    <n v="21500"/>
    <n v="21500"/>
    <s v="Tucker"/>
    <s v="Conrad"/>
    <s v="PA St U University Park"/>
    <s v="116e 5761 8042 9102 9251"/>
    <s v="116e 5761 8042 9102 9251"/>
    <s v="Continuing grant"/>
    <s v="Proposal Awarded"/>
    <m/>
    <s v="Phase II I/UCRC (REU) Pennsylvania State University Site: Center for Health Organization Transformation"/>
    <s v="VLRICHA"/>
    <d v="2017-07-10T12:54:43"/>
    <n v="290"/>
  </r>
  <r>
    <d v="2017-09-27T14:08:11"/>
    <d v="2017-04-17T00:00:00"/>
    <d v="2017-06-28T11:01:2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391"/>
    <s v="I"/>
    <s v="eJ"/>
    <s v="1266057"/>
    <s v="1743391"/>
    <n v="2017"/>
    <s v="01"/>
    <n v="8000"/>
    <n v="8000"/>
    <s v="Powell"/>
    <s v="Eric"/>
    <s v="U of Southern Mississippi"/>
    <s v="116e 8042 9150 9251"/>
    <s v="116e 8042 9150 9251"/>
    <s v="Continuing grant"/>
    <s v="Proposal Awarded"/>
    <s v="Awarded"/>
    <s v="I/UCRC (REU): Collaborative Research: Phase I I/UCRC for Science Center for Marine Fisheries (SCeMFiS)"/>
    <s v="VLRICHA"/>
    <d v="2017-07-10T12:16:35"/>
    <n v="291"/>
  </r>
  <r>
    <d v="2017-09-27T14:08:11"/>
    <d v="2017-05-12T00:00:00"/>
    <d v="2017-06-28T11:05:2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28"/>
    <s v="I"/>
    <s v="eJ"/>
    <s v="1624690"/>
    <s v="1744328"/>
    <n v="2017"/>
    <s v="01"/>
    <n v="15960"/>
    <n v="22200"/>
    <s v="Weech-Maldonado"/>
    <s v="Robert"/>
    <s v="U of Alabama Birmingham"/>
    <s v="116e 9150 9251"/>
    <s v="116e 9150 9251"/>
    <s v="Continuing grant"/>
    <s v="Proposal Awarded"/>
    <m/>
    <s v="Phase II I/UCRC (REU) U. of Alabama at Birmingham Site: Center for Health Organization Transformation"/>
    <s v="VLRICHA"/>
    <d v="2017-07-24T08:15:59"/>
    <n v="292"/>
  </r>
  <r>
    <d v="2017-09-27T14:08:11"/>
    <d v="2017-03-23T09:55:07"/>
    <d v="2017-04-28T18:44:2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6"/>
    <s v="I"/>
    <s v="eJ"/>
    <s v="1439672"/>
    <s v="1741546"/>
    <n v="2017"/>
    <s v="01"/>
    <n v="32499"/>
    <n v="32499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5-16T11:36:08"/>
    <n v="293"/>
  </r>
  <r>
    <d v="2017-09-27T14:08:11"/>
    <d v="2017-03-23T09:56:17"/>
    <d v="2017-04-07T09:29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7"/>
    <s v="I"/>
    <s v="eJ"/>
    <s v="1439672"/>
    <s v="1741547"/>
    <n v="2017"/>
    <s v="01"/>
    <n v="32500"/>
    <n v="32500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4-30T18:28:28"/>
    <n v="294"/>
  </r>
  <r>
    <d v="2017-09-27T14:08:11"/>
    <d v="2017-01-27T00:00:00"/>
    <d v="2017-02-07T11:55:02"/>
    <s v="07070000"/>
    <s v="07070000"/>
    <s v="5761 - INDUSTRY/UNIV COOP RES CENTERS"/>
    <s v="5761 - INDUSTRY/UNIV COOP RES CENTERS"/>
    <s v="RMONTEL"/>
    <s v="RMONTEL"/>
    <s v="4110"/>
    <s v="4110"/>
    <s v=""/>
    <x v="2"/>
    <x v="0"/>
    <s v="AWD"/>
    <s v="CONT"/>
    <s v="CONT"/>
    <s v="IIP"/>
    <s v="1733891"/>
    <s v="I"/>
    <s v="eJ"/>
    <s v="1539992"/>
    <s v="1733891"/>
    <n v="2017"/>
    <s v="01"/>
    <n v="13300"/>
    <n v="13300"/>
    <s v="Ramirez"/>
    <s v="Antonio"/>
    <s v="Ohio State University"/>
    <s v="123E 5761 8041"/>
    <s v="123E 5761 8041"/>
    <s v="Continuing grant"/>
    <s v="Proposal Awarded"/>
    <s v="Awarded"/>
    <s v="I/UCRC Phase II:  Collaborative Research: CIMJSEA Phase II Proposal"/>
    <s v="WPOWELL"/>
    <d v="2017-03-08T21:44:07"/>
    <n v="295"/>
  </r>
  <r>
    <d v="2017-09-27T14:08:11"/>
    <d v="2017-07-06T00:00:00"/>
    <d v="2017-07-24T10:48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67"/>
    <s v="I"/>
    <s v="eJ"/>
    <s v="1539992"/>
    <s v="1748567"/>
    <n v="2017"/>
    <s v="01"/>
    <n v="20000"/>
    <n v="20000"/>
    <s v="Ramirez"/>
    <s v="Antonio"/>
    <s v="Ohio State University"/>
    <s v="116E 123E 8041 8808 9251"/>
    <s v="116E 123E 8041 8808 9251"/>
    <s v="Continuing grant"/>
    <s v="Proposal Awarded"/>
    <s v="Awarded"/>
    <s v="I/UCRC Phase II (VRS):  Collaborative Research: CIMJSEA Phase II Proposal"/>
    <s v="JHFRENC"/>
    <d v="2017-07-24T14:59:08"/>
    <n v="296"/>
  </r>
  <r>
    <d v="2017-09-27T14:08:11"/>
    <d v="2017-07-06T00:00:00"/>
    <d v="2017-07-19T09:06:4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8"/>
    <s v="I"/>
    <s v="eJ"/>
    <s v="1539992"/>
    <s v="1748568"/>
    <n v="2017"/>
    <s v="01"/>
    <n v="16000"/>
    <n v="16000"/>
    <s v="Ramirez"/>
    <s v="Antonio"/>
    <s v="Ohio State University"/>
    <s v="116E 123E 8041 9102 9251"/>
    <s v="116E 123E 8041 9251"/>
    <s v="Continuing grant"/>
    <s v="Proposal Awarded"/>
    <s v="Awarded"/>
    <s v="I/UCRC Phase II (REU):  Collaborative Research: CIMJSEA Phase II Proposal"/>
    <s v="JKITTLE"/>
    <d v="2017-07-27T09:01:28"/>
    <n v="297"/>
  </r>
  <r>
    <d v="2017-09-27T14:08:11"/>
    <d v="2017-02-28T00:00:00"/>
    <d v="1899-12-31T00:00:00"/>
    <s v="07070000"/>
    <s v="07070000"/>
    <s v="5761 - INDUSTRY/UNIV COOP RES CENTERS"/>
    <s v="5761 - INDUSTRY/UNIV COOP RES CENTERS"/>
    <s v="PBALAN"/>
    <s v="PBALAN"/>
    <s v="4110"/>
    <s v="4110"/>
    <s v="NSF 12-516"/>
    <x v="4"/>
    <x v="0"/>
    <s v="AWD"/>
    <s v="CONT"/>
    <s v="CONT"/>
    <s v="IIP"/>
    <s v="1738617"/>
    <s v="I"/>
    <s v="eJ"/>
    <s v="1738617"/>
    <s v="1738617"/>
    <n v="2017"/>
    <s v="02"/>
    <n v="60000"/>
    <n v="135214"/>
    <s v="Papautsky"/>
    <s v="Ian"/>
    <s v="U of Illinois Chicago"/>
    <m/>
    <s v="5761 8041"/>
    <s v="Continuing grant"/>
    <s v="Proposal Awarded"/>
    <m/>
    <s v="I/UCRC:  Center for Advanced Design and Manufacturing of Integrated Microfluidics (CADMIM)"/>
    <s v="WPOWELL"/>
    <d v="2017-06-21T08:52:59"/>
    <n v="298"/>
  </r>
  <r>
    <d v="2017-09-27T14:08:11"/>
    <d v="2017-09-12T14:25:28"/>
    <d v="2017-09-21T11:38:2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213"/>
    <s v="I"/>
    <s v="eJ"/>
    <s v="1464654"/>
    <s v="1760213"/>
    <n v="2017"/>
    <s v="01"/>
    <n v="100000"/>
    <n v="100000"/>
    <s v="Zage"/>
    <s v="Wayne"/>
    <s v="Ball State University"/>
    <s v="5761"/>
    <s v="5761"/>
    <s v="Continuing grant"/>
    <s v="Proposal Awarded"/>
    <s v="Awarded"/>
    <s v="Collaborative Research:  I/UCRC Phase II:  Security and Software Engineering Research Center (S2ERC)"/>
    <s v="JMADIGA"/>
    <d v="2017-09-21T11:56:00"/>
    <n v="299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1"/>
    <n v="3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2"/>
    <n v="7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9-11T13:01:58"/>
    <d v="2017-09-15T07:59:0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2"/>
    <s v="I"/>
    <s v="eJ"/>
    <s v="1361806"/>
    <s v="1760022"/>
    <n v="2017"/>
    <s v="01"/>
    <n v="111040"/>
    <n v="111040"/>
    <s v="Kavi"/>
    <s v="Krishna"/>
    <s v="University of North Texas"/>
    <s v="5761 8039"/>
    <m/>
    <s v="Continuing grant"/>
    <s v="Proposal Awarded"/>
    <s v="Increment withdrawn by program"/>
    <s v="I/UCRC: NSF Net-centric and Cloud Software and Systems"/>
    <s v="PCONYER"/>
    <d v="2017-09-18T12:35:25"/>
    <n v="301"/>
  </r>
  <r>
    <d v="2017-09-27T14:08:11"/>
    <d v="2017-08-28T09:41:53"/>
    <d v="2017-09-06T08:37:10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2"/>
    <s v="I"/>
    <s v="eJ"/>
    <s v="1650551"/>
    <s v="1758242"/>
    <n v="2017"/>
    <s v="01"/>
    <n v="99999"/>
    <n v="99999"/>
    <s v="Raghavan"/>
    <s v="Vijay"/>
    <s v="Univ of Louisiana at Lafay"/>
    <s v="5761"/>
    <s v="5761"/>
    <s v="Continuing grant"/>
    <s v="Proposal Awarded"/>
    <m/>
    <s v="I/UCRC Phase II Renewal: Center for Visual and Decision Informatics (CVDI)"/>
    <s v="DCOATES"/>
    <d v="2017-09-07T11:56:52"/>
    <n v="302"/>
  </r>
  <r>
    <d v="2017-09-27T14:08:11"/>
    <d v="2017-08-28T09:50:54"/>
    <d v="2017-09-06T08:31:54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5"/>
    <s v="I"/>
    <s v="eJ"/>
    <s v="1650512"/>
    <s v="1758245"/>
    <n v="2017"/>
    <s v="01"/>
    <n v="123669"/>
    <n v="123669"/>
    <s v="Beling"/>
    <s v="Peter"/>
    <s v="University of Virginia"/>
    <s v="5761"/>
    <s v="5761"/>
    <s v="Continuing grant"/>
    <s v="Proposal Awarded"/>
    <m/>
    <s v="Center for Visual and Decision Informatics (CVDI) I/UCRC site at the University of Virginia"/>
    <s v="DCOATES"/>
    <d v="2017-09-07T11:27:19"/>
    <n v="303"/>
  </r>
  <r>
    <d v="2017-09-27T14:08:11"/>
    <d v="2017-08-28T09:36:49"/>
    <d v="2017-09-06T08:36:3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41"/>
    <s v="I"/>
    <s v="eJ"/>
    <s v="1650474"/>
    <s v="1758241"/>
    <n v="2017"/>
    <s v="01"/>
    <n v="100000"/>
    <n v="100000"/>
    <s v="Valenti"/>
    <s v="Matthew"/>
    <s v="WV Univ Research Corp"/>
    <s v="5761"/>
    <s v="5761"/>
    <s v="Continuing grant"/>
    <s v="Proposal Awarded"/>
    <m/>
    <s v="I/UCRC Phase II: Center for Identification Technology Research"/>
    <s v="DCOATES"/>
    <d v="2017-09-07T11:43:59"/>
    <n v="304"/>
  </r>
  <r>
    <d v="2017-09-27T14:08:11"/>
    <d v="2017-08-28T09:07:42"/>
    <d v="2017-09-06T08:34:42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3"/>
    <s v="I"/>
    <s v="eJ"/>
    <s v="1650536"/>
    <s v="1758233"/>
    <n v="2017"/>
    <s v="01"/>
    <n v="150000"/>
    <n v="1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9-07T11:35:19"/>
    <n v="305"/>
  </r>
  <r>
    <d v="2017-09-27T14:08:11"/>
    <d v="2017-08-28T08:46:28"/>
    <d v="2017-09-06T08:34:04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29"/>
    <s v="I"/>
    <s v="eJ"/>
    <s v="1650566"/>
    <s v="1758229"/>
    <n v="2017"/>
    <s v="01"/>
    <n v="150000"/>
    <n v="1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9-07T11:31:44"/>
    <n v="306"/>
  </r>
  <r>
    <d v="2017-09-27T14:08:11"/>
    <d v="2017-08-28T09:28:28"/>
    <d v="2017-09-07T20:32:55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9"/>
    <s v="I"/>
    <s v="eJ"/>
    <s v="1650465"/>
    <s v="1758239"/>
    <n v="2017"/>
    <s v="01"/>
    <n v="100000"/>
    <n v="1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PAHAWKI"/>
    <d v="2017-09-11T07:37:59"/>
    <n v="307"/>
  </r>
  <r>
    <d v="2017-09-27T14:08:11"/>
    <d v="2017-08-28T09:15:47"/>
    <d v="2017-09-06T08:35:1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6"/>
    <s v="I"/>
    <s v="eJ"/>
    <s v="1650547"/>
    <s v="1758236"/>
    <n v="2017"/>
    <s v="01"/>
    <n v="100000"/>
    <n v="1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9-07T11:39:05"/>
    <n v="308"/>
  </r>
  <r>
    <d v="2017-09-27T14:08:11"/>
    <d v="2017-08-28T09:46:47"/>
    <d v="2017-09-12T10:52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4"/>
    <s v="I"/>
    <s v="eJ"/>
    <s v="1650431"/>
    <s v="1758244"/>
    <n v="2017"/>
    <s v="01"/>
    <n v="99971"/>
    <n v="99971"/>
    <s v="Hu"/>
    <s v="Xiaohua (Tony)"/>
    <s v="Drexel University"/>
    <s v="5761"/>
    <s v="5761"/>
    <s v="Continuing grant"/>
    <s v="Proposal Awarded"/>
    <m/>
    <s v="I/UCRC Phase II Renewal: Center for Visual and Decision Informatics (CVDI)"/>
    <s v="PAHAWKI"/>
    <d v="2017-09-13T13:50:09"/>
    <n v="309"/>
  </r>
  <r>
    <d v="2017-09-27T14:08:11"/>
    <d v="2017-08-28T09:22:22"/>
    <d v="2017-09-06T08:36:00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7"/>
    <s v="I"/>
    <s v="eJ"/>
    <s v="1650468"/>
    <s v="1758237"/>
    <n v="2017"/>
    <s v="01"/>
    <n v="99999"/>
    <n v="99999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9-07T11:41:51"/>
    <n v="310"/>
  </r>
  <r>
    <d v="2017-09-27T14:08:11"/>
    <d v="2017-09-11T13:02:46"/>
    <d v="2017-09-15T07:59:43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3"/>
    <s v="I"/>
    <s v="eJ"/>
    <s v="1539960"/>
    <s v="1760023"/>
    <n v="2017"/>
    <s v="01"/>
    <n v="87200"/>
    <n v="87200"/>
    <s v="Rigling"/>
    <s v="Brian"/>
    <s v="Wright State University"/>
    <s v="5761 8039"/>
    <s v="5761 8039"/>
    <s v="Continuing grant"/>
    <s v="Proposal Awarded"/>
    <s v="Increment withdrawn by program"/>
    <s v="I/UCRC Phase II: Collaborative Research:  I/UCRC Center for Surveillance Research, Phase II"/>
    <s v="PCONYER"/>
    <d v="2017-09-18T12:45:54"/>
    <n v="311"/>
  </r>
  <r>
    <d v="2017-09-27T14:08:11"/>
    <d v="2017-01-19T20:19:00"/>
    <d v="2017-03-03T08:32:11"/>
    <s v="07070000"/>
    <s v="07070000"/>
    <s v="5761 - INDUSTRY/UNIV COOP RES CENTERS"/>
    <s v="5761 - INDUSTRY/UNIV COOP RES CENTERS"/>
    <s v="PBALAN"/>
    <s v="PBALAN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1"/>
    <n v="62930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1-19T20:19:00"/>
    <d v="2017-03-03T08:32:11"/>
    <s v="07070000"/>
    <s v="05100003"/>
    <s v="5761 - INDUSTRY/UNIV COOP RES CENTERS"/>
    <s v="5761 - INDUSTRY/UNIV COOP RES CENTERS"/>
    <s v="PBALAN"/>
    <s v="TNANDAG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2"/>
    <n v="30995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9-20T09:13:49"/>
    <d v="2017-09-20T12:05:56"/>
    <s v="07070000"/>
    <s v="07070000"/>
    <s v="5761 - INDUSTRY/UNIV COOP RES CENTERS"/>
    <s v="5761 - INDUSTRY/UNIV COOP RES CENTERS"/>
    <s v="PBALAN"/>
    <s v="PBALAN"/>
    <s v="4110"/>
    <s v="4110"/>
    <s v=""/>
    <x v="6"/>
    <x v="0"/>
    <s v="AWD"/>
    <s v="CAGR"/>
    <s v="CAGR"/>
    <s v="IIP"/>
    <s v="1762176"/>
    <s v="I"/>
    <s v="eJ"/>
    <s v="1732084"/>
    <s v="1762176"/>
    <n v="2017"/>
    <s v="01"/>
    <n v="225680"/>
    <n v="225680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WPOWELL"/>
    <d v="2017-09-21T09:57:00"/>
    <n v="313"/>
  </r>
  <r>
    <d v="2017-09-27T14:08:11"/>
    <d v="2017-06-23T00:00:00"/>
    <d v="2017-07-24T16:27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AGR"/>
    <s v="CAGR"/>
    <s v="IIP"/>
    <s v="1747973"/>
    <s v="I"/>
    <s v="eJ"/>
    <s v="1449500"/>
    <s v="1747973"/>
    <n v="2017"/>
    <s v="01"/>
    <n v="40083"/>
    <n v="40083"/>
    <s v="Alvarez"/>
    <s v="Pedro"/>
    <s v="William Marsh Rice Univ"/>
    <s v="018z 112E 123E 127E 128E 131E"/>
    <s v="018Z 112E 123E 127E 128E 131E"/>
    <s v="Cooperative Agreement"/>
    <s v="Proposal Awarded"/>
    <m/>
    <s v="INTERN DCL - NSF Nanosystems Engineering Research Center for Nantechnology Enabled Water Treatment Systems (NEWT)"/>
    <s v="WPOWELL"/>
    <d v="2017-09-20T09:36:09"/>
    <n v="314"/>
  </r>
  <r>
    <d v="2017-09-27T14:08:11"/>
    <d v="2016-12-23T15:21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767"/>
    <s v="I"/>
    <s v="eJ"/>
    <s v=""/>
    <s v="1724767"/>
    <n v="2017"/>
    <s v="01"/>
    <n v="0"/>
    <n v="14999"/>
    <s v="Graeve"/>
    <s v="Olivia"/>
    <s v="U of Cal San Diego"/>
    <s v="123E 5761"/>
    <s v="5761"/>
    <s v="Preliminary Proposal"/>
    <m/>
    <m/>
    <s v="I/UCRC Pre-Proposal Planning CaliBaja Site Center for Resilient Materials and Systems"/>
    <s v="ejupd"/>
    <d v="2017-02-03T13:18:07"/>
    <n v="315"/>
  </r>
  <r>
    <d v="2017-09-27T14:08:11"/>
    <d v="2016-12-20T09:26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431"/>
    <s v="I"/>
    <s v="eJ"/>
    <s v=""/>
    <s v="1724431"/>
    <n v="2017"/>
    <s v="01"/>
    <n v="0"/>
    <n v="15000"/>
    <s v="Jensen"/>
    <s v="Matthew"/>
    <s v="Florida Institute of Tech"/>
    <s v="061E 123E 5761 8042"/>
    <s v="5761"/>
    <s v="Preliminary Proposal"/>
    <m/>
    <m/>
    <s v="I/UCRC Pre-Proposal Planning Florida Institute of Technology Site: Center for the Fire Retardant Materials and Safety Research Center (FRMS-RC)"/>
    <s v="ejupd"/>
    <d v="2017-02-03T13:20:36"/>
    <n v="3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4" rowHeaderCaption="Prop Status">
  <location ref="F5:G18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0"/>
        <item x="4"/>
        <item x="5"/>
        <item x="2"/>
        <item x="1"/>
        <item x="3"/>
        <item x="6"/>
        <item t="default"/>
      </items>
    </pivotField>
    <pivotField axis="axisRow" subtotalTop="0" showAll="0">
      <items count="5">
        <item x="0"/>
        <item m="1" x="2"/>
        <item m="1" x="3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3"/>
    </i>
    <i r="1">
      <x/>
    </i>
    <i t="default">
      <x v="3"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36">
      <pivotArea outline="0" collapsedLevelsAreSubtotals="1" fieldPosition="0"/>
    </format>
    <format dxfId="135">
      <pivotArea dataOnly="0" labelOnly="1" outline="0" axis="axisValues" fieldPosition="0"/>
    </format>
    <format dxfId="134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5" rowHeaderCaption="Prop Status">
  <location ref="F5:R20" firstHeaderRow="1" firstDataRow="2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0">
        <item x="0"/>
        <item x="2"/>
        <item x="4"/>
        <item x="1"/>
        <item m="1" x="8"/>
        <item m="1" x="5"/>
        <item m="1" x="7"/>
        <item m="1" x="6"/>
        <item x="3"/>
        <item t="default"/>
      </items>
    </pivotField>
    <pivotField axis="axisRow" subtotalTop="0" showAll="0">
      <items count="7">
        <item x="0"/>
        <item x="2"/>
        <item x="1"/>
        <item m="1" x="3"/>
        <item m="1" x="5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Col" subtotalTop="0" showAll="0">
      <items count="12">
        <item x="9"/>
        <item x="4"/>
        <item x="10"/>
        <item x="1"/>
        <item x="2"/>
        <item x="0"/>
        <item x="3"/>
        <item x="5"/>
        <item x="6"/>
        <item x="7"/>
        <item x="8"/>
        <item t="default"/>
      </items>
    </pivotField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4">
    <i>
      <x/>
    </i>
    <i r="1">
      <x/>
    </i>
    <i r="1">
      <x v="1"/>
    </i>
    <i r="1">
      <x v="2"/>
    </i>
    <i r="1">
      <x v="3"/>
    </i>
    <i r="1">
      <x v="8"/>
    </i>
    <i t="default">
      <x/>
    </i>
    <i>
      <x v="1"/>
    </i>
    <i r="1">
      <x v="3"/>
    </i>
    <i t="default">
      <x v="1"/>
    </i>
    <i>
      <x v="2"/>
    </i>
    <i r="1">
      <x v="1"/>
    </i>
    <i t="default">
      <x v="2"/>
    </i>
    <i t="grand">
      <x/>
    </i>
  </rowItems>
  <colFields count="1">
    <field x="23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budg_splt_tot_dol" fld="25" baseField="0" baseItem="0" numFmtId="165"/>
  </dataFields>
  <formats count="3">
    <format dxfId="88">
      <pivotArea outline="0" collapsedLevelsAreSubtotals="1" fieldPosition="0"/>
    </format>
    <format dxfId="87">
      <pivotArea dataOnly="0" labelOnly="1" outline="0" axis="axisValues" fieldPosition="0"/>
    </format>
    <format dxfId="86">
      <pivotArea dataOnly="0" labelOnly="1" outline="0" axis="axisValues" fieldPosition="0"/>
    </format>
  </formats>
  <chartFormats count="1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4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4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4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4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4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4" format="26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4" format="27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4" format="2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</references>
      </pivotArea>
    </chartFormat>
    <chartFormat chart="4" format="29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4" format="3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4"/>
          </reference>
        </references>
      </pivotArea>
    </chartFormat>
    <chartFormat chart="4" format="31">
      <pivotArea type="data" outline="0" fieldPosition="0">
        <references count="3">
          <reference field="4294967294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</references>
      </pivotArea>
    </chartFormat>
    <chartFormat chart="4" format="32">
      <pivotArea type="data" outline="0" fieldPosition="0">
        <references count="3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</references>
      </pivotArea>
    </chartFormat>
    <chartFormat chart="4" format="33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1"/>
          </reference>
        </references>
      </pivotArea>
    </chartFormat>
    <chartFormat chart="4" format="3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1"/>
          </reference>
        </references>
      </pivotArea>
    </chartFormat>
    <chartFormat chart="4" format="3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</references>
      </pivotArea>
    </chartFormat>
    <chartFormat chart="4" format="36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chartFormat>
    <chartFormat chart="4" format="37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4"/>
          </reference>
        </references>
      </pivotArea>
    </chartFormat>
    <chartFormat chart="4" format="3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4"/>
          </reference>
        </references>
      </pivotArea>
    </chartFormat>
    <chartFormat chart="4" format="3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5"/>
          </reference>
        </references>
      </pivotArea>
    </chartFormat>
    <chartFormat chart="4" format="40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5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5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5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44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0"/>
          </reference>
        </references>
      </pivotArea>
    </chartFormat>
    <chartFormat chart="4" format="45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0"/>
          </reference>
        </references>
      </pivotArea>
    </chartFormat>
    <chartFormat chart="4" format="46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0"/>
          </reference>
        </references>
      </pivotArea>
    </chartFormat>
    <chartFormat chart="4" format="47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0"/>
          </reference>
        </references>
      </pivotArea>
    </chartFormat>
    <chartFormat chart="4" format="48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0"/>
          </reference>
        </references>
      </pivotArea>
    </chartFormat>
    <chartFormat chart="4" format="49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4" format="51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1"/>
          </reference>
        </references>
      </pivotArea>
    </chartFormat>
    <chartFormat chart="4" format="52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1"/>
          </reference>
        </references>
      </pivotArea>
    </chartFormat>
    <chartFormat chart="4" format="53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1"/>
          </reference>
        </references>
      </pivotArea>
    </chartFormat>
    <chartFormat chart="4" format="54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1"/>
          </reference>
        </references>
      </pivotArea>
    </chartFormat>
    <chartFormat chart="4" format="55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1"/>
          </reference>
        </references>
      </pivotArea>
    </chartFormat>
    <chartFormat chart="4" format="56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4" format="58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2"/>
          </reference>
        </references>
      </pivotArea>
    </chartFormat>
    <chartFormat chart="4" format="59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2"/>
          </reference>
        </references>
      </pivotArea>
    </chartFormat>
    <chartFormat chart="4" format="60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2"/>
          </reference>
        </references>
      </pivotArea>
    </chartFormat>
    <chartFormat chart="4" format="61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2"/>
          </reference>
        </references>
      </pivotArea>
    </chartFormat>
    <chartFormat chart="4" format="62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2"/>
          </reference>
        </references>
      </pivotArea>
    </chartFormat>
    <chartFormat chart="4" format="63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4" format="65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3"/>
          </reference>
        </references>
      </pivotArea>
    </chartFormat>
    <chartFormat chart="4" format="66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3"/>
          </reference>
        </references>
      </pivotArea>
    </chartFormat>
    <chartFormat chart="4" format="67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3"/>
          </reference>
        </references>
      </pivotArea>
    </chartFormat>
    <chartFormat chart="4" format="68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3"/>
          </reference>
        </references>
      </pivotArea>
    </chartFormat>
    <chartFormat chart="4" format="69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3"/>
          </reference>
        </references>
      </pivotArea>
    </chartFormat>
    <chartFormat chart="4" format="70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3"/>
          </reference>
        </references>
      </pivotArea>
    </chartFormat>
    <chartFormat chart="4" format="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4" format="72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4"/>
          </reference>
        </references>
      </pivotArea>
    </chartFormat>
    <chartFormat chart="4" format="73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4"/>
          </reference>
        </references>
      </pivotArea>
    </chartFormat>
    <chartFormat chart="4" format="74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4"/>
          </reference>
        </references>
      </pivotArea>
    </chartFormat>
    <chartFormat chart="4" format="75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4"/>
          </reference>
        </references>
      </pivotArea>
    </chartFormat>
    <chartFormat chart="4" format="76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4"/>
          </reference>
        </references>
      </pivotArea>
    </chartFormat>
    <chartFormat chart="4" format="77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4"/>
          </reference>
        </references>
      </pivotArea>
    </chartFormat>
    <chartFormat chart="4" format="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4" format="79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5"/>
          </reference>
        </references>
      </pivotArea>
    </chartFormat>
    <chartFormat chart="4" format="80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5"/>
          </reference>
        </references>
      </pivotArea>
    </chartFormat>
    <chartFormat chart="4" format="81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5"/>
          </reference>
        </references>
      </pivotArea>
    </chartFormat>
    <chartFormat chart="4" format="82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5"/>
          </reference>
        </references>
      </pivotArea>
    </chartFormat>
    <chartFormat chart="4" format="83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5"/>
          </reference>
        </references>
      </pivotArea>
    </chartFormat>
    <chartFormat chart="4" format="84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5"/>
          </reference>
        </references>
      </pivotArea>
    </chartFormat>
    <chartFormat chart="4" format="8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4" format="86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6"/>
          </reference>
        </references>
      </pivotArea>
    </chartFormat>
    <chartFormat chart="4" format="87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6"/>
          </reference>
        </references>
      </pivotArea>
    </chartFormat>
    <chartFormat chart="4" format="88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6"/>
          </reference>
        </references>
      </pivotArea>
    </chartFormat>
    <chartFormat chart="4" format="89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6"/>
          </reference>
        </references>
      </pivotArea>
    </chartFormat>
    <chartFormat chart="4" format="90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6"/>
          </reference>
        </references>
      </pivotArea>
    </chartFormat>
    <chartFormat chart="4" format="91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6"/>
          </reference>
        </references>
      </pivotArea>
    </chartFormat>
    <chartFormat chart="4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4" format="93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7"/>
          </reference>
        </references>
      </pivotArea>
    </chartFormat>
    <chartFormat chart="4" format="94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7"/>
          </reference>
        </references>
      </pivotArea>
    </chartFormat>
    <chartFormat chart="4" format="95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7"/>
          </reference>
        </references>
      </pivotArea>
    </chartFormat>
    <chartFormat chart="4" format="96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7"/>
          </reference>
        </references>
      </pivotArea>
    </chartFormat>
    <chartFormat chart="4" format="97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7"/>
          </reference>
        </references>
      </pivotArea>
    </chartFormat>
    <chartFormat chart="4" format="98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7"/>
          </reference>
        </references>
      </pivotArea>
    </chartFormat>
    <chartFormat chart="4" format="9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4" format="100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8"/>
          </reference>
        </references>
      </pivotArea>
    </chartFormat>
    <chartFormat chart="4" format="101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8"/>
          </reference>
        </references>
      </pivotArea>
    </chartFormat>
    <chartFormat chart="4" format="102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8"/>
          </reference>
        </references>
      </pivotArea>
    </chartFormat>
    <chartFormat chart="4" format="103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8"/>
          </reference>
        </references>
      </pivotArea>
    </chartFormat>
    <chartFormat chart="4" format="104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8"/>
          </reference>
        </references>
      </pivotArea>
    </chartFormat>
    <chartFormat chart="4" format="105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8"/>
          </reference>
        </references>
      </pivotArea>
    </chartFormat>
    <chartFormat chart="4" format="10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4" format="107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9"/>
          </reference>
        </references>
      </pivotArea>
    </chartFormat>
    <chartFormat chart="4" format="108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9"/>
          </reference>
        </references>
      </pivotArea>
    </chartFormat>
    <chartFormat chart="4" format="109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9"/>
          </reference>
        </references>
      </pivotArea>
    </chartFormat>
    <chartFormat chart="4" format="110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9"/>
          </reference>
        </references>
      </pivotArea>
    </chartFormat>
    <chartFormat chart="4" format="111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9"/>
          </reference>
        </references>
      </pivotArea>
    </chartFormat>
    <chartFormat chart="4" format="112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9"/>
          </reference>
        </references>
      </pivotArea>
    </chartFormat>
    <chartFormat chart="4" format="11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4" format="114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10"/>
          </reference>
        </references>
      </pivotArea>
    </chartFormat>
    <chartFormat chart="4" format="115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10"/>
          </reference>
        </references>
      </pivotArea>
    </chartFormat>
    <chartFormat chart="4" format="116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10"/>
          </reference>
        </references>
      </pivotArea>
    </chartFormat>
    <chartFormat chart="4" format="117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10"/>
          </reference>
        </references>
      </pivotArea>
    </chartFormat>
    <chartFormat chart="4" format="118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10"/>
          </reference>
        </references>
      </pivotArea>
    </chartFormat>
    <chartFormat chart="4" format="119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1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name="Query from RPTSERVER_4" adjustColumnWidth="0" connectionId="1" autoFormatId="16" applyNumberFormats="0" applyBorderFormats="0" applyFontFormats="0" applyPatternFormats="0" applyAlignmentFormats="0" applyWidthHeightFormats="0">
  <queryTableRefresh nextId="123">
    <queryTableFields count="69">
      <queryTableField id="115" name="run_date" tableColumnId="1"/>
      <queryTableField id="117" name="nsf_rcvd_date" tableColumnId="3"/>
      <queryTableField id="119" name="dd_rcom_date" tableColumnId="4"/>
      <queryTableField id="27" name="lead_id" tableColumnId="25"/>
      <queryTableField id="28" name="ILN" tableColumnId="26"/>
      <queryTableField id="7" name="prop_id" tableColumnId="7"/>
      <queryTableField id="36" name="pgm_annc_id" tableColumnId="34"/>
      <queryTableField id="37" name="org_code" tableColumnId="35"/>
      <queryTableField id="38" name="pgm_ele_code" tableColumnId="36"/>
      <queryTableField id="39" name="pm_ibm_logn_id" tableColumnId="37"/>
      <queryTableField id="40" name="prop_stts_abbr" tableColumnId="38"/>
      <queryTableField id="41" name="prop_stts_code" tableColumnId="39"/>
      <queryTableField id="42" name="prop_stts_txt" tableColumnId="40"/>
      <queryTableField id="43" name="pi_last_name" tableColumnId="41"/>
      <queryTableField id="44" name="pi_frst_name" tableColumnId="42"/>
      <queryTableField id="45" name="pi_gend_code" tableColumnId="43"/>
      <queryTableField id="46" name="inst_name" tableColumnId="44"/>
      <queryTableField id="47" name="st_code" tableColumnId="45"/>
      <queryTableField id="48" name="prop_titl_txt" tableColumnId="46"/>
      <queryTableField id="49" name="natr_rqst_txt" tableColumnId="47"/>
      <queryTableField id="50" name="natr_rqst_abbr" tableColumnId="48"/>
      <queryTableField id="51" name="bas_rsch_pct" tableColumnId="49"/>
      <queryTableField id="52" name="cntx_stmt_id" tableColumnId="50"/>
      <queryTableField id="29" name="PRCs" tableColumnId="27"/>
      <queryTableField id="30" name="adhoc_reqd" tableColumnId="28"/>
      <queryTableField id="31" name="adhoc_pend" tableColumnId="29"/>
      <queryTableField id="32" name="last_adhoc_due" tableColumnId="30"/>
      <queryTableField id="34" name="last_rev_due" tableColumnId="32"/>
      <queryTableField id="33" name="revRcvd" tableColumnId="31"/>
      <queryTableField id="53" name="first_panl" tableColumnId="51"/>
      <queryTableField id="54" name="fp_begin" tableColumnId="52"/>
      <queryTableField id="55" name="fp_recno" tableColumnId="53"/>
      <queryTableField id="56" name="fp_rec" tableColumnId="54"/>
      <queryTableField id="57" name="fp_rank" tableColumnId="55"/>
      <queryTableField id="58" name="last_panl" tableColumnId="56"/>
      <queryTableField id="59" name="lp_begin" tableColumnId="57"/>
      <queryTableField id="60" name="lp_recno" tableColumnId="58"/>
      <queryTableField id="61" name="lp_rec" tableColumnId="59"/>
      <queryTableField id="62" name="lp_rank" tableColumnId="60"/>
      <queryTableField id="63" name="split_tot_dol" tableColumnId="61"/>
      <queryTableField id="64" name="split_frwd_date" tableColumnId="62"/>
      <queryTableField id="65" name="split_aprv_date" tableColumnId="63"/>
      <queryTableField id="66" name="rqst_dol" tableColumnId="64"/>
      <queryTableField id="67" name="rqst_mnth_cnt" tableColumnId="65"/>
      <queryTableField id="68" name="rcom_mnth_cnt" tableColumnId="66"/>
      <queryTableField id="69" name="rqst_eff_date" tableColumnId="67"/>
      <queryTableField id="70" name="rcom_eff_date" tableColumnId="68"/>
      <queryTableField id="71" name="pm_asgn_date" tableColumnId="69"/>
      <queryTableField id="72" name="pm_rcom_date" tableColumnId="70"/>
      <queryTableField id="73" name="dd_rcom_date" tableColumnId="71"/>
      <queryTableField id="74" name="awd_id" tableColumnId="72"/>
      <queryTableField id="75" name="tot_intn_awd_amt" tableColumnId="73"/>
      <queryTableField id="76" name="pi_last_name" tableColumnId="74"/>
      <queryTableField id="77" name="pi_frst_name" tableColumnId="75"/>
      <queryTableField id="79" name="awd_titl_txt" tableColumnId="77"/>
      <queryTableField id="80" name="pm_ibm_logn_id" tableColumnId="78"/>
      <queryTableField id="81" name="org_code" tableColumnId="79"/>
      <queryTableField id="82" name="pgm_ele_code" tableColumnId="80"/>
      <queryTableField id="83" name="pgm_div_code" tableColumnId="81"/>
      <queryTableField id="84" name="awd_istr_code" tableColumnId="82"/>
      <queryTableField id="85" name="awd_stts_code" tableColumnId="83"/>
      <queryTableField id="86" name="fpr_stts_code" tableColumnId="84"/>
      <queryTableField id="87" name="awd_stts_date" tableColumnId="85"/>
      <queryTableField id="88" name="awd_eff_date" tableColumnId="86"/>
      <queryTableField id="89" name="awd_exp_date" tableColumnId="87"/>
      <queryTableField id="90" name="awd_fin_clos_date" tableColumnId="88"/>
      <queryTableField id="91" name="fpr_stts_updt_date" tableColumnId="89"/>
      <queryTableField id="92" name="est_fnl_exp_date" tableColumnId="90"/>
      <queryTableField id="122" name="inst_awd" tableColumnId="5"/>
    </queryTableFields>
  </queryTableRefresh>
</queryTable>
</file>

<file path=xl/queryTables/queryTable2.xml><?xml version="1.0" encoding="utf-8"?>
<queryTable xmlns="http://schemas.openxmlformats.org/spreadsheetml/2006/main" name="Query from RPTSERVER" backgroundRefresh="0" adjustColumnWidth="0" connectionId="2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3.xml><?xml version="1.0" encoding="utf-8"?>
<queryTable xmlns="http://schemas.openxmlformats.org/spreadsheetml/2006/main" name="Query from RPTSERVER" backgroundRefresh="0" adjustColumnWidth="0" connectionId="3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6" name="props_omit" displayName="props_omit" ref="B41:B42" insertRow="1" totalsRowShown="0" dataDxfId="141" tableBorderDxfId="140">
  <autoFilter ref="B41:B42"/>
  <tableColumns count="1">
    <tableColumn id="1" name="prop_id" dataDxfId="139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5" name="props_add" displayName="props_add" ref="A41:A42" insertRow="1" totalsRowShown="0" dataDxfId="138">
  <autoFilter ref="A41:A42"/>
  <tableColumns count="1">
    <tableColumn id="1" name="prop_id" dataDxfId="13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4" name="PropQueryTable" displayName="PropQueryTable" ref="F1:BV12" tableType="queryTable" totalsRowShown="0">
  <autoFilter ref="F1:BV12"/>
  <sortState ref="F2:BV12">
    <sortCondition ref="BD1:BD11"/>
  </sortState>
  <tableColumns count="69">
    <tableColumn id="1" uniqueName="1" name="run_date" queryTableFieldId="115" dataDxfId="23"/>
    <tableColumn id="3" uniqueName="3" name="nsf_rcvd_date" queryTableFieldId="117" dataDxfId="22"/>
    <tableColumn id="4" uniqueName="4" name="dd_rcom_date" queryTableFieldId="119" dataDxfId="21"/>
    <tableColumn id="25" uniqueName="25" name="lead_id" queryTableFieldId="27"/>
    <tableColumn id="26" uniqueName="26" name="ILN" queryTableFieldId="28"/>
    <tableColumn id="7" uniqueName="7" name="prop_id" queryTableFieldId="7"/>
    <tableColumn id="34" uniqueName="34" name="pgm_annc_id" queryTableFieldId="36"/>
    <tableColumn id="35" uniqueName="35" name="org_code" queryTableFieldId="37"/>
    <tableColumn id="36" uniqueName="36" name="pgm_ele_code" queryTableFieldId="38"/>
    <tableColumn id="37" uniqueName="37" name="pm_ibm_logn_id" queryTableFieldId="39"/>
    <tableColumn id="38" uniqueName="38" name="prop_stts_abbr" queryTableFieldId="40"/>
    <tableColumn id="39" uniqueName="39" name="prop_stts_code" queryTableFieldId="41"/>
    <tableColumn id="40" uniqueName="40" name="prop_stts_txt" queryTableFieldId="42"/>
    <tableColumn id="41" uniqueName="41" name="pi_last_name" queryTableFieldId="43"/>
    <tableColumn id="42" uniqueName="42" name="pi_frst_name" queryTableFieldId="44"/>
    <tableColumn id="43" uniqueName="43" name="pi_gend_code" queryTableFieldId="45"/>
    <tableColumn id="44" uniqueName="44" name="inst_name" queryTableFieldId="46"/>
    <tableColumn id="45" uniqueName="45" name="st_code" queryTableFieldId="47"/>
    <tableColumn id="46" uniqueName="46" name="prop_titl_txt" queryTableFieldId="48"/>
    <tableColumn id="47" uniqueName="47" name="natr_rqst_txt" queryTableFieldId="49"/>
    <tableColumn id="48" uniqueName="48" name="natr_rqst_abbr" queryTableFieldId="50"/>
    <tableColumn id="49" uniqueName="49" name="bas_rsch_pct" queryTableFieldId="51"/>
    <tableColumn id="50" uniqueName="50" name="cntx_stmt_id" queryTableFieldId="52"/>
    <tableColumn id="27" uniqueName="27" name="PRCs" queryTableFieldId="29"/>
    <tableColumn id="28" uniqueName="28" name="adhoc_reqd" queryTableFieldId="30"/>
    <tableColumn id="29" uniqueName="29" name="adhoc_pend" queryTableFieldId="31"/>
    <tableColumn id="30" uniqueName="30" name="last_adhoc_due" queryTableFieldId="32" dataDxfId="20"/>
    <tableColumn id="32" uniqueName="32" name="last_rev_due" queryTableFieldId="34" dataDxfId="19"/>
    <tableColumn id="31" uniqueName="31" name="revRcvd" queryTableFieldId="33"/>
    <tableColumn id="51" uniqueName="51" name="first_panl" queryTableFieldId="53"/>
    <tableColumn id="52" uniqueName="52" name="fp_begin" queryTableFieldId="54" dataDxfId="18"/>
    <tableColumn id="53" uniqueName="53" name="fp_recno" queryTableFieldId="55"/>
    <tableColumn id="54" uniqueName="54" name="fp_rec" queryTableFieldId="56"/>
    <tableColumn id="55" uniqueName="55" name="fp_rank" queryTableFieldId="57"/>
    <tableColumn id="56" uniqueName="56" name="last_panl" queryTableFieldId="58"/>
    <tableColumn id="57" uniqueName="57" name="lp_begin" queryTableFieldId="59" dataDxfId="17"/>
    <tableColumn id="58" uniqueName="58" name="lp_recno" queryTableFieldId="60"/>
    <tableColumn id="59" uniqueName="59" name="lp_rec" queryTableFieldId="61"/>
    <tableColumn id="60" uniqueName="60" name="lp_rank" queryTableFieldId="62"/>
    <tableColumn id="61" uniqueName="61" name="split_tot_dol" queryTableFieldId="63" dataDxfId="16" dataCellStyle="Currency"/>
    <tableColumn id="62" uniqueName="62" name="split_frwd_date" queryTableFieldId="64" dataDxfId="15"/>
    <tableColumn id="63" uniqueName="63" name="split_aprv_date" queryTableFieldId="65" dataDxfId="14"/>
    <tableColumn id="64" uniqueName="64" name="rqst_dol" queryTableFieldId="66" dataDxfId="13" dataCellStyle="Currency"/>
    <tableColumn id="65" uniqueName="65" name="rqst_mnth_cnt" queryTableFieldId="67"/>
    <tableColumn id="66" uniqueName="66" name="rcom_mnth_cnt" queryTableFieldId="68" dataDxfId="12"/>
    <tableColumn id="67" uniqueName="67" name="rqst_eff_date" queryTableFieldId="69" dataDxfId="11"/>
    <tableColumn id="68" uniqueName="68" name="rcom_eff_date" queryTableFieldId="70" dataDxfId="10"/>
    <tableColumn id="69" uniqueName="69" name="pm_asgn_date" queryTableFieldId="71" dataDxfId="9"/>
    <tableColumn id="70" uniqueName="70" name="pm_rcom_date" queryTableFieldId="72" dataDxfId="8"/>
    <tableColumn id="71" uniqueName="71" name="dd_rcom_date2" queryTableFieldId="73" dataDxfId="7"/>
    <tableColumn id="72" uniqueName="72" name="awd_id" queryTableFieldId="74"/>
    <tableColumn id="73" uniqueName="73" name="tot_intn_awd_amt" queryTableFieldId="75"/>
    <tableColumn id="74" uniqueName="74" name="pi_last_name3" queryTableFieldId="76"/>
    <tableColumn id="75" uniqueName="75" name="pi_frst_name4" queryTableFieldId="77"/>
    <tableColumn id="77" uniqueName="77" name="awd_titl_txt" queryTableFieldId="79"/>
    <tableColumn id="78" uniqueName="78" name="pm_ibm_logn_id5" queryTableFieldId="80"/>
    <tableColumn id="79" uniqueName="79" name="org_code6" queryTableFieldId="81"/>
    <tableColumn id="80" uniqueName="80" name="pgm_ele_code7" queryTableFieldId="82"/>
    <tableColumn id="81" uniqueName="81" name="pgm_div_code" queryTableFieldId="83"/>
    <tableColumn id="82" uniqueName="82" name="awd_istr_code" queryTableFieldId="84"/>
    <tableColumn id="83" uniqueName="83" name="awd_stts_code" queryTableFieldId="85"/>
    <tableColumn id="84" uniqueName="84" name="fpr_stts_code" queryTableFieldId="86"/>
    <tableColumn id="85" uniqueName="85" name="awd_stts_date" queryTableFieldId="87" dataDxfId="6"/>
    <tableColumn id="86" uniqueName="86" name="awd_eff_date" queryTableFieldId="88" dataDxfId="5"/>
    <tableColumn id="87" uniqueName="87" name="awd_exp_date" queryTableFieldId="89" dataDxfId="4"/>
    <tableColumn id="88" uniqueName="88" name="awd_fin_clos_date" queryTableFieldId="90" dataDxfId="3"/>
    <tableColumn id="89" uniqueName="89" name="fpr_stts_updt_date" queryTableFieldId="91" dataDxfId="2"/>
    <tableColumn id="90" uniqueName="90" name="est_fnl_exp_date" queryTableFieldId="92" dataDxfId="1"/>
    <tableColumn id="5" uniqueName="5" name="inst_awd" queryTableFieldId="122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plitQueryTable" displayName="SplitQueryTable" ref="H25:AT344" tableType="queryTable" totalsRowCount="1">
  <autoFilter ref="H25:AT343"/>
  <sortState ref="H26:AT340">
    <sortCondition descending="1" ref="V25:V340"/>
  </sortState>
  <tableColumns count="39">
    <tableColumn id="1" uniqueName="1" name="run_date" totalsRowLabel="Total" queryTableFieldId="1" dataDxfId="133"/>
    <tableColumn id="2" uniqueName="2" name="nsf_rcvd_date" queryTableFieldId="2" dataDxfId="132"/>
    <tableColumn id="3" uniqueName="3" name="dd_rcom_date" queryTableFieldId="3" dataDxfId="131"/>
    <tableColumn id="4" uniqueName="4" name="Prop_Org_Code" queryTableFieldId="4" dataDxfId="130"/>
    <tableColumn id="5" uniqueName="5" name="Budg_Org_Code" queryTableFieldId="5"/>
    <tableColumn id="6" uniqueName="6" name="PEC_prop" queryTableFieldId="6"/>
    <tableColumn id="7" uniqueName="7" name="PEC_bdg_splt" queryTableFieldId="7" dataDxfId="129"/>
    <tableColumn id="8" uniqueName="8" name="Prop_Pm_ibm_logn_id" queryTableFieldId="8" dataDxfId="128"/>
    <tableColumn id="9" uniqueName="9" name="Budg_Pm_ibm_logn_id" queryTableFieldId="9"/>
    <tableColumn id="10" uniqueName="10" name="Prop_Obj_Clas_Code" queryTableFieldId="10" dataDxfId="127" dataCellStyle="Currency"/>
    <tableColumn id="11" uniqueName="11" name="Budg_Obj_Clas_Code" queryTableFieldId="11" dataDxfId="126" dataCellStyle="Currency"/>
    <tableColumn id="12" uniqueName="12" name="pgm_annc_id" queryTableFieldId="12" dataDxfId="125"/>
    <tableColumn id="14" uniqueName="14" name="natr_rqst_abbr" queryTableFieldId="14" dataDxfId="124"/>
    <tableColumn id="13" uniqueName="13" name="prop_stts_abbr" queryTableFieldId="13" dataDxfId="123"/>
    <tableColumn id="32" uniqueName="32" name="awd_stts_abbr" queryTableFieldId="56" dataDxfId="122" dataCellStyle="Hyperlink"/>
    <tableColumn id="40" uniqueName="40" name="rcom_istr_abbr" queryTableFieldId="71" dataDxfId="121"/>
    <tableColumn id="35" uniqueName="35" name="awd_istr_abbr" queryTableFieldId="38" dataDxfId="120" dataCellStyle="Hyperlink"/>
    <tableColumn id="15" uniqueName="15" name="dir_div_abbr" queryTableFieldId="15" dataDxfId="119" dataCellStyle="Hyperlink"/>
    <tableColumn id="18" uniqueName="18" name="lead_id" queryTableFieldId="18" dataDxfId="118" dataCellStyle="Hyperlink"/>
    <tableColumn id="17" uniqueName="17" name="ILN" queryTableFieldId="17" dataDxfId="117" dataCellStyle="Hyperlink"/>
    <tableColumn id="36" uniqueName="36" name="eJ" queryTableFieldId="35" dataDxfId="116" dataCellStyle="Heading 4">
      <calculatedColumnFormula>HYPERLINK(CONCATENATE("https://www.ejacket.nsf.gov/ej/showProposal.do?ID=",SUBSTITUTE(SplitQueryTable[[#This Row],[prop_id]],CHAR(160),"")),"eJ")</calculatedColumnFormula>
    </tableColumn>
    <tableColumn id="19" uniqueName="19" name="awd_id" queryTableFieldId="19" dataDxfId="115" dataCellStyle="Hyperlink"/>
    <tableColumn id="16" uniqueName="16" name="prop_id" queryTableFieldId="16" dataDxfId="114"/>
    <tableColumn id="22" uniqueName="22" name="budg_yr" queryTableFieldId="22" dataDxfId="113"/>
    <tableColumn id="21" uniqueName="21" name="splt_id" queryTableFieldId="21" dataDxfId="112"/>
    <tableColumn id="23" uniqueName="23" name="budg_splt_tot_dol" totalsRowFunction="sum" queryTableFieldId="23" dataDxfId="111" totalsRowDxfId="110"/>
    <tableColumn id="24" uniqueName="24" name="rqst_dol" queryTableFieldId="24" dataDxfId="109"/>
    <tableColumn id="27" uniqueName="27" name="pi_last_name" queryTableFieldId="27" dataDxfId="108"/>
    <tableColumn id="28" uniqueName="28" name="pi_frst_name" queryTableFieldId="28" dataDxfId="107"/>
    <tableColumn id="29" uniqueName="29" name="inst_name" queryTableFieldId="29" dataDxfId="106"/>
    <tableColumn id="25" uniqueName="25" name="Prop PRCs" queryTableFieldId="25" dataDxfId="105"/>
    <tableColumn id="26" uniqueName="26" name="Budg PRCs" queryTableFieldId="26" dataDxfId="104"/>
    <tableColumn id="34" uniqueName="34" name="awd_istr_txt" queryTableFieldId="37" dataDxfId="103"/>
    <tableColumn id="37" uniqueName="37" name="awd_stts_txt" queryTableFieldId="57" dataDxfId="102"/>
    <tableColumn id="39" uniqueName="39" name="cgi_stts_txt" queryTableFieldId="61" dataDxfId="101"/>
    <tableColumn id="20" uniqueName="20" name="prop_titl_txt" queryTableFieldId="20" dataDxfId="100"/>
    <tableColumn id="30" uniqueName="30" name="last_updt_user" queryTableFieldId="30" dataDxfId="99"/>
    <tableColumn id="31" uniqueName="31" name="last_updt_tmsp" queryTableFieldId="31" dataDxfId="98"/>
    <tableColumn id="33" uniqueName="33" name="0" totalsRowFunction="sum" queryTableFieldId="32" dataDxfId="97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IncludeTable" displayName="IncludeTable" ref="A46:C85" totalsRowShown="0" dataDxfId="96">
  <tableColumns count="3">
    <tableColumn id="1" name="prop_id" dataDxfId="95"/>
    <tableColumn id="2" name="budg_yr" dataDxfId="94"/>
    <tableColumn id="3" name="splt_id" dataDxfId="93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3" name="ExcludeTable" displayName="ExcludeTable" ref="D46:F47" insertRow="1" totalsRowShown="0" dataDxfId="92">
  <autoFilter ref="D46:F47"/>
  <tableColumns count="3">
    <tableColumn id="1" name="prop_id" dataDxfId="91"/>
    <tableColumn id="2" name="budg_yr" dataDxfId="90"/>
    <tableColumn id="3" name="splt_id" dataDxfId="89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4" name="SplitQueryTableRecent" displayName="SplitQueryTableRecent" ref="H25:AT645" tableType="queryTable" totalsRowCount="1">
  <autoFilter ref="H25:AT644"/>
  <sortState ref="H26:AT638">
    <sortCondition ref="V25:V638"/>
  </sortState>
  <tableColumns count="39">
    <tableColumn id="1" uniqueName="1" name="run_date" totalsRowLabel="Total" queryTableFieldId="1" dataDxfId="85"/>
    <tableColumn id="2" uniqueName="2" name="nsf_rcvd_date" queryTableFieldId="2" dataDxfId="84"/>
    <tableColumn id="3" uniqueName="3" name="dd_rcom_date" queryTableFieldId="3" dataDxfId="83"/>
    <tableColumn id="4" uniqueName="4" name="Prop_Org_Code" queryTableFieldId="4" dataDxfId="82"/>
    <tableColumn id="5" uniqueName="5" name="Budg_Org_Code" queryTableFieldId="5"/>
    <tableColumn id="6" uniqueName="6" name="PEC_prop" queryTableFieldId="6"/>
    <tableColumn id="7" uniqueName="7" name="PEC_bdg_splt" queryTableFieldId="7" dataDxfId="81"/>
    <tableColumn id="8" uniqueName="8" name="Prop_Pm_ibm_logn_id" queryTableFieldId="8" dataDxfId="80"/>
    <tableColumn id="9" uniqueName="9" name="Budg_Pm_ibm_logn_id" queryTableFieldId="9"/>
    <tableColumn id="10" uniqueName="10" name="Prop_Obj_Clas_Code" queryTableFieldId="10" dataDxfId="79" dataCellStyle="Currency"/>
    <tableColumn id="11" uniqueName="11" name="Budg_Obj_Clas_Code" queryTableFieldId="11" dataDxfId="78" dataCellStyle="Currency"/>
    <tableColumn id="12" uniqueName="12" name="pgm_annc_id" queryTableFieldId="12" dataDxfId="77"/>
    <tableColumn id="14" uniqueName="14" name="natr_rqst_abbr" queryTableFieldId="14" dataDxfId="76"/>
    <tableColumn id="13" uniqueName="13" name="prop_stts_abbr" queryTableFieldId="13" dataDxfId="75"/>
    <tableColumn id="32" uniqueName="32" name="awd_stts_abbr" queryTableFieldId="56" dataDxfId="74"/>
    <tableColumn id="40" uniqueName="40" name="rcom_istr_abbr" queryTableFieldId="71" dataDxfId="73"/>
    <tableColumn id="35" uniqueName="35" name="awd_istr_abbr" queryTableFieldId="38" dataDxfId="72"/>
    <tableColumn id="15" uniqueName="15" name="dir_div_abbr" queryTableFieldId="15" dataDxfId="71" dataCellStyle="Hyperlink"/>
    <tableColumn id="18" uniqueName="18" name="lead_id" queryTableFieldId="18" dataDxfId="70" dataCellStyle="Hyperlink"/>
    <tableColumn id="17" uniqueName="17" name="ILN" queryTableFieldId="17" dataDxfId="69" dataCellStyle="Hyperlink"/>
    <tableColumn id="36" uniqueName="36" name="eJ" queryTableFieldId="35" dataDxfId="68" dataCellStyle="Heading 4">
      <calculatedColumnFormula>HYPERLINK(CONCATENATE("https://www.ejacket.nsf.gov/ej/showProposal.do?ID=",SUBSTITUTE(SplitQueryTableRecent[[#This Row],[prop_id]],CHAR(160),"")),"eJ")</calculatedColumnFormula>
    </tableColumn>
    <tableColumn id="19" uniqueName="19" name="awd_id" queryTableFieldId="19" dataDxfId="67" dataCellStyle="Hyperlink"/>
    <tableColumn id="16" uniqueName="16" name="prop_id" queryTableFieldId="16" dataDxfId="66"/>
    <tableColumn id="22" uniqueName="22" name="budg_yr" queryTableFieldId="22" dataDxfId="65"/>
    <tableColumn id="21" uniqueName="21" name="splt_id" queryTableFieldId="21" dataDxfId="64"/>
    <tableColumn id="23" uniqueName="23" name="budg_splt_tot_dol" totalsRowFunction="sum" queryTableFieldId="23" dataDxfId="63" totalsRowDxfId="62"/>
    <tableColumn id="24" uniqueName="24" name="rqst_dol" queryTableFieldId="24" dataDxfId="61"/>
    <tableColumn id="27" uniqueName="27" name="pi_last_name" queryTableFieldId="27" dataDxfId="60"/>
    <tableColumn id="28" uniqueName="28" name="pi_frst_name" queryTableFieldId="28" dataDxfId="59"/>
    <tableColumn id="29" uniqueName="29" name="inst_name" queryTableFieldId="29" dataDxfId="58"/>
    <tableColumn id="25" uniqueName="25" name="Prop PRCs" queryTableFieldId="25" dataDxfId="57"/>
    <tableColumn id="26" uniqueName="26" name="Budg PRCs" queryTableFieldId="26" dataDxfId="56"/>
    <tableColumn id="34" uniqueName="34" name="awd_istr_txt" queryTableFieldId="37" dataDxfId="55"/>
    <tableColumn id="37" uniqueName="37" name="awd_stts_txt" queryTableFieldId="57" dataDxfId="54"/>
    <tableColumn id="39" uniqueName="39" name="cgi_stts_txt" queryTableFieldId="61" dataDxfId="53"/>
    <tableColumn id="20" uniqueName="20" name="prop_titl_txt" queryTableFieldId="20" dataDxfId="52"/>
    <tableColumn id="30" uniqueName="30" name="last_updt_user" queryTableFieldId="30" dataDxfId="51"/>
    <tableColumn id="31" uniqueName="31" name="last_updt_tmsp" queryTableFieldId="31" dataDxfId="50"/>
    <tableColumn id="33" uniqueName="33" name="0" totalsRowFunction="sum" queryTableFieldId="32" dataDxfId="49" totalsRowDxfId="48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splits_add" displayName="splits_add" ref="A46:C47" insertRow="1" totalsRowShown="0" dataDxfId="47">
  <tableColumns count="3">
    <tableColumn id="1" name="prop_id" dataDxfId="46"/>
    <tableColumn id="2" name="budg_yr" dataDxfId="45"/>
    <tableColumn id="3" name="splt_id" dataDxfId="4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8" name="splits_omit" displayName="splits_omit" ref="D46:F47" insertRow="1" totalsRowShown="0" dataDxfId="43">
  <tableColumns count="3">
    <tableColumn id="1" name="prop_id" dataDxfId="42"/>
    <tableColumn id="2" name="budg_yr" dataDxfId="41"/>
    <tableColumn id="3" name="splt_id" dataDxfId="4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6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9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pTracker"/>
  <dimension ref="A1:BV42"/>
  <sheetViews>
    <sheetView showGridLines="0" tabSelected="1" workbookViewId="0">
      <selection activeCell="E27" sqref="E27"/>
    </sheetView>
  </sheetViews>
  <sheetFormatPr defaultRowHeight="14.6" x14ac:dyDescent="0.4"/>
  <cols>
    <col min="1" max="1" width="18.53515625" customWidth="1"/>
    <col min="2" max="2" width="16.15234375" customWidth="1"/>
    <col min="3" max="3" width="13.3046875" customWidth="1"/>
    <col min="6" max="6" width="17.61328125" customWidth="1"/>
    <col min="7" max="7" width="10.3828125" customWidth="1"/>
    <col min="8" max="8" width="10" customWidth="1"/>
    <col min="9" max="9" width="10.3828125" customWidth="1"/>
    <col min="10" max="10" width="3.69140625" customWidth="1"/>
    <col min="11" max="13" width="10.3828125" customWidth="1"/>
    <col min="14" max="14" width="6.4609375" customWidth="1"/>
    <col min="15" max="15" width="10.3828125" customWidth="1"/>
    <col min="16" max="16" width="6.3046875" customWidth="1"/>
    <col min="17" max="17" width="5.69140625" customWidth="1"/>
    <col min="18" max="18" width="23.15234375" customWidth="1"/>
    <col min="19" max="20" width="11.3828125" customWidth="1"/>
    <col min="21" max="21" width="5.3828125" customWidth="1"/>
    <col min="22" max="22" width="11.3828125" customWidth="1"/>
    <col min="23" max="23" width="7.15234375" customWidth="1"/>
    <col min="24" max="24" width="37.3046875" customWidth="1"/>
    <col min="25" max="25" width="11.3828125" customWidth="1"/>
    <col min="26" max="26" width="7" customWidth="1"/>
    <col min="27" max="27" width="4.84375" customWidth="1"/>
    <col min="28" max="28" width="6.69140625" customWidth="1"/>
    <col min="29" max="29" width="16.3828125" customWidth="1"/>
    <col min="30" max="30" width="2.84375" customWidth="1"/>
    <col min="31" max="31" width="4" customWidth="1"/>
    <col min="32" max="32" width="8.69140625" customWidth="1"/>
    <col min="34" max="34" width="4.3046875" customWidth="1"/>
    <col min="35" max="35" width="8.69140625" customWidth="1"/>
    <col min="36" max="36" width="9.3828125" customWidth="1"/>
    <col min="37" max="37" width="6.3046875" customWidth="1"/>
    <col min="45" max="45" width="11.69140625" customWidth="1"/>
    <col min="48" max="48" width="12" customWidth="1"/>
    <col min="49" max="49" width="5.69140625" customWidth="1"/>
    <col min="65" max="65" width="6.84375" customWidth="1"/>
    <col min="66" max="66" width="6.3828125" customWidth="1"/>
    <col min="67" max="67" width="5.3828125" customWidth="1"/>
    <col min="68" max="68" width="9.15234375" customWidth="1"/>
    <col min="72" max="72" width="10.3046875" customWidth="1"/>
    <col min="74" max="74" width="17" customWidth="1"/>
  </cols>
  <sheetData>
    <row r="1" spans="1:74" x14ac:dyDescent="0.4">
      <c r="A1" s="7"/>
      <c r="B1" s="7"/>
      <c r="C1" s="7"/>
      <c r="D1" s="7"/>
      <c r="F1" s="54" t="s">
        <v>36</v>
      </c>
      <c r="G1" s="10" t="s">
        <v>15</v>
      </c>
      <c r="H1" s="10" t="s">
        <v>35</v>
      </c>
      <c r="I1" t="s">
        <v>26</v>
      </c>
      <c r="J1" t="s">
        <v>27</v>
      </c>
      <c r="K1" t="s">
        <v>14</v>
      </c>
      <c r="L1" t="s">
        <v>37</v>
      </c>
      <c r="M1" t="s">
        <v>86</v>
      </c>
      <c r="N1" t="s">
        <v>87</v>
      </c>
      <c r="O1" t="s">
        <v>88</v>
      </c>
      <c r="P1" t="s">
        <v>21</v>
      </c>
      <c r="Q1" t="s">
        <v>89</v>
      </c>
      <c r="R1" t="s">
        <v>90</v>
      </c>
      <c r="S1" t="s">
        <v>23</v>
      </c>
      <c r="T1" t="s">
        <v>24</v>
      </c>
      <c r="U1" t="s">
        <v>91</v>
      </c>
      <c r="V1" t="s">
        <v>41</v>
      </c>
      <c r="W1" t="s">
        <v>92</v>
      </c>
      <c r="X1" t="s">
        <v>20</v>
      </c>
      <c r="Y1" t="s">
        <v>93</v>
      </c>
      <c r="Z1" t="s">
        <v>22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s="10" t="s">
        <v>99</v>
      </c>
      <c r="AG1" s="10" t="s">
        <v>100</v>
      </c>
      <c r="AH1" t="s">
        <v>101</v>
      </c>
      <c r="AI1" t="s">
        <v>102</v>
      </c>
      <c r="AJ1" s="10" t="s">
        <v>103</v>
      </c>
      <c r="AK1" t="s">
        <v>104</v>
      </c>
      <c r="AL1" t="s">
        <v>105</v>
      </c>
      <c r="AM1" t="s">
        <v>106</v>
      </c>
      <c r="AN1" t="s">
        <v>107</v>
      </c>
      <c r="AO1" s="10" t="s">
        <v>108</v>
      </c>
      <c r="AP1" t="s">
        <v>109</v>
      </c>
      <c r="AQ1" t="s">
        <v>110</v>
      </c>
      <c r="AR1" t="s">
        <v>111</v>
      </c>
      <c r="AS1" s="9" t="s">
        <v>112</v>
      </c>
      <c r="AT1" s="10" t="s">
        <v>113</v>
      </c>
      <c r="AU1" s="10" t="s">
        <v>114</v>
      </c>
      <c r="AV1" s="9" t="s">
        <v>34</v>
      </c>
      <c r="AW1" t="s">
        <v>115</v>
      </c>
      <c r="AX1" s="10" t="s">
        <v>116</v>
      </c>
      <c r="AY1" s="10" t="s">
        <v>117</v>
      </c>
      <c r="AZ1" s="10" t="s">
        <v>118</v>
      </c>
      <c r="BA1" s="10" t="s">
        <v>119</v>
      </c>
      <c r="BB1" s="10" t="s">
        <v>120</v>
      </c>
      <c r="BC1" s="10" t="s">
        <v>148</v>
      </c>
      <c r="BD1" t="s">
        <v>33</v>
      </c>
      <c r="BE1" t="s">
        <v>121</v>
      </c>
      <c r="BF1" t="s">
        <v>149</v>
      </c>
      <c r="BG1" t="s">
        <v>150</v>
      </c>
      <c r="BH1" t="s">
        <v>122</v>
      </c>
      <c r="BI1" t="s">
        <v>2898</v>
      </c>
      <c r="BJ1" t="s">
        <v>2899</v>
      </c>
      <c r="BK1" t="s">
        <v>2900</v>
      </c>
      <c r="BL1" t="s">
        <v>123</v>
      </c>
      <c r="BM1" t="s">
        <v>124</v>
      </c>
      <c r="BN1" t="s">
        <v>125</v>
      </c>
      <c r="BO1" t="s">
        <v>126</v>
      </c>
      <c r="BP1" s="10" t="s">
        <v>127</v>
      </c>
      <c r="BQ1" s="10" t="s">
        <v>128</v>
      </c>
      <c r="BR1" s="10" t="s">
        <v>129</v>
      </c>
      <c r="BS1" s="10" t="s">
        <v>130</v>
      </c>
      <c r="BT1" s="10" t="s">
        <v>131</v>
      </c>
      <c r="BU1" s="10" t="s">
        <v>132</v>
      </c>
      <c r="BV1" s="10" t="s">
        <v>2901</v>
      </c>
    </row>
    <row r="2" spans="1:74" x14ac:dyDescent="0.4">
      <c r="A2" s="7"/>
      <c r="B2" s="7"/>
      <c r="C2" s="7"/>
      <c r="D2" s="7"/>
      <c r="F2" s="54">
        <v>43066.41988425926</v>
      </c>
      <c r="G2" s="10">
        <v>42930.554166666669</v>
      </c>
      <c r="H2" s="10"/>
      <c r="I2" t="s">
        <v>2989</v>
      </c>
      <c r="J2" t="s">
        <v>28</v>
      </c>
      <c r="K2" t="s">
        <v>2989</v>
      </c>
      <c r="L2" t="s">
        <v>2983</v>
      </c>
      <c r="M2" t="s">
        <v>49</v>
      </c>
      <c r="N2" t="s">
        <v>2940</v>
      </c>
      <c r="O2" t="s">
        <v>2941</v>
      </c>
      <c r="P2" t="s">
        <v>223</v>
      </c>
      <c r="Q2" t="s">
        <v>44</v>
      </c>
      <c r="R2" t="s">
        <v>2991</v>
      </c>
      <c r="S2" t="s">
        <v>2992</v>
      </c>
      <c r="T2" t="s">
        <v>2993</v>
      </c>
      <c r="U2" t="s">
        <v>133</v>
      </c>
      <c r="V2" t="s">
        <v>2086</v>
      </c>
      <c r="W2" t="s">
        <v>219</v>
      </c>
      <c r="X2" t="s">
        <v>2994</v>
      </c>
      <c r="Y2" t="s">
        <v>134</v>
      </c>
      <c r="Z2" t="s">
        <v>61</v>
      </c>
      <c r="AA2">
        <v>1</v>
      </c>
      <c r="AB2" t="s">
        <v>2995</v>
      </c>
      <c r="AC2" t="s">
        <v>2990</v>
      </c>
      <c r="AD2">
        <v>0</v>
      </c>
      <c r="AE2">
        <v>0</v>
      </c>
      <c r="AF2" s="10"/>
      <c r="AG2" s="10">
        <v>43032</v>
      </c>
      <c r="AH2">
        <v>4</v>
      </c>
      <c r="AI2" t="s">
        <v>2996</v>
      </c>
      <c r="AJ2" s="10">
        <v>43031</v>
      </c>
      <c r="AK2">
        <v>4</v>
      </c>
      <c r="AL2" t="s">
        <v>2997</v>
      </c>
      <c r="AM2">
        <v>22</v>
      </c>
      <c r="AO2" s="10"/>
      <c r="AS2" s="9"/>
      <c r="AT2" s="10"/>
      <c r="AU2" s="10"/>
      <c r="AV2" s="9">
        <v>470400</v>
      </c>
      <c r="AW2">
        <v>60</v>
      </c>
      <c r="AX2" s="10"/>
      <c r="AY2" s="10">
        <v>43101</v>
      </c>
      <c r="AZ2" s="10"/>
      <c r="BA2" s="10">
        <v>42996.651736111111</v>
      </c>
      <c r="BB2" s="10"/>
      <c r="BC2" s="10"/>
      <c r="BP2" s="10"/>
      <c r="BQ2" s="10"/>
      <c r="BR2" s="10"/>
      <c r="BS2" s="10"/>
      <c r="BT2" s="10"/>
      <c r="BU2" s="10"/>
      <c r="BV2" s="10"/>
    </row>
    <row r="3" spans="1:74" x14ac:dyDescent="0.4">
      <c r="D3" s="7"/>
      <c r="F3" s="54">
        <v>43066.41988425926</v>
      </c>
      <c r="G3" s="10">
        <v>42933.547222222223</v>
      </c>
      <c r="H3" s="10"/>
      <c r="I3" t="s">
        <v>2998</v>
      </c>
      <c r="J3" t="s">
        <v>28</v>
      </c>
      <c r="K3" t="s">
        <v>2998</v>
      </c>
      <c r="L3" t="s">
        <v>2983</v>
      </c>
      <c r="M3" t="s">
        <v>49</v>
      </c>
      <c r="N3" t="s">
        <v>2940</v>
      </c>
      <c r="O3" t="s">
        <v>2941</v>
      </c>
      <c r="P3" t="s">
        <v>223</v>
      </c>
      <c r="Q3" t="s">
        <v>44</v>
      </c>
      <c r="R3" t="s">
        <v>2991</v>
      </c>
      <c r="S3" t="s">
        <v>237</v>
      </c>
      <c r="T3" t="s">
        <v>3000</v>
      </c>
      <c r="U3" t="s">
        <v>52</v>
      </c>
      <c r="V3" t="s">
        <v>3001</v>
      </c>
      <c r="W3" t="s">
        <v>294</v>
      </c>
      <c r="X3" t="s">
        <v>3002</v>
      </c>
      <c r="Y3" t="s">
        <v>134</v>
      </c>
      <c r="Z3" t="s">
        <v>61</v>
      </c>
      <c r="AA3">
        <v>1</v>
      </c>
      <c r="AB3" t="s">
        <v>2995</v>
      </c>
      <c r="AC3" t="s">
        <v>2999</v>
      </c>
      <c r="AD3">
        <v>0</v>
      </c>
      <c r="AE3">
        <v>0</v>
      </c>
      <c r="AF3" s="10"/>
      <c r="AG3" s="10">
        <v>43032</v>
      </c>
      <c r="AH3">
        <v>4</v>
      </c>
      <c r="AI3" t="s">
        <v>2996</v>
      </c>
      <c r="AJ3" s="10">
        <v>43031</v>
      </c>
      <c r="AK3">
        <v>3</v>
      </c>
      <c r="AL3" t="s">
        <v>2939</v>
      </c>
      <c r="AM3">
        <v>13</v>
      </c>
      <c r="AO3" s="10"/>
      <c r="AS3" s="9"/>
      <c r="AT3" s="10"/>
      <c r="AU3" s="10"/>
      <c r="AV3" s="9">
        <v>524898</v>
      </c>
      <c r="AW3">
        <v>60</v>
      </c>
      <c r="AX3" s="10"/>
      <c r="AY3" s="10">
        <v>43221</v>
      </c>
      <c r="AZ3" s="10"/>
      <c r="BA3" s="10">
        <v>42996.651724537034</v>
      </c>
      <c r="BB3" s="10"/>
      <c r="BC3" s="10"/>
      <c r="BP3" s="10"/>
      <c r="BQ3" s="10"/>
      <c r="BR3" s="10"/>
      <c r="BS3" s="10"/>
      <c r="BT3" s="10"/>
      <c r="BU3" s="10"/>
      <c r="BV3" s="10"/>
    </row>
    <row r="4" spans="1:74" x14ac:dyDescent="0.4">
      <c r="D4" s="7"/>
      <c r="F4" s="54">
        <v>43066.41988425926</v>
      </c>
      <c r="G4" s="10">
        <v>42933.713888888888</v>
      </c>
      <c r="H4" s="10"/>
      <c r="I4" t="s">
        <v>3003</v>
      </c>
      <c r="J4" t="s">
        <v>28</v>
      </c>
      <c r="K4" t="s">
        <v>3003</v>
      </c>
      <c r="L4" t="s">
        <v>2983</v>
      </c>
      <c r="M4" t="s">
        <v>49</v>
      </c>
      <c r="N4" t="s">
        <v>2940</v>
      </c>
      <c r="O4" t="s">
        <v>2941</v>
      </c>
      <c r="P4" t="s">
        <v>223</v>
      </c>
      <c r="Q4" t="s">
        <v>44</v>
      </c>
      <c r="R4" t="s">
        <v>2991</v>
      </c>
      <c r="S4" t="s">
        <v>3004</v>
      </c>
      <c r="T4" t="s">
        <v>3005</v>
      </c>
      <c r="U4" t="s">
        <v>133</v>
      </c>
      <c r="V4" t="s">
        <v>1752</v>
      </c>
      <c r="W4" t="s">
        <v>3006</v>
      </c>
      <c r="X4" t="s">
        <v>3007</v>
      </c>
      <c r="Y4" t="s">
        <v>134</v>
      </c>
      <c r="Z4" t="s">
        <v>61</v>
      </c>
      <c r="AA4">
        <v>1</v>
      </c>
      <c r="AB4" t="s">
        <v>2995</v>
      </c>
      <c r="AC4" t="s">
        <v>2990</v>
      </c>
      <c r="AD4">
        <v>0</v>
      </c>
      <c r="AE4">
        <v>0</v>
      </c>
      <c r="AF4" s="10"/>
      <c r="AG4" s="10">
        <v>43032</v>
      </c>
      <c r="AH4">
        <v>4</v>
      </c>
      <c r="AI4" t="s">
        <v>2996</v>
      </c>
      <c r="AJ4" s="10">
        <v>43031</v>
      </c>
      <c r="AK4">
        <v>2</v>
      </c>
      <c r="AL4" t="s">
        <v>2937</v>
      </c>
      <c r="AM4">
        <v>3</v>
      </c>
      <c r="AO4" s="10"/>
      <c r="AS4" s="9"/>
      <c r="AT4" s="10"/>
      <c r="AU4" s="10"/>
      <c r="AV4" s="9">
        <v>500000</v>
      </c>
      <c r="AW4">
        <v>60</v>
      </c>
      <c r="AX4" s="10"/>
      <c r="AY4" s="10">
        <v>43344</v>
      </c>
      <c r="AZ4" s="10"/>
      <c r="BA4" s="10">
        <v>42996.651724537034</v>
      </c>
      <c r="BB4" s="10"/>
      <c r="BC4" s="10"/>
      <c r="BP4" s="10"/>
      <c r="BQ4" s="10"/>
      <c r="BR4" s="10"/>
      <c r="BS4" s="10"/>
      <c r="BT4" s="10"/>
      <c r="BU4" s="10"/>
      <c r="BV4" s="10"/>
    </row>
    <row r="5" spans="1:74" x14ac:dyDescent="0.4">
      <c r="D5" s="7"/>
      <c r="F5" s="54">
        <v>43066.41988425926</v>
      </c>
      <c r="G5" s="10">
        <v>42933.820138888892</v>
      </c>
      <c r="H5" s="10"/>
      <c r="I5" t="s">
        <v>3008</v>
      </c>
      <c r="J5" t="s">
        <v>28</v>
      </c>
      <c r="K5" t="s">
        <v>3008</v>
      </c>
      <c r="L5" t="s">
        <v>2983</v>
      </c>
      <c r="M5" t="s">
        <v>49</v>
      </c>
      <c r="N5" t="s">
        <v>2940</v>
      </c>
      <c r="O5" t="s">
        <v>2941</v>
      </c>
      <c r="P5" t="s">
        <v>223</v>
      </c>
      <c r="Q5" t="s">
        <v>44</v>
      </c>
      <c r="R5" t="s">
        <v>2991</v>
      </c>
      <c r="S5" t="s">
        <v>239</v>
      </c>
      <c r="T5" t="s">
        <v>3009</v>
      </c>
      <c r="U5" t="s">
        <v>52</v>
      </c>
      <c r="V5" t="s">
        <v>1741</v>
      </c>
      <c r="W5" t="s">
        <v>321</v>
      </c>
      <c r="X5" t="s">
        <v>3010</v>
      </c>
      <c r="Y5" t="s">
        <v>134</v>
      </c>
      <c r="Z5" t="s">
        <v>61</v>
      </c>
      <c r="AA5">
        <v>1</v>
      </c>
      <c r="AB5" t="s">
        <v>2995</v>
      </c>
      <c r="AC5" t="s">
        <v>2990</v>
      </c>
      <c r="AD5">
        <v>0</v>
      </c>
      <c r="AE5">
        <v>0</v>
      </c>
      <c r="AF5" s="10"/>
      <c r="AG5" s="10">
        <v>43032</v>
      </c>
      <c r="AH5">
        <v>4</v>
      </c>
      <c r="AI5" t="s">
        <v>2996</v>
      </c>
      <c r="AJ5" s="10">
        <v>43031</v>
      </c>
      <c r="AK5">
        <v>1</v>
      </c>
      <c r="AL5" t="s">
        <v>2938</v>
      </c>
      <c r="AM5">
        <v>1</v>
      </c>
      <c r="AO5" s="10"/>
      <c r="AS5" s="9"/>
      <c r="AT5" s="10"/>
      <c r="AU5" s="10"/>
      <c r="AV5" s="9">
        <v>549841</v>
      </c>
      <c r="AW5">
        <v>60</v>
      </c>
      <c r="AX5" s="10"/>
      <c r="AY5" s="10">
        <v>43175</v>
      </c>
      <c r="AZ5" s="10"/>
      <c r="BA5" s="10">
        <v>42996.651736111111</v>
      </c>
      <c r="BB5" s="10"/>
      <c r="BC5" s="10"/>
      <c r="BP5" s="10"/>
      <c r="BQ5" s="10"/>
      <c r="BR5" s="10"/>
      <c r="BS5" s="10"/>
      <c r="BT5" s="10"/>
      <c r="BU5" s="10"/>
      <c r="BV5" s="10"/>
    </row>
    <row r="6" spans="1:74" x14ac:dyDescent="0.4">
      <c r="D6" s="7"/>
      <c r="F6" s="54">
        <v>43066.41988425926</v>
      </c>
      <c r="G6" s="10">
        <v>42934.625694444447</v>
      </c>
      <c r="H6" s="10"/>
      <c r="I6" t="s">
        <v>3011</v>
      </c>
      <c r="J6" t="s">
        <v>28</v>
      </c>
      <c r="K6" t="s">
        <v>3011</v>
      </c>
      <c r="L6" t="s">
        <v>2983</v>
      </c>
      <c r="M6" t="s">
        <v>49</v>
      </c>
      <c r="N6" t="s">
        <v>2940</v>
      </c>
      <c r="O6" t="s">
        <v>2941</v>
      </c>
      <c r="P6" t="s">
        <v>223</v>
      </c>
      <c r="Q6" t="s">
        <v>44</v>
      </c>
      <c r="R6" t="s">
        <v>2991</v>
      </c>
      <c r="S6" t="s">
        <v>3012</v>
      </c>
      <c r="T6" t="s">
        <v>3013</v>
      </c>
      <c r="U6" t="s">
        <v>133</v>
      </c>
      <c r="V6" t="s">
        <v>1713</v>
      </c>
      <c r="W6" t="s">
        <v>207</v>
      </c>
      <c r="X6" t="s">
        <v>3014</v>
      </c>
      <c r="Y6" t="s">
        <v>134</v>
      </c>
      <c r="Z6" t="s">
        <v>61</v>
      </c>
      <c r="AA6">
        <v>1</v>
      </c>
      <c r="AB6" t="s">
        <v>2995</v>
      </c>
      <c r="AC6" t="s">
        <v>2990</v>
      </c>
      <c r="AD6">
        <v>0</v>
      </c>
      <c r="AE6">
        <v>0</v>
      </c>
      <c r="AF6" s="10"/>
      <c r="AG6" s="10">
        <v>43060</v>
      </c>
      <c r="AH6">
        <v>4</v>
      </c>
      <c r="AI6" t="s">
        <v>3015</v>
      </c>
      <c r="AJ6" s="10">
        <v>43059</v>
      </c>
      <c r="AK6">
        <v>2</v>
      </c>
      <c r="AL6" t="s">
        <v>2937</v>
      </c>
      <c r="AM6">
        <v>4</v>
      </c>
      <c r="AO6" s="10"/>
      <c r="AS6" s="9"/>
      <c r="AT6" s="10"/>
      <c r="AU6" s="10"/>
      <c r="AV6" s="9">
        <v>516750</v>
      </c>
      <c r="AW6">
        <v>60</v>
      </c>
      <c r="AX6" s="10"/>
      <c r="AY6" s="10">
        <v>43101</v>
      </c>
      <c r="AZ6" s="10"/>
      <c r="BA6" s="10">
        <v>42996.651724537034</v>
      </c>
      <c r="BB6" s="10"/>
      <c r="BC6" s="10"/>
      <c r="BP6" s="10"/>
      <c r="BQ6" s="10"/>
      <c r="BR6" s="10"/>
      <c r="BS6" s="10"/>
      <c r="BT6" s="10"/>
      <c r="BU6" s="10"/>
      <c r="BV6" s="10"/>
    </row>
    <row r="7" spans="1:74" x14ac:dyDescent="0.4">
      <c r="D7" s="7"/>
      <c r="F7" s="54">
        <v>43066.41988425926</v>
      </c>
      <c r="G7" s="10">
        <v>42934.695138888892</v>
      </c>
      <c r="H7" s="10"/>
      <c r="I7" t="s">
        <v>3016</v>
      </c>
      <c r="J7" t="s">
        <v>28</v>
      </c>
      <c r="K7" t="s">
        <v>3016</v>
      </c>
      <c r="L7" t="s">
        <v>2983</v>
      </c>
      <c r="M7" t="s">
        <v>49</v>
      </c>
      <c r="N7" t="s">
        <v>2940</v>
      </c>
      <c r="O7" t="s">
        <v>2941</v>
      </c>
      <c r="P7" t="s">
        <v>223</v>
      </c>
      <c r="Q7" t="s">
        <v>44</v>
      </c>
      <c r="R7" t="s">
        <v>2991</v>
      </c>
      <c r="S7" t="s">
        <v>3017</v>
      </c>
      <c r="T7" t="s">
        <v>501</v>
      </c>
      <c r="U7" t="s">
        <v>133</v>
      </c>
      <c r="V7" t="s">
        <v>1715</v>
      </c>
      <c r="W7" t="s">
        <v>214</v>
      </c>
      <c r="X7" t="s">
        <v>3018</v>
      </c>
      <c r="Y7" t="s">
        <v>134</v>
      </c>
      <c r="Z7" t="s">
        <v>61</v>
      </c>
      <c r="AA7">
        <v>1</v>
      </c>
      <c r="AB7" t="s">
        <v>2995</v>
      </c>
      <c r="AC7" t="s">
        <v>2999</v>
      </c>
      <c r="AD7">
        <v>0</v>
      </c>
      <c r="AE7">
        <v>0</v>
      </c>
      <c r="AF7" s="10"/>
      <c r="AG7" s="10">
        <v>43032</v>
      </c>
      <c r="AH7">
        <v>4</v>
      </c>
      <c r="AI7" t="s">
        <v>2996</v>
      </c>
      <c r="AJ7" s="10">
        <v>43031</v>
      </c>
      <c r="AK7">
        <v>3</v>
      </c>
      <c r="AL7" t="s">
        <v>2939</v>
      </c>
      <c r="AM7">
        <v>13</v>
      </c>
      <c r="AO7" s="10"/>
      <c r="AS7" s="9"/>
      <c r="AT7" s="10"/>
      <c r="AU7" s="10"/>
      <c r="AV7" s="9">
        <v>550000</v>
      </c>
      <c r="AW7">
        <v>60</v>
      </c>
      <c r="AX7" s="10"/>
      <c r="AY7" s="10">
        <v>43101</v>
      </c>
      <c r="AZ7" s="10"/>
      <c r="BA7" s="10">
        <v>42996.651724537034</v>
      </c>
      <c r="BB7" s="10"/>
      <c r="BC7" s="10"/>
      <c r="BP7" s="10"/>
      <c r="BQ7" s="10"/>
      <c r="BR7" s="10"/>
      <c r="BS7" s="10"/>
      <c r="BT7" s="10"/>
      <c r="BU7" s="10"/>
      <c r="BV7" s="10"/>
    </row>
    <row r="8" spans="1:74" x14ac:dyDescent="0.4">
      <c r="D8" s="7"/>
      <c r="F8" s="54">
        <v>43066.41988425926</v>
      </c>
      <c r="G8" s="10">
        <v>42934.808333333334</v>
      </c>
      <c r="H8" s="10"/>
      <c r="I8" t="s">
        <v>3019</v>
      </c>
      <c r="J8" t="s">
        <v>28</v>
      </c>
      <c r="K8" t="s">
        <v>3019</v>
      </c>
      <c r="L8" t="s">
        <v>2983</v>
      </c>
      <c r="M8" t="s">
        <v>49</v>
      </c>
      <c r="N8" t="s">
        <v>2940</v>
      </c>
      <c r="O8" t="s">
        <v>2941</v>
      </c>
      <c r="P8" t="s">
        <v>223</v>
      </c>
      <c r="Q8" t="s">
        <v>44</v>
      </c>
      <c r="R8" t="s">
        <v>2991</v>
      </c>
      <c r="S8" t="s">
        <v>3021</v>
      </c>
      <c r="T8" t="s">
        <v>2345</v>
      </c>
      <c r="U8" t="s">
        <v>52</v>
      </c>
      <c r="V8" t="s">
        <v>1734</v>
      </c>
      <c r="W8" t="s">
        <v>206</v>
      </c>
      <c r="X8" t="s">
        <v>3022</v>
      </c>
      <c r="Y8" t="s">
        <v>134</v>
      </c>
      <c r="Z8" t="s">
        <v>61</v>
      </c>
      <c r="AA8">
        <v>1</v>
      </c>
      <c r="AB8" t="s">
        <v>2995</v>
      </c>
      <c r="AC8" t="s">
        <v>3020</v>
      </c>
      <c r="AD8">
        <v>0</v>
      </c>
      <c r="AE8">
        <v>0</v>
      </c>
      <c r="AF8" s="10"/>
      <c r="AG8" s="10">
        <v>43032</v>
      </c>
      <c r="AH8">
        <v>4</v>
      </c>
      <c r="AI8" t="s">
        <v>2996</v>
      </c>
      <c r="AJ8" s="10">
        <v>43031</v>
      </c>
      <c r="AK8">
        <v>4</v>
      </c>
      <c r="AL8" t="s">
        <v>2997</v>
      </c>
      <c r="AM8">
        <v>22</v>
      </c>
      <c r="AO8" s="10"/>
      <c r="AS8" s="9"/>
      <c r="AT8" s="10"/>
      <c r="AU8" s="10"/>
      <c r="AV8" s="9">
        <v>440331</v>
      </c>
      <c r="AW8">
        <v>60</v>
      </c>
      <c r="AX8" s="10"/>
      <c r="AY8" s="10">
        <v>43101</v>
      </c>
      <c r="AZ8" s="10"/>
      <c r="BA8" s="10">
        <v>42996.651712962965</v>
      </c>
      <c r="BB8" s="10"/>
      <c r="BC8" s="10"/>
      <c r="BP8" s="10"/>
      <c r="BQ8" s="10"/>
      <c r="BR8" s="10"/>
      <c r="BS8" s="10"/>
      <c r="BT8" s="10"/>
      <c r="BU8" s="10"/>
      <c r="BV8" s="10"/>
    </row>
    <row r="9" spans="1:74" x14ac:dyDescent="0.4">
      <c r="D9" s="7"/>
      <c r="F9" s="54">
        <v>43066.41988425926</v>
      </c>
      <c r="G9" s="10">
        <v>42935.633333333331</v>
      </c>
      <c r="H9" s="10"/>
      <c r="I9" t="s">
        <v>3023</v>
      </c>
      <c r="J9" t="s">
        <v>28</v>
      </c>
      <c r="K9" t="s">
        <v>3023</v>
      </c>
      <c r="L9" t="s">
        <v>2983</v>
      </c>
      <c r="M9" t="s">
        <v>49</v>
      </c>
      <c r="N9" t="s">
        <v>2940</v>
      </c>
      <c r="O9" t="s">
        <v>2941</v>
      </c>
      <c r="P9" t="s">
        <v>223</v>
      </c>
      <c r="Q9" t="s">
        <v>44</v>
      </c>
      <c r="R9" t="s">
        <v>2991</v>
      </c>
      <c r="S9" t="s">
        <v>3024</v>
      </c>
      <c r="T9" t="s">
        <v>276</v>
      </c>
      <c r="U9" t="s">
        <v>133</v>
      </c>
      <c r="V9" t="s">
        <v>1723</v>
      </c>
      <c r="W9" t="s">
        <v>211</v>
      </c>
      <c r="X9" t="s">
        <v>3025</v>
      </c>
      <c r="Y9" t="s">
        <v>134</v>
      </c>
      <c r="Z9" t="s">
        <v>61</v>
      </c>
      <c r="AA9">
        <v>1</v>
      </c>
      <c r="AB9" t="s">
        <v>2995</v>
      </c>
      <c r="AC9" t="s">
        <v>2999</v>
      </c>
      <c r="AD9">
        <v>0</v>
      </c>
      <c r="AE9">
        <v>0</v>
      </c>
      <c r="AF9" s="10"/>
      <c r="AG9" s="10">
        <v>43032</v>
      </c>
      <c r="AH9">
        <v>4</v>
      </c>
      <c r="AI9" t="s">
        <v>2996</v>
      </c>
      <c r="AJ9" s="10">
        <v>43031</v>
      </c>
      <c r="AK9">
        <v>2</v>
      </c>
      <c r="AL9" t="s">
        <v>2937</v>
      </c>
      <c r="AM9">
        <v>7</v>
      </c>
      <c r="AO9" s="10"/>
      <c r="AS9" s="9"/>
      <c r="AT9" s="10"/>
      <c r="AU9" s="10"/>
      <c r="AV9" s="9">
        <v>582785</v>
      </c>
      <c r="AW9">
        <v>60</v>
      </c>
      <c r="AX9" s="10"/>
      <c r="AY9" s="10">
        <v>43344</v>
      </c>
      <c r="AZ9" s="10"/>
      <c r="BA9" s="10">
        <v>42996.651712962965</v>
      </c>
      <c r="BB9" s="10"/>
      <c r="BC9" s="10"/>
      <c r="BP9" s="10"/>
      <c r="BQ9" s="10"/>
      <c r="BR9" s="10"/>
      <c r="BS9" s="10"/>
      <c r="BT9" s="10"/>
      <c r="BU9" s="10"/>
      <c r="BV9" s="10"/>
    </row>
    <row r="10" spans="1:74" x14ac:dyDescent="0.4">
      <c r="D10" s="7"/>
      <c r="F10" s="54">
        <v>43066.41988425926</v>
      </c>
      <c r="G10" s="10">
        <v>42935.680555555555</v>
      </c>
      <c r="H10" s="10"/>
      <c r="I10" t="s">
        <v>3026</v>
      </c>
      <c r="J10" t="s">
        <v>28</v>
      </c>
      <c r="K10" t="s">
        <v>3026</v>
      </c>
      <c r="L10" t="s">
        <v>2983</v>
      </c>
      <c r="M10" t="s">
        <v>49</v>
      </c>
      <c r="N10" t="s">
        <v>2940</v>
      </c>
      <c r="O10" t="s">
        <v>2941</v>
      </c>
      <c r="P10" t="s">
        <v>223</v>
      </c>
      <c r="Q10" t="s">
        <v>44</v>
      </c>
      <c r="R10" t="s">
        <v>2991</v>
      </c>
      <c r="S10" t="s">
        <v>3027</v>
      </c>
      <c r="T10" t="s">
        <v>247</v>
      </c>
      <c r="U10" t="s">
        <v>133</v>
      </c>
      <c r="V10" t="s">
        <v>1744</v>
      </c>
      <c r="W10" t="s">
        <v>211</v>
      </c>
      <c r="X10" t="s">
        <v>3028</v>
      </c>
      <c r="Y10" t="s">
        <v>134</v>
      </c>
      <c r="Z10" t="s">
        <v>61</v>
      </c>
      <c r="AA10">
        <v>1</v>
      </c>
      <c r="AB10" t="s">
        <v>2995</v>
      </c>
      <c r="AC10" t="s">
        <v>2999</v>
      </c>
      <c r="AD10">
        <v>0</v>
      </c>
      <c r="AE10">
        <v>0</v>
      </c>
      <c r="AF10" s="10"/>
      <c r="AG10" s="10">
        <v>43032</v>
      </c>
      <c r="AH10">
        <v>4</v>
      </c>
      <c r="AI10" t="s">
        <v>2996</v>
      </c>
      <c r="AJ10" s="10">
        <v>43031</v>
      </c>
      <c r="AK10">
        <v>3</v>
      </c>
      <c r="AL10" t="s">
        <v>2939</v>
      </c>
      <c r="AM10">
        <v>13</v>
      </c>
      <c r="AO10" s="10"/>
      <c r="AS10" s="9"/>
      <c r="AT10" s="10"/>
      <c r="AU10" s="10"/>
      <c r="AV10" s="9">
        <v>415497</v>
      </c>
      <c r="AW10">
        <v>60</v>
      </c>
      <c r="AX10" s="10"/>
      <c r="AY10" s="10">
        <v>43132</v>
      </c>
      <c r="AZ10" s="10"/>
      <c r="BA10" s="10">
        <v>42996.651712962965</v>
      </c>
      <c r="BB10" s="10"/>
      <c r="BC10" s="10"/>
      <c r="BP10" s="10"/>
      <c r="BQ10" s="10"/>
      <c r="BR10" s="10"/>
      <c r="BS10" s="10"/>
      <c r="BT10" s="10"/>
      <c r="BU10" s="10"/>
      <c r="BV10" s="10"/>
    </row>
    <row r="11" spans="1:74" x14ac:dyDescent="0.4">
      <c r="D11" s="7"/>
      <c r="F11" s="54">
        <v>43066.41988425926</v>
      </c>
      <c r="G11" s="10">
        <v>42935.69027777778</v>
      </c>
      <c r="H11" s="10"/>
      <c r="I11" t="s">
        <v>3029</v>
      </c>
      <c r="J11" t="s">
        <v>28</v>
      </c>
      <c r="K11" t="s">
        <v>3029</v>
      </c>
      <c r="L11" t="s">
        <v>2983</v>
      </c>
      <c r="M11" t="s">
        <v>49</v>
      </c>
      <c r="N11" t="s">
        <v>2940</v>
      </c>
      <c r="O11" t="s">
        <v>2941</v>
      </c>
      <c r="P11" t="s">
        <v>223</v>
      </c>
      <c r="Q11" t="s">
        <v>44</v>
      </c>
      <c r="R11" t="s">
        <v>2991</v>
      </c>
      <c r="S11" t="s">
        <v>3030</v>
      </c>
      <c r="T11" t="s">
        <v>170</v>
      </c>
      <c r="U11" t="s">
        <v>52</v>
      </c>
      <c r="V11" t="s">
        <v>1731</v>
      </c>
      <c r="W11" t="s">
        <v>211</v>
      </c>
      <c r="X11" t="s">
        <v>3031</v>
      </c>
      <c r="Y11" t="s">
        <v>134</v>
      </c>
      <c r="Z11" t="s">
        <v>61</v>
      </c>
      <c r="AA11">
        <v>1</v>
      </c>
      <c r="AB11" t="s">
        <v>2995</v>
      </c>
      <c r="AC11" t="s">
        <v>2999</v>
      </c>
      <c r="AD11">
        <v>0</v>
      </c>
      <c r="AE11">
        <v>0</v>
      </c>
      <c r="AF11" s="10"/>
      <c r="AG11" s="10">
        <v>43032</v>
      </c>
      <c r="AH11">
        <v>4</v>
      </c>
      <c r="AI11" t="s">
        <v>2996</v>
      </c>
      <c r="AJ11" s="10">
        <v>43031</v>
      </c>
      <c r="AK11">
        <v>2</v>
      </c>
      <c r="AL11" t="s">
        <v>2937</v>
      </c>
      <c r="AM11">
        <v>12</v>
      </c>
      <c r="AO11" s="10"/>
      <c r="AS11" s="9"/>
      <c r="AT11" s="10"/>
      <c r="AU11" s="10"/>
      <c r="AV11" s="9">
        <v>523537</v>
      </c>
      <c r="AW11">
        <v>60</v>
      </c>
      <c r="AX11" s="10"/>
      <c r="AY11" s="10">
        <v>43344</v>
      </c>
      <c r="AZ11" s="10"/>
      <c r="BA11" s="10">
        <v>42996.651724537034</v>
      </c>
      <c r="BB11" s="10"/>
      <c r="BC11" s="10"/>
      <c r="BP11" s="10"/>
      <c r="BQ11" s="10"/>
      <c r="BR11" s="10"/>
      <c r="BS11" s="10"/>
      <c r="BT11" s="10"/>
      <c r="BU11" s="10"/>
      <c r="BV11" s="10"/>
    </row>
    <row r="12" spans="1:74" x14ac:dyDescent="0.4">
      <c r="D12" s="7"/>
      <c r="F12" s="54">
        <v>43066.41988425926</v>
      </c>
      <c r="G12" s="10">
        <v>42935.696527777778</v>
      </c>
      <c r="H12" s="10"/>
      <c r="I12" t="s">
        <v>3032</v>
      </c>
      <c r="J12" t="s">
        <v>28</v>
      </c>
      <c r="K12" t="s">
        <v>3032</v>
      </c>
      <c r="L12" t="s">
        <v>2983</v>
      </c>
      <c r="M12" t="s">
        <v>49</v>
      </c>
      <c r="N12" t="s">
        <v>2940</v>
      </c>
      <c r="O12" t="s">
        <v>2941</v>
      </c>
      <c r="P12" t="s">
        <v>223</v>
      </c>
      <c r="Q12" t="s">
        <v>44</v>
      </c>
      <c r="R12" t="s">
        <v>2991</v>
      </c>
      <c r="S12" t="s">
        <v>3033</v>
      </c>
      <c r="T12" t="s">
        <v>421</v>
      </c>
      <c r="U12" t="s">
        <v>52</v>
      </c>
      <c r="V12" t="s">
        <v>278</v>
      </c>
      <c r="W12" t="s">
        <v>3034</v>
      </c>
      <c r="X12" t="s">
        <v>3035</v>
      </c>
      <c r="Y12" t="s">
        <v>134</v>
      </c>
      <c r="Z12" t="s">
        <v>61</v>
      </c>
      <c r="AA12">
        <v>1</v>
      </c>
      <c r="AB12" t="s">
        <v>2995</v>
      </c>
      <c r="AC12" t="s">
        <v>2999</v>
      </c>
      <c r="AD12">
        <v>0</v>
      </c>
      <c r="AE12">
        <v>0</v>
      </c>
      <c r="AF12" s="10"/>
      <c r="AG12" s="10">
        <v>43032</v>
      </c>
      <c r="AH12">
        <v>4</v>
      </c>
      <c r="AI12" t="s">
        <v>2996</v>
      </c>
      <c r="AJ12" s="10">
        <v>43031</v>
      </c>
      <c r="AK12">
        <v>2</v>
      </c>
      <c r="AL12" t="s">
        <v>2937</v>
      </c>
      <c r="AM12">
        <v>10</v>
      </c>
      <c r="AO12" s="10"/>
      <c r="AS12" s="9"/>
      <c r="AT12" s="10"/>
      <c r="AU12" s="10"/>
      <c r="AV12" s="9">
        <v>607459</v>
      </c>
      <c r="AW12">
        <v>60</v>
      </c>
      <c r="AX12" s="10"/>
      <c r="AY12" s="10">
        <v>43344</v>
      </c>
      <c r="AZ12" s="10"/>
      <c r="BA12" s="10">
        <v>42996.651724537034</v>
      </c>
      <c r="BB12" s="10"/>
      <c r="BC12" s="10"/>
      <c r="BP12" s="10"/>
      <c r="BQ12" s="10"/>
      <c r="BR12" s="10"/>
      <c r="BS12" s="10"/>
      <c r="BT12" s="10"/>
      <c r="BU12" s="10"/>
      <c r="BV12" s="10"/>
    </row>
    <row r="13" spans="1:74" x14ac:dyDescent="0.4">
      <c r="D13" s="7"/>
    </row>
    <row r="14" spans="1:74" x14ac:dyDescent="0.4">
      <c r="D14" s="7"/>
    </row>
    <row r="15" spans="1:74" x14ac:dyDescent="0.4">
      <c r="D15" s="7"/>
    </row>
    <row r="16" spans="1:74" x14ac:dyDescent="0.4">
      <c r="D16" s="7"/>
    </row>
    <row r="17" spans="1:4" x14ac:dyDescent="0.4">
      <c r="D17" s="7"/>
    </row>
    <row r="18" spans="1:4" x14ac:dyDescent="0.4">
      <c r="D18" s="7"/>
    </row>
    <row r="19" spans="1:4" x14ac:dyDescent="0.4">
      <c r="D19" s="7"/>
    </row>
    <row r="20" spans="1:4" x14ac:dyDescent="0.4">
      <c r="D20" s="7"/>
    </row>
    <row r="21" spans="1:4" x14ac:dyDescent="0.4">
      <c r="D21" s="7"/>
    </row>
    <row r="22" spans="1:4" x14ac:dyDescent="0.4">
      <c r="A22" s="94"/>
      <c r="B22" s="94"/>
      <c r="C22" s="38"/>
      <c r="D22" s="38"/>
    </row>
    <row r="23" spans="1:4" ht="15" thickBot="1" x14ac:dyDescent="0.45">
      <c r="A23" s="26"/>
      <c r="B23" s="94"/>
      <c r="C23" s="38"/>
      <c r="D23" s="38"/>
    </row>
    <row r="24" spans="1:4" ht="16.3" thickBot="1" x14ac:dyDescent="0.45">
      <c r="A24" s="117" t="s">
        <v>83</v>
      </c>
      <c r="B24" s="118"/>
      <c r="C24" s="118"/>
      <c r="D24" s="38"/>
    </row>
    <row r="25" spans="1:4" ht="15" thickBot="1" x14ac:dyDescent="0.45">
      <c r="A25" s="114" t="s">
        <v>5</v>
      </c>
      <c r="B25" s="115"/>
      <c r="C25" s="116"/>
      <c r="D25" s="38"/>
    </row>
    <row r="26" spans="1:4" ht="15" thickBot="1" x14ac:dyDescent="0.45">
      <c r="A26" s="8" t="s">
        <v>6</v>
      </c>
      <c r="B26" s="133">
        <v>42644</v>
      </c>
      <c r="C26" s="134" t="s">
        <v>2943</v>
      </c>
      <c r="D26" s="38"/>
    </row>
    <row r="27" spans="1:4" ht="15" thickBot="1" x14ac:dyDescent="0.45">
      <c r="A27" s="8" t="s">
        <v>1705</v>
      </c>
      <c r="B27" s="135" t="s">
        <v>2942</v>
      </c>
      <c r="C27" s="134" t="s">
        <v>2943</v>
      </c>
      <c r="D27" s="38"/>
    </row>
    <row r="28" spans="1:4" ht="15" thickBot="1" x14ac:dyDescent="0.45">
      <c r="A28" s="8" t="s">
        <v>8</v>
      </c>
      <c r="B28" s="136" t="s">
        <v>2985</v>
      </c>
      <c r="C28" s="137"/>
      <c r="D28" s="38"/>
    </row>
    <row r="29" spans="1:4" ht="15" thickBot="1" x14ac:dyDescent="0.45">
      <c r="A29" s="8" t="s">
        <v>2</v>
      </c>
      <c r="B29" s="136" t="s">
        <v>2945</v>
      </c>
      <c r="C29" s="137"/>
      <c r="D29" s="38"/>
    </row>
    <row r="30" spans="1:4" ht="15" thickBot="1" x14ac:dyDescent="0.45">
      <c r="A30" s="8" t="s">
        <v>9</v>
      </c>
      <c r="B30" s="136" t="s">
        <v>2946</v>
      </c>
      <c r="C30" s="137"/>
    </row>
    <row r="31" spans="1:4" ht="15" thickBot="1" x14ac:dyDescent="0.45">
      <c r="A31" s="8" t="s">
        <v>3</v>
      </c>
      <c r="B31" s="136" t="s">
        <v>2947</v>
      </c>
      <c r="C31" s="137"/>
    </row>
    <row r="32" spans="1:4" ht="15" thickBot="1" x14ac:dyDescent="0.45">
      <c r="A32" s="8" t="s">
        <v>10</v>
      </c>
      <c r="B32" s="136" t="s">
        <v>2948</v>
      </c>
      <c r="C32" s="137"/>
    </row>
    <row r="33" spans="1:3" ht="15" thickBot="1" x14ac:dyDescent="0.45">
      <c r="A33" s="8" t="s">
        <v>11</v>
      </c>
      <c r="B33" s="136" t="s">
        <v>2953</v>
      </c>
      <c r="C33" s="137"/>
    </row>
    <row r="34" spans="1:3" ht="15" thickBot="1" x14ac:dyDescent="0.45">
      <c r="A34" s="8" t="s">
        <v>12</v>
      </c>
      <c r="B34" s="136" t="s">
        <v>2952</v>
      </c>
      <c r="C34" s="137"/>
    </row>
    <row r="35" spans="1:3" ht="15" thickBot="1" x14ac:dyDescent="0.45">
      <c r="A35" s="8" t="s">
        <v>13</v>
      </c>
      <c r="B35" s="136" t="s">
        <v>2984</v>
      </c>
      <c r="C35" s="137"/>
    </row>
    <row r="36" spans="1:3" ht="15" thickBot="1" x14ac:dyDescent="0.45">
      <c r="A36" s="8" t="s">
        <v>51</v>
      </c>
      <c r="B36" s="142" t="s">
        <v>2986</v>
      </c>
      <c r="C36" s="137"/>
    </row>
    <row r="37" spans="1:3" ht="15" thickBot="1" x14ac:dyDescent="0.45">
      <c r="A37" s="8" t="s">
        <v>2980</v>
      </c>
      <c r="B37" s="136" t="s">
        <v>2949</v>
      </c>
      <c r="C37" s="138"/>
    </row>
    <row r="38" spans="1:3" x14ac:dyDescent="0.4">
      <c r="C38" s="7"/>
    </row>
    <row r="39" spans="1:3" ht="15" thickBot="1" x14ac:dyDescent="0.45">
      <c r="A39" s="50" t="s">
        <v>85</v>
      </c>
      <c r="B39" s="51" t="s">
        <v>2982</v>
      </c>
      <c r="C39" s="7"/>
    </row>
    <row r="40" spans="1:3" x14ac:dyDescent="0.4">
      <c r="A40" s="52" t="s">
        <v>1704</v>
      </c>
      <c r="B40" s="53" t="s">
        <v>84</v>
      </c>
      <c r="C40" s="7"/>
    </row>
    <row r="41" spans="1:3" x14ac:dyDescent="0.4">
      <c r="A41" s="92" t="s">
        <v>14</v>
      </c>
      <c r="B41" t="s">
        <v>14</v>
      </c>
      <c r="C41" s="7"/>
    </row>
    <row r="42" spans="1:3" x14ac:dyDescent="0.4">
      <c r="A42" s="93"/>
      <c r="B42" s="26"/>
      <c r="C42" s="7"/>
    </row>
  </sheetData>
  <mergeCells count="2">
    <mergeCell ref="A25:C25"/>
    <mergeCell ref="A24:C24"/>
  </mergeCells>
  <conditionalFormatting sqref="B26:C37">
    <cfRule type="expression" dxfId="39" priority="1">
      <formula>LEFT(B26,3)="eg:"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9" r:id="rId4" name="Button 39">
              <controlPr defaultSize="0" print="0" autoFill="0" autoPict="0" macro="[0]!RefreshActiveSheetProp">
                <anchor moveWithCells="1" sizeWithCells="1">
                  <from>
                    <xdr:col>1</xdr:col>
                    <xdr:colOff>1039586</xdr:colOff>
                    <xdr:row>21</xdr:row>
                    <xdr:rowOff>65314</xdr:rowOff>
                  </from>
                  <to>
                    <xdr:col>2</xdr:col>
                    <xdr:colOff>925286</xdr:colOff>
                    <xdr:row>22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5" name="Button 40">
              <controlPr defaultSize="0" print="0" autoFill="0" autoPict="0" macro="[0]!ClearPropInputs">
                <anchor moveWithCells="1" sizeWithCells="1">
                  <from>
                    <xdr:col>0</xdr:col>
                    <xdr:colOff>92529</xdr:colOff>
                    <xdr:row>21</xdr:row>
                    <xdr:rowOff>48986</xdr:rowOff>
                  </from>
                  <to>
                    <xdr:col>0</xdr:col>
                    <xdr:colOff>979714</xdr:colOff>
                    <xdr:row>22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6" name="Button 41">
              <controlPr defaultSize="0" print="0" autoFill="0" autoPict="0" macro="[0]!ClearPropInputs">
                <anchor moveWithCells="1" sizeWithCells="1">
                  <from>
                    <xdr:col>0</xdr:col>
                    <xdr:colOff>1055914</xdr:colOff>
                    <xdr:row>21</xdr:row>
                    <xdr:rowOff>43543</xdr:rowOff>
                  </from>
                  <to>
                    <xdr:col>1</xdr:col>
                    <xdr:colOff>631371</xdr:colOff>
                    <xdr:row>22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18Tracker"/>
  <dimension ref="A1:CJ344"/>
  <sheetViews>
    <sheetView showGridLines="0" topLeftCell="A5" zoomScale="90" zoomScaleNormal="90" workbookViewId="0">
      <selection activeCell="E33" sqref="E33"/>
    </sheetView>
  </sheetViews>
  <sheetFormatPr defaultRowHeight="14.6" x14ac:dyDescent="0.4"/>
  <cols>
    <col min="1" max="1" width="20.3828125" customWidth="1"/>
    <col min="2" max="2" width="14.69140625" customWidth="1"/>
    <col min="3" max="3" width="18.3046875" customWidth="1"/>
    <col min="4" max="4" width="14.15234375" customWidth="1"/>
    <col min="5" max="5" width="14.69140625" customWidth="1"/>
    <col min="6" max="6" width="13.53515625" customWidth="1"/>
    <col min="7" max="7" width="24.15234375" style="11" customWidth="1"/>
    <col min="8" max="8" width="15.3046875" customWidth="1"/>
    <col min="9" max="9" width="11.53515625" customWidth="1"/>
    <col min="10" max="10" width="9.84375" style="1" customWidth="1"/>
    <col min="11" max="11" width="11.53515625" style="10" customWidth="1"/>
    <col min="12" max="12" width="12.3046875" style="10" customWidth="1"/>
    <col min="13" max="13" width="6.15234375" customWidth="1"/>
    <col min="14" max="14" width="5.84375" customWidth="1"/>
    <col min="15" max="15" width="11" customWidth="1"/>
    <col min="16" max="16" width="8.53515625" style="2" customWidth="1"/>
    <col min="17" max="17" width="6.3828125" customWidth="1"/>
    <col min="18" max="18" width="6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bestFit="1" customWidth="1"/>
    <col min="29" max="29" width="10" bestFit="1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bestFit="1" customWidth="1"/>
    <col min="44" max="44" width="16.3046875" customWidth="1"/>
    <col min="45" max="45" width="14.69140625" customWidth="1"/>
    <col min="46" max="46" width="0" hidden="1" customWidth="1"/>
    <col min="47" max="48" width="16.69140625" customWidth="1"/>
    <col min="49" max="49" width="0" hidden="1" customWidth="1"/>
    <col min="50" max="50" width="17.3046875" bestFit="1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30" t="str">
        <f>CONCATENATE(A24," (", pgm_annc_id, ",",b.pgm_ele_code,") Splits Tracking (",budg_yr,")")</f>
        <v>CCF AF minus (Dmitri,Mitra) by year (,12%',2222,3333) Splits Tracking ()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39" t="s">
        <v>61</v>
      </c>
      <c r="G7" s="2">
        <v>11873702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71</v>
      </c>
      <c r="G8" s="2">
        <v>60000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202</v>
      </c>
      <c r="G9" s="2">
        <v>1421878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39" t="s">
        <v>136</v>
      </c>
      <c r="G10" s="2">
        <v>3417386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39" t="s">
        <v>1889</v>
      </c>
      <c r="G11" s="2">
        <v>3351970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F12" s="39" t="s">
        <v>2478</v>
      </c>
      <c r="G12" s="2">
        <v>464600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F13" s="39" t="s">
        <v>2875</v>
      </c>
      <c r="G13" s="2">
        <v>225680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F14" s="26" t="s">
        <v>73</v>
      </c>
      <c r="G14" s="2">
        <v>20815216</v>
      </c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F15" s="26" t="s">
        <v>2884</v>
      </c>
      <c r="G15" s="2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F16" s="39" t="s">
        <v>61</v>
      </c>
      <c r="G16" s="2">
        <v>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F17" s="26" t="s">
        <v>2897</v>
      </c>
      <c r="G17" s="2">
        <v>0</v>
      </c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A18" s="7"/>
      <c r="B18" s="7"/>
      <c r="C18" s="7"/>
      <c r="D18" s="7"/>
      <c r="E18" s="7"/>
      <c r="F18" s="26" t="s">
        <v>66</v>
      </c>
      <c r="G18" s="2">
        <v>20815216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200000000000003" customHeight="1" thickTop="1" thickBot="1" x14ac:dyDescent="0.45">
      <c r="A24" s="117" t="s">
        <v>1758</v>
      </c>
      <c r="B24" s="118"/>
      <c r="C24" s="118"/>
      <c r="D24" s="118"/>
      <c r="E24" s="131"/>
      <c r="F24" s="27"/>
      <c r="G24" s="26"/>
      <c r="H24" s="19"/>
      <c r="I24" s="124" t="s">
        <v>75</v>
      </c>
      <c r="J24" s="132"/>
      <c r="K24" s="121" t="s">
        <v>77</v>
      </c>
      <c r="L24" s="122"/>
      <c r="M24" s="122"/>
      <c r="N24" s="122"/>
      <c r="O24" s="122"/>
      <c r="P24" s="122"/>
      <c r="Q24" s="122"/>
      <c r="R24" s="123"/>
      <c r="S24" s="127" t="s">
        <v>78</v>
      </c>
      <c r="T24" s="128"/>
      <c r="U24" s="128"/>
      <c r="V24" s="128"/>
      <c r="W24" s="128"/>
      <c r="X24" s="128"/>
      <c r="Y24" s="129"/>
      <c r="Z24" s="121" t="s">
        <v>79</v>
      </c>
      <c r="AA24" s="122"/>
      <c r="AB24" s="122"/>
      <c r="AC24" s="122"/>
      <c r="AD24" s="122"/>
      <c r="AE24" s="122"/>
      <c r="AF24" s="122"/>
      <c r="AG24" s="122"/>
      <c r="AH24" s="123"/>
      <c r="AI24" s="124" t="s">
        <v>81</v>
      </c>
      <c r="AJ24" s="125"/>
      <c r="AK24" s="126"/>
      <c r="AL24" s="119" t="s">
        <v>80</v>
      </c>
      <c r="AM24" s="120"/>
      <c r="AN24" s="124" t="s">
        <v>151</v>
      </c>
      <c r="AO24" s="125"/>
      <c r="AP24" s="125"/>
      <c r="AQ24" s="126"/>
      <c r="AR24" s="119" t="s">
        <v>82</v>
      </c>
      <c r="AS24" s="120"/>
      <c r="AT24" s="76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45" thickTop="1" thickBot="1" x14ac:dyDescent="0.45">
      <c r="A25" s="114" t="s">
        <v>0</v>
      </c>
      <c r="B25" s="116"/>
      <c r="C25" s="114" t="s">
        <v>5</v>
      </c>
      <c r="D25" s="115"/>
      <c r="E25" s="116"/>
      <c r="F25" s="27"/>
      <c r="G25" s="26"/>
      <c r="H25" s="58" t="s">
        <v>36</v>
      </c>
      <c r="I25" s="60" t="s">
        <v>15</v>
      </c>
      <c r="J25" s="61" t="s">
        <v>35</v>
      </c>
      <c r="K25" s="79" t="s">
        <v>31</v>
      </c>
      <c r="L25" s="62" t="s">
        <v>53</v>
      </c>
      <c r="M25" s="62" t="s">
        <v>16</v>
      </c>
      <c r="N25" s="63" t="s">
        <v>17</v>
      </c>
      <c r="O25" s="63" t="s">
        <v>32</v>
      </c>
      <c r="P25" s="62" t="s">
        <v>54</v>
      </c>
      <c r="Q25" s="64" t="s">
        <v>55</v>
      </c>
      <c r="R25" s="80" t="s">
        <v>56</v>
      </c>
      <c r="S25" s="65" t="s">
        <v>37</v>
      </c>
      <c r="T25" s="68" t="s">
        <v>22</v>
      </c>
      <c r="U25" s="67" t="s">
        <v>21</v>
      </c>
      <c r="V25" s="70" t="s">
        <v>144</v>
      </c>
      <c r="W25" s="46" t="s">
        <v>157</v>
      </c>
      <c r="X25" s="69" t="s">
        <v>141</v>
      </c>
      <c r="Y25" s="66" t="s">
        <v>30</v>
      </c>
      <c r="Z25" s="83" t="s">
        <v>26</v>
      </c>
      <c r="AA25" s="71" t="s">
        <v>27</v>
      </c>
      <c r="AB25" s="72" t="s">
        <v>76</v>
      </c>
      <c r="AC25" s="73" t="s">
        <v>33</v>
      </c>
      <c r="AD25" s="72" t="s">
        <v>14</v>
      </c>
      <c r="AE25" s="74" t="s">
        <v>18</v>
      </c>
      <c r="AF25" s="71" t="s">
        <v>42</v>
      </c>
      <c r="AG25" s="75" t="s">
        <v>19</v>
      </c>
      <c r="AH25" s="70" t="s">
        <v>34</v>
      </c>
      <c r="AI25" s="44" t="s">
        <v>23</v>
      </c>
      <c r="AJ25" s="14" t="s">
        <v>24</v>
      </c>
      <c r="AK25" s="46" t="s">
        <v>41</v>
      </c>
      <c r="AL25" s="55" t="s">
        <v>46</v>
      </c>
      <c r="AM25" s="45" t="s">
        <v>47</v>
      </c>
      <c r="AN25" s="86" t="s">
        <v>140</v>
      </c>
      <c r="AO25" s="47" t="s">
        <v>145</v>
      </c>
      <c r="AP25" s="46" t="s">
        <v>147</v>
      </c>
      <c r="AQ25" s="87" t="s">
        <v>20</v>
      </c>
      <c r="AR25" s="57" t="s">
        <v>38</v>
      </c>
      <c r="AS25" s="46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4"/>
      <c r="C26" s="8" t="s">
        <v>6</v>
      </c>
      <c r="D26" s="18"/>
      <c r="E26" s="5"/>
      <c r="F26" s="27"/>
      <c r="G26" s="26"/>
      <c r="H26" s="59">
        <v>43005.699629629627</v>
      </c>
      <c r="I26" s="43">
        <v>41544.657638888886</v>
      </c>
      <c r="J26" s="42">
        <v>41670.573773148149</v>
      </c>
      <c r="K26" s="81" t="s">
        <v>1768</v>
      </c>
      <c r="L26" s="19" t="s">
        <v>1768</v>
      </c>
      <c r="M26" s="19" t="s">
        <v>1761</v>
      </c>
      <c r="N26" s="40" t="s">
        <v>1761</v>
      </c>
      <c r="O26" s="40" t="s">
        <v>2109</v>
      </c>
      <c r="P26" s="19" t="s">
        <v>2109</v>
      </c>
      <c r="Q26" s="41" t="s">
        <v>45</v>
      </c>
      <c r="R26" s="82" t="s">
        <v>45</v>
      </c>
      <c r="S26" s="44" t="s">
        <v>2102</v>
      </c>
      <c r="T26" s="20" t="s">
        <v>61</v>
      </c>
      <c r="U26" s="14" t="s">
        <v>29</v>
      </c>
      <c r="V26" s="20" t="s">
        <v>175</v>
      </c>
      <c r="W26" s="21" t="s">
        <v>143</v>
      </c>
      <c r="X26" s="20" t="s">
        <v>143</v>
      </c>
      <c r="Y26" s="77" t="s">
        <v>1772</v>
      </c>
      <c r="Z26" s="84" t="s">
        <v>2299</v>
      </c>
      <c r="AA26" s="85" t="s">
        <v>62</v>
      </c>
      <c r="AB26" s="49" t="str">
        <f>HYPERLINK(CONCATENATE("https://www.ejacket.nsf.gov/ej/showProposal.do?ID=",SUBSTITUTE(SplitQueryTable[[#This Row],[prop_id]],CHAR(160),"")),"eJ")</f>
        <v>eJ</v>
      </c>
      <c r="AC26" s="85" t="s">
        <v>2319</v>
      </c>
      <c r="AD26" s="20" t="s">
        <v>2319</v>
      </c>
      <c r="AE26" s="15">
        <v>2017</v>
      </c>
      <c r="AF26" s="16" t="s">
        <v>43</v>
      </c>
      <c r="AG26" s="16">
        <v>0</v>
      </c>
      <c r="AH26" s="45">
        <v>300000</v>
      </c>
      <c r="AI26" s="44" t="s">
        <v>2320</v>
      </c>
      <c r="AJ26" s="14" t="s">
        <v>628</v>
      </c>
      <c r="AK26" s="46" t="s">
        <v>2321</v>
      </c>
      <c r="AL26" s="55" t="s">
        <v>2170</v>
      </c>
      <c r="AM26" s="45" t="s">
        <v>2170</v>
      </c>
      <c r="AN26" s="56" t="s">
        <v>142</v>
      </c>
      <c r="AO26" s="22" t="s">
        <v>176</v>
      </c>
      <c r="AP26" s="21" t="s">
        <v>172</v>
      </c>
      <c r="AQ26" s="88" t="s">
        <v>2300</v>
      </c>
      <c r="AR26" s="57" t="s">
        <v>200</v>
      </c>
      <c r="AS26" s="46">
        <v>42907.370127314818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7"/>
      <c r="C27" s="8" t="s">
        <v>7</v>
      </c>
      <c r="D27" s="6"/>
      <c r="E27" s="6"/>
      <c r="F27" s="27"/>
      <c r="G27" s="26"/>
      <c r="H27" s="59">
        <v>43005.699629629627</v>
      </c>
      <c r="I27" s="43">
        <v>41180.697916666664</v>
      </c>
      <c r="J27" s="42">
        <v>41376.595879629633</v>
      </c>
      <c r="K27" s="81" t="s">
        <v>1768</v>
      </c>
      <c r="L27" s="19" t="s">
        <v>1760</v>
      </c>
      <c r="M27" s="19" t="s">
        <v>1761</v>
      </c>
      <c r="N27" s="40" t="s">
        <v>1761</v>
      </c>
      <c r="O27" s="40" t="s">
        <v>2109</v>
      </c>
      <c r="P27" s="19" t="s">
        <v>2087</v>
      </c>
      <c r="Q27" s="41" t="s">
        <v>45</v>
      </c>
      <c r="R27" s="82" t="s">
        <v>45</v>
      </c>
      <c r="S27" s="44" t="s">
        <v>2102</v>
      </c>
      <c r="T27" s="20" t="s">
        <v>61</v>
      </c>
      <c r="U27" s="20" t="s">
        <v>29</v>
      </c>
      <c r="V27" s="20" t="s">
        <v>175</v>
      </c>
      <c r="W27" s="21" t="s">
        <v>143</v>
      </c>
      <c r="X27" s="20" t="s">
        <v>143</v>
      </c>
      <c r="Y27" s="77" t="s">
        <v>1772</v>
      </c>
      <c r="Z27" s="84" t="s">
        <v>2364</v>
      </c>
      <c r="AA27" s="85" t="s">
        <v>174</v>
      </c>
      <c r="AB27" s="49" t="str">
        <f>HYPERLINK(CONCATENATE("https://www.ejacket.nsf.gov/ej/showProposal.do?ID=",SUBSTITUTE(SplitQueryTable[[#This Row],[prop_id]],CHAR(160),"")),"eJ")</f>
        <v>eJ</v>
      </c>
      <c r="AC27" s="85" t="s">
        <v>2364</v>
      </c>
      <c r="AD27" s="20" t="s">
        <v>2364</v>
      </c>
      <c r="AE27" s="15">
        <v>2017</v>
      </c>
      <c r="AF27" s="16" t="s">
        <v>43</v>
      </c>
      <c r="AG27" s="16">
        <v>0</v>
      </c>
      <c r="AH27" s="45">
        <v>1686543</v>
      </c>
      <c r="AI27" s="44" t="s">
        <v>2367</v>
      </c>
      <c r="AJ27" s="14" t="s">
        <v>2368</v>
      </c>
      <c r="AK27" s="46" t="s">
        <v>2325</v>
      </c>
      <c r="AL27" s="55" t="s">
        <v>2366</v>
      </c>
      <c r="AM27" s="45" t="s">
        <v>2366</v>
      </c>
      <c r="AN27" s="56" t="s">
        <v>142</v>
      </c>
      <c r="AO27" s="22" t="s">
        <v>176</v>
      </c>
      <c r="AP27" s="21" t="s">
        <v>393</v>
      </c>
      <c r="AQ27" s="88" t="s">
        <v>2365</v>
      </c>
      <c r="AR27" s="57" t="s">
        <v>164</v>
      </c>
      <c r="AS27" s="46">
        <v>42600.361770833333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95" t="s">
        <v>2954</v>
      </c>
      <c r="C28" s="8" t="s">
        <v>8</v>
      </c>
      <c r="D28" s="35"/>
      <c r="E28" s="7"/>
      <c r="F28" s="48"/>
      <c r="G28" s="26"/>
      <c r="H28" s="59">
        <v>43005.699629629627</v>
      </c>
      <c r="I28" s="43">
        <v>41544.564583333333</v>
      </c>
      <c r="J28" s="42">
        <v>41670.553090277775</v>
      </c>
      <c r="K28" s="81" t="s">
        <v>1768</v>
      </c>
      <c r="L28" s="19" t="s">
        <v>1768</v>
      </c>
      <c r="M28" s="19" t="s">
        <v>1761</v>
      </c>
      <c r="N28" s="40" t="s">
        <v>1761</v>
      </c>
      <c r="O28" s="40" t="s">
        <v>2109</v>
      </c>
      <c r="P28" s="19" t="s">
        <v>2109</v>
      </c>
      <c r="Q28" s="41" t="s">
        <v>45</v>
      </c>
      <c r="R28" s="82" t="s">
        <v>45</v>
      </c>
      <c r="S28" s="44" t="s">
        <v>2102</v>
      </c>
      <c r="T28" s="20" t="s">
        <v>61</v>
      </c>
      <c r="U28" s="20" t="s">
        <v>29</v>
      </c>
      <c r="V28" s="20" t="s">
        <v>162</v>
      </c>
      <c r="W28" s="21" t="s">
        <v>143</v>
      </c>
      <c r="X28" s="20" t="s">
        <v>143</v>
      </c>
      <c r="Y28" s="77" t="s">
        <v>1772</v>
      </c>
      <c r="Z28" s="84" t="s">
        <v>2168</v>
      </c>
      <c r="AA28" s="85" t="s">
        <v>62</v>
      </c>
      <c r="AB28" s="49" t="str">
        <f>HYPERLINK(CONCATENATE("https://www.ejacket.nsf.gov/ej/showProposal.do?ID=",SUBSTITUTE(SplitQueryTable[[#This Row],[prop_id]],CHAR(160),"")),"eJ")</f>
        <v>eJ</v>
      </c>
      <c r="AC28" s="85" t="s">
        <v>2167</v>
      </c>
      <c r="AD28" s="20" t="s">
        <v>2167</v>
      </c>
      <c r="AE28" s="15">
        <v>2017</v>
      </c>
      <c r="AF28" s="16" t="s">
        <v>43</v>
      </c>
      <c r="AG28" s="16">
        <v>59710</v>
      </c>
      <c r="AH28" s="45">
        <v>299344</v>
      </c>
      <c r="AI28" s="44" t="s">
        <v>2009</v>
      </c>
      <c r="AJ28" s="14" t="s">
        <v>620</v>
      </c>
      <c r="AK28" s="46" t="s">
        <v>255</v>
      </c>
      <c r="AL28" s="55" t="s">
        <v>2170</v>
      </c>
      <c r="AM28" s="45" t="s">
        <v>2170</v>
      </c>
      <c r="AN28" s="56" t="s">
        <v>142</v>
      </c>
      <c r="AO28" s="22" t="s">
        <v>163</v>
      </c>
      <c r="AP28" s="21" t="s">
        <v>382</v>
      </c>
      <c r="AQ28" s="88" t="s">
        <v>2169</v>
      </c>
      <c r="AR28" s="57" t="s">
        <v>2171</v>
      </c>
      <c r="AS28" s="46">
        <v>42181.945254629631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7"/>
      <c r="C29" s="8" t="s">
        <v>2</v>
      </c>
      <c r="D29" s="35"/>
      <c r="E29" s="7"/>
      <c r="F29" s="48"/>
      <c r="G29" s="26"/>
      <c r="H29" s="59">
        <v>43005.699629629627</v>
      </c>
      <c r="I29" s="43">
        <v>41702.582638888889</v>
      </c>
      <c r="J29" s="42">
        <v>41852.854224537034</v>
      </c>
      <c r="K29" s="81" t="s">
        <v>1768</v>
      </c>
      <c r="L29" s="19" t="s">
        <v>1760</v>
      </c>
      <c r="M29" s="19" t="s">
        <v>1761</v>
      </c>
      <c r="N29" s="40" t="s">
        <v>1761</v>
      </c>
      <c r="O29" s="40" t="s">
        <v>2161</v>
      </c>
      <c r="P29" s="19" t="s">
        <v>52</v>
      </c>
      <c r="Q29" s="41" t="s">
        <v>45</v>
      </c>
      <c r="R29" s="82" t="s">
        <v>45</v>
      </c>
      <c r="S29" s="44" t="s">
        <v>2088</v>
      </c>
      <c r="T29" s="20" t="s">
        <v>61</v>
      </c>
      <c r="U29" s="14" t="s">
        <v>29</v>
      </c>
      <c r="V29" s="20" t="s">
        <v>162</v>
      </c>
      <c r="W29" s="21" t="s">
        <v>143</v>
      </c>
      <c r="X29" s="20" t="s">
        <v>143</v>
      </c>
      <c r="Y29" s="78" t="s">
        <v>1772</v>
      </c>
      <c r="Z29" s="55" t="s">
        <v>2208</v>
      </c>
      <c r="AA29" s="20" t="s">
        <v>62</v>
      </c>
      <c r="AB29" s="20" t="str">
        <f>HYPERLINK(CONCATENATE("https://www.ejacket.nsf.gov/ej/showProposal.do?ID=",SUBSTITUTE(SplitQueryTable[[#This Row],[prop_id]],CHAR(160),"")),"eJ")</f>
        <v>eJ</v>
      </c>
      <c r="AC29" s="20" t="s">
        <v>2207</v>
      </c>
      <c r="AD29" s="20" t="s">
        <v>2207</v>
      </c>
      <c r="AE29" s="15">
        <v>2017</v>
      </c>
      <c r="AF29" s="14" t="s">
        <v>43</v>
      </c>
      <c r="AG29" s="16">
        <v>65000</v>
      </c>
      <c r="AH29" s="45">
        <v>425000</v>
      </c>
      <c r="AI29" s="44" t="s">
        <v>287</v>
      </c>
      <c r="AJ29" s="14" t="s">
        <v>2210</v>
      </c>
      <c r="AK29" s="46" t="s">
        <v>1741</v>
      </c>
      <c r="AL29" s="55" t="s">
        <v>2117</v>
      </c>
      <c r="AM29" s="45" t="s">
        <v>2117</v>
      </c>
      <c r="AN29" s="56" t="s">
        <v>142</v>
      </c>
      <c r="AO29" s="22" t="s">
        <v>163</v>
      </c>
      <c r="AP29" s="21" t="s">
        <v>382</v>
      </c>
      <c r="AQ29" s="88" t="s">
        <v>2209</v>
      </c>
      <c r="AR29" s="57" t="s">
        <v>2211</v>
      </c>
      <c r="AS29" s="46">
        <v>42083.74962962963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12"/>
      <c r="C30" s="8" t="s">
        <v>9</v>
      </c>
      <c r="D30" s="35"/>
      <c r="E30" s="7"/>
      <c r="F30" s="48"/>
      <c r="G30" s="26"/>
      <c r="H30" s="59">
        <v>43005.699629629627</v>
      </c>
      <c r="I30" s="43">
        <v>41702.698611111111</v>
      </c>
      <c r="J30" s="42">
        <v>41852.853668981479</v>
      </c>
      <c r="K30" s="81" t="s">
        <v>1768</v>
      </c>
      <c r="L30" s="19" t="s">
        <v>1760</v>
      </c>
      <c r="M30" s="19" t="s">
        <v>1761</v>
      </c>
      <c r="N30" s="40" t="s">
        <v>1761</v>
      </c>
      <c r="O30" s="40" t="s">
        <v>2161</v>
      </c>
      <c r="P30" s="19" t="s">
        <v>52</v>
      </c>
      <c r="Q30" s="41" t="s">
        <v>45</v>
      </c>
      <c r="R30" s="82" t="s">
        <v>45</v>
      </c>
      <c r="S30" s="44" t="s">
        <v>2088</v>
      </c>
      <c r="T30" s="20" t="s">
        <v>61</v>
      </c>
      <c r="U30" s="14" t="s">
        <v>29</v>
      </c>
      <c r="V30" s="20" t="s">
        <v>162</v>
      </c>
      <c r="W30" s="21" t="s">
        <v>143</v>
      </c>
      <c r="X30" s="20" t="s">
        <v>143</v>
      </c>
      <c r="Y30" s="78" t="s">
        <v>1772</v>
      </c>
      <c r="Z30" s="55" t="s">
        <v>2208</v>
      </c>
      <c r="AA30" s="20" t="s">
        <v>174</v>
      </c>
      <c r="AB30" s="20" t="str">
        <f>HYPERLINK(CONCATENATE("https://www.ejacket.nsf.gov/ej/showProposal.do?ID=",SUBSTITUTE(SplitQueryTable[[#This Row],[prop_id]],CHAR(160),"")),"eJ")</f>
        <v>eJ</v>
      </c>
      <c r="AC30" s="20" t="s">
        <v>2208</v>
      </c>
      <c r="AD30" s="20" t="s">
        <v>2208</v>
      </c>
      <c r="AE30" s="15">
        <v>2017</v>
      </c>
      <c r="AF30" s="14" t="s">
        <v>43</v>
      </c>
      <c r="AG30" s="16">
        <v>108699</v>
      </c>
      <c r="AH30" s="45">
        <v>619995</v>
      </c>
      <c r="AI30" s="44" t="s">
        <v>2400</v>
      </c>
      <c r="AJ30" s="14" t="s">
        <v>2401</v>
      </c>
      <c r="AK30" s="46" t="s">
        <v>1757</v>
      </c>
      <c r="AL30" s="55" t="s">
        <v>2117</v>
      </c>
      <c r="AM30" s="45" t="s">
        <v>2117</v>
      </c>
      <c r="AN30" s="56" t="s">
        <v>142</v>
      </c>
      <c r="AO30" s="22" t="s">
        <v>163</v>
      </c>
      <c r="AP30" s="21" t="s">
        <v>382</v>
      </c>
      <c r="AQ30" s="88" t="s">
        <v>2209</v>
      </c>
      <c r="AR30" s="57" t="s">
        <v>2211</v>
      </c>
      <c r="AS30" s="46">
        <v>42083.731041666666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2"/>
      <c r="C31" s="8" t="s">
        <v>3</v>
      </c>
      <c r="D31" s="35"/>
      <c r="E31" s="7"/>
      <c r="F31" s="48"/>
      <c r="G31" s="26"/>
      <c r="H31" s="59">
        <v>43005.699629629627</v>
      </c>
      <c r="I31" s="43">
        <v>41180.461111111108</v>
      </c>
      <c r="J31" s="42">
        <v>41374.436180555553</v>
      </c>
      <c r="K31" s="81" t="s">
        <v>1768</v>
      </c>
      <c r="L31" s="19" t="s">
        <v>1760</v>
      </c>
      <c r="M31" s="19" t="s">
        <v>1761</v>
      </c>
      <c r="N31" s="40" t="s">
        <v>1761</v>
      </c>
      <c r="O31" s="40" t="s">
        <v>2109</v>
      </c>
      <c r="P31" s="19" t="s">
        <v>52</v>
      </c>
      <c r="Q31" s="41" t="s">
        <v>45</v>
      </c>
      <c r="R31" s="82" t="s">
        <v>45</v>
      </c>
      <c r="S31" s="44" t="s">
        <v>2102</v>
      </c>
      <c r="T31" s="20" t="s">
        <v>61</v>
      </c>
      <c r="U31" s="14" t="s">
        <v>29</v>
      </c>
      <c r="V31" s="20" t="s">
        <v>162</v>
      </c>
      <c r="W31" s="21" t="s">
        <v>143</v>
      </c>
      <c r="X31" s="20" t="s">
        <v>143</v>
      </c>
      <c r="Y31" s="78" t="s">
        <v>1772</v>
      </c>
      <c r="Z31" s="55" t="s">
        <v>2335</v>
      </c>
      <c r="AA31" s="20" t="s">
        <v>62</v>
      </c>
      <c r="AB31" s="20" t="str">
        <f>HYPERLINK(CONCATENATE("https://www.ejacket.nsf.gov/ej/showProposal.do?ID=",SUBSTITUTE(SplitQueryTable[[#This Row],[prop_id]],CHAR(160),"")),"eJ")</f>
        <v>eJ</v>
      </c>
      <c r="AC31" s="20" t="s">
        <v>2402</v>
      </c>
      <c r="AD31" s="20" t="s">
        <v>2402</v>
      </c>
      <c r="AE31" s="15">
        <v>2017</v>
      </c>
      <c r="AF31" s="14" t="s">
        <v>43</v>
      </c>
      <c r="AG31" s="16">
        <v>59999</v>
      </c>
      <c r="AH31" s="45">
        <v>299995</v>
      </c>
      <c r="AI31" s="44" t="s">
        <v>2053</v>
      </c>
      <c r="AJ31" s="14" t="s">
        <v>2404</v>
      </c>
      <c r="AK31" s="46" t="s">
        <v>254</v>
      </c>
      <c r="AL31" s="55" t="s">
        <v>2117</v>
      </c>
      <c r="AM31" s="45" t="s">
        <v>2117</v>
      </c>
      <c r="AN31" s="56" t="s">
        <v>142</v>
      </c>
      <c r="AO31" s="22" t="s">
        <v>163</v>
      </c>
      <c r="AP31" s="21" t="s">
        <v>382</v>
      </c>
      <c r="AQ31" s="88" t="s">
        <v>2403</v>
      </c>
      <c r="AR31" s="57" t="s">
        <v>2405</v>
      </c>
      <c r="AS31" s="46">
        <v>42083.741840277777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36"/>
      <c r="C32" s="8" t="s">
        <v>10</v>
      </c>
      <c r="D32" s="35" t="s">
        <v>52</v>
      </c>
      <c r="E32" s="7"/>
      <c r="F32" s="48"/>
      <c r="G32" s="26"/>
      <c r="H32" s="59">
        <v>43005.699629629627</v>
      </c>
      <c r="I32" s="43">
        <v>41337.666666666664</v>
      </c>
      <c r="J32" s="42">
        <v>41533.760127314818</v>
      </c>
      <c r="K32" s="81" t="s">
        <v>1768</v>
      </c>
      <c r="L32" t="s">
        <v>1768</v>
      </c>
      <c r="M32" t="s">
        <v>1761</v>
      </c>
      <c r="N32" s="1" t="s">
        <v>1761</v>
      </c>
      <c r="O32" s="1" t="s">
        <v>2101</v>
      </c>
      <c r="P32" t="s">
        <v>2101</v>
      </c>
      <c r="Q32" s="9" t="s">
        <v>45</v>
      </c>
      <c r="R32" s="82" t="s">
        <v>45</v>
      </c>
      <c r="S32" s="44" t="s">
        <v>2102</v>
      </c>
      <c r="T32" s="3" t="s">
        <v>1889</v>
      </c>
      <c r="U32" s="2" t="s">
        <v>29</v>
      </c>
      <c r="V32" s="89" t="s">
        <v>162</v>
      </c>
      <c r="W32" s="11" t="s">
        <v>143</v>
      </c>
      <c r="X32" s="89" t="s">
        <v>143</v>
      </c>
      <c r="Y32" s="77" t="s">
        <v>1772</v>
      </c>
      <c r="Z32" s="84" t="s">
        <v>2500</v>
      </c>
      <c r="AA32" s="89" t="s">
        <v>174</v>
      </c>
      <c r="AB32" s="90" t="str">
        <f>HYPERLINK(CONCATENATE("https://www.ejacket.nsf.gov/ej/showProposal.do?ID=",SUBSTITUTE(SplitQueryTable[[#This Row],[prop_id]],CHAR(160),"")),"eJ")</f>
        <v>eJ</v>
      </c>
      <c r="AC32" s="89" t="s">
        <v>2500</v>
      </c>
      <c r="AD32" s="3" t="s">
        <v>2500</v>
      </c>
      <c r="AE32" s="91">
        <v>2017</v>
      </c>
      <c r="AF32" s="13" t="s">
        <v>43</v>
      </c>
      <c r="AG32" s="13">
        <v>82725</v>
      </c>
      <c r="AH32" s="45">
        <v>432500</v>
      </c>
      <c r="AI32" s="44" t="s">
        <v>2502</v>
      </c>
      <c r="AJ32" s="2" t="s">
        <v>475</v>
      </c>
      <c r="AK32" s="46" t="s">
        <v>1750</v>
      </c>
      <c r="AL32" s="55" t="s">
        <v>1775</v>
      </c>
      <c r="AM32" s="45" t="s">
        <v>1775</v>
      </c>
      <c r="AN32" s="56" t="s">
        <v>142</v>
      </c>
      <c r="AO32" s="23" t="s">
        <v>163</v>
      </c>
      <c r="AP32" s="11" t="s">
        <v>382</v>
      </c>
      <c r="AQ32" s="88" t="s">
        <v>2501</v>
      </c>
      <c r="AR32" s="57" t="s">
        <v>2171</v>
      </c>
      <c r="AS32" s="46">
        <v>42181.945254629631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24"/>
      <c r="C33" s="8" t="s">
        <v>11</v>
      </c>
      <c r="D33" s="35"/>
      <c r="E33" s="7"/>
      <c r="F33" s="48"/>
      <c r="G33" s="26"/>
      <c r="H33" s="59">
        <v>43005.699629629627</v>
      </c>
      <c r="I33" s="43">
        <v>41180.604166666664</v>
      </c>
      <c r="J33" s="42">
        <v>41318.736111111109</v>
      </c>
      <c r="K33" s="81" t="s">
        <v>1768</v>
      </c>
      <c r="L33" t="s">
        <v>137</v>
      </c>
      <c r="M33" t="s">
        <v>1761</v>
      </c>
      <c r="N33" s="1" t="s">
        <v>1761</v>
      </c>
      <c r="O33" s="1" t="s">
        <v>2109</v>
      </c>
      <c r="P33" t="s">
        <v>2087</v>
      </c>
      <c r="Q33" s="9" t="s">
        <v>45</v>
      </c>
      <c r="R33" s="82" t="s">
        <v>45</v>
      </c>
      <c r="S33" s="44" t="s">
        <v>2102</v>
      </c>
      <c r="T33" s="3" t="s">
        <v>1889</v>
      </c>
      <c r="U33" s="2" t="s">
        <v>29</v>
      </c>
      <c r="V33" s="89" t="s">
        <v>162</v>
      </c>
      <c r="W33" s="11" t="s">
        <v>143</v>
      </c>
      <c r="X33" s="89" t="s">
        <v>143</v>
      </c>
      <c r="Y33" s="77" t="s">
        <v>1772</v>
      </c>
      <c r="Z33" s="84" t="s">
        <v>2508</v>
      </c>
      <c r="AA33" s="89" t="s">
        <v>28</v>
      </c>
      <c r="AB33" s="90" t="str">
        <f>HYPERLINK(CONCATENATE("https://www.ejacket.nsf.gov/ej/showProposal.do?ID=",SUBSTITUTE(SplitQueryTable[[#This Row],[prop_id]],CHAR(160),"")),"eJ")</f>
        <v>eJ</v>
      </c>
      <c r="AC33" s="89" t="s">
        <v>2508</v>
      </c>
      <c r="AD33" s="3" t="s">
        <v>2508</v>
      </c>
      <c r="AE33" s="91">
        <v>2017</v>
      </c>
      <c r="AF33" s="13" t="s">
        <v>43</v>
      </c>
      <c r="AG33" s="13">
        <v>40000</v>
      </c>
      <c r="AH33" s="45">
        <v>200000</v>
      </c>
      <c r="AI33" s="44" t="s">
        <v>2510</v>
      </c>
      <c r="AJ33" s="2" t="s">
        <v>2511</v>
      </c>
      <c r="AK33" s="46" t="s">
        <v>301</v>
      </c>
      <c r="AL33" s="55" t="s">
        <v>2117</v>
      </c>
      <c r="AM33" s="45" t="s">
        <v>2117</v>
      </c>
      <c r="AN33" s="56" t="s">
        <v>142</v>
      </c>
      <c r="AO33" s="23" t="s">
        <v>163</v>
      </c>
      <c r="AP33" s="11" t="s">
        <v>382</v>
      </c>
      <c r="AQ33" s="88" t="s">
        <v>2509</v>
      </c>
      <c r="AR33" s="57" t="s">
        <v>2512</v>
      </c>
      <c r="AS33" s="46">
        <v>41340.335752314815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156</v>
      </c>
      <c r="B34" s="24"/>
      <c r="C34" s="8" t="s">
        <v>12</v>
      </c>
      <c r="D34" s="35"/>
      <c r="E34" s="7"/>
      <c r="F34" s="48"/>
      <c r="G34" s="26"/>
      <c r="H34" s="59">
        <v>43005.699629629627</v>
      </c>
      <c r="I34" s="43">
        <v>41337.661805555559</v>
      </c>
      <c r="J34" s="42">
        <v>41533.760439814818</v>
      </c>
      <c r="K34" s="81" t="s">
        <v>1768</v>
      </c>
      <c r="L34" t="s">
        <v>1768</v>
      </c>
      <c r="M34" t="s">
        <v>1761</v>
      </c>
      <c r="N34" s="1" t="s">
        <v>1761</v>
      </c>
      <c r="O34" s="1" t="s">
        <v>2101</v>
      </c>
      <c r="P34" t="s">
        <v>2101</v>
      </c>
      <c r="Q34" s="9" t="s">
        <v>45</v>
      </c>
      <c r="R34" s="82" t="s">
        <v>45</v>
      </c>
      <c r="S34" s="44" t="s">
        <v>2102</v>
      </c>
      <c r="T34" s="3" t="s">
        <v>1889</v>
      </c>
      <c r="U34" s="2" t="s">
        <v>29</v>
      </c>
      <c r="V34" s="89" t="s">
        <v>162</v>
      </c>
      <c r="W34" s="11" t="s">
        <v>143</v>
      </c>
      <c r="X34" s="89" t="s">
        <v>143</v>
      </c>
      <c r="Y34" s="77" t="s">
        <v>1772</v>
      </c>
      <c r="Z34" s="84" t="s">
        <v>2500</v>
      </c>
      <c r="AA34" s="89" t="s">
        <v>62</v>
      </c>
      <c r="AB34" s="90" t="str">
        <f>HYPERLINK(CONCATENATE("https://www.ejacket.nsf.gov/ej/showProposal.do?ID=",SUBSTITUTE(SplitQueryTable[[#This Row],[prop_id]],CHAR(160),"")),"eJ")</f>
        <v>eJ</v>
      </c>
      <c r="AC34" s="89" t="s">
        <v>2513</v>
      </c>
      <c r="AD34" s="3" t="s">
        <v>2513</v>
      </c>
      <c r="AE34" s="91">
        <v>2017</v>
      </c>
      <c r="AF34" s="13" t="s">
        <v>43</v>
      </c>
      <c r="AG34" s="13">
        <v>40000</v>
      </c>
      <c r="AH34" s="45">
        <v>120000</v>
      </c>
      <c r="AI34" s="44" t="s">
        <v>2514</v>
      </c>
      <c r="AJ34" s="2" t="s">
        <v>2515</v>
      </c>
      <c r="AK34" s="46" t="s">
        <v>1724</v>
      </c>
      <c r="AL34" s="55" t="s">
        <v>1775</v>
      </c>
      <c r="AM34" s="45" t="s">
        <v>1775</v>
      </c>
      <c r="AN34" s="56" t="s">
        <v>142</v>
      </c>
      <c r="AO34" s="23" t="s">
        <v>163</v>
      </c>
      <c r="AP34" s="11" t="s">
        <v>382</v>
      </c>
      <c r="AQ34" s="88" t="s">
        <v>2501</v>
      </c>
      <c r="AR34" s="57" t="s">
        <v>2171</v>
      </c>
      <c r="AS34" s="46">
        <v>42181.945254629631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34"/>
      <c r="E35" s="7"/>
      <c r="F35" s="7"/>
      <c r="G35" s="26"/>
      <c r="H35" s="59">
        <v>43005.699629629627</v>
      </c>
      <c r="I35" s="43">
        <v>41180.435416666667</v>
      </c>
      <c r="J35" s="42">
        <v>41305.323900462965</v>
      </c>
      <c r="K35" s="81" t="s">
        <v>1768</v>
      </c>
      <c r="L35" t="s">
        <v>1768</v>
      </c>
      <c r="M35" t="s">
        <v>1761</v>
      </c>
      <c r="N35" s="1" t="s">
        <v>1761</v>
      </c>
      <c r="O35" s="1" t="s">
        <v>2101</v>
      </c>
      <c r="P35" t="s">
        <v>2101</v>
      </c>
      <c r="Q35" s="9" t="s">
        <v>45</v>
      </c>
      <c r="R35" s="82" t="s">
        <v>45</v>
      </c>
      <c r="S35" s="44" t="s">
        <v>2102</v>
      </c>
      <c r="T35" s="3" t="s">
        <v>1889</v>
      </c>
      <c r="U35" s="2" t="s">
        <v>29</v>
      </c>
      <c r="V35" s="89" t="s">
        <v>162</v>
      </c>
      <c r="W35" s="11" t="s">
        <v>143</v>
      </c>
      <c r="X35" s="89" t="s">
        <v>143</v>
      </c>
      <c r="Y35" s="77" t="s">
        <v>1772</v>
      </c>
      <c r="Z35" s="84" t="s">
        <v>2548</v>
      </c>
      <c r="AA35" s="89" t="s">
        <v>174</v>
      </c>
      <c r="AB35" s="90" t="str">
        <f>HYPERLINK(CONCATENATE("https://www.ejacket.nsf.gov/ej/showProposal.do?ID=",SUBSTITUTE(SplitQueryTable[[#This Row],[prop_id]],CHAR(160),"")),"eJ")</f>
        <v>eJ</v>
      </c>
      <c r="AC35" s="89" t="s">
        <v>2548</v>
      </c>
      <c r="AD35" s="3" t="s">
        <v>2548</v>
      </c>
      <c r="AE35" s="91">
        <v>2017</v>
      </c>
      <c r="AF35" s="13" t="s">
        <v>43</v>
      </c>
      <c r="AG35" s="13">
        <v>48999</v>
      </c>
      <c r="AH35" s="45">
        <v>199996</v>
      </c>
      <c r="AI35" s="44" t="s">
        <v>2551</v>
      </c>
      <c r="AJ35" s="2" t="s">
        <v>199</v>
      </c>
      <c r="AK35" s="46" t="s">
        <v>266</v>
      </c>
      <c r="AL35" s="55" t="s">
        <v>2550</v>
      </c>
      <c r="AM35" s="45" t="s">
        <v>2550</v>
      </c>
      <c r="AN35" s="56" t="s">
        <v>142</v>
      </c>
      <c r="AO35" s="23" t="s">
        <v>163</v>
      </c>
      <c r="AP35" s="11" t="s">
        <v>382</v>
      </c>
      <c r="AQ35" s="88" t="s">
        <v>2549</v>
      </c>
      <c r="AR35" s="57" t="s">
        <v>2552</v>
      </c>
      <c r="AS35" s="46">
        <v>42222.510381944441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34" t="s">
        <v>2955</v>
      </c>
      <c r="E36" s="7"/>
      <c r="F36" s="7"/>
      <c r="G36" s="26"/>
      <c r="H36" s="59">
        <v>43005.699629629627</v>
      </c>
      <c r="I36" s="43">
        <v>40812.688194444447</v>
      </c>
      <c r="J36" s="42">
        <v>40935.667268518519</v>
      </c>
      <c r="K36" s="81" t="s">
        <v>1768</v>
      </c>
      <c r="L36" t="s">
        <v>1760</v>
      </c>
      <c r="M36" t="s">
        <v>1761</v>
      </c>
      <c r="N36" s="1" t="s">
        <v>1761</v>
      </c>
      <c r="O36" s="1" t="s">
        <v>2101</v>
      </c>
      <c r="P36" t="s">
        <v>52</v>
      </c>
      <c r="Q36" s="9" t="s">
        <v>45</v>
      </c>
      <c r="R36" s="82" t="s">
        <v>45</v>
      </c>
      <c r="S36" s="44" t="s">
        <v>2572</v>
      </c>
      <c r="T36" s="3" t="s">
        <v>1889</v>
      </c>
      <c r="U36" s="2" t="s">
        <v>29</v>
      </c>
      <c r="V36" s="89" t="s">
        <v>162</v>
      </c>
      <c r="W36" s="11" t="s">
        <v>143</v>
      </c>
      <c r="X36" s="89" t="s">
        <v>143</v>
      </c>
      <c r="Y36" s="77" t="s">
        <v>1772</v>
      </c>
      <c r="Z36" s="84" t="s">
        <v>2574</v>
      </c>
      <c r="AA36" s="89" t="s">
        <v>62</v>
      </c>
      <c r="AB36" s="90" t="str">
        <f>HYPERLINK(CONCATENATE("https://www.ejacket.nsf.gov/ej/showProposal.do?ID=",SUBSTITUTE(SplitQueryTable[[#This Row],[prop_id]],CHAR(160),"")),"eJ")</f>
        <v>eJ</v>
      </c>
      <c r="AC36" s="89" t="s">
        <v>2573</v>
      </c>
      <c r="AD36" s="3" t="s">
        <v>2573</v>
      </c>
      <c r="AE36" s="91">
        <v>2017</v>
      </c>
      <c r="AF36" s="13" t="s">
        <v>43</v>
      </c>
      <c r="AG36" s="13">
        <v>40000</v>
      </c>
      <c r="AH36" s="45">
        <v>200000</v>
      </c>
      <c r="AI36" s="44" t="s">
        <v>2576</v>
      </c>
      <c r="AJ36" s="2" t="s">
        <v>2577</v>
      </c>
      <c r="AK36" s="46" t="s">
        <v>2578</v>
      </c>
      <c r="AL36" s="55" t="s">
        <v>2117</v>
      </c>
      <c r="AM36" s="45" t="s">
        <v>2117</v>
      </c>
      <c r="AN36" s="56" t="s">
        <v>142</v>
      </c>
      <c r="AO36" s="23" t="s">
        <v>163</v>
      </c>
      <c r="AP36" s="11" t="s">
        <v>382</v>
      </c>
      <c r="AQ36" s="88" t="s">
        <v>2575</v>
      </c>
      <c r="AR36" s="57" t="s">
        <v>2579</v>
      </c>
      <c r="AS36" s="46">
        <v>42636.585335648146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34" t="s">
        <v>52</v>
      </c>
      <c r="E37" s="38"/>
      <c r="F37" s="7"/>
      <c r="G37" s="7"/>
      <c r="H37" s="59">
        <v>43005.699629629627</v>
      </c>
      <c r="I37" s="43">
        <v>42562.507638888892</v>
      </c>
      <c r="J37" s="42">
        <v>42725.228750000002</v>
      </c>
      <c r="K37" s="81" t="s">
        <v>137</v>
      </c>
      <c r="L37" t="s">
        <v>1760</v>
      </c>
      <c r="M37" t="s">
        <v>1761</v>
      </c>
      <c r="N37" s="1" t="s">
        <v>1761</v>
      </c>
      <c r="O37" s="1" t="s">
        <v>227</v>
      </c>
      <c r="P37" t="s">
        <v>227</v>
      </c>
      <c r="Q37" s="9" t="s">
        <v>45</v>
      </c>
      <c r="R37" s="82" t="s">
        <v>45</v>
      </c>
      <c r="S37" s="44" t="s">
        <v>1762</v>
      </c>
      <c r="T37" s="3" t="s">
        <v>61</v>
      </c>
      <c r="U37" s="2" t="s">
        <v>29</v>
      </c>
      <c r="V37" s="89" t="s">
        <v>29</v>
      </c>
      <c r="W37" s="11" t="s">
        <v>153</v>
      </c>
      <c r="X37" s="89" t="s">
        <v>153</v>
      </c>
      <c r="Y37" s="77" t="s">
        <v>334</v>
      </c>
      <c r="Z37" s="84" t="s">
        <v>1763</v>
      </c>
      <c r="AA37" s="89" t="s">
        <v>28</v>
      </c>
      <c r="AB37" s="90" t="str">
        <f>HYPERLINK(CONCATENATE("https://www.ejacket.nsf.gov/ej/showProposal.do?ID=",SUBSTITUTE(SplitQueryTable[[#This Row],[prop_id]],CHAR(160),"")),"eJ")</f>
        <v>eJ</v>
      </c>
      <c r="AC37" s="89" t="s">
        <v>1763</v>
      </c>
      <c r="AD37" s="3" t="s">
        <v>1763</v>
      </c>
      <c r="AE37" s="91">
        <v>2017</v>
      </c>
      <c r="AF37" s="13" t="s">
        <v>43</v>
      </c>
      <c r="AG37" s="13">
        <v>15000</v>
      </c>
      <c r="AH37" s="45">
        <v>15000</v>
      </c>
      <c r="AI37" s="44" t="s">
        <v>1765</v>
      </c>
      <c r="AJ37" s="2" t="s">
        <v>1766</v>
      </c>
      <c r="AK37" s="46" t="s">
        <v>1767</v>
      </c>
      <c r="AL37" s="55" t="s">
        <v>1759</v>
      </c>
      <c r="AM37" s="45"/>
      <c r="AN37" s="56" t="s">
        <v>152</v>
      </c>
      <c r="AO37" s="23" t="s">
        <v>146</v>
      </c>
      <c r="AP37" s="11"/>
      <c r="AQ37" s="88" t="s">
        <v>1764</v>
      </c>
      <c r="AR37" s="57" t="s">
        <v>40</v>
      </c>
      <c r="AS37" s="46">
        <v>42746.380428240744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F38" s="7"/>
      <c r="G38" s="7"/>
      <c r="H38" s="59">
        <v>43005.699629629627</v>
      </c>
      <c r="I38" s="43">
        <v>42562.640277777777</v>
      </c>
      <c r="J38" s="42">
        <v>42748.408043981479</v>
      </c>
      <c r="K38" s="81" t="s">
        <v>1768</v>
      </c>
      <c r="L38" t="s">
        <v>1769</v>
      </c>
      <c r="M38" t="s">
        <v>1761</v>
      </c>
      <c r="N38" s="1" t="s">
        <v>1761</v>
      </c>
      <c r="O38" s="1" t="s">
        <v>1770</v>
      </c>
      <c r="P38" t="s">
        <v>1771</v>
      </c>
      <c r="Q38" s="9" t="s">
        <v>45</v>
      </c>
      <c r="R38" s="82" t="s">
        <v>45</v>
      </c>
      <c r="S38" s="44" t="s">
        <v>1762</v>
      </c>
      <c r="T38" s="3" t="s">
        <v>61</v>
      </c>
      <c r="U38" s="2" t="s">
        <v>29</v>
      </c>
      <c r="V38" s="89" t="s">
        <v>29</v>
      </c>
      <c r="W38" s="11" t="s">
        <v>153</v>
      </c>
      <c r="X38" s="89" t="s">
        <v>153</v>
      </c>
      <c r="Y38" s="77" t="s">
        <v>1772</v>
      </c>
      <c r="Z38" s="84" t="s">
        <v>1773</v>
      </c>
      <c r="AA38" s="89" t="s">
        <v>28</v>
      </c>
      <c r="AB38" s="90" t="str">
        <f>HYPERLINK(CONCATENATE("https://www.ejacket.nsf.gov/ej/showProposal.do?ID=",SUBSTITUTE(SplitQueryTable[[#This Row],[prop_id]],CHAR(160),"")),"eJ")</f>
        <v>eJ</v>
      </c>
      <c r="AC38" s="89" t="s">
        <v>1773</v>
      </c>
      <c r="AD38" s="3" t="s">
        <v>1773</v>
      </c>
      <c r="AE38" s="91">
        <v>2017</v>
      </c>
      <c r="AF38" s="13" t="s">
        <v>43</v>
      </c>
      <c r="AG38" s="13">
        <v>14998</v>
      </c>
      <c r="AH38" s="45">
        <v>14998</v>
      </c>
      <c r="AI38" s="44" t="s">
        <v>1776</v>
      </c>
      <c r="AJ38" s="2" t="s">
        <v>208</v>
      </c>
      <c r="AK38" s="46" t="s">
        <v>261</v>
      </c>
      <c r="AL38" s="55" t="s">
        <v>1775</v>
      </c>
      <c r="AM38" s="45" t="s">
        <v>1775</v>
      </c>
      <c r="AN38" s="56" t="s">
        <v>152</v>
      </c>
      <c r="AO38" s="23" t="s">
        <v>146</v>
      </c>
      <c r="AP38" s="11"/>
      <c r="AQ38" s="88" t="s">
        <v>1774</v>
      </c>
      <c r="AR38" s="57" t="s">
        <v>200</v>
      </c>
      <c r="AS38" s="46">
        <v>42762.71702546296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/>
      <c r="G39" s="7"/>
      <c r="H39" s="59">
        <v>43005.699629629627</v>
      </c>
      <c r="I39" s="43">
        <v>42562.637499999997</v>
      </c>
      <c r="J39" s="42">
        <v>42772.459814814814</v>
      </c>
      <c r="K39" s="81" t="s">
        <v>1768</v>
      </c>
      <c r="L39" t="s">
        <v>1768</v>
      </c>
      <c r="M39" t="s">
        <v>1761</v>
      </c>
      <c r="N39" s="1" t="s">
        <v>1761</v>
      </c>
      <c r="O39" s="1" t="s">
        <v>1770</v>
      </c>
      <c r="P39" t="s">
        <v>1770</v>
      </c>
      <c r="Q39" s="9" t="s">
        <v>45</v>
      </c>
      <c r="R39" s="82" t="s">
        <v>45</v>
      </c>
      <c r="S39" s="44" t="s">
        <v>1762</v>
      </c>
      <c r="T39" s="3" t="s">
        <v>61</v>
      </c>
      <c r="U39" s="2" t="s">
        <v>29</v>
      </c>
      <c r="V39" s="89" t="s">
        <v>29</v>
      </c>
      <c r="W39" s="11" t="s">
        <v>153</v>
      </c>
      <c r="X39" s="89" t="s">
        <v>153</v>
      </c>
      <c r="Y39" s="77" t="s">
        <v>1772</v>
      </c>
      <c r="Z39" s="84" t="s">
        <v>1777</v>
      </c>
      <c r="AA39" s="89" t="s">
        <v>28</v>
      </c>
      <c r="AB39" s="90" t="str">
        <f>HYPERLINK(CONCATENATE("https://www.ejacket.nsf.gov/ej/showProposal.do?ID=",SUBSTITUTE(SplitQueryTable[[#This Row],[prop_id]],CHAR(160),"")),"eJ")</f>
        <v>eJ</v>
      </c>
      <c r="AC39" s="89" t="s">
        <v>1777</v>
      </c>
      <c r="AD39" s="3" t="s">
        <v>1777</v>
      </c>
      <c r="AE39" s="91">
        <v>2017</v>
      </c>
      <c r="AF39" s="13" t="s">
        <v>43</v>
      </c>
      <c r="AG39" s="13">
        <v>15000</v>
      </c>
      <c r="AH39" s="45">
        <v>15000</v>
      </c>
      <c r="AI39" s="44" t="s">
        <v>1779</v>
      </c>
      <c r="AJ39" s="2" t="s">
        <v>1780</v>
      </c>
      <c r="AK39" s="46" t="s">
        <v>241</v>
      </c>
      <c r="AL39" s="55" t="s">
        <v>1775</v>
      </c>
      <c r="AM39" s="45" t="s">
        <v>1775</v>
      </c>
      <c r="AN39" s="56" t="s">
        <v>152</v>
      </c>
      <c r="AO39" s="23" t="s">
        <v>146</v>
      </c>
      <c r="AP39" s="11"/>
      <c r="AQ39" s="88" t="s">
        <v>1778</v>
      </c>
      <c r="AR39" s="57" t="s">
        <v>200</v>
      </c>
      <c r="AS39" s="46">
        <v>42810.632268518515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135</v>
      </c>
      <c r="G40" s="7"/>
      <c r="H40" s="59">
        <v>43005.699629629627</v>
      </c>
      <c r="I40" s="43">
        <v>42790.587500000001</v>
      </c>
      <c r="J40" s="42">
        <v>42934.732361111113</v>
      </c>
      <c r="K40" s="81" t="s">
        <v>1768</v>
      </c>
      <c r="L40" t="s">
        <v>1768</v>
      </c>
      <c r="M40" t="s">
        <v>1761</v>
      </c>
      <c r="N40" s="1" t="s">
        <v>1761</v>
      </c>
      <c r="O40" s="1" t="s">
        <v>1781</v>
      </c>
      <c r="P40" t="s">
        <v>1781</v>
      </c>
      <c r="Q40" s="9" t="s">
        <v>45</v>
      </c>
      <c r="R40" s="82" t="s">
        <v>45</v>
      </c>
      <c r="S40" s="44" t="s">
        <v>1782</v>
      </c>
      <c r="T40" s="3" t="s">
        <v>61</v>
      </c>
      <c r="U40" s="2" t="s">
        <v>29</v>
      </c>
      <c r="V40" s="89" t="s">
        <v>29</v>
      </c>
      <c r="W40" s="11" t="s">
        <v>153</v>
      </c>
      <c r="X40" s="89" t="s">
        <v>153</v>
      </c>
      <c r="Y40" s="77" t="s">
        <v>1772</v>
      </c>
      <c r="Z40" s="84" t="s">
        <v>1783</v>
      </c>
      <c r="AA40" s="89" t="s">
        <v>28</v>
      </c>
      <c r="AB40" s="90" t="str">
        <f>HYPERLINK(CONCATENATE("https://www.ejacket.nsf.gov/ej/showProposal.do?ID=",SUBSTITUTE(SplitQueryTable[[#This Row],[prop_id]],CHAR(160),"")),"eJ")</f>
        <v>eJ</v>
      </c>
      <c r="AC40" s="89" t="s">
        <v>1783</v>
      </c>
      <c r="AD40" s="3" t="s">
        <v>1783</v>
      </c>
      <c r="AE40" s="91">
        <v>2017</v>
      </c>
      <c r="AF40" s="13" t="s">
        <v>43</v>
      </c>
      <c r="AG40" s="13">
        <v>200000</v>
      </c>
      <c r="AH40" s="45">
        <v>200000</v>
      </c>
      <c r="AI40" s="44" t="s">
        <v>1786</v>
      </c>
      <c r="AJ40" s="2" t="s">
        <v>1282</v>
      </c>
      <c r="AK40" s="46" t="s">
        <v>1741</v>
      </c>
      <c r="AL40" s="55" t="s">
        <v>1785</v>
      </c>
      <c r="AM40" s="45" t="s">
        <v>1759</v>
      </c>
      <c r="AN40" s="56" t="s">
        <v>152</v>
      </c>
      <c r="AO40" s="23" t="s">
        <v>146</v>
      </c>
      <c r="AP40" s="11"/>
      <c r="AQ40" s="88" t="s">
        <v>1784</v>
      </c>
      <c r="AR40" s="57" t="s">
        <v>200</v>
      </c>
      <c r="AS40" s="46">
        <v>42954.476365740738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H41" s="59">
        <v>43005.699629629627</v>
      </c>
      <c r="I41" s="43">
        <v>42562.551388888889</v>
      </c>
      <c r="J41" s="42">
        <v>42738.562997685185</v>
      </c>
      <c r="K41" s="81" t="s">
        <v>1768</v>
      </c>
      <c r="L41" t="s">
        <v>1768</v>
      </c>
      <c r="M41" t="s">
        <v>1761</v>
      </c>
      <c r="N41" s="1" t="s">
        <v>1761</v>
      </c>
      <c r="O41" s="1" t="s">
        <v>1770</v>
      </c>
      <c r="P41" t="s">
        <v>1770</v>
      </c>
      <c r="Q41" s="9" t="s">
        <v>45</v>
      </c>
      <c r="R41" s="82" t="s">
        <v>45</v>
      </c>
      <c r="S41" s="44" t="s">
        <v>1762</v>
      </c>
      <c r="T41" s="3" t="s">
        <v>61</v>
      </c>
      <c r="U41" s="2" t="s">
        <v>29</v>
      </c>
      <c r="V41" s="89" t="s">
        <v>29</v>
      </c>
      <c r="W41" s="11" t="s">
        <v>153</v>
      </c>
      <c r="X41" s="89" t="s">
        <v>153</v>
      </c>
      <c r="Y41" s="77" t="s">
        <v>1772</v>
      </c>
      <c r="Z41" s="84" t="s">
        <v>1787</v>
      </c>
      <c r="AA41" s="89" t="s">
        <v>28</v>
      </c>
      <c r="AB41" s="90" t="str">
        <f>HYPERLINK(CONCATENATE("https://www.ejacket.nsf.gov/ej/showProposal.do?ID=",SUBSTITUTE(SplitQueryTable[[#This Row],[prop_id]],CHAR(160),"")),"eJ")</f>
        <v>eJ</v>
      </c>
      <c r="AC41" s="89" t="s">
        <v>1787</v>
      </c>
      <c r="AD41" s="3" t="s">
        <v>1787</v>
      </c>
      <c r="AE41" s="91">
        <v>2017</v>
      </c>
      <c r="AF41" s="13" t="s">
        <v>43</v>
      </c>
      <c r="AG41" s="13">
        <v>15000</v>
      </c>
      <c r="AH41" s="45">
        <v>15000</v>
      </c>
      <c r="AI41" s="44" t="s">
        <v>1790</v>
      </c>
      <c r="AJ41" s="2" t="s">
        <v>171</v>
      </c>
      <c r="AK41" s="46" t="s">
        <v>252</v>
      </c>
      <c r="AL41" s="55" t="s">
        <v>1789</v>
      </c>
      <c r="AM41" s="45" t="s">
        <v>1789</v>
      </c>
      <c r="AN41" s="56" t="s">
        <v>152</v>
      </c>
      <c r="AO41" s="23" t="s">
        <v>146</v>
      </c>
      <c r="AP41" s="11"/>
      <c r="AQ41" s="88" t="s">
        <v>1788</v>
      </c>
      <c r="AR41" s="57" t="s">
        <v>200</v>
      </c>
      <c r="AS41" s="46">
        <v>42759.453414351854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43005.699629629627</v>
      </c>
      <c r="I42" s="43">
        <v>42562.677083333336</v>
      </c>
      <c r="J42" s="42">
        <v>42738.575532407405</v>
      </c>
      <c r="K42" s="81" t="s">
        <v>1768</v>
      </c>
      <c r="L42" t="s">
        <v>1768</v>
      </c>
      <c r="M42" t="s">
        <v>1761</v>
      </c>
      <c r="N42" s="1" t="s">
        <v>1761</v>
      </c>
      <c r="O42" s="1" t="s">
        <v>1770</v>
      </c>
      <c r="P42" t="s">
        <v>1770</v>
      </c>
      <c r="Q42" s="9" t="s">
        <v>45</v>
      </c>
      <c r="R42" s="82" t="s">
        <v>45</v>
      </c>
      <c r="S42" s="44" t="s">
        <v>1762</v>
      </c>
      <c r="T42" s="3" t="s">
        <v>61</v>
      </c>
      <c r="U42" s="2" t="s">
        <v>29</v>
      </c>
      <c r="V42" s="89" t="s">
        <v>29</v>
      </c>
      <c r="W42" s="11" t="s">
        <v>153</v>
      </c>
      <c r="X42" s="89" t="s">
        <v>153</v>
      </c>
      <c r="Y42" s="77" t="s">
        <v>1772</v>
      </c>
      <c r="Z42" s="84" t="s">
        <v>1791</v>
      </c>
      <c r="AA42" s="89" t="s">
        <v>28</v>
      </c>
      <c r="AB42" s="90" t="str">
        <f>HYPERLINK(CONCATENATE("https://www.ejacket.nsf.gov/ej/showProposal.do?ID=",SUBSTITUTE(SplitQueryTable[[#This Row],[prop_id]],CHAR(160),"")),"eJ")</f>
        <v>eJ</v>
      </c>
      <c r="AC42" s="89" t="s">
        <v>1791</v>
      </c>
      <c r="AD42" s="3" t="s">
        <v>1791</v>
      </c>
      <c r="AE42" s="91">
        <v>2017</v>
      </c>
      <c r="AF42" s="13" t="s">
        <v>43</v>
      </c>
      <c r="AG42" s="13">
        <v>15000</v>
      </c>
      <c r="AH42" s="45">
        <v>15000</v>
      </c>
      <c r="AI42" s="44" t="s">
        <v>1794</v>
      </c>
      <c r="AJ42" s="2" t="s">
        <v>1795</v>
      </c>
      <c r="AK42" s="46" t="s">
        <v>1796</v>
      </c>
      <c r="AL42" s="55" t="s">
        <v>1793</v>
      </c>
      <c r="AM42" s="45" t="s">
        <v>1793</v>
      </c>
      <c r="AN42" s="56" t="s">
        <v>152</v>
      </c>
      <c r="AO42" s="23" t="s">
        <v>146</v>
      </c>
      <c r="AP42" s="11"/>
      <c r="AQ42" s="88" t="s">
        <v>1792</v>
      </c>
      <c r="AR42" s="57" t="s">
        <v>200</v>
      </c>
      <c r="AS42" s="46">
        <v>42760.841215277775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H43" s="59">
        <v>43005.699629629627</v>
      </c>
      <c r="I43" s="43">
        <v>42562.618055555555</v>
      </c>
      <c r="J43" s="42">
        <v>42738.57403935185</v>
      </c>
      <c r="K43" s="81" t="s">
        <v>1768</v>
      </c>
      <c r="L43" t="s">
        <v>1768</v>
      </c>
      <c r="M43" t="s">
        <v>1761</v>
      </c>
      <c r="N43" s="1" t="s">
        <v>1761</v>
      </c>
      <c r="O43" s="1" t="s">
        <v>1770</v>
      </c>
      <c r="P43" t="s">
        <v>1770</v>
      </c>
      <c r="Q43" s="9" t="s">
        <v>45</v>
      </c>
      <c r="R43" s="82" t="s">
        <v>45</v>
      </c>
      <c r="S43" s="44" t="s">
        <v>1762</v>
      </c>
      <c r="T43" s="3" t="s">
        <v>61</v>
      </c>
      <c r="U43" s="2" t="s">
        <v>29</v>
      </c>
      <c r="V43" s="89" t="s">
        <v>29</v>
      </c>
      <c r="W43" s="11" t="s">
        <v>153</v>
      </c>
      <c r="X43" s="89" t="s">
        <v>153</v>
      </c>
      <c r="Y43" s="77" t="s">
        <v>1772</v>
      </c>
      <c r="Z43" s="84" t="s">
        <v>1797</v>
      </c>
      <c r="AA43" s="89" t="s">
        <v>28</v>
      </c>
      <c r="AB43" s="90" t="str">
        <f>HYPERLINK(CONCATENATE("https://www.ejacket.nsf.gov/ej/showProposal.do?ID=",SUBSTITUTE(SplitQueryTable[[#This Row],[prop_id]],CHAR(160),"")),"eJ")</f>
        <v>eJ</v>
      </c>
      <c r="AC43" s="89" t="s">
        <v>1797</v>
      </c>
      <c r="AD43" s="3" t="s">
        <v>1797</v>
      </c>
      <c r="AE43" s="91">
        <v>2017</v>
      </c>
      <c r="AF43" s="13" t="s">
        <v>43</v>
      </c>
      <c r="AG43" s="13">
        <v>15000</v>
      </c>
      <c r="AH43" s="45">
        <v>0</v>
      </c>
      <c r="AI43" s="44" t="s">
        <v>1799</v>
      </c>
      <c r="AJ43" s="2" t="s">
        <v>191</v>
      </c>
      <c r="AK43" s="46" t="s">
        <v>1730</v>
      </c>
      <c r="AL43" s="55" t="s">
        <v>1789</v>
      </c>
      <c r="AM43" s="45" t="s">
        <v>1789</v>
      </c>
      <c r="AN43" s="56" t="s">
        <v>152</v>
      </c>
      <c r="AO43" s="23" t="s">
        <v>146</v>
      </c>
      <c r="AP43" s="11"/>
      <c r="AQ43" s="88" t="s">
        <v>1798</v>
      </c>
      <c r="AR43" s="57" t="s">
        <v>200</v>
      </c>
      <c r="AS43" s="46">
        <v>42760.837569444448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74</v>
      </c>
      <c r="D44" s="33"/>
      <c r="E44" s="31"/>
      <c r="F44" s="31"/>
      <c r="H44" s="59">
        <v>43005.699629629627</v>
      </c>
      <c r="I44" s="43">
        <v>42559.632638888892</v>
      </c>
      <c r="J44" s="42">
        <v>42748.51935185185</v>
      </c>
      <c r="K44" s="81" t="s">
        <v>137</v>
      </c>
      <c r="L44" t="s">
        <v>1760</v>
      </c>
      <c r="M44" t="s">
        <v>1761</v>
      </c>
      <c r="N44" s="1" t="s">
        <v>1761</v>
      </c>
      <c r="O44" s="1" t="s">
        <v>1800</v>
      </c>
      <c r="P44" t="s">
        <v>1800</v>
      </c>
      <c r="Q44" s="9" t="s">
        <v>45</v>
      </c>
      <c r="R44" s="82" t="s">
        <v>45</v>
      </c>
      <c r="S44" s="44" t="s">
        <v>1762</v>
      </c>
      <c r="T44" s="3" t="s">
        <v>61</v>
      </c>
      <c r="U44" s="2" t="s">
        <v>29</v>
      </c>
      <c r="V44" s="89" t="s">
        <v>29</v>
      </c>
      <c r="W44" s="11" t="s">
        <v>153</v>
      </c>
      <c r="X44" s="89" t="s">
        <v>153</v>
      </c>
      <c r="Y44" s="77" t="s">
        <v>334</v>
      </c>
      <c r="Z44" s="84" t="s">
        <v>1801</v>
      </c>
      <c r="AA44" s="89" t="s">
        <v>28</v>
      </c>
      <c r="AB44" s="90" t="str">
        <f>HYPERLINK(CONCATENATE("https://www.ejacket.nsf.gov/ej/showProposal.do?ID=",SUBSTITUTE(SplitQueryTable[[#This Row],[prop_id]],CHAR(160),"")),"eJ")</f>
        <v>eJ</v>
      </c>
      <c r="AC44" s="89" t="s">
        <v>1801</v>
      </c>
      <c r="AD44" s="3" t="s">
        <v>1801</v>
      </c>
      <c r="AE44" s="91">
        <v>2017</v>
      </c>
      <c r="AF44" s="13" t="s">
        <v>43</v>
      </c>
      <c r="AG44" s="13">
        <v>14999</v>
      </c>
      <c r="AH44" s="45">
        <v>14999</v>
      </c>
      <c r="AI44" s="44" t="s">
        <v>1048</v>
      </c>
      <c r="AJ44" s="2" t="s">
        <v>323</v>
      </c>
      <c r="AK44" s="46" t="s">
        <v>1724</v>
      </c>
      <c r="AL44" s="55" t="s">
        <v>1759</v>
      </c>
      <c r="AM44" s="45" t="s">
        <v>1759</v>
      </c>
      <c r="AN44" s="56" t="s">
        <v>152</v>
      </c>
      <c r="AO44" s="23" t="s">
        <v>146</v>
      </c>
      <c r="AP44" s="11"/>
      <c r="AQ44" s="88" t="s">
        <v>1802</v>
      </c>
      <c r="AR44" s="57" t="s">
        <v>40</v>
      </c>
      <c r="AS44" s="46">
        <v>42774.265925925924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H45" s="59">
        <v>43005.699629629627</v>
      </c>
      <c r="I45" s="43">
        <v>42794.595833333333</v>
      </c>
      <c r="J45" s="42">
        <v>42925.738402777781</v>
      </c>
      <c r="K45" s="81" t="s">
        <v>1768</v>
      </c>
      <c r="L45" t="s">
        <v>1768</v>
      </c>
      <c r="M45" t="s">
        <v>1761</v>
      </c>
      <c r="N45" s="1" t="s">
        <v>1761</v>
      </c>
      <c r="O45" s="1" t="s">
        <v>1781</v>
      </c>
      <c r="P45" t="s">
        <v>1781</v>
      </c>
      <c r="Q45" s="9" t="s">
        <v>45</v>
      </c>
      <c r="R45" s="82" t="s">
        <v>45</v>
      </c>
      <c r="S45" s="44" t="s">
        <v>1782</v>
      </c>
      <c r="T45" s="3" t="s">
        <v>61</v>
      </c>
      <c r="U45" s="2" t="s">
        <v>29</v>
      </c>
      <c r="V45" s="89" t="s">
        <v>29</v>
      </c>
      <c r="W45" s="11" t="s">
        <v>153</v>
      </c>
      <c r="X45" s="89" t="s">
        <v>153</v>
      </c>
      <c r="Y45" s="77" t="s">
        <v>1772</v>
      </c>
      <c r="Z45" s="84" t="s">
        <v>1803</v>
      </c>
      <c r="AA45" s="89" t="s">
        <v>28</v>
      </c>
      <c r="AB45" s="90" t="str">
        <f>HYPERLINK(CONCATENATE("https://www.ejacket.nsf.gov/ej/showProposal.do?ID=",SUBSTITUTE(SplitQueryTable[[#This Row],[prop_id]],CHAR(160),"")),"eJ")</f>
        <v>eJ</v>
      </c>
      <c r="AC45" s="89" t="s">
        <v>1803</v>
      </c>
      <c r="AD45" s="3" t="s">
        <v>1803</v>
      </c>
      <c r="AE45" s="91">
        <v>2017</v>
      </c>
      <c r="AF45" s="13" t="s">
        <v>43</v>
      </c>
      <c r="AG45" s="13">
        <v>300000</v>
      </c>
      <c r="AH45" s="45">
        <v>300000</v>
      </c>
      <c r="AI45" s="44" t="s">
        <v>1805</v>
      </c>
      <c r="AJ45" s="2" t="s">
        <v>296</v>
      </c>
      <c r="AK45" s="46" t="s">
        <v>1806</v>
      </c>
      <c r="AL45" s="55" t="s">
        <v>1793</v>
      </c>
      <c r="AM45" s="45" t="s">
        <v>1759</v>
      </c>
      <c r="AN45" s="56" t="s">
        <v>152</v>
      </c>
      <c r="AO45" s="23" t="s">
        <v>146</v>
      </c>
      <c r="AP45" s="11"/>
      <c r="AQ45" s="88" t="s">
        <v>1804</v>
      </c>
      <c r="AR45" s="57" t="s">
        <v>200</v>
      </c>
      <c r="AS45" s="46">
        <v>42943.781064814815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59">
        <v>43005.699629629627</v>
      </c>
      <c r="I46" s="43">
        <v>42794.67083333333</v>
      </c>
      <c r="J46" s="42">
        <v>42926.681064814817</v>
      </c>
      <c r="K46" s="81" t="s">
        <v>1768</v>
      </c>
      <c r="L46" t="s">
        <v>1768</v>
      </c>
      <c r="M46" t="s">
        <v>1761</v>
      </c>
      <c r="N46" s="1" t="s">
        <v>1761</v>
      </c>
      <c r="O46" s="1" t="s">
        <v>1781</v>
      </c>
      <c r="P46" t="s">
        <v>1781</v>
      </c>
      <c r="Q46" s="9" t="s">
        <v>45</v>
      </c>
      <c r="R46" s="82" t="s">
        <v>45</v>
      </c>
      <c r="S46" s="44" t="s">
        <v>1782</v>
      </c>
      <c r="T46" s="3" t="s">
        <v>61</v>
      </c>
      <c r="U46" s="2" t="s">
        <v>29</v>
      </c>
      <c r="V46" s="89" t="s">
        <v>29</v>
      </c>
      <c r="W46" s="11" t="s">
        <v>153</v>
      </c>
      <c r="X46" s="89" t="s">
        <v>153</v>
      </c>
      <c r="Y46" s="77" t="s">
        <v>1772</v>
      </c>
      <c r="Z46" s="84" t="s">
        <v>1807</v>
      </c>
      <c r="AA46" s="89" t="s">
        <v>28</v>
      </c>
      <c r="AB46" s="90" t="str">
        <f>HYPERLINK(CONCATENATE("https://www.ejacket.nsf.gov/ej/showProposal.do?ID=",SUBSTITUTE(SplitQueryTable[[#This Row],[prop_id]],CHAR(160),"")),"eJ")</f>
        <v>eJ</v>
      </c>
      <c r="AC46" s="89" t="s">
        <v>1807</v>
      </c>
      <c r="AD46" s="3" t="s">
        <v>1807</v>
      </c>
      <c r="AE46" s="91">
        <v>2017</v>
      </c>
      <c r="AF46" s="13" t="s">
        <v>43</v>
      </c>
      <c r="AG46" s="13">
        <v>300000</v>
      </c>
      <c r="AH46" s="45">
        <v>300000</v>
      </c>
      <c r="AI46" s="44" t="s">
        <v>1809</v>
      </c>
      <c r="AJ46" s="2" t="s">
        <v>1810</v>
      </c>
      <c r="AK46" s="46" t="s">
        <v>1718</v>
      </c>
      <c r="AL46" s="55" t="s">
        <v>1759</v>
      </c>
      <c r="AM46" s="45" t="s">
        <v>1759</v>
      </c>
      <c r="AN46" s="56" t="s">
        <v>152</v>
      </c>
      <c r="AO46" s="23" t="s">
        <v>146</v>
      </c>
      <c r="AP46" s="11"/>
      <c r="AQ46" s="88" t="s">
        <v>1808</v>
      </c>
      <c r="AR46" s="57" t="s">
        <v>200</v>
      </c>
      <c r="AS46" s="46">
        <v>42943.858101851853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 t="s">
        <v>2902</v>
      </c>
      <c r="B47" s="36"/>
      <c r="C47" s="36"/>
      <c r="D47" s="37"/>
      <c r="E47" s="36"/>
      <c r="F47" s="36"/>
      <c r="H47" s="59">
        <v>43005.699629629627</v>
      </c>
      <c r="I47" s="43">
        <v>42562.576388888891</v>
      </c>
      <c r="J47" s="42">
        <v>42762.714826388888</v>
      </c>
      <c r="K47" s="81" t="s">
        <v>137</v>
      </c>
      <c r="L47" t="s">
        <v>1760</v>
      </c>
      <c r="M47" t="s">
        <v>1761</v>
      </c>
      <c r="N47" s="1" t="s">
        <v>1761</v>
      </c>
      <c r="O47" s="1" t="s">
        <v>1800</v>
      </c>
      <c r="P47" t="s">
        <v>227</v>
      </c>
      <c r="Q47" s="9" t="s">
        <v>45</v>
      </c>
      <c r="R47" s="82" t="s">
        <v>45</v>
      </c>
      <c r="S47" s="44" t="s">
        <v>1762</v>
      </c>
      <c r="T47" s="3" t="s">
        <v>61</v>
      </c>
      <c r="U47" s="2" t="s">
        <v>29</v>
      </c>
      <c r="V47" s="89" t="s">
        <v>29</v>
      </c>
      <c r="W47" s="11" t="s">
        <v>153</v>
      </c>
      <c r="X47" s="89" t="s">
        <v>153</v>
      </c>
      <c r="Y47" s="77" t="s">
        <v>334</v>
      </c>
      <c r="Z47" s="84" t="s">
        <v>1811</v>
      </c>
      <c r="AA47" s="89" t="s">
        <v>28</v>
      </c>
      <c r="AB47" s="90" t="str">
        <f>HYPERLINK(CONCATENATE("https://www.ejacket.nsf.gov/ej/showProposal.do?ID=",SUBSTITUTE(SplitQueryTable[[#This Row],[prop_id]],CHAR(160),"")),"eJ")</f>
        <v>eJ</v>
      </c>
      <c r="AC47" s="89" t="s">
        <v>1811</v>
      </c>
      <c r="AD47" s="3" t="s">
        <v>1811</v>
      </c>
      <c r="AE47" s="91">
        <v>2017</v>
      </c>
      <c r="AF47" s="13" t="s">
        <v>43</v>
      </c>
      <c r="AG47" s="13">
        <v>15000</v>
      </c>
      <c r="AH47" s="45">
        <v>15000</v>
      </c>
      <c r="AI47" s="44" t="s">
        <v>274</v>
      </c>
      <c r="AJ47" s="2" t="s">
        <v>1813</v>
      </c>
      <c r="AK47" s="46" t="s">
        <v>417</v>
      </c>
      <c r="AL47" s="55" t="s">
        <v>1759</v>
      </c>
      <c r="AM47" s="45" t="s">
        <v>1759</v>
      </c>
      <c r="AN47" s="56" t="s">
        <v>152</v>
      </c>
      <c r="AO47" s="23" t="s">
        <v>146</v>
      </c>
      <c r="AP47" s="11"/>
      <c r="AQ47" s="88" t="s">
        <v>1812</v>
      </c>
      <c r="AR47" s="57" t="s">
        <v>40</v>
      </c>
      <c r="AS47" s="46">
        <v>42781.562280092592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A48" s="37" t="s">
        <v>2903</v>
      </c>
      <c r="B48" s="36"/>
      <c r="C48" s="36"/>
      <c r="H48" s="59">
        <v>43005.699629629627</v>
      </c>
      <c r="I48" s="43">
        <v>42562.723611111112</v>
      </c>
      <c r="J48" s="42">
        <v>42768.511562500003</v>
      </c>
      <c r="K48" s="81" t="s">
        <v>1768</v>
      </c>
      <c r="L48" t="s">
        <v>1768</v>
      </c>
      <c r="M48" t="s">
        <v>1761</v>
      </c>
      <c r="N48" s="1" t="s">
        <v>1761</v>
      </c>
      <c r="O48" s="1" t="s">
        <v>1770</v>
      </c>
      <c r="P48" t="s">
        <v>1770</v>
      </c>
      <c r="Q48" s="9" t="s">
        <v>45</v>
      </c>
      <c r="R48" s="82" t="s">
        <v>45</v>
      </c>
      <c r="S48" s="44" t="s">
        <v>1762</v>
      </c>
      <c r="T48" s="3" t="s">
        <v>61</v>
      </c>
      <c r="U48" s="2" t="s">
        <v>29</v>
      </c>
      <c r="V48" s="89" t="s">
        <v>29</v>
      </c>
      <c r="W48" s="11" t="s">
        <v>153</v>
      </c>
      <c r="X48" s="89" t="s">
        <v>153</v>
      </c>
      <c r="Y48" s="77" t="s">
        <v>1772</v>
      </c>
      <c r="Z48" s="84" t="s">
        <v>1814</v>
      </c>
      <c r="AA48" s="89" t="s">
        <v>28</v>
      </c>
      <c r="AB48" s="90" t="str">
        <f>HYPERLINK(CONCATENATE("https://www.ejacket.nsf.gov/ej/showProposal.do?ID=",SUBSTITUTE(SplitQueryTable[[#This Row],[prop_id]],CHAR(160),"")),"eJ")</f>
        <v>eJ</v>
      </c>
      <c r="AC48" s="89" t="s">
        <v>1814</v>
      </c>
      <c r="AD48" s="3" t="s">
        <v>1814</v>
      </c>
      <c r="AE48" s="91">
        <v>2017</v>
      </c>
      <c r="AF48" s="13" t="s">
        <v>43</v>
      </c>
      <c r="AG48" s="13">
        <v>14992</v>
      </c>
      <c r="AH48" s="45">
        <v>14992</v>
      </c>
      <c r="AI48" s="44" t="s">
        <v>1817</v>
      </c>
      <c r="AJ48" s="2" t="s">
        <v>273</v>
      </c>
      <c r="AK48" s="46" t="s">
        <v>1818</v>
      </c>
      <c r="AL48" s="55" t="s">
        <v>1816</v>
      </c>
      <c r="AM48" s="45" t="s">
        <v>1816</v>
      </c>
      <c r="AN48" s="56" t="s">
        <v>152</v>
      </c>
      <c r="AO48" s="23" t="s">
        <v>146</v>
      </c>
      <c r="AP48" s="11"/>
      <c r="AQ48" s="88" t="s">
        <v>1815</v>
      </c>
      <c r="AR48" s="57" t="s">
        <v>200</v>
      </c>
      <c r="AS48" s="46">
        <v>42790.509039351855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4">
      <c r="A49" s="36" t="s">
        <v>2904</v>
      </c>
      <c r="B49" s="36"/>
      <c r="C49" s="36"/>
      <c r="H49" s="59">
        <v>43005.699629629627</v>
      </c>
      <c r="I49" s="43">
        <v>42562.556250000001</v>
      </c>
      <c r="J49" s="42">
        <v>42744.518437500003</v>
      </c>
      <c r="K49" s="81" t="s">
        <v>1768</v>
      </c>
      <c r="L49" t="s">
        <v>1768</v>
      </c>
      <c r="M49" t="s">
        <v>1761</v>
      </c>
      <c r="N49" s="1" t="s">
        <v>1761</v>
      </c>
      <c r="O49" s="1" t="s">
        <v>1770</v>
      </c>
      <c r="P49" t="s">
        <v>1770</v>
      </c>
      <c r="Q49" s="9" t="s">
        <v>45</v>
      </c>
      <c r="R49" s="82" t="s">
        <v>45</v>
      </c>
      <c r="S49" s="44" t="s">
        <v>1762</v>
      </c>
      <c r="T49" s="3" t="s">
        <v>61</v>
      </c>
      <c r="U49" s="2" t="s">
        <v>29</v>
      </c>
      <c r="V49" s="89" t="s">
        <v>29</v>
      </c>
      <c r="W49" s="11" t="s">
        <v>153</v>
      </c>
      <c r="X49" s="89" t="s">
        <v>153</v>
      </c>
      <c r="Y49" s="77" t="s">
        <v>1772</v>
      </c>
      <c r="Z49" s="84" t="s">
        <v>1819</v>
      </c>
      <c r="AA49" s="89" t="s">
        <v>28</v>
      </c>
      <c r="AB49" s="90" t="str">
        <f>HYPERLINK(CONCATENATE("https://www.ejacket.nsf.gov/ej/showProposal.do?ID=",SUBSTITUTE(SplitQueryTable[[#This Row],[prop_id]],CHAR(160),"")),"eJ")</f>
        <v>eJ</v>
      </c>
      <c r="AC49" s="89" t="s">
        <v>1819</v>
      </c>
      <c r="AD49" s="3" t="s">
        <v>1819</v>
      </c>
      <c r="AE49" s="91">
        <v>2017</v>
      </c>
      <c r="AF49" s="13" t="s">
        <v>43</v>
      </c>
      <c r="AG49" s="13">
        <v>15000</v>
      </c>
      <c r="AH49" s="45">
        <v>15000</v>
      </c>
      <c r="AI49" s="44" t="s">
        <v>1821</v>
      </c>
      <c r="AJ49" s="2" t="s">
        <v>1822</v>
      </c>
      <c r="AK49" s="46" t="s">
        <v>1724</v>
      </c>
      <c r="AL49" s="55" t="s">
        <v>1793</v>
      </c>
      <c r="AM49" s="45" t="s">
        <v>1793</v>
      </c>
      <c r="AN49" s="56" t="s">
        <v>152</v>
      </c>
      <c r="AO49" s="23" t="s">
        <v>146</v>
      </c>
      <c r="AP49" s="11"/>
      <c r="AQ49" s="88" t="s">
        <v>1820</v>
      </c>
      <c r="AR49" s="57" t="s">
        <v>200</v>
      </c>
      <c r="AS49" s="46">
        <v>42761.611192129632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4">
      <c r="A50" s="36" t="s">
        <v>2905</v>
      </c>
      <c r="B50" s="36"/>
      <c r="C50" s="36"/>
      <c r="H50" s="59">
        <v>43005.699629629627</v>
      </c>
      <c r="I50" s="43">
        <v>42562.820833333331</v>
      </c>
      <c r="J50" s="42">
        <v>42773.719942129632</v>
      </c>
      <c r="K50" s="81" t="s">
        <v>137</v>
      </c>
      <c r="L50" t="s">
        <v>1760</v>
      </c>
      <c r="M50" t="s">
        <v>1761</v>
      </c>
      <c r="N50" s="1" t="s">
        <v>1761</v>
      </c>
      <c r="O50" s="1" t="s">
        <v>1800</v>
      </c>
      <c r="P50" t="s">
        <v>227</v>
      </c>
      <c r="Q50" s="9" t="s">
        <v>45</v>
      </c>
      <c r="R50" s="82" t="s">
        <v>45</v>
      </c>
      <c r="S50" s="44" t="s">
        <v>1762</v>
      </c>
      <c r="T50" s="3" t="s">
        <v>61</v>
      </c>
      <c r="U50" s="2" t="s">
        <v>29</v>
      </c>
      <c r="V50" s="89" t="s">
        <v>29</v>
      </c>
      <c r="W50" s="11" t="s">
        <v>153</v>
      </c>
      <c r="X50" s="89" t="s">
        <v>153</v>
      </c>
      <c r="Y50" s="77" t="s">
        <v>334</v>
      </c>
      <c r="Z50" s="84" t="s">
        <v>1823</v>
      </c>
      <c r="AA50" s="89" t="s">
        <v>28</v>
      </c>
      <c r="AB50" s="90" t="str">
        <f>HYPERLINK(CONCATENATE("https://www.ejacket.nsf.gov/ej/showProposal.do?ID=",SUBSTITUTE(SplitQueryTable[[#This Row],[prop_id]],CHAR(160),"")),"eJ")</f>
        <v>eJ</v>
      </c>
      <c r="AC50" s="89" t="s">
        <v>1823</v>
      </c>
      <c r="AD50" s="3" t="s">
        <v>1823</v>
      </c>
      <c r="AE50" s="91">
        <v>2017</v>
      </c>
      <c r="AF50" s="13" t="s">
        <v>43</v>
      </c>
      <c r="AG50" s="13">
        <v>15000</v>
      </c>
      <c r="AH50" s="45">
        <v>15000</v>
      </c>
      <c r="AI50" s="44" t="s">
        <v>1825</v>
      </c>
      <c r="AJ50" s="2" t="s">
        <v>1826</v>
      </c>
      <c r="AK50" s="46" t="s">
        <v>1827</v>
      </c>
      <c r="AL50" s="55" t="s">
        <v>1759</v>
      </c>
      <c r="AM50" s="45" t="s">
        <v>1759</v>
      </c>
      <c r="AN50" s="56" t="s">
        <v>152</v>
      </c>
      <c r="AO50" s="23" t="s">
        <v>146</v>
      </c>
      <c r="AP50" s="11"/>
      <c r="AQ50" s="88" t="s">
        <v>1824</v>
      </c>
      <c r="AR50" s="57" t="s">
        <v>40</v>
      </c>
      <c r="AS50" s="46">
        <v>42787.584155092591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4">
      <c r="A51" s="36" t="s">
        <v>2906</v>
      </c>
      <c r="B51" s="36"/>
      <c r="C51" s="36"/>
      <c r="H51" s="59">
        <v>43005.699629629627</v>
      </c>
      <c r="I51" s="43">
        <v>42562.811111111114</v>
      </c>
      <c r="J51" s="42">
        <v>42748.410787037035</v>
      </c>
      <c r="K51" s="81" t="s">
        <v>1768</v>
      </c>
      <c r="L51" t="s">
        <v>1769</v>
      </c>
      <c r="M51" t="s">
        <v>1761</v>
      </c>
      <c r="N51" s="1" t="s">
        <v>1761</v>
      </c>
      <c r="O51" s="1" t="s">
        <v>1770</v>
      </c>
      <c r="P51" t="s">
        <v>1771</v>
      </c>
      <c r="Q51" s="9" t="s">
        <v>45</v>
      </c>
      <c r="R51" s="82" t="s">
        <v>45</v>
      </c>
      <c r="S51" s="44" t="s">
        <v>1762</v>
      </c>
      <c r="T51" s="3" t="s">
        <v>61</v>
      </c>
      <c r="U51" s="2" t="s">
        <v>29</v>
      </c>
      <c r="V51" s="89" t="s">
        <v>29</v>
      </c>
      <c r="W51" s="11" t="s">
        <v>153</v>
      </c>
      <c r="X51" s="89" t="s">
        <v>153</v>
      </c>
      <c r="Y51" s="77" t="s">
        <v>1772</v>
      </c>
      <c r="Z51" s="84" t="s">
        <v>1828</v>
      </c>
      <c r="AA51" s="89" t="s">
        <v>28</v>
      </c>
      <c r="AB51" s="90" t="str">
        <f>HYPERLINK(CONCATENATE("https://www.ejacket.nsf.gov/ej/showProposal.do?ID=",SUBSTITUTE(SplitQueryTable[[#This Row],[prop_id]],CHAR(160),"")),"eJ")</f>
        <v>eJ</v>
      </c>
      <c r="AC51" s="89" t="s">
        <v>1828</v>
      </c>
      <c r="AD51" s="3" t="s">
        <v>1828</v>
      </c>
      <c r="AE51" s="91">
        <v>2017</v>
      </c>
      <c r="AF51" s="13" t="s">
        <v>43</v>
      </c>
      <c r="AG51" s="13">
        <v>15000</v>
      </c>
      <c r="AH51" s="45">
        <v>15000</v>
      </c>
      <c r="AI51" s="44" t="s">
        <v>1831</v>
      </c>
      <c r="AJ51" s="2" t="s">
        <v>1832</v>
      </c>
      <c r="AK51" s="46" t="s">
        <v>1708</v>
      </c>
      <c r="AL51" s="55" t="s">
        <v>1830</v>
      </c>
      <c r="AM51" s="45" t="s">
        <v>1830</v>
      </c>
      <c r="AN51" s="56" t="s">
        <v>152</v>
      </c>
      <c r="AO51" s="23" t="s">
        <v>146</v>
      </c>
      <c r="AP51" s="11"/>
      <c r="AQ51" s="88" t="s">
        <v>1829</v>
      </c>
      <c r="AR51" s="57" t="s">
        <v>200</v>
      </c>
      <c r="AS51" s="46">
        <v>42766.418541666666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4">
      <c r="A52" s="36" t="s">
        <v>2907</v>
      </c>
      <c r="B52" s="36"/>
      <c r="C52" s="36"/>
      <c r="H52" s="59">
        <v>43005.699629629627</v>
      </c>
      <c r="I52" s="43">
        <v>42562.782638888886</v>
      </c>
      <c r="J52" s="42">
        <v>42723.904999999999</v>
      </c>
      <c r="K52" s="81" t="s">
        <v>137</v>
      </c>
      <c r="L52" t="s">
        <v>1760</v>
      </c>
      <c r="M52" t="s">
        <v>1761</v>
      </c>
      <c r="N52" s="1" t="s">
        <v>1761</v>
      </c>
      <c r="O52" s="1" t="s">
        <v>227</v>
      </c>
      <c r="P52" t="s">
        <v>227</v>
      </c>
      <c r="Q52" s="9" t="s">
        <v>45</v>
      </c>
      <c r="R52" s="82" t="s">
        <v>45</v>
      </c>
      <c r="S52" s="44" t="s">
        <v>1762</v>
      </c>
      <c r="T52" s="3" t="s">
        <v>61</v>
      </c>
      <c r="U52" s="2" t="s">
        <v>29</v>
      </c>
      <c r="V52" s="89" t="s">
        <v>29</v>
      </c>
      <c r="W52" s="11" t="s">
        <v>153</v>
      </c>
      <c r="X52" s="89" t="s">
        <v>153</v>
      </c>
      <c r="Y52" s="77" t="s">
        <v>334</v>
      </c>
      <c r="Z52" s="84" t="s">
        <v>1833</v>
      </c>
      <c r="AA52" s="89" t="s">
        <v>28</v>
      </c>
      <c r="AB52" s="90" t="str">
        <f>HYPERLINK(CONCATENATE("https://www.ejacket.nsf.gov/ej/showProposal.do?ID=",SUBSTITUTE(SplitQueryTable[[#This Row],[prop_id]],CHAR(160),"")),"eJ")</f>
        <v>eJ</v>
      </c>
      <c r="AC52" s="89" t="s">
        <v>1833</v>
      </c>
      <c r="AD52" s="3" t="s">
        <v>1833</v>
      </c>
      <c r="AE52" s="91">
        <v>2017</v>
      </c>
      <c r="AF52" s="13" t="s">
        <v>43</v>
      </c>
      <c r="AG52" s="13">
        <v>13982</v>
      </c>
      <c r="AH52" s="45">
        <v>13982</v>
      </c>
      <c r="AI52" s="44" t="s">
        <v>1835</v>
      </c>
      <c r="AJ52" s="2" t="s">
        <v>1836</v>
      </c>
      <c r="AK52" s="46" t="s">
        <v>1837</v>
      </c>
      <c r="AL52" s="55" t="s">
        <v>1759</v>
      </c>
      <c r="AM52" s="45"/>
      <c r="AN52" s="56" t="s">
        <v>152</v>
      </c>
      <c r="AO52" s="23" t="s">
        <v>146</v>
      </c>
      <c r="AP52" s="11"/>
      <c r="AQ52" s="88" t="s">
        <v>1834</v>
      </c>
      <c r="AR52" s="57" t="s">
        <v>193</v>
      </c>
      <c r="AS52" s="46">
        <v>42759.603032407409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4">
      <c r="A53" s="36" t="s">
        <v>2908</v>
      </c>
      <c r="B53" s="36"/>
      <c r="C53" s="36"/>
      <c r="H53" s="59">
        <v>43005.699629629627</v>
      </c>
      <c r="I53" s="43">
        <v>42793.611111111109</v>
      </c>
      <c r="J53" s="42">
        <v>42925.723379629628</v>
      </c>
      <c r="K53" s="81" t="s">
        <v>1768</v>
      </c>
      <c r="L53" t="s">
        <v>1768</v>
      </c>
      <c r="M53" t="s">
        <v>1761</v>
      </c>
      <c r="N53" s="1" t="s">
        <v>1761</v>
      </c>
      <c r="O53" s="1" t="s">
        <v>1781</v>
      </c>
      <c r="P53" t="s">
        <v>1781</v>
      </c>
      <c r="Q53" s="9" t="s">
        <v>45</v>
      </c>
      <c r="R53" s="82" t="s">
        <v>45</v>
      </c>
      <c r="S53" s="44" t="s">
        <v>1782</v>
      </c>
      <c r="T53" s="3" t="s">
        <v>61</v>
      </c>
      <c r="U53" s="2" t="s">
        <v>29</v>
      </c>
      <c r="V53" s="89" t="s">
        <v>29</v>
      </c>
      <c r="W53" s="11" t="s">
        <v>153</v>
      </c>
      <c r="X53" s="89" t="s">
        <v>153</v>
      </c>
      <c r="Y53" s="77" t="s">
        <v>1772</v>
      </c>
      <c r="Z53" s="84" t="s">
        <v>1838</v>
      </c>
      <c r="AA53" s="89" t="s">
        <v>28</v>
      </c>
      <c r="AB53" s="90" t="str">
        <f>HYPERLINK(CONCATENATE("https://www.ejacket.nsf.gov/ej/showProposal.do?ID=",SUBSTITUTE(SplitQueryTable[[#This Row],[prop_id]],CHAR(160),"")),"eJ")</f>
        <v>eJ</v>
      </c>
      <c r="AC53" s="89" t="s">
        <v>1838</v>
      </c>
      <c r="AD53" s="3" t="s">
        <v>1838</v>
      </c>
      <c r="AE53" s="91">
        <v>2017</v>
      </c>
      <c r="AF53" s="13" t="s">
        <v>43</v>
      </c>
      <c r="AG53" s="13">
        <v>300000</v>
      </c>
      <c r="AH53" s="45">
        <v>300000</v>
      </c>
      <c r="AI53" s="44" t="s">
        <v>1841</v>
      </c>
      <c r="AJ53" s="2" t="s">
        <v>331</v>
      </c>
      <c r="AK53" s="46" t="s">
        <v>392</v>
      </c>
      <c r="AL53" s="55" t="s">
        <v>1840</v>
      </c>
      <c r="AM53" s="45" t="s">
        <v>1840</v>
      </c>
      <c r="AN53" s="56" t="s">
        <v>152</v>
      </c>
      <c r="AO53" s="23" t="s">
        <v>146</v>
      </c>
      <c r="AP53" s="11"/>
      <c r="AQ53" s="88" t="s">
        <v>1839</v>
      </c>
      <c r="AR53" s="57" t="s">
        <v>200</v>
      </c>
      <c r="AS53" s="46">
        <v>42943.809039351851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4">
      <c r="A54" s="36" t="s">
        <v>2909</v>
      </c>
      <c r="B54" s="36"/>
      <c r="C54" s="36"/>
      <c r="H54" s="59">
        <v>43005.699629629627</v>
      </c>
      <c r="I54" s="43">
        <v>42794.663888888892</v>
      </c>
      <c r="J54" s="42">
        <v>42925.724756944444</v>
      </c>
      <c r="K54" s="81" t="s">
        <v>1768</v>
      </c>
      <c r="L54" t="s">
        <v>1768</v>
      </c>
      <c r="M54" t="s">
        <v>1761</v>
      </c>
      <c r="N54" s="1" t="s">
        <v>1761</v>
      </c>
      <c r="O54" s="1" t="s">
        <v>1781</v>
      </c>
      <c r="P54" t="s">
        <v>1781</v>
      </c>
      <c r="Q54" s="9" t="s">
        <v>45</v>
      </c>
      <c r="R54" s="82" t="s">
        <v>45</v>
      </c>
      <c r="S54" s="44" t="s">
        <v>1782</v>
      </c>
      <c r="T54" s="3" t="s">
        <v>61</v>
      </c>
      <c r="U54" s="2" t="s">
        <v>29</v>
      </c>
      <c r="V54" s="89" t="s">
        <v>29</v>
      </c>
      <c r="W54" s="11" t="s">
        <v>153</v>
      </c>
      <c r="X54" s="89" t="s">
        <v>153</v>
      </c>
      <c r="Y54" s="77" t="s">
        <v>1772</v>
      </c>
      <c r="Z54" s="84" t="s">
        <v>1842</v>
      </c>
      <c r="AA54" s="89" t="s">
        <v>28</v>
      </c>
      <c r="AB54" s="90" t="str">
        <f>HYPERLINK(CONCATENATE("https://www.ejacket.nsf.gov/ej/showProposal.do?ID=",SUBSTITUTE(SplitQueryTable[[#This Row],[prop_id]],CHAR(160),"")),"eJ")</f>
        <v>eJ</v>
      </c>
      <c r="AC54" s="89" t="s">
        <v>1842</v>
      </c>
      <c r="AD54" s="3" t="s">
        <v>1842</v>
      </c>
      <c r="AE54" s="91">
        <v>2017</v>
      </c>
      <c r="AF54" s="13" t="s">
        <v>43</v>
      </c>
      <c r="AG54" s="13">
        <v>15000</v>
      </c>
      <c r="AH54" s="45">
        <v>15000</v>
      </c>
      <c r="AI54" s="44" t="s">
        <v>1844</v>
      </c>
      <c r="AJ54" s="2" t="s">
        <v>330</v>
      </c>
      <c r="AK54" s="46" t="s">
        <v>1845</v>
      </c>
      <c r="AL54" s="55" t="s">
        <v>1759</v>
      </c>
      <c r="AM54" s="45" t="s">
        <v>1759</v>
      </c>
      <c r="AN54" s="56" t="s">
        <v>152</v>
      </c>
      <c r="AO54" s="23" t="s">
        <v>146</v>
      </c>
      <c r="AP54" s="11"/>
      <c r="AQ54" s="88" t="s">
        <v>1843</v>
      </c>
      <c r="AR54" s="57" t="s">
        <v>200</v>
      </c>
      <c r="AS54" s="46">
        <v>42937.691412037035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4">
      <c r="A55" s="36" t="s">
        <v>2910</v>
      </c>
      <c r="B55" s="36"/>
      <c r="C55" s="36"/>
      <c r="H55" s="59">
        <v>43005.699629629627</v>
      </c>
      <c r="I55" s="43">
        <v>42562.65902777778</v>
      </c>
      <c r="J55" s="42">
        <v>42769.674780092595</v>
      </c>
      <c r="K55" s="81" t="s">
        <v>1768</v>
      </c>
      <c r="L55" t="s">
        <v>1768</v>
      </c>
      <c r="M55" t="s">
        <v>1761</v>
      </c>
      <c r="N55" s="1" t="s">
        <v>1761</v>
      </c>
      <c r="O55" s="1" t="s">
        <v>1770</v>
      </c>
      <c r="P55" t="s">
        <v>1770</v>
      </c>
      <c r="Q55" s="9" t="s">
        <v>45</v>
      </c>
      <c r="R55" s="82" t="s">
        <v>45</v>
      </c>
      <c r="S55" s="44" t="s">
        <v>1762</v>
      </c>
      <c r="T55" s="3" t="s">
        <v>61</v>
      </c>
      <c r="U55" s="2" t="s">
        <v>29</v>
      </c>
      <c r="V55" s="89" t="s">
        <v>29</v>
      </c>
      <c r="W55" s="11" t="s">
        <v>153</v>
      </c>
      <c r="X55" s="89" t="s">
        <v>153</v>
      </c>
      <c r="Y55" s="77" t="s">
        <v>1772</v>
      </c>
      <c r="Z55" s="84" t="s">
        <v>1846</v>
      </c>
      <c r="AA55" s="89" t="s">
        <v>28</v>
      </c>
      <c r="AB55" s="90" t="str">
        <f>HYPERLINK(CONCATENATE("https://www.ejacket.nsf.gov/ej/showProposal.do?ID=",SUBSTITUTE(SplitQueryTable[[#This Row],[prop_id]],CHAR(160),"")),"eJ")</f>
        <v>eJ</v>
      </c>
      <c r="AC55" s="89" t="s">
        <v>1846</v>
      </c>
      <c r="AD55" s="3" t="s">
        <v>1846</v>
      </c>
      <c r="AE55" s="91">
        <v>2017</v>
      </c>
      <c r="AF55" s="13" t="s">
        <v>43</v>
      </c>
      <c r="AG55" s="13">
        <v>15000</v>
      </c>
      <c r="AH55" s="45">
        <v>15000</v>
      </c>
      <c r="AI55" s="44" t="s">
        <v>1848</v>
      </c>
      <c r="AJ55" s="2" t="s">
        <v>1849</v>
      </c>
      <c r="AK55" s="46" t="s">
        <v>521</v>
      </c>
      <c r="AL55" s="55" t="s">
        <v>1816</v>
      </c>
      <c r="AM55" s="45" t="s">
        <v>1816</v>
      </c>
      <c r="AN55" s="56" t="s">
        <v>152</v>
      </c>
      <c r="AO55" s="23" t="s">
        <v>146</v>
      </c>
      <c r="AP55" s="11"/>
      <c r="AQ55" s="88" t="s">
        <v>1847</v>
      </c>
      <c r="AR55" s="57" t="s">
        <v>200</v>
      </c>
      <c r="AS55" s="46">
        <v>42796.871979166666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4">
      <c r="A56" s="36" t="s">
        <v>2911</v>
      </c>
      <c r="B56" s="36"/>
      <c r="C56" s="36"/>
      <c r="H56" s="59">
        <v>43005.699629629627</v>
      </c>
      <c r="I56" s="43">
        <v>42562.706250000003</v>
      </c>
      <c r="J56" s="42">
        <v>42762.61346064815</v>
      </c>
      <c r="K56" s="81" t="s">
        <v>137</v>
      </c>
      <c r="L56" t="s">
        <v>1760</v>
      </c>
      <c r="M56" t="s">
        <v>1761</v>
      </c>
      <c r="N56" s="1" t="s">
        <v>1761</v>
      </c>
      <c r="O56" s="1" t="s">
        <v>1800</v>
      </c>
      <c r="P56" t="s">
        <v>1800</v>
      </c>
      <c r="Q56" s="9" t="s">
        <v>45</v>
      </c>
      <c r="R56" s="82" t="s">
        <v>45</v>
      </c>
      <c r="S56" s="44" t="s">
        <v>1762</v>
      </c>
      <c r="T56" s="3" t="s">
        <v>61</v>
      </c>
      <c r="U56" s="2" t="s">
        <v>29</v>
      </c>
      <c r="V56" s="89" t="s">
        <v>29</v>
      </c>
      <c r="W56" s="11" t="s">
        <v>153</v>
      </c>
      <c r="X56" s="89" t="s">
        <v>153</v>
      </c>
      <c r="Y56" s="77" t="s">
        <v>334</v>
      </c>
      <c r="Z56" s="84" t="s">
        <v>1850</v>
      </c>
      <c r="AA56" s="89" t="s">
        <v>28</v>
      </c>
      <c r="AB56" s="90" t="str">
        <f>HYPERLINK(CONCATENATE("https://www.ejacket.nsf.gov/ej/showProposal.do?ID=",SUBSTITUTE(SplitQueryTable[[#This Row],[prop_id]],CHAR(160),"")),"eJ")</f>
        <v>eJ</v>
      </c>
      <c r="AC56" s="89" t="s">
        <v>1850</v>
      </c>
      <c r="AD56" s="3" t="s">
        <v>1850</v>
      </c>
      <c r="AE56" s="91">
        <v>2017</v>
      </c>
      <c r="AF56" s="13" t="s">
        <v>43</v>
      </c>
      <c r="AG56" s="13">
        <v>15000</v>
      </c>
      <c r="AH56" s="45">
        <v>15000</v>
      </c>
      <c r="AI56" s="44" t="s">
        <v>1852</v>
      </c>
      <c r="AJ56" s="2" t="s">
        <v>1853</v>
      </c>
      <c r="AK56" s="46" t="s">
        <v>1854</v>
      </c>
      <c r="AL56" s="55" t="s">
        <v>1759</v>
      </c>
      <c r="AM56" s="45" t="s">
        <v>1759</v>
      </c>
      <c r="AN56" s="56" t="s">
        <v>152</v>
      </c>
      <c r="AO56" s="23" t="s">
        <v>146</v>
      </c>
      <c r="AP56" s="11"/>
      <c r="AQ56" s="88" t="s">
        <v>1851</v>
      </c>
      <c r="AR56" s="57" t="s">
        <v>40</v>
      </c>
      <c r="AS56" s="46">
        <v>42779.595671296294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4">
      <c r="A57" s="36" t="s">
        <v>608</v>
      </c>
      <c r="B57" s="36"/>
      <c r="C57" s="36"/>
      <c r="H57" s="59">
        <v>43005.699629629627</v>
      </c>
      <c r="I57" s="43">
        <v>42562.586111111108</v>
      </c>
      <c r="J57" s="42">
        <v>42762.708969907406</v>
      </c>
      <c r="K57" s="81" t="s">
        <v>137</v>
      </c>
      <c r="L57" t="s">
        <v>1760</v>
      </c>
      <c r="M57" t="s">
        <v>1761</v>
      </c>
      <c r="N57" s="1" t="s">
        <v>1761</v>
      </c>
      <c r="O57" s="1" t="s">
        <v>1800</v>
      </c>
      <c r="P57" t="s">
        <v>227</v>
      </c>
      <c r="Q57" s="9" t="s">
        <v>45</v>
      </c>
      <c r="R57" s="82" t="s">
        <v>45</v>
      </c>
      <c r="S57" s="44" t="s">
        <v>1762</v>
      </c>
      <c r="T57" s="3" t="s">
        <v>61</v>
      </c>
      <c r="U57" s="2" t="s">
        <v>29</v>
      </c>
      <c r="V57" s="89" t="s">
        <v>29</v>
      </c>
      <c r="W57" s="11" t="s">
        <v>153</v>
      </c>
      <c r="X57" s="89" t="s">
        <v>153</v>
      </c>
      <c r="Y57" s="77" t="s">
        <v>334</v>
      </c>
      <c r="Z57" s="84" t="s">
        <v>1855</v>
      </c>
      <c r="AA57" s="89" t="s">
        <v>28</v>
      </c>
      <c r="AB57" s="90" t="str">
        <f>HYPERLINK(CONCATENATE("https://www.ejacket.nsf.gov/ej/showProposal.do?ID=",SUBSTITUTE(SplitQueryTable[[#This Row],[prop_id]],CHAR(160),"")),"eJ")</f>
        <v>eJ</v>
      </c>
      <c r="AC57" s="89" t="s">
        <v>1855</v>
      </c>
      <c r="AD57" s="3" t="s">
        <v>1855</v>
      </c>
      <c r="AE57" s="91">
        <v>2017</v>
      </c>
      <c r="AF57" s="13" t="s">
        <v>43</v>
      </c>
      <c r="AG57" s="13">
        <v>14999</v>
      </c>
      <c r="AH57" s="45">
        <v>14999</v>
      </c>
      <c r="AI57" s="44" t="s">
        <v>1857</v>
      </c>
      <c r="AJ57" s="2" t="s">
        <v>1858</v>
      </c>
      <c r="AK57" s="46" t="s">
        <v>412</v>
      </c>
      <c r="AL57" s="55" t="s">
        <v>1759</v>
      </c>
      <c r="AM57" s="45" t="s">
        <v>1759</v>
      </c>
      <c r="AN57" s="56" t="s">
        <v>152</v>
      </c>
      <c r="AO57" s="23" t="s">
        <v>146</v>
      </c>
      <c r="AP57" s="11"/>
      <c r="AQ57" s="88" t="s">
        <v>1856</v>
      </c>
      <c r="AR57" s="57" t="s">
        <v>40</v>
      </c>
      <c r="AS57" s="46">
        <v>42780.549212962964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4">
      <c r="A58" s="36" t="s">
        <v>2912</v>
      </c>
      <c r="B58" s="36"/>
      <c r="C58" s="36"/>
      <c r="H58" s="59">
        <v>43005.699629629627</v>
      </c>
      <c r="I58" s="43">
        <v>42794.436111111114</v>
      </c>
      <c r="J58" s="42">
        <v>42914.624641203707</v>
      </c>
      <c r="K58" s="81" t="s">
        <v>137</v>
      </c>
      <c r="L58" t="s">
        <v>1760</v>
      </c>
      <c r="M58" t="s">
        <v>1761</v>
      </c>
      <c r="N58" s="1" t="s">
        <v>1761</v>
      </c>
      <c r="O58" s="1" t="s">
        <v>1800</v>
      </c>
      <c r="P58" t="s">
        <v>1800</v>
      </c>
      <c r="Q58" s="9" t="s">
        <v>45</v>
      </c>
      <c r="R58" s="82" t="s">
        <v>45</v>
      </c>
      <c r="S58" s="44" t="s">
        <v>1782</v>
      </c>
      <c r="T58" s="3" t="s">
        <v>61</v>
      </c>
      <c r="U58" s="2" t="s">
        <v>29</v>
      </c>
      <c r="V58" s="89" t="s">
        <v>29</v>
      </c>
      <c r="W58" s="11" t="s">
        <v>153</v>
      </c>
      <c r="X58" s="89" t="s">
        <v>153</v>
      </c>
      <c r="Y58" s="77" t="s">
        <v>334</v>
      </c>
      <c r="Z58" s="84" t="s">
        <v>1859</v>
      </c>
      <c r="AA58" s="89" t="s">
        <v>28</v>
      </c>
      <c r="AB58" s="90" t="str">
        <f>HYPERLINK(CONCATENATE("https://www.ejacket.nsf.gov/ej/showProposal.do?ID=",SUBSTITUTE(SplitQueryTable[[#This Row],[prop_id]],CHAR(160),"")),"eJ")</f>
        <v>eJ</v>
      </c>
      <c r="AC58" s="89" t="s">
        <v>1859</v>
      </c>
      <c r="AD58" s="3" t="s">
        <v>1859</v>
      </c>
      <c r="AE58" s="91">
        <v>2017</v>
      </c>
      <c r="AF58" s="13" t="s">
        <v>43</v>
      </c>
      <c r="AG58" s="13">
        <v>15000</v>
      </c>
      <c r="AH58" s="45">
        <v>15000</v>
      </c>
      <c r="AI58" s="44" t="s">
        <v>210</v>
      </c>
      <c r="AJ58" s="2" t="s">
        <v>1861</v>
      </c>
      <c r="AK58" s="46" t="s">
        <v>465</v>
      </c>
      <c r="AL58" s="55" t="s">
        <v>1759</v>
      </c>
      <c r="AM58" s="45" t="s">
        <v>1759</v>
      </c>
      <c r="AN58" s="56" t="s">
        <v>152</v>
      </c>
      <c r="AO58" s="23" t="s">
        <v>146</v>
      </c>
      <c r="AP58" s="11"/>
      <c r="AQ58" s="88" t="s">
        <v>1860</v>
      </c>
      <c r="AR58" s="57" t="s">
        <v>40</v>
      </c>
      <c r="AS58" s="46">
        <v>42944.381041666667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4">
      <c r="A59" s="36" t="s">
        <v>2913</v>
      </c>
      <c r="B59" s="36"/>
      <c r="C59" s="36"/>
      <c r="H59" s="59">
        <v>43005.699629629627</v>
      </c>
      <c r="I59" s="43">
        <v>42562.70416666667</v>
      </c>
      <c r="J59" s="42">
        <v>42738.576747685183</v>
      </c>
      <c r="K59" s="81" t="s">
        <v>1768</v>
      </c>
      <c r="L59" t="s">
        <v>1768</v>
      </c>
      <c r="M59" t="s">
        <v>1761</v>
      </c>
      <c r="N59" s="1" t="s">
        <v>1761</v>
      </c>
      <c r="O59" s="1" t="s">
        <v>1770</v>
      </c>
      <c r="P59" t="s">
        <v>1770</v>
      </c>
      <c r="Q59" s="9" t="s">
        <v>45</v>
      </c>
      <c r="R59" s="82" t="s">
        <v>45</v>
      </c>
      <c r="S59" s="44" t="s">
        <v>1762</v>
      </c>
      <c r="T59" s="3" t="s">
        <v>61</v>
      </c>
      <c r="U59" s="2" t="s">
        <v>29</v>
      </c>
      <c r="V59" s="89" t="s">
        <v>29</v>
      </c>
      <c r="W59" s="11" t="s">
        <v>153</v>
      </c>
      <c r="X59" s="89" t="s">
        <v>153</v>
      </c>
      <c r="Y59" s="77" t="s">
        <v>1772</v>
      </c>
      <c r="Z59" s="84" t="s">
        <v>1862</v>
      </c>
      <c r="AA59" s="89" t="s">
        <v>28</v>
      </c>
      <c r="AB59" s="90" t="str">
        <f>HYPERLINK(CONCATENATE("https://www.ejacket.nsf.gov/ej/showProposal.do?ID=",SUBSTITUTE(SplitQueryTable[[#This Row],[prop_id]],CHAR(160),"")),"eJ")</f>
        <v>eJ</v>
      </c>
      <c r="AC59" s="89" t="s">
        <v>1862</v>
      </c>
      <c r="AD59" s="3" t="s">
        <v>1862</v>
      </c>
      <c r="AE59" s="91">
        <v>2017</v>
      </c>
      <c r="AF59" s="13" t="s">
        <v>43</v>
      </c>
      <c r="AG59" s="13">
        <v>15000</v>
      </c>
      <c r="AH59" s="45">
        <v>15000</v>
      </c>
      <c r="AI59" s="44" t="s">
        <v>1864</v>
      </c>
      <c r="AJ59" s="2" t="s">
        <v>1865</v>
      </c>
      <c r="AK59" s="46" t="s">
        <v>1757</v>
      </c>
      <c r="AL59" s="55" t="s">
        <v>1793</v>
      </c>
      <c r="AM59" s="45" t="s">
        <v>1793</v>
      </c>
      <c r="AN59" s="56" t="s">
        <v>152</v>
      </c>
      <c r="AO59" s="23" t="s">
        <v>146</v>
      </c>
      <c r="AP59" s="11"/>
      <c r="AQ59" s="88" t="s">
        <v>1863</v>
      </c>
      <c r="AR59" s="57" t="s">
        <v>200</v>
      </c>
      <c r="AS59" s="46">
        <v>42760.844629629632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4">
      <c r="A60" s="36" t="s">
        <v>863</v>
      </c>
      <c r="B60" s="36"/>
      <c r="C60" s="36"/>
      <c r="H60" s="59">
        <v>43005.699629629627</v>
      </c>
      <c r="I60" s="43">
        <v>42562.55972222222</v>
      </c>
      <c r="J60" s="42">
        <v>42748.406643518516</v>
      </c>
      <c r="K60" s="81" t="s">
        <v>1768</v>
      </c>
      <c r="L60" t="s">
        <v>1769</v>
      </c>
      <c r="M60" t="s">
        <v>1761</v>
      </c>
      <c r="N60" s="1" t="s">
        <v>1761</v>
      </c>
      <c r="O60" s="1" t="s">
        <v>1770</v>
      </c>
      <c r="P60" t="s">
        <v>1771</v>
      </c>
      <c r="Q60" s="9" t="s">
        <v>45</v>
      </c>
      <c r="R60" s="82" t="s">
        <v>45</v>
      </c>
      <c r="S60" s="44" t="s">
        <v>1762</v>
      </c>
      <c r="T60" s="3" t="s">
        <v>61</v>
      </c>
      <c r="U60" s="2" t="s">
        <v>29</v>
      </c>
      <c r="V60" s="89" t="s">
        <v>29</v>
      </c>
      <c r="W60" s="11" t="s">
        <v>153</v>
      </c>
      <c r="X60" s="89" t="s">
        <v>153</v>
      </c>
      <c r="Y60" s="77" t="s">
        <v>1772</v>
      </c>
      <c r="Z60" s="84" t="s">
        <v>1866</v>
      </c>
      <c r="AA60" s="89" t="s">
        <v>28</v>
      </c>
      <c r="AB60" s="90" t="str">
        <f>HYPERLINK(CONCATENATE("https://www.ejacket.nsf.gov/ej/showProposal.do?ID=",SUBSTITUTE(SplitQueryTable[[#This Row],[prop_id]],CHAR(160),"")),"eJ")</f>
        <v>eJ</v>
      </c>
      <c r="AC60" s="89" t="s">
        <v>1866</v>
      </c>
      <c r="AD60" s="3" t="s">
        <v>1866</v>
      </c>
      <c r="AE60" s="91">
        <v>2017</v>
      </c>
      <c r="AF60" s="13" t="s">
        <v>43</v>
      </c>
      <c r="AG60" s="13">
        <v>15000</v>
      </c>
      <c r="AH60" s="45">
        <v>15000</v>
      </c>
      <c r="AI60" s="44" t="s">
        <v>1868</v>
      </c>
      <c r="AJ60" s="2" t="s">
        <v>1869</v>
      </c>
      <c r="AK60" s="46" t="s">
        <v>1745</v>
      </c>
      <c r="AL60" s="55" t="s">
        <v>1775</v>
      </c>
      <c r="AM60" s="45" t="s">
        <v>1775</v>
      </c>
      <c r="AN60" s="56" t="s">
        <v>152</v>
      </c>
      <c r="AO60" s="23" t="s">
        <v>146</v>
      </c>
      <c r="AP60" s="11"/>
      <c r="AQ60" s="88" t="s">
        <v>1867</v>
      </c>
      <c r="AR60" s="57" t="s">
        <v>200</v>
      </c>
      <c r="AS60" s="46">
        <v>42762.713923611111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4">
      <c r="A61" s="36" t="s">
        <v>2914</v>
      </c>
      <c r="B61" s="36"/>
      <c r="C61" s="36"/>
      <c r="H61" s="59">
        <v>43005.699629629627</v>
      </c>
      <c r="I61" s="43">
        <v>42793.468055555553</v>
      </c>
      <c r="J61" s="42">
        <v>42929.371527777781</v>
      </c>
      <c r="K61" s="81" t="s">
        <v>1768</v>
      </c>
      <c r="L61" t="s">
        <v>1768</v>
      </c>
      <c r="M61" t="s">
        <v>1761</v>
      </c>
      <c r="N61" s="1" t="s">
        <v>1761</v>
      </c>
      <c r="O61" s="1" t="s">
        <v>1781</v>
      </c>
      <c r="P61" t="s">
        <v>1781</v>
      </c>
      <c r="Q61" s="9" t="s">
        <v>45</v>
      </c>
      <c r="R61" s="82" t="s">
        <v>45</v>
      </c>
      <c r="S61" s="44" t="s">
        <v>1782</v>
      </c>
      <c r="T61" s="3" t="s">
        <v>61</v>
      </c>
      <c r="U61" s="2" t="s">
        <v>29</v>
      </c>
      <c r="V61" s="89" t="s">
        <v>29</v>
      </c>
      <c r="W61" s="11" t="s">
        <v>153</v>
      </c>
      <c r="X61" s="89" t="s">
        <v>153</v>
      </c>
      <c r="Y61" s="77" t="s">
        <v>1772</v>
      </c>
      <c r="Z61" s="84" t="s">
        <v>1870</v>
      </c>
      <c r="AA61" s="89" t="s">
        <v>28</v>
      </c>
      <c r="AB61" s="90" t="str">
        <f>HYPERLINK(CONCATENATE("https://www.ejacket.nsf.gov/ej/showProposal.do?ID=",SUBSTITUTE(SplitQueryTable[[#This Row],[prop_id]],CHAR(160),"")),"eJ")</f>
        <v>eJ</v>
      </c>
      <c r="AC61" s="89" t="s">
        <v>1870</v>
      </c>
      <c r="AD61" s="3" t="s">
        <v>1870</v>
      </c>
      <c r="AE61" s="91">
        <v>2017</v>
      </c>
      <c r="AF61" s="13" t="s">
        <v>43</v>
      </c>
      <c r="AG61" s="13">
        <v>200000</v>
      </c>
      <c r="AH61" s="45">
        <v>200000</v>
      </c>
      <c r="AI61" s="44" t="s">
        <v>1048</v>
      </c>
      <c r="AJ61" s="2" t="s">
        <v>231</v>
      </c>
      <c r="AK61" s="46" t="s">
        <v>1874</v>
      </c>
      <c r="AL61" s="55" t="s">
        <v>1872</v>
      </c>
      <c r="AM61" s="45" t="s">
        <v>1873</v>
      </c>
      <c r="AN61" s="56" t="s">
        <v>152</v>
      </c>
      <c r="AO61" s="23" t="s">
        <v>146</v>
      </c>
      <c r="AP61" s="11"/>
      <c r="AQ61" s="88" t="s">
        <v>1871</v>
      </c>
      <c r="AR61" s="57" t="s">
        <v>200</v>
      </c>
      <c r="AS61" s="46">
        <v>42950.483946759261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4">
      <c r="A62" s="36" t="s">
        <v>2915</v>
      </c>
      <c r="B62" s="36"/>
      <c r="C62" s="36"/>
      <c r="H62" s="59">
        <v>43005.699629629627</v>
      </c>
      <c r="I62" s="43">
        <v>42562.705555555556</v>
      </c>
      <c r="J62" s="42">
        <v>42745.510324074072</v>
      </c>
      <c r="K62" s="81" t="s">
        <v>1768</v>
      </c>
      <c r="L62" t="s">
        <v>1768</v>
      </c>
      <c r="M62" t="s">
        <v>1761</v>
      </c>
      <c r="N62" s="1" t="s">
        <v>1761</v>
      </c>
      <c r="O62" s="1" t="s">
        <v>1770</v>
      </c>
      <c r="P62" t="s">
        <v>1770</v>
      </c>
      <c r="Q62" s="9" t="s">
        <v>45</v>
      </c>
      <c r="R62" s="82" t="s">
        <v>45</v>
      </c>
      <c r="S62" s="44" t="s">
        <v>1762</v>
      </c>
      <c r="T62" s="3" t="s">
        <v>61</v>
      </c>
      <c r="U62" s="2" t="s">
        <v>29</v>
      </c>
      <c r="V62" s="89" t="s">
        <v>29</v>
      </c>
      <c r="W62" s="11" t="s">
        <v>153</v>
      </c>
      <c r="X62" s="89" t="s">
        <v>153</v>
      </c>
      <c r="Y62" s="77" t="s">
        <v>1772</v>
      </c>
      <c r="Z62" s="84" t="s">
        <v>1875</v>
      </c>
      <c r="AA62" s="89" t="s">
        <v>28</v>
      </c>
      <c r="AB62" s="90" t="str">
        <f>HYPERLINK(CONCATENATE("https://www.ejacket.nsf.gov/ej/showProposal.do?ID=",SUBSTITUTE(SplitQueryTable[[#This Row],[prop_id]],CHAR(160),"")),"eJ")</f>
        <v>eJ</v>
      </c>
      <c r="AC62" s="89" t="s">
        <v>1875</v>
      </c>
      <c r="AD62" s="3" t="s">
        <v>1875</v>
      </c>
      <c r="AE62" s="91">
        <v>2017</v>
      </c>
      <c r="AF62" s="13" t="s">
        <v>43</v>
      </c>
      <c r="AG62" s="13">
        <v>300000</v>
      </c>
      <c r="AH62" s="45">
        <v>450000</v>
      </c>
      <c r="AI62" s="44" t="s">
        <v>1877</v>
      </c>
      <c r="AJ62" s="2" t="s">
        <v>262</v>
      </c>
      <c r="AK62" s="46" t="s">
        <v>1757</v>
      </c>
      <c r="AL62" s="55" t="s">
        <v>1793</v>
      </c>
      <c r="AM62" s="45" t="s">
        <v>1793</v>
      </c>
      <c r="AN62" s="56" t="s">
        <v>152</v>
      </c>
      <c r="AO62" s="23" t="s">
        <v>146</v>
      </c>
      <c r="AP62" s="11"/>
      <c r="AQ62" s="88" t="s">
        <v>1876</v>
      </c>
      <c r="AR62" s="57" t="s">
        <v>200</v>
      </c>
      <c r="AS62" s="46">
        <v>42759.354803240742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4">
      <c r="A63" s="36" t="s">
        <v>2916</v>
      </c>
      <c r="B63" s="36"/>
      <c r="C63" s="36"/>
      <c r="H63" s="59">
        <v>43005.699629629627</v>
      </c>
      <c r="I63" s="43">
        <v>42794.665972222225</v>
      </c>
      <c r="J63" s="42">
        <v>42925.726145833331</v>
      </c>
      <c r="K63" s="81" t="s">
        <v>1768</v>
      </c>
      <c r="L63" t="s">
        <v>1768</v>
      </c>
      <c r="M63" t="s">
        <v>1761</v>
      </c>
      <c r="N63" s="1" t="s">
        <v>1761</v>
      </c>
      <c r="O63" s="1" t="s">
        <v>1781</v>
      </c>
      <c r="P63" t="s">
        <v>1781</v>
      </c>
      <c r="Q63" s="9" t="s">
        <v>45</v>
      </c>
      <c r="R63" s="82" t="s">
        <v>45</v>
      </c>
      <c r="S63" s="44" t="s">
        <v>1782</v>
      </c>
      <c r="T63" s="3" t="s">
        <v>61</v>
      </c>
      <c r="U63" s="2" t="s">
        <v>29</v>
      </c>
      <c r="V63" s="89" t="s">
        <v>29</v>
      </c>
      <c r="W63" s="11" t="s">
        <v>153</v>
      </c>
      <c r="X63" s="89" t="s">
        <v>153</v>
      </c>
      <c r="Y63" s="77" t="s">
        <v>1772</v>
      </c>
      <c r="Z63" s="84" t="s">
        <v>1878</v>
      </c>
      <c r="AA63" s="89" t="s">
        <v>28</v>
      </c>
      <c r="AB63" s="90" t="str">
        <f>HYPERLINK(CONCATENATE("https://www.ejacket.nsf.gov/ej/showProposal.do?ID=",SUBSTITUTE(SplitQueryTable[[#This Row],[prop_id]],CHAR(160),"")),"eJ")</f>
        <v>eJ</v>
      </c>
      <c r="AC63" s="89" t="s">
        <v>1878</v>
      </c>
      <c r="AD63" s="3" t="s">
        <v>1878</v>
      </c>
      <c r="AE63" s="91">
        <v>2017</v>
      </c>
      <c r="AF63" s="13" t="s">
        <v>43</v>
      </c>
      <c r="AG63" s="13">
        <v>14996</v>
      </c>
      <c r="AH63" s="45">
        <v>14996</v>
      </c>
      <c r="AI63" s="44" t="s">
        <v>1880</v>
      </c>
      <c r="AJ63" s="2" t="s">
        <v>199</v>
      </c>
      <c r="AK63" s="46" t="s">
        <v>301</v>
      </c>
      <c r="AL63" s="55" t="s">
        <v>1785</v>
      </c>
      <c r="AM63" s="45" t="s">
        <v>1759</v>
      </c>
      <c r="AN63" s="56" t="s">
        <v>152</v>
      </c>
      <c r="AO63" s="23" t="s">
        <v>146</v>
      </c>
      <c r="AP63" s="11"/>
      <c r="AQ63" s="88" t="s">
        <v>1879</v>
      </c>
      <c r="AR63" s="57" t="s">
        <v>200</v>
      </c>
      <c r="AS63" s="46">
        <v>42944.508032407408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4">
      <c r="A64" s="36" t="s">
        <v>2917</v>
      </c>
      <c r="B64" s="36"/>
      <c r="C64" s="36"/>
      <c r="H64" s="59">
        <v>43005.699629629627</v>
      </c>
      <c r="I64" s="43">
        <v>42562.710416666669</v>
      </c>
      <c r="J64" s="42">
        <v>42762.597974537035</v>
      </c>
      <c r="K64" s="81" t="s">
        <v>137</v>
      </c>
      <c r="L64" t="s">
        <v>1760</v>
      </c>
      <c r="M64" t="s">
        <v>1761</v>
      </c>
      <c r="N64" s="1" t="s">
        <v>1761</v>
      </c>
      <c r="O64" s="1" t="s">
        <v>1800</v>
      </c>
      <c r="P64" t="s">
        <v>227</v>
      </c>
      <c r="Q64" s="9" t="s">
        <v>45</v>
      </c>
      <c r="R64" s="82" t="s">
        <v>45</v>
      </c>
      <c r="S64" s="44" t="s">
        <v>1762</v>
      </c>
      <c r="T64" s="3" t="s">
        <v>61</v>
      </c>
      <c r="U64" s="2" t="s">
        <v>29</v>
      </c>
      <c r="V64" s="89" t="s">
        <v>29</v>
      </c>
      <c r="W64" s="11" t="s">
        <v>153</v>
      </c>
      <c r="X64" s="89" t="s">
        <v>153</v>
      </c>
      <c r="Y64" s="77" t="s">
        <v>334</v>
      </c>
      <c r="Z64" s="84" t="s">
        <v>1881</v>
      </c>
      <c r="AA64" s="89" t="s">
        <v>28</v>
      </c>
      <c r="AB64" s="90" t="str">
        <f>HYPERLINK(CONCATENATE("https://www.ejacket.nsf.gov/ej/showProposal.do?ID=",SUBSTITUTE(SplitQueryTable[[#This Row],[prop_id]],CHAR(160),"")),"eJ")</f>
        <v>eJ</v>
      </c>
      <c r="AC64" s="89" t="s">
        <v>1881</v>
      </c>
      <c r="AD64" s="3" t="s">
        <v>1881</v>
      </c>
      <c r="AE64" s="91">
        <v>2017</v>
      </c>
      <c r="AF64" s="13" t="s">
        <v>43</v>
      </c>
      <c r="AG64" s="13">
        <v>15000</v>
      </c>
      <c r="AH64" s="45">
        <v>15000</v>
      </c>
      <c r="AI64" s="44" t="s">
        <v>234</v>
      </c>
      <c r="AJ64" s="2" t="s">
        <v>1883</v>
      </c>
      <c r="AK64" s="46" t="s">
        <v>1884</v>
      </c>
      <c r="AL64" s="55" t="s">
        <v>1873</v>
      </c>
      <c r="AM64" s="45" t="s">
        <v>1873</v>
      </c>
      <c r="AN64" s="56" t="s">
        <v>152</v>
      </c>
      <c r="AO64" s="23" t="s">
        <v>146</v>
      </c>
      <c r="AP64" s="11"/>
      <c r="AQ64" s="88" t="s">
        <v>1882</v>
      </c>
      <c r="AR64" s="57" t="s">
        <v>40</v>
      </c>
      <c r="AS64" s="46">
        <v>42779.539050925923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1:88" x14ac:dyDescent="0.4">
      <c r="A65" s="36" t="s">
        <v>2918</v>
      </c>
      <c r="B65" s="36"/>
      <c r="C65" s="36"/>
      <c r="H65" s="59">
        <v>43005.699629629627</v>
      </c>
      <c r="I65" s="43">
        <v>42562.611111111109</v>
      </c>
      <c r="J65" s="42">
        <v>42762.642939814818</v>
      </c>
      <c r="K65" s="81" t="s">
        <v>137</v>
      </c>
      <c r="L65" t="s">
        <v>1760</v>
      </c>
      <c r="M65" t="s">
        <v>1761</v>
      </c>
      <c r="N65" s="1" t="s">
        <v>1761</v>
      </c>
      <c r="O65" s="1" t="s">
        <v>1800</v>
      </c>
      <c r="P65" t="s">
        <v>227</v>
      </c>
      <c r="Q65" s="9" t="s">
        <v>45</v>
      </c>
      <c r="R65" s="82" t="s">
        <v>45</v>
      </c>
      <c r="S65" s="44" t="s">
        <v>1762</v>
      </c>
      <c r="T65" s="3" t="s">
        <v>61</v>
      </c>
      <c r="U65" s="2" t="s">
        <v>29</v>
      </c>
      <c r="V65" s="89" t="s">
        <v>29</v>
      </c>
      <c r="W65" s="11" t="s">
        <v>153</v>
      </c>
      <c r="X65" s="89" t="s">
        <v>153</v>
      </c>
      <c r="Y65" s="77" t="s">
        <v>334</v>
      </c>
      <c r="Z65" s="84" t="s">
        <v>1885</v>
      </c>
      <c r="AA65" s="89" t="s">
        <v>28</v>
      </c>
      <c r="AB65" s="90" t="str">
        <f>HYPERLINK(CONCATENATE("https://www.ejacket.nsf.gov/ej/showProposal.do?ID=",SUBSTITUTE(SplitQueryTable[[#This Row],[prop_id]],CHAR(160),"")),"eJ")</f>
        <v>eJ</v>
      </c>
      <c r="AC65" s="89" t="s">
        <v>1885</v>
      </c>
      <c r="AD65" s="3" t="s">
        <v>1885</v>
      </c>
      <c r="AE65" s="91">
        <v>2017</v>
      </c>
      <c r="AF65" s="13" t="s">
        <v>43</v>
      </c>
      <c r="AG65" s="13">
        <v>14999</v>
      </c>
      <c r="AH65" s="45">
        <v>15000</v>
      </c>
      <c r="AI65" s="44" t="s">
        <v>1887</v>
      </c>
      <c r="AJ65" s="2" t="s">
        <v>1888</v>
      </c>
      <c r="AK65" s="46" t="s">
        <v>1726</v>
      </c>
      <c r="AL65" s="55" t="s">
        <v>1759</v>
      </c>
      <c r="AM65" s="45" t="s">
        <v>1759</v>
      </c>
      <c r="AN65" s="56" t="s">
        <v>152</v>
      </c>
      <c r="AO65" s="23" t="s">
        <v>146</v>
      </c>
      <c r="AP65" s="11"/>
      <c r="AQ65" s="88" t="s">
        <v>1886</v>
      </c>
      <c r="AR65" s="57" t="s">
        <v>40</v>
      </c>
      <c r="AS65" s="46">
        <v>42781.564942129633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1:88" x14ac:dyDescent="0.4">
      <c r="A66" s="36" t="s">
        <v>2919</v>
      </c>
      <c r="B66" s="36"/>
      <c r="C66" s="36"/>
      <c r="H66" s="59">
        <v>43005.699629629627</v>
      </c>
      <c r="I66" s="43">
        <v>42562.705555555556</v>
      </c>
      <c r="J66" s="42">
        <v>42769.673750000002</v>
      </c>
      <c r="K66" s="81" t="s">
        <v>1768</v>
      </c>
      <c r="L66" t="s">
        <v>1768</v>
      </c>
      <c r="M66" t="s">
        <v>1761</v>
      </c>
      <c r="N66" s="1" t="s">
        <v>1761</v>
      </c>
      <c r="O66" s="1" t="s">
        <v>1770</v>
      </c>
      <c r="P66" t="s">
        <v>1770</v>
      </c>
      <c r="Q66" s="9" t="s">
        <v>45</v>
      </c>
      <c r="R66" s="82" t="s">
        <v>45</v>
      </c>
      <c r="S66" s="44" t="s">
        <v>1762</v>
      </c>
      <c r="T66" s="3" t="s">
        <v>1889</v>
      </c>
      <c r="U66" s="2" t="s">
        <v>29</v>
      </c>
      <c r="V66" s="89" t="s">
        <v>29</v>
      </c>
      <c r="W66" s="11" t="s">
        <v>153</v>
      </c>
      <c r="X66" s="89" t="s">
        <v>153</v>
      </c>
      <c r="Y66" s="77" t="s">
        <v>1772</v>
      </c>
      <c r="Z66" s="84" t="s">
        <v>1890</v>
      </c>
      <c r="AA66" s="89" t="s">
        <v>28</v>
      </c>
      <c r="AB66" s="90" t="str">
        <f>HYPERLINK(CONCATENATE("https://www.ejacket.nsf.gov/ej/showProposal.do?ID=",SUBSTITUTE(SplitQueryTable[[#This Row],[prop_id]],CHAR(160),"")),"eJ")</f>
        <v>eJ</v>
      </c>
      <c r="AC66" s="89" t="s">
        <v>1890</v>
      </c>
      <c r="AD66" s="3" t="s">
        <v>1890</v>
      </c>
      <c r="AE66" s="91">
        <v>2017</v>
      </c>
      <c r="AF66" s="13" t="s">
        <v>43</v>
      </c>
      <c r="AG66" s="13">
        <v>199983</v>
      </c>
      <c r="AH66" s="45">
        <v>374283</v>
      </c>
      <c r="AI66" s="44" t="s">
        <v>1892</v>
      </c>
      <c r="AJ66" s="2" t="s">
        <v>191</v>
      </c>
      <c r="AK66" s="46" t="s">
        <v>301</v>
      </c>
      <c r="AL66" s="55" t="s">
        <v>1785</v>
      </c>
      <c r="AM66" s="45" t="s">
        <v>1785</v>
      </c>
      <c r="AN66" s="56" t="s">
        <v>152</v>
      </c>
      <c r="AO66" s="23" t="s">
        <v>146</v>
      </c>
      <c r="AP66" s="11"/>
      <c r="AQ66" s="88" t="s">
        <v>1891</v>
      </c>
      <c r="AR66" s="57" t="s">
        <v>200</v>
      </c>
      <c r="AS66" s="46">
        <v>42796.829155092593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1:88" x14ac:dyDescent="0.4">
      <c r="A67" s="36" t="s">
        <v>2920</v>
      </c>
      <c r="B67" s="36"/>
      <c r="C67" s="36"/>
      <c r="H67" s="59">
        <v>43005.699629629627</v>
      </c>
      <c r="I67" s="43">
        <v>42908</v>
      </c>
      <c r="J67" s="42">
        <v>42940.342905092592</v>
      </c>
      <c r="K67" s="81" t="s">
        <v>1768</v>
      </c>
      <c r="L67" t="s">
        <v>1768</v>
      </c>
      <c r="M67" t="s">
        <v>1893</v>
      </c>
      <c r="N67" s="1" t="s">
        <v>1761</v>
      </c>
      <c r="O67" s="1" t="s">
        <v>1781</v>
      </c>
      <c r="P67" t="s">
        <v>1781</v>
      </c>
      <c r="Q67" s="9" t="s">
        <v>45</v>
      </c>
      <c r="R67" s="82" t="s">
        <v>45</v>
      </c>
      <c r="S67" s="44" t="s">
        <v>52</v>
      </c>
      <c r="T67" s="3" t="s">
        <v>136</v>
      </c>
      <c r="U67" s="2" t="s">
        <v>29</v>
      </c>
      <c r="V67" s="89" t="s">
        <v>29</v>
      </c>
      <c r="W67" s="11" t="s">
        <v>153</v>
      </c>
      <c r="X67" s="89" t="s">
        <v>153</v>
      </c>
      <c r="Y67" s="77" t="s">
        <v>1772</v>
      </c>
      <c r="Z67" s="84" t="s">
        <v>1894</v>
      </c>
      <c r="AA67" s="89" t="s">
        <v>28</v>
      </c>
      <c r="AB67" s="90" t="str">
        <f>HYPERLINK(CONCATENATE("https://www.ejacket.nsf.gov/ej/showProposal.do?ID=",SUBSTITUTE(SplitQueryTable[[#This Row],[prop_id]],CHAR(160),"")),"eJ")</f>
        <v>eJ</v>
      </c>
      <c r="AC67" s="89" t="s">
        <v>1895</v>
      </c>
      <c r="AD67" s="3" t="s">
        <v>1894</v>
      </c>
      <c r="AE67" s="91">
        <v>2017</v>
      </c>
      <c r="AF67" s="13" t="s">
        <v>43</v>
      </c>
      <c r="AG67" s="13">
        <v>41000</v>
      </c>
      <c r="AH67" s="45">
        <v>41000</v>
      </c>
      <c r="AI67" s="44" t="s">
        <v>319</v>
      </c>
      <c r="AJ67" s="2" t="s">
        <v>1899</v>
      </c>
      <c r="AK67" s="46" t="s">
        <v>253</v>
      </c>
      <c r="AL67" s="55" t="s">
        <v>1897</v>
      </c>
      <c r="AM67" s="45" t="s">
        <v>1898</v>
      </c>
      <c r="AN67" s="56" t="s">
        <v>152</v>
      </c>
      <c r="AO67" s="23" t="s">
        <v>146</v>
      </c>
      <c r="AP67" s="11"/>
      <c r="AQ67" s="88" t="s">
        <v>1896</v>
      </c>
      <c r="AR67" s="57" t="s">
        <v>200</v>
      </c>
      <c r="AS67" s="46">
        <v>42973.887013888889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1:88" x14ac:dyDescent="0.4">
      <c r="A68" s="36" t="s">
        <v>2921</v>
      </c>
      <c r="B68" s="36"/>
      <c r="C68" s="36"/>
      <c r="H68" s="59">
        <v>43005.699629629627</v>
      </c>
      <c r="I68" s="43">
        <v>42908</v>
      </c>
      <c r="J68" s="42">
        <v>42940.443055555559</v>
      </c>
      <c r="K68" s="81" t="s">
        <v>1768</v>
      </c>
      <c r="L68" t="s">
        <v>1768</v>
      </c>
      <c r="M68" t="s">
        <v>1893</v>
      </c>
      <c r="N68" s="1" t="s">
        <v>1761</v>
      </c>
      <c r="O68" s="1" t="s">
        <v>1781</v>
      </c>
      <c r="P68" t="s">
        <v>1781</v>
      </c>
      <c r="Q68" s="9" t="s">
        <v>45</v>
      </c>
      <c r="R68" s="82" t="s">
        <v>45</v>
      </c>
      <c r="S68" s="44" t="s">
        <v>52</v>
      </c>
      <c r="T68" s="3" t="s">
        <v>136</v>
      </c>
      <c r="U68" s="2" t="s">
        <v>29</v>
      </c>
      <c r="V68" s="89" t="s">
        <v>29</v>
      </c>
      <c r="W68" s="11" t="s">
        <v>153</v>
      </c>
      <c r="X68" s="89" t="s">
        <v>153</v>
      </c>
      <c r="Y68" s="77" t="s">
        <v>1772</v>
      </c>
      <c r="Z68" s="84" t="s">
        <v>1900</v>
      </c>
      <c r="AA68" s="89" t="s">
        <v>28</v>
      </c>
      <c r="AB68" s="90" t="str">
        <f>HYPERLINK(CONCATENATE("https://www.ejacket.nsf.gov/ej/showProposal.do?ID=",SUBSTITUTE(SplitQueryTable[[#This Row],[prop_id]],CHAR(160),"")),"eJ")</f>
        <v>eJ</v>
      </c>
      <c r="AC68" s="89" t="s">
        <v>1895</v>
      </c>
      <c r="AD68" s="3" t="s">
        <v>1900</v>
      </c>
      <c r="AE68" s="91">
        <v>2017</v>
      </c>
      <c r="AF68" s="13" t="s">
        <v>43</v>
      </c>
      <c r="AG68" s="13">
        <v>50000</v>
      </c>
      <c r="AH68" s="45">
        <v>50000</v>
      </c>
      <c r="AI68" s="44" t="s">
        <v>319</v>
      </c>
      <c r="AJ68" s="2" t="s">
        <v>1899</v>
      </c>
      <c r="AK68" s="46" t="s">
        <v>253</v>
      </c>
      <c r="AL68" s="55" t="s">
        <v>1897</v>
      </c>
      <c r="AM68" s="45" t="s">
        <v>1898</v>
      </c>
      <c r="AN68" s="56" t="s">
        <v>152</v>
      </c>
      <c r="AO68" s="23" t="s">
        <v>146</v>
      </c>
      <c r="AP68" s="11"/>
      <c r="AQ68" s="88" t="s">
        <v>1896</v>
      </c>
      <c r="AR68" s="57" t="s">
        <v>200</v>
      </c>
      <c r="AS68" s="46">
        <v>42970.889363425929</v>
      </c>
      <c r="AT68" s="3">
        <f t="shared" si="0"/>
        <v>43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1:88" x14ac:dyDescent="0.4">
      <c r="A69" s="36" t="s">
        <v>2922</v>
      </c>
      <c r="B69" s="36"/>
      <c r="C69" s="36"/>
      <c r="H69" s="59">
        <v>43005.699629629627</v>
      </c>
      <c r="I69" s="43">
        <v>42909</v>
      </c>
      <c r="J69" s="42">
        <v>42940.684733796297</v>
      </c>
      <c r="K69" s="81" t="s">
        <v>1768</v>
      </c>
      <c r="L69" t="s">
        <v>1768</v>
      </c>
      <c r="M69" t="s">
        <v>1893</v>
      </c>
      <c r="N69" s="1" t="s">
        <v>1761</v>
      </c>
      <c r="O69" s="1" t="s">
        <v>1781</v>
      </c>
      <c r="P69" t="s">
        <v>1781</v>
      </c>
      <c r="Q69" s="9" t="s">
        <v>45</v>
      </c>
      <c r="R69" s="82" t="s">
        <v>45</v>
      </c>
      <c r="S69" s="44" t="s">
        <v>52</v>
      </c>
      <c r="T69" s="3" t="s">
        <v>136</v>
      </c>
      <c r="U69" s="2" t="s">
        <v>29</v>
      </c>
      <c r="V69" s="89" t="s">
        <v>29</v>
      </c>
      <c r="W69" s="11" t="s">
        <v>153</v>
      </c>
      <c r="X69" s="89" t="s">
        <v>153</v>
      </c>
      <c r="Y69" s="77" t="s">
        <v>1772</v>
      </c>
      <c r="Z69" s="84" t="s">
        <v>1901</v>
      </c>
      <c r="AA69" s="89" t="s">
        <v>28</v>
      </c>
      <c r="AB69" s="90" t="str">
        <f>HYPERLINK(CONCATENATE("https://www.ejacket.nsf.gov/ej/showProposal.do?ID=",SUBSTITUTE(SplitQueryTable[[#This Row],[prop_id]],CHAR(160),"")),"eJ")</f>
        <v>eJ</v>
      </c>
      <c r="AC69" s="89" t="s">
        <v>1902</v>
      </c>
      <c r="AD69" s="3" t="s">
        <v>1901</v>
      </c>
      <c r="AE69" s="91">
        <v>2017</v>
      </c>
      <c r="AF69" s="13" t="s">
        <v>43</v>
      </c>
      <c r="AG69" s="13">
        <v>44376</v>
      </c>
      <c r="AH69" s="45">
        <v>44376</v>
      </c>
      <c r="AI69" s="44" t="s">
        <v>1906</v>
      </c>
      <c r="AJ69" s="2" t="s">
        <v>1907</v>
      </c>
      <c r="AK69" s="46" t="s">
        <v>1720</v>
      </c>
      <c r="AL69" s="55" t="s">
        <v>1904</v>
      </c>
      <c r="AM69" s="45" t="s">
        <v>1905</v>
      </c>
      <c r="AN69" s="56" t="s">
        <v>152</v>
      </c>
      <c r="AO69" s="23" t="s">
        <v>146</v>
      </c>
      <c r="AP69" s="11"/>
      <c r="AQ69" s="88" t="s">
        <v>1903</v>
      </c>
      <c r="AR69" s="57" t="s">
        <v>200</v>
      </c>
      <c r="AS69" s="46">
        <v>42978.534571759257</v>
      </c>
      <c r="AT69" s="3">
        <f t="shared" si="0"/>
        <v>44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1:88" x14ac:dyDescent="0.4">
      <c r="A70" s="36" t="s">
        <v>2923</v>
      </c>
      <c r="B70" s="36"/>
      <c r="C70" s="36"/>
      <c r="H70" s="59">
        <v>43005.699629629627</v>
      </c>
      <c r="I70" s="43">
        <v>42908</v>
      </c>
      <c r="J70" s="42">
        <v>42937.680856481478</v>
      </c>
      <c r="K70" s="81" t="s">
        <v>1768</v>
      </c>
      <c r="L70" t="s">
        <v>1768</v>
      </c>
      <c r="M70" t="s">
        <v>1893</v>
      </c>
      <c r="N70" s="1" t="s">
        <v>1761</v>
      </c>
      <c r="O70" s="1" t="s">
        <v>1781</v>
      </c>
      <c r="P70" t="s">
        <v>1781</v>
      </c>
      <c r="Q70" s="9" t="s">
        <v>45</v>
      </c>
      <c r="R70" s="82" t="s">
        <v>45</v>
      </c>
      <c r="S70" s="44" t="s">
        <v>52</v>
      </c>
      <c r="T70" s="3" t="s">
        <v>136</v>
      </c>
      <c r="U70" s="2" t="s">
        <v>29</v>
      </c>
      <c r="V70" s="89" t="s">
        <v>29</v>
      </c>
      <c r="W70" s="11" t="s">
        <v>153</v>
      </c>
      <c r="X70" s="89" t="s">
        <v>153</v>
      </c>
      <c r="Y70" s="77" t="s">
        <v>1772</v>
      </c>
      <c r="Z70" s="84" t="s">
        <v>1908</v>
      </c>
      <c r="AA70" s="89" t="s">
        <v>28</v>
      </c>
      <c r="AB70" s="90" t="str">
        <f>HYPERLINK(CONCATENATE("https://www.ejacket.nsf.gov/ej/showProposal.do?ID=",SUBSTITUTE(SplitQueryTable[[#This Row],[prop_id]],CHAR(160),"")),"eJ")</f>
        <v>eJ</v>
      </c>
      <c r="AC70" s="89" t="s">
        <v>1909</v>
      </c>
      <c r="AD70" s="3" t="s">
        <v>1908</v>
      </c>
      <c r="AE70" s="91">
        <v>2017</v>
      </c>
      <c r="AF70" s="13" t="s">
        <v>43</v>
      </c>
      <c r="AG70" s="13">
        <v>40563</v>
      </c>
      <c r="AH70" s="45">
        <v>40563</v>
      </c>
      <c r="AI70" s="44" t="s">
        <v>1911</v>
      </c>
      <c r="AJ70" s="2" t="s">
        <v>1912</v>
      </c>
      <c r="AK70" s="46" t="s">
        <v>1913</v>
      </c>
      <c r="AL70" s="55" t="s">
        <v>1904</v>
      </c>
      <c r="AM70" s="45" t="s">
        <v>1905</v>
      </c>
      <c r="AN70" s="56" t="s">
        <v>152</v>
      </c>
      <c r="AO70" s="23" t="s">
        <v>146</v>
      </c>
      <c r="AP70" s="11"/>
      <c r="AQ70" s="88" t="s">
        <v>1910</v>
      </c>
      <c r="AR70" s="57" t="s">
        <v>200</v>
      </c>
      <c r="AS70" s="46">
        <v>42985.378032407411</v>
      </c>
      <c r="AT70" s="3">
        <f t="shared" si="0"/>
        <v>45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1:88" x14ac:dyDescent="0.4">
      <c r="A71" s="36" t="s">
        <v>1180</v>
      </c>
      <c r="B71" s="36"/>
      <c r="C71" s="36"/>
      <c r="H71" s="59">
        <v>43005.699629629627</v>
      </c>
      <c r="I71" s="43">
        <v>42648</v>
      </c>
      <c r="J71" s="42">
        <v>42905.670023148145</v>
      </c>
      <c r="K71" s="81" t="s">
        <v>137</v>
      </c>
      <c r="L71" t="s">
        <v>1760</v>
      </c>
      <c r="M71" t="s">
        <v>1761</v>
      </c>
      <c r="N71" s="1" t="s">
        <v>1761</v>
      </c>
      <c r="O71" s="1" t="s">
        <v>1800</v>
      </c>
      <c r="P71" t="s">
        <v>1800</v>
      </c>
      <c r="Q71" s="9" t="s">
        <v>45</v>
      </c>
      <c r="R71" s="82" t="s">
        <v>45</v>
      </c>
      <c r="S71" s="44" t="s">
        <v>52</v>
      </c>
      <c r="T71" s="3" t="s">
        <v>136</v>
      </c>
      <c r="U71" s="2" t="s">
        <v>29</v>
      </c>
      <c r="V71" s="89" t="s">
        <v>29</v>
      </c>
      <c r="W71" s="11" t="s">
        <v>153</v>
      </c>
      <c r="X71" s="89" t="s">
        <v>153</v>
      </c>
      <c r="Y71" s="77" t="s">
        <v>334</v>
      </c>
      <c r="Z71" s="84" t="s">
        <v>1914</v>
      </c>
      <c r="AA71" s="89" t="s">
        <v>28</v>
      </c>
      <c r="AB71" s="90" t="str">
        <f>HYPERLINK(CONCATENATE("https://www.ejacket.nsf.gov/ej/showProposal.do?ID=",SUBSTITUTE(SplitQueryTable[[#This Row],[prop_id]],CHAR(160),"")),"eJ")</f>
        <v>eJ</v>
      </c>
      <c r="AC71" s="89" t="s">
        <v>1915</v>
      </c>
      <c r="AD71" s="3" t="s">
        <v>1914</v>
      </c>
      <c r="AE71" s="91">
        <v>2017</v>
      </c>
      <c r="AF71" s="13" t="s">
        <v>43</v>
      </c>
      <c r="AG71" s="13">
        <v>25000</v>
      </c>
      <c r="AH71" s="45">
        <v>25000</v>
      </c>
      <c r="AI71" s="44" t="s">
        <v>1917</v>
      </c>
      <c r="AJ71" s="2" t="s">
        <v>1918</v>
      </c>
      <c r="AK71" s="46" t="s">
        <v>1919</v>
      </c>
      <c r="AL71" s="55" t="s">
        <v>1759</v>
      </c>
      <c r="AM71" s="45" t="s">
        <v>1759</v>
      </c>
      <c r="AN71" s="56" t="s">
        <v>152</v>
      </c>
      <c r="AO71" s="23" t="s">
        <v>146</v>
      </c>
      <c r="AP71" s="11"/>
      <c r="AQ71" s="88" t="s">
        <v>1916</v>
      </c>
      <c r="AR71" s="57" t="s">
        <v>362</v>
      </c>
      <c r="AS71" s="46">
        <v>42922.702569444446</v>
      </c>
      <c r="AT71" s="3">
        <f t="shared" si="0"/>
        <v>46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1:88" x14ac:dyDescent="0.4">
      <c r="A72" s="36" t="s">
        <v>2924</v>
      </c>
      <c r="B72" s="36"/>
      <c r="C72" s="36"/>
      <c r="H72" s="59">
        <v>43005.699629629627</v>
      </c>
      <c r="I72" s="43">
        <v>42909</v>
      </c>
      <c r="J72" s="42">
        <v>42940.343506944446</v>
      </c>
      <c r="K72" s="81" t="s">
        <v>1768</v>
      </c>
      <c r="L72" t="s">
        <v>1768</v>
      </c>
      <c r="M72" t="s">
        <v>1893</v>
      </c>
      <c r="N72" s="1" t="s">
        <v>1761</v>
      </c>
      <c r="O72" s="1" t="s">
        <v>1781</v>
      </c>
      <c r="P72" t="s">
        <v>1781</v>
      </c>
      <c r="Q72" s="9" t="s">
        <v>45</v>
      </c>
      <c r="R72" s="82" t="s">
        <v>45</v>
      </c>
      <c r="S72" s="44" t="s">
        <v>52</v>
      </c>
      <c r="T72" s="3" t="s">
        <v>136</v>
      </c>
      <c r="U72" s="2" t="s">
        <v>29</v>
      </c>
      <c r="V72" s="89" t="s">
        <v>29</v>
      </c>
      <c r="W72" s="11" t="s">
        <v>153</v>
      </c>
      <c r="X72" s="89" t="s">
        <v>153</v>
      </c>
      <c r="Y72" s="77" t="s">
        <v>1772</v>
      </c>
      <c r="Z72" s="84" t="s">
        <v>1920</v>
      </c>
      <c r="AA72" s="89" t="s">
        <v>28</v>
      </c>
      <c r="AB72" s="90" t="str">
        <f>HYPERLINK(CONCATENATE("https://www.ejacket.nsf.gov/ej/showProposal.do?ID=",SUBSTITUTE(SplitQueryTable[[#This Row],[prop_id]],CHAR(160),"")),"eJ")</f>
        <v>eJ</v>
      </c>
      <c r="AC72" s="89" t="s">
        <v>1921</v>
      </c>
      <c r="AD72" s="3" t="s">
        <v>1920</v>
      </c>
      <c r="AE72" s="91">
        <v>2017</v>
      </c>
      <c r="AF72" s="13" t="s">
        <v>43</v>
      </c>
      <c r="AG72" s="13">
        <v>24793</v>
      </c>
      <c r="AH72" s="45">
        <v>24793</v>
      </c>
      <c r="AI72" s="44" t="s">
        <v>1925</v>
      </c>
      <c r="AJ72" s="2" t="s">
        <v>1926</v>
      </c>
      <c r="AK72" s="46" t="s">
        <v>209</v>
      </c>
      <c r="AL72" s="55" t="s">
        <v>1923</v>
      </c>
      <c r="AM72" s="45" t="s">
        <v>1924</v>
      </c>
      <c r="AN72" s="56" t="s">
        <v>152</v>
      </c>
      <c r="AO72" s="23" t="s">
        <v>146</v>
      </c>
      <c r="AP72" s="11"/>
      <c r="AQ72" s="88" t="s">
        <v>1922</v>
      </c>
      <c r="AR72" s="57" t="s">
        <v>200</v>
      </c>
      <c r="AS72" s="46">
        <v>42973.875891203701</v>
      </c>
      <c r="AT72" s="3">
        <f t="shared" si="0"/>
        <v>47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1:88" x14ac:dyDescent="0.4">
      <c r="A73" s="36" t="s">
        <v>2925</v>
      </c>
      <c r="B73" s="36"/>
      <c r="C73" s="36"/>
      <c r="H73" s="59">
        <v>43005.699629629627</v>
      </c>
      <c r="I73" s="43">
        <v>42907</v>
      </c>
      <c r="J73" s="42">
        <v>42940.342152777775</v>
      </c>
      <c r="K73" s="81" t="s">
        <v>1768</v>
      </c>
      <c r="L73" t="s">
        <v>1768</v>
      </c>
      <c r="M73" t="s">
        <v>1893</v>
      </c>
      <c r="N73" s="1" t="s">
        <v>1761</v>
      </c>
      <c r="O73" s="1" t="s">
        <v>1781</v>
      </c>
      <c r="P73" t="s">
        <v>1781</v>
      </c>
      <c r="Q73" s="9" t="s">
        <v>45</v>
      </c>
      <c r="R73" s="82" t="s">
        <v>45</v>
      </c>
      <c r="S73" s="44" t="s">
        <v>52</v>
      </c>
      <c r="T73" s="3" t="s">
        <v>136</v>
      </c>
      <c r="U73" s="2" t="s">
        <v>29</v>
      </c>
      <c r="V73" s="89" t="s">
        <v>29</v>
      </c>
      <c r="W73" s="11" t="s">
        <v>153</v>
      </c>
      <c r="X73" s="89" t="s">
        <v>153</v>
      </c>
      <c r="Y73" s="77" t="s">
        <v>1772</v>
      </c>
      <c r="Z73" s="84" t="s">
        <v>1927</v>
      </c>
      <c r="AA73" s="89" t="s">
        <v>28</v>
      </c>
      <c r="AB73" s="90" t="str">
        <f>HYPERLINK(CONCATENATE("https://www.ejacket.nsf.gov/ej/showProposal.do?ID=",SUBSTITUTE(SplitQueryTable[[#This Row],[prop_id]],CHAR(160),"")),"eJ")</f>
        <v>eJ</v>
      </c>
      <c r="AC73" s="89" t="s">
        <v>1928</v>
      </c>
      <c r="AD73" s="3" t="s">
        <v>1927</v>
      </c>
      <c r="AE73" s="91">
        <v>2017</v>
      </c>
      <c r="AF73" s="13" t="s">
        <v>43</v>
      </c>
      <c r="AG73" s="13">
        <v>40002</v>
      </c>
      <c r="AH73" s="45">
        <v>40002</v>
      </c>
      <c r="AI73" s="44" t="s">
        <v>1932</v>
      </c>
      <c r="AJ73" s="2" t="s">
        <v>1933</v>
      </c>
      <c r="AK73" s="46" t="s">
        <v>209</v>
      </c>
      <c r="AL73" s="55" t="s">
        <v>1930</v>
      </c>
      <c r="AM73" s="45" t="s">
        <v>1931</v>
      </c>
      <c r="AN73" s="56" t="s">
        <v>152</v>
      </c>
      <c r="AO73" s="23" t="s">
        <v>146</v>
      </c>
      <c r="AP73" s="11"/>
      <c r="AQ73" s="88" t="s">
        <v>1929</v>
      </c>
      <c r="AR73" s="57" t="s">
        <v>200</v>
      </c>
      <c r="AS73" s="46">
        <v>42973.889618055553</v>
      </c>
      <c r="AT73" s="3">
        <f t="shared" si="0"/>
        <v>48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1:88" x14ac:dyDescent="0.4">
      <c r="A74" s="36" t="s">
        <v>729</v>
      </c>
      <c r="B74" s="36"/>
      <c r="C74" s="36"/>
      <c r="H74" s="59">
        <v>43005.699629629627</v>
      </c>
      <c r="I74" s="43">
        <v>42909</v>
      </c>
      <c r="J74" s="42">
        <v>42940.344895833332</v>
      </c>
      <c r="K74" s="81" t="s">
        <v>1768</v>
      </c>
      <c r="L74" t="s">
        <v>1768</v>
      </c>
      <c r="M74" t="s">
        <v>1893</v>
      </c>
      <c r="N74" s="1" t="s">
        <v>1761</v>
      </c>
      <c r="O74" s="1" t="s">
        <v>1781</v>
      </c>
      <c r="P74" t="s">
        <v>1781</v>
      </c>
      <c r="Q74" s="9" t="s">
        <v>45</v>
      </c>
      <c r="R74" s="82" t="s">
        <v>45</v>
      </c>
      <c r="S74" s="44" t="s">
        <v>52</v>
      </c>
      <c r="T74" s="3" t="s">
        <v>136</v>
      </c>
      <c r="U74" s="2" t="s">
        <v>29</v>
      </c>
      <c r="V74" s="89" t="s">
        <v>29</v>
      </c>
      <c r="W74" s="11" t="s">
        <v>153</v>
      </c>
      <c r="X74" s="89" t="s">
        <v>153</v>
      </c>
      <c r="Y74" s="77" t="s">
        <v>1772</v>
      </c>
      <c r="Z74" s="84" t="s">
        <v>1934</v>
      </c>
      <c r="AA74" s="89" t="s">
        <v>28</v>
      </c>
      <c r="AB74" s="90" t="str">
        <f>HYPERLINK(CONCATENATE("https://www.ejacket.nsf.gov/ej/showProposal.do?ID=",SUBSTITUTE(SplitQueryTable[[#This Row],[prop_id]],CHAR(160),"")),"eJ")</f>
        <v>eJ</v>
      </c>
      <c r="AC74" s="89" t="s">
        <v>1935</v>
      </c>
      <c r="AD74" s="3" t="s">
        <v>1934</v>
      </c>
      <c r="AE74" s="91">
        <v>2017</v>
      </c>
      <c r="AF74" s="13" t="s">
        <v>43</v>
      </c>
      <c r="AG74" s="13">
        <v>26009</v>
      </c>
      <c r="AH74" s="45">
        <v>26009</v>
      </c>
      <c r="AI74" s="44" t="s">
        <v>1939</v>
      </c>
      <c r="AJ74" s="2" t="s">
        <v>1940</v>
      </c>
      <c r="AK74" s="46" t="s">
        <v>1735</v>
      </c>
      <c r="AL74" s="55" t="s">
        <v>1937</v>
      </c>
      <c r="AM74" s="45" t="s">
        <v>1938</v>
      </c>
      <c r="AN74" s="56" t="s">
        <v>152</v>
      </c>
      <c r="AO74" s="23" t="s">
        <v>146</v>
      </c>
      <c r="AP74" s="11"/>
      <c r="AQ74" s="88" t="s">
        <v>1936</v>
      </c>
      <c r="AR74" s="57" t="s">
        <v>200</v>
      </c>
      <c r="AS74" s="46">
        <v>42958.610254629632</v>
      </c>
      <c r="AT74" s="3">
        <f t="shared" si="0"/>
        <v>49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1:88" x14ac:dyDescent="0.4">
      <c r="A75" s="36" t="s">
        <v>2926</v>
      </c>
      <c r="B75" s="36"/>
      <c r="C75" s="36"/>
      <c r="H75" s="59">
        <v>43005.699629629627</v>
      </c>
      <c r="I75" s="43">
        <v>42825</v>
      </c>
      <c r="J75" s="42">
        <v>42913.68236111111</v>
      </c>
      <c r="K75" s="81" t="s">
        <v>1768</v>
      </c>
      <c r="L75" t="s">
        <v>1768</v>
      </c>
      <c r="M75" t="s">
        <v>1761</v>
      </c>
      <c r="N75" s="1" t="s">
        <v>1761</v>
      </c>
      <c r="O75" s="1" t="s">
        <v>1781</v>
      </c>
      <c r="P75" t="s">
        <v>1781</v>
      </c>
      <c r="Q75" s="9" t="s">
        <v>45</v>
      </c>
      <c r="R75" s="82" t="s">
        <v>45</v>
      </c>
      <c r="S75" s="44" t="s">
        <v>1941</v>
      </c>
      <c r="T75" s="3" t="s">
        <v>136</v>
      </c>
      <c r="U75" s="2" t="s">
        <v>29</v>
      </c>
      <c r="V75" s="89" t="s">
        <v>29</v>
      </c>
      <c r="W75" s="11" t="s">
        <v>153</v>
      </c>
      <c r="X75" s="89" t="s">
        <v>153</v>
      </c>
      <c r="Y75" s="77" t="s">
        <v>1772</v>
      </c>
      <c r="Z75" s="84" t="s">
        <v>1942</v>
      </c>
      <c r="AA75" s="89" t="s">
        <v>28</v>
      </c>
      <c r="AB75" s="90" t="str">
        <f>HYPERLINK(CONCATENATE("https://www.ejacket.nsf.gov/ej/showProposal.do?ID=",SUBSTITUTE(SplitQueryTable[[#This Row],[prop_id]],CHAR(160),"")),"eJ")</f>
        <v>eJ</v>
      </c>
      <c r="AC75" s="89" t="s">
        <v>1943</v>
      </c>
      <c r="AD75" s="3" t="s">
        <v>1942</v>
      </c>
      <c r="AE75" s="91">
        <v>2017</v>
      </c>
      <c r="AF75" s="13" t="s">
        <v>43</v>
      </c>
      <c r="AG75" s="13">
        <v>8000</v>
      </c>
      <c r="AH75" s="45">
        <v>8000</v>
      </c>
      <c r="AI75" s="44" t="s">
        <v>1946</v>
      </c>
      <c r="AJ75" s="2" t="s">
        <v>1947</v>
      </c>
      <c r="AK75" s="46" t="s">
        <v>1948</v>
      </c>
      <c r="AL75" s="55" t="s">
        <v>1945</v>
      </c>
      <c r="AM75" s="45" t="s">
        <v>1945</v>
      </c>
      <c r="AN75" s="56" t="s">
        <v>152</v>
      </c>
      <c r="AO75" s="23" t="s">
        <v>146</v>
      </c>
      <c r="AP75" s="11"/>
      <c r="AQ75" s="88" t="s">
        <v>1944</v>
      </c>
      <c r="AR75" s="57" t="s">
        <v>200</v>
      </c>
      <c r="AS75" s="46">
        <v>42928.660821759258</v>
      </c>
      <c r="AT75" s="3">
        <f t="shared" si="0"/>
        <v>50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1:88" x14ac:dyDescent="0.4">
      <c r="A76" s="36" t="s">
        <v>2927</v>
      </c>
      <c r="B76" s="36"/>
      <c r="C76" s="36"/>
      <c r="H76" s="59">
        <v>43005.699629629627</v>
      </c>
      <c r="I76" s="43">
        <v>42832</v>
      </c>
      <c r="J76" s="42">
        <v>42870.659930555557</v>
      </c>
      <c r="K76" s="81" t="s">
        <v>1768</v>
      </c>
      <c r="L76" t="s">
        <v>1768</v>
      </c>
      <c r="M76" t="s">
        <v>1761</v>
      </c>
      <c r="N76" s="1" t="s">
        <v>1761</v>
      </c>
      <c r="O76" s="1" t="s">
        <v>1781</v>
      </c>
      <c r="P76" t="s">
        <v>1781</v>
      </c>
      <c r="Q76" s="9" t="s">
        <v>45</v>
      </c>
      <c r="R76" s="82" t="s">
        <v>45</v>
      </c>
      <c r="S76" s="44" t="s">
        <v>1941</v>
      </c>
      <c r="T76" s="3" t="s">
        <v>136</v>
      </c>
      <c r="U76" s="2" t="s">
        <v>29</v>
      </c>
      <c r="V76" s="89" t="s">
        <v>29</v>
      </c>
      <c r="W76" s="11" t="s">
        <v>153</v>
      </c>
      <c r="X76" s="89" t="s">
        <v>153</v>
      </c>
      <c r="Y76" s="77" t="s">
        <v>1772</v>
      </c>
      <c r="Z76" s="84" t="s">
        <v>1949</v>
      </c>
      <c r="AA76" s="89" t="s">
        <v>28</v>
      </c>
      <c r="AB76" s="90" t="str">
        <f>HYPERLINK(CONCATENATE("https://www.ejacket.nsf.gov/ej/showProposal.do?ID=",SUBSTITUTE(SplitQueryTable[[#This Row],[prop_id]],CHAR(160),"")),"eJ")</f>
        <v>eJ</v>
      </c>
      <c r="AC76" s="89" t="s">
        <v>1950</v>
      </c>
      <c r="AD76" s="3" t="s">
        <v>1949</v>
      </c>
      <c r="AE76" s="91">
        <v>2017</v>
      </c>
      <c r="AF76" s="13" t="s">
        <v>43</v>
      </c>
      <c r="AG76" s="13">
        <v>8000</v>
      </c>
      <c r="AH76" s="45">
        <v>8000</v>
      </c>
      <c r="AI76" s="44" t="s">
        <v>1953</v>
      </c>
      <c r="AJ76" s="2" t="s">
        <v>1954</v>
      </c>
      <c r="AK76" s="46" t="s">
        <v>1955</v>
      </c>
      <c r="AL76" s="55" t="s">
        <v>1952</v>
      </c>
      <c r="AM76" s="45" t="s">
        <v>1952</v>
      </c>
      <c r="AN76" s="56" t="s">
        <v>152</v>
      </c>
      <c r="AO76" s="23" t="s">
        <v>146</v>
      </c>
      <c r="AP76" s="11"/>
      <c r="AQ76" s="88" t="s">
        <v>1951</v>
      </c>
      <c r="AR76" s="57" t="s">
        <v>200</v>
      </c>
      <c r="AS76" s="46">
        <v>42886.444247685184</v>
      </c>
      <c r="AT76" s="3">
        <f t="shared" si="0"/>
        <v>51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1:88" x14ac:dyDescent="0.4">
      <c r="A77" s="36" t="s">
        <v>2928</v>
      </c>
      <c r="B77" s="36"/>
      <c r="C77" s="36"/>
      <c r="H77" s="59">
        <v>43005.699629629627</v>
      </c>
      <c r="I77" s="43">
        <v>42909</v>
      </c>
      <c r="J77" s="42">
        <v>42940.455590277779</v>
      </c>
      <c r="K77" s="81" t="s">
        <v>1768</v>
      </c>
      <c r="L77" t="s">
        <v>1768</v>
      </c>
      <c r="M77" t="s">
        <v>1893</v>
      </c>
      <c r="N77" s="1" t="s">
        <v>1761</v>
      </c>
      <c r="O77" s="1" t="s">
        <v>1781</v>
      </c>
      <c r="P77" t="s">
        <v>1781</v>
      </c>
      <c r="Q77" s="9" t="s">
        <v>45</v>
      </c>
      <c r="R77" s="82" t="s">
        <v>45</v>
      </c>
      <c r="S77" s="44" t="s">
        <v>52</v>
      </c>
      <c r="T77" s="3" t="s">
        <v>136</v>
      </c>
      <c r="U77" s="2" t="s">
        <v>29</v>
      </c>
      <c r="V77" s="89" t="s">
        <v>29</v>
      </c>
      <c r="W77" s="11" t="s">
        <v>153</v>
      </c>
      <c r="X77" s="89" t="s">
        <v>153</v>
      </c>
      <c r="Y77" s="77" t="s">
        <v>1772</v>
      </c>
      <c r="Z77" s="84" t="s">
        <v>1956</v>
      </c>
      <c r="AA77" s="89" t="s">
        <v>28</v>
      </c>
      <c r="AB77" s="90" t="str">
        <f>HYPERLINK(CONCATENATE("https://www.ejacket.nsf.gov/ej/showProposal.do?ID=",SUBSTITUTE(SplitQueryTable[[#This Row],[prop_id]],CHAR(160),"")),"eJ")</f>
        <v>eJ</v>
      </c>
      <c r="AC77" s="89" t="s">
        <v>1957</v>
      </c>
      <c r="AD77" s="3" t="s">
        <v>1956</v>
      </c>
      <c r="AE77" s="91">
        <v>2017</v>
      </c>
      <c r="AF77" s="13" t="s">
        <v>43</v>
      </c>
      <c r="AG77" s="13">
        <v>49430</v>
      </c>
      <c r="AH77" s="45">
        <v>49430</v>
      </c>
      <c r="AI77" s="44" t="s">
        <v>1961</v>
      </c>
      <c r="AJ77" s="2" t="s">
        <v>229</v>
      </c>
      <c r="AK77" s="46" t="s">
        <v>1962</v>
      </c>
      <c r="AL77" s="55" t="s">
        <v>1959</v>
      </c>
      <c r="AM77" s="45" t="s">
        <v>1960</v>
      </c>
      <c r="AN77" s="56" t="s">
        <v>152</v>
      </c>
      <c r="AO77" s="23" t="s">
        <v>146</v>
      </c>
      <c r="AP77" s="11"/>
      <c r="AQ77" s="88" t="s">
        <v>1958</v>
      </c>
      <c r="AR77" s="57" t="s">
        <v>200</v>
      </c>
      <c r="AS77" s="46">
        <v>42971.883668981478</v>
      </c>
      <c r="AT77" s="3">
        <f t="shared" si="0"/>
        <v>52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1:88" x14ac:dyDescent="0.4">
      <c r="A78" s="36" t="s">
        <v>2929</v>
      </c>
      <c r="B78" s="36"/>
      <c r="C78" s="36"/>
      <c r="H78" s="59">
        <v>43005.699629629627</v>
      </c>
      <c r="I78" s="43">
        <v>42909</v>
      </c>
      <c r="J78" s="42">
        <v>42940.456261574072</v>
      </c>
      <c r="K78" s="81" t="s">
        <v>1768</v>
      </c>
      <c r="L78" t="s">
        <v>1768</v>
      </c>
      <c r="M78" t="s">
        <v>1893</v>
      </c>
      <c r="N78" s="1" t="s">
        <v>1761</v>
      </c>
      <c r="O78" s="1" t="s">
        <v>1781</v>
      </c>
      <c r="P78" t="s">
        <v>1781</v>
      </c>
      <c r="Q78" s="9" t="s">
        <v>45</v>
      </c>
      <c r="R78" s="82" t="s">
        <v>45</v>
      </c>
      <c r="S78" s="44" t="s">
        <v>52</v>
      </c>
      <c r="T78" s="3" t="s">
        <v>136</v>
      </c>
      <c r="U78" s="2" t="s">
        <v>29</v>
      </c>
      <c r="V78" s="89" t="s">
        <v>29</v>
      </c>
      <c r="W78" s="11" t="s">
        <v>153</v>
      </c>
      <c r="X78" s="89" t="s">
        <v>153</v>
      </c>
      <c r="Y78" s="77" t="s">
        <v>1772</v>
      </c>
      <c r="Z78" s="84" t="s">
        <v>1963</v>
      </c>
      <c r="AA78" s="89" t="s">
        <v>28</v>
      </c>
      <c r="AB78" s="90" t="str">
        <f>HYPERLINK(CONCATENATE("https://www.ejacket.nsf.gov/ej/showProposal.do?ID=",SUBSTITUTE(SplitQueryTable[[#This Row],[prop_id]],CHAR(160),"")),"eJ")</f>
        <v>eJ</v>
      </c>
      <c r="AC78" s="89" t="s">
        <v>1957</v>
      </c>
      <c r="AD78" s="3" t="s">
        <v>1963</v>
      </c>
      <c r="AE78" s="91">
        <v>2017</v>
      </c>
      <c r="AF78" s="13" t="s">
        <v>43</v>
      </c>
      <c r="AG78" s="13">
        <v>49430</v>
      </c>
      <c r="AH78" s="45">
        <v>49430</v>
      </c>
      <c r="AI78" s="44" t="s">
        <v>1961</v>
      </c>
      <c r="AJ78" s="2" t="s">
        <v>229</v>
      </c>
      <c r="AK78" s="46" t="s">
        <v>1962</v>
      </c>
      <c r="AL78" s="55" t="s">
        <v>1959</v>
      </c>
      <c r="AM78" s="45" t="s">
        <v>1960</v>
      </c>
      <c r="AN78" s="56" t="s">
        <v>152</v>
      </c>
      <c r="AO78" s="23" t="s">
        <v>146</v>
      </c>
      <c r="AP78" s="11"/>
      <c r="AQ78" s="88" t="s">
        <v>1958</v>
      </c>
      <c r="AR78" s="57" t="s">
        <v>200</v>
      </c>
      <c r="AS78" s="46">
        <v>42971.885787037034</v>
      </c>
      <c r="AT78" s="3">
        <f t="shared" si="0"/>
        <v>53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1:88" x14ac:dyDescent="0.4">
      <c r="A79" s="36" t="s">
        <v>2930</v>
      </c>
      <c r="B79" s="36"/>
      <c r="C79" s="36"/>
      <c r="H79" s="59">
        <v>43005.699629629627</v>
      </c>
      <c r="I79" s="43">
        <v>42902</v>
      </c>
      <c r="J79" s="42">
        <v>42937.6796875</v>
      </c>
      <c r="K79" s="81" t="s">
        <v>1768</v>
      </c>
      <c r="L79" t="s">
        <v>1768</v>
      </c>
      <c r="M79" t="s">
        <v>1893</v>
      </c>
      <c r="N79" s="1" t="s">
        <v>1761</v>
      </c>
      <c r="O79" s="1" t="s">
        <v>1781</v>
      </c>
      <c r="P79" t="s">
        <v>1781</v>
      </c>
      <c r="Q79" s="9" t="s">
        <v>45</v>
      </c>
      <c r="R79" s="82" t="s">
        <v>45</v>
      </c>
      <c r="S79" s="44" t="s">
        <v>52</v>
      </c>
      <c r="T79" s="3" t="s">
        <v>136</v>
      </c>
      <c r="U79" s="2" t="s">
        <v>29</v>
      </c>
      <c r="V79" s="89" t="s">
        <v>29</v>
      </c>
      <c r="W79" s="11" t="s">
        <v>153</v>
      </c>
      <c r="X79" s="89" t="s">
        <v>153</v>
      </c>
      <c r="Y79" s="77" t="s">
        <v>1772</v>
      </c>
      <c r="Z79" s="84" t="s">
        <v>1964</v>
      </c>
      <c r="AA79" s="89" t="s">
        <v>28</v>
      </c>
      <c r="AB79" s="90" t="str">
        <f>HYPERLINK(CONCATENATE("https://www.ejacket.nsf.gov/ej/showProposal.do?ID=",SUBSTITUTE(SplitQueryTable[[#This Row],[prop_id]],CHAR(160),"")),"eJ")</f>
        <v>eJ</v>
      </c>
      <c r="AC79" s="89" t="s">
        <v>1965</v>
      </c>
      <c r="AD79" s="3" t="s">
        <v>1964</v>
      </c>
      <c r="AE79" s="91">
        <v>2017</v>
      </c>
      <c r="AF79" s="13" t="s">
        <v>43</v>
      </c>
      <c r="AG79" s="13">
        <v>22669</v>
      </c>
      <c r="AH79" s="45">
        <v>22669</v>
      </c>
      <c r="AI79" s="44" t="s">
        <v>1967</v>
      </c>
      <c r="AJ79" s="2" t="s">
        <v>1968</v>
      </c>
      <c r="AK79" s="46" t="s">
        <v>1969</v>
      </c>
      <c r="AL79" s="55" t="s">
        <v>1904</v>
      </c>
      <c r="AM79" s="45" t="s">
        <v>1905</v>
      </c>
      <c r="AN79" s="56" t="s">
        <v>152</v>
      </c>
      <c r="AO79" s="23" t="s">
        <v>146</v>
      </c>
      <c r="AP79" s="11"/>
      <c r="AQ79" s="88" t="s">
        <v>1966</v>
      </c>
      <c r="AR79" s="57" t="s">
        <v>200</v>
      </c>
      <c r="AS79" s="46">
        <v>42976.546099537038</v>
      </c>
      <c r="AT79" s="3">
        <f t="shared" si="0"/>
        <v>54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1:88" x14ac:dyDescent="0.4">
      <c r="A80" s="36" t="s">
        <v>2931</v>
      </c>
      <c r="B80" s="36"/>
      <c r="C80" s="36"/>
      <c r="H80" s="59">
        <v>43005.699629629627</v>
      </c>
      <c r="I80" s="43">
        <v>42909</v>
      </c>
      <c r="J80" s="42">
        <v>42940.457245370373</v>
      </c>
      <c r="K80" s="81" t="s">
        <v>1768</v>
      </c>
      <c r="L80" t="s">
        <v>1768</v>
      </c>
      <c r="M80" t="s">
        <v>1893</v>
      </c>
      <c r="N80" s="1" t="s">
        <v>1761</v>
      </c>
      <c r="O80" s="1" t="s">
        <v>1781</v>
      </c>
      <c r="P80" t="s">
        <v>1781</v>
      </c>
      <c r="Q80" s="9" t="s">
        <v>45</v>
      </c>
      <c r="R80" s="82" t="s">
        <v>45</v>
      </c>
      <c r="S80" s="44" t="s">
        <v>52</v>
      </c>
      <c r="T80" s="3" t="s">
        <v>136</v>
      </c>
      <c r="U80" s="2" t="s">
        <v>29</v>
      </c>
      <c r="V80" s="89" t="s">
        <v>29</v>
      </c>
      <c r="W80" s="11" t="s">
        <v>153</v>
      </c>
      <c r="X80" s="89" t="s">
        <v>153</v>
      </c>
      <c r="Y80" s="77" t="s">
        <v>1772</v>
      </c>
      <c r="Z80" s="84" t="s">
        <v>1970</v>
      </c>
      <c r="AA80" s="89" t="s">
        <v>28</v>
      </c>
      <c r="AB80" s="90" t="str">
        <f>HYPERLINK(CONCATENATE("https://www.ejacket.nsf.gov/ej/showProposal.do?ID=",SUBSTITUTE(SplitQueryTable[[#This Row],[prop_id]],CHAR(160),"")),"eJ")</f>
        <v>eJ</v>
      </c>
      <c r="AC80" s="89" t="s">
        <v>1971</v>
      </c>
      <c r="AD80" s="3" t="s">
        <v>1970</v>
      </c>
      <c r="AE80" s="91">
        <v>2017</v>
      </c>
      <c r="AF80" s="13" t="s">
        <v>43</v>
      </c>
      <c r="AG80" s="13">
        <v>50000</v>
      </c>
      <c r="AH80" s="45">
        <v>50000</v>
      </c>
      <c r="AI80" s="44" t="s">
        <v>1975</v>
      </c>
      <c r="AJ80" s="2" t="s">
        <v>217</v>
      </c>
      <c r="AK80" s="46" t="s">
        <v>1757</v>
      </c>
      <c r="AL80" s="55" t="s">
        <v>1973</v>
      </c>
      <c r="AM80" s="45" t="s">
        <v>1974</v>
      </c>
      <c r="AN80" s="56" t="s">
        <v>152</v>
      </c>
      <c r="AO80" s="23" t="s">
        <v>146</v>
      </c>
      <c r="AP80" s="11"/>
      <c r="AQ80" s="88" t="s">
        <v>1972</v>
      </c>
      <c r="AR80" s="57" t="s">
        <v>200</v>
      </c>
      <c r="AS80" s="46">
        <v>42971.5781712963</v>
      </c>
      <c r="AT80" s="3">
        <f t="shared" si="0"/>
        <v>55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1:88" x14ac:dyDescent="0.4">
      <c r="A81" s="36" t="s">
        <v>2932</v>
      </c>
      <c r="B81" s="36"/>
      <c r="C81" s="36"/>
      <c r="H81" s="59">
        <v>43005.699629629627</v>
      </c>
      <c r="I81" s="43">
        <v>42906</v>
      </c>
      <c r="J81" s="42">
        <v>42940.341365740744</v>
      </c>
      <c r="K81" s="81" t="s">
        <v>1768</v>
      </c>
      <c r="L81" t="s">
        <v>1768</v>
      </c>
      <c r="M81" t="s">
        <v>1893</v>
      </c>
      <c r="N81" s="1" t="s">
        <v>1761</v>
      </c>
      <c r="O81" s="1" t="s">
        <v>1781</v>
      </c>
      <c r="P81" t="s">
        <v>1781</v>
      </c>
      <c r="Q81" s="9" t="s">
        <v>45</v>
      </c>
      <c r="R81" s="82" t="s">
        <v>45</v>
      </c>
      <c r="S81" s="44" t="s">
        <v>52</v>
      </c>
      <c r="T81" s="3" t="s">
        <v>136</v>
      </c>
      <c r="U81" s="2" t="s">
        <v>29</v>
      </c>
      <c r="V81" s="89" t="s">
        <v>29</v>
      </c>
      <c r="W81" s="11" t="s">
        <v>153</v>
      </c>
      <c r="X81" s="89" t="s">
        <v>153</v>
      </c>
      <c r="Y81" s="77" t="s">
        <v>1772</v>
      </c>
      <c r="Z81" s="84" t="s">
        <v>1976</v>
      </c>
      <c r="AA81" s="89" t="s">
        <v>28</v>
      </c>
      <c r="AB81" s="90" t="str">
        <f>HYPERLINK(CONCATENATE("https://www.ejacket.nsf.gov/ej/showProposal.do?ID=",SUBSTITUTE(SplitQueryTable[[#This Row],[prop_id]],CHAR(160),"")),"eJ")</f>
        <v>eJ</v>
      </c>
      <c r="AC81" s="89" t="s">
        <v>1977</v>
      </c>
      <c r="AD81" s="3" t="s">
        <v>1976</v>
      </c>
      <c r="AE81" s="91">
        <v>2017</v>
      </c>
      <c r="AF81" s="13" t="s">
        <v>43</v>
      </c>
      <c r="AG81" s="13">
        <v>31630</v>
      </c>
      <c r="AH81" s="45">
        <v>31630</v>
      </c>
      <c r="AI81" s="44" t="s">
        <v>1979</v>
      </c>
      <c r="AJ81" s="2" t="s">
        <v>1980</v>
      </c>
      <c r="AK81" s="46" t="s">
        <v>1981</v>
      </c>
      <c r="AL81" s="55" t="s">
        <v>1904</v>
      </c>
      <c r="AM81" s="45" t="s">
        <v>1905</v>
      </c>
      <c r="AN81" s="56" t="s">
        <v>152</v>
      </c>
      <c r="AO81" s="23" t="s">
        <v>146</v>
      </c>
      <c r="AP81" s="11"/>
      <c r="AQ81" s="88" t="s">
        <v>1978</v>
      </c>
      <c r="AR81" s="57" t="s">
        <v>200</v>
      </c>
      <c r="AS81" s="46">
        <v>42973.883067129631</v>
      </c>
      <c r="AT81" s="3">
        <f t="shared" si="0"/>
        <v>56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1:88" x14ac:dyDescent="0.4">
      <c r="A82" s="36" t="s">
        <v>2933</v>
      </c>
      <c r="B82" s="36"/>
      <c r="C82" s="36"/>
      <c r="H82" s="59">
        <v>43005.699629629627</v>
      </c>
      <c r="I82" s="43">
        <v>42912</v>
      </c>
      <c r="J82" s="42">
        <v>42940.446863425925</v>
      </c>
      <c r="K82" s="81" t="s">
        <v>1768</v>
      </c>
      <c r="L82" t="s">
        <v>1768</v>
      </c>
      <c r="M82" t="s">
        <v>1893</v>
      </c>
      <c r="N82" s="1" t="s">
        <v>1761</v>
      </c>
      <c r="O82" s="1" t="s">
        <v>1781</v>
      </c>
      <c r="P82" t="s">
        <v>1781</v>
      </c>
      <c r="Q82" s="9" t="s">
        <v>45</v>
      </c>
      <c r="R82" s="82" t="s">
        <v>45</v>
      </c>
      <c r="S82" s="44" t="s">
        <v>52</v>
      </c>
      <c r="T82" s="3" t="s">
        <v>136</v>
      </c>
      <c r="U82" s="2" t="s">
        <v>29</v>
      </c>
      <c r="V82" s="89" t="s">
        <v>29</v>
      </c>
      <c r="W82" s="11" t="s">
        <v>153</v>
      </c>
      <c r="X82" s="89" t="s">
        <v>153</v>
      </c>
      <c r="Y82" s="77" t="s">
        <v>1772</v>
      </c>
      <c r="Z82" s="84" t="s">
        <v>1982</v>
      </c>
      <c r="AA82" s="89" t="s">
        <v>28</v>
      </c>
      <c r="AB82" s="90" t="str">
        <f>HYPERLINK(CONCATENATE("https://www.ejacket.nsf.gov/ej/showProposal.do?ID=",SUBSTITUTE(SplitQueryTable[[#This Row],[prop_id]],CHAR(160),"")),"eJ")</f>
        <v>eJ</v>
      </c>
      <c r="AC82" s="89" t="s">
        <v>1983</v>
      </c>
      <c r="AD82" s="3" t="s">
        <v>1982</v>
      </c>
      <c r="AE82" s="91">
        <v>2017</v>
      </c>
      <c r="AF82" s="13" t="s">
        <v>43</v>
      </c>
      <c r="AG82" s="13">
        <v>38698</v>
      </c>
      <c r="AH82" s="45">
        <v>38698</v>
      </c>
      <c r="AI82" s="44" t="s">
        <v>1985</v>
      </c>
      <c r="AJ82" s="2" t="s">
        <v>1986</v>
      </c>
      <c r="AK82" s="46" t="s">
        <v>283</v>
      </c>
      <c r="AL82" s="55" t="s">
        <v>1897</v>
      </c>
      <c r="AM82" s="45" t="s">
        <v>1897</v>
      </c>
      <c r="AN82" s="56" t="s">
        <v>152</v>
      </c>
      <c r="AO82" s="23" t="s">
        <v>146</v>
      </c>
      <c r="AP82" s="11"/>
      <c r="AQ82" s="88" t="s">
        <v>1984</v>
      </c>
      <c r="AR82" s="57" t="s">
        <v>200</v>
      </c>
      <c r="AS82" s="46">
        <v>42977.514444444445</v>
      </c>
      <c r="AT82" s="3">
        <f t="shared" si="0"/>
        <v>57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1:88" x14ac:dyDescent="0.4">
      <c r="A83" s="36" t="s">
        <v>2934</v>
      </c>
      <c r="B83" s="36"/>
      <c r="C83" s="36"/>
      <c r="H83" s="59">
        <v>43005.699629629627</v>
      </c>
      <c r="I83" s="43">
        <v>42902</v>
      </c>
      <c r="J83" s="42">
        <v>42937.680289351854</v>
      </c>
      <c r="K83" s="81" t="s">
        <v>1768</v>
      </c>
      <c r="L83" t="s">
        <v>1768</v>
      </c>
      <c r="M83" t="s">
        <v>1893</v>
      </c>
      <c r="N83" s="1" t="s">
        <v>1761</v>
      </c>
      <c r="O83" s="1" t="s">
        <v>1781</v>
      </c>
      <c r="P83" t="s">
        <v>1781</v>
      </c>
      <c r="Q83" s="9" t="s">
        <v>45</v>
      </c>
      <c r="R83" s="82" t="s">
        <v>45</v>
      </c>
      <c r="S83" s="44" t="s">
        <v>52</v>
      </c>
      <c r="T83" s="3" t="s">
        <v>136</v>
      </c>
      <c r="U83" s="2" t="s">
        <v>29</v>
      </c>
      <c r="V83" s="89" t="s">
        <v>29</v>
      </c>
      <c r="W83" s="11" t="s">
        <v>153</v>
      </c>
      <c r="X83" s="89" t="s">
        <v>153</v>
      </c>
      <c r="Y83" s="77" t="s">
        <v>1772</v>
      </c>
      <c r="Z83" s="84" t="s">
        <v>1987</v>
      </c>
      <c r="AA83" s="89" t="s">
        <v>28</v>
      </c>
      <c r="AB83" s="90" t="str">
        <f>HYPERLINK(CONCATENATE("https://www.ejacket.nsf.gov/ej/showProposal.do?ID=",SUBSTITUTE(SplitQueryTable[[#This Row],[prop_id]],CHAR(160),"")),"eJ")</f>
        <v>eJ</v>
      </c>
      <c r="AC83" s="89" t="s">
        <v>1988</v>
      </c>
      <c r="AD83" s="3" t="s">
        <v>1987</v>
      </c>
      <c r="AE83" s="91">
        <v>2017</v>
      </c>
      <c r="AF83" s="13" t="s">
        <v>43</v>
      </c>
      <c r="AG83" s="13">
        <v>36787</v>
      </c>
      <c r="AH83" s="45">
        <v>36787</v>
      </c>
      <c r="AI83" s="44" t="s">
        <v>1991</v>
      </c>
      <c r="AJ83" s="2" t="s">
        <v>1992</v>
      </c>
      <c r="AK83" s="46" t="s">
        <v>1725</v>
      </c>
      <c r="AL83" s="55" t="s">
        <v>1990</v>
      </c>
      <c r="AM83" s="45" t="s">
        <v>1990</v>
      </c>
      <c r="AN83" s="56" t="s">
        <v>152</v>
      </c>
      <c r="AO83" s="23" t="s">
        <v>146</v>
      </c>
      <c r="AP83" s="11"/>
      <c r="AQ83" s="88" t="s">
        <v>1989</v>
      </c>
      <c r="AR83" s="57" t="s">
        <v>200</v>
      </c>
      <c r="AS83" s="46">
        <v>42971.463564814818</v>
      </c>
      <c r="AT83" s="3">
        <f t="shared" si="0"/>
        <v>58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1:88" x14ac:dyDescent="0.4">
      <c r="A84" s="36" t="s">
        <v>2935</v>
      </c>
      <c r="B84" s="36"/>
      <c r="C84" s="36"/>
      <c r="H84" s="59">
        <v>43005.699629629627</v>
      </c>
      <c r="I84" s="43">
        <v>42908</v>
      </c>
      <c r="J84" s="42">
        <v>42940.443807870368</v>
      </c>
      <c r="K84" s="81" t="s">
        <v>1768</v>
      </c>
      <c r="L84" t="s">
        <v>1768</v>
      </c>
      <c r="M84" t="s">
        <v>1893</v>
      </c>
      <c r="N84" s="1" t="s">
        <v>1761</v>
      </c>
      <c r="O84" s="1" t="s">
        <v>1781</v>
      </c>
      <c r="P84" t="s">
        <v>1781</v>
      </c>
      <c r="Q84" s="9" t="s">
        <v>45</v>
      </c>
      <c r="R84" s="82" t="s">
        <v>45</v>
      </c>
      <c r="S84" s="44" t="s">
        <v>52</v>
      </c>
      <c r="T84" s="3" t="s">
        <v>136</v>
      </c>
      <c r="U84" s="2" t="s">
        <v>29</v>
      </c>
      <c r="V84" s="89" t="s">
        <v>29</v>
      </c>
      <c r="W84" s="11" t="s">
        <v>153</v>
      </c>
      <c r="X84" s="89" t="s">
        <v>153</v>
      </c>
      <c r="Y84" s="77" t="s">
        <v>1772</v>
      </c>
      <c r="Z84" s="84" t="s">
        <v>1993</v>
      </c>
      <c r="AA84" s="89" t="s">
        <v>28</v>
      </c>
      <c r="AB84" s="90" t="str">
        <f>HYPERLINK(CONCATENATE("https://www.ejacket.nsf.gov/ej/showProposal.do?ID=",SUBSTITUTE(SplitQueryTable[[#This Row],[prop_id]],CHAR(160),"")),"eJ")</f>
        <v>eJ</v>
      </c>
      <c r="AC84" s="89" t="s">
        <v>1994</v>
      </c>
      <c r="AD84" s="3" t="s">
        <v>1993</v>
      </c>
      <c r="AE84" s="91">
        <v>2017</v>
      </c>
      <c r="AF84" s="13" t="s">
        <v>43</v>
      </c>
      <c r="AG84" s="13">
        <v>49652</v>
      </c>
      <c r="AH84" s="45">
        <v>45360</v>
      </c>
      <c r="AI84" s="44" t="s">
        <v>1997</v>
      </c>
      <c r="AJ84" s="2" t="s">
        <v>1998</v>
      </c>
      <c r="AK84" s="46" t="s">
        <v>209</v>
      </c>
      <c r="AL84" s="55" t="s">
        <v>1996</v>
      </c>
      <c r="AM84" s="45" t="s">
        <v>1996</v>
      </c>
      <c r="AN84" s="56" t="s">
        <v>152</v>
      </c>
      <c r="AO84" s="23" t="s">
        <v>146</v>
      </c>
      <c r="AP84" s="11"/>
      <c r="AQ84" s="88" t="s">
        <v>1995</v>
      </c>
      <c r="AR84" s="57" t="s">
        <v>200</v>
      </c>
      <c r="AS84" s="46">
        <v>42976.587418981479</v>
      </c>
      <c r="AT84" s="3">
        <f t="shared" si="0"/>
        <v>59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1:88" x14ac:dyDescent="0.4">
      <c r="A85" s="36" t="s">
        <v>2936</v>
      </c>
      <c r="B85" s="36"/>
      <c r="C85" s="36"/>
      <c r="H85" s="59">
        <v>43005.699629629627</v>
      </c>
      <c r="I85" s="43">
        <v>42909</v>
      </c>
      <c r="J85" s="42">
        <v>42940.454328703701</v>
      </c>
      <c r="K85" s="81" t="s">
        <v>1768</v>
      </c>
      <c r="L85" t="s">
        <v>1768</v>
      </c>
      <c r="M85" t="s">
        <v>1893</v>
      </c>
      <c r="N85" s="1" t="s">
        <v>1761</v>
      </c>
      <c r="O85" s="1" t="s">
        <v>1781</v>
      </c>
      <c r="P85" t="s">
        <v>1781</v>
      </c>
      <c r="Q85" s="9" t="s">
        <v>45</v>
      </c>
      <c r="R85" s="82" t="s">
        <v>45</v>
      </c>
      <c r="S85" s="44" t="s">
        <v>52</v>
      </c>
      <c r="T85" s="3" t="s">
        <v>136</v>
      </c>
      <c r="U85" s="2" t="s">
        <v>29</v>
      </c>
      <c r="V85" s="89" t="s">
        <v>29</v>
      </c>
      <c r="W85" s="11" t="s">
        <v>153</v>
      </c>
      <c r="X85" s="89" t="s">
        <v>153</v>
      </c>
      <c r="Y85" s="77" t="s">
        <v>1772</v>
      </c>
      <c r="Z85" s="84" t="s">
        <v>1999</v>
      </c>
      <c r="AA85" s="89" t="s">
        <v>28</v>
      </c>
      <c r="AB85" s="90" t="str">
        <f>HYPERLINK(CONCATENATE("https://www.ejacket.nsf.gov/ej/showProposal.do?ID=",SUBSTITUTE(SplitQueryTable[[#This Row],[prop_id]],CHAR(160),"")),"eJ")</f>
        <v>eJ</v>
      </c>
      <c r="AC85" s="89" t="s">
        <v>2000</v>
      </c>
      <c r="AD85" s="3" t="s">
        <v>1999</v>
      </c>
      <c r="AE85" s="91">
        <v>2017</v>
      </c>
      <c r="AF85" s="13" t="s">
        <v>43</v>
      </c>
      <c r="AG85" s="13">
        <v>50000</v>
      </c>
      <c r="AH85" s="45">
        <v>50000</v>
      </c>
      <c r="AI85" s="44" t="s">
        <v>257</v>
      </c>
      <c r="AJ85" s="2" t="s">
        <v>2003</v>
      </c>
      <c r="AK85" s="46" t="s">
        <v>1750</v>
      </c>
      <c r="AL85" s="55" t="s">
        <v>2002</v>
      </c>
      <c r="AM85" s="45" t="s">
        <v>1905</v>
      </c>
      <c r="AN85" s="56" t="s">
        <v>152</v>
      </c>
      <c r="AO85" s="23" t="s">
        <v>146</v>
      </c>
      <c r="AP85" s="11"/>
      <c r="AQ85" s="88" t="s">
        <v>2001</v>
      </c>
      <c r="AR85" s="57" t="s">
        <v>200</v>
      </c>
      <c r="AS85" s="46">
        <v>42981.793796296297</v>
      </c>
      <c r="AT85" s="3">
        <f t="shared" si="0"/>
        <v>60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1:88" x14ac:dyDescent="0.4">
      <c r="H86" s="59">
        <v>43005.699629629627</v>
      </c>
      <c r="I86" s="43">
        <v>42909</v>
      </c>
      <c r="J86" s="42">
        <v>42940.452928240738</v>
      </c>
      <c r="K86" s="81" t="s">
        <v>1768</v>
      </c>
      <c r="L86" t="s">
        <v>1768</v>
      </c>
      <c r="M86" t="s">
        <v>1893</v>
      </c>
      <c r="N86" s="1" t="s">
        <v>1761</v>
      </c>
      <c r="O86" s="1" t="s">
        <v>1781</v>
      </c>
      <c r="P86" t="s">
        <v>1781</v>
      </c>
      <c r="Q86" s="9" t="s">
        <v>45</v>
      </c>
      <c r="R86" s="82" t="s">
        <v>45</v>
      </c>
      <c r="S86" s="44" t="s">
        <v>52</v>
      </c>
      <c r="T86" s="3" t="s">
        <v>136</v>
      </c>
      <c r="U86" s="2" t="s">
        <v>29</v>
      </c>
      <c r="V86" s="89" t="s">
        <v>29</v>
      </c>
      <c r="W86" s="11" t="s">
        <v>153</v>
      </c>
      <c r="X86" s="89" t="s">
        <v>153</v>
      </c>
      <c r="Y86" s="77" t="s">
        <v>1772</v>
      </c>
      <c r="Z86" s="84" t="s">
        <v>2004</v>
      </c>
      <c r="AA86" s="89" t="s">
        <v>28</v>
      </c>
      <c r="AB86" s="90" t="str">
        <f>HYPERLINK(CONCATENATE("https://www.ejacket.nsf.gov/ej/showProposal.do?ID=",SUBSTITUTE(SplitQueryTable[[#This Row],[prop_id]],CHAR(160),"")),"eJ")</f>
        <v>eJ</v>
      </c>
      <c r="AC86" s="89" t="s">
        <v>2005</v>
      </c>
      <c r="AD86" s="3" t="s">
        <v>2004</v>
      </c>
      <c r="AE86" s="91">
        <v>2017</v>
      </c>
      <c r="AF86" s="13" t="s">
        <v>43</v>
      </c>
      <c r="AG86" s="13">
        <v>50000</v>
      </c>
      <c r="AH86" s="45">
        <v>50000</v>
      </c>
      <c r="AI86" s="44" t="s">
        <v>2009</v>
      </c>
      <c r="AJ86" s="2" t="s">
        <v>288</v>
      </c>
      <c r="AK86" s="46" t="s">
        <v>1714</v>
      </c>
      <c r="AL86" s="55" t="s">
        <v>2007</v>
      </c>
      <c r="AM86" s="45" t="s">
        <v>2008</v>
      </c>
      <c r="AN86" s="56" t="s">
        <v>152</v>
      </c>
      <c r="AO86" s="23" t="s">
        <v>146</v>
      </c>
      <c r="AP86" s="11"/>
      <c r="AQ86" s="88" t="s">
        <v>2006</v>
      </c>
      <c r="AR86" s="57" t="s">
        <v>200</v>
      </c>
      <c r="AS86" s="46">
        <v>42971.892314814817</v>
      </c>
      <c r="AT86" s="3">
        <f t="shared" si="0"/>
        <v>61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1:88" x14ac:dyDescent="0.4">
      <c r="H87" s="59">
        <v>43005.699629629627</v>
      </c>
      <c r="I87" s="43">
        <v>42909</v>
      </c>
      <c r="J87" s="42">
        <v>42940.454976851855</v>
      </c>
      <c r="K87" s="81" t="s">
        <v>1768</v>
      </c>
      <c r="L87" t="s">
        <v>1768</v>
      </c>
      <c r="M87" t="s">
        <v>1893</v>
      </c>
      <c r="N87" s="1" t="s">
        <v>1761</v>
      </c>
      <c r="O87" s="1" t="s">
        <v>1781</v>
      </c>
      <c r="P87" t="s">
        <v>1781</v>
      </c>
      <c r="Q87" s="9" t="s">
        <v>45</v>
      </c>
      <c r="R87" s="82" t="s">
        <v>45</v>
      </c>
      <c r="S87" s="44" t="s">
        <v>52</v>
      </c>
      <c r="T87" s="3" t="s">
        <v>136</v>
      </c>
      <c r="U87" s="2" t="s">
        <v>29</v>
      </c>
      <c r="V87" s="89" t="s">
        <v>29</v>
      </c>
      <c r="W87" s="11" t="s">
        <v>153</v>
      </c>
      <c r="X87" s="89" t="s">
        <v>153</v>
      </c>
      <c r="Y87" s="77" t="s">
        <v>1772</v>
      </c>
      <c r="Z87" s="84" t="s">
        <v>2010</v>
      </c>
      <c r="AA87" s="89" t="s">
        <v>28</v>
      </c>
      <c r="AB87" s="90" t="str">
        <f>HYPERLINK(CONCATENATE("https://www.ejacket.nsf.gov/ej/showProposal.do?ID=",SUBSTITUTE(SplitQueryTable[[#This Row],[prop_id]],CHAR(160),"")),"eJ")</f>
        <v>eJ</v>
      </c>
      <c r="AC87" s="89" t="s">
        <v>2011</v>
      </c>
      <c r="AD87" s="3" t="s">
        <v>2010</v>
      </c>
      <c r="AE87" s="91">
        <v>2017</v>
      </c>
      <c r="AF87" s="13" t="s">
        <v>43</v>
      </c>
      <c r="AG87" s="13">
        <v>15405</v>
      </c>
      <c r="AH87" s="45">
        <v>15405</v>
      </c>
      <c r="AI87" s="44" t="s">
        <v>216</v>
      </c>
      <c r="AJ87" s="2" t="s">
        <v>2015</v>
      </c>
      <c r="AK87" s="46" t="s">
        <v>1734</v>
      </c>
      <c r="AL87" s="55" t="s">
        <v>2013</v>
      </c>
      <c r="AM87" s="45" t="s">
        <v>2014</v>
      </c>
      <c r="AN87" s="56" t="s">
        <v>152</v>
      </c>
      <c r="AO87" s="23" t="s">
        <v>146</v>
      </c>
      <c r="AP87" s="11"/>
      <c r="AQ87" s="88" t="s">
        <v>2012</v>
      </c>
      <c r="AR87" s="57" t="s">
        <v>200</v>
      </c>
      <c r="AS87" s="46">
        <v>42977.587129629632</v>
      </c>
      <c r="AT87" s="3">
        <f t="shared" si="0"/>
        <v>62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1:88" x14ac:dyDescent="0.4">
      <c r="H88" s="59">
        <v>43005.699629629627</v>
      </c>
      <c r="I88" s="43">
        <v>42909</v>
      </c>
      <c r="J88" s="42">
        <v>42940.458009259259</v>
      </c>
      <c r="K88" s="81" t="s">
        <v>1768</v>
      </c>
      <c r="L88" t="s">
        <v>1768</v>
      </c>
      <c r="M88" t="s">
        <v>1893</v>
      </c>
      <c r="N88" s="1" t="s">
        <v>1761</v>
      </c>
      <c r="O88" s="1" t="s">
        <v>1781</v>
      </c>
      <c r="P88" t="s">
        <v>1781</v>
      </c>
      <c r="Q88" s="9" t="s">
        <v>45</v>
      </c>
      <c r="R88" s="82" t="s">
        <v>45</v>
      </c>
      <c r="S88" s="44" t="s">
        <v>52</v>
      </c>
      <c r="T88" s="3" t="s">
        <v>136</v>
      </c>
      <c r="U88" s="2" t="s">
        <v>29</v>
      </c>
      <c r="V88" s="89" t="s">
        <v>29</v>
      </c>
      <c r="W88" s="11" t="s">
        <v>153</v>
      </c>
      <c r="X88" s="89" t="s">
        <v>153</v>
      </c>
      <c r="Y88" s="77" t="s">
        <v>1772</v>
      </c>
      <c r="Z88" s="84" t="s">
        <v>2016</v>
      </c>
      <c r="AA88" s="89" t="s">
        <v>28</v>
      </c>
      <c r="AB88" s="90" t="str">
        <f>HYPERLINK(CONCATENATE("https://www.ejacket.nsf.gov/ej/showProposal.do?ID=",SUBSTITUTE(SplitQueryTable[[#This Row],[prop_id]],CHAR(160),"")),"eJ")</f>
        <v>eJ</v>
      </c>
      <c r="AC88" s="89" t="s">
        <v>2011</v>
      </c>
      <c r="AD88" s="3" t="s">
        <v>2016</v>
      </c>
      <c r="AE88" s="91">
        <v>2017</v>
      </c>
      <c r="AF88" s="13" t="s">
        <v>43</v>
      </c>
      <c r="AG88" s="13">
        <v>34591</v>
      </c>
      <c r="AH88" s="45">
        <v>34591</v>
      </c>
      <c r="AI88" s="44" t="s">
        <v>216</v>
      </c>
      <c r="AJ88" s="2" t="s">
        <v>2015</v>
      </c>
      <c r="AK88" s="46" t="s">
        <v>1734</v>
      </c>
      <c r="AL88" s="55" t="s">
        <v>2013</v>
      </c>
      <c r="AM88" s="45" t="s">
        <v>2013</v>
      </c>
      <c r="AN88" s="56" t="s">
        <v>152</v>
      </c>
      <c r="AO88" s="23" t="s">
        <v>146</v>
      </c>
      <c r="AP88" s="11"/>
      <c r="AQ88" s="88" t="s">
        <v>2012</v>
      </c>
      <c r="AR88" s="57" t="s">
        <v>200</v>
      </c>
      <c r="AS88" s="46">
        <v>42981.802048611113</v>
      </c>
      <c r="AT88" s="3">
        <f t="shared" si="0"/>
        <v>63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1:88" x14ac:dyDescent="0.4">
      <c r="H89" s="59">
        <v>43005.699629629627</v>
      </c>
      <c r="I89" s="43">
        <v>42909</v>
      </c>
      <c r="J89" s="42">
        <v>42935.366481481484</v>
      </c>
      <c r="K89" s="81" t="s">
        <v>1768</v>
      </c>
      <c r="L89" t="s">
        <v>1768</v>
      </c>
      <c r="M89" t="s">
        <v>1893</v>
      </c>
      <c r="N89" s="1" t="s">
        <v>1761</v>
      </c>
      <c r="O89" s="1" t="s">
        <v>1781</v>
      </c>
      <c r="P89" t="s">
        <v>1781</v>
      </c>
      <c r="Q89" s="9" t="s">
        <v>45</v>
      </c>
      <c r="R89" s="82" t="s">
        <v>45</v>
      </c>
      <c r="S89" s="44" t="s">
        <v>52</v>
      </c>
      <c r="T89" s="3" t="s">
        <v>136</v>
      </c>
      <c r="U89" s="2" t="s">
        <v>29</v>
      </c>
      <c r="V89" s="89" t="s">
        <v>29</v>
      </c>
      <c r="W89" s="11" t="s">
        <v>153</v>
      </c>
      <c r="X89" s="89" t="s">
        <v>153</v>
      </c>
      <c r="Y89" s="77" t="s">
        <v>1772</v>
      </c>
      <c r="Z89" s="84" t="s">
        <v>2017</v>
      </c>
      <c r="AA89" s="89" t="s">
        <v>28</v>
      </c>
      <c r="AB89" s="90" t="str">
        <f>HYPERLINK(CONCATENATE("https://www.ejacket.nsf.gov/ej/showProposal.do?ID=",SUBSTITUTE(SplitQueryTable[[#This Row],[prop_id]],CHAR(160),"")),"eJ")</f>
        <v>eJ</v>
      </c>
      <c r="AC89" s="89" t="s">
        <v>2018</v>
      </c>
      <c r="AD89" s="3" t="s">
        <v>2017</v>
      </c>
      <c r="AE89" s="91">
        <v>2017</v>
      </c>
      <c r="AF89" s="13" t="s">
        <v>43</v>
      </c>
      <c r="AG89" s="13">
        <v>42504</v>
      </c>
      <c r="AH89" s="45">
        <v>42504</v>
      </c>
      <c r="AI89" s="44" t="s">
        <v>2022</v>
      </c>
      <c r="AJ89" s="2" t="s">
        <v>2023</v>
      </c>
      <c r="AK89" s="46" t="s">
        <v>266</v>
      </c>
      <c r="AL89" s="55" t="s">
        <v>2020</v>
      </c>
      <c r="AM89" s="45" t="s">
        <v>2021</v>
      </c>
      <c r="AN89" s="56" t="s">
        <v>152</v>
      </c>
      <c r="AO89" s="23" t="s">
        <v>146</v>
      </c>
      <c r="AP89" s="11"/>
      <c r="AQ89" s="88" t="s">
        <v>2019</v>
      </c>
      <c r="AR89" s="57" t="s">
        <v>200</v>
      </c>
      <c r="AS89" s="46">
        <v>42985.436064814814</v>
      </c>
      <c r="AT89" s="3">
        <f t="shared" si="0"/>
        <v>64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1:88" x14ac:dyDescent="0.4">
      <c r="H90" s="59">
        <v>43005.699629629627</v>
      </c>
      <c r="I90" s="43">
        <v>42922</v>
      </c>
      <c r="J90" s="42">
        <v>42935.379027777781</v>
      </c>
      <c r="K90" s="81" t="s">
        <v>1768</v>
      </c>
      <c r="L90" t="s">
        <v>1768</v>
      </c>
      <c r="M90" t="s">
        <v>1761</v>
      </c>
      <c r="N90" s="1" t="s">
        <v>1761</v>
      </c>
      <c r="O90" s="1" t="s">
        <v>1781</v>
      </c>
      <c r="P90" t="s">
        <v>1781</v>
      </c>
      <c r="Q90" s="9" t="s">
        <v>45</v>
      </c>
      <c r="R90" s="82" t="s">
        <v>45</v>
      </c>
      <c r="S90" s="44" t="s">
        <v>2024</v>
      </c>
      <c r="T90" s="3" t="s">
        <v>136</v>
      </c>
      <c r="U90" s="2" t="s">
        <v>29</v>
      </c>
      <c r="V90" s="89" t="s">
        <v>29</v>
      </c>
      <c r="W90" s="11" t="s">
        <v>153</v>
      </c>
      <c r="X90" s="89" t="s">
        <v>153</v>
      </c>
      <c r="Y90" s="77" t="s">
        <v>1772</v>
      </c>
      <c r="Z90" s="84" t="s">
        <v>2025</v>
      </c>
      <c r="AA90" s="89" t="s">
        <v>28</v>
      </c>
      <c r="AB90" s="90" t="str">
        <f>HYPERLINK(CONCATENATE("https://www.ejacket.nsf.gov/ej/showProposal.do?ID=",SUBSTITUTE(SplitQueryTable[[#This Row],[prop_id]],CHAR(160),"")),"eJ")</f>
        <v>eJ</v>
      </c>
      <c r="AC90" s="89" t="s">
        <v>1890</v>
      </c>
      <c r="AD90" s="3" t="s">
        <v>2025</v>
      </c>
      <c r="AE90" s="91">
        <v>2017</v>
      </c>
      <c r="AF90" s="13" t="s">
        <v>43</v>
      </c>
      <c r="AG90" s="13">
        <v>7188</v>
      </c>
      <c r="AH90" s="45">
        <v>7188</v>
      </c>
      <c r="AI90" s="44" t="s">
        <v>1892</v>
      </c>
      <c r="AJ90" s="2" t="s">
        <v>191</v>
      </c>
      <c r="AK90" s="46" t="s">
        <v>301</v>
      </c>
      <c r="AL90" s="55" t="s">
        <v>2027</v>
      </c>
      <c r="AM90" s="45" t="s">
        <v>2027</v>
      </c>
      <c r="AN90" s="56" t="s">
        <v>152</v>
      </c>
      <c r="AO90" s="23" t="s">
        <v>146</v>
      </c>
      <c r="AP90" s="11"/>
      <c r="AQ90" s="88" t="s">
        <v>2026</v>
      </c>
      <c r="AR90" s="57" t="s">
        <v>502</v>
      </c>
      <c r="AS90" s="46">
        <v>42943.366516203707</v>
      </c>
      <c r="AT90" s="3">
        <f t="shared" ref="AT90:AT153" si="1">IF(AD90=AD89,AT89,AT89+1)</f>
        <v>65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1:88" x14ac:dyDescent="0.4">
      <c r="H91" s="59">
        <v>43005.699629629627</v>
      </c>
      <c r="I91" s="43">
        <v>42909</v>
      </c>
      <c r="J91" s="42">
        <v>42940.344259259262</v>
      </c>
      <c r="K91" s="81" t="s">
        <v>1768</v>
      </c>
      <c r="L91" t="s">
        <v>1768</v>
      </c>
      <c r="M91" t="s">
        <v>1893</v>
      </c>
      <c r="N91" s="1" t="s">
        <v>1761</v>
      </c>
      <c r="O91" s="1" t="s">
        <v>1781</v>
      </c>
      <c r="P91" t="s">
        <v>1781</v>
      </c>
      <c r="Q91" s="9" t="s">
        <v>45</v>
      </c>
      <c r="R91" s="82" t="s">
        <v>45</v>
      </c>
      <c r="S91" s="44" t="s">
        <v>52</v>
      </c>
      <c r="T91" s="3" t="s">
        <v>136</v>
      </c>
      <c r="U91" s="2" t="s">
        <v>29</v>
      </c>
      <c r="V91" s="89" t="s">
        <v>29</v>
      </c>
      <c r="W91" s="11" t="s">
        <v>153</v>
      </c>
      <c r="X91" s="89" t="s">
        <v>153</v>
      </c>
      <c r="Y91" s="77" t="s">
        <v>1772</v>
      </c>
      <c r="Z91" s="84" t="s">
        <v>2028</v>
      </c>
      <c r="AA91" s="89" t="s">
        <v>28</v>
      </c>
      <c r="AB91" s="90" t="str">
        <f>HYPERLINK(CONCATENATE("https://www.ejacket.nsf.gov/ej/showProposal.do?ID=",SUBSTITUTE(SplitQueryTable[[#This Row],[prop_id]],CHAR(160),"")),"eJ")</f>
        <v>eJ</v>
      </c>
      <c r="AC91" s="89" t="s">
        <v>2029</v>
      </c>
      <c r="AD91" s="3" t="s">
        <v>2028</v>
      </c>
      <c r="AE91" s="91">
        <v>2017</v>
      </c>
      <c r="AF91" s="13" t="s">
        <v>43</v>
      </c>
      <c r="AG91" s="13">
        <v>50000</v>
      </c>
      <c r="AH91" s="45">
        <v>50000</v>
      </c>
      <c r="AI91" s="44" t="s">
        <v>2033</v>
      </c>
      <c r="AJ91" s="2" t="s">
        <v>2034</v>
      </c>
      <c r="AK91" s="46" t="s">
        <v>1734</v>
      </c>
      <c r="AL91" s="55" t="s">
        <v>2031</v>
      </c>
      <c r="AM91" s="45" t="s">
        <v>2032</v>
      </c>
      <c r="AN91" s="56" t="s">
        <v>152</v>
      </c>
      <c r="AO91" s="23" t="s">
        <v>146</v>
      </c>
      <c r="AP91" s="11"/>
      <c r="AQ91" s="88" t="s">
        <v>2030</v>
      </c>
      <c r="AR91" s="57" t="s">
        <v>200</v>
      </c>
      <c r="AS91" s="46">
        <v>42958.607314814813</v>
      </c>
      <c r="AT91" s="3">
        <f t="shared" si="1"/>
        <v>66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1:88" x14ac:dyDescent="0.4">
      <c r="H92" s="59">
        <v>43005.699629629627</v>
      </c>
      <c r="I92" s="43">
        <v>42909</v>
      </c>
      <c r="J92" s="42">
        <v>42940.337199074071</v>
      </c>
      <c r="K92" s="81" t="s">
        <v>1768</v>
      </c>
      <c r="L92" t="s">
        <v>1768</v>
      </c>
      <c r="M92" t="s">
        <v>1893</v>
      </c>
      <c r="N92" s="1" t="s">
        <v>1761</v>
      </c>
      <c r="O92" s="1" t="s">
        <v>1781</v>
      </c>
      <c r="P92" t="s">
        <v>1781</v>
      </c>
      <c r="Q92" s="9" t="s">
        <v>45</v>
      </c>
      <c r="R92" s="82" t="s">
        <v>45</v>
      </c>
      <c r="S92" s="44" t="s">
        <v>52</v>
      </c>
      <c r="T92" s="3" t="s">
        <v>136</v>
      </c>
      <c r="U92" s="2" t="s">
        <v>29</v>
      </c>
      <c r="V92" s="89" t="s">
        <v>29</v>
      </c>
      <c r="W92" s="11" t="s">
        <v>153</v>
      </c>
      <c r="X92" s="89" t="s">
        <v>153</v>
      </c>
      <c r="Y92" s="77" t="s">
        <v>1772</v>
      </c>
      <c r="Z92" s="84" t="s">
        <v>2035</v>
      </c>
      <c r="AA92" s="89" t="s">
        <v>28</v>
      </c>
      <c r="AB92" s="90" t="str">
        <f>HYPERLINK(CONCATENATE("https://www.ejacket.nsf.gov/ej/showProposal.do?ID=",SUBSTITUTE(SplitQueryTable[[#This Row],[prop_id]],CHAR(160),"")),"eJ")</f>
        <v>eJ</v>
      </c>
      <c r="AC92" s="89" t="s">
        <v>2036</v>
      </c>
      <c r="AD92" s="3" t="s">
        <v>2035</v>
      </c>
      <c r="AE92" s="91">
        <v>2017</v>
      </c>
      <c r="AF92" s="13" t="s">
        <v>43</v>
      </c>
      <c r="AG92" s="13">
        <v>29030</v>
      </c>
      <c r="AH92" s="45">
        <v>29030</v>
      </c>
      <c r="AI92" s="44" t="s">
        <v>2040</v>
      </c>
      <c r="AJ92" s="2" t="s">
        <v>330</v>
      </c>
      <c r="AK92" s="46" t="s">
        <v>261</v>
      </c>
      <c r="AL92" s="55" t="s">
        <v>2038</v>
      </c>
      <c r="AM92" s="45" t="s">
        <v>2039</v>
      </c>
      <c r="AN92" s="56" t="s">
        <v>152</v>
      </c>
      <c r="AO92" s="23" t="s">
        <v>146</v>
      </c>
      <c r="AP92" s="11"/>
      <c r="AQ92" s="88" t="s">
        <v>2037</v>
      </c>
      <c r="AR92" s="57" t="s">
        <v>200</v>
      </c>
      <c r="AS92" s="46">
        <v>42984.386643518519</v>
      </c>
      <c r="AT92" s="3">
        <f t="shared" si="1"/>
        <v>67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1:88" x14ac:dyDescent="0.4">
      <c r="H93" s="59">
        <v>43005.699629629627</v>
      </c>
      <c r="I93" s="43">
        <v>42909</v>
      </c>
      <c r="J93" s="42">
        <v>42940.453587962962</v>
      </c>
      <c r="K93" s="81" t="s">
        <v>1768</v>
      </c>
      <c r="L93" t="s">
        <v>1768</v>
      </c>
      <c r="M93" t="s">
        <v>1893</v>
      </c>
      <c r="N93" s="1" t="s">
        <v>1761</v>
      </c>
      <c r="O93" s="1" t="s">
        <v>1781</v>
      </c>
      <c r="P93" t="s">
        <v>1781</v>
      </c>
      <c r="Q93" s="9" t="s">
        <v>45</v>
      </c>
      <c r="R93" s="82" t="s">
        <v>45</v>
      </c>
      <c r="S93" s="44" t="s">
        <v>52</v>
      </c>
      <c r="T93" s="3" t="s">
        <v>136</v>
      </c>
      <c r="U93" s="2" t="s">
        <v>29</v>
      </c>
      <c r="V93" s="89" t="s">
        <v>29</v>
      </c>
      <c r="W93" s="11" t="s">
        <v>153</v>
      </c>
      <c r="X93" s="89" t="s">
        <v>153</v>
      </c>
      <c r="Y93" s="77" t="s">
        <v>1772</v>
      </c>
      <c r="Z93" s="84" t="s">
        <v>2041</v>
      </c>
      <c r="AA93" s="89" t="s">
        <v>28</v>
      </c>
      <c r="AB93" s="90" t="str">
        <f>HYPERLINK(CONCATENATE("https://www.ejacket.nsf.gov/ej/showProposal.do?ID=",SUBSTITUTE(SplitQueryTable[[#This Row],[prop_id]],CHAR(160),"")),"eJ")</f>
        <v>eJ</v>
      </c>
      <c r="AC93" s="89" t="s">
        <v>2042</v>
      </c>
      <c r="AD93" s="3" t="s">
        <v>2041</v>
      </c>
      <c r="AE93" s="91">
        <v>2017</v>
      </c>
      <c r="AF93" s="13" t="s">
        <v>43</v>
      </c>
      <c r="AG93" s="13">
        <v>29999</v>
      </c>
      <c r="AH93" s="45">
        <v>30000</v>
      </c>
      <c r="AI93" s="44" t="s">
        <v>237</v>
      </c>
      <c r="AJ93" s="2" t="s">
        <v>2046</v>
      </c>
      <c r="AK93" s="46" t="s">
        <v>246</v>
      </c>
      <c r="AL93" s="55" t="s">
        <v>2044</v>
      </c>
      <c r="AM93" s="45" t="s">
        <v>2045</v>
      </c>
      <c r="AN93" s="56" t="s">
        <v>152</v>
      </c>
      <c r="AO93" s="23" t="s">
        <v>146</v>
      </c>
      <c r="AP93" s="11"/>
      <c r="AQ93" s="88" t="s">
        <v>2043</v>
      </c>
      <c r="AR93" s="57" t="s">
        <v>200</v>
      </c>
      <c r="AS93" s="46">
        <v>42991.434976851851</v>
      </c>
      <c r="AT93" s="3">
        <f t="shared" si="1"/>
        <v>68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1:88" x14ac:dyDescent="0.4">
      <c r="H94" s="59">
        <v>43005.699629629627</v>
      </c>
      <c r="I94" s="43">
        <v>42824</v>
      </c>
      <c r="J94" s="42">
        <v>42929.375891203701</v>
      </c>
      <c r="K94" s="81" t="s">
        <v>1768</v>
      </c>
      <c r="L94" t="s">
        <v>1768</v>
      </c>
      <c r="M94" t="s">
        <v>2047</v>
      </c>
      <c r="N94" s="1" t="s">
        <v>1761</v>
      </c>
      <c r="O94" s="1" t="s">
        <v>2048</v>
      </c>
      <c r="P94" t="s">
        <v>1781</v>
      </c>
      <c r="Q94" s="9" t="s">
        <v>45</v>
      </c>
      <c r="R94" s="82" t="s">
        <v>45</v>
      </c>
      <c r="S94" s="44" t="s">
        <v>52</v>
      </c>
      <c r="T94" s="3" t="s">
        <v>136</v>
      </c>
      <c r="U94" s="2" t="s">
        <v>29</v>
      </c>
      <c r="V94" s="89" t="s">
        <v>29</v>
      </c>
      <c r="W94" s="11" t="s">
        <v>153</v>
      </c>
      <c r="X94" s="89" t="s">
        <v>153</v>
      </c>
      <c r="Y94" s="77" t="s">
        <v>1772</v>
      </c>
      <c r="Z94" s="84" t="s">
        <v>2049</v>
      </c>
      <c r="AA94" s="89" t="s">
        <v>28</v>
      </c>
      <c r="AB94" s="90" t="str">
        <f>HYPERLINK(CONCATENATE("https://www.ejacket.nsf.gov/ej/showProposal.do?ID=",SUBSTITUTE(SplitQueryTable[[#This Row],[prop_id]],CHAR(160),"")),"eJ")</f>
        <v>eJ</v>
      </c>
      <c r="AC94" s="89" t="s">
        <v>2050</v>
      </c>
      <c r="AD94" s="3" t="s">
        <v>2049</v>
      </c>
      <c r="AE94" s="91">
        <v>2017</v>
      </c>
      <c r="AF94" s="13" t="s">
        <v>43</v>
      </c>
      <c r="AG94" s="13">
        <v>66872</v>
      </c>
      <c r="AH94" s="45">
        <v>66872</v>
      </c>
      <c r="AI94" s="44" t="s">
        <v>2053</v>
      </c>
      <c r="AJ94" s="2" t="s">
        <v>310</v>
      </c>
      <c r="AK94" s="46" t="s">
        <v>2054</v>
      </c>
      <c r="AL94" s="55" t="s">
        <v>2052</v>
      </c>
      <c r="AM94" s="45" t="s">
        <v>2052</v>
      </c>
      <c r="AN94" s="56" t="s">
        <v>152</v>
      </c>
      <c r="AO94" s="23" t="s">
        <v>146</v>
      </c>
      <c r="AP94" s="11"/>
      <c r="AQ94" s="88" t="s">
        <v>2051</v>
      </c>
      <c r="AR94" s="57" t="s">
        <v>200</v>
      </c>
      <c r="AS94" s="46">
        <v>42947.429884259262</v>
      </c>
      <c r="AT94" s="3">
        <f t="shared" si="1"/>
        <v>69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1:88" x14ac:dyDescent="0.4">
      <c r="H95" s="59">
        <v>43005.699629629627</v>
      </c>
      <c r="I95" s="43">
        <v>42824</v>
      </c>
      <c r="J95" s="42">
        <v>42929.376527777778</v>
      </c>
      <c r="K95" s="81" t="s">
        <v>1768</v>
      </c>
      <c r="L95" t="s">
        <v>1768</v>
      </c>
      <c r="M95" t="s">
        <v>2047</v>
      </c>
      <c r="N95" s="1" t="s">
        <v>1761</v>
      </c>
      <c r="O95" s="1" t="s">
        <v>2048</v>
      </c>
      <c r="P95" t="s">
        <v>1781</v>
      </c>
      <c r="Q95" s="9" t="s">
        <v>45</v>
      </c>
      <c r="R95" s="82" t="s">
        <v>45</v>
      </c>
      <c r="S95" s="44" t="s">
        <v>52</v>
      </c>
      <c r="T95" s="3" t="s">
        <v>136</v>
      </c>
      <c r="U95" s="2" t="s">
        <v>29</v>
      </c>
      <c r="V95" s="89" t="s">
        <v>29</v>
      </c>
      <c r="W95" s="11" t="s">
        <v>153</v>
      </c>
      <c r="X95" s="89" t="s">
        <v>153</v>
      </c>
      <c r="Y95" s="77" t="s">
        <v>1772</v>
      </c>
      <c r="Z95" s="84" t="s">
        <v>2055</v>
      </c>
      <c r="AA95" s="89" t="s">
        <v>28</v>
      </c>
      <c r="AB95" s="90" t="str">
        <f>HYPERLINK(CONCATENATE("https://www.ejacket.nsf.gov/ej/showProposal.do?ID=",SUBSTITUTE(SplitQueryTable[[#This Row],[prop_id]],CHAR(160),"")),"eJ")</f>
        <v>eJ</v>
      </c>
      <c r="AC95" s="89" t="s">
        <v>2050</v>
      </c>
      <c r="AD95" s="3" t="s">
        <v>2055</v>
      </c>
      <c r="AE95" s="91">
        <v>2017</v>
      </c>
      <c r="AF95" s="13" t="s">
        <v>43</v>
      </c>
      <c r="AG95" s="13">
        <v>36022</v>
      </c>
      <c r="AH95" s="45">
        <v>39222</v>
      </c>
      <c r="AI95" s="44" t="s">
        <v>2053</v>
      </c>
      <c r="AJ95" s="2" t="s">
        <v>310</v>
      </c>
      <c r="AK95" s="46" t="s">
        <v>2054</v>
      </c>
      <c r="AL95" s="55" t="s">
        <v>2057</v>
      </c>
      <c r="AM95" s="45" t="s">
        <v>2058</v>
      </c>
      <c r="AN95" s="56" t="s">
        <v>152</v>
      </c>
      <c r="AO95" s="23" t="s">
        <v>146</v>
      </c>
      <c r="AP95" s="11"/>
      <c r="AQ95" s="88" t="s">
        <v>2056</v>
      </c>
      <c r="AR95" s="57" t="s">
        <v>40</v>
      </c>
      <c r="AS95" s="46">
        <v>42934.564027777778</v>
      </c>
      <c r="AT95" s="3">
        <f t="shared" si="1"/>
        <v>70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1:88" x14ac:dyDescent="0.4">
      <c r="H96" s="59">
        <v>43005.699629629627</v>
      </c>
      <c r="I96" s="43">
        <v>42824</v>
      </c>
      <c r="J96" s="42">
        <v>42929.377187500002</v>
      </c>
      <c r="K96" s="81" t="s">
        <v>1768</v>
      </c>
      <c r="L96" t="s">
        <v>1768</v>
      </c>
      <c r="M96" t="s">
        <v>2047</v>
      </c>
      <c r="N96" s="1" t="s">
        <v>1761</v>
      </c>
      <c r="O96" s="1" t="s">
        <v>2048</v>
      </c>
      <c r="P96" t="s">
        <v>1781</v>
      </c>
      <c r="Q96" s="9" t="s">
        <v>45</v>
      </c>
      <c r="R96" s="82" t="s">
        <v>45</v>
      </c>
      <c r="S96" s="44" t="s">
        <v>52</v>
      </c>
      <c r="T96" s="3" t="s">
        <v>136</v>
      </c>
      <c r="U96" s="2" t="s">
        <v>29</v>
      </c>
      <c r="V96" s="89" t="s">
        <v>29</v>
      </c>
      <c r="W96" s="11" t="s">
        <v>153</v>
      </c>
      <c r="X96" s="89" t="s">
        <v>153</v>
      </c>
      <c r="Y96" s="77" t="s">
        <v>1772</v>
      </c>
      <c r="Z96" s="84" t="s">
        <v>2059</v>
      </c>
      <c r="AA96" s="89" t="s">
        <v>28</v>
      </c>
      <c r="AB96" s="90" t="str">
        <f>HYPERLINK(CONCATENATE("https://www.ejacket.nsf.gov/ej/showProposal.do?ID=",SUBSTITUTE(SplitQueryTable[[#This Row],[prop_id]],CHAR(160),"")),"eJ")</f>
        <v>eJ</v>
      </c>
      <c r="AC96" s="89" t="s">
        <v>2050</v>
      </c>
      <c r="AD96" s="3" t="s">
        <v>2059</v>
      </c>
      <c r="AE96" s="91">
        <v>2017</v>
      </c>
      <c r="AF96" s="13" t="s">
        <v>43</v>
      </c>
      <c r="AG96" s="13">
        <v>67000</v>
      </c>
      <c r="AH96" s="45">
        <v>67000</v>
      </c>
      <c r="AI96" s="44" t="s">
        <v>2053</v>
      </c>
      <c r="AJ96" s="2" t="s">
        <v>310</v>
      </c>
      <c r="AK96" s="46" t="s">
        <v>2054</v>
      </c>
      <c r="AL96" s="55" t="s">
        <v>2061</v>
      </c>
      <c r="AM96" s="45" t="s">
        <v>2062</v>
      </c>
      <c r="AN96" s="56" t="s">
        <v>152</v>
      </c>
      <c r="AO96" s="23" t="s">
        <v>146</v>
      </c>
      <c r="AP96" s="11"/>
      <c r="AQ96" s="88" t="s">
        <v>2060</v>
      </c>
      <c r="AR96" s="57" t="s">
        <v>40</v>
      </c>
      <c r="AS96" s="46">
        <v>42934.566122685188</v>
      </c>
      <c r="AT96" s="3">
        <f t="shared" si="1"/>
        <v>71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43005.699629629627</v>
      </c>
      <c r="I97" s="43">
        <v>42909</v>
      </c>
      <c r="J97" s="42">
        <v>42935.36482638889</v>
      </c>
      <c r="K97" s="81" t="s">
        <v>1768</v>
      </c>
      <c r="L97" t="s">
        <v>1768</v>
      </c>
      <c r="M97" t="s">
        <v>1893</v>
      </c>
      <c r="N97" s="1" t="s">
        <v>1761</v>
      </c>
      <c r="O97" s="1" t="s">
        <v>1781</v>
      </c>
      <c r="P97" t="s">
        <v>1781</v>
      </c>
      <c r="Q97" s="9" t="s">
        <v>45</v>
      </c>
      <c r="R97" s="82" t="s">
        <v>45</v>
      </c>
      <c r="S97" s="44" t="s">
        <v>52</v>
      </c>
      <c r="T97" s="3" t="s">
        <v>136</v>
      </c>
      <c r="U97" s="2" t="s">
        <v>29</v>
      </c>
      <c r="V97" s="89" t="s">
        <v>29</v>
      </c>
      <c r="W97" s="11" t="s">
        <v>153</v>
      </c>
      <c r="X97" s="89" t="s">
        <v>153</v>
      </c>
      <c r="Y97" s="77" t="s">
        <v>1772</v>
      </c>
      <c r="Z97" s="84" t="s">
        <v>2063</v>
      </c>
      <c r="AA97" s="89" t="s">
        <v>28</v>
      </c>
      <c r="AB97" s="90" t="str">
        <f>HYPERLINK(CONCATENATE("https://www.ejacket.nsf.gov/ej/showProposal.do?ID=",SUBSTITUTE(SplitQueryTable[[#This Row],[prop_id]],CHAR(160),"")),"eJ")</f>
        <v>eJ</v>
      </c>
      <c r="AC97" s="89" t="s">
        <v>2064</v>
      </c>
      <c r="AD97" s="3" t="s">
        <v>2063</v>
      </c>
      <c r="AE97" s="91">
        <v>2017</v>
      </c>
      <c r="AF97" s="13" t="s">
        <v>43</v>
      </c>
      <c r="AG97" s="13">
        <v>50000</v>
      </c>
      <c r="AH97" s="45">
        <v>50000</v>
      </c>
      <c r="AI97" s="44" t="s">
        <v>2068</v>
      </c>
      <c r="AJ97" s="2" t="s">
        <v>2069</v>
      </c>
      <c r="AK97" s="46" t="s">
        <v>303</v>
      </c>
      <c r="AL97" s="55" t="s">
        <v>2066</v>
      </c>
      <c r="AM97" s="45" t="s">
        <v>2067</v>
      </c>
      <c r="AN97" s="56" t="s">
        <v>152</v>
      </c>
      <c r="AO97" s="23" t="s">
        <v>146</v>
      </c>
      <c r="AP97" s="11"/>
      <c r="AQ97" s="88" t="s">
        <v>2065</v>
      </c>
      <c r="AR97" s="57" t="s">
        <v>200</v>
      </c>
      <c r="AS97" s="46">
        <v>42970.863113425927</v>
      </c>
      <c r="AT97" s="3">
        <f t="shared" si="1"/>
        <v>72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43005.699629629627</v>
      </c>
      <c r="I98" s="43">
        <v>42906</v>
      </c>
      <c r="J98" s="42">
        <v>42940.683275462965</v>
      </c>
      <c r="K98" s="81" t="s">
        <v>1768</v>
      </c>
      <c r="L98" t="s">
        <v>1768</v>
      </c>
      <c r="M98" t="s">
        <v>1893</v>
      </c>
      <c r="N98" s="1" t="s">
        <v>1761</v>
      </c>
      <c r="O98" s="1" t="s">
        <v>1781</v>
      </c>
      <c r="P98" t="s">
        <v>1781</v>
      </c>
      <c r="Q98" s="9" t="s">
        <v>45</v>
      </c>
      <c r="R98" s="82" t="s">
        <v>45</v>
      </c>
      <c r="S98" s="44" t="s">
        <v>52</v>
      </c>
      <c r="T98" s="3" t="s">
        <v>136</v>
      </c>
      <c r="U98" s="2" t="s">
        <v>29</v>
      </c>
      <c r="V98" s="89" t="s">
        <v>29</v>
      </c>
      <c r="W98" s="11" t="s">
        <v>153</v>
      </c>
      <c r="X98" s="89" t="s">
        <v>153</v>
      </c>
      <c r="Y98" s="77" t="s">
        <v>1772</v>
      </c>
      <c r="Z98" s="84" t="s">
        <v>2070</v>
      </c>
      <c r="AA98" s="89" t="s">
        <v>28</v>
      </c>
      <c r="AB98" s="90" t="str">
        <f>HYPERLINK(CONCATENATE("https://www.ejacket.nsf.gov/ej/showProposal.do?ID=",SUBSTITUTE(SplitQueryTable[[#This Row],[prop_id]],CHAR(160),"")),"eJ")</f>
        <v>eJ</v>
      </c>
      <c r="AC98" s="89" t="s">
        <v>2071</v>
      </c>
      <c r="AD98" s="3" t="s">
        <v>2070</v>
      </c>
      <c r="AE98" s="91">
        <v>2017</v>
      </c>
      <c r="AF98" s="13" t="s">
        <v>43</v>
      </c>
      <c r="AG98" s="13">
        <v>50000</v>
      </c>
      <c r="AH98" s="45">
        <v>50000</v>
      </c>
      <c r="AI98" s="44" t="s">
        <v>2073</v>
      </c>
      <c r="AJ98" s="2" t="s">
        <v>296</v>
      </c>
      <c r="AK98" s="46" t="s">
        <v>1757</v>
      </c>
      <c r="AL98" s="55" t="s">
        <v>1904</v>
      </c>
      <c r="AM98" s="45" t="s">
        <v>1904</v>
      </c>
      <c r="AN98" s="56" t="s">
        <v>152</v>
      </c>
      <c r="AO98" s="23" t="s">
        <v>146</v>
      </c>
      <c r="AP98" s="11"/>
      <c r="AQ98" s="88" t="s">
        <v>2072</v>
      </c>
      <c r="AR98" s="57" t="s">
        <v>200</v>
      </c>
      <c r="AS98" s="46">
        <v>42977.598692129628</v>
      </c>
      <c r="AT98" s="3">
        <f t="shared" si="1"/>
        <v>73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43005.699629629627</v>
      </c>
      <c r="I99" s="43">
        <v>42909</v>
      </c>
      <c r="J99" s="42">
        <v>42940.444664351853</v>
      </c>
      <c r="K99" s="81" t="s">
        <v>1768</v>
      </c>
      <c r="L99" t="s">
        <v>1768</v>
      </c>
      <c r="M99" t="s">
        <v>1893</v>
      </c>
      <c r="N99" s="1" t="s">
        <v>1761</v>
      </c>
      <c r="O99" s="1" t="s">
        <v>1781</v>
      </c>
      <c r="P99" t="s">
        <v>1781</v>
      </c>
      <c r="Q99" s="9" t="s">
        <v>45</v>
      </c>
      <c r="R99" s="82" t="s">
        <v>45</v>
      </c>
      <c r="S99" s="44" t="s">
        <v>52</v>
      </c>
      <c r="T99" s="3" t="s">
        <v>136</v>
      </c>
      <c r="U99" s="2" t="s">
        <v>29</v>
      </c>
      <c r="V99" s="89" t="s">
        <v>29</v>
      </c>
      <c r="W99" s="11" t="s">
        <v>153</v>
      </c>
      <c r="X99" s="89" t="s">
        <v>153</v>
      </c>
      <c r="Y99" s="77" t="s">
        <v>1772</v>
      </c>
      <c r="Z99" s="84" t="s">
        <v>2074</v>
      </c>
      <c r="AA99" s="89" t="s">
        <v>28</v>
      </c>
      <c r="AB99" s="90" t="str">
        <f>HYPERLINK(CONCATENATE("https://www.ejacket.nsf.gov/ej/showProposal.do?ID=",SUBSTITUTE(SplitQueryTable[[#This Row],[prop_id]],CHAR(160),"")),"eJ")</f>
        <v>eJ</v>
      </c>
      <c r="AC99" s="89" t="s">
        <v>2075</v>
      </c>
      <c r="AD99" s="3" t="s">
        <v>2074</v>
      </c>
      <c r="AE99" s="91">
        <v>2017</v>
      </c>
      <c r="AF99" s="13" t="s">
        <v>43</v>
      </c>
      <c r="AG99" s="13">
        <v>38165</v>
      </c>
      <c r="AH99" s="45">
        <v>38990</v>
      </c>
      <c r="AI99" s="44" t="s">
        <v>233</v>
      </c>
      <c r="AJ99" s="2" t="s">
        <v>2079</v>
      </c>
      <c r="AK99" s="46" t="s">
        <v>1732</v>
      </c>
      <c r="AL99" s="55" t="s">
        <v>2077</v>
      </c>
      <c r="AM99" s="45" t="s">
        <v>2078</v>
      </c>
      <c r="AN99" s="56" t="s">
        <v>152</v>
      </c>
      <c r="AO99" s="23" t="s">
        <v>146</v>
      </c>
      <c r="AP99" s="11"/>
      <c r="AQ99" s="88" t="s">
        <v>2076</v>
      </c>
      <c r="AR99" s="57" t="s">
        <v>200</v>
      </c>
      <c r="AS99" s="46">
        <v>42976.579328703701</v>
      </c>
      <c r="AT99" s="3">
        <f t="shared" si="1"/>
        <v>74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43005.699629629627</v>
      </c>
      <c r="I100" s="43">
        <v>42909</v>
      </c>
      <c r="J100" s="42">
        <v>42940.446099537039</v>
      </c>
      <c r="K100" s="81" t="s">
        <v>1768</v>
      </c>
      <c r="L100" t="s">
        <v>1768</v>
      </c>
      <c r="M100" t="s">
        <v>1893</v>
      </c>
      <c r="N100" s="1" t="s">
        <v>1761</v>
      </c>
      <c r="O100" s="1" t="s">
        <v>1781</v>
      </c>
      <c r="P100" t="s">
        <v>1781</v>
      </c>
      <c r="Q100" s="9" t="s">
        <v>45</v>
      </c>
      <c r="R100" s="82" t="s">
        <v>45</v>
      </c>
      <c r="S100" s="44" t="s">
        <v>52</v>
      </c>
      <c r="T100" s="3" t="s">
        <v>136</v>
      </c>
      <c r="U100" s="2" t="s">
        <v>29</v>
      </c>
      <c r="V100" s="89" t="s">
        <v>29</v>
      </c>
      <c r="W100" s="11" t="s">
        <v>153</v>
      </c>
      <c r="X100" s="89" t="s">
        <v>153</v>
      </c>
      <c r="Y100" s="77" t="s">
        <v>1772</v>
      </c>
      <c r="Z100" s="84" t="s">
        <v>2080</v>
      </c>
      <c r="AA100" s="89" t="s">
        <v>28</v>
      </c>
      <c r="AB100" s="90" t="str">
        <f>HYPERLINK(CONCATENATE("https://www.ejacket.nsf.gov/ej/showProposal.do?ID=",SUBSTITUTE(SplitQueryTable[[#This Row],[prop_id]],CHAR(160),"")),"eJ")</f>
        <v>eJ</v>
      </c>
      <c r="AC100" s="89" t="s">
        <v>2081</v>
      </c>
      <c r="AD100" s="3" t="s">
        <v>2080</v>
      </c>
      <c r="AE100" s="91">
        <v>2017</v>
      </c>
      <c r="AF100" s="13" t="s">
        <v>43</v>
      </c>
      <c r="AG100" s="13">
        <v>29778</v>
      </c>
      <c r="AH100" s="45">
        <v>29778</v>
      </c>
      <c r="AI100" s="44" t="s">
        <v>2085</v>
      </c>
      <c r="AJ100" s="2" t="s">
        <v>231</v>
      </c>
      <c r="AK100" s="46" t="s">
        <v>2086</v>
      </c>
      <c r="AL100" s="55" t="s">
        <v>2083</v>
      </c>
      <c r="AM100" s="45" t="s">
        <v>2084</v>
      </c>
      <c r="AN100" s="56" t="s">
        <v>152</v>
      </c>
      <c r="AO100" s="23" t="s">
        <v>146</v>
      </c>
      <c r="AP100" s="11"/>
      <c r="AQ100" s="88" t="s">
        <v>2082</v>
      </c>
      <c r="AR100" s="57" t="s">
        <v>200</v>
      </c>
      <c r="AS100" s="46">
        <v>42977.497407407405</v>
      </c>
      <c r="AT100" s="3">
        <f t="shared" si="1"/>
        <v>75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43005.699629629627</v>
      </c>
      <c r="I101" s="43">
        <v>41908.704861111109</v>
      </c>
      <c r="J101" s="42">
        <v>42109.674247685187</v>
      </c>
      <c r="K101" s="81" t="s">
        <v>1768</v>
      </c>
      <c r="L101" t="s">
        <v>1760</v>
      </c>
      <c r="M101" t="s">
        <v>1761</v>
      </c>
      <c r="N101" s="1" t="s">
        <v>1761</v>
      </c>
      <c r="O101" s="1" t="s">
        <v>227</v>
      </c>
      <c r="P101" t="s">
        <v>2087</v>
      </c>
      <c r="Q101" s="9" t="s">
        <v>45</v>
      </c>
      <c r="R101" s="82" t="s">
        <v>45</v>
      </c>
      <c r="S101" s="44" t="s">
        <v>2088</v>
      </c>
      <c r="T101" s="3" t="s">
        <v>61</v>
      </c>
      <c r="U101" s="2" t="s">
        <v>29</v>
      </c>
      <c r="V101" s="89" t="s">
        <v>29</v>
      </c>
      <c r="W101" s="11" t="s">
        <v>143</v>
      </c>
      <c r="X101" s="89" t="s">
        <v>143</v>
      </c>
      <c r="Y101" s="77" t="s">
        <v>1772</v>
      </c>
      <c r="Z101" s="84" t="s">
        <v>2089</v>
      </c>
      <c r="AA101" s="89" t="s">
        <v>174</v>
      </c>
      <c r="AB101" s="90" t="str">
        <f>HYPERLINK(CONCATENATE("https://www.ejacket.nsf.gov/ej/showProposal.do?ID=",SUBSTITUTE(SplitQueryTable[[#This Row],[prop_id]],CHAR(160),"")),"eJ")</f>
        <v>eJ</v>
      </c>
      <c r="AC101" s="89" t="s">
        <v>2089</v>
      </c>
      <c r="AD101" s="3" t="s">
        <v>2089</v>
      </c>
      <c r="AE101" s="91">
        <v>2017</v>
      </c>
      <c r="AF101" s="13" t="s">
        <v>43</v>
      </c>
      <c r="AG101" s="13">
        <v>100000</v>
      </c>
      <c r="AH101" s="45">
        <v>692000</v>
      </c>
      <c r="AI101" s="44" t="s">
        <v>2091</v>
      </c>
      <c r="AJ101" s="2" t="s">
        <v>2092</v>
      </c>
      <c r="AK101" s="46" t="s">
        <v>2093</v>
      </c>
      <c r="AL101" s="55" t="s">
        <v>1759</v>
      </c>
      <c r="AM101" s="45"/>
      <c r="AN101" s="56" t="s">
        <v>142</v>
      </c>
      <c r="AO101" s="23" t="s">
        <v>146</v>
      </c>
      <c r="AP101" s="11" t="s">
        <v>172</v>
      </c>
      <c r="AQ101" s="88" t="s">
        <v>2090</v>
      </c>
      <c r="AR101" s="57" t="s">
        <v>40</v>
      </c>
      <c r="AS101" s="46">
        <v>42900.494699074072</v>
      </c>
      <c r="AT101" s="3">
        <f t="shared" si="1"/>
        <v>76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43005.699629629627</v>
      </c>
      <c r="I102" s="43">
        <v>42066.663888888892</v>
      </c>
      <c r="J102" s="42">
        <v>42191.928726851853</v>
      </c>
      <c r="K102" s="81" t="s">
        <v>1768</v>
      </c>
      <c r="L102" t="s">
        <v>1768</v>
      </c>
      <c r="M102" t="s">
        <v>1761</v>
      </c>
      <c r="N102" s="1" t="s">
        <v>1761</v>
      </c>
      <c r="O102" s="1" t="s">
        <v>1770</v>
      </c>
      <c r="P102" t="s">
        <v>1770</v>
      </c>
      <c r="Q102" s="9" t="s">
        <v>45</v>
      </c>
      <c r="R102" s="82" t="s">
        <v>45</v>
      </c>
      <c r="S102" s="44" t="s">
        <v>2088</v>
      </c>
      <c r="T102" s="3" t="s">
        <v>61</v>
      </c>
      <c r="U102" s="2" t="s">
        <v>29</v>
      </c>
      <c r="V102" s="89" t="s">
        <v>29</v>
      </c>
      <c r="W102" s="11" t="s">
        <v>143</v>
      </c>
      <c r="X102" s="89" t="s">
        <v>143</v>
      </c>
      <c r="Y102" s="77" t="s">
        <v>1772</v>
      </c>
      <c r="Z102" s="84" t="s">
        <v>2095</v>
      </c>
      <c r="AA102" s="89" t="s">
        <v>62</v>
      </c>
      <c r="AB102" s="90" t="str">
        <f>HYPERLINK(CONCATENATE("https://www.ejacket.nsf.gov/ej/showProposal.do?ID=",SUBSTITUTE(SplitQueryTable[[#This Row],[prop_id]],CHAR(160),"")),"eJ")</f>
        <v>eJ</v>
      </c>
      <c r="AC102" s="89" t="s">
        <v>2094</v>
      </c>
      <c r="AD102" s="3" t="s">
        <v>2094</v>
      </c>
      <c r="AE102" s="91">
        <v>2017</v>
      </c>
      <c r="AF102" s="13" t="s">
        <v>43</v>
      </c>
      <c r="AG102" s="13">
        <v>45000</v>
      </c>
      <c r="AH102" s="45">
        <v>225000</v>
      </c>
      <c r="AI102" s="44" t="s">
        <v>319</v>
      </c>
      <c r="AJ102" s="2" t="s">
        <v>1899</v>
      </c>
      <c r="AK102" s="46" t="s">
        <v>253</v>
      </c>
      <c r="AL102" s="55" t="s">
        <v>1775</v>
      </c>
      <c r="AM102" s="45" t="s">
        <v>1775</v>
      </c>
      <c r="AN102" s="56" t="s">
        <v>142</v>
      </c>
      <c r="AO102" s="23" t="s">
        <v>146</v>
      </c>
      <c r="AP102" s="11" t="s">
        <v>172</v>
      </c>
      <c r="AQ102" s="88" t="s">
        <v>2096</v>
      </c>
      <c r="AR102" s="57" t="s">
        <v>200</v>
      </c>
      <c r="AS102" s="46">
        <v>42928.293530092589</v>
      </c>
      <c r="AT102" s="3">
        <f t="shared" si="1"/>
        <v>77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43005.699629629627</v>
      </c>
      <c r="I103" s="43">
        <v>42562.731249999997</v>
      </c>
      <c r="J103" s="42">
        <v>42758.60125</v>
      </c>
      <c r="K103" s="81" t="s">
        <v>2097</v>
      </c>
      <c r="L103" t="s">
        <v>1768</v>
      </c>
      <c r="M103" t="s">
        <v>1761</v>
      </c>
      <c r="N103" s="1" t="s">
        <v>1761</v>
      </c>
      <c r="O103" s="1" t="s">
        <v>1800</v>
      </c>
      <c r="P103" t="s">
        <v>1800</v>
      </c>
      <c r="Q103" s="9" t="s">
        <v>45</v>
      </c>
      <c r="R103" s="82" t="s">
        <v>45</v>
      </c>
      <c r="S103" s="44" t="s">
        <v>1762</v>
      </c>
      <c r="T103" s="3" t="s">
        <v>61</v>
      </c>
      <c r="U103" s="2" t="s">
        <v>29</v>
      </c>
      <c r="V103" s="89" t="s">
        <v>29</v>
      </c>
      <c r="W103" s="11" t="s">
        <v>143</v>
      </c>
      <c r="X103" s="89" t="s">
        <v>143</v>
      </c>
      <c r="Y103" s="77" t="s">
        <v>1772</v>
      </c>
      <c r="Z103" s="84" t="s">
        <v>2098</v>
      </c>
      <c r="AA103" s="89" t="s">
        <v>28</v>
      </c>
      <c r="AB103" s="90" t="str">
        <f>HYPERLINK(CONCATENATE("https://www.ejacket.nsf.gov/ej/showProposal.do?ID=",SUBSTITUTE(SplitQueryTable[[#This Row],[prop_id]],CHAR(160),"")),"eJ")</f>
        <v>eJ</v>
      </c>
      <c r="AC103" s="89" t="s">
        <v>2098</v>
      </c>
      <c r="AD103" s="3" t="s">
        <v>2098</v>
      </c>
      <c r="AE103" s="91">
        <v>2017</v>
      </c>
      <c r="AF103" s="13" t="s">
        <v>43</v>
      </c>
      <c r="AG103" s="13">
        <v>150000</v>
      </c>
      <c r="AH103" s="45">
        <v>750000</v>
      </c>
      <c r="AI103" s="44" t="s">
        <v>315</v>
      </c>
      <c r="AJ103" s="2" t="s">
        <v>2100</v>
      </c>
      <c r="AK103" s="46" t="s">
        <v>1748</v>
      </c>
      <c r="AL103" s="55" t="s">
        <v>1816</v>
      </c>
      <c r="AM103" s="45" t="s">
        <v>1816</v>
      </c>
      <c r="AN103" s="56" t="s">
        <v>142</v>
      </c>
      <c r="AO103" s="23" t="s">
        <v>146</v>
      </c>
      <c r="AP103" s="11"/>
      <c r="AQ103" s="88" t="s">
        <v>2099</v>
      </c>
      <c r="AR103" s="57" t="s">
        <v>200</v>
      </c>
      <c r="AS103" s="46">
        <v>42766.638738425929</v>
      </c>
      <c r="AT103" s="3">
        <f t="shared" si="1"/>
        <v>78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43005.699629629627</v>
      </c>
      <c r="I104" s="43">
        <v>41180.491666666669</v>
      </c>
      <c r="J104" s="42">
        <v>41309.669305555559</v>
      </c>
      <c r="K104" s="81" t="s">
        <v>1768</v>
      </c>
      <c r="L104" t="s">
        <v>1768</v>
      </c>
      <c r="M104" t="s">
        <v>1761</v>
      </c>
      <c r="N104" s="1" t="s">
        <v>1761</v>
      </c>
      <c r="O104" s="1" t="s">
        <v>2101</v>
      </c>
      <c r="P104" t="s">
        <v>2101</v>
      </c>
      <c r="Q104" s="9" t="s">
        <v>45</v>
      </c>
      <c r="R104" s="82" t="s">
        <v>45</v>
      </c>
      <c r="S104" s="44" t="s">
        <v>2102</v>
      </c>
      <c r="T104" s="3" t="s">
        <v>61</v>
      </c>
      <c r="U104" s="2" t="s">
        <v>29</v>
      </c>
      <c r="V104" s="89" t="s">
        <v>29</v>
      </c>
      <c r="W104" s="11" t="s">
        <v>143</v>
      </c>
      <c r="X104" s="89" t="s">
        <v>143</v>
      </c>
      <c r="Y104" s="77" t="s">
        <v>1772</v>
      </c>
      <c r="Z104" s="84" t="s">
        <v>2104</v>
      </c>
      <c r="AA104" s="89" t="s">
        <v>62</v>
      </c>
      <c r="AB104" s="90" t="str">
        <f>HYPERLINK(CONCATENATE("https://www.ejacket.nsf.gov/ej/showProposal.do?ID=",SUBSTITUTE(SplitQueryTable[[#This Row],[prop_id]],CHAR(160),"")),"eJ")</f>
        <v>eJ</v>
      </c>
      <c r="AC104" s="89" t="s">
        <v>2103</v>
      </c>
      <c r="AD104" s="3" t="s">
        <v>2103</v>
      </c>
      <c r="AE104" s="91">
        <v>2017</v>
      </c>
      <c r="AF104" s="13" t="s">
        <v>43</v>
      </c>
      <c r="AG104" s="13">
        <v>60000</v>
      </c>
      <c r="AH104" s="45">
        <v>300000</v>
      </c>
      <c r="AI104" s="44" t="s">
        <v>2106</v>
      </c>
      <c r="AJ104" s="2" t="s">
        <v>2107</v>
      </c>
      <c r="AK104" s="46" t="s">
        <v>2108</v>
      </c>
      <c r="AL104" s="55" t="s">
        <v>1872</v>
      </c>
      <c r="AM104" s="45" t="s">
        <v>1872</v>
      </c>
      <c r="AN104" s="56" t="s">
        <v>142</v>
      </c>
      <c r="AO104" s="23" t="s">
        <v>146</v>
      </c>
      <c r="AP104" s="11" t="s">
        <v>172</v>
      </c>
      <c r="AQ104" s="88" t="s">
        <v>2105</v>
      </c>
      <c r="AR104" s="57" t="s">
        <v>40</v>
      </c>
      <c r="AS104" s="46">
        <v>42892.403831018521</v>
      </c>
      <c r="AT104" s="3">
        <f t="shared" si="1"/>
        <v>79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43005.699629629627</v>
      </c>
      <c r="I105" s="43">
        <v>41544.59375</v>
      </c>
      <c r="J105" s="42">
        <v>41670.564398148148</v>
      </c>
      <c r="K105" s="81" t="s">
        <v>1768</v>
      </c>
      <c r="L105" t="s">
        <v>1768</v>
      </c>
      <c r="M105" t="s">
        <v>1761</v>
      </c>
      <c r="N105" s="1" t="s">
        <v>1761</v>
      </c>
      <c r="O105" s="1" t="s">
        <v>2109</v>
      </c>
      <c r="P105" t="s">
        <v>2109</v>
      </c>
      <c r="Q105" s="9" t="s">
        <v>45</v>
      </c>
      <c r="R105" s="82" t="s">
        <v>45</v>
      </c>
      <c r="S105" s="44" t="s">
        <v>2102</v>
      </c>
      <c r="T105" s="3" t="s">
        <v>61</v>
      </c>
      <c r="U105" s="2" t="s">
        <v>29</v>
      </c>
      <c r="V105" s="89" t="s">
        <v>29</v>
      </c>
      <c r="W105" s="11" t="s">
        <v>143</v>
      </c>
      <c r="X105" s="89" t="s">
        <v>143</v>
      </c>
      <c r="Y105" s="77" t="s">
        <v>1772</v>
      </c>
      <c r="Z105" s="84" t="s">
        <v>2111</v>
      </c>
      <c r="AA105" s="89" t="s">
        <v>62</v>
      </c>
      <c r="AB105" s="90" t="str">
        <f>HYPERLINK(CONCATENATE("https://www.ejacket.nsf.gov/ej/showProposal.do?ID=",SUBSTITUTE(SplitQueryTable[[#This Row],[prop_id]],CHAR(160),"")),"eJ")</f>
        <v>eJ</v>
      </c>
      <c r="AC105" s="89" t="s">
        <v>2110</v>
      </c>
      <c r="AD105" s="3" t="s">
        <v>2110</v>
      </c>
      <c r="AE105" s="91">
        <v>2017</v>
      </c>
      <c r="AF105" s="13" t="s">
        <v>43</v>
      </c>
      <c r="AG105" s="13">
        <v>60000</v>
      </c>
      <c r="AH105" s="45">
        <v>442500</v>
      </c>
      <c r="AI105" s="44" t="s">
        <v>275</v>
      </c>
      <c r="AJ105" s="2" t="s">
        <v>2113</v>
      </c>
      <c r="AK105" s="46" t="s">
        <v>280</v>
      </c>
      <c r="AL105" s="55" t="s">
        <v>1785</v>
      </c>
      <c r="AM105" s="45" t="s">
        <v>1785</v>
      </c>
      <c r="AN105" s="56" t="s">
        <v>142</v>
      </c>
      <c r="AO105" s="23" t="s">
        <v>146</v>
      </c>
      <c r="AP105" s="11" t="s">
        <v>172</v>
      </c>
      <c r="AQ105" s="88" t="s">
        <v>2112</v>
      </c>
      <c r="AR105" s="57" t="s">
        <v>40</v>
      </c>
      <c r="AS105" s="46">
        <v>42901.440879629627</v>
      </c>
      <c r="AT105" s="3">
        <f t="shared" si="1"/>
        <v>80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43005.699629629627</v>
      </c>
      <c r="I106" s="43">
        <v>42066.665277777778</v>
      </c>
      <c r="J106" s="42">
        <v>42199.476342592592</v>
      </c>
      <c r="K106" s="81" t="s">
        <v>1768</v>
      </c>
      <c r="L106" t="s">
        <v>1760</v>
      </c>
      <c r="M106" t="s">
        <v>1761</v>
      </c>
      <c r="N106" s="1" t="s">
        <v>1761</v>
      </c>
      <c r="O106" s="1" t="s">
        <v>1770</v>
      </c>
      <c r="P106" t="s">
        <v>227</v>
      </c>
      <c r="Q106" s="9" t="s">
        <v>45</v>
      </c>
      <c r="R106" s="82" t="s">
        <v>45</v>
      </c>
      <c r="S106" s="44" t="s">
        <v>2088</v>
      </c>
      <c r="T106" s="3" t="s">
        <v>61</v>
      </c>
      <c r="U106" s="2" t="s">
        <v>29</v>
      </c>
      <c r="V106" s="89" t="s">
        <v>29</v>
      </c>
      <c r="W106" s="11" t="s">
        <v>143</v>
      </c>
      <c r="X106" s="89" t="s">
        <v>143</v>
      </c>
      <c r="Y106" s="77" t="s">
        <v>1772</v>
      </c>
      <c r="Z106" s="84" t="s">
        <v>2115</v>
      </c>
      <c r="AA106" s="89" t="s">
        <v>62</v>
      </c>
      <c r="AB106" s="90" t="str">
        <f>HYPERLINK(CONCATENATE("https://www.ejacket.nsf.gov/ej/showProposal.do?ID=",SUBSTITUTE(SplitQueryTable[[#This Row],[prop_id]],CHAR(160),"")),"eJ")</f>
        <v>eJ</v>
      </c>
      <c r="AC106" s="89" t="s">
        <v>2114</v>
      </c>
      <c r="AD106" s="3" t="s">
        <v>2114</v>
      </c>
      <c r="AE106" s="91">
        <v>2017</v>
      </c>
      <c r="AF106" s="13" t="s">
        <v>43</v>
      </c>
      <c r="AG106" s="13">
        <v>0</v>
      </c>
      <c r="AH106" s="45">
        <v>325000</v>
      </c>
      <c r="AI106" s="44" t="s">
        <v>2118</v>
      </c>
      <c r="AJ106" s="2" t="s">
        <v>231</v>
      </c>
      <c r="AK106" s="46" t="s">
        <v>1707</v>
      </c>
      <c r="AL106" s="55" t="s">
        <v>2117</v>
      </c>
      <c r="AM106" s="45" t="s">
        <v>2117</v>
      </c>
      <c r="AN106" s="56" t="s">
        <v>142</v>
      </c>
      <c r="AO106" s="23" t="s">
        <v>146</v>
      </c>
      <c r="AP106" s="11" t="s">
        <v>382</v>
      </c>
      <c r="AQ106" s="88" t="s">
        <v>2116</v>
      </c>
      <c r="AR106" s="57" t="s">
        <v>2119</v>
      </c>
      <c r="AS106" s="46">
        <v>42983.466597222221</v>
      </c>
      <c r="AT106" s="3">
        <f t="shared" si="1"/>
        <v>81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43005.699629629627</v>
      </c>
      <c r="I107" s="43">
        <v>42793.613888888889</v>
      </c>
      <c r="J107" s="42">
        <v>42932.716736111113</v>
      </c>
      <c r="K107" s="81" t="s">
        <v>137</v>
      </c>
      <c r="L107" t="s">
        <v>1760</v>
      </c>
      <c r="M107" t="s">
        <v>1761</v>
      </c>
      <c r="N107" s="1" t="s">
        <v>1761</v>
      </c>
      <c r="O107" s="1" t="s">
        <v>1800</v>
      </c>
      <c r="P107" t="s">
        <v>1800</v>
      </c>
      <c r="Q107" s="9" t="s">
        <v>45</v>
      </c>
      <c r="R107" s="82" t="s">
        <v>45</v>
      </c>
      <c r="S107" s="44" t="s">
        <v>1782</v>
      </c>
      <c r="T107" s="3" t="s">
        <v>61</v>
      </c>
      <c r="U107" s="2" t="s">
        <v>29</v>
      </c>
      <c r="V107" s="89" t="s">
        <v>29</v>
      </c>
      <c r="W107" s="11" t="s">
        <v>143</v>
      </c>
      <c r="X107" s="89" t="s">
        <v>143</v>
      </c>
      <c r="Y107" s="77" t="s">
        <v>334</v>
      </c>
      <c r="Z107" s="84" t="s">
        <v>2120</v>
      </c>
      <c r="AA107" s="89" t="s">
        <v>28</v>
      </c>
      <c r="AB107" s="90" t="str">
        <f>HYPERLINK(CONCATENATE("https://www.ejacket.nsf.gov/ej/showProposal.do?ID=",SUBSTITUTE(SplitQueryTable[[#This Row],[prop_id]],CHAR(160),"")),"eJ")</f>
        <v>eJ</v>
      </c>
      <c r="AC107" s="89" t="s">
        <v>2120</v>
      </c>
      <c r="AD107" s="3" t="s">
        <v>2120</v>
      </c>
      <c r="AE107" s="91">
        <v>2017</v>
      </c>
      <c r="AF107" s="13" t="s">
        <v>43</v>
      </c>
      <c r="AG107" s="13">
        <v>450000</v>
      </c>
      <c r="AH107" s="45">
        <v>750000</v>
      </c>
      <c r="AI107" s="44" t="s">
        <v>2122</v>
      </c>
      <c r="AJ107" s="2" t="s">
        <v>2123</v>
      </c>
      <c r="AK107" s="46" t="s">
        <v>346</v>
      </c>
      <c r="AL107" s="55" t="s">
        <v>1759</v>
      </c>
      <c r="AM107" s="45" t="s">
        <v>1759</v>
      </c>
      <c r="AN107" s="56" t="s">
        <v>142</v>
      </c>
      <c r="AO107" s="23" t="s">
        <v>146</v>
      </c>
      <c r="AP107" s="11"/>
      <c r="AQ107" s="88" t="s">
        <v>2121</v>
      </c>
      <c r="AR107" s="57" t="s">
        <v>193</v>
      </c>
      <c r="AS107" s="46">
        <v>42963.816817129627</v>
      </c>
      <c r="AT107" s="3">
        <f t="shared" si="1"/>
        <v>82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43005.699629629627</v>
      </c>
      <c r="I108" s="43">
        <v>41180.55972222222</v>
      </c>
      <c r="J108" s="42">
        <v>41354.398182870369</v>
      </c>
      <c r="K108" s="81" t="s">
        <v>1768</v>
      </c>
      <c r="L108" t="s">
        <v>1760</v>
      </c>
      <c r="M108" t="s">
        <v>1761</v>
      </c>
      <c r="N108" s="1" t="s">
        <v>1761</v>
      </c>
      <c r="O108" s="1" t="s">
        <v>2109</v>
      </c>
      <c r="P108" t="s">
        <v>52</v>
      </c>
      <c r="Q108" s="9" t="s">
        <v>45</v>
      </c>
      <c r="R108" s="82" t="s">
        <v>45</v>
      </c>
      <c r="S108" s="44" t="s">
        <v>2102</v>
      </c>
      <c r="T108" s="3" t="s">
        <v>61</v>
      </c>
      <c r="U108" s="2" t="s">
        <v>29</v>
      </c>
      <c r="V108" s="89" t="s">
        <v>29</v>
      </c>
      <c r="W108" s="11" t="s">
        <v>143</v>
      </c>
      <c r="X108" s="89" t="s">
        <v>143</v>
      </c>
      <c r="Y108" s="77" t="s">
        <v>1772</v>
      </c>
      <c r="Z108" s="84" t="s">
        <v>2125</v>
      </c>
      <c r="AA108" s="89" t="s">
        <v>62</v>
      </c>
      <c r="AB108" s="90" t="str">
        <f>HYPERLINK(CONCATENATE("https://www.ejacket.nsf.gov/ej/showProposal.do?ID=",SUBSTITUTE(SplitQueryTable[[#This Row],[prop_id]],CHAR(160),"")),"eJ")</f>
        <v>eJ</v>
      </c>
      <c r="AC108" s="89" t="s">
        <v>2124</v>
      </c>
      <c r="AD108" s="3" t="s">
        <v>2124</v>
      </c>
      <c r="AE108" s="91">
        <v>2017</v>
      </c>
      <c r="AF108" s="13" t="s">
        <v>43</v>
      </c>
      <c r="AG108" s="13">
        <v>60000</v>
      </c>
      <c r="AH108" s="45">
        <v>300000</v>
      </c>
      <c r="AI108" s="44" t="s">
        <v>2127</v>
      </c>
      <c r="AJ108" s="2" t="s">
        <v>2128</v>
      </c>
      <c r="AK108" s="46" t="s">
        <v>238</v>
      </c>
      <c r="AL108" s="55" t="s">
        <v>2117</v>
      </c>
      <c r="AM108" s="45" t="s">
        <v>2117</v>
      </c>
      <c r="AN108" s="56" t="s">
        <v>142</v>
      </c>
      <c r="AO108" s="23" t="s">
        <v>146</v>
      </c>
      <c r="AP108" s="11" t="s">
        <v>172</v>
      </c>
      <c r="AQ108" s="88" t="s">
        <v>2126</v>
      </c>
      <c r="AR108" s="57" t="s">
        <v>40</v>
      </c>
      <c r="AS108" s="46">
        <v>42900.501087962963</v>
      </c>
      <c r="AT108" s="3">
        <f t="shared" si="1"/>
        <v>83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43005.699629629627</v>
      </c>
      <c r="I109" s="43">
        <v>42562.602083333331</v>
      </c>
      <c r="J109" s="42">
        <v>42797.359178240738</v>
      </c>
      <c r="K109" s="81" t="s">
        <v>1768</v>
      </c>
      <c r="L109" t="s">
        <v>1768</v>
      </c>
      <c r="M109" t="s">
        <v>1761</v>
      </c>
      <c r="N109" s="1" t="s">
        <v>1761</v>
      </c>
      <c r="O109" s="1" t="s">
        <v>1800</v>
      </c>
      <c r="P109" t="s">
        <v>1800</v>
      </c>
      <c r="Q109" s="9" t="s">
        <v>45</v>
      </c>
      <c r="R109" s="82" t="s">
        <v>45</v>
      </c>
      <c r="S109" s="44" t="s">
        <v>1762</v>
      </c>
      <c r="T109" s="3" t="s">
        <v>61</v>
      </c>
      <c r="U109" s="2" t="s">
        <v>29</v>
      </c>
      <c r="V109" s="89" t="s">
        <v>29</v>
      </c>
      <c r="W109" s="11" t="s">
        <v>143</v>
      </c>
      <c r="X109" s="89" t="s">
        <v>143</v>
      </c>
      <c r="Y109" s="77" t="s">
        <v>1772</v>
      </c>
      <c r="Z109" s="84" t="s">
        <v>2129</v>
      </c>
      <c r="AA109" s="89" t="s">
        <v>28</v>
      </c>
      <c r="AB109" s="90" t="str">
        <f>HYPERLINK(CONCATENATE("https://www.ejacket.nsf.gov/ej/showProposal.do?ID=",SUBSTITUTE(SplitQueryTable[[#This Row],[prop_id]],CHAR(160),"")),"eJ")</f>
        <v>eJ</v>
      </c>
      <c r="AC109" s="89" t="s">
        <v>2129</v>
      </c>
      <c r="AD109" s="3" t="s">
        <v>2129</v>
      </c>
      <c r="AE109" s="91">
        <v>2017</v>
      </c>
      <c r="AF109" s="13" t="s">
        <v>43</v>
      </c>
      <c r="AG109" s="13">
        <v>150000</v>
      </c>
      <c r="AH109" s="45">
        <v>750000</v>
      </c>
      <c r="AI109" s="44" t="s">
        <v>2131</v>
      </c>
      <c r="AJ109" s="2" t="s">
        <v>2132</v>
      </c>
      <c r="AK109" s="46" t="s">
        <v>1731</v>
      </c>
      <c r="AL109" s="55" t="s">
        <v>1816</v>
      </c>
      <c r="AM109" s="45" t="s">
        <v>1816</v>
      </c>
      <c r="AN109" s="56" t="s">
        <v>142</v>
      </c>
      <c r="AO109" s="23" t="s">
        <v>146</v>
      </c>
      <c r="AP109" s="11"/>
      <c r="AQ109" s="88" t="s">
        <v>2130</v>
      </c>
      <c r="AR109" s="57" t="s">
        <v>200</v>
      </c>
      <c r="AS109" s="46">
        <v>42822.591840277775</v>
      </c>
      <c r="AT109" s="3">
        <f t="shared" si="1"/>
        <v>84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43005.699629629627</v>
      </c>
      <c r="I110" s="43">
        <v>41338.602083333331</v>
      </c>
      <c r="J110" s="42">
        <v>41473.690567129626</v>
      </c>
      <c r="K110" s="81" t="s">
        <v>1768</v>
      </c>
      <c r="L110" t="s">
        <v>1768</v>
      </c>
      <c r="M110" t="s">
        <v>1761</v>
      </c>
      <c r="N110" s="1" t="s">
        <v>1761</v>
      </c>
      <c r="O110" s="1" t="s">
        <v>2101</v>
      </c>
      <c r="P110" t="s">
        <v>2101</v>
      </c>
      <c r="Q110" s="9" t="s">
        <v>45</v>
      </c>
      <c r="R110" s="82" t="s">
        <v>45</v>
      </c>
      <c r="S110" s="44" t="s">
        <v>2102</v>
      </c>
      <c r="T110" s="3" t="s">
        <v>61</v>
      </c>
      <c r="U110" s="2" t="s">
        <v>29</v>
      </c>
      <c r="V110" s="89" t="s">
        <v>29</v>
      </c>
      <c r="W110" s="11" t="s">
        <v>143</v>
      </c>
      <c r="X110" s="89" t="s">
        <v>143</v>
      </c>
      <c r="Y110" s="77" t="s">
        <v>1772</v>
      </c>
      <c r="Z110" s="84" t="s">
        <v>2133</v>
      </c>
      <c r="AA110" s="89" t="s">
        <v>174</v>
      </c>
      <c r="AB110" s="90" t="str">
        <f>HYPERLINK(CONCATENATE("https://www.ejacket.nsf.gov/ej/showProposal.do?ID=",SUBSTITUTE(SplitQueryTable[[#This Row],[prop_id]],CHAR(160),"")),"eJ")</f>
        <v>eJ</v>
      </c>
      <c r="AC110" s="89" t="s">
        <v>2133</v>
      </c>
      <c r="AD110" s="3" t="s">
        <v>2133</v>
      </c>
      <c r="AE110" s="91">
        <v>2017</v>
      </c>
      <c r="AF110" s="13" t="s">
        <v>43</v>
      </c>
      <c r="AG110" s="13">
        <v>92500</v>
      </c>
      <c r="AH110" s="45">
        <v>632500</v>
      </c>
      <c r="AI110" s="44" t="s">
        <v>2135</v>
      </c>
      <c r="AJ110" s="2" t="s">
        <v>2136</v>
      </c>
      <c r="AK110" s="46" t="s">
        <v>521</v>
      </c>
      <c r="AL110" s="55" t="s">
        <v>1872</v>
      </c>
      <c r="AM110" s="45" t="s">
        <v>1872</v>
      </c>
      <c r="AN110" s="56" t="s">
        <v>142</v>
      </c>
      <c r="AO110" s="23" t="s">
        <v>146</v>
      </c>
      <c r="AP110" s="11" t="s">
        <v>172</v>
      </c>
      <c r="AQ110" s="88" t="s">
        <v>2134</v>
      </c>
      <c r="AR110" s="57" t="s">
        <v>40</v>
      </c>
      <c r="AS110" s="46">
        <v>42965.641331018516</v>
      </c>
      <c r="AT110" s="3">
        <f t="shared" si="1"/>
        <v>85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43005.699629629627</v>
      </c>
      <c r="I111" s="43">
        <v>41702.669444444444</v>
      </c>
      <c r="J111" s="42">
        <v>41855.533495370371</v>
      </c>
      <c r="K111" s="81" t="s">
        <v>1768</v>
      </c>
      <c r="L111" t="s">
        <v>1760</v>
      </c>
      <c r="M111" t="s">
        <v>1761</v>
      </c>
      <c r="N111" s="1" t="s">
        <v>1761</v>
      </c>
      <c r="O111" s="1" t="s">
        <v>2109</v>
      </c>
      <c r="P111" t="s">
        <v>52</v>
      </c>
      <c r="Q111" s="9" t="s">
        <v>45</v>
      </c>
      <c r="R111" s="82" t="s">
        <v>45</v>
      </c>
      <c r="S111" s="44" t="s">
        <v>2088</v>
      </c>
      <c r="T111" s="3" t="s">
        <v>61</v>
      </c>
      <c r="U111" s="2" t="s">
        <v>29</v>
      </c>
      <c r="V111" s="89" t="s">
        <v>29</v>
      </c>
      <c r="W111" s="11" t="s">
        <v>143</v>
      </c>
      <c r="X111" s="89" t="s">
        <v>143</v>
      </c>
      <c r="Y111" s="77" t="s">
        <v>1772</v>
      </c>
      <c r="Z111" s="84" t="s">
        <v>2138</v>
      </c>
      <c r="AA111" s="89" t="s">
        <v>62</v>
      </c>
      <c r="AB111" s="90" t="str">
        <f>HYPERLINK(CONCATENATE("https://www.ejacket.nsf.gov/ej/showProposal.do?ID=",SUBSTITUTE(SplitQueryTable[[#This Row],[prop_id]],CHAR(160),"")),"eJ")</f>
        <v>eJ</v>
      </c>
      <c r="AC111" s="89" t="s">
        <v>2137</v>
      </c>
      <c r="AD111" s="3" t="s">
        <v>2137</v>
      </c>
      <c r="AE111" s="91">
        <v>2017</v>
      </c>
      <c r="AF111" s="13" t="s">
        <v>43</v>
      </c>
      <c r="AG111" s="13">
        <v>65000</v>
      </c>
      <c r="AH111" s="45">
        <v>324998</v>
      </c>
      <c r="AI111" s="44" t="s">
        <v>1539</v>
      </c>
      <c r="AJ111" s="2" t="s">
        <v>2140</v>
      </c>
      <c r="AK111" s="46" t="s">
        <v>2141</v>
      </c>
      <c r="AL111" s="55" t="s">
        <v>2117</v>
      </c>
      <c r="AM111" s="45" t="s">
        <v>2117</v>
      </c>
      <c r="AN111" s="56" t="s">
        <v>142</v>
      </c>
      <c r="AO111" s="23" t="s">
        <v>146</v>
      </c>
      <c r="AP111" s="11" t="s">
        <v>172</v>
      </c>
      <c r="AQ111" s="88" t="s">
        <v>2139</v>
      </c>
      <c r="AR111" s="57" t="s">
        <v>40</v>
      </c>
      <c r="AS111" s="46">
        <v>42977.34584490741</v>
      </c>
      <c r="AT111" s="3">
        <f t="shared" si="1"/>
        <v>86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43005.699629629627</v>
      </c>
      <c r="I112" s="43">
        <v>41338.612500000003</v>
      </c>
      <c r="J112" s="42">
        <v>41485.708657407406</v>
      </c>
      <c r="K112" s="81" t="s">
        <v>1768</v>
      </c>
      <c r="L112" t="s">
        <v>1760</v>
      </c>
      <c r="M112" t="s">
        <v>1761</v>
      </c>
      <c r="N112" s="1" t="s">
        <v>1761</v>
      </c>
      <c r="O112" s="1" t="s">
        <v>2101</v>
      </c>
      <c r="P112" t="s">
        <v>52</v>
      </c>
      <c r="Q112" s="9" t="s">
        <v>45</v>
      </c>
      <c r="R112" s="82" t="s">
        <v>45</v>
      </c>
      <c r="S112" s="44" t="s">
        <v>2102</v>
      </c>
      <c r="T112" s="3" t="s">
        <v>61</v>
      </c>
      <c r="U112" s="2" t="s">
        <v>29</v>
      </c>
      <c r="V112" s="89" t="s">
        <v>29</v>
      </c>
      <c r="W112" s="11" t="s">
        <v>143</v>
      </c>
      <c r="X112" s="89" t="s">
        <v>143</v>
      </c>
      <c r="Y112" s="77" t="s">
        <v>1772</v>
      </c>
      <c r="Z112" s="84" t="s">
        <v>2143</v>
      </c>
      <c r="AA112" s="89" t="s">
        <v>62</v>
      </c>
      <c r="AB112" s="90" t="str">
        <f>HYPERLINK(CONCATENATE("https://www.ejacket.nsf.gov/ej/showProposal.do?ID=",SUBSTITUTE(SplitQueryTable[[#This Row],[prop_id]],CHAR(160),"")),"eJ")</f>
        <v>eJ</v>
      </c>
      <c r="AC112" s="89" t="s">
        <v>2142</v>
      </c>
      <c r="AD112" s="3" t="s">
        <v>2142</v>
      </c>
      <c r="AE112" s="91">
        <v>2017</v>
      </c>
      <c r="AF112" s="13" t="s">
        <v>43</v>
      </c>
      <c r="AG112" s="13">
        <v>60000</v>
      </c>
      <c r="AH112" s="45">
        <v>180000</v>
      </c>
      <c r="AI112" s="44" t="s">
        <v>2145</v>
      </c>
      <c r="AJ112" s="2" t="s">
        <v>2146</v>
      </c>
      <c r="AK112" s="46" t="s">
        <v>1754</v>
      </c>
      <c r="AL112" s="55" t="s">
        <v>2117</v>
      </c>
      <c r="AM112" s="45" t="s">
        <v>2117</v>
      </c>
      <c r="AN112" s="56" t="s">
        <v>142</v>
      </c>
      <c r="AO112" s="23" t="s">
        <v>146</v>
      </c>
      <c r="AP112" s="11" t="s">
        <v>172</v>
      </c>
      <c r="AQ112" s="88" t="s">
        <v>2144</v>
      </c>
      <c r="AR112" s="57" t="s">
        <v>40</v>
      </c>
      <c r="AS112" s="46">
        <v>42989.382384259261</v>
      </c>
      <c r="AT112" s="3">
        <f t="shared" si="1"/>
        <v>87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43005.699629629627</v>
      </c>
      <c r="I113" s="43">
        <v>42066.59097222222</v>
      </c>
      <c r="J113" s="42">
        <v>42209.349409722221</v>
      </c>
      <c r="K113" s="81" t="s">
        <v>1768</v>
      </c>
      <c r="L113" t="s">
        <v>1760</v>
      </c>
      <c r="M113" t="s">
        <v>1761</v>
      </c>
      <c r="N113" s="1" t="s">
        <v>1761</v>
      </c>
      <c r="O113" s="1" t="s">
        <v>227</v>
      </c>
      <c r="P113" t="s">
        <v>227</v>
      </c>
      <c r="Q113" s="9" t="s">
        <v>45</v>
      </c>
      <c r="R113" s="82" t="s">
        <v>45</v>
      </c>
      <c r="S113" s="44" t="s">
        <v>2088</v>
      </c>
      <c r="T113" s="3" t="s">
        <v>61</v>
      </c>
      <c r="U113" s="2" t="s">
        <v>29</v>
      </c>
      <c r="V113" s="89" t="s">
        <v>29</v>
      </c>
      <c r="W113" s="11" t="s">
        <v>143</v>
      </c>
      <c r="X113" s="89" t="s">
        <v>143</v>
      </c>
      <c r="Y113" s="77" t="s">
        <v>1772</v>
      </c>
      <c r="Z113" s="84" t="s">
        <v>2147</v>
      </c>
      <c r="AA113" s="89" t="s">
        <v>28</v>
      </c>
      <c r="AB113" s="90" t="str">
        <f>HYPERLINK(CONCATENATE("https://www.ejacket.nsf.gov/ej/showProposal.do?ID=",SUBSTITUTE(SplitQueryTable[[#This Row],[prop_id]],CHAR(160),"")),"eJ")</f>
        <v>eJ</v>
      </c>
      <c r="AC113" s="89" t="s">
        <v>2147</v>
      </c>
      <c r="AD113" s="3" t="s">
        <v>2147</v>
      </c>
      <c r="AE113" s="91">
        <v>2017</v>
      </c>
      <c r="AF113" s="13" t="s">
        <v>43</v>
      </c>
      <c r="AG113" s="13">
        <v>65000</v>
      </c>
      <c r="AH113" s="45">
        <v>325000</v>
      </c>
      <c r="AI113" s="44" t="s">
        <v>2150</v>
      </c>
      <c r="AJ113" s="2" t="s">
        <v>2151</v>
      </c>
      <c r="AK113" s="46" t="s">
        <v>248</v>
      </c>
      <c r="AL113" s="55" t="s">
        <v>2149</v>
      </c>
      <c r="AM113" s="45" t="s">
        <v>2117</v>
      </c>
      <c r="AN113" s="56" t="s">
        <v>142</v>
      </c>
      <c r="AO113" s="23" t="s">
        <v>146</v>
      </c>
      <c r="AP113" s="11" t="s">
        <v>172</v>
      </c>
      <c r="AQ113" s="88" t="s">
        <v>2148</v>
      </c>
      <c r="AR113" s="57" t="s">
        <v>651</v>
      </c>
      <c r="AS113" s="46">
        <v>42964.617303240739</v>
      </c>
      <c r="AT113" s="3">
        <f t="shared" si="1"/>
        <v>88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43005.699629629627</v>
      </c>
      <c r="I114" s="43">
        <v>42380.640277777777</v>
      </c>
      <c r="J114" s="42">
        <v>42583.788252314815</v>
      </c>
      <c r="K114" s="81" t="s">
        <v>1768</v>
      </c>
      <c r="L114" t="s">
        <v>1768</v>
      </c>
      <c r="M114" t="s">
        <v>1761</v>
      </c>
      <c r="N114" s="1" t="s">
        <v>1761</v>
      </c>
      <c r="O114" s="1" t="s">
        <v>2152</v>
      </c>
      <c r="P114" t="s">
        <v>2152</v>
      </c>
      <c r="Q114" s="9" t="s">
        <v>45</v>
      </c>
      <c r="R114" s="82" t="s">
        <v>45</v>
      </c>
      <c r="S114" s="44" t="s">
        <v>1762</v>
      </c>
      <c r="T114" s="3" t="s">
        <v>61</v>
      </c>
      <c r="U114" s="2" t="s">
        <v>29</v>
      </c>
      <c r="V114" s="89" t="s">
        <v>29</v>
      </c>
      <c r="W114" s="11" t="s">
        <v>143</v>
      </c>
      <c r="X114" s="89" t="s">
        <v>143</v>
      </c>
      <c r="Y114" s="77" t="s">
        <v>1772</v>
      </c>
      <c r="Z114" s="84" t="s">
        <v>2153</v>
      </c>
      <c r="AA114" s="89" t="s">
        <v>28</v>
      </c>
      <c r="AB114" s="90" t="str">
        <f>HYPERLINK(CONCATENATE("https://www.ejacket.nsf.gov/ej/showProposal.do?ID=",SUBSTITUTE(SplitQueryTable[[#This Row],[prop_id]],CHAR(160),"")),"eJ")</f>
        <v>eJ</v>
      </c>
      <c r="AC114" s="89" t="s">
        <v>2153</v>
      </c>
      <c r="AD114" s="3" t="s">
        <v>2153</v>
      </c>
      <c r="AE114" s="91">
        <v>2017</v>
      </c>
      <c r="AF114" s="13" t="s">
        <v>43</v>
      </c>
      <c r="AG114" s="13">
        <v>12500</v>
      </c>
      <c r="AH114" s="45">
        <v>750000</v>
      </c>
      <c r="AI114" s="44" t="s">
        <v>2156</v>
      </c>
      <c r="AJ114" s="2" t="s">
        <v>296</v>
      </c>
      <c r="AK114" s="46" t="s">
        <v>226</v>
      </c>
      <c r="AL114" s="55" t="s">
        <v>2155</v>
      </c>
      <c r="AM114" s="45" t="s">
        <v>2155</v>
      </c>
      <c r="AN114" s="56" t="s">
        <v>142</v>
      </c>
      <c r="AO114" s="23" t="s">
        <v>146</v>
      </c>
      <c r="AP114" s="11" t="s">
        <v>172</v>
      </c>
      <c r="AQ114" s="88" t="s">
        <v>2154</v>
      </c>
      <c r="AR114" s="57" t="s">
        <v>40</v>
      </c>
      <c r="AS114" s="46">
        <v>42963.566516203704</v>
      </c>
      <c r="AT114" s="3">
        <f t="shared" si="1"/>
        <v>89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43005.699629629627</v>
      </c>
      <c r="I115" s="43">
        <v>42380.709027777775</v>
      </c>
      <c r="J115" s="42">
        <v>42535.587812500002</v>
      </c>
      <c r="K115" s="81" t="s">
        <v>137</v>
      </c>
      <c r="L115" t="s">
        <v>1760</v>
      </c>
      <c r="M115" t="s">
        <v>1761</v>
      </c>
      <c r="N115" s="1" t="s">
        <v>1761</v>
      </c>
      <c r="O115" s="1" t="s">
        <v>1800</v>
      </c>
      <c r="P115" t="s">
        <v>1800</v>
      </c>
      <c r="Q115" s="9" t="s">
        <v>45</v>
      </c>
      <c r="R115" s="82" t="s">
        <v>45</v>
      </c>
      <c r="S115" s="44" t="s">
        <v>1762</v>
      </c>
      <c r="T115" s="3" t="s">
        <v>61</v>
      </c>
      <c r="U115" s="2" t="s">
        <v>29</v>
      </c>
      <c r="V115" s="89" t="s">
        <v>29</v>
      </c>
      <c r="W115" s="11" t="s">
        <v>143</v>
      </c>
      <c r="X115" s="89" t="s">
        <v>143</v>
      </c>
      <c r="Y115" s="77" t="s">
        <v>334</v>
      </c>
      <c r="Z115" s="84" t="s">
        <v>2157</v>
      </c>
      <c r="AA115" s="89" t="s">
        <v>28</v>
      </c>
      <c r="AB115" s="90" t="str">
        <f>HYPERLINK(CONCATENATE("https://www.ejacket.nsf.gov/ej/showProposal.do?ID=",SUBSTITUTE(SplitQueryTable[[#This Row],[prop_id]],CHAR(160),"")),"eJ")</f>
        <v>eJ</v>
      </c>
      <c r="AC115" s="89" t="s">
        <v>2157</v>
      </c>
      <c r="AD115" s="3" t="s">
        <v>2157</v>
      </c>
      <c r="AE115" s="91">
        <v>2017</v>
      </c>
      <c r="AF115" s="13" t="s">
        <v>43</v>
      </c>
      <c r="AG115" s="13">
        <v>150000</v>
      </c>
      <c r="AH115" s="45">
        <v>750000</v>
      </c>
      <c r="AI115" s="44" t="s">
        <v>2159</v>
      </c>
      <c r="AJ115" s="2" t="s">
        <v>2160</v>
      </c>
      <c r="AK115" s="46" t="s">
        <v>1720</v>
      </c>
      <c r="AL115" s="55" t="s">
        <v>1759</v>
      </c>
      <c r="AM115" s="45"/>
      <c r="AN115" s="56" t="s">
        <v>142</v>
      </c>
      <c r="AO115" s="23" t="s">
        <v>146</v>
      </c>
      <c r="AP115" s="11" t="s">
        <v>172</v>
      </c>
      <c r="AQ115" s="88" t="s">
        <v>2158</v>
      </c>
      <c r="AR115" s="57" t="s">
        <v>40</v>
      </c>
      <c r="AS115" s="46">
        <v>42963.587222222224</v>
      </c>
      <c r="AT115" s="3">
        <f t="shared" si="1"/>
        <v>90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43005.699629629627</v>
      </c>
      <c r="I116" s="43">
        <v>41702.558333333334</v>
      </c>
      <c r="J116" s="42">
        <v>41849.773842592593</v>
      </c>
      <c r="K116" s="81" t="s">
        <v>1768</v>
      </c>
      <c r="L116" t="s">
        <v>1760</v>
      </c>
      <c r="M116" t="s">
        <v>1761</v>
      </c>
      <c r="N116" s="1" t="s">
        <v>1761</v>
      </c>
      <c r="O116" s="1" t="s">
        <v>2161</v>
      </c>
      <c r="P116" t="s">
        <v>52</v>
      </c>
      <c r="Q116" s="9" t="s">
        <v>45</v>
      </c>
      <c r="R116" s="82" t="s">
        <v>45</v>
      </c>
      <c r="S116" s="44" t="s">
        <v>2088</v>
      </c>
      <c r="T116" s="3" t="s">
        <v>61</v>
      </c>
      <c r="U116" s="2" t="s">
        <v>29</v>
      </c>
      <c r="V116" s="89" t="s">
        <v>29</v>
      </c>
      <c r="W116" s="11" t="s">
        <v>143</v>
      </c>
      <c r="X116" s="89" t="s">
        <v>143</v>
      </c>
      <c r="Y116" s="77" t="s">
        <v>1772</v>
      </c>
      <c r="Z116" s="84" t="s">
        <v>2162</v>
      </c>
      <c r="AA116" s="89" t="s">
        <v>174</v>
      </c>
      <c r="AB116" s="90" t="str">
        <f>HYPERLINK(CONCATENATE("https://www.ejacket.nsf.gov/ej/showProposal.do?ID=",SUBSTITUTE(SplitQueryTable[[#This Row],[prop_id]],CHAR(160),"")),"eJ")</f>
        <v>eJ</v>
      </c>
      <c r="AC116" s="89" t="s">
        <v>2162</v>
      </c>
      <c r="AD116" s="3" t="s">
        <v>2162</v>
      </c>
      <c r="AE116" s="91">
        <v>2017</v>
      </c>
      <c r="AF116" s="13" t="s">
        <v>43</v>
      </c>
      <c r="AG116" s="13">
        <v>107654</v>
      </c>
      <c r="AH116" s="45">
        <v>512840</v>
      </c>
      <c r="AI116" s="44" t="s">
        <v>2164</v>
      </c>
      <c r="AJ116" s="2" t="s">
        <v>2165</v>
      </c>
      <c r="AK116" s="46" t="s">
        <v>2166</v>
      </c>
      <c r="AL116" s="55" t="s">
        <v>2117</v>
      </c>
      <c r="AM116" s="45" t="s">
        <v>2117</v>
      </c>
      <c r="AN116" s="56" t="s">
        <v>142</v>
      </c>
      <c r="AO116" s="23" t="s">
        <v>146</v>
      </c>
      <c r="AP116" s="11" t="s">
        <v>172</v>
      </c>
      <c r="AQ116" s="88" t="s">
        <v>2163</v>
      </c>
      <c r="AR116" s="57" t="s">
        <v>40</v>
      </c>
      <c r="AS116" s="46">
        <v>42916.388240740744</v>
      </c>
      <c r="AT116" s="3">
        <f t="shared" si="1"/>
        <v>91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43005.699629629627</v>
      </c>
      <c r="I117" s="43">
        <v>41544.537499999999</v>
      </c>
      <c r="J117" s="42">
        <v>41723.765902777777</v>
      </c>
      <c r="K117" s="81" t="s">
        <v>1768</v>
      </c>
      <c r="L117" t="s">
        <v>1760</v>
      </c>
      <c r="M117" t="s">
        <v>1761</v>
      </c>
      <c r="N117" s="1" t="s">
        <v>1761</v>
      </c>
      <c r="O117" s="1" t="s">
        <v>2161</v>
      </c>
      <c r="P117" t="s">
        <v>52</v>
      </c>
      <c r="Q117" s="9" t="s">
        <v>45</v>
      </c>
      <c r="R117" s="82" t="s">
        <v>45</v>
      </c>
      <c r="S117" s="44" t="s">
        <v>2102</v>
      </c>
      <c r="T117" s="3" t="s">
        <v>61</v>
      </c>
      <c r="U117" s="2" t="s">
        <v>29</v>
      </c>
      <c r="V117" s="89" t="s">
        <v>29</v>
      </c>
      <c r="W117" s="11" t="s">
        <v>143</v>
      </c>
      <c r="X117" s="89" t="s">
        <v>143</v>
      </c>
      <c r="Y117" s="77" t="s">
        <v>1772</v>
      </c>
      <c r="Z117" s="84" t="s">
        <v>2172</v>
      </c>
      <c r="AA117" s="89" t="s">
        <v>174</v>
      </c>
      <c r="AB117" s="90" t="str">
        <f>HYPERLINK(CONCATENATE("https://www.ejacket.nsf.gov/ej/showProposal.do?ID=",SUBSTITUTE(SplitQueryTable[[#This Row],[prop_id]],CHAR(160),"")),"eJ")</f>
        <v>eJ</v>
      </c>
      <c r="AC117" s="89" t="s">
        <v>2172</v>
      </c>
      <c r="AD117" s="3" t="s">
        <v>2172</v>
      </c>
      <c r="AE117" s="91">
        <v>2017</v>
      </c>
      <c r="AF117" s="13" t="s">
        <v>43</v>
      </c>
      <c r="AG117" s="13">
        <v>83175</v>
      </c>
      <c r="AH117" s="45">
        <v>630000</v>
      </c>
      <c r="AI117" s="44" t="s">
        <v>2174</v>
      </c>
      <c r="AJ117" s="2" t="s">
        <v>2175</v>
      </c>
      <c r="AK117" s="46" t="s">
        <v>313</v>
      </c>
      <c r="AL117" s="55" t="s">
        <v>2117</v>
      </c>
      <c r="AM117" s="45" t="s">
        <v>2117</v>
      </c>
      <c r="AN117" s="56" t="s">
        <v>142</v>
      </c>
      <c r="AO117" s="23" t="s">
        <v>146</v>
      </c>
      <c r="AP117" s="11" t="s">
        <v>172</v>
      </c>
      <c r="AQ117" s="88" t="s">
        <v>2173</v>
      </c>
      <c r="AR117" s="57" t="s">
        <v>40</v>
      </c>
      <c r="AS117" s="46">
        <v>42900.505162037036</v>
      </c>
      <c r="AT117" s="3">
        <f t="shared" si="1"/>
        <v>92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43005.699629629627</v>
      </c>
      <c r="I118" s="43">
        <v>42562.63958333333</v>
      </c>
      <c r="J118" s="42">
        <v>42761.45884259259</v>
      </c>
      <c r="K118" s="81" t="s">
        <v>137</v>
      </c>
      <c r="L118" t="s">
        <v>1760</v>
      </c>
      <c r="M118" t="s">
        <v>1761</v>
      </c>
      <c r="N118" s="1" t="s">
        <v>1761</v>
      </c>
      <c r="O118" s="1" t="s">
        <v>227</v>
      </c>
      <c r="P118" t="s">
        <v>227</v>
      </c>
      <c r="Q118" s="9" t="s">
        <v>45</v>
      </c>
      <c r="R118" s="82" t="s">
        <v>45</v>
      </c>
      <c r="S118" s="44" t="s">
        <v>1762</v>
      </c>
      <c r="T118" s="3" t="s">
        <v>61</v>
      </c>
      <c r="U118" s="2" t="s">
        <v>29</v>
      </c>
      <c r="V118" s="89" t="s">
        <v>29</v>
      </c>
      <c r="W118" s="11" t="s">
        <v>143</v>
      </c>
      <c r="X118" s="89" t="s">
        <v>143</v>
      </c>
      <c r="Y118" s="77" t="s">
        <v>334</v>
      </c>
      <c r="Z118" s="84" t="s">
        <v>2176</v>
      </c>
      <c r="AA118" s="89" t="s">
        <v>28</v>
      </c>
      <c r="AB118" s="90" t="str">
        <f>HYPERLINK(CONCATENATE("https://www.ejacket.nsf.gov/ej/showProposal.do?ID=",SUBSTITUTE(SplitQueryTable[[#This Row],[prop_id]],CHAR(160),"")),"eJ")</f>
        <v>eJ</v>
      </c>
      <c r="AC118" s="89" t="s">
        <v>2176</v>
      </c>
      <c r="AD118" s="3" t="s">
        <v>2176</v>
      </c>
      <c r="AE118" s="91">
        <v>2017</v>
      </c>
      <c r="AF118" s="13" t="s">
        <v>43</v>
      </c>
      <c r="AG118" s="13">
        <v>100000</v>
      </c>
      <c r="AH118" s="45">
        <v>500000</v>
      </c>
      <c r="AI118" s="44" t="s">
        <v>2178</v>
      </c>
      <c r="AJ118" s="2" t="s">
        <v>2179</v>
      </c>
      <c r="AK118" s="46" t="s">
        <v>1713</v>
      </c>
      <c r="AL118" s="55" t="s">
        <v>1759</v>
      </c>
      <c r="AM118" s="45"/>
      <c r="AN118" s="56" t="s">
        <v>142</v>
      </c>
      <c r="AO118" s="23" t="s">
        <v>146</v>
      </c>
      <c r="AP118" s="11"/>
      <c r="AQ118" s="88" t="s">
        <v>2177</v>
      </c>
      <c r="AR118" s="57" t="s">
        <v>188</v>
      </c>
      <c r="AS118" s="46">
        <v>42779.459918981483</v>
      </c>
      <c r="AT118" s="3">
        <f t="shared" si="1"/>
        <v>93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43005.699629629627</v>
      </c>
      <c r="I119" s="43">
        <v>41544.743055555555</v>
      </c>
      <c r="J119" s="42">
        <v>41670.571319444447</v>
      </c>
      <c r="K119" s="81" t="s">
        <v>1768</v>
      </c>
      <c r="L119" t="s">
        <v>1768</v>
      </c>
      <c r="M119" t="s">
        <v>1761</v>
      </c>
      <c r="N119" s="1" t="s">
        <v>1761</v>
      </c>
      <c r="O119" s="1" t="s">
        <v>2109</v>
      </c>
      <c r="P119" t="s">
        <v>2109</v>
      </c>
      <c r="Q119" s="9" t="s">
        <v>45</v>
      </c>
      <c r="R119" s="82" t="s">
        <v>45</v>
      </c>
      <c r="S119" s="44" t="s">
        <v>2102</v>
      </c>
      <c r="T119" s="3" t="s">
        <v>61</v>
      </c>
      <c r="U119" s="2" t="s">
        <v>29</v>
      </c>
      <c r="V119" s="89" t="s">
        <v>29</v>
      </c>
      <c r="W119" s="11" t="s">
        <v>143</v>
      </c>
      <c r="X119" s="89" t="s">
        <v>143</v>
      </c>
      <c r="Y119" s="77" t="s">
        <v>1772</v>
      </c>
      <c r="Z119" s="84" t="s">
        <v>2181</v>
      </c>
      <c r="AA119" s="89" t="s">
        <v>62</v>
      </c>
      <c r="AB119" s="90" t="str">
        <f>HYPERLINK(CONCATENATE("https://www.ejacket.nsf.gov/ej/showProposal.do?ID=",SUBSTITUTE(SplitQueryTable[[#This Row],[prop_id]],CHAR(160),"")),"eJ")</f>
        <v>eJ</v>
      </c>
      <c r="AC119" s="89" t="s">
        <v>2180</v>
      </c>
      <c r="AD119" s="3" t="s">
        <v>2180</v>
      </c>
      <c r="AE119" s="91">
        <v>2017</v>
      </c>
      <c r="AF119" s="13" t="s">
        <v>43</v>
      </c>
      <c r="AG119" s="13">
        <v>60000</v>
      </c>
      <c r="AH119" s="45">
        <v>300000</v>
      </c>
      <c r="AI119" s="44" t="s">
        <v>2183</v>
      </c>
      <c r="AJ119" s="2" t="s">
        <v>2184</v>
      </c>
      <c r="AK119" s="46" t="s">
        <v>1720</v>
      </c>
      <c r="AL119" s="55" t="s">
        <v>1793</v>
      </c>
      <c r="AM119" s="45" t="s">
        <v>1793</v>
      </c>
      <c r="AN119" s="56" t="s">
        <v>142</v>
      </c>
      <c r="AO119" s="23" t="s">
        <v>146</v>
      </c>
      <c r="AP119" s="11" t="s">
        <v>172</v>
      </c>
      <c r="AQ119" s="88" t="s">
        <v>2182</v>
      </c>
      <c r="AR119" s="57" t="s">
        <v>40</v>
      </c>
      <c r="AS119" s="46">
        <v>42828.561018518521</v>
      </c>
      <c r="AT119" s="3">
        <f t="shared" si="1"/>
        <v>94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43005.699629629627</v>
      </c>
      <c r="I120" s="43">
        <v>41178.629861111112</v>
      </c>
      <c r="J120" s="42">
        <v>41380.730856481481</v>
      </c>
      <c r="K120" s="81" t="s">
        <v>1768</v>
      </c>
      <c r="L120" t="s">
        <v>1768</v>
      </c>
      <c r="M120" t="s">
        <v>1761</v>
      </c>
      <c r="N120" s="1" t="s">
        <v>1761</v>
      </c>
      <c r="O120" s="1" t="s">
        <v>2101</v>
      </c>
      <c r="P120" t="s">
        <v>2101</v>
      </c>
      <c r="Q120" s="9" t="s">
        <v>45</v>
      </c>
      <c r="R120" s="82" t="s">
        <v>45</v>
      </c>
      <c r="S120" s="44" t="s">
        <v>2102</v>
      </c>
      <c r="T120" s="3" t="s">
        <v>61</v>
      </c>
      <c r="U120" s="2" t="s">
        <v>29</v>
      </c>
      <c r="V120" s="89" t="s">
        <v>29</v>
      </c>
      <c r="W120" s="11" t="s">
        <v>143</v>
      </c>
      <c r="X120" s="89" t="s">
        <v>143</v>
      </c>
      <c r="Y120" s="77" t="s">
        <v>1772</v>
      </c>
      <c r="Z120" s="84" t="s">
        <v>2185</v>
      </c>
      <c r="AA120" s="89" t="s">
        <v>28</v>
      </c>
      <c r="AB120" s="90" t="str">
        <f>HYPERLINK(CONCATENATE("https://www.ejacket.nsf.gov/ej/showProposal.do?ID=",SUBSTITUTE(SplitQueryTable[[#This Row],[prop_id]],CHAR(160),"")),"eJ")</f>
        <v>eJ</v>
      </c>
      <c r="AC120" s="89" t="s">
        <v>2185</v>
      </c>
      <c r="AD120" s="3" t="s">
        <v>2185</v>
      </c>
      <c r="AE120" s="91">
        <v>2017</v>
      </c>
      <c r="AF120" s="13" t="s">
        <v>43</v>
      </c>
      <c r="AG120" s="13">
        <v>0</v>
      </c>
      <c r="AH120" s="45">
        <v>239999</v>
      </c>
      <c r="AI120" s="44" t="s">
        <v>2187</v>
      </c>
      <c r="AJ120" s="2" t="s">
        <v>2188</v>
      </c>
      <c r="AK120" s="46" t="s">
        <v>1724</v>
      </c>
      <c r="AL120" s="55" t="s">
        <v>1775</v>
      </c>
      <c r="AM120" s="45" t="s">
        <v>1775</v>
      </c>
      <c r="AN120" s="56" t="s">
        <v>142</v>
      </c>
      <c r="AO120" s="23" t="s">
        <v>146</v>
      </c>
      <c r="AP120" s="11" t="s">
        <v>382</v>
      </c>
      <c r="AQ120" s="88" t="s">
        <v>2186</v>
      </c>
      <c r="AR120" s="57" t="s">
        <v>2189</v>
      </c>
      <c r="AS120" s="46">
        <v>42940.652615740742</v>
      </c>
      <c r="AT120" s="3">
        <f t="shared" si="1"/>
        <v>95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43005.699629629627</v>
      </c>
      <c r="I121" s="43">
        <v>41541.6875</v>
      </c>
      <c r="J121" s="42">
        <v>41715.722569444442</v>
      </c>
      <c r="K121" s="81" t="s">
        <v>1768</v>
      </c>
      <c r="L121" t="s">
        <v>1768</v>
      </c>
      <c r="M121" t="s">
        <v>1761</v>
      </c>
      <c r="N121" s="1" t="s">
        <v>1761</v>
      </c>
      <c r="O121" s="1" t="s">
        <v>2109</v>
      </c>
      <c r="P121" t="s">
        <v>2109</v>
      </c>
      <c r="Q121" s="9" t="s">
        <v>45</v>
      </c>
      <c r="R121" s="82" t="s">
        <v>45</v>
      </c>
      <c r="S121" s="44" t="s">
        <v>2102</v>
      </c>
      <c r="T121" s="3" t="s">
        <v>61</v>
      </c>
      <c r="U121" s="2" t="s">
        <v>29</v>
      </c>
      <c r="V121" s="89" t="s">
        <v>29</v>
      </c>
      <c r="W121" s="11" t="s">
        <v>143</v>
      </c>
      <c r="X121" s="89" t="s">
        <v>143</v>
      </c>
      <c r="Y121" s="77" t="s">
        <v>1772</v>
      </c>
      <c r="Z121" s="84" t="s">
        <v>2191</v>
      </c>
      <c r="AA121" s="89" t="s">
        <v>62</v>
      </c>
      <c r="AB121" s="90" t="str">
        <f>HYPERLINK(CONCATENATE("https://www.ejacket.nsf.gov/ej/showProposal.do?ID=",SUBSTITUTE(SplitQueryTable[[#This Row],[prop_id]],CHAR(160),"")),"eJ")</f>
        <v>eJ</v>
      </c>
      <c r="AC121" s="89" t="s">
        <v>2190</v>
      </c>
      <c r="AD121" s="3" t="s">
        <v>2190</v>
      </c>
      <c r="AE121" s="91">
        <v>2017</v>
      </c>
      <c r="AF121" s="13" t="s">
        <v>43</v>
      </c>
      <c r="AG121" s="13">
        <v>40000</v>
      </c>
      <c r="AH121" s="45">
        <v>200000</v>
      </c>
      <c r="AI121" s="44" t="s">
        <v>2193</v>
      </c>
      <c r="AJ121" s="2" t="s">
        <v>628</v>
      </c>
      <c r="AK121" s="46" t="s">
        <v>1746</v>
      </c>
      <c r="AL121" s="55" t="s">
        <v>1775</v>
      </c>
      <c r="AM121" s="45" t="s">
        <v>1775</v>
      </c>
      <c r="AN121" s="56" t="s">
        <v>142</v>
      </c>
      <c r="AO121" s="23" t="s">
        <v>146</v>
      </c>
      <c r="AP121" s="11" t="s">
        <v>172</v>
      </c>
      <c r="AQ121" s="88" t="s">
        <v>2192</v>
      </c>
      <c r="AR121" s="57" t="s">
        <v>40</v>
      </c>
      <c r="AS121" s="46">
        <v>42892.405578703707</v>
      </c>
      <c r="AT121" s="3">
        <f t="shared" si="1"/>
        <v>96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43005.699629629627</v>
      </c>
      <c r="I122" s="43">
        <v>42066.761111111111</v>
      </c>
      <c r="J122" s="42">
        <v>42209.350555555553</v>
      </c>
      <c r="K122" s="81" t="s">
        <v>1768</v>
      </c>
      <c r="L122" t="s">
        <v>1760</v>
      </c>
      <c r="M122" t="s">
        <v>1761</v>
      </c>
      <c r="N122" s="1" t="s">
        <v>1761</v>
      </c>
      <c r="O122" s="1" t="s">
        <v>227</v>
      </c>
      <c r="P122" t="s">
        <v>227</v>
      </c>
      <c r="Q122" s="9" t="s">
        <v>45</v>
      </c>
      <c r="R122" s="82" t="s">
        <v>45</v>
      </c>
      <c r="S122" s="44" t="s">
        <v>2088</v>
      </c>
      <c r="T122" s="3" t="s">
        <v>61</v>
      </c>
      <c r="U122" s="2" t="s">
        <v>29</v>
      </c>
      <c r="V122" s="89" t="s">
        <v>29</v>
      </c>
      <c r="W122" s="11" t="s">
        <v>143</v>
      </c>
      <c r="X122" s="89" t="s">
        <v>143</v>
      </c>
      <c r="Y122" s="77" t="s">
        <v>1772</v>
      </c>
      <c r="Z122" s="84" t="s">
        <v>2194</v>
      </c>
      <c r="AA122" s="89" t="s">
        <v>28</v>
      </c>
      <c r="AB122" s="90" t="str">
        <f>HYPERLINK(CONCATENATE("https://www.ejacket.nsf.gov/ej/showProposal.do?ID=",SUBSTITUTE(SplitQueryTable[[#This Row],[prop_id]],CHAR(160),"")),"eJ")</f>
        <v>eJ</v>
      </c>
      <c r="AC122" s="89" t="s">
        <v>2194</v>
      </c>
      <c r="AD122" s="3" t="s">
        <v>2194</v>
      </c>
      <c r="AE122" s="91">
        <v>2017</v>
      </c>
      <c r="AF122" s="13" t="s">
        <v>43</v>
      </c>
      <c r="AG122" s="13">
        <v>45000</v>
      </c>
      <c r="AH122" s="45">
        <v>225000</v>
      </c>
      <c r="AI122" s="44" t="s">
        <v>2196</v>
      </c>
      <c r="AJ122" s="2" t="s">
        <v>213</v>
      </c>
      <c r="AK122" s="46" t="s">
        <v>313</v>
      </c>
      <c r="AL122" s="55" t="s">
        <v>2117</v>
      </c>
      <c r="AM122" s="45" t="s">
        <v>2117</v>
      </c>
      <c r="AN122" s="56" t="s">
        <v>142</v>
      </c>
      <c r="AO122" s="23" t="s">
        <v>146</v>
      </c>
      <c r="AP122" s="11" t="s">
        <v>172</v>
      </c>
      <c r="AQ122" s="88" t="s">
        <v>2195</v>
      </c>
      <c r="AR122" s="57" t="s">
        <v>40</v>
      </c>
      <c r="AS122" s="46">
        <v>42991.372939814813</v>
      </c>
      <c r="AT122" s="3">
        <f t="shared" si="1"/>
        <v>97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43005.699629629627</v>
      </c>
      <c r="I123" s="43">
        <v>41541.695833333331</v>
      </c>
      <c r="J123" s="42">
        <v>41675.626215277778</v>
      </c>
      <c r="K123" s="81" t="s">
        <v>1768</v>
      </c>
      <c r="L123" t="s">
        <v>1768</v>
      </c>
      <c r="M123" t="s">
        <v>1761</v>
      </c>
      <c r="N123" s="1" t="s">
        <v>1761</v>
      </c>
      <c r="O123" s="1" t="s">
        <v>2109</v>
      </c>
      <c r="P123" t="s">
        <v>2109</v>
      </c>
      <c r="Q123" s="9" t="s">
        <v>45</v>
      </c>
      <c r="R123" s="82" t="s">
        <v>45</v>
      </c>
      <c r="S123" s="44" t="s">
        <v>2102</v>
      </c>
      <c r="T123" s="3" t="s">
        <v>61</v>
      </c>
      <c r="U123" s="2" t="s">
        <v>29</v>
      </c>
      <c r="V123" s="89" t="s">
        <v>29</v>
      </c>
      <c r="W123" s="11" t="s">
        <v>143</v>
      </c>
      <c r="X123" s="89" t="s">
        <v>143</v>
      </c>
      <c r="Y123" s="77" t="s">
        <v>1772</v>
      </c>
      <c r="Z123" s="84" t="s">
        <v>2197</v>
      </c>
      <c r="AA123" s="89" t="s">
        <v>174</v>
      </c>
      <c r="AB123" s="90" t="str">
        <f>HYPERLINK(CONCATENATE("https://www.ejacket.nsf.gov/ej/showProposal.do?ID=",SUBSTITUTE(SplitQueryTable[[#This Row],[prop_id]],CHAR(160),"")),"eJ")</f>
        <v>eJ</v>
      </c>
      <c r="AC123" s="89" t="s">
        <v>2197</v>
      </c>
      <c r="AD123" s="3" t="s">
        <v>2197</v>
      </c>
      <c r="AE123" s="91">
        <v>2017</v>
      </c>
      <c r="AF123" s="13" t="s">
        <v>43</v>
      </c>
      <c r="AG123" s="13">
        <v>71825</v>
      </c>
      <c r="AH123" s="45">
        <v>379125</v>
      </c>
      <c r="AI123" s="44" t="s">
        <v>2199</v>
      </c>
      <c r="AJ123" s="2" t="s">
        <v>2200</v>
      </c>
      <c r="AK123" s="46" t="s">
        <v>2201</v>
      </c>
      <c r="AL123" s="55" t="s">
        <v>1785</v>
      </c>
      <c r="AM123" s="45" t="s">
        <v>1785</v>
      </c>
      <c r="AN123" s="56" t="s">
        <v>142</v>
      </c>
      <c r="AO123" s="23" t="s">
        <v>146</v>
      </c>
      <c r="AP123" s="11" t="s">
        <v>172</v>
      </c>
      <c r="AQ123" s="88" t="s">
        <v>2198</v>
      </c>
      <c r="AR123" s="57" t="s">
        <v>40</v>
      </c>
      <c r="AS123" s="46">
        <v>42817.374351851853</v>
      </c>
      <c r="AT123" s="3">
        <f t="shared" si="1"/>
        <v>98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43005.699629629627</v>
      </c>
      <c r="I124" s="43">
        <v>41338.679861111108</v>
      </c>
      <c r="J124" s="42">
        <v>41495.478344907409</v>
      </c>
      <c r="K124" s="81" t="s">
        <v>1768</v>
      </c>
      <c r="L124" t="s">
        <v>1760</v>
      </c>
      <c r="M124" t="s">
        <v>1761</v>
      </c>
      <c r="N124" s="1" t="s">
        <v>1761</v>
      </c>
      <c r="O124" s="1" t="s">
        <v>2101</v>
      </c>
      <c r="P124" t="s">
        <v>52</v>
      </c>
      <c r="Q124" s="9" t="s">
        <v>45</v>
      </c>
      <c r="R124" s="82" t="s">
        <v>45</v>
      </c>
      <c r="S124" s="44" t="s">
        <v>2102</v>
      </c>
      <c r="T124" s="3" t="s">
        <v>61</v>
      </c>
      <c r="U124" s="2" t="s">
        <v>29</v>
      </c>
      <c r="V124" s="89" t="s">
        <v>29</v>
      </c>
      <c r="W124" s="11" t="s">
        <v>143</v>
      </c>
      <c r="X124" s="89" t="s">
        <v>143</v>
      </c>
      <c r="Y124" s="77" t="s">
        <v>1772</v>
      </c>
      <c r="Z124" s="84" t="s">
        <v>2202</v>
      </c>
      <c r="AA124" s="89" t="s">
        <v>28</v>
      </c>
      <c r="AB124" s="90" t="str">
        <f>HYPERLINK(CONCATENATE("https://www.ejacket.nsf.gov/ej/showProposal.do?ID=",SUBSTITUTE(SplitQueryTable[[#This Row],[prop_id]],CHAR(160),"")),"eJ")</f>
        <v>eJ</v>
      </c>
      <c r="AC124" s="89" t="s">
        <v>2202</v>
      </c>
      <c r="AD124" s="3" t="s">
        <v>2202</v>
      </c>
      <c r="AE124" s="91">
        <v>2017</v>
      </c>
      <c r="AF124" s="13" t="s">
        <v>43</v>
      </c>
      <c r="AG124" s="13">
        <v>71750</v>
      </c>
      <c r="AH124" s="45">
        <v>449542</v>
      </c>
      <c r="AI124" s="44" t="s">
        <v>2204</v>
      </c>
      <c r="AJ124" s="2" t="s">
        <v>2205</v>
      </c>
      <c r="AK124" s="46" t="s">
        <v>2206</v>
      </c>
      <c r="AL124" s="55" t="s">
        <v>2117</v>
      </c>
      <c r="AM124" s="45" t="s">
        <v>2117</v>
      </c>
      <c r="AN124" s="56" t="s">
        <v>142</v>
      </c>
      <c r="AO124" s="23" t="s">
        <v>146</v>
      </c>
      <c r="AP124" s="11" t="s">
        <v>172</v>
      </c>
      <c r="AQ124" s="88" t="s">
        <v>2203</v>
      </c>
      <c r="AR124" s="57" t="s">
        <v>40</v>
      </c>
      <c r="AS124" s="46">
        <v>42969.659733796296</v>
      </c>
      <c r="AT124" s="3">
        <f t="shared" si="1"/>
        <v>99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43005.699629629627</v>
      </c>
      <c r="I125" s="43">
        <v>41544.729166666664</v>
      </c>
      <c r="J125" s="42">
        <v>41670.5700462963</v>
      </c>
      <c r="K125" s="81" t="s">
        <v>1768</v>
      </c>
      <c r="L125" t="s">
        <v>1768</v>
      </c>
      <c r="M125" t="s">
        <v>1761</v>
      </c>
      <c r="N125" s="1" t="s">
        <v>1761</v>
      </c>
      <c r="O125" s="1" t="s">
        <v>2109</v>
      </c>
      <c r="P125" t="s">
        <v>2109</v>
      </c>
      <c r="Q125" s="9" t="s">
        <v>45</v>
      </c>
      <c r="R125" s="82" t="s">
        <v>45</v>
      </c>
      <c r="S125" s="44" t="s">
        <v>2102</v>
      </c>
      <c r="T125" s="3" t="s">
        <v>61</v>
      </c>
      <c r="U125" s="2" t="s">
        <v>29</v>
      </c>
      <c r="V125" s="89" t="s">
        <v>29</v>
      </c>
      <c r="W125" s="11" t="s">
        <v>143</v>
      </c>
      <c r="X125" s="89" t="s">
        <v>143</v>
      </c>
      <c r="Y125" s="77" t="s">
        <v>1772</v>
      </c>
      <c r="Z125" s="84" t="s">
        <v>2181</v>
      </c>
      <c r="AA125" s="89" t="s">
        <v>174</v>
      </c>
      <c r="AB125" s="90" t="str">
        <f>HYPERLINK(CONCATENATE("https://www.ejacket.nsf.gov/ej/showProposal.do?ID=",SUBSTITUTE(SplitQueryTable[[#This Row],[prop_id]],CHAR(160),"")),"eJ")</f>
        <v>eJ</v>
      </c>
      <c r="AC125" s="89" t="s">
        <v>2181</v>
      </c>
      <c r="AD125" s="3" t="s">
        <v>2181</v>
      </c>
      <c r="AE125" s="91">
        <v>2017</v>
      </c>
      <c r="AF125" s="13" t="s">
        <v>43</v>
      </c>
      <c r="AG125" s="13">
        <v>116532</v>
      </c>
      <c r="AH125" s="45">
        <v>602660</v>
      </c>
      <c r="AI125" s="44" t="s">
        <v>2212</v>
      </c>
      <c r="AJ125" s="2" t="s">
        <v>2213</v>
      </c>
      <c r="AK125" s="46" t="s">
        <v>2141</v>
      </c>
      <c r="AL125" s="55" t="s">
        <v>1793</v>
      </c>
      <c r="AM125" s="45" t="s">
        <v>1793</v>
      </c>
      <c r="AN125" s="56" t="s">
        <v>142</v>
      </c>
      <c r="AO125" s="23" t="s">
        <v>146</v>
      </c>
      <c r="AP125" s="11" t="s">
        <v>172</v>
      </c>
      <c r="AQ125" s="88" t="s">
        <v>2182</v>
      </c>
      <c r="AR125" s="57" t="s">
        <v>502</v>
      </c>
      <c r="AS125" s="46">
        <v>42823.376435185186</v>
      </c>
      <c r="AT125" s="3">
        <f t="shared" si="1"/>
        <v>100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43005.699629629627</v>
      </c>
      <c r="I126" s="43">
        <v>41544.645138888889</v>
      </c>
      <c r="J126" s="42">
        <v>41715.727303240739</v>
      </c>
      <c r="K126" s="81" t="s">
        <v>1768</v>
      </c>
      <c r="L126" t="s">
        <v>1768</v>
      </c>
      <c r="M126" t="s">
        <v>1761</v>
      </c>
      <c r="N126" s="1" t="s">
        <v>1761</v>
      </c>
      <c r="O126" s="1" t="s">
        <v>2109</v>
      </c>
      <c r="P126" t="s">
        <v>2109</v>
      </c>
      <c r="Q126" s="9" t="s">
        <v>45</v>
      </c>
      <c r="R126" s="82" t="s">
        <v>45</v>
      </c>
      <c r="S126" s="44" t="s">
        <v>2102</v>
      </c>
      <c r="T126" s="3" t="s">
        <v>61</v>
      </c>
      <c r="U126" s="2" t="s">
        <v>29</v>
      </c>
      <c r="V126" s="89" t="s">
        <v>29</v>
      </c>
      <c r="W126" s="11" t="s">
        <v>143</v>
      </c>
      <c r="X126" s="89" t="s">
        <v>143</v>
      </c>
      <c r="Y126" s="77" t="s">
        <v>1772</v>
      </c>
      <c r="Z126" s="84" t="s">
        <v>2215</v>
      </c>
      <c r="AA126" s="89" t="s">
        <v>62</v>
      </c>
      <c r="AB126" s="90" t="str">
        <f>HYPERLINK(CONCATENATE("https://www.ejacket.nsf.gov/ej/showProposal.do?ID=",SUBSTITUTE(SplitQueryTable[[#This Row],[prop_id]],CHAR(160),"")),"eJ")</f>
        <v>eJ</v>
      </c>
      <c r="AC126" s="89" t="s">
        <v>2214</v>
      </c>
      <c r="AD126" s="3" t="s">
        <v>2214</v>
      </c>
      <c r="AE126" s="91">
        <v>2017</v>
      </c>
      <c r="AF126" s="13" t="s">
        <v>43</v>
      </c>
      <c r="AG126" s="13">
        <v>59999</v>
      </c>
      <c r="AH126" s="45">
        <v>299983</v>
      </c>
      <c r="AI126" s="44" t="s">
        <v>2217</v>
      </c>
      <c r="AJ126" s="2" t="s">
        <v>2218</v>
      </c>
      <c r="AK126" s="46" t="s">
        <v>1723</v>
      </c>
      <c r="AL126" s="55" t="s">
        <v>1775</v>
      </c>
      <c r="AM126" s="45" t="s">
        <v>1775</v>
      </c>
      <c r="AN126" s="56" t="s">
        <v>142</v>
      </c>
      <c r="AO126" s="23" t="s">
        <v>146</v>
      </c>
      <c r="AP126" s="11" t="s">
        <v>172</v>
      </c>
      <c r="AQ126" s="88" t="s">
        <v>2216</v>
      </c>
      <c r="AR126" s="57" t="s">
        <v>40</v>
      </c>
      <c r="AS126" s="46">
        <v>42964.282673611109</v>
      </c>
      <c r="AT126" s="3">
        <f t="shared" si="1"/>
        <v>101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43005.699629629627</v>
      </c>
      <c r="I127" s="43">
        <v>41702.644444444442</v>
      </c>
      <c r="J127" s="42">
        <v>41844.360937500001</v>
      </c>
      <c r="K127" s="81" t="s">
        <v>1768</v>
      </c>
      <c r="L127" t="s">
        <v>1768</v>
      </c>
      <c r="M127" t="s">
        <v>1761</v>
      </c>
      <c r="N127" s="1" t="s">
        <v>1761</v>
      </c>
      <c r="O127" s="1" t="s">
        <v>2109</v>
      </c>
      <c r="P127" t="s">
        <v>2109</v>
      </c>
      <c r="Q127" s="9" t="s">
        <v>45</v>
      </c>
      <c r="R127" s="82" t="s">
        <v>45</v>
      </c>
      <c r="S127" s="44" t="s">
        <v>2088</v>
      </c>
      <c r="T127" s="3" t="s">
        <v>61</v>
      </c>
      <c r="U127" s="2" t="s">
        <v>29</v>
      </c>
      <c r="V127" s="89" t="s">
        <v>29</v>
      </c>
      <c r="W127" s="11" t="s">
        <v>143</v>
      </c>
      <c r="X127" s="89" t="s">
        <v>143</v>
      </c>
      <c r="Y127" s="77" t="s">
        <v>1772</v>
      </c>
      <c r="Z127" s="84" t="s">
        <v>2220</v>
      </c>
      <c r="AA127" s="89" t="s">
        <v>62</v>
      </c>
      <c r="AB127" s="90" t="str">
        <f>HYPERLINK(CONCATENATE("https://www.ejacket.nsf.gov/ej/showProposal.do?ID=",SUBSTITUTE(SplitQueryTable[[#This Row],[prop_id]],CHAR(160),"")),"eJ")</f>
        <v>eJ</v>
      </c>
      <c r="AC127" s="89" t="s">
        <v>2219</v>
      </c>
      <c r="AD127" s="3" t="s">
        <v>2219</v>
      </c>
      <c r="AE127" s="91">
        <v>2017</v>
      </c>
      <c r="AF127" s="13" t="s">
        <v>43</v>
      </c>
      <c r="AG127" s="13">
        <v>65000</v>
      </c>
      <c r="AH127" s="45">
        <v>323597</v>
      </c>
      <c r="AI127" s="44" t="s">
        <v>312</v>
      </c>
      <c r="AJ127" s="2" t="s">
        <v>2222</v>
      </c>
      <c r="AK127" s="46" t="s">
        <v>1739</v>
      </c>
      <c r="AL127" s="55" t="s">
        <v>2170</v>
      </c>
      <c r="AM127" s="45" t="s">
        <v>2170</v>
      </c>
      <c r="AN127" s="56" t="s">
        <v>142</v>
      </c>
      <c r="AO127" s="23" t="s">
        <v>146</v>
      </c>
      <c r="AP127" s="11" t="s">
        <v>172</v>
      </c>
      <c r="AQ127" s="88" t="s">
        <v>2221</v>
      </c>
      <c r="AR127" s="57" t="s">
        <v>40</v>
      </c>
      <c r="AS127" s="46">
        <v>42986.405682870369</v>
      </c>
      <c r="AT127" s="3">
        <f t="shared" si="1"/>
        <v>102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43005.699629629627</v>
      </c>
      <c r="I128" s="43">
        <v>41180.57708333333</v>
      </c>
      <c r="J128" s="42">
        <v>41402.537002314813</v>
      </c>
      <c r="K128" s="81" t="s">
        <v>1768</v>
      </c>
      <c r="L128" t="s">
        <v>1760</v>
      </c>
      <c r="M128" t="s">
        <v>1761</v>
      </c>
      <c r="N128" s="1" t="s">
        <v>1761</v>
      </c>
      <c r="O128" s="1" t="s">
        <v>2109</v>
      </c>
      <c r="P128" t="s">
        <v>52</v>
      </c>
      <c r="Q128" s="9" t="s">
        <v>45</v>
      </c>
      <c r="R128" s="82" t="s">
        <v>45</v>
      </c>
      <c r="S128" s="44" t="s">
        <v>2102</v>
      </c>
      <c r="T128" s="3" t="s">
        <v>61</v>
      </c>
      <c r="U128" s="2" t="s">
        <v>29</v>
      </c>
      <c r="V128" s="89" t="s">
        <v>29</v>
      </c>
      <c r="W128" s="11" t="s">
        <v>143</v>
      </c>
      <c r="X128" s="89" t="s">
        <v>143</v>
      </c>
      <c r="Y128" s="77" t="s">
        <v>1772</v>
      </c>
      <c r="Z128" s="84" t="s">
        <v>2223</v>
      </c>
      <c r="AA128" s="89" t="s">
        <v>28</v>
      </c>
      <c r="AB128" s="90" t="str">
        <f>HYPERLINK(CONCATENATE("https://www.ejacket.nsf.gov/ej/showProposal.do?ID=",SUBSTITUTE(SplitQueryTable[[#This Row],[prop_id]],CHAR(160),"")),"eJ")</f>
        <v>eJ</v>
      </c>
      <c r="AC128" s="89" t="s">
        <v>2223</v>
      </c>
      <c r="AD128" s="3" t="s">
        <v>2223</v>
      </c>
      <c r="AE128" s="91">
        <v>2017</v>
      </c>
      <c r="AF128" s="13" t="s">
        <v>43</v>
      </c>
      <c r="AG128" s="13">
        <v>60000</v>
      </c>
      <c r="AH128" s="45">
        <v>300000</v>
      </c>
      <c r="AI128" s="44" t="s">
        <v>267</v>
      </c>
      <c r="AJ128" s="2" t="s">
        <v>503</v>
      </c>
      <c r="AK128" s="46" t="s">
        <v>1767</v>
      </c>
      <c r="AL128" s="55" t="s">
        <v>2117</v>
      </c>
      <c r="AM128" s="45" t="s">
        <v>2117</v>
      </c>
      <c r="AN128" s="56" t="s">
        <v>142</v>
      </c>
      <c r="AO128" s="23" t="s">
        <v>146</v>
      </c>
      <c r="AP128" s="11" t="s">
        <v>382</v>
      </c>
      <c r="AQ128" s="88" t="s">
        <v>2224</v>
      </c>
      <c r="AR128" s="57" t="s">
        <v>2211</v>
      </c>
      <c r="AS128" s="46">
        <v>42083.74291666667</v>
      </c>
      <c r="AT128" s="3">
        <f t="shared" si="1"/>
        <v>103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43005.699629629627</v>
      </c>
      <c r="I129" s="43">
        <v>41702.674305555556</v>
      </c>
      <c r="J129" s="42">
        <v>41855.533703703702</v>
      </c>
      <c r="K129" s="81" t="s">
        <v>1768</v>
      </c>
      <c r="L129" t="s">
        <v>1760</v>
      </c>
      <c r="M129" t="s">
        <v>1761</v>
      </c>
      <c r="N129" s="1" t="s">
        <v>1761</v>
      </c>
      <c r="O129" s="1" t="s">
        <v>2109</v>
      </c>
      <c r="P129" t="s">
        <v>52</v>
      </c>
      <c r="Q129" s="9" t="s">
        <v>45</v>
      </c>
      <c r="R129" s="82" t="s">
        <v>45</v>
      </c>
      <c r="S129" s="44" t="s">
        <v>2088</v>
      </c>
      <c r="T129" s="3" t="s">
        <v>61</v>
      </c>
      <c r="U129" s="2" t="s">
        <v>29</v>
      </c>
      <c r="V129" s="89" t="s">
        <v>29</v>
      </c>
      <c r="W129" s="11" t="s">
        <v>143</v>
      </c>
      <c r="X129" s="89" t="s">
        <v>143</v>
      </c>
      <c r="Y129" s="77" t="s">
        <v>1772</v>
      </c>
      <c r="Z129" s="84" t="s">
        <v>2138</v>
      </c>
      <c r="AA129" s="89" t="s">
        <v>62</v>
      </c>
      <c r="AB129" s="90" t="str">
        <f>HYPERLINK(CONCATENATE("https://www.ejacket.nsf.gov/ej/showProposal.do?ID=",SUBSTITUTE(SplitQueryTable[[#This Row],[prop_id]],CHAR(160),"")),"eJ")</f>
        <v>eJ</v>
      </c>
      <c r="AC129" s="89" t="s">
        <v>2225</v>
      </c>
      <c r="AD129" s="3" t="s">
        <v>2225</v>
      </c>
      <c r="AE129" s="91">
        <v>2017</v>
      </c>
      <c r="AF129" s="13" t="s">
        <v>43</v>
      </c>
      <c r="AG129" s="13">
        <v>65000</v>
      </c>
      <c r="AH129" s="45">
        <v>325000</v>
      </c>
      <c r="AI129" s="44" t="s">
        <v>267</v>
      </c>
      <c r="AJ129" s="2" t="s">
        <v>503</v>
      </c>
      <c r="AK129" s="46" t="s">
        <v>1767</v>
      </c>
      <c r="AL129" s="55" t="s">
        <v>2117</v>
      </c>
      <c r="AM129" s="45" t="s">
        <v>2117</v>
      </c>
      <c r="AN129" s="56" t="s">
        <v>142</v>
      </c>
      <c r="AO129" s="23" t="s">
        <v>146</v>
      </c>
      <c r="AP129" s="11" t="s">
        <v>172</v>
      </c>
      <c r="AQ129" s="88" t="s">
        <v>2139</v>
      </c>
      <c r="AR129" s="57" t="s">
        <v>40</v>
      </c>
      <c r="AS129" s="46">
        <v>42939.937789351854</v>
      </c>
      <c r="AT129" s="3">
        <f t="shared" si="1"/>
        <v>104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43005.699629629627</v>
      </c>
      <c r="I130" s="43">
        <v>41543.754861111112</v>
      </c>
      <c r="J130" s="42">
        <v>41715.723101851851</v>
      </c>
      <c r="K130" s="81" t="s">
        <v>1768</v>
      </c>
      <c r="L130" t="s">
        <v>1768</v>
      </c>
      <c r="M130" t="s">
        <v>1761</v>
      </c>
      <c r="N130" s="1" t="s">
        <v>1761</v>
      </c>
      <c r="O130" s="1" t="s">
        <v>2109</v>
      </c>
      <c r="P130" t="s">
        <v>2109</v>
      </c>
      <c r="Q130" s="9" t="s">
        <v>45</v>
      </c>
      <c r="R130" s="82" t="s">
        <v>45</v>
      </c>
      <c r="S130" s="44" t="s">
        <v>2102</v>
      </c>
      <c r="T130" s="3" t="s">
        <v>61</v>
      </c>
      <c r="U130" s="2" t="s">
        <v>29</v>
      </c>
      <c r="V130" s="89" t="s">
        <v>29</v>
      </c>
      <c r="W130" s="11" t="s">
        <v>143</v>
      </c>
      <c r="X130" s="89" t="s">
        <v>143</v>
      </c>
      <c r="Y130" s="77" t="s">
        <v>1772</v>
      </c>
      <c r="Z130" s="84" t="s">
        <v>2191</v>
      </c>
      <c r="AA130" s="89" t="s">
        <v>62</v>
      </c>
      <c r="AB130" s="90" t="str">
        <f>HYPERLINK(CONCATENATE("https://www.ejacket.nsf.gov/ej/showProposal.do?ID=",SUBSTITUTE(SplitQueryTable[[#This Row],[prop_id]],CHAR(160),"")),"eJ")</f>
        <v>eJ</v>
      </c>
      <c r="AC130" s="89" t="s">
        <v>2226</v>
      </c>
      <c r="AD130" s="3" t="s">
        <v>2226</v>
      </c>
      <c r="AE130" s="91">
        <v>2017</v>
      </c>
      <c r="AF130" s="13" t="s">
        <v>43</v>
      </c>
      <c r="AG130" s="13">
        <v>40000</v>
      </c>
      <c r="AH130" s="45">
        <v>200000</v>
      </c>
      <c r="AI130" s="44" t="s">
        <v>2227</v>
      </c>
      <c r="AJ130" s="2" t="s">
        <v>2228</v>
      </c>
      <c r="AK130" s="46" t="s">
        <v>313</v>
      </c>
      <c r="AL130" s="55" t="s">
        <v>1775</v>
      </c>
      <c r="AM130" s="45" t="s">
        <v>1775</v>
      </c>
      <c r="AN130" s="56" t="s">
        <v>142</v>
      </c>
      <c r="AO130" s="23" t="s">
        <v>146</v>
      </c>
      <c r="AP130" s="11" t="s">
        <v>172</v>
      </c>
      <c r="AQ130" s="88" t="s">
        <v>2192</v>
      </c>
      <c r="AR130" s="57" t="s">
        <v>40</v>
      </c>
      <c r="AS130" s="46">
        <v>42835.497210648151</v>
      </c>
      <c r="AT130" s="3">
        <f t="shared" si="1"/>
        <v>105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43005.699629629627</v>
      </c>
      <c r="I131" s="43">
        <v>41341.53125</v>
      </c>
      <c r="J131" s="42">
        <v>41458.473113425927</v>
      </c>
      <c r="K131" s="81" t="s">
        <v>1768</v>
      </c>
      <c r="L131" t="s">
        <v>1768</v>
      </c>
      <c r="M131" t="s">
        <v>1761</v>
      </c>
      <c r="N131" s="1" t="s">
        <v>1761</v>
      </c>
      <c r="O131" s="1" t="s">
        <v>2101</v>
      </c>
      <c r="P131" t="s">
        <v>2101</v>
      </c>
      <c r="Q131" s="9" t="s">
        <v>45</v>
      </c>
      <c r="R131" s="82" t="s">
        <v>45</v>
      </c>
      <c r="S131" s="44" t="s">
        <v>2102</v>
      </c>
      <c r="T131" s="3" t="s">
        <v>61</v>
      </c>
      <c r="U131" s="2" t="s">
        <v>29</v>
      </c>
      <c r="V131" s="89" t="s">
        <v>29</v>
      </c>
      <c r="W131" s="11" t="s">
        <v>143</v>
      </c>
      <c r="X131" s="89" t="s">
        <v>143</v>
      </c>
      <c r="Y131" s="77" t="s">
        <v>1772</v>
      </c>
      <c r="Z131" s="84" t="s">
        <v>2229</v>
      </c>
      <c r="AA131" s="89" t="s">
        <v>28</v>
      </c>
      <c r="AB131" s="90" t="str">
        <f>HYPERLINK(CONCATENATE("https://www.ejacket.nsf.gov/ej/showProposal.do?ID=",SUBSTITUTE(SplitQueryTable[[#This Row],[prop_id]],CHAR(160),"")),"eJ")</f>
        <v>eJ</v>
      </c>
      <c r="AC131" s="89" t="s">
        <v>2229</v>
      </c>
      <c r="AD131" s="3" t="s">
        <v>2229</v>
      </c>
      <c r="AE131" s="91">
        <v>2017</v>
      </c>
      <c r="AF131" s="13" t="s">
        <v>43</v>
      </c>
      <c r="AG131" s="13">
        <v>39999</v>
      </c>
      <c r="AH131" s="45">
        <v>199995</v>
      </c>
      <c r="AI131" s="44" t="s">
        <v>2231</v>
      </c>
      <c r="AJ131" s="2" t="s">
        <v>1912</v>
      </c>
      <c r="AK131" s="46" t="s">
        <v>2232</v>
      </c>
      <c r="AL131" s="55" t="s">
        <v>1785</v>
      </c>
      <c r="AM131" s="45" t="s">
        <v>1785</v>
      </c>
      <c r="AN131" s="56" t="s">
        <v>142</v>
      </c>
      <c r="AO131" s="23" t="s">
        <v>146</v>
      </c>
      <c r="AP131" s="11" t="s">
        <v>172</v>
      </c>
      <c r="AQ131" s="88" t="s">
        <v>2230</v>
      </c>
      <c r="AR131" s="57" t="s">
        <v>40</v>
      </c>
      <c r="AS131" s="46">
        <v>42933.750532407408</v>
      </c>
      <c r="AT131" s="3">
        <f t="shared" si="1"/>
        <v>106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43005.699629629627</v>
      </c>
      <c r="I132" s="43">
        <v>41702.551388888889</v>
      </c>
      <c r="J132" s="42">
        <v>41844.360185185185</v>
      </c>
      <c r="K132" s="81" t="s">
        <v>1768</v>
      </c>
      <c r="L132" t="s">
        <v>1768</v>
      </c>
      <c r="M132" t="s">
        <v>1761</v>
      </c>
      <c r="N132" s="1" t="s">
        <v>1761</v>
      </c>
      <c r="O132" s="1" t="s">
        <v>2109</v>
      </c>
      <c r="P132" t="s">
        <v>2109</v>
      </c>
      <c r="Q132" s="9" t="s">
        <v>45</v>
      </c>
      <c r="R132" s="82" t="s">
        <v>45</v>
      </c>
      <c r="S132" s="44" t="s">
        <v>2088</v>
      </c>
      <c r="T132" s="3" t="s">
        <v>61</v>
      </c>
      <c r="U132" s="2" t="s">
        <v>29</v>
      </c>
      <c r="V132" s="89" t="s">
        <v>29</v>
      </c>
      <c r="W132" s="11" t="s">
        <v>143</v>
      </c>
      <c r="X132" s="89" t="s">
        <v>143</v>
      </c>
      <c r="Y132" s="77" t="s">
        <v>1772</v>
      </c>
      <c r="Z132" s="84" t="s">
        <v>2220</v>
      </c>
      <c r="AA132" s="89" t="s">
        <v>174</v>
      </c>
      <c r="AB132" s="90" t="str">
        <f>HYPERLINK(CONCATENATE("https://www.ejacket.nsf.gov/ej/showProposal.do?ID=",SUBSTITUTE(SplitQueryTable[[#This Row],[prop_id]],CHAR(160),"")),"eJ")</f>
        <v>eJ</v>
      </c>
      <c r="AC132" s="89" t="s">
        <v>2220</v>
      </c>
      <c r="AD132" s="3" t="s">
        <v>2220</v>
      </c>
      <c r="AE132" s="91">
        <v>2017</v>
      </c>
      <c r="AF132" s="13" t="s">
        <v>43</v>
      </c>
      <c r="AG132" s="13">
        <v>107500</v>
      </c>
      <c r="AH132" s="45">
        <v>657500</v>
      </c>
      <c r="AI132" s="44" t="s">
        <v>2233</v>
      </c>
      <c r="AJ132" s="2" t="s">
        <v>2234</v>
      </c>
      <c r="AK132" s="46" t="s">
        <v>346</v>
      </c>
      <c r="AL132" s="55" t="s">
        <v>2170</v>
      </c>
      <c r="AM132" s="45" t="s">
        <v>2170</v>
      </c>
      <c r="AN132" s="56" t="s">
        <v>142</v>
      </c>
      <c r="AO132" s="23" t="s">
        <v>146</v>
      </c>
      <c r="AP132" s="11" t="s">
        <v>172</v>
      </c>
      <c r="AQ132" s="88" t="s">
        <v>2221</v>
      </c>
      <c r="AR132" s="57" t="s">
        <v>40</v>
      </c>
      <c r="AS132" s="46">
        <v>42966.905405092592</v>
      </c>
      <c r="AT132" s="3">
        <f t="shared" si="1"/>
        <v>107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43005.699629629627</v>
      </c>
      <c r="I133" s="43">
        <v>41337.491666666669</v>
      </c>
      <c r="J133" s="42">
        <v>41438.485798611109</v>
      </c>
      <c r="K133" s="81" t="s">
        <v>1768</v>
      </c>
      <c r="L133" t="s">
        <v>1768</v>
      </c>
      <c r="M133" t="s">
        <v>1761</v>
      </c>
      <c r="N133" s="1" t="s">
        <v>1761</v>
      </c>
      <c r="O133" s="1" t="s">
        <v>2101</v>
      </c>
      <c r="P133" t="s">
        <v>2101</v>
      </c>
      <c r="Q133" s="9" t="s">
        <v>45</v>
      </c>
      <c r="R133" s="82" t="s">
        <v>45</v>
      </c>
      <c r="S133" s="44" t="s">
        <v>2102</v>
      </c>
      <c r="T133" s="3" t="s">
        <v>61</v>
      </c>
      <c r="U133" s="2" t="s">
        <v>29</v>
      </c>
      <c r="V133" s="89" t="s">
        <v>29</v>
      </c>
      <c r="W133" s="11" t="s">
        <v>143</v>
      </c>
      <c r="X133" s="89" t="s">
        <v>143</v>
      </c>
      <c r="Y133" s="77" t="s">
        <v>1772</v>
      </c>
      <c r="Z133" s="84" t="s">
        <v>2235</v>
      </c>
      <c r="AA133" s="89" t="s">
        <v>174</v>
      </c>
      <c r="AB133" s="90" t="str">
        <f>HYPERLINK(CONCATENATE("https://www.ejacket.nsf.gov/ej/showProposal.do?ID=",SUBSTITUTE(SplitQueryTable[[#This Row],[prop_id]],CHAR(160),"")),"eJ")</f>
        <v>eJ</v>
      </c>
      <c r="AC133" s="89" t="s">
        <v>2235</v>
      </c>
      <c r="AD133" s="3" t="s">
        <v>2235</v>
      </c>
      <c r="AE133" s="91">
        <v>2017</v>
      </c>
      <c r="AF133" s="13" t="s">
        <v>43</v>
      </c>
      <c r="AG133" s="13">
        <v>92500</v>
      </c>
      <c r="AH133" s="45">
        <v>495000</v>
      </c>
      <c r="AI133" s="44" t="s">
        <v>2237</v>
      </c>
      <c r="AJ133" s="2" t="s">
        <v>2238</v>
      </c>
      <c r="AK133" s="46" t="s">
        <v>392</v>
      </c>
      <c r="AL133" s="55" t="s">
        <v>1872</v>
      </c>
      <c r="AM133" s="45" t="s">
        <v>1872</v>
      </c>
      <c r="AN133" s="56" t="s">
        <v>142</v>
      </c>
      <c r="AO133" s="23" t="s">
        <v>146</v>
      </c>
      <c r="AP133" s="11" t="s">
        <v>382</v>
      </c>
      <c r="AQ133" s="88" t="s">
        <v>2236</v>
      </c>
      <c r="AR133" s="57" t="s">
        <v>2171</v>
      </c>
      <c r="AS133" s="46">
        <v>42181.945254629631</v>
      </c>
      <c r="AT133" s="3">
        <f t="shared" si="1"/>
        <v>108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43005.699629629627</v>
      </c>
      <c r="I134" s="43">
        <v>41542.545138888891</v>
      </c>
      <c r="J134" s="42">
        <v>41657.863958333335</v>
      </c>
      <c r="K134" s="81" t="s">
        <v>1768</v>
      </c>
      <c r="L134" t="s">
        <v>1768</v>
      </c>
      <c r="M134" t="s">
        <v>2239</v>
      </c>
      <c r="N134" s="1" t="s">
        <v>1761</v>
      </c>
      <c r="O134" s="1" t="s">
        <v>2109</v>
      </c>
      <c r="P134" t="s">
        <v>2109</v>
      </c>
      <c r="Q134" s="9" t="s">
        <v>45</v>
      </c>
      <c r="R134" s="82" t="s">
        <v>45</v>
      </c>
      <c r="S134" s="44" t="s">
        <v>2102</v>
      </c>
      <c r="T134" s="3" t="s">
        <v>61</v>
      </c>
      <c r="U134" s="2" t="s">
        <v>29</v>
      </c>
      <c r="V134" s="89" t="s">
        <v>29</v>
      </c>
      <c r="W134" s="11" t="s">
        <v>143</v>
      </c>
      <c r="X134" s="89" t="s">
        <v>143</v>
      </c>
      <c r="Y134" s="77" t="s">
        <v>1772</v>
      </c>
      <c r="Z134" s="84" t="s">
        <v>2241</v>
      </c>
      <c r="AA134" s="89" t="s">
        <v>62</v>
      </c>
      <c r="AB134" s="90" t="str">
        <f>HYPERLINK(CONCATENATE("https://www.ejacket.nsf.gov/ej/showProposal.do?ID=",SUBSTITUTE(SplitQueryTable[[#This Row],[prop_id]],CHAR(160),"")),"eJ")</f>
        <v>eJ</v>
      </c>
      <c r="AC134" s="89" t="s">
        <v>2240</v>
      </c>
      <c r="AD134" s="3" t="s">
        <v>2240</v>
      </c>
      <c r="AE134" s="91">
        <v>2017</v>
      </c>
      <c r="AF134" s="13" t="s">
        <v>43</v>
      </c>
      <c r="AG134" s="13">
        <v>60000</v>
      </c>
      <c r="AH134" s="45">
        <v>300000</v>
      </c>
      <c r="AI134" s="44" t="s">
        <v>2243</v>
      </c>
      <c r="AJ134" s="2" t="s">
        <v>2244</v>
      </c>
      <c r="AK134" s="46" t="s">
        <v>1725</v>
      </c>
      <c r="AL134" s="55" t="s">
        <v>1793</v>
      </c>
      <c r="AM134" s="45" t="s">
        <v>1793</v>
      </c>
      <c r="AN134" s="56" t="s">
        <v>142</v>
      </c>
      <c r="AO134" s="23" t="s">
        <v>146</v>
      </c>
      <c r="AP134" s="11" t="s">
        <v>172</v>
      </c>
      <c r="AQ134" s="88" t="s">
        <v>2242</v>
      </c>
      <c r="AR134" s="57" t="s">
        <v>40</v>
      </c>
      <c r="AS134" s="46">
        <v>42821.545081018521</v>
      </c>
      <c r="AT134" s="3">
        <f t="shared" si="1"/>
        <v>109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43005.699629629627</v>
      </c>
      <c r="I135" s="43">
        <v>41907.618750000001</v>
      </c>
      <c r="J135" s="42">
        <v>42074.424432870372</v>
      </c>
      <c r="K135" s="81" t="s">
        <v>1768</v>
      </c>
      <c r="L135" t="s">
        <v>1768</v>
      </c>
      <c r="M135" t="s">
        <v>1761</v>
      </c>
      <c r="N135" s="1" t="s">
        <v>1761</v>
      </c>
      <c r="O135" s="1" t="s">
        <v>1770</v>
      </c>
      <c r="P135" t="s">
        <v>1770</v>
      </c>
      <c r="Q135" s="9" t="s">
        <v>45</v>
      </c>
      <c r="R135" s="82" t="s">
        <v>45</v>
      </c>
      <c r="S135" s="44" t="s">
        <v>2088</v>
      </c>
      <c r="T135" s="3" t="s">
        <v>61</v>
      </c>
      <c r="U135" s="2" t="s">
        <v>29</v>
      </c>
      <c r="V135" s="89" t="s">
        <v>29</v>
      </c>
      <c r="W135" s="11" t="s">
        <v>143</v>
      </c>
      <c r="X135" s="89" t="s">
        <v>143</v>
      </c>
      <c r="Y135" s="77" t="s">
        <v>1772</v>
      </c>
      <c r="Z135" s="84" t="s">
        <v>2245</v>
      </c>
      <c r="AA135" s="89" t="s">
        <v>28</v>
      </c>
      <c r="AB135" s="90" t="str">
        <f>HYPERLINK(CONCATENATE("https://www.ejacket.nsf.gov/ej/showProposal.do?ID=",SUBSTITUTE(SplitQueryTable[[#This Row],[prop_id]],CHAR(160),"")),"eJ")</f>
        <v>eJ</v>
      </c>
      <c r="AC135" s="89" t="s">
        <v>2245</v>
      </c>
      <c r="AD135" s="3" t="s">
        <v>2245</v>
      </c>
      <c r="AE135" s="91">
        <v>2017</v>
      </c>
      <c r="AF135" s="13" t="s">
        <v>43</v>
      </c>
      <c r="AG135" s="13">
        <v>65000</v>
      </c>
      <c r="AH135" s="45">
        <v>325000</v>
      </c>
      <c r="AI135" s="44" t="s">
        <v>2248</v>
      </c>
      <c r="AJ135" s="2" t="s">
        <v>277</v>
      </c>
      <c r="AK135" s="46" t="s">
        <v>2166</v>
      </c>
      <c r="AL135" s="55" t="s">
        <v>2247</v>
      </c>
      <c r="AM135" s="45" t="s">
        <v>2247</v>
      </c>
      <c r="AN135" s="56" t="s">
        <v>142</v>
      </c>
      <c r="AO135" s="23" t="s">
        <v>146</v>
      </c>
      <c r="AP135" s="11" t="s">
        <v>172</v>
      </c>
      <c r="AQ135" s="88" t="s">
        <v>2246</v>
      </c>
      <c r="AR135" s="57" t="s">
        <v>40</v>
      </c>
      <c r="AS135" s="46">
        <v>42940.766203703701</v>
      </c>
      <c r="AT135" s="3">
        <f t="shared" si="1"/>
        <v>110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43005.699629629627</v>
      </c>
      <c r="I136" s="43">
        <v>41542.377083333333</v>
      </c>
      <c r="J136" s="42">
        <v>41715.724282407406</v>
      </c>
      <c r="K136" s="81" t="s">
        <v>1768</v>
      </c>
      <c r="L136" t="s">
        <v>1768</v>
      </c>
      <c r="M136" t="s">
        <v>1761</v>
      </c>
      <c r="N136" s="1" t="s">
        <v>1761</v>
      </c>
      <c r="O136" s="1" t="s">
        <v>2109</v>
      </c>
      <c r="P136" t="s">
        <v>2109</v>
      </c>
      <c r="Q136" s="9" t="s">
        <v>45</v>
      </c>
      <c r="R136" s="82" t="s">
        <v>45</v>
      </c>
      <c r="S136" s="44" t="s">
        <v>2102</v>
      </c>
      <c r="T136" s="3" t="s">
        <v>61</v>
      </c>
      <c r="U136" s="2" t="s">
        <v>29</v>
      </c>
      <c r="V136" s="89" t="s">
        <v>29</v>
      </c>
      <c r="W136" s="11" t="s">
        <v>143</v>
      </c>
      <c r="X136" s="89" t="s">
        <v>143</v>
      </c>
      <c r="Y136" s="77" t="s">
        <v>1772</v>
      </c>
      <c r="Z136" s="84" t="s">
        <v>2197</v>
      </c>
      <c r="AA136" s="89" t="s">
        <v>62</v>
      </c>
      <c r="AB136" s="90" t="str">
        <f>HYPERLINK(CONCATENATE("https://www.ejacket.nsf.gov/ej/showProposal.do?ID=",SUBSTITUTE(SplitQueryTable[[#This Row],[prop_id]],CHAR(160),"")),"eJ")</f>
        <v>eJ</v>
      </c>
      <c r="AC136" s="89" t="s">
        <v>2249</v>
      </c>
      <c r="AD136" s="3" t="s">
        <v>2249</v>
      </c>
      <c r="AE136" s="91">
        <v>2017</v>
      </c>
      <c r="AF136" s="13" t="s">
        <v>43</v>
      </c>
      <c r="AG136" s="13">
        <v>40000</v>
      </c>
      <c r="AH136" s="45">
        <v>200007</v>
      </c>
      <c r="AI136" s="44" t="s">
        <v>239</v>
      </c>
      <c r="AJ136" s="2" t="s">
        <v>291</v>
      </c>
      <c r="AK136" s="46" t="s">
        <v>1724</v>
      </c>
      <c r="AL136" s="55" t="s">
        <v>1785</v>
      </c>
      <c r="AM136" s="45" t="s">
        <v>1785</v>
      </c>
      <c r="AN136" s="56" t="s">
        <v>142</v>
      </c>
      <c r="AO136" s="23" t="s">
        <v>146</v>
      </c>
      <c r="AP136" s="11" t="s">
        <v>172</v>
      </c>
      <c r="AQ136" s="88" t="s">
        <v>2198</v>
      </c>
      <c r="AR136" s="57" t="s">
        <v>40</v>
      </c>
      <c r="AS136" s="46">
        <v>42901.455196759256</v>
      </c>
      <c r="AT136" s="3">
        <f t="shared" si="1"/>
        <v>111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43005.699629629627</v>
      </c>
      <c r="I137" s="43">
        <v>42562.715277777781</v>
      </c>
      <c r="J137" s="42">
        <v>42761.460104166668</v>
      </c>
      <c r="K137" s="81" t="s">
        <v>137</v>
      </c>
      <c r="L137" t="s">
        <v>1760</v>
      </c>
      <c r="M137" t="s">
        <v>1761</v>
      </c>
      <c r="N137" s="1" t="s">
        <v>1761</v>
      </c>
      <c r="O137" s="1" t="s">
        <v>227</v>
      </c>
      <c r="P137" t="s">
        <v>227</v>
      </c>
      <c r="Q137" s="9" t="s">
        <v>45</v>
      </c>
      <c r="R137" s="82" t="s">
        <v>45</v>
      </c>
      <c r="S137" s="44" t="s">
        <v>1762</v>
      </c>
      <c r="T137" s="3" t="s">
        <v>61</v>
      </c>
      <c r="U137" s="2" t="s">
        <v>29</v>
      </c>
      <c r="V137" s="89" t="s">
        <v>29</v>
      </c>
      <c r="W137" s="11" t="s">
        <v>143</v>
      </c>
      <c r="X137" s="89" t="s">
        <v>143</v>
      </c>
      <c r="Y137" s="77" t="s">
        <v>334</v>
      </c>
      <c r="Z137" s="84" t="s">
        <v>2250</v>
      </c>
      <c r="AA137" s="89" t="s">
        <v>28</v>
      </c>
      <c r="AB137" s="90" t="str">
        <f>HYPERLINK(CONCATENATE("https://www.ejacket.nsf.gov/ej/showProposal.do?ID=",SUBSTITUTE(SplitQueryTable[[#This Row],[prop_id]],CHAR(160),"")),"eJ")</f>
        <v>eJ</v>
      </c>
      <c r="AC137" s="89" t="s">
        <v>2250</v>
      </c>
      <c r="AD137" s="3" t="s">
        <v>2250</v>
      </c>
      <c r="AE137" s="91">
        <v>2017</v>
      </c>
      <c r="AF137" s="13" t="s">
        <v>43</v>
      </c>
      <c r="AG137" s="13">
        <v>99999</v>
      </c>
      <c r="AH137" s="45">
        <v>499995</v>
      </c>
      <c r="AI137" s="44" t="s">
        <v>2252</v>
      </c>
      <c r="AJ137" s="2" t="s">
        <v>2113</v>
      </c>
      <c r="AK137" s="46" t="s">
        <v>2253</v>
      </c>
      <c r="AL137" s="55" t="s">
        <v>1873</v>
      </c>
      <c r="AM137" s="45" t="s">
        <v>244</v>
      </c>
      <c r="AN137" s="56" t="s">
        <v>142</v>
      </c>
      <c r="AO137" s="23" t="s">
        <v>146</v>
      </c>
      <c r="AP137" s="11"/>
      <c r="AQ137" s="88" t="s">
        <v>2251</v>
      </c>
      <c r="AR137" s="57" t="s">
        <v>40</v>
      </c>
      <c r="AS137" s="46">
        <v>42779.497627314813</v>
      </c>
      <c r="AT137" s="3">
        <f t="shared" si="1"/>
        <v>112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43005.699629629627</v>
      </c>
      <c r="I138" s="43">
        <v>42562.663888888892</v>
      </c>
      <c r="J138" s="42">
        <v>42761.459618055553</v>
      </c>
      <c r="K138" s="81" t="s">
        <v>137</v>
      </c>
      <c r="L138" t="s">
        <v>1760</v>
      </c>
      <c r="M138" t="s">
        <v>1761</v>
      </c>
      <c r="N138" s="1" t="s">
        <v>1761</v>
      </c>
      <c r="O138" s="1" t="s">
        <v>227</v>
      </c>
      <c r="P138" t="s">
        <v>227</v>
      </c>
      <c r="Q138" s="9" t="s">
        <v>45</v>
      </c>
      <c r="R138" s="82" t="s">
        <v>45</v>
      </c>
      <c r="S138" s="44" t="s">
        <v>1762</v>
      </c>
      <c r="T138" s="3" t="s">
        <v>61</v>
      </c>
      <c r="U138" s="2" t="s">
        <v>29</v>
      </c>
      <c r="V138" s="89" t="s">
        <v>29</v>
      </c>
      <c r="W138" s="11" t="s">
        <v>143</v>
      </c>
      <c r="X138" s="89" t="s">
        <v>143</v>
      </c>
      <c r="Y138" s="77" t="s">
        <v>334</v>
      </c>
      <c r="Z138" s="84" t="s">
        <v>2254</v>
      </c>
      <c r="AA138" s="89" t="s">
        <v>28</v>
      </c>
      <c r="AB138" s="90" t="str">
        <f>HYPERLINK(CONCATENATE("https://www.ejacket.nsf.gov/ej/showProposal.do?ID=",SUBSTITUTE(SplitQueryTable[[#This Row],[prop_id]],CHAR(160),"")),"eJ")</f>
        <v>eJ</v>
      </c>
      <c r="AC138" s="89" t="s">
        <v>2254</v>
      </c>
      <c r="AD138" s="3" t="s">
        <v>2254</v>
      </c>
      <c r="AE138" s="91">
        <v>2017</v>
      </c>
      <c r="AF138" s="13" t="s">
        <v>43</v>
      </c>
      <c r="AG138" s="13">
        <v>91894</v>
      </c>
      <c r="AH138" s="45">
        <v>500000</v>
      </c>
      <c r="AI138" s="44" t="s">
        <v>2256</v>
      </c>
      <c r="AJ138" s="2" t="s">
        <v>2257</v>
      </c>
      <c r="AK138" s="46" t="s">
        <v>1718</v>
      </c>
      <c r="AL138" s="55" t="s">
        <v>1759</v>
      </c>
      <c r="AM138" s="45"/>
      <c r="AN138" s="56" t="s">
        <v>142</v>
      </c>
      <c r="AO138" s="23" t="s">
        <v>146</v>
      </c>
      <c r="AP138" s="11"/>
      <c r="AQ138" s="88" t="s">
        <v>2255</v>
      </c>
      <c r="AR138" s="57" t="s">
        <v>40</v>
      </c>
      <c r="AS138" s="46">
        <v>42779.500891203701</v>
      </c>
      <c r="AT138" s="3">
        <f t="shared" si="1"/>
        <v>113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43005.699629629627</v>
      </c>
      <c r="I139" s="43">
        <v>41180.590277777781</v>
      </c>
      <c r="J139" s="42">
        <v>41376.568680555552</v>
      </c>
      <c r="K139" s="81" t="s">
        <v>1768</v>
      </c>
      <c r="L139" t="s">
        <v>1760</v>
      </c>
      <c r="M139" t="s">
        <v>1761</v>
      </c>
      <c r="N139" s="1" t="s">
        <v>1761</v>
      </c>
      <c r="O139" s="1" t="s">
        <v>2101</v>
      </c>
      <c r="P139" t="s">
        <v>52</v>
      </c>
      <c r="Q139" s="9" t="s">
        <v>45</v>
      </c>
      <c r="R139" s="82" t="s">
        <v>45</v>
      </c>
      <c r="S139" s="44" t="s">
        <v>2102</v>
      </c>
      <c r="T139" s="3" t="s">
        <v>61</v>
      </c>
      <c r="U139" s="2" t="s">
        <v>29</v>
      </c>
      <c r="V139" s="89" t="s">
        <v>29</v>
      </c>
      <c r="W139" s="11" t="s">
        <v>143</v>
      </c>
      <c r="X139" s="89" t="s">
        <v>143</v>
      </c>
      <c r="Y139" s="77" t="s">
        <v>1772</v>
      </c>
      <c r="Z139" s="84" t="s">
        <v>2258</v>
      </c>
      <c r="AA139" s="89" t="s">
        <v>28</v>
      </c>
      <c r="AB139" s="90" t="str">
        <f>HYPERLINK(CONCATENATE("https://www.ejacket.nsf.gov/ej/showProposal.do?ID=",SUBSTITUTE(SplitQueryTable[[#This Row],[prop_id]],CHAR(160),"")),"eJ")</f>
        <v>eJ</v>
      </c>
      <c r="AC139" s="89" t="s">
        <v>2258</v>
      </c>
      <c r="AD139" s="3" t="s">
        <v>2258</v>
      </c>
      <c r="AE139" s="91">
        <v>2017</v>
      </c>
      <c r="AF139" s="13" t="s">
        <v>43</v>
      </c>
      <c r="AG139" s="13">
        <v>0</v>
      </c>
      <c r="AH139" s="45">
        <v>300000</v>
      </c>
      <c r="AI139" s="44" t="s">
        <v>2260</v>
      </c>
      <c r="AJ139" s="2" t="s">
        <v>260</v>
      </c>
      <c r="AK139" s="46" t="s">
        <v>1743</v>
      </c>
      <c r="AL139" s="55" t="s">
        <v>2117</v>
      </c>
      <c r="AM139" s="45" t="s">
        <v>2117</v>
      </c>
      <c r="AN139" s="56" t="s">
        <v>142</v>
      </c>
      <c r="AO139" s="23" t="s">
        <v>146</v>
      </c>
      <c r="AP139" s="11" t="s">
        <v>382</v>
      </c>
      <c r="AQ139" s="88" t="s">
        <v>2259</v>
      </c>
      <c r="AR139" s="57" t="s">
        <v>2261</v>
      </c>
      <c r="AS139" s="46">
        <v>42977.531631944446</v>
      </c>
      <c r="AT139" s="3">
        <f t="shared" si="1"/>
        <v>114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43005.699629629627</v>
      </c>
      <c r="I140" s="43">
        <v>42380.613194444442</v>
      </c>
      <c r="J140" s="42">
        <v>42583.700706018521</v>
      </c>
      <c r="K140" s="81" t="s">
        <v>1768</v>
      </c>
      <c r="L140" t="s">
        <v>1768</v>
      </c>
      <c r="M140" t="s">
        <v>1761</v>
      </c>
      <c r="N140" s="1" t="s">
        <v>1761</v>
      </c>
      <c r="O140" s="1" t="s">
        <v>2152</v>
      </c>
      <c r="P140" t="s">
        <v>2152</v>
      </c>
      <c r="Q140" s="9" t="s">
        <v>45</v>
      </c>
      <c r="R140" s="82" t="s">
        <v>45</v>
      </c>
      <c r="S140" s="44" t="s">
        <v>1762</v>
      </c>
      <c r="T140" s="3" t="s">
        <v>61</v>
      </c>
      <c r="U140" s="2" t="s">
        <v>29</v>
      </c>
      <c r="V140" s="89" t="s">
        <v>29</v>
      </c>
      <c r="W140" s="11" t="s">
        <v>143</v>
      </c>
      <c r="X140" s="89" t="s">
        <v>143</v>
      </c>
      <c r="Y140" s="77" t="s">
        <v>1772</v>
      </c>
      <c r="Z140" s="84" t="s">
        <v>2262</v>
      </c>
      <c r="AA140" s="89" t="s">
        <v>28</v>
      </c>
      <c r="AB140" s="90" t="str">
        <f>HYPERLINK(CONCATENATE("https://www.ejacket.nsf.gov/ej/showProposal.do?ID=",SUBSTITUTE(SplitQueryTable[[#This Row],[prop_id]],CHAR(160),"")),"eJ")</f>
        <v>eJ</v>
      </c>
      <c r="AC140" s="89" t="s">
        <v>2262</v>
      </c>
      <c r="AD140" s="3" t="s">
        <v>2262</v>
      </c>
      <c r="AE140" s="91">
        <v>2017</v>
      </c>
      <c r="AF140" s="13" t="s">
        <v>43</v>
      </c>
      <c r="AG140" s="13">
        <v>12500</v>
      </c>
      <c r="AH140" s="45">
        <v>750000</v>
      </c>
      <c r="AI140" s="44" t="s">
        <v>2264</v>
      </c>
      <c r="AJ140" s="2" t="s">
        <v>240</v>
      </c>
      <c r="AK140" s="46" t="s">
        <v>266</v>
      </c>
      <c r="AL140" s="55" t="s">
        <v>2155</v>
      </c>
      <c r="AM140" s="45" t="s">
        <v>2155</v>
      </c>
      <c r="AN140" s="56" t="s">
        <v>142</v>
      </c>
      <c r="AO140" s="23" t="s">
        <v>146</v>
      </c>
      <c r="AP140" s="11" t="s">
        <v>172</v>
      </c>
      <c r="AQ140" s="88" t="s">
        <v>2263</v>
      </c>
      <c r="AR140" s="57" t="s">
        <v>40</v>
      </c>
      <c r="AS140" s="46">
        <v>42963.577997685185</v>
      </c>
      <c r="AT140" s="3">
        <f t="shared" si="1"/>
        <v>115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43005.699629629627</v>
      </c>
      <c r="I141" s="43">
        <v>41702.711805555555</v>
      </c>
      <c r="J141" s="42">
        <v>41852.853067129632</v>
      </c>
      <c r="K141" s="81" t="s">
        <v>1768</v>
      </c>
      <c r="L141" t="s">
        <v>1760</v>
      </c>
      <c r="M141" t="s">
        <v>1761</v>
      </c>
      <c r="N141" s="1" t="s">
        <v>1761</v>
      </c>
      <c r="O141" s="1" t="s">
        <v>2161</v>
      </c>
      <c r="P141" t="s">
        <v>52</v>
      </c>
      <c r="Q141" s="9" t="s">
        <v>45</v>
      </c>
      <c r="R141" s="82" t="s">
        <v>45</v>
      </c>
      <c r="S141" s="44" t="s">
        <v>2088</v>
      </c>
      <c r="T141" s="3" t="s">
        <v>61</v>
      </c>
      <c r="U141" s="2" t="s">
        <v>29</v>
      </c>
      <c r="V141" s="89" t="s">
        <v>29</v>
      </c>
      <c r="W141" s="11" t="s">
        <v>143</v>
      </c>
      <c r="X141" s="89" t="s">
        <v>143</v>
      </c>
      <c r="Y141" s="77" t="s">
        <v>1772</v>
      </c>
      <c r="Z141" s="84" t="s">
        <v>2266</v>
      </c>
      <c r="AA141" s="89" t="s">
        <v>62</v>
      </c>
      <c r="AB141" s="90" t="str">
        <f>HYPERLINK(CONCATENATE("https://www.ejacket.nsf.gov/ej/showProposal.do?ID=",SUBSTITUTE(SplitQueryTable[[#This Row],[prop_id]],CHAR(160),"")),"eJ")</f>
        <v>eJ</v>
      </c>
      <c r="AC141" s="89" t="s">
        <v>2265</v>
      </c>
      <c r="AD141" s="3" t="s">
        <v>2265</v>
      </c>
      <c r="AE141" s="91">
        <v>2017</v>
      </c>
      <c r="AF141" s="13" t="s">
        <v>43</v>
      </c>
      <c r="AG141" s="13">
        <v>65000</v>
      </c>
      <c r="AH141" s="45">
        <v>325000</v>
      </c>
      <c r="AI141" s="44" t="s">
        <v>2268</v>
      </c>
      <c r="AJ141" s="2" t="s">
        <v>2269</v>
      </c>
      <c r="AK141" s="46" t="s">
        <v>1722</v>
      </c>
      <c r="AL141" s="55" t="s">
        <v>2117</v>
      </c>
      <c r="AM141" s="45" t="s">
        <v>2117</v>
      </c>
      <c r="AN141" s="56" t="s">
        <v>142</v>
      </c>
      <c r="AO141" s="23" t="s">
        <v>146</v>
      </c>
      <c r="AP141" s="11" t="s">
        <v>172</v>
      </c>
      <c r="AQ141" s="88" t="s">
        <v>2267</v>
      </c>
      <c r="AR141" s="57" t="s">
        <v>40</v>
      </c>
      <c r="AS141" s="46">
        <v>42977.603333333333</v>
      </c>
      <c r="AT141" s="3">
        <f t="shared" si="1"/>
        <v>116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43005.699629629627</v>
      </c>
      <c r="I142" s="43">
        <v>41338.418749999997</v>
      </c>
      <c r="J142" s="42">
        <v>41451.313958333332</v>
      </c>
      <c r="K142" s="81" t="s">
        <v>1768</v>
      </c>
      <c r="L142" t="s">
        <v>1768</v>
      </c>
      <c r="M142" t="s">
        <v>1761</v>
      </c>
      <c r="N142" s="1" t="s">
        <v>1761</v>
      </c>
      <c r="O142" s="1" t="s">
        <v>2101</v>
      </c>
      <c r="P142" t="s">
        <v>2101</v>
      </c>
      <c r="Q142" s="9" t="s">
        <v>45</v>
      </c>
      <c r="R142" s="82" t="s">
        <v>45</v>
      </c>
      <c r="S142" s="44" t="s">
        <v>2102</v>
      </c>
      <c r="T142" s="3" t="s">
        <v>61</v>
      </c>
      <c r="U142" s="2" t="s">
        <v>29</v>
      </c>
      <c r="V142" s="89" t="s">
        <v>29</v>
      </c>
      <c r="W142" s="11" t="s">
        <v>143</v>
      </c>
      <c r="X142" s="89" t="s">
        <v>143</v>
      </c>
      <c r="Y142" s="77" t="s">
        <v>1772</v>
      </c>
      <c r="Z142" s="84" t="s">
        <v>2270</v>
      </c>
      <c r="AA142" s="89" t="s">
        <v>174</v>
      </c>
      <c r="AB142" s="90" t="str">
        <f>HYPERLINK(CONCATENATE("https://www.ejacket.nsf.gov/ej/showProposal.do?ID=",SUBSTITUTE(SplitQueryTable[[#This Row],[prop_id]],CHAR(160),"")),"eJ")</f>
        <v>eJ</v>
      </c>
      <c r="AC142" s="89" t="s">
        <v>2270</v>
      </c>
      <c r="AD142" s="3" t="s">
        <v>2270</v>
      </c>
      <c r="AE142" s="91">
        <v>2017</v>
      </c>
      <c r="AF142" s="13" t="s">
        <v>43</v>
      </c>
      <c r="AG142" s="13">
        <v>95000</v>
      </c>
      <c r="AH142" s="45">
        <v>595000</v>
      </c>
      <c r="AI142" s="44" t="s">
        <v>2273</v>
      </c>
      <c r="AJ142" s="2" t="s">
        <v>2274</v>
      </c>
      <c r="AK142" s="46" t="s">
        <v>281</v>
      </c>
      <c r="AL142" s="55" t="s">
        <v>2272</v>
      </c>
      <c r="AM142" s="45" t="s">
        <v>2272</v>
      </c>
      <c r="AN142" s="56" t="s">
        <v>142</v>
      </c>
      <c r="AO142" s="23" t="s">
        <v>146</v>
      </c>
      <c r="AP142" s="11" t="s">
        <v>382</v>
      </c>
      <c r="AQ142" s="88" t="s">
        <v>2271</v>
      </c>
      <c r="AR142" s="57" t="s">
        <v>2171</v>
      </c>
      <c r="AS142" s="46">
        <v>42181.945254629631</v>
      </c>
      <c r="AT142" s="3">
        <f t="shared" si="1"/>
        <v>117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43005.699629629627</v>
      </c>
      <c r="I143" s="43">
        <v>42562.646527777775</v>
      </c>
      <c r="J143" s="42">
        <v>42765.660162037035</v>
      </c>
      <c r="K143" s="81" t="s">
        <v>137</v>
      </c>
      <c r="L143" t="s">
        <v>1760</v>
      </c>
      <c r="M143" t="s">
        <v>1761</v>
      </c>
      <c r="N143" s="1" t="s">
        <v>1761</v>
      </c>
      <c r="O143" s="1" t="s">
        <v>1800</v>
      </c>
      <c r="P143" t="s">
        <v>1800</v>
      </c>
      <c r="Q143" s="9" t="s">
        <v>45</v>
      </c>
      <c r="R143" s="82" t="s">
        <v>45</v>
      </c>
      <c r="S143" s="44" t="s">
        <v>1762</v>
      </c>
      <c r="T143" s="3" t="s">
        <v>61</v>
      </c>
      <c r="U143" s="2" t="s">
        <v>29</v>
      </c>
      <c r="V143" s="89" t="s">
        <v>29</v>
      </c>
      <c r="W143" s="11" t="s">
        <v>143</v>
      </c>
      <c r="X143" s="89" t="s">
        <v>143</v>
      </c>
      <c r="Y143" s="77" t="s">
        <v>334</v>
      </c>
      <c r="Z143" s="84" t="s">
        <v>2275</v>
      </c>
      <c r="AA143" s="89" t="s">
        <v>28</v>
      </c>
      <c r="AB143" s="90" t="str">
        <f>HYPERLINK(CONCATENATE("https://www.ejacket.nsf.gov/ej/showProposal.do?ID=",SUBSTITUTE(SplitQueryTable[[#This Row],[prop_id]],CHAR(160),"")),"eJ")</f>
        <v>eJ</v>
      </c>
      <c r="AC143" s="89" t="s">
        <v>2275</v>
      </c>
      <c r="AD143" s="3" t="s">
        <v>2275</v>
      </c>
      <c r="AE143" s="91">
        <v>2017</v>
      </c>
      <c r="AF143" s="13" t="s">
        <v>43</v>
      </c>
      <c r="AG143" s="13">
        <v>100000</v>
      </c>
      <c r="AH143" s="45">
        <v>500000</v>
      </c>
      <c r="AI143" s="44" t="s">
        <v>2277</v>
      </c>
      <c r="AJ143" s="2" t="s">
        <v>1853</v>
      </c>
      <c r="AK143" s="46" t="s">
        <v>306</v>
      </c>
      <c r="AL143" s="55" t="s">
        <v>1759</v>
      </c>
      <c r="AM143" s="45" t="s">
        <v>1759</v>
      </c>
      <c r="AN143" s="56" t="s">
        <v>142</v>
      </c>
      <c r="AO143" s="23" t="s">
        <v>146</v>
      </c>
      <c r="AP143" s="11"/>
      <c r="AQ143" s="88" t="s">
        <v>2276</v>
      </c>
      <c r="AR143" s="57" t="s">
        <v>193</v>
      </c>
      <c r="AS143" s="46">
        <v>42794.73841435185</v>
      </c>
      <c r="AT143" s="3">
        <f t="shared" si="1"/>
        <v>118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43005.699629629627</v>
      </c>
      <c r="I144" s="43">
        <v>41541.681250000001</v>
      </c>
      <c r="J144" s="42">
        <v>41657.86010416667</v>
      </c>
      <c r="K144" s="81" t="s">
        <v>1768</v>
      </c>
      <c r="L144" t="s">
        <v>1768</v>
      </c>
      <c r="M144" t="s">
        <v>1761</v>
      </c>
      <c r="N144" s="1" t="s">
        <v>1761</v>
      </c>
      <c r="O144" s="1" t="s">
        <v>2109</v>
      </c>
      <c r="P144" t="s">
        <v>2109</v>
      </c>
      <c r="Q144" s="9" t="s">
        <v>45</v>
      </c>
      <c r="R144" s="82" t="s">
        <v>45</v>
      </c>
      <c r="S144" s="44" t="s">
        <v>2102</v>
      </c>
      <c r="T144" s="3" t="s">
        <v>61</v>
      </c>
      <c r="U144" s="2" t="s">
        <v>29</v>
      </c>
      <c r="V144" s="89" t="s">
        <v>29</v>
      </c>
      <c r="W144" s="11" t="s">
        <v>143</v>
      </c>
      <c r="X144" s="89" t="s">
        <v>143</v>
      </c>
      <c r="Y144" s="77" t="s">
        <v>1772</v>
      </c>
      <c r="Z144" s="84" t="s">
        <v>2241</v>
      </c>
      <c r="AA144" s="89" t="s">
        <v>174</v>
      </c>
      <c r="AB144" s="90" t="str">
        <f>HYPERLINK(CONCATENATE("https://www.ejacket.nsf.gov/ej/showProposal.do?ID=",SUBSTITUTE(SplitQueryTable[[#This Row],[prop_id]],CHAR(160),"")),"eJ")</f>
        <v>eJ</v>
      </c>
      <c r="AC144" s="89" t="s">
        <v>2241</v>
      </c>
      <c r="AD144" s="3" t="s">
        <v>2241</v>
      </c>
      <c r="AE144" s="91">
        <v>2017</v>
      </c>
      <c r="AF144" s="13" t="s">
        <v>43</v>
      </c>
      <c r="AG144" s="13">
        <v>102696</v>
      </c>
      <c r="AH144" s="45">
        <v>533441</v>
      </c>
      <c r="AI144" s="44" t="s">
        <v>2278</v>
      </c>
      <c r="AJ144" s="2" t="s">
        <v>2279</v>
      </c>
      <c r="AK144" s="46" t="s">
        <v>1750</v>
      </c>
      <c r="AL144" s="55" t="s">
        <v>1793</v>
      </c>
      <c r="AM144" s="45" t="s">
        <v>1793</v>
      </c>
      <c r="AN144" s="56" t="s">
        <v>142</v>
      </c>
      <c r="AO144" s="23" t="s">
        <v>146</v>
      </c>
      <c r="AP144" s="11" t="s">
        <v>172</v>
      </c>
      <c r="AQ144" s="88" t="s">
        <v>2242</v>
      </c>
      <c r="AR144" s="57" t="s">
        <v>40</v>
      </c>
      <c r="AS144" s="46">
        <v>42817.375706018516</v>
      </c>
      <c r="AT144" s="3">
        <f t="shared" si="1"/>
        <v>119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43005.699629629627</v>
      </c>
      <c r="I145" s="43">
        <v>42562.768750000003</v>
      </c>
      <c r="J145" s="42">
        <v>42759.748171296298</v>
      </c>
      <c r="K145" s="81" t="s">
        <v>137</v>
      </c>
      <c r="L145" t="s">
        <v>1760</v>
      </c>
      <c r="M145" t="s">
        <v>1761</v>
      </c>
      <c r="N145" s="1" t="s">
        <v>1761</v>
      </c>
      <c r="O145" s="1" t="s">
        <v>1800</v>
      </c>
      <c r="P145" t="s">
        <v>1800</v>
      </c>
      <c r="Q145" s="9" t="s">
        <v>45</v>
      </c>
      <c r="R145" s="82" t="s">
        <v>45</v>
      </c>
      <c r="S145" s="44" t="s">
        <v>1762</v>
      </c>
      <c r="T145" s="3" t="s">
        <v>61</v>
      </c>
      <c r="U145" s="2" t="s">
        <v>29</v>
      </c>
      <c r="V145" s="89" t="s">
        <v>29</v>
      </c>
      <c r="W145" s="11" t="s">
        <v>143</v>
      </c>
      <c r="X145" s="89" t="s">
        <v>143</v>
      </c>
      <c r="Y145" s="77" t="s">
        <v>334</v>
      </c>
      <c r="Z145" s="84" t="s">
        <v>2280</v>
      </c>
      <c r="AA145" s="89" t="s">
        <v>28</v>
      </c>
      <c r="AB145" s="90" t="str">
        <f>HYPERLINK(CONCATENATE("https://www.ejacket.nsf.gov/ej/showProposal.do?ID=",SUBSTITUTE(SplitQueryTable[[#This Row],[prop_id]],CHAR(160),"")),"eJ")</f>
        <v>eJ</v>
      </c>
      <c r="AC145" s="89" t="s">
        <v>2280</v>
      </c>
      <c r="AD145" s="3" t="s">
        <v>2280</v>
      </c>
      <c r="AE145" s="91">
        <v>2017</v>
      </c>
      <c r="AF145" s="13" t="s">
        <v>43</v>
      </c>
      <c r="AG145" s="13">
        <v>149972</v>
      </c>
      <c r="AH145" s="45">
        <v>299956</v>
      </c>
      <c r="AI145" s="44" t="s">
        <v>2282</v>
      </c>
      <c r="AJ145" s="2" t="s">
        <v>2283</v>
      </c>
      <c r="AK145" s="46" t="s">
        <v>253</v>
      </c>
      <c r="AL145" s="55" t="s">
        <v>1759</v>
      </c>
      <c r="AM145" s="45" t="s">
        <v>1759</v>
      </c>
      <c r="AN145" s="56" t="s">
        <v>142</v>
      </c>
      <c r="AO145" s="23" t="s">
        <v>146</v>
      </c>
      <c r="AP145" s="11"/>
      <c r="AQ145" s="88" t="s">
        <v>2281</v>
      </c>
      <c r="AR145" s="57" t="s">
        <v>193</v>
      </c>
      <c r="AS145" s="46">
        <v>42787.393159722225</v>
      </c>
      <c r="AT145" s="3">
        <f t="shared" si="1"/>
        <v>120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43005.699629629627</v>
      </c>
      <c r="I146" s="43">
        <v>42380.650694444441</v>
      </c>
      <c r="J146" s="42">
        <v>42583.720300925925</v>
      </c>
      <c r="K146" s="81" t="s">
        <v>1768</v>
      </c>
      <c r="L146" t="s">
        <v>1768</v>
      </c>
      <c r="M146" t="s">
        <v>1761</v>
      </c>
      <c r="N146" s="1" t="s">
        <v>1761</v>
      </c>
      <c r="O146" s="1" t="s">
        <v>2152</v>
      </c>
      <c r="P146" t="s">
        <v>2152</v>
      </c>
      <c r="Q146" s="9" t="s">
        <v>45</v>
      </c>
      <c r="R146" s="82" t="s">
        <v>45</v>
      </c>
      <c r="S146" s="44" t="s">
        <v>1762</v>
      </c>
      <c r="T146" s="3" t="s">
        <v>61</v>
      </c>
      <c r="U146" s="2" t="s">
        <v>29</v>
      </c>
      <c r="V146" s="89" t="s">
        <v>29</v>
      </c>
      <c r="W146" s="11" t="s">
        <v>143</v>
      </c>
      <c r="X146" s="89" t="s">
        <v>143</v>
      </c>
      <c r="Y146" s="77" t="s">
        <v>1772</v>
      </c>
      <c r="Z146" s="84" t="s">
        <v>2284</v>
      </c>
      <c r="AA146" s="89" t="s">
        <v>28</v>
      </c>
      <c r="AB146" s="90" t="str">
        <f>HYPERLINK(CONCATENATE("https://www.ejacket.nsf.gov/ej/showProposal.do?ID=",SUBSTITUTE(SplitQueryTable[[#This Row],[prop_id]],CHAR(160),"")),"eJ")</f>
        <v>eJ</v>
      </c>
      <c r="AC146" s="89" t="s">
        <v>2284</v>
      </c>
      <c r="AD146" s="3" t="s">
        <v>2284</v>
      </c>
      <c r="AE146" s="91">
        <v>2017</v>
      </c>
      <c r="AF146" s="13" t="s">
        <v>43</v>
      </c>
      <c r="AG146" s="13">
        <v>12500</v>
      </c>
      <c r="AH146" s="45">
        <v>750000</v>
      </c>
      <c r="AI146" s="44" t="s">
        <v>239</v>
      </c>
      <c r="AJ146" s="2" t="s">
        <v>2287</v>
      </c>
      <c r="AK146" s="46" t="s">
        <v>307</v>
      </c>
      <c r="AL146" s="55" t="s">
        <v>2286</v>
      </c>
      <c r="AM146" s="45" t="s">
        <v>2286</v>
      </c>
      <c r="AN146" s="56" t="s">
        <v>142</v>
      </c>
      <c r="AO146" s="23" t="s">
        <v>146</v>
      </c>
      <c r="AP146" s="11" t="s">
        <v>172</v>
      </c>
      <c r="AQ146" s="88" t="s">
        <v>2285</v>
      </c>
      <c r="AR146" s="57" t="s">
        <v>40</v>
      </c>
      <c r="AS146" s="46">
        <v>42963.572199074071</v>
      </c>
      <c r="AT146" s="3">
        <f t="shared" si="1"/>
        <v>121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43005.699629629627</v>
      </c>
      <c r="I147" s="43">
        <v>41544.804166666669</v>
      </c>
      <c r="J147" s="42">
        <v>41723.762812499997</v>
      </c>
      <c r="K147" s="81" t="s">
        <v>1768</v>
      </c>
      <c r="L147" t="s">
        <v>1760</v>
      </c>
      <c r="M147" t="s">
        <v>1761</v>
      </c>
      <c r="N147" s="1" t="s">
        <v>1761</v>
      </c>
      <c r="O147" s="1" t="s">
        <v>2161</v>
      </c>
      <c r="P147" t="s">
        <v>52</v>
      </c>
      <c r="Q147" s="9" t="s">
        <v>45</v>
      </c>
      <c r="R147" s="82" t="s">
        <v>45</v>
      </c>
      <c r="S147" s="44" t="s">
        <v>2102</v>
      </c>
      <c r="T147" s="3" t="s">
        <v>61</v>
      </c>
      <c r="U147" s="2" t="s">
        <v>29</v>
      </c>
      <c r="V147" s="89" t="s">
        <v>29</v>
      </c>
      <c r="W147" s="11" t="s">
        <v>143</v>
      </c>
      <c r="X147" s="89" t="s">
        <v>143</v>
      </c>
      <c r="Y147" s="77" t="s">
        <v>1772</v>
      </c>
      <c r="Z147" s="84" t="s">
        <v>2288</v>
      </c>
      <c r="AA147" s="89" t="s">
        <v>28</v>
      </c>
      <c r="AB147" s="90" t="str">
        <f>HYPERLINK(CONCATENATE("https://www.ejacket.nsf.gov/ej/showProposal.do?ID=",SUBSTITUTE(SplitQueryTable[[#This Row],[prop_id]],CHAR(160),"")),"eJ")</f>
        <v>eJ</v>
      </c>
      <c r="AC147" s="89" t="s">
        <v>2288</v>
      </c>
      <c r="AD147" s="3" t="s">
        <v>2288</v>
      </c>
      <c r="AE147" s="91">
        <v>2017</v>
      </c>
      <c r="AF147" s="13" t="s">
        <v>43</v>
      </c>
      <c r="AG147" s="13">
        <v>60000</v>
      </c>
      <c r="AH147" s="45">
        <v>300000</v>
      </c>
      <c r="AI147" s="44" t="s">
        <v>2290</v>
      </c>
      <c r="AJ147" s="2" t="s">
        <v>263</v>
      </c>
      <c r="AK147" s="46" t="s">
        <v>278</v>
      </c>
      <c r="AL147" s="55" t="s">
        <v>2117</v>
      </c>
      <c r="AM147" s="45" t="s">
        <v>2117</v>
      </c>
      <c r="AN147" s="56" t="s">
        <v>142</v>
      </c>
      <c r="AO147" s="23" t="s">
        <v>146</v>
      </c>
      <c r="AP147" s="11" t="s">
        <v>172</v>
      </c>
      <c r="AQ147" s="88" t="s">
        <v>2289</v>
      </c>
      <c r="AR147" s="57" t="s">
        <v>40</v>
      </c>
      <c r="AS147" s="46">
        <v>42929.634259259263</v>
      </c>
      <c r="AT147" s="3">
        <f t="shared" si="1"/>
        <v>122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43005.699629629627</v>
      </c>
      <c r="I148" s="43">
        <v>41543.738888888889</v>
      </c>
      <c r="J148" s="42">
        <v>41675.628449074073</v>
      </c>
      <c r="K148" s="81" t="s">
        <v>1768</v>
      </c>
      <c r="L148" t="s">
        <v>1768</v>
      </c>
      <c r="M148" t="s">
        <v>1761</v>
      </c>
      <c r="N148" s="1" t="s">
        <v>1761</v>
      </c>
      <c r="O148" s="1" t="s">
        <v>2109</v>
      </c>
      <c r="P148" t="s">
        <v>2109</v>
      </c>
      <c r="Q148" s="9" t="s">
        <v>45</v>
      </c>
      <c r="R148" s="82" t="s">
        <v>45</v>
      </c>
      <c r="S148" s="44" t="s">
        <v>2102</v>
      </c>
      <c r="T148" s="3" t="s">
        <v>61</v>
      </c>
      <c r="U148" s="2" t="s">
        <v>29</v>
      </c>
      <c r="V148" s="89" t="s">
        <v>29</v>
      </c>
      <c r="W148" s="11" t="s">
        <v>143</v>
      </c>
      <c r="X148" s="89" t="s">
        <v>143</v>
      </c>
      <c r="Y148" s="77" t="s">
        <v>1772</v>
      </c>
      <c r="Z148" s="84" t="s">
        <v>2291</v>
      </c>
      <c r="AA148" s="89" t="s">
        <v>28</v>
      </c>
      <c r="AB148" s="90" t="str">
        <f>HYPERLINK(CONCATENATE("https://www.ejacket.nsf.gov/ej/showProposal.do?ID=",SUBSTITUTE(SplitQueryTable[[#This Row],[prop_id]],CHAR(160),"")),"eJ")</f>
        <v>eJ</v>
      </c>
      <c r="AC148" s="89" t="s">
        <v>2291</v>
      </c>
      <c r="AD148" s="3" t="s">
        <v>2291</v>
      </c>
      <c r="AE148" s="91">
        <v>2017</v>
      </c>
      <c r="AF148" s="13" t="s">
        <v>43</v>
      </c>
      <c r="AG148" s="13">
        <v>60000</v>
      </c>
      <c r="AH148" s="45">
        <v>300000</v>
      </c>
      <c r="AI148" s="44" t="s">
        <v>2293</v>
      </c>
      <c r="AJ148" s="2" t="s">
        <v>2294</v>
      </c>
      <c r="AK148" s="46" t="s">
        <v>1948</v>
      </c>
      <c r="AL148" s="55" t="s">
        <v>1840</v>
      </c>
      <c r="AM148" s="45" t="s">
        <v>1840</v>
      </c>
      <c r="AN148" s="56" t="s">
        <v>142</v>
      </c>
      <c r="AO148" s="23" t="s">
        <v>146</v>
      </c>
      <c r="AP148" s="11" t="s">
        <v>172</v>
      </c>
      <c r="AQ148" s="88" t="s">
        <v>2292</v>
      </c>
      <c r="AR148" s="57" t="s">
        <v>40</v>
      </c>
      <c r="AS148" s="46">
        <v>42821.542326388888</v>
      </c>
      <c r="AT148" s="3">
        <f t="shared" si="1"/>
        <v>123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43005.699629629627</v>
      </c>
      <c r="I149" s="43">
        <v>42562.688888888886</v>
      </c>
      <c r="J149" s="42">
        <v>42780.763703703706</v>
      </c>
      <c r="K149" s="81" t="s">
        <v>137</v>
      </c>
      <c r="L149" t="s">
        <v>1760</v>
      </c>
      <c r="M149" t="s">
        <v>1761</v>
      </c>
      <c r="N149" s="1" t="s">
        <v>1761</v>
      </c>
      <c r="O149" s="1" t="s">
        <v>1800</v>
      </c>
      <c r="P149" t="s">
        <v>1800</v>
      </c>
      <c r="Q149" s="9" t="s">
        <v>45</v>
      </c>
      <c r="R149" s="82" t="s">
        <v>45</v>
      </c>
      <c r="S149" s="44" t="s">
        <v>1762</v>
      </c>
      <c r="T149" s="3" t="s">
        <v>61</v>
      </c>
      <c r="U149" s="2" t="s">
        <v>29</v>
      </c>
      <c r="V149" s="89" t="s">
        <v>29</v>
      </c>
      <c r="W149" s="11" t="s">
        <v>143</v>
      </c>
      <c r="X149" s="89" t="s">
        <v>143</v>
      </c>
      <c r="Y149" s="77" t="s">
        <v>334</v>
      </c>
      <c r="Z149" s="84" t="s">
        <v>2295</v>
      </c>
      <c r="AA149" s="89" t="s">
        <v>28</v>
      </c>
      <c r="AB149" s="90" t="str">
        <f>HYPERLINK(CONCATENATE("https://www.ejacket.nsf.gov/ej/showProposal.do?ID=",SUBSTITUTE(SplitQueryTable[[#This Row],[prop_id]],CHAR(160),"")),"eJ")</f>
        <v>eJ</v>
      </c>
      <c r="AC149" s="89" t="s">
        <v>2295</v>
      </c>
      <c r="AD149" s="3" t="s">
        <v>2295</v>
      </c>
      <c r="AE149" s="91">
        <v>2017</v>
      </c>
      <c r="AF149" s="13" t="s">
        <v>43</v>
      </c>
      <c r="AG149" s="13">
        <v>50000</v>
      </c>
      <c r="AH149" s="45">
        <v>150000</v>
      </c>
      <c r="AI149" s="44" t="s">
        <v>2297</v>
      </c>
      <c r="AJ149" s="2" t="s">
        <v>2298</v>
      </c>
      <c r="AK149" s="46" t="s">
        <v>1725</v>
      </c>
      <c r="AL149" s="55" t="s">
        <v>1759</v>
      </c>
      <c r="AM149" s="45" t="s">
        <v>1759</v>
      </c>
      <c r="AN149" s="56" t="s">
        <v>142</v>
      </c>
      <c r="AO149" s="23" t="s">
        <v>146</v>
      </c>
      <c r="AP149" s="11"/>
      <c r="AQ149" s="88" t="s">
        <v>2296</v>
      </c>
      <c r="AR149" s="57" t="s">
        <v>40</v>
      </c>
      <c r="AS149" s="46">
        <v>42794.420740740738</v>
      </c>
      <c r="AT149" s="3">
        <f t="shared" si="1"/>
        <v>124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43005.699629629627</v>
      </c>
      <c r="I150" s="43">
        <v>41544.802083333336</v>
      </c>
      <c r="J150" s="42">
        <v>41670.573252314818</v>
      </c>
      <c r="K150" s="81" t="s">
        <v>1768</v>
      </c>
      <c r="L150" t="s">
        <v>1768</v>
      </c>
      <c r="M150" t="s">
        <v>1761</v>
      </c>
      <c r="N150" s="1" t="s">
        <v>1761</v>
      </c>
      <c r="O150" s="1" t="s">
        <v>2109</v>
      </c>
      <c r="P150" t="s">
        <v>2109</v>
      </c>
      <c r="Q150" s="9" t="s">
        <v>45</v>
      </c>
      <c r="R150" s="82" t="s">
        <v>45</v>
      </c>
      <c r="S150" s="44" t="s">
        <v>2102</v>
      </c>
      <c r="T150" s="3" t="s">
        <v>61</v>
      </c>
      <c r="U150" s="2" t="s">
        <v>29</v>
      </c>
      <c r="V150" s="89" t="s">
        <v>29</v>
      </c>
      <c r="W150" s="11" t="s">
        <v>143</v>
      </c>
      <c r="X150" s="89" t="s">
        <v>143</v>
      </c>
      <c r="Y150" s="77" t="s">
        <v>1772</v>
      </c>
      <c r="Z150" s="84" t="s">
        <v>2299</v>
      </c>
      <c r="AA150" s="89" t="s">
        <v>174</v>
      </c>
      <c r="AB150" s="90" t="str">
        <f>HYPERLINK(CONCATENATE("https://www.ejacket.nsf.gov/ej/showProposal.do?ID=",SUBSTITUTE(SplitQueryTable[[#This Row],[prop_id]],CHAR(160),"")),"eJ")</f>
        <v>eJ</v>
      </c>
      <c r="AC150" s="89" t="s">
        <v>2299</v>
      </c>
      <c r="AD150" s="3" t="s">
        <v>2299</v>
      </c>
      <c r="AE150" s="91">
        <v>2017</v>
      </c>
      <c r="AF150" s="13" t="s">
        <v>43</v>
      </c>
      <c r="AG150" s="13">
        <v>103175</v>
      </c>
      <c r="AH150" s="45">
        <v>595000</v>
      </c>
      <c r="AI150" s="44" t="s">
        <v>239</v>
      </c>
      <c r="AJ150" s="2" t="s">
        <v>2301</v>
      </c>
      <c r="AK150" s="46" t="s">
        <v>1727</v>
      </c>
      <c r="AL150" s="55" t="s">
        <v>2170</v>
      </c>
      <c r="AM150" s="45" t="s">
        <v>2170</v>
      </c>
      <c r="AN150" s="56" t="s">
        <v>142</v>
      </c>
      <c r="AO150" s="23" t="s">
        <v>146</v>
      </c>
      <c r="AP150" s="11" t="s">
        <v>172</v>
      </c>
      <c r="AQ150" s="88" t="s">
        <v>2300</v>
      </c>
      <c r="AR150" s="57" t="s">
        <v>40</v>
      </c>
      <c r="AS150" s="46">
        <v>42772.499236111114</v>
      </c>
      <c r="AT150" s="3">
        <f t="shared" si="1"/>
        <v>125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43005.699629629627</v>
      </c>
      <c r="I151" s="43">
        <v>41180.711805555555</v>
      </c>
      <c r="J151" s="42">
        <v>41350.838750000003</v>
      </c>
      <c r="K151" s="81" t="s">
        <v>1768</v>
      </c>
      <c r="L151" t="s">
        <v>1760</v>
      </c>
      <c r="M151" t="s">
        <v>1761</v>
      </c>
      <c r="N151" s="1" t="s">
        <v>1761</v>
      </c>
      <c r="O151" s="1" t="s">
        <v>2109</v>
      </c>
      <c r="P151" t="s">
        <v>2087</v>
      </c>
      <c r="Q151" s="9" t="s">
        <v>45</v>
      </c>
      <c r="R151" s="82" t="s">
        <v>45</v>
      </c>
      <c r="S151" s="44" t="s">
        <v>2102</v>
      </c>
      <c r="T151" s="3" t="s">
        <v>61</v>
      </c>
      <c r="U151" s="2" t="s">
        <v>29</v>
      </c>
      <c r="V151" s="89" t="s">
        <v>29</v>
      </c>
      <c r="W151" s="11" t="s">
        <v>143</v>
      </c>
      <c r="X151" s="89" t="s">
        <v>143</v>
      </c>
      <c r="Y151" s="77" t="s">
        <v>1772</v>
      </c>
      <c r="Z151" s="84" t="s">
        <v>2125</v>
      </c>
      <c r="AA151" s="89" t="s">
        <v>174</v>
      </c>
      <c r="AB151" s="90" t="str">
        <f>HYPERLINK(CONCATENATE("https://www.ejacket.nsf.gov/ej/showProposal.do?ID=",SUBSTITUTE(SplitQueryTable[[#This Row],[prop_id]],CHAR(160),"")),"eJ")</f>
        <v>eJ</v>
      </c>
      <c r="AC151" s="89" t="s">
        <v>2125</v>
      </c>
      <c r="AD151" s="3" t="s">
        <v>2125</v>
      </c>
      <c r="AE151" s="91">
        <v>2017</v>
      </c>
      <c r="AF151" s="13" t="s">
        <v>43</v>
      </c>
      <c r="AG151" s="13">
        <v>102275</v>
      </c>
      <c r="AH151" s="45">
        <v>595000</v>
      </c>
      <c r="AI151" s="44" t="s">
        <v>2303</v>
      </c>
      <c r="AJ151" s="2" t="s">
        <v>2304</v>
      </c>
      <c r="AK151" s="46" t="s">
        <v>1767</v>
      </c>
      <c r="AL151" s="55" t="s">
        <v>2117</v>
      </c>
      <c r="AM151" s="45" t="s">
        <v>2117</v>
      </c>
      <c r="AN151" s="56" t="s">
        <v>142</v>
      </c>
      <c r="AO151" s="23" t="s">
        <v>146</v>
      </c>
      <c r="AP151" s="11" t="s">
        <v>172</v>
      </c>
      <c r="AQ151" s="88" t="s">
        <v>2302</v>
      </c>
      <c r="AR151" s="57" t="s">
        <v>40</v>
      </c>
      <c r="AS151" s="46">
        <v>42905.540706018517</v>
      </c>
      <c r="AT151" s="3">
        <f t="shared" si="1"/>
        <v>126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43005.699629629627</v>
      </c>
      <c r="I152" s="43">
        <v>41702.645138888889</v>
      </c>
      <c r="J152" s="42">
        <v>41855.533159722225</v>
      </c>
      <c r="K152" s="81" t="s">
        <v>1768</v>
      </c>
      <c r="L152" t="s">
        <v>1760</v>
      </c>
      <c r="M152" t="s">
        <v>1761</v>
      </c>
      <c r="N152" s="1" t="s">
        <v>1761</v>
      </c>
      <c r="O152" s="1" t="s">
        <v>2109</v>
      </c>
      <c r="P152" t="s">
        <v>52</v>
      </c>
      <c r="Q152" s="9" t="s">
        <v>45</v>
      </c>
      <c r="R152" s="82" t="s">
        <v>45</v>
      </c>
      <c r="S152" s="44" t="s">
        <v>2088</v>
      </c>
      <c r="T152" s="3" t="s">
        <v>61</v>
      </c>
      <c r="U152" s="2" t="s">
        <v>29</v>
      </c>
      <c r="V152" s="89" t="s">
        <v>29</v>
      </c>
      <c r="W152" s="11" t="s">
        <v>143</v>
      </c>
      <c r="X152" s="89" t="s">
        <v>143</v>
      </c>
      <c r="Y152" s="77" t="s">
        <v>1772</v>
      </c>
      <c r="Z152" s="84" t="s">
        <v>2138</v>
      </c>
      <c r="AA152" s="89" t="s">
        <v>62</v>
      </c>
      <c r="AB152" s="90" t="str">
        <f>HYPERLINK(CONCATENATE("https://www.ejacket.nsf.gov/ej/showProposal.do?ID=",SUBSTITUTE(SplitQueryTable[[#This Row],[prop_id]],CHAR(160),"")),"eJ")</f>
        <v>eJ</v>
      </c>
      <c r="AC152" s="89" t="s">
        <v>2305</v>
      </c>
      <c r="AD152" s="3" t="s">
        <v>2305</v>
      </c>
      <c r="AE152" s="91">
        <v>2017</v>
      </c>
      <c r="AF152" s="13" t="s">
        <v>43</v>
      </c>
      <c r="AG152" s="13">
        <v>65000</v>
      </c>
      <c r="AH152" s="45">
        <v>325000</v>
      </c>
      <c r="AI152" s="44" t="s">
        <v>2306</v>
      </c>
      <c r="AJ152" s="2" t="s">
        <v>2307</v>
      </c>
      <c r="AK152" s="46" t="s">
        <v>1740</v>
      </c>
      <c r="AL152" s="55" t="s">
        <v>2117</v>
      </c>
      <c r="AM152" s="45" t="s">
        <v>2117</v>
      </c>
      <c r="AN152" s="56" t="s">
        <v>142</v>
      </c>
      <c r="AO152" s="23" t="s">
        <v>146</v>
      </c>
      <c r="AP152" s="11" t="s">
        <v>172</v>
      </c>
      <c r="AQ152" s="88" t="s">
        <v>2139</v>
      </c>
      <c r="AR152" s="57" t="s">
        <v>40</v>
      </c>
      <c r="AS152" s="46">
        <v>42985.46365740741</v>
      </c>
      <c r="AT152" s="3">
        <f t="shared" si="1"/>
        <v>127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43005.699629629627</v>
      </c>
      <c r="I153" s="43">
        <v>41544.638194444444</v>
      </c>
      <c r="J153" s="42">
        <v>41675.643680555557</v>
      </c>
      <c r="K153" s="81" t="s">
        <v>1768</v>
      </c>
      <c r="L153" t="s">
        <v>1768</v>
      </c>
      <c r="M153" t="s">
        <v>1761</v>
      </c>
      <c r="N153" s="1" t="s">
        <v>1761</v>
      </c>
      <c r="O153" s="1" t="s">
        <v>2109</v>
      </c>
      <c r="P153" t="s">
        <v>2109</v>
      </c>
      <c r="Q153" s="9" t="s">
        <v>45</v>
      </c>
      <c r="R153" s="82" t="s">
        <v>45</v>
      </c>
      <c r="S153" s="44" t="s">
        <v>2102</v>
      </c>
      <c r="T153" s="3" t="s">
        <v>61</v>
      </c>
      <c r="U153" s="2" t="s">
        <v>29</v>
      </c>
      <c r="V153" s="89" t="s">
        <v>29</v>
      </c>
      <c r="W153" s="11" t="s">
        <v>143</v>
      </c>
      <c r="X153" s="89" t="s">
        <v>143</v>
      </c>
      <c r="Y153" s="77" t="s">
        <v>1772</v>
      </c>
      <c r="Z153" s="84" t="s">
        <v>2215</v>
      </c>
      <c r="AA153" s="89" t="s">
        <v>174</v>
      </c>
      <c r="AB153" s="90" t="str">
        <f>HYPERLINK(CONCATENATE("https://www.ejacket.nsf.gov/ej/showProposal.do?ID=",SUBSTITUTE(SplitQueryTable[[#This Row],[prop_id]],CHAR(160),"")),"eJ")</f>
        <v>eJ</v>
      </c>
      <c r="AC153" s="89" t="s">
        <v>2215</v>
      </c>
      <c r="AD153" s="3" t="s">
        <v>2215</v>
      </c>
      <c r="AE153" s="91">
        <v>2017</v>
      </c>
      <c r="AF153" s="13" t="s">
        <v>43</v>
      </c>
      <c r="AG153" s="13">
        <v>102950</v>
      </c>
      <c r="AH153" s="45">
        <v>484653</v>
      </c>
      <c r="AI153" s="44" t="s">
        <v>2308</v>
      </c>
      <c r="AJ153" s="2" t="s">
        <v>231</v>
      </c>
      <c r="AK153" s="46" t="s">
        <v>1796</v>
      </c>
      <c r="AL153" s="55" t="s">
        <v>1775</v>
      </c>
      <c r="AM153" s="45" t="s">
        <v>1775</v>
      </c>
      <c r="AN153" s="56" t="s">
        <v>142</v>
      </c>
      <c r="AO153" s="23" t="s">
        <v>146</v>
      </c>
      <c r="AP153" s="11" t="s">
        <v>172</v>
      </c>
      <c r="AQ153" s="88" t="s">
        <v>2216</v>
      </c>
      <c r="AR153" s="57" t="s">
        <v>40</v>
      </c>
      <c r="AS153" s="46">
        <v>42892.407708333332</v>
      </c>
      <c r="AT153" s="3">
        <f t="shared" si="1"/>
        <v>128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43005.699629629627</v>
      </c>
      <c r="I154" s="43">
        <v>41544.652083333334</v>
      </c>
      <c r="J154" s="42">
        <v>41670.570636574077</v>
      </c>
      <c r="K154" s="81" t="s">
        <v>1768</v>
      </c>
      <c r="L154" t="s">
        <v>1768</v>
      </c>
      <c r="M154" t="s">
        <v>1761</v>
      </c>
      <c r="N154" s="1" t="s">
        <v>1761</v>
      </c>
      <c r="O154" s="1" t="s">
        <v>2109</v>
      </c>
      <c r="P154" t="s">
        <v>2109</v>
      </c>
      <c r="Q154" s="9" t="s">
        <v>45</v>
      </c>
      <c r="R154" s="82" t="s">
        <v>45</v>
      </c>
      <c r="S154" s="44" t="s">
        <v>2102</v>
      </c>
      <c r="T154" s="3" t="s">
        <v>61</v>
      </c>
      <c r="U154" s="2" t="s">
        <v>29</v>
      </c>
      <c r="V154" s="89" t="s">
        <v>29</v>
      </c>
      <c r="W154" s="11" t="s">
        <v>143</v>
      </c>
      <c r="X154" s="89" t="s">
        <v>143</v>
      </c>
      <c r="Y154" s="77" t="s">
        <v>1772</v>
      </c>
      <c r="Z154" s="84" t="s">
        <v>2181</v>
      </c>
      <c r="AA154" s="89" t="s">
        <v>62</v>
      </c>
      <c r="AB154" s="90" t="str">
        <f>HYPERLINK(CONCATENATE("https://www.ejacket.nsf.gov/ej/showProposal.do?ID=",SUBSTITUTE(SplitQueryTable[[#This Row],[prop_id]],CHAR(160),"")),"eJ")</f>
        <v>eJ</v>
      </c>
      <c r="AC154" s="89" t="s">
        <v>2309</v>
      </c>
      <c r="AD154" s="3" t="s">
        <v>2309</v>
      </c>
      <c r="AE154" s="91">
        <v>2017</v>
      </c>
      <c r="AF154" s="13" t="s">
        <v>43</v>
      </c>
      <c r="AG154" s="13">
        <v>59999</v>
      </c>
      <c r="AH154" s="45">
        <v>299997</v>
      </c>
      <c r="AI154" s="44" t="s">
        <v>2310</v>
      </c>
      <c r="AJ154" s="2" t="s">
        <v>166</v>
      </c>
      <c r="AK154" s="46" t="s">
        <v>2311</v>
      </c>
      <c r="AL154" s="55" t="s">
        <v>1793</v>
      </c>
      <c r="AM154" s="45" t="s">
        <v>1793</v>
      </c>
      <c r="AN154" s="56" t="s">
        <v>142</v>
      </c>
      <c r="AO154" s="23" t="s">
        <v>146</v>
      </c>
      <c r="AP154" s="11" t="s">
        <v>172</v>
      </c>
      <c r="AQ154" s="88" t="s">
        <v>2182</v>
      </c>
      <c r="AR154" s="57" t="s">
        <v>502</v>
      </c>
      <c r="AS154" s="46">
        <v>42823.374664351853</v>
      </c>
      <c r="AT154" s="3">
        <f t="shared" ref="AT154:AT217" si="2">IF(AD154=AD153,AT153,AT153+1)</f>
        <v>129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43005.699629629627</v>
      </c>
      <c r="I155" s="43">
        <v>42794.645833333336</v>
      </c>
      <c r="J155" s="42">
        <v>42922.922337962962</v>
      </c>
      <c r="K155" s="81" t="s">
        <v>137</v>
      </c>
      <c r="L155" t="s">
        <v>1760</v>
      </c>
      <c r="M155" t="s">
        <v>1761</v>
      </c>
      <c r="N155" s="1" t="s">
        <v>1761</v>
      </c>
      <c r="O155" s="1" t="s">
        <v>1800</v>
      </c>
      <c r="P155" t="s">
        <v>1800</v>
      </c>
      <c r="Q155" s="9" t="s">
        <v>45</v>
      </c>
      <c r="R155" s="82" t="s">
        <v>45</v>
      </c>
      <c r="S155" s="44" t="s">
        <v>1782</v>
      </c>
      <c r="T155" s="3" t="s">
        <v>61</v>
      </c>
      <c r="U155" s="2" t="s">
        <v>29</v>
      </c>
      <c r="V155" s="89" t="s">
        <v>29</v>
      </c>
      <c r="W155" s="11" t="s">
        <v>143</v>
      </c>
      <c r="X155" s="89" t="s">
        <v>143</v>
      </c>
      <c r="Y155" s="77" t="s">
        <v>334</v>
      </c>
      <c r="Z155" s="84" t="s">
        <v>2312</v>
      </c>
      <c r="AA155" s="89" t="s">
        <v>28</v>
      </c>
      <c r="AB155" s="90" t="str">
        <f>HYPERLINK(CONCATENATE("https://www.ejacket.nsf.gov/ej/showProposal.do?ID=",SUBSTITUTE(SplitQueryTable[[#This Row],[prop_id]],CHAR(160),"")),"eJ")</f>
        <v>eJ</v>
      </c>
      <c r="AC155" s="89" t="s">
        <v>2312</v>
      </c>
      <c r="AD155" s="3" t="s">
        <v>2312</v>
      </c>
      <c r="AE155" s="91">
        <v>2017</v>
      </c>
      <c r="AF155" s="13" t="s">
        <v>43</v>
      </c>
      <c r="AG155" s="13">
        <v>200000</v>
      </c>
      <c r="AH155" s="45">
        <v>500000</v>
      </c>
      <c r="AI155" s="44" t="s">
        <v>2314</v>
      </c>
      <c r="AJ155" s="2" t="s">
        <v>2315</v>
      </c>
      <c r="AK155" s="46" t="s">
        <v>1730</v>
      </c>
      <c r="AL155" s="55" t="s">
        <v>1759</v>
      </c>
      <c r="AM155" s="45" t="s">
        <v>1759</v>
      </c>
      <c r="AN155" s="56" t="s">
        <v>142</v>
      </c>
      <c r="AO155" s="23" t="s">
        <v>146</v>
      </c>
      <c r="AP155" s="11"/>
      <c r="AQ155" s="88" t="s">
        <v>2313</v>
      </c>
      <c r="AR155" s="57" t="s">
        <v>362</v>
      </c>
      <c r="AS155" s="46">
        <v>42976.465057870373</v>
      </c>
      <c r="AT155" s="3">
        <f t="shared" si="2"/>
        <v>130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43005.699629629627</v>
      </c>
      <c r="I156" s="43">
        <v>42562.586805555555</v>
      </c>
      <c r="J156" s="42">
        <v>42770.766053240739</v>
      </c>
      <c r="K156" s="81" t="s">
        <v>137</v>
      </c>
      <c r="L156" t="s">
        <v>1760</v>
      </c>
      <c r="M156" t="s">
        <v>1761</v>
      </c>
      <c r="N156" s="1" t="s">
        <v>1761</v>
      </c>
      <c r="O156" s="1" t="s">
        <v>1800</v>
      </c>
      <c r="P156" t="s">
        <v>1800</v>
      </c>
      <c r="Q156" s="9" t="s">
        <v>45</v>
      </c>
      <c r="R156" s="82" t="s">
        <v>45</v>
      </c>
      <c r="S156" s="44" t="s">
        <v>1762</v>
      </c>
      <c r="T156" s="3" t="s">
        <v>61</v>
      </c>
      <c r="U156" s="2" t="s">
        <v>29</v>
      </c>
      <c r="V156" s="89" t="s">
        <v>29</v>
      </c>
      <c r="W156" s="11" t="s">
        <v>143</v>
      </c>
      <c r="X156" s="89" t="s">
        <v>143</v>
      </c>
      <c r="Y156" s="77" t="s">
        <v>334</v>
      </c>
      <c r="Z156" s="84" t="s">
        <v>2316</v>
      </c>
      <c r="AA156" s="89" t="s">
        <v>28</v>
      </c>
      <c r="AB156" s="90" t="str">
        <f>HYPERLINK(CONCATENATE("https://www.ejacket.nsf.gov/ej/showProposal.do?ID=",SUBSTITUTE(SplitQueryTable[[#This Row],[prop_id]],CHAR(160),"")),"eJ")</f>
        <v>eJ</v>
      </c>
      <c r="AC156" s="89" t="s">
        <v>2316</v>
      </c>
      <c r="AD156" s="3" t="s">
        <v>2316</v>
      </c>
      <c r="AE156" s="91">
        <v>2017</v>
      </c>
      <c r="AF156" s="13" t="s">
        <v>43</v>
      </c>
      <c r="AG156" s="13">
        <v>100000</v>
      </c>
      <c r="AH156" s="45">
        <v>750000</v>
      </c>
      <c r="AI156" s="44" t="s">
        <v>2318</v>
      </c>
      <c r="AJ156" s="2" t="s">
        <v>247</v>
      </c>
      <c r="AK156" s="46" t="s">
        <v>1732</v>
      </c>
      <c r="AL156" s="55" t="s">
        <v>1873</v>
      </c>
      <c r="AM156" s="45" t="s">
        <v>1873</v>
      </c>
      <c r="AN156" s="56" t="s">
        <v>142</v>
      </c>
      <c r="AO156" s="23" t="s">
        <v>146</v>
      </c>
      <c r="AP156" s="11"/>
      <c r="AQ156" s="88" t="s">
        <v>2317</v>
      </c>
      <c r="AR156" s="57" t="s">
        <v>193</v>
      </c>
      <c r="AS156" s="46">
        <v>42804.466967592591</v>
      </c>
      <c r="AT156" s="3">
        <f t="shared" si="2"/>
        <v>131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43005.699629629627</v>
      </c>
      <c r="I157" s="43">
        <v>42562.70208333333</v>
      </c>
      <c r="J157" s="42">
        <v>42768.61650462963</v>
      </c>
      <c r="K157" s="81" t="s">
        <v>137</v>
      </c>
      <c r="L157" t="s">
        <v>1760</v>
      </c>
      <c r="M157" t="s">
        <v>1761</v>
      </c>
      <c r="N157" s="1" t="s">
        <v>1761</v>
      </c>
      <c r="O157" s="1" t="s">
        <v>1800</v>
      </c>
      <c r="P157" t="s">
        <v>1800</v>
      </c>
      <c r="Q157" s="9" t="s">
        <v>45</v>
      </c>
      <c r="R157" s="82" t="s">
        <v>45</v>
      </c>
      <c r="S157" s="44" t="s">
        <v>1762</v>
      </c>
      <c r="T157" s="3" t="s">
        <v>61</v>
      </c>
      <c r="U157" s="2" t="s">
        <v>29</v>
      </c>
      <c r="V157" s="89" t="s">
        <v>29</v>
      </c>
      <c r="W157" s="11" t="s">
        <v>143</v>
      </c>
      <c r="X157" s="89" t="s">
        <v>143</v>
      </c>
      <c r="Y157" s="77" t="s">
        <v>334</v>
      </c>
      <c r="Z157" s="84" t="s">
        <v>2322</v>
      </c>
      <c r="AA157" s="89" t="s">
        <v>28</v>
      </c>
      <c r="AB157" s="90" t="str">
        <f>HYPERLINK(CONCATENATE("https://www.ejacket.nsf.gov/ej/showProposal.do?ID=",SUBSTITUTE(SplitQueryTable[[#This Row],[prop_id]],CHAR(160),"")),"eJ")</f>
        <v>eJ</v>
      </c>
      <c r="AC157" s="89" t="s">
        <v>2322</v>
      </c>
      <c r="AD157" s="3" t="s">
        <v>2322</v>
      </c>
      <c r="AE157" s="91">
        <v>2017</v>
      </c>
      <c r="AF157" s="13" t="s">
        <v>43</v>
      </c>
      <c r="AG157" s="13">
        <v>150000</v>
      </c>
      <c r="AH157" s="45">
        <v>750000</v>
      </c>
      <c r="AI157" s="44" t="s">
        <v>2324</v>
      </c>
      <c r="AJ157" s="2" t="s">
        <v>622</v>
      </c>
      <c r="AK157" s="46" t="s">
        <v>2325</v>
      </c>
      <c r="AL157" s="55" t="s">
        <v>1759</v>
      </c>
      <c r="AM157" s="45" t="s">
        <v>1759</v>
      </c>
      <c r="AN157" s="56" t="s">
        <v>142</v>
      </c>
      <c r="AO157" s="23" t="s">
        <v>146</v>
      </c>
      <c r="AP157" s="11"/>
      <c r="AQ157" s="88" t="s">
        <v>2323</v>
      </c>
      <c r="AR157" s="57" t="s">
        <v>193</v>
      </c>
      <c r="AS157" s="46">
        <v>42802.716863425929</v>
      </c>
      <c r="AT157" s="3">
        <f t="shared" si="2"/>
        <v>132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43005.699629629627</v>
      </c>
      <c r="I158" s="43">
        <v>42562.741666666669</v>
      </c>
      <c r="J158" s="42">
        <v>42775.754016203704</v>
      </c>
      <c r="K158" s="81" t="s">
        <v>137</v>
      </c>
      <c r="L158" t="s">
        <v>1760</v>
      </c>
      <c r="M158" t="s">
        <v>1761</v>
      </c>
      <c r="N158" s="1" t="s">
        <v>1761</v>
      </c>
      <c r="O158" s="1" t="s">
        <v>1800</v>
      </c>
      <c r="P158" t="s">
        <v>1800</v>
      </c>
      <c r="Q158" s="9" t="s">
        <v>45</v>
      </c>
      <c r="R158" s="82" t="s">
        <v>45</v>
      </c>
      <c r="S158" s="44" t="s">
        <v>1762</v>
      </c>
      <c r="T158" s="3" t="s">
        <v>61</v>
      </c>
      <c r="U158" s="2" t="s">
        <v>29</v>
      </c>
      <c r="V158" s="89" t="s">
        <v>29</v>
      </c>
      <c r="W158" s="11" t="s">
        <v>143</v>
      </c>
      <c r="X158" s="89" t="s">
        <v>143</v>
      </c>
      <c r="Y158" s="77" t="s">
        <v>334</v>
      </c>
      <c r="Z158" s="84" t="s">
        <v>2326</v>
      </c>
      <c r="AA158" s="89" t="s">
        <v>28</v>
      </c>
      <c r="AB158" s="90" t="str">
        <f>HYPERLINK(CONCATENATE("https://www.ejacket.nsf.gov/ej/showProposal.do?ID=",SUBSTITUTE(SplitQueryTable[[#This Row],[prop_id]],CHAR(160),"")),"eJ")</f>
        <v>eJ</v>
      </c>
      <c r="AC158" s="89" t="s">
        <v>2326</v>
      </c>
      <c r="AD158" s="3" t="s">
        <v>2326</v>
      </c>
      <c r="AE158" s="91">
        <v>2017</v>
      </c>
      <c r="AF158" s="13" t="s">
        <v>43</v>
      </c>
      <c r="AG158" s="13">
        <v>150000</v>
      </c>
      <c r="AH158" s="45">
        <v>750000</v>
      </c>
      <c r="AI158" s="44" t="s">
        <v>2327</v>
      </c>
      <c r="AJ158" s="2" t="s">
        <v>2328</v>
      </c>
      <c r="AK158" s="46" t="s">
        <v>313</v>
      </c>
      <c r="AL158" s="55" t="s">
        <v>1759</v>
      </c>
      <c r="AM158" s="45" t="s">
        <v>1759</v>
      </c>
      <c r="AN158" s="56" t="s">
        <v>142</v>
      </c>
      <c r="AO158" s="23" t="s">
        <v>146</v>
      </c>
      <c r="AP158" s="11"/>
      <c r="AQ158" s="88" t="s">
        <v>2323</v>
      </c>
      <c r="AR158" s="57" t="s">
        <v>193</v>
      </c>
      <c r="AS158" s="46">
        <v>42808.671932870369</v>
      </c>
      <c r="AT158" s="3">
        <f t="shared" si="2"/>
        <v>133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43005.699629629627</v>
      </c>
      <c r="I159" s="43">
        <v>42794.69027777778</v>
      </c>
      <c r="J159" s="42">
        <v>42932.732303240744</v>
      </c>
      <c r="K159" s="81" t="s">
        <v>137</v>
      </c>
      <c r="L159" t="s">
        <v>1760</v>
      </c>
      <c r="M159" t="s">
        <v>1761</v>
      </c>
      <c r="N159" s="1" t="s">
        <v>1761</v>
      </c>
      <c r="O159" s="1" t="s">
        <v>1800</v>
      </c>
      <c r="P159" t="s">
        <v>1800</v>
      </c>
      <c r="Q159" s="9" t="s">
        <v>45</v>
      </c>
      <c r="R159" s="82" t="s">
        <v>45</v>
      </c>
      <c r="S159" s="44" t="s">
        <v>1782</v>
      </c>
      <c r="T159" s="3" t="s">
        <v>61</v>
      </c>
      <c r="U159" s="2" t="s">
        <v>29</v>
      </c>
      <c r="V159" s="89" t="s">
        <v>29</v>
      </c>
      <c r="W159" s="11" t="s">
        <v>143</v>
      </c>
      <c r="X159" s="89" t="s">
        <v>143</v>
      </c>
      <c r="Y159" s="77" t="s">
        <v>334</v>
      </c>
      <c r="Z159" s="84" t="s">
        <v>2329</v>
      </c>
      <c r="AA159" s="89" t="s">
        <v>28</v>
      </c>
      <c r="AB159" s="90" t="str">
        <f>HYPERLINK(CONCATENATE("https://www.ejacket.nsf.gov/ej/showProposal.do?ID=",SUBSTITUTE(SplitQueryTable[[#This Row],[prop_id]],CHAR(160),"")),"eJ")</f>
        <v>eJ</v>
      </c>
      <c r="AC159" s="89" t="s">
        <v>2329</v>
      </c>
      <c r="AD159" s="3" t="s">
        <v>2329</v>
      </c>
      <c r="AE159" s="91">
        <v>2017</v>
      </c>
      <c r="AF159" s="13" t="s">
        <v>43</v>
      </c>
      <c r="AG159" s="13">
        <v>450000</v>
      </c>
      <c r="AH159" s="45">
        <v>750000</v>
      </c>
      <c r="AI159" s="44" t="s">
        <v>475</v>
      </c>
      <c r="AJ159" s="2" t="s">
        <v>613</v>
      </c>
      <c r="AK159" s="46" t="s">
        <v>1981</v>
      </c>
      <c r="AL159" s="55" t="s">
        <v>1759</v>
      </c>
      <c r="AM159" s="45" t="s">
        <v>1759</v>
      </c>
      <c r="AN159" s="56" t="s">
        <v>142</v>
      </c>
      <c r="AO159" s="23" t="s">
        <v>146</v>
      </c>
      <c r="AP159" s="11"/>
      <c r="AQ159" s="88" t="s">
        <v>2330</v>
      </c>
      <c r="AR159" s="57" t="s">
        <v>362</v>
      </c>
      <c r="AS159" s="46">
        <v>42956.494629629633</v>
      </c>
      <c r="AT159" s="3">
        <f t="shared" si="2"/>
        <v>134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43005.699629629627</v>
      </c>
      <c r="I160" s="43">
        <v>42793.768055555556</v>
      </c>
      <c r="J160" s="42">
        <v>42932.724004629628</v>
      </c>
      <c r="K160" s="81" t="s">
        <v>137</v>
      </c>
      <c r="L160" t="s">
        <v>1760</v>
      </c>
      <c r="M160" t="s">
        <v>1761</v>
      </c>
      <c r="N160" s="1" t="s">
        <v>1761</v>
      </c>
      <c r="O160" s="1" t="s">
        <v>1800</v>
      </c>
      <c r="P160" t="s">
        <v>1800</v>
      </c>
      <c r="Q160" s="9" t="s">
        <v>45</v>
      </c>
      <c r="R160" s="82" t="s">
        <v>45</v>
      </c>
      <c r="S160" s="44" t="s">
        <v>1782</v>
      </c>
      <c r="T160" s="3" t="s">
        <v>61</v>
      </c>
      <c r="U160" s="2" t="s">
        <v>29</v>
      </c>
      <c r="V160" s="89" t="s">
        <v>29</v>
      </c>
      <c r="W160" s="11" t="s">
        <v>143</v>
      </c>
      <c r="X160" s="89" t="s">
        <v>143</v>
      </c>
      <c r="Y160" s="77" t="s">
        <v>334</v>
      </c>
      <c r="Z160" s="84" t="s">
        <v>2331</v>
      </c>
      <c r="AA160" s="89" t="s">
        <v>28</v>
      </c>
      <c r="AB160" s="90" t="str">
        <f>HYPERLINK(CONCATENATE("https://www.ejacket.nsf.gov/ej/showProposal.do?ID=",SUBSTITUTE(SplitQueryTable[[#This Row],[prop_id]],CHAR(160),"")),"eJ")</f>
        <v>eJ</v>
      </c>
      <c r="AC160" s="89" t="s">
        <v>2331</v>
      </c>
      <c r="AD160" s="3" t="s">
        <v>2331</v>
      </c>
      <c r="AE160" s="91">
        <v>2017</v>
      </c>
      <c r="AF160" s="13" t="s">
        <v>43</v>
      </c>
      <c r="AG160" s="13">
        <v>450000</v>
      </c>
      <c r="AH160" s="45">
        <v>750000</v>
      </c>
      <c r="AI160" s="44" t="s">
        <v>2333</v>
      </c>
      <c r="AJ160" s="2" t="s">
        <v>296</v>
      </c>
      <c r="AK160" s="46" t="s">
        <v>1837</v>
      </c>
      <c r="AL160" s="55" t="s">
        <v>1759</v>
      </c>
      <c r="AM160" s="45" t="s">
        <v>1759</v>
      </c>
      <c r="AN160" s="56" t="s">
        <v>142</v>
      </c>
      <c r="AO160" s="23" t="s">
        <v>146</v>
      </c>
      <c r="AP160" s="11"/>
      <c r="AQ160" s="88" t="s">
        <v>2332</v>
      </c>
      <c r="AR160" s="57" t="s">
        <v>362</v>
      </c>
      <c r="AS160" s="46">
        <v>42962.629074074073</v>
      </c>
      <c r="AT160" s="3">
        <f t="shared" si="2"/>
        <v>135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43005.699629629627</v>
      </c>
      <c r="I161" s="43">
        <v>41180.679166666669</v>
      </c>
      <c r="J161" s="42">
        <v>41465.713530092595</v>
      </c>
      <c r="K161" s="81" t="s">
        <v>1768</v>
      </c>
      <c r="L161" t="s">
        <v>1760</v>
      </c>
      <c r="M161" t="s">
        <v>1761</v>
      </c>
      <c r="N161" s="1" t="s">
        <v>1761</v>
      </c>
      <c r="O161" s="1" t="s">
        <v>2109</v>
      </c>
      <c r="P161" t="s">
        <v>2087</v>
      </c>
      <c r="Q161" s="9" t="s">
        <v>45</v>
      </c>
      <c r="R161" s="82" t="s">
        <v>45</v>
      </c>
      <c r="S161" s="44" t="s">
        <v>2102</v>
      </c>
      <c r="T161" s="3" t="s">
        <v>61</v>
      </c>
      <c r="U161" s="2" t="s">
        <v>29</v>
      </c>
      <c r="V161" s="89" t="s">
        <v>29</v>
      </c>
      <c r="W161" s="11" t="s">
        <v>143</v>
      </c>
      <c r="X161" s="89" t="s">
        <v>143</v>
      </c>
      <c r="Y161" s="77" t="s">
        <v>1772</v>
      </c>
      <c r="Z161" s="84" t="s">
        <v>2335</v>
      </c>
      <c r="AA161" s="89" t="s">
        <v>62</v>
      </c>
      <c r="AB161" s="90" t="str">
        <f>HYPERLINK(CONCATENATE("https://www.ejacket.nsf.gov/ej/showProposal.do?ID=",SUBSTITUTE(SplitQueryTable[[#This Row],[prop_id]],CHAR(160),"")),"eJ")</f>
        <v>eJ</v>
      </c>
      <c r="AC161" s="89" t="s">
        <v>2334</v>
      </c>
      <c r="AD161" s="3" t="s">
        <v>2334</v>
      </c>
      <c r="AE161" s="91">
        <v>2017</v>
      </c>
      <c r="AF161" s="13" t="s">
        <v>43</v>
      </c>
      <c r="AG161" s="13">
        <v>60000</v>
      </c>
      <c r="AH161" s="45">
        <v>300000</v>
      </c>
      <c r="AI161" s="44" t="s">
        <v>2337</v>
      </c>
      <c r="AJ161" s="2" t="s">
        <v>2338</v>
      </c>
      <c r="AK161" s="46" t="s">
        <v>1718</v>
      </c>
      <c r="AL161" s="55" t="s">
        <v>2117</v>
      </c>
      <c r="AM161" s="45" t="s">
        <v>2117</v>
      </c>
      <c r="AN161" s="56" t="s">
        <v>142</v>
      </c>
      <c r="AO161" s="23" t="s">
        <v>146</v>
      </c>
      <c r="AP161" s="11" t="s">
        <v>382</v>
      </c>
      <c r="AQ161" s="88" t="s">
        <v>2336</v>
      </c>
      <c r="AR161" s="57" t="s">
        <v>40</v>
      </c>
      <c r="AS161" s="46">
        <v>42251.602326388886</v>
      </c>
      <c r="AT161" s="3">
        <f t="shared" si="2"/>
        <v>136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43005.699629629627</v>
      </c>
      <c r="I162" s="43">
        <v>41544.727083333331</v>
      </c>
      <c r="J162" s="42">
        <v>41723.762384259258</v>
      </c>
      <c r="K162" s="81" t="s">
        <v>1768</v>
      </c>
      <c r="L162" t="s">
        <v>1760</v>
      </c>
      <c r="M162" t="s">
        <v>1761</v>
      </c>
      <c r="N162" s="1" t="s">
        <v>1761</v>
      </c>
      <c r="O162" s="1" t="s">
        <v>2161</v>
      </c>
      <c r="P162" t="s">
        <v>52</v>
      </c>
      <c r="Q162" s="9" t="s">
        <v>45</v>
      </c>
      <c r="R162" s="82" t="s">
        <v>45</v>
      </c>
      <c r="S162" s="44" t="s">
        <v>2102</v>
      </c>
      <c r="T162" s="3" t="s">
        <v>61</v>
      </c>
      <c r="U162" s="2" t="s">
        <v>29</v>
      </c>
      <c r="V162" s="89" t="s">
        <v>29</v>
      </c>
      <c r="W162" s="11" t="s">
        <v>143</v>
      </c>
      <c r="X162" s="89" t="s">
        <v>143</v>
      </c>
      <c r="Y162" s="77" t="s">
        <v>1772</v>
      </c>
      <c r="Z162" s="84" t="s">
        <v>2339</v>
      </c>
      <c r="AA162" s="89" t="s">
        <v>28</v>
      </c>
      <c r="AB162" s="90" t="str">
        <f>HYPERLINK(CONCATENATE("https://www.ejacket.nsf.gov/ej/showProposal.do?ID=",SUBSTITUTE(SplitQueryTable[[#This Row],[prop_id]],CHAR(160),"")),"eJ")</f>
        <v>eJ</v>
      </c>
      <c r="AC162" s="89" t="s">
        <v>2339</v>
      </c>
      <c r="AD162" s="3" t="s">
        <v>2339</v>
      </c>
      <c r="AE162" s="91">
        <v>2017</v>
      </c>
      <c r="AF162" s="13" t="s">
        <v>43</v>
      </c>
      <c r="AG162" s="13">
        <v>60000</v>
      </c>
      <c r="AH162" s="45">
        <v>400000</v>
      </c>
      <c r="AI162" s="44" t="s">
        <v>2341</v>
      </c>
      <c r="AJ162" s="2" t="s">
        <v>613</v>
      </c>
      <c r="AK162" s="46" t="s">
        <v>283</v>
      </c>
      <c r="AL162" s="55" t="s">
        <v>2117</v>
      </c>
      <c r="AM162" s="45" t="s">
        <v>2117</v>
      </c>
      <c r="AN162" s="56" t="s">
        <v>142</v>
      </c>
      <c r="AO162" s="23" t="s">
        <v>146</v>
      </c>
      <c r="AP162" s="11" t="s">
        <v>172</v>
      </c>
      <c r="AQ162" s="88" t="s">
        <v>2340</v>
      </c>
      <c r="AR162" s="57" t="s">
        <v>40</v>
      </c>
      <c r="AS162" s="46">
        <v>42916.377916666665</v>
      </c>
      <c r="AT162" s="3">
        <f t="shared" si="2"/>
        <v>137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43005.699629629627</v>
      </c>
      <c r="I163" s="43">
        <v>42562.569444444445</v>
      </c>
      <c r="J163" s="42">
        <v>42768.482395833336</v>
      </c>
      <c r="K163" s="81" t="s">
        <v>137</v>
      </c>
      <c r="L163" t="s">
        <v>1760</v>
      </c>
      <c r="M163" t="s">
        <v>1761</v>
      </c>
      <c r="N163" s="1" t="s">
        <v>1761</v>
      </c>
      <c r="O163" s="1" t="s">
        <v>1800</v>
      </c>
      <c r="P163" t="s">
        <v>1800</v>
      </c>
      <c r="Q163" s="9" t="s">
        <v>45</v>
      </c>
      <c r="R163" s="82" t="s">
        <v>45</v>
      </c>
      <c r="S163" s="44" t="s">
        <v>1762</v>
      </c>
      <c r="T163" s="3" t="s">
        <v>61</v>
      </c>
      <c r="U163" s="2" t="s">
        <v>29</v>
      </c>
      <c r="V163" s="89" t="s">
        <v>29</v>
      </c>
      <c r="W163" s="11" t="s">
        <v>143</v>
      </c>
      <c r="X163" s="89" t="s">
        <v>143</v>
      </c>
      <c r="Y163" s="77" t="s">
        <v>334</v>
      </c>
      <c r="Z163" s="84" t="s">
        <v>2342</v>
      </c>
      <c r="AA163" s="89" t="s">
        <v>28</v>
      </c>
      <c r="AB163" s="90" t="str">
        <f>HYPERLINK(CONCATENATE("https://www.ejacket.nsf.gov/ej/showProposal.do?ID=",SUBSTITUTE(SplitQueryTable[[#This Row],[prop_id]],CHAR(160),"")),"eJ")</f>
        <v>eJ</v>
      </c>
      <c r="AC163" s="89" t="s">
        <v>2342</v>
      </c>
      <c r="AD163" s="3" t="s">
        <v>2342</v>
      </c>
      <c r="AE163" s="91">
        <v>2017</v>
      </c>
      <c r="AF163" s="13" t="s">
        <v>43</v>
      </c>
      <c r="AG163" s="13">
        <v>100000</v>
      </c>
      <c r="AH163" s="45">
        <v>500000</v>
      </c>
      <c r="AI163" s="44" t="s">
        <v>2344</v>
      </c>
      <c r="AJ163" s="2" t="s">
        <v>2345</v>
      </c>
      <c r="AK163" s="46" t="s">
        <v>1745</v>
      </c>
      <c r="AL163" s="55" t="s">
        <v>1759</v>
      </c>
      <c r="AM163" s="45" t="s">
        <v>1759</v>
      </c>
      <c r="AN163" s="56" t="s">
        <v>142</v>
      </c>
      <c r="AO163" s="23" t="s">
        <v>146</v>
      </c>
      <c r="AP163" s="11"/>
      <c r="AQ163" s="88" t="s">
        <v>2343</v>
      </c>
      <c r="AR163" s="57" t="s">
        <v>193</v>
      </c>
      <c r="AS163" s="46">
        <v>42788.525659722225</v>
      </c>
      <c r="AT163" s="3">
        <f t="shared" si="2"/>
        <v>138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43005.699629629627</v>
      </c>
      <c r="I164" s="43">
        <v>42066.53402777778</v>
      </c>
      <c r="J164" s="42">
        <v>42212.564895833333</v>
      </c>
      <c r="K164" s="81" t="s">
        <v>1768</v>
      </c>
      <c r="L164" t="s">
        <v>1760</v>
      </c>
      <c r="M164" t="s">
        <v>1761</v>
      </c>
      <c r="N164" s="1" t="s">
        <v>1761</v>
      </c>
      <c r="O164" s="1" t="s">
        <v>227</v>
      </c>
      <c r="P164" t="s">
        <v>227</v>
      </c>
      <c r="Q164" s="9" t="s">
        <v>45</v>
      </c>
      <c r="R164" s="82" t="s">
        <v>45</v>
      </c>
      <c r="S164" s="44" t="s">
        <v>2088</v>
      </c>
      <c r="T164" s="3" t="s">
        <v>61</v>
      </c>
      <c r="U164" s="2" t="s">
        <v>29</v>
      </c>
      <c r="V164" s="89" t="s">
        <v>29</v>
      </c>
      <c r="W164" s="11" t="s">
        <v>143</v>
      </c>
      <c r="X164" s="89" t="s">
        <v>143</v>
      </c>
      <c r="Y164" s="77" t="s">
        <v>1772</v>
      </c>
      <c r="Z164" s="84" t="s">
        <v>2346</v>
      </c>
      <c r="AA164" s="89" t="s">
        <v>28</v>
      </c>
      <c r="AB164" s="90" t="str">
        <f>HYPERLINK(CONCATENATE("https://www.ejacket.nsf.gov/ej/showProposal.do?ID=",SUBSTITUTE(SplitQueryTable[[#This Row],[prop_id]],CHAR(160),"")),"eJ")</f>
        <v>eJ</v>
      </c>
      <c r="AC164" s="89" t="s">
        <v>2346</v>
      </c>
      <c r="AD164" s="3" t="s">
        <v>2346</v>
      </c>
      <c r="AE164" s="91">
        <v>2017</v>
      </c>
      <c r="AF164" s="13" t="s">
        <v>43</v>
      </c>
      <c r="AG164" s="13">
        <v>0</v>
      </c>
      <c r="AH164" s="45">
        <v>324996</v>
      </c>
      <c r="AI164" s="44" t="s">
        <v>2344</v>
      </c>
      <c r="AJ164" s="2" t="s">
        <v>2345</v>
      </c>
      <c r="AK164" s="46" t="s">
        <v>1745</v>
      </c>
      <c r="AL164" s="55" t="s">
        <v>2117</v>
      </c>
      <c r="AM164" s="45"/>
      <c r="AN164" s="56" t="s">
        <v>142</v>
      </c>
      <c r="AO164" s="23" t="s">
        <v>146</v>
      </c>
      <c r="AP164" s="11" t="s">
        <v>382</v>
      </c>
      <c r="AQ164" s="88" t="s">
        <v>2347</v>
      </c>
      <c r="AR164" s="57" t="s">
        <v>2261</v>
      </c>
      <c r="AS164" s="46">
        <v>42963.623124999998</v>
      </c>
      <c r="AT164" s="3">
        <f t="shared" si="2"/>
        <v>139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43005.699629629627</v>
      </c>
      <c r="I165" s="43">
        <v>41702.604166666664</v>
      </c>
      <c r="J165" s="42">
        <v>41852.855763888889</v>
      </c>
      <c r="K165" s="81" t="s">
        <v>1768</v>
      </c>
      <c r="L165" t="s">
        <v>1760</v>
      </c>
      <c r="M165" t="s">
        <v>2239</v>
      </c>
      <c r="N165" s="1" t="s">
        <v>1761</v>
      </c>
      <c r="O165" s="1" t="s">
        <v>2161</v>
      </c>
      <c r="P165" t="s">
        <v>52</v>
      </c>
      <c r="Q165" s="9" t="s">
        <v>45</v>
      </c>
      <c r="R165" s="82" t="s">
        <v>45</v>
      </c>
      <c r="S165" s="44" t="s">
        <v>2088</v>
      </c>
      <c r="T165" s="3" t="s">
        <v>61</v>
      </c>
      <c r="U165" s="2" t="s">
        <v>29</v>
      </c>
      <c r="V165" s="89" t="s">
        <v>29</v>
      </c>
      <c r="W165" s="11" t="s">
        <v>143</v>
      </c>
      <c r="X165" s="89" t="s">
        <v>143</v>
      </c>
      <c r="Y165" s="77" t="s">
        <v>1772</v>
      </c>
      <c r="Z165" s="84" t="s">
        <v>2349</v>
      </c>
      <c r="AA165" s="89" t="s">
        <v>62</v>
      </c>
      <c r="AB165" s="90" t="str">
        <f>HYPERLINK(CONCATENATE("https://www.ejacket.nsf.gov/ej/showProposal.do?ID=",SUBSTITUTE(SplitQueryTable[[#This Row],[prop_id]],CHAR(160),"")),"eJ")</f>
        <v>eJ</v>
      </c>
      <c r="AC165" s="89" t="s">
        <v>2348</v>
      </c>
      <c r="AD165" s="3" t="s">
        <v>2348</v>
      </c>
      <c r="AE165" s="91">
        <v>2017</v>
      </c>
      <c r="AF165" s="13" t="s">
        <v>43</v>
      </c>
      <c r="AG165" s="13">
        <v>45000</v>
      </c>
      <c r="AH165" s="45">
        <v>225000</v>
      </c>
      <c r="AI165" s="44" t="s">
        <v>177</v>
      </c>
      <c r="AJ165" s="2" t="s">
        <v>2351</v>
      </c>
      <c r="AK165" s="46" t="s">
        <v>1706</v>
      </c>
      <c r="AL165" s="55" t="s">
        <v>2117</v>
      </c>
      <c r="AM165" s="45" t="s">
        <v>2117</v>
      </c>
      <c r="AN165" s="56" t="s">
        <v>142</v>
      </c>
      <c r="AO165" s="23" t="s">
        <v>146</v>
      </c>
      <c r="AP165" s="11" t="s">
        <v>382</v>
      </c>
      <c r="AQ165" s="88" t="s">
        <v>2350</v>
      </c>
      <c r="AR165" s="57" t="s">
        <v>2261</v>
      </c>
      <c r="AS165" s="46">
        <v>42837.595648148148</v>
      </c>
      <c r="AT165" s="3">
        <f t="shared" si="2"/>
        <v>140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43005.699629629627</v>
      </c>
      <c r="I166" s="43">
        <v>41544.67291666667</v>
      </c>
      <c r="J166" s="42">
        <v>41670.552418981482</v>
      </c>
      <c r="K166" s="81" t="s">
        <v>1768</v>
      </c>
      <c r="L166" t="s">
        <v>1768</v>
      </c>
      <c r="M166" t="s">
        <v>1761</v>
      </c>
      <c r="N166" s="1" t="s">
        <v>1761</v>
      </c>
      <c r="O166" s="1" t="s">
        <v>2109</v>
      </c>
      <c r="P166" t="s">
        <v>2109</v>
      </c>
      <c r="Q166" s="9" t="s">
        <v>45</v>
      </c>
      <c r="R166" s="82" t="s">
        <v>45</v>
      </c>
      <c r="S166" s="44" t="s">
        <v>2102</v>
      </c>
      <c r="T166" s="3" t="s">
        <v>61</v>
      </c>
      <c r="U166" s="2" t="s">
        <v>29</v>
      </c>
      <c r="V166" s="89" t="s">
        <v>29</v>
      </c>
      <c r="W166" s="11" t="s">
        <v>143</v>
      </c>
      <c r="X166" s="89" t="s">
        <v>143</v>
      </c>
      <c r="Y166" s="77" t="s">
        <v>1772</v>
      </c>
      <c r="Z166" s="84" t="s">
        <v>2168</v>
      </c>
      <c r="AA166" s="89" t="s">
        <v>174</v>
      </c>
      <c r="AB166" s="90" t="str">
        <f>HYPERLINK(CONCATENATE("https://www.ejacket.nsf.gov/ej/showProposal.do?ID=",SUBSTITUTE(SplitQueryTable[[#This Row],[prop_id]],CHAR(160),"")),"eJ")</f>
        <v>eJ</v>
      </c>
      <c r="AC166" s="89" t="s">
        <v>2168</v>
      </c>
      <c r="AD166" s="3" t="s">
        <v>2168</v>
      </c>
      <c r="AE166" s="91">
        <v>2017</v>
      </c>
      <c r="AF166" s="13" t="s">
        <v>43</v>
      </c>
      <c r="AG166" s="13">
        <v>102275</v>
      </c>
      <c r="AH166" s="45">
        <v>531375</v>
      </c>
      <c r="AI166" s="44" t="s">
        <v>2352</v>
      </c>
      <c r="AJ166" s="2" t="s">
        <v>2353</v>
      </c>
      <c r="AK166" s="46" t="s">
        <v>2354</v>
      </c>
      <c r="AL166" s="55" t="s">
        <v>2170</v>
      </c>
      <c r="AM166" s="45" t="s">
        <v>2170</v>
      </c>
      <c r="AN166" s="56" t="s">
        <v>142</v>
      </c>
      <c r="AO166" s="23" t="s">
        <v>146</v>
      </c>
      <c r="AP166" s="11" t="s">
        <v>382</v>
      </c>
      <c r="AQ166" s="88" t="s">
        <v>2169</v>
      </c>
      <c r="AR166" s="57" t="s">
        <v>2355</v>
      </c>
      <c r="AS166" s="46">
        <v>42773.370925925927</v>
      </c>
      <c r="AT166" s="3">
        <f t="shared" si="2"/>
        <v>141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43005.699629629627</v>
      </c>
      <c r="I167" s="43">
        <v>41702.708333333336</v>
      </c>
      <c r="J167" s="42">
        <v>41855.531712962962</v>
      </c>
      <c r="K167" s="81" t="s">
        <v>1768</v>
      </c>
      <c r="L167" t="s">
        <v>1760</v>
      </c>
      <c r="M167" t="s">
        <v>1761</v>
      </c>
      <c r="N167" s="1" t="s">
        <v>1761</v>
      </c>
      <c r="O167" s="1" t="s">
        <v>2161</v>
      </c>
      <c r="P167" t="s">
        <v>52</v>
      </c>
      <c r="Q167" s="9" t="s">
        <v>45</v>
      </c>
      <c r="R167" s="82" t="s">
        <v>45</v>
      </c>
      <c r="S167" s="44" t="s">
        <v>2088</v>
      </c>
      <c r="T167" s="3" t="s">
        <v>61</v>
      </c>
      <c r="U167" s="2" t="s">
        <v>29</v>
      </c>
      <c r="V167" s="89" t="s">
        <v>29</v>
      </c>
      <c r="W167" s="11" t="s">
        <v>143</v>
      </c>
      <c r="X167" s="89" t="s">
        <v>143</v>
      </c>
      <c r="Y167" s="77" t="s">
        <v>1772</v>
      </c>
      <c r="Z167" s="84" t="s">
        <v>2162</v>
      </c>
      <c r="AA167" s="89" t="s">
        <v>62</v>
      </c>
      <c r="AB167" s="90" t="str">
        <f>HYPERLINK(CONCATENATE("https://www.ejacket.nsf.gov/ej/showProposal.do?ID=",SUBSTITUTE(SplitQueryTable[[#This Row],[prop_id]],CHAR(160),"")),"eJ")</f>
        <v>eJ</v>
      </c>
      <c r="AC167" s="89" t="s">
        <v>2356</v>
      </c>
      <c r="AD167" s="3" t="s">
        <v>2356</v>
      </c>
      <c r="AE167" s="91">
        <v>2017</v>
      </c>
      <c r="AF167" s="13" t="s">
        <v>43</v>
      </c>
      <c r="AG167" s="13">
        <v>65000</v>
      </c>
      <c r="AH167" s="45">
        <v>324999</v>
      </c>
      <c r="AI167" s="44" t="s">
        <v>2357</v>
      </c>
      <c r="AJ167" s="2" t="s">
        <v>2358</v>
      </c>
      <c r="AK167" s="46" t="s">
        <v>1723</v>
      </c>
      <c r="AL167" s="55" t="s">
        <v>2117</v>
      </c>
      <c r="AM167" s="45" t="s">
        <v>2117</v>
      </c>
      <c r="AN167" s="56" t="s">
        <v>142</v>
      </c>
      <c r="AO167" s="23" t="s">
        <v>146</v>
      </c>
      <c r="AP167" s="11" t="s">
        <v>172</v>
      </c>
      <c r="AQ167" s="88" t="s">
        <v>2163</v>
      </c>
      <c r="AR167" s="57" t="s">
        <v>40</v>
      </c>
      <c r="AS167" s="46">
        <v>42933.752025462964</v>
      </c>
      <c r="AT167" s="3">
        <f t="shared" si="2"/>
        <v>142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43005.699629629627</v>
      </c>
      <c r="I168" s="43">
        <v>41338.602777777778</v>
      </c>
      <c r="J168" s="42">
        <v>41452.58966435185</v>
      </c>
      <c r="K168" s="81" t="s">
        <v>1768</v>
      </c>
      <c r="L168" t="s">
        <v>1768</v>
      </c>
      <c r="M168" t="s">
        <v>1761</v>
      </c>
      <c r="N168" s="1" t="s">
        <v>1761</v>
      </c>
      <c r="O168" s="1" t="s">
        <v>2101</v>
      </c>
      <c r="P168" t="s">
        <v>2101</v>
      </c>
      <c r="Q168" s="9" t="s">
        <v>45</v>
      </c>
      <c r="R168" s="82" t="s">
        <v>45</v>
      </c>
      <c r="S168" s="44" t="s">
        <v>2102</v>
      </c>
      <c r="T168" s="3" t="s">
        <v>61</v>
      </c>
      <c r="U168" s="2" t="s">
        <v>29</v>
      </c>
      <c r="V168" s="89" t="s">
        <v>29</v>
      </c>
      <c r="W168" s="11" t="s">
        <v>143</v>
      </c>
      <c r="X168" s="89" t="s">
        <v>143</v>
      </c>
      <c r="Y168" s="77" t="s">
        <v>1772</v>
      </c>
      <c r="Z168" s="84" t="s">
        <v>2270</v>
      </c>
      <c r="AA168" s="89" t="s">
        <v>62</v>
      </c>
      <c r="AB168" s="90" t="str">
        <f>HYPERLINK(CONCATENATE("https://www.ejacket.nsf.gov/ej/showProposal.do?ID=",SUBSTITUTE(SplitQueryTable[[#This Row],[prop_id]],CHAR(160),"")),"eJ")</f>
        <v>eJ</v>
      </c>
      <c r="AC168" s="89" t="s">
        <v>2359</v>
      </c>
      <c r="AD168" s="3" t="s">
        <v>2359</v>
      </c>
      <c r="AE168" s="91">
        <v>2017</v>
      </c>
      <c r="AF168" s="13" t="s">
        <v>43</v>
      </c>
      <c r="AG168" s="13">
        <v>60000</v>
      </c>
      <c r="AH168" s="45">
        <v>400000</v>
      </c>
      <c r="AI168" s="44" t="s">
        <v>2360</v>
      </c>
      <c r="AJ168" s="2" t="s">
        <v>2361</v>
      </c>
      <c r="AK168" s="46" t="s">
        <v>1767</v>
      </c>
      <c r="AL168" s="55" t="s">
        <v>2272</v>
      </c>
      <c r="AM168" s="45" t="s">
        <v>2272</v>
      </c>
      <c r="AN168" s="56" t="s">
        <v>142</v>
      </c>
      <c r="AO168" s="23" t="s">
        <v>146</v>
      </c>
      <c r="AP168" s="11" t="s">
        <v>172</v>
      </c>
      <c r="AQ168" s="88" t="s">
        <v>2271</v>
      </c>
      <c r="AR168" s="57" t="s">
        <v>40</v>
      </c>
      <c r="AS168" s="46">
        <v>42892.409525462965</v>
      </c>
      <c r="AT168" s="3">
        <f t="shared" si="2"/>
        <v>143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43005.699629629627</v>
      </c>
      <c r="I169" s="43">
        <v>41338.636111111111</v>
      </c>
      <c r="J169" s="42">
        <v>41473.692256944443</v>
      </c>
      <c r="K169" s="81" t="s">
        <v>1768</v>
      </c>
      <c r="L169" t="s">
        <v>1768</v>
      </c>
      <c r="M169" t="s">
        <v>1761</v>
      </c>
      <c r="N169" s="1" t="s">
        <v>1761</v>
      </c>
      <c r="O169" s="1" t="s">
        <v>2101</v>
      </c>
      <c r="P169" t="s">
        <v>2101</v>
      </c>
      <c r="Q169" s="9" t="s">
        <v>45</v>
      </c>
      <c r="R169" s="82" t="s">
        <v>45</v>
      </c>
      <c r="S169" s="44" t="s">
        <v>2102</v>
      </c>
      <c r="T169" s="3" t="s">
        <v>61</v>
      </c>
      <c r="U169" s="2" t="s">
        <v>29</v>
      </c>
      <c r="V169" s="89" t="s">
        <v>29</v>
      </c>
      <c r="W169" s="11" t="s">
        <v>143</v>
      </c>
      <c r="X169" s="89" t="s">
        <v>143</v>
      </c>
      <c r="Y169" s="77" t="s">
        <v>1772</v>
      </c>
      <c r="Z169" s="84" t="s">
        <v>2133</v>
      </c>
      <c r="AA169" s="89" t="s">
        <v>62</v>
      </c>
      <c r="AB169" s="90" t="str">
        <f>HYPERLINK(CONCATENATE("https://www.ejacket.nsf.gov/ej/showProposal.do?ID=",SUBSTITUTE(SplitQueryTable[[#This Row],[prop_id]],CHAR(160),"")),"eJ")</f>
        <v>eJ</v>
      </c>
      <c r="AC169" s="89" t="s">
        <v>2362</v>
      </c>
      <c r="AD169" s="3" t="s">
        <v>2362</v>
      </c>
      <c r="AE169" s="91">
        <v>2017</v>
      </c>
      <c r="AF169" s="13" t="s">
        <v>43</v>
      </c>
      <c r="AG169" s="13">
        <v>60000</v>
      </c>
      <c r="AH169" s="45">
        <v>300000</v>
      </c>
      <c r="AI169" s="44" t="s">
        <v>2363</v>
      </c>
      <c r="AJ169" s="2" t="s">
        <v>397</v>
      </c>
      <c r="AK169" s="46" t="s">
        <v>253</v>
      </c>
      <c r="AL169" s="55" t="s">
        <v>1872</v>
      </c>
      <c r="AM169" s="45" t="s">
        <v>1872</v>
      </c>
      <c r="AN169" s="56" t="s">
        <v>142</v>
      </c>
      <c r="AO169" s="23" t="s">
        <v>146</v>
      </c>
      <c r="AP169" s="11" t="s">
        <v>172</v>
      </c>
      <c r="AQ169" s="88" t="s">
        <v>2134</v>
      </c>
      <c r="AR169" s="57" t="s">
        <v>40</v>
      </c>
      <c r="AS169" s="46">
        <v>42942.320462962962</v>
      </c>
      <c r="AT169" s="3">
        <f t="shared" si="2"/>
        <v>144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43005.699629629627</v>
      </c>
      <c r="I170" s="43">
        <v>42794.65625</v>
      </c>
      <c r="J170" s="42">
        <v>42934.691620370373</v>
      </c>
      <c r="K170" s="81" t="s">
        <v>1768</v>
      </c>
      <c r="L170" t="s">
        <v>1768</v>
      </c>
      <c r="M170" t="s">
        <v>1761</v>
      </c>
      <c r="N170" s="1" t="s">
        <v>1761</v>
      </c>
      <c r="O170" s="1" t="s">
        <v>1781</v>
      </c>
      <c r="P170" t="s">
        <v>1781</v>
      </c>
      <c r="Q170" s="9" t="s">
        <v>45</v>
      </c>
      <c r="R170" s="82" t="s">
        <v>45</v>
      </c>
      <c r="S170" s="44" t="s">
        <v>1782</v>
      </c>
      <c r="T170" s="3" t="s">
        <v>61</v>
      </c>
      <c r="U170" s="2" t="s">
        <v>29</v>
      </c>
      <c r="V170" s="89" t="s">
        <v>29</v>
      </c>
      <c r="W170" s="11" t="s">
        <v>143</v>
      </c>
      <c r="X170" s="89" t="s">
        <v>143</v>
      </c>
      <c r="Y170" s="77" t="s">
        <v>1772</v>
      </c>
      <c r="Z170" s="84" t="s">
        <v>2369</v>
      </c>
      <c r="AA170" s="89" t="s">
        <v>28</v>
      </c>
      <c r="AB170" s="90" t="str">
        <f>HYPERLINK(CONCATENATE("https://www.ejacket.nsf.gov/ej/showProposal.do?ID=",SUBSTITUTE(SplitQueryTable[[#This Row],[prop_id]],CHAR(160),"")),"eJ")</f>
        <v>eJ</v>
      </c>
      <c r="AC170" s="89" t="s">
        <v>2369</v>
      </c>
      <c r="AD170" s="3" t="s">
        <v>2369</v>
      </c>
      <c r="AE170" s="91">
        <v>2017</v>
      </c>
      <c r="AF170" s="13" t="s">
        <v>43</v>
      </c>
      <c r="AG170" s="13">
        <v>50000</v>
      </c>
      <c r="AH170" s="45">
        <v>500000</v>
      </c>
      <c r="AI170" s="44" t="s">
        <v>2371</v>
      </c>
      <c r="AJ170" s="2" t="s">
        <v>2372</v>
      </c>
      <c r="AK170" s="46" t="s">
        <v>301</v>
      </c>
      <c r="AL170" s="55" t="s">
        <v>2272</v>
      </c>
      <c r="AM170" s="45" t="s">
        <v>1759</v>
      </c>
      <c r="AN170" s="56" t="s">
        <v>142</v>
      </c>
      <c r="AO170" s="23" t="s">
        <v>146</v>
      </c>
      <c r="AP170" s="11"/>
      <c r="AQ170" s="88" t="s">
        <v>2370</v>
      </c>
      <c r="AR170" s="57" t="s">
        <v>200</v>
      </c>
      <c r="AS170" s="46">
        <v>42954.481956018521</v>
      </c>
      <c r="AT170" s="3">
        <f t="shared" si="2"/>
        <v>145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43005.699629629627</v>
      </c>
      <c r="I171" s="43">
        <v>42562.709722222222</v>
      </c>
      <c r="J171" s="42">
        <v>42773.868993055556</v>
      </c>
      <c r="K171" s="81" t="s">
        <v>137</v>
      </c>
      <c r="L171" t="s">
        <v>1760</v>
      </c>
      <c r="M171" t="s">
        <v>1761</v>
      </c>
      <c r="N171" s="1" t="s">
        <v>1761</v>
      </c>
      <c r="O171" s="1" t="s">
        <v>1800</v>
      </c>
      <c r="P171" t="s">
        <v>1800</v>
      </c>
      <c r="Q171" s="9" t="s">
        <v>45</v>
      </c>
      <c r="R171" s="82" t="s">
        <v>45</v>
      </c>
      <c r="S171" s="44" t="s">
        <v>1762</v>
      </c>
      <c r="T171" s="3" t="s">
        <v>61</v>
      </c>
      <c r="U171" s="2" t="s">
        <v>29</v>
      </c>
      <c r="V171" s="89" t="s">
        <v>29</v>
      </c>
      <c r="W171" s="11" t="s">
        <v>143</v>
      </c>
      <c r="X171" s="89" t="s">
        <v>143</v>
      </c>
      <c r="Y171" s="77" t="s">
        <v>334</v>
      </c>
      <c r="Z171" s="84" t="s">
        <v>2373</v>
      </c>
      <c r="AA171" s="89" t="s">
        <v>28</v>
      </c>
      <c r="AB171" s="90" t="str">
        <f>HYPERLINK(CONCATENATE("https://www.ejacket.nsf.gov/ej/showProposal.do?ID=",SUBSTITUTE(SplitQueryTable[[#This Row],[prop_id]],CHAR(160),"")),"eJ")</f>
        <v>eJ</v>
      </c>
      <c r="AC171" s="89" t="s">
        <v>2373</v>
      </c>
      <c r="AD171" s="3" t="s">
        <v>2373</v>
      </c>
      <c r="AE171" s="91">
        <v>2017</v>
      </c>
      <c r="AF171" s="13" t="s">
        <v>43</v>
      </c>
      <c r="AG171" s="13">
        <v>100000</v>
      </c>
      <c r="AH171" s="45">
        <v>500000</v>
      </c>
      <c r="AI171" s="44" t="s">
        <v>2375</v>
      </c>
      <c r="AJ171" s="2" t="s">
        <v>314</v>
      </c>
      <c r="AK171" s="46" t="s">
        <v>1837</v>
      </c>
      <c r="AL171" s="55" t="s">
        <v>1759</v>
      </c>
      <c r="AM171" s="45" t="s">
        <v>1759</v>
      </c>
      <c r="AN171" s="56" t="s">
        <v>142</v>
      </c>
      <c r="AO171" s="23" t="s">
        <v>146</v>
      </c>
      <c r="AP171" s="11"/>
      <c r="AQ171" s="88" t="s">
        <v>2374</v>
      </c>
      <c r="AR171" s="57" t="s">
        <v>193</v>
      </c>
      <c r="AS171" s="46">
        <v>42809.743587962963</v>
      </c>
      <c r="AT171" s="3">
        <f t="shared" si="2"/>
        <v>146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43005.699629629627</v>
      </c>
      <c r="I172" s="43">
        <v>41709.523611111108</v>
      </c>
      <c r="J172" s="42">
        <v>41851.357731481483</v>
      </c>
      <c r="K172" s="81" t="s">
        <v>1768</v>
      </c>
      <c r="L172" t="s">
        <v>1768</v>
      </c>
      <c r="M172" t="s">
        <v>1761</v>
      </c>
      <c r="N172" s="1" t="s">
        <v>1761</v>
      </c>
      <c r="O172" s="1" t="s">
        <v>2109</v>
      </c>
      <c r="P172" t="s">
        <v>2109</v>
      </c>
      <c r="Q172" s="9" t="s">
        <v>45</v>
      </c>
      <c r="R172" s="82" t="s">
        <v>45</v>
      </c>
      <c r="S172" s="44" t="s">
        <v>2088</v>
      </c>
      <c r="T172" s="3" t="s">
        <v>61</v>
      </c>
      <c r="U172" s="2" t="s">
        <v>29</v>
      </c>
      <c r="V172" s="89" t="s">
        <v>29</v>
      </c>
      <c r="W172" s="11" t="s">
        <v>143</v>
      </c>
      <c r="X172" s="89" t="s">
        <v>143</v>
      </c>
      <c r="Y172" s="77" t="s">
        <v>1772</v>
      </c>
      <c r="Z172" s="84" t="s">
        <v>2377</v>
      </c>
      <c r="AA172" s="89" t="s">
        <v>62</v>
      </c>
      <c r="AB172" s="90" t="str">
        <f>HYPERLINK(CONCATENATE("https://www.ejacket.nsf.gov/ej/showProposal.do?ID=",SUBSTITUTE(SplitQueryTable[[#This Row],[prop_id]],CHAR(160),"")),"eJ")</f>
        <v>eJ</v>
      </c>
      <c r="AC172" s="89" t="s">
        <v>2376</v>
      </c>
      <c r="AD172" s="3" t="s">
        <v>2376</v>
      </c>
      <c r="AE172" s="91">
        <v>2017</v>
      </c>
      <c r="AF172" s="13" t="s">
        <v>43</v>
      </c>
      <c r="AG172" s="13">
        <v>0</v>
      </c>
      <c r="AH172" s="45">
        <v>199985</v>
      </c>
      <c r="AI172" s="44" t="s">
        <v>210</v>
      </c>
      <c r="AJ172" s="2" t="s">
        <v>325</v>
      </c>
      <c r="AK172" s="46" t="s">
        <v>2325</v>
      </c>
      <c r="AL172" s="55" t="s">
        <v>2379</v>
      </c>
      <c r="AM172" s="45" t="s">
        <v>2380</v>
      </c>
      <c r="AN172" s="56" t="s">
        <v>142</v>
      </c>
      <c r="AO172" s="23" t="s">
        <v>146</v>
      </c>
      <c r="AP172" s="11" t="s">
        <v>382</v>
      </c>
      <c r="AQ172" s="88" t="s">
        <v>2378</v>
      </c>
      <c r="AR172" s="57" t="s">
        <v>2189</v>
      </c>
      <c r="AS172" s="46">
        <v>42993.585636574076</v>
      </c>
      <c r="AT172" s="3">
        <f t="shared" si="2"/>
        <v>147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43005.699629629627</v>
      </c>
      <c r="I173" s="43">
        <v>41702.784722222219</v>
      </c>
      <c r="J173" s="42">
        <v>41855.53261574074</v>
      </c>
      <c r="K173" s="81" t="s">
        <v>1768</v>
      </c>
      <c r="L173" t="s">
        <v>1768</v>
      </c>
      <c r="M173" t="s">
        <v>1761</v>
      </c>
      <c r="N173" s="1" t="s">
        <v>1761</v>
      </c>
      <c r="O173" s="1" t="s">
        <v>2109</v>
      </c>
      <c r="P173" t="s">
        <v>2109</v>
      </c>
      <c r="Q173" s="9" t="s">
        <v>45</v>
      </c>
      <c r="R173" s="82" t="s">
        <v>45</v>
      </c>
      <c r="S173" s="44" t="s">
        <v>2088</v>
      </c>
      <c r="T173" s="3" t="s">
        <v>61</v>
      </c>
      <c r="U173" s="2" t="s">
        <v>29</v>
      </c>
      <c r="V173" s="89" t="s">
        <v>29</v>
      </c>
      <c r="W173" s="11" t="s">
        <v>143</v>
      </c>
      <c r="X173" s="89" t="s">
        <v>143</v>
      </c>
      <c r="Y173" s="77" t="s">
        <v>1772</v>
      </c>
      <c r="Z173" s="84" t="s">
        <v>2382</v>
      </c>
      <c r="AA173" s="89" t="s">
        <v>62</v>
      </c>
      <c r="AB173" s="90" t="str">
        <f>HYPERLINK(CONCATENATE("https://www.ejacket.nsf.gov/ej/showProposal.do?ID=",SUBSTITUTE(SplitQueryTable[[#This Row],[prop_id]],CHAR(160),"")),"eJ")</f>
        <v>eJ</v>
      </c>
      <c r="AC173" s="89" t="s">
        <v>2381</v>
      </c>
      <c r="AD173" s="3" t="s">
        <v>2381</v>
      </c>
      <c r="AE173" s="91">
        <v>2017</v>
      </c>
      <c r="AF173" s="13" t="s">
        <v>43</v>
      </c>
      <c r="AG173" s="13">
        <v>0</v>
      </c>
      <c r="AH173" s="45">
        <v>324995</v>
      </c>
      <c r="AI173" s="44" t="s">
        <v>1805</v>
      </c>
      <c r="AJ173" s="2" t="s">
        <v>296</v>
      </c>
      <c r="AK173" s="46" t="s">
        <v>1806</v>
      </c>
      <c r="AL173" s="55" t="s">
        <v>1840</v>
      </c>
      <c r="AM173" s="45" t="s">
        <v>1840</v>
      </c>
      <c r="AN173" s="56" t="s">
        <v>142</v>
      </c>
      <c r="AO173" s="23" t="s">
        <v>146</v>
      </c>
      <c r="AP173" s="11" t="s">
        <v>382</v>
      </c>
      <c r="AQ173" s="88" t="s">
        <v>2383</v>
      </c>
      <c r="AR173" s="57" t="s">
        <v>2355</v>
      </c>
      <c r="AS173" s="46">
        <v>42950.499652777777</v>
      </c>
      <c r="AT173" s="3">
        <f t="shared" si="2"/>
        <v>148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43005.699629629627</v>
      </c>
      <c r="I174" s="43">
        <v>42562.466666666667</v>
      </c>
      <c r="J174" s="42">
        <v>42788.694652777776</v>
      </c>
      <c r="K174" s="81" t="s">
        <v>137</v>
      </c>
      <c r="L174" t="s">
        <v>1760</v>
      </c>
      <c r="M174" t="s">
        <v>1761</v>
      </c>
      <c r="N174" s="1" t="s">
        <v>1761</v>
      </c>
      <c r="O174" s="1" t="s">
        <v>227</v>
      </c>
      <c r="P174" t="s">
        <v>227</v>
      </c>
      <c r="Q174" s="9" t="s">
        <v>45</v>
      </c>
      <c r="R174" s="82" t="s">
        <v>45</v>
      </c>
      <c r="S174" s="44" t="s">
        <v>1762</v>
      </c>
      <c r="T174" s="3" t="s">
        <v>61</v>
      </c>
      <c r="U174" s="2" t="s">
        <v>29</v>
      </c>
      <c r="V174" s="89" t="s">
        <v>29</v>
      </c>
      <c r="W174" s="11" t="s">
        <v>143</v>
      </c>
      <c r="X174" s="89" t="s">
        <v>143</v>
      </c>
      <c r="Y174" s="77" t="s">
        <v>334</v>
      </c>
      <c r="Z174" s="84" t="s">
        <v>2384</v>
      </c>
      <c r="AA174" s="89" t="s">
        <v>28</v>
      </c>
      <c r="AB174" s="90" t="str">
        <f>HYPERLINK(CONCATENATE("https://www.ejacket.nsf.gov/ej/showProposal.do?ID=",SUBSTITUTE(SplitQueryTable[[#This Row],[prop_id]],CHAR(160),"")),"eJ")</f>
        <v>eJ</v>
      </c>
      <c r="AC174" s="89" t="s">
        <v>2384</v>
      </c>
      <c r="AD174" s="3" t="s">
        <v>2384</v>
      </c>
      <c r="AE174" s="91">
        <v>2017</v>
      </c>
      <c r="AF174" s="13" t="s">
        <v>43</v>
      </c>
      <c r="AG174" s="13">
        <v>99994</v>
      </c>
      <c r="AH174" s="45">
        <v>487253</v>
      </c>
      <c r="AI174" s="44" t="s">
        <v>2385</v>
      </c>
      <c r="AJ174" s="2" t="s">
        <v>2386</v>
      </c>
      <c r="AK174" s="46" t="s">
        <v>252</v>
      </c>
      <c r="AL174" s="55" t="s">
        <v>1759</v>
      </c>
      <c r="AM174" s="45"/>
      <c r="AN174" s="56" t="s">
        <v>142</v>
      </c>
      <c r="AO174" s="23" t="s">
        <v>146</v>
      </c>
      <c r="AP174" s="11"/>
      <c r="AQ174" s="88" t="s">
        <v>2251</v>
      </c>
      <c r="AR174" s="57" t="s">
        <v>193</v>
      </c>
      <c r="AS174" s="46">
        <v>42810.718148148146</v>
      </c>
      <c r="AT174" s="3">
        <f t="shared" si="2"/>
        <v>149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43005.699629629627</v>
      </c>
      <c r="I175" s="43">
        <v>41337.436111111114</v>
      </c>
      <c r="J175" s="42">
        <v>41438.486539351848</v>
      </c>
      <c r="K175" s="81" t="s">
        <v>1768</v>
      </c>
      <c r="L175" t="s">
        <v>1768</v>
      </c>
      <c r="M175" t="s">
        <v>1761</v>
      </c>
      <c r="N175" s="1" t="s">
        <v>1761</v>
      </c>
      <c r="O175" s="1" t="s">
        <v>2101</v>
      </c>
      <c r="P175" t="s">
        <v>2101</v>
      </c>
      <c r="Q175" s="9" t="s">
        <v>45</v>
      </c>
      <c r="R175" s="82" t="s">
        <v>45</v>
      </c>
      <c r="S175" s="44" t="s">
        <v>2102</v>
      </c>
      <c r="T175" s="3" t="s">
        <v>61</v>
      </c>
      <c r="U175" s="2" t="s">
        <v>29</v>
      </c>
      <c r="V175" s="89" t="s">
        <v>29</v>
      </c>
      <c r="W175" s="11" t="s">
        <v>143</v>
      </c>
      <c r="X175" s="89" t="s">
        <v>143</v>
      </c>
      <c r="Y175" s="77" t="s">
        <v>1772</v>
      </c>
      <c r="Z175" s="84" t="s">
        <v>2235</v>
      </c>
      <c r="AA175" s="89" t="s">
        <v>62</v>
      </c>
      <c r="AB175" s="90" t="str">
        <f>HYPERLINK(CONCATENATE("https://www.ejacket.nsf.gov/ej/showProposal.do?ID=",SUBSTITUTE(SplitQueryTable[[#This Row],[prop_id]],CHAR(160),"")),"eJ")</f>
        <v>eJ</v>
      </c>
      <c r="AC175" s="89" t="s">
        <v>2387</v>
      </c>
      <c r="AD175" s="3" t="s">
        <v>2387</v>
      </c>
      <c r="AE175" s="91">
        <v>2017</v>
      </c>
      <c r="AF175" s="13" t="s">
        <v>43</v>
      </c>
      <c r="AG175" s="13">
        <v>60000</v>
      </c>
      <c r="AH175" s="45">
        <v>300000</v>
      </c>
      <c r="AI175" s="44" t="s">
        <v>2388</v>
      </c>
      <c r="AJ175" s="2" t="s">
        <v>2389</v>
      </c>
      <c r="AK175" s="46" t="s">
        <v>2390</v>
      </c>
      <c r="AL175" s="55" t="s">
        <v>1872</v>
      </c>
      <c r="AM175" s="45" t="s">
        <v>1872</v>
      </c>
      <c r="AN175" s="56" t="s">
        <v>142</v>
      </c>
      <c r="AO175" s="23" t="s">
        <v>146</v>
      </c>
      <c r="AP175" s="11" t="s">
        <v>382</v>
      </c>
      <c r="AQ175" s="88" t="s">
        <v>2236</v>
      </c>
      <c r="AR175" s="57" t="s">
        <v>2171</v>
      </c>
      <c r="AS175" s="46">
        <v>42181.945254629631</v>
      </c>
      <c r="AT175" s="3">
        <f t="shared" si="2"/>
        <v>150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43005.699629629627</v>
      </c>
      <c r="I176" s="43">
        <v>42066.638194444444</v>
      </c>
      <c r="J176" s="42">
        <v>42199.505104166667</v>
      </c>
      <c r="K176" s="81" t="s">
        <v>1768</v>
      </c>
      <c r="L176" t="s">
        <v>1768</v>
      </c>
      <c r="M176" t="s">
        <v>1761</v>
      </c>
      <c r="N176" s="1" t="s">
        <v>1761</v>
      </c>
      <c r="O176" s="1" t="s">
        <v>1770</v>
      </c>
      <c r="P176" t="s">
        <v>1770</v>
      </c>
      <c r="Q176" s="9" t="s">
        <v>45</v>
      </c>
      <c r="R176" s="82" t="s">
        <v>45</v>
      </c>
      <c r="S176" s="44" t="s">
        <v>2088</v>
      </c>
      <c r="T176" s="3" t="s">
        <v>61</v>
      </c>
      <c r="U176" s="2" t="s">
        <v>29</v>
      </c>
      <c r="V176" s="89" t="s">
        <v>29</v>
      </c>
      <c r="W176" s="11" t="s">
        <v>143</v>
      </c>
      <c r="X176" s="89" t="s">
        <v>143</v>
      </c>
      <c r="Y176" s="77" t="s">
        <v>1772</v>
      </c>
      <c r="Z176" s="84" t="s">
        <v>2391</v>
      </c>
      <c r="AA176" s="89" t="s">
        <v>28</v>
      </c>
      <c r="AB176" s="90" t="str">
        <f>HYPERLINK(CONCATENATE("https://www.ejacket.nsf.gov/ej/showProposal.do?ID=",SUBSTITUTE(SplitQueryTable[[#This Row],[prop_id]],CHAR(160),"")),"eJ")</f>
        <v>eJ</v>
      </c>
      <c r="AC176" s="89" t="s">
        <v>2391</v>
      </c>
      <c r="AD176" s="3" t="s">
        <v>2391</v>
      </c>
      <c r="AE176" s="91">
        <v>2017</v>
      </c>
      <c r="AF176" s="13" t="s">
        <v>43</v>
      </c>
      <c r="AG176" s="13">
        <v>64999</v>
      </c>
      <c r="AH176" s="45">
        <v>425000</v>
      </c>
      <c r="AI176" s="44" t="s">
        <v>2394</v>
      </c>
      <c r="AJ176" s="2" t="s">
        <v>2395</v>
      </c>
      <c r="AK176" s="46" t="s">
        <v>1749</v>
      </c>
      <c r="AL176" s="55" t="s">
        <v>2393</v>
      </c>
      <c r="AM176" s="45" t="s">
        <v>2393</v>
      </c>
      <c r="AN176" s="56" t="s">
        <v>142</v>
      </c>
      <c r="AO176" s="23" t="s">
        <v>146</v>
      </c>
      <c r="AP176" s="11" t="s">
        <v>172</v>
      </c>
      <c r="AQ176" s="88" t="s">
        <v>2392</v>
      </c>
      <c r="AR176" s="57" t="s">
        <v>40</v>
      </c>
      <c r="AS176" s="46">
        <v>42966.913182870368</v>
      </c>
      <c r="AT176" s="3">
        <f t="shared" si="2"/>
        <v>151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43005.699629629627</v>
      </c>
      <c r="I177" s="43">
        <v>42066.552777777775</v>
      </c>
      <c r="J177" s="42">
        <v>42199.47552083333</v>
      </c>
      <c r="K177" s="81" t="s">
        <v>1768</v>
      </c>
      <c r="L177" t="s">
        <v>1760</v>
      </c>
      <c r="M177" t="s">
        <v>1761</v>
      </c>
      <c r="N177" s="1" t="s">
        <v>1761</v>
      </c>
      <c r="O177" s="1" t="s">
        <v>1770</v>
      </c>
      <c r="P177" t="s">
        <v>227</v>
      </c>
      <c r="Q177" s="9" t="s">
        <v>45</v>
      </c>
      <c r="R177" s="82" t="s">
        <v>45</v>
      </c>
      <c r="S177" s="44" t="s">
        <v>2088</v>
      </c>
      <c r="T177" s="3" t="s">
        <v>61</v>
      </c>
      <c r="U177" s="2" t="s">
        <v>29</v>
      </c>
      <c r="V177" s="89" t="s">
        <v>29</v>
      </c>
      <c r="W177" s="11" t="s">
        <v>143</v>
      </c>
      <c r="X177" s="89" t="s">
        <v>143</v>
      </c>
      <c r="Y177" s="77" t="s">
        <v>1772</v>
      </c>
      <c r="Z177" s="84" t="s">
        <v>2115</v>
      </c>
      <c r="AA177" s="89" t="s">
        <v>174</v>
      </c>
      <c r="AB177" s="90" t="str">
        <f>HYPERLINK(CONCATENATE("https://www.ejacket.nsf.gov/ej/showProposal.do?ID=",SUBSTITUTE(SplitQueryTable[[#This Row],[prop_id]],CHAR(160),"")),"eJ")</f>
        <v>eJ</v>
      </c>
      <c r="AC177" s="89" t="s">
        <v>2115</v>
      </c>
      <c r="AD177" s="3" t="s">
        <v>2115</v>
      </c>
      <c r="AE177" s="91">
        <v>2017</v>
      </c>
      <c r="AF177" s="13" t="s">
        <v>43</v>
      </c>
      <c r="AG177" s="13">
        <v>108385</v>
      </c>
      <c r="AH177" s="45">
        <v>652233</v>
      </c>
      <c r="AI177" s="44" t="s">
        <v>289</v>
      </c>
      <c r="AJ177" s="2" t="s">
        <v>2396</v>
      </c>
      <c r="AK177" s="46" t="s">
        <v>1724</v>
      </c>
      <c r="AL177" s="55" t="s">
        <v>2117</v>
      </c>
      <c r="AM177" s="45" t="s">
        <v>2117</v>
      </c>
      <c r="AN177" s="56" t="s">
        <v>142</v>
      </c>
      <c r="AO177" s="23" t="s">
        <v>146</v>
      </c>
      <c r="AP177" s="11" t="s">
        <v>172</v>
      </c>
      <c r="AQ177" s="88" t="s">
        <v>2116</v>
      </c>
      <c r="AR177" s="57" t="s">
        <v>40</v>
      </c>
      <c r="AS177" s="46">
        <v>42966.902685185189</v>
      </c>
      <c r="AT177" s="3">
        <f t="shared" si="2"/>
        <v>152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43005.699629629627</v>
      </c>
      <c r="I178" s="43">
        <v>42066.642361111109</v>
      </c>
      <c r="J178" s="42">
        <v>42213.737245370372</v>
      </c>
      <c r="K178" s="81" t="s">
        <v>1768</v>
      </c>
      <c r="L178" t="s">
        <v>1768</v>
      </c>
      <c r="M178" t="s">
        <v>1761</v>
      </c>
      <c r="N178" s="1" t="s">
        <v>1761</v>
      </c>
      <c r="O178" s="1" t="s">
        <v>1770</v>
      </c>
      <c r="P178" t="s">
        <v>1770</v>
      </c>
      <c r="Q178" s="9" t="s">
        <v>45</v>
      </c>
      <c r="R178" s="82" t="s">
        <v>45</v>
      </c>
      <c r="S178" s="44" t="s">
        <v>2088</v>
      </c>
      <c r="T178" s="3" t="s">
        <v>61</v>
      </c>
      <c r="U178" s="2" t="s">
        <v>29</v>
      </c>
      <c r="V178" s="89" t="s">
        <v>29</v>
      </c>
      <c r="W178" s="11" t="s">
        <v>143</v>
      </c>
      <c r="X178" s="89" t="s">
        <v>143</v>
      </c>
      <c r="Y178" s="77" t="s">
        <v>1772</v>
      </c>
      <c r="Z178" s="84" t="s">
        <v>2397</v>
      </c>
      <c r="AA178" s="89" t="s">
        <v>28</v>
      </c>
      <c r="AB178" s="90" t="str">
        <f>HYPERLINK(CONCATENATE("https://www.ejacket.nsf.gov/ej/showProposal.do?ID=",SUBSTITUTE(SplitQueryTable[[#This Row],[prop_id]],CHAR(160),"")),"eJ")</f>
        <v>eJ</v>
      </c>
      <c r="AC178" s="89" t="s">
        <v>2397</v>
      </c>
      <c r="AD178" s="3" t="s">
        <v>2397</v>
      </c>
      <c r="AE178" s="91">
        <v>2017</v>
      </c>
      <c r="AF178" s="13" t="s">
        <v>43</v>
      </c>
      <c r="AG178" s="13">
        <v>0</v>
      </c>
      <c r="AH178" s="45">
        <v>325000</v>
      </c>
      <c r="AI178" s="44" t="s">
        <v>271</v>
      </c>
      <c r="AJ178" s="2" t="s">
        <v>231</v>
      </c>
      <c r="AK178" s="46" t="s">
        <v>307</v>
      </c>
      <c r="AL178" s="55" t="s">
        <v>2399</v>
      </c>
      <c r="AM178" s="45" t="s">
        <v>2399</v>
      </c>
      <c r="AN178" s="56" t="s">
        <v>142</v>
      </c>
      <c r="AO178" s="23" t="s">
        <v>146</v>
      </c>
      <c r="AP178" s="11" t="s">
        <v>382</v>
      </c>
      <c r="AQ178" s="88" t="s">
        <v>2398</v>
      </c>
      <c r="AR178" s="57" t="s">
        <v>2355</v>
      </c>
      <c r="AS178" s="46">
        <v>42997.562384259261</v>
      </c>
      <c r="AT178" s="3">
        <f t="shared" si="2"/>
        <v>153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43005.699629629627</v>
      </c>
      <c r="I179" s="43">
        <v>41337.513888888891</v>
      </c>
      <c r="J179" s="42">
        <v>41450.525231481479</v>
      </c>
      <c r="K179" s="81" t="s">
        <v>1768</v>
      </c>
      <c r="L179" t="s">
        <v>1760</v>
      </c>
      <c r="M179" t="s">
        <v>1761</v>
      </c>
      <c r="N179" s="1" t="s">
        <v>1761</v>
      </c>
      <c r="O179" s="1" t="s">
        <v>2101</v>
      </c>
      <c r="P179" t="s">
        <v>52</v>
      </c>
      <c r="Q179" s="9" t="s">
        <v>45</v>
      </c>
      <c r="R179" s="82" t="s">
        <v>45</v>
      </c>
      <c r="S179" s="44" t="s">
        <v>2102</v>
      </c>
      <c r="T179" s="3" t="s">
        <v>61</v>
      </c>
      <c r="U179" s="2" t="s">
        <v>29</v>
      </c>
      <c r="V179" s="89" t="s">
        <v>29</v>
      </c>
      <c r="W179" s="11" t="s">
        <v>143</v>
      </c>
      <c r="X179" s="89" t="s">
        <v>143</v>
      </c>
      <c r="Y179" s="77" t="s">
        <v>1772</v>
      </c>
      <c r="Z179" s="84" t="s">
        <v>2406</v>
      </c>
      <c r="AA179" s="89" t="s">
        <v>28</v>
      </c>
      <c r="AB179" s="90" t="str">
        <f>HYPERLINK(CONCATENATE("https://www.ejacket.nsf.gov/ej/showProposal.do?ID=",SUBSTITUTE(SplitQueryTable[[#This Row],[prop_id]],CHAR(160),"")),"eJ")</f>
        <v>eJ</v>
      </c>
      <c r="AC179" s="89" t="s">
        <v>2406</v>
      </c>
      <c r="AD179" s="3" t="s">
        <v>2406</v>
      </c>
      <c r="AE179" s="91">
        <v>2017</v>
      </c>
      <c r="AF179" s="13" t="s">
        <v>43</v>
      </c>
      <c r="AG179" s="13">
        <v>60000</v>
      </c>
      <c r="AH179" s="45">
        <v>300000</v>
      </c>
      <c r="AI179" s="44" t="s">
        <v>224</v>
      </c>
      <c r="AJ179" s="2" t="s">
        <v>2408</v>
      </c>
      <c r="AK179" s="46" t="s">
        <v>286</v>
      </c>
      <c r="AL179" s="55" t="s">
        <v>2117</v>
      </c>
      <c r="AM179" s="45" t="s">
        <v>2117</v>
      </c>
      <c r="AN179" s="56" t="s">
        <v>142</v>
      </c>
      <c r="AO179" s="23" t="s">
        <v>146</v>
      </c>
      <c r="AP179" s="11" t="s">
        <v>172</v>
      </c>
      <c r="AQ179" s="88" t="s">
        <v>2407</v>
      </c>
      <c r="AR179" s="57" t="s">
        <v>40</v>
      </c>
      <c r="AS179" s="46">
        <v>42963.589282407411</v>
      </c>
      <c r="AT179" s="3">
        <f t="shared" si="2"/>
        <v>154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43005.699629629627</v>
      </c>
      <c r="I180" s="43">
        <v>41180.662499999999</v>
      </c>
      <c r="J180" s="42">
        <v>41318.733703703707</v>
      </c>
      <c r="K180" s="81" t="s">
        <v>1768</v>
      </c>
      <c r="L180" t="s">
        <v>1760</v>
      </c>
      <c r="M180" t="s">
        <v>1761</v>
      </c>
      <c r="N180" s="1" t="s">
        <v>1761</v>
      </c>
      <c r="O180" s="1" t="s">
        <v>2109</v>
      </c>
      <c r="P180" t="s">
        <v>52</v>
      </c>
      <c r="Q180" s="9" t="s">
        <v>45</v>
      </c>
      <c r="R180" s="82" t="s">
        <v>45</v>
      </c>
      <c r="S180" s="44" t="s">
        <v>2102</v>
      </c>
      <c r="T180" s="3" t="s">
        <v>61</v>
      </c>
      <c r="U180" s="2" t="s">
        <v>29</v>
      </c>
      <c r="V180" s="89" t="s">
        <v>29</v>
      </c>
      <c r="W180" s="11" t="s">
        <v>143</v>
      </c>
      <c r="X180" s="89" t="s">
        <v>143</v>
      </c>
      <c r="Y180" s="77" t="s">
        <v>1772</v>
      </c>
      <c r="Z180" s="84" t="s">
        <v>2409</v>
      </c>
      <c r="AA180" s="89" t="s">
        <v>28</v>
      </c>
      <c r="AB180" s="90" t="str">
        <f>HYPERLINK(CONCATENATE("https://www.ejacket.nsf.gov/ej/showProposal.do?ID=",SUBSTITUTE(SplitQueryTable[[#This Row],[prop_id]],CHAR(160),"")),"eJ")</f>
        <v>eJ</v>
      </c>
      <c r="AC180" s="89" t="s">
        <v>2409</v>
      </c>
      <c r="AD180" s="3" t="s">
        <v>2409</v>
      </c>
      <c r="AE180" s="91">
        <v>2017</v>
      </c>
      <c r="AF180" s="13" t="s">
        <v>43</v>
      </c>
      <c r="AG180" s="13">
        <v>59999</v>
      </c>
      <c r="AH180" s="45">
        <v>353195</v>
      </c>
      <c r="AI180" s="44" t="s">
        <v>2411</v>
      </c>
      <c r="AJ180" s="2" t="s">
        <v>2412</v>
      </c>
      <c r="AK180" s="46" t="s">
        <v>1731</v>
      </c>
      <c r="AL180" s="55" t="s">
        <v>2117</v>
      </c>
      <c r="AM180" s="45" t="s">
        <v>2117</v>
      </c>
      <c r="AN180" s="56" t="s">
        <v>142</v>
      </c>
      <c r="AO180" s="23" t="s">
        <v>146</v>
      </c>
      <c r="AP180" s="11" t="s">
        <v>172</v>
      </c>
      <c r="AQ180" s="88" t="s">
        <v>2410</v>
      </c>
      <c r="AR180" s="57" t="s">
        <v>40</v>
      </c>
      <c r="AS180" s="46">
        <v>42857.510370370372</v>
      </c>
      <c r="AT180" s="3">
        <f t="shared" si="2"/>
        <v>155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43005.699629629627</v>
      </c>
      <c r="I181" s="43">
        <v>41179.65</v>
      </c>
      <c r="J181" s="42">
        <v>41465.711793981478</v>
      </c>
      <c r="K181" s="81" t="s">
        <v>1768</v>
      </c>
      <c r="L181" t="s">
        <v>1760</v>
      </c>
      <c r="M181" t="s">
        <v>1761</v>
      </c>
      <c r="N181" s="1" t="s">
        <v>1761</v>
      </c>
      <c r="O181" s="1" t="s">
        <v>2109</v>
      </c>
      <c r="P181" t="s">
        <v>52</v>
      </c>
      <c r="Q181" s="9" t="s">
        <v>45</v>
      </c>
      <c r="R181" s="82" t="s">
        <v>45</v>
      </c>
      <c r="S181" s="44" t="s">
        <v>2102</v>
      </c>
      <c r="T181" s="3" t="s">
        <v>61</v>
      </c>
      <c r="U181" s="2" t="s">
        <v>29</v>
      </c>
      <c r="V181" s="89" t="s">
        <v>29</v>
      </c>
      <c r="W181" s="11" t="s">
        <v>143</v>
      </c>
      <c r="X181" s="89" t="s">
        <v>143</v>
      </c>
      <c r="Y181" s="77" t="s">
        <v>1772</v>
      </c>
      <c r="Z181" s="84" t="s">
        <v>2335</v>
      </c>
      <c r="AA181" s="89" t="s">
        <v>62</v>
      </c>
      <c r="AB181" s="90" t="str">
        <f>HYPERLINK(CONCATENATE("https://www.ejacket.nsf.gov/ej/showProposal.do?ID=",SUBSTITUTE(SplitQueryTable[[#This Row],[prop_id]],CHAR(160),"")),"eJ")</f>
        <v>eJ</v>
      </c>
      <c r="AC181" s="89" t="s">
        <v>2413</v>
      </c>
      <c r="AD181" s="3" t="s">
        <v>2413</v>
      </c>
      <c r="AE181" s="91">
        <v>2017</v>
      </c>
      <c r="AF181" s="13" t="s">
        <v>43</v>
      </c>
      <c r="AG181" s="13">
        <v>60000</v>
      </c>
      <c r="AH181" s="45">
        <v>300000</v>
      </c>
      <c r="AI181" s="44" t="s">
        <v>299</v>
      </c>
      <c r="AJ181" s="2" t="s">
        <v>2415</v>
      </c>
      <c r="AK181" s="46" t="s">
        <v>1745</v>
      </c>
      <c r="AL181" s="55" t="s">
        <v>2117</v>
      </c>
      <c r="AM181" s="45" t="s">
        <v>2117</v>
      </c>
      <c r="AN181" s="56" t="s">
        <v>142</v>
      </c>
      <c r="AO181" s="23" t="s">
        <v>146</v>
      </c>
      <c r="AP181" s="11" t="s">
        <v>172</v>
      </c>
      <c r="AQ181" s="88" t="s">
        <v>2414</v>
      </c>
      <c r="AR181" s="57" t="s">
        <v>40</v>
      </c>
      <c r="AS181" s="46">
        <v>42919.39640046296</v>
      </c>
      <c r="AT181" s="3">
        <f t="shared" si="2"/>
        <v>156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43005.699629629627</v>
      </c>
      <c r="I182" s="43">
        <v>42562.575694444444</v>
      </c>
      <c r="J182" s="42">
        <v>42787.79314814815</v>
      </c>
      <c r="K182" s="81" t="s">
        <v>137</v>
      </c>
      <c r="L182" t="s">
        <v>1760</v>
      </c>
      <c r="M182" t="s">
        <v>1761</v>
      </c>
      <c r="N182" s="1" t="s">
        <v>1761</v>
      </c>
      <c r="O182" s="1" t="s">
        <v>1800</v>
      </c>
      <c r="P182" t="s">
        <v>1800</v>
      </c>
      <c r="Q182" s="9" t="s">
        <v>45</v>
      </c>
      <c r="R182" s="82" t="s">
        <v>45</v>
      </c>
      <c r="S182" s="44" t="s">
        <v>1762</v>
      </c>
      <c r="T182" s="3" t="s">
        <v>61</v>
      </c>
      <c r="U182" s="2" t="s">
        <v>29</v>
      </c>
      <c r="V182" s="89" t="s">
        <v>29</v>
      </c>
      <c r="W182" s="11" t="s">
        <v>143</v>
      </c>
      <c r="X182" s="89" t="s">
        <v>143</v>
      </c>
      <c r="Y182" s="77" t="s">
        <v>334</v>
      </c>
      <c r="Z182" s="84" t="s">
        <v>2416</v>
      </c>
      <c r="AA182" s="89" t="s">
        <v>28</v>
      </c>
      <c r="AB182" s="90" t="str">
        <f>HYPERLINK(CONCATENATE("https://www.ejacket.nsf.gov/ej/showProposal.do?ID=",SUBSTITUTE(SplitQueryTable[[#This Row],[prop_id]],CHAR(160),"")),"eJ")</f>
        <v>eJ</v>
      </c>
      <c r="AC182" s="89" t="s">
        <v>2416</v>
      </c>
      <c r="AD182" s="3" t="s">
        <v>2416</v>
      </c>
      <c r="AE182" s="91">
        <v>2017</v>
      </c>
      <c r="AF182" s="13" t="s">
        <v>43</v>
      </c>
      <c r="AG182" s="13">
        <v>100000</v>
      </c>
      <c r="AH182" s="45">
        <v>499996</v>
      </c>
      <c r="AI182" s="44" t="s">
        <v>2418</v>
      </c>
      <c r="AJ182" s="2" t="s">
        <v>323</v>
      </c>
      <c r="AK182" s="46" t="s">
        <v>1712</v>
      </c>
      <c r="AL182" s="55" t="s">
        <v>1759</v>
      </c>
      <c r="AM182" s="45" t="s">
        <v>1759</v>
      </c>
      <c r="AN182" s="56" t="s">
        <v>142</v>
      </c>
      <c r="AO182" s="23" t="s">
        <v>146</v>
      </c>
      <c r="AP182" s="11"/>
      <c r="AQ182" s="88" t="s">
        <v>2417</v>
      </c>
      <c r="AR182" s="57" t="s">
        <v>193</v>
      </c>
      <c r="AS182" s="46">
        <v>42817.623761574076</v>
      </c>
      <c r="AT182" s="3">
        <f t="shared" si="2"/>
        <v>157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43005.699629629627</v>
      </c>
      <c r="I183" s="43">
        <v>42562.577777777777</v>
      </c>
      <c r="J183" s="42">
        <v>42725.661793981482</v>
      </c>
      <c r="K183" s="81" t="s">
        <v>1768</v>
      </c>
      <c r="L183" t="s">
        <v>1768</v>
      </c>
      <c r="M183" t="s">
        <v>1761</v>
      </c>
      <c r="N183" s="1" t="s">
        <v>1761</v>
      </c>
      <c r="O183" s="1" t="s">
        <v>1770</v>
      </c>
      <c r="P183" t="s">
        <v>1770</v>
      </c>
      <c r="Q183" s="9" t="s">
        <v>45</v>
      </c>
      <c r="R183" s="82" t="s">
        <v>45</v>
      </c>
      <c r="S183" s="44" t="s">
        <v>1762</v>
      </c>
      <c r="T183" s="3" t="s">
        <v>61</v>
      </c>
      <c r="U183" s="2" t="s">
        <v>29</v>
      </c>
      <c r="V183" s="89" t="s">
        <v>29</v>
      </c>
      <c r="W183" s="11" t="s">
        <v>143</v>
      </c>
      <c r="X183" s="89" t="s">
        <v>143</v>
      </c>
      <c r="Y183" s="77" t="s">
        <v>1772</v>
      </c>
      <c r="Z183" s="84" t="s">
        <v>2419</v>
      </c>
      <c r="AA183" s="89" t="s">
        <v>28</v>
      </c>
      <c r="AB183" s="90" t="str">
        <f>HYPERLINK(CONCATENATE("https://www.ejacket.nsf.gov/ej/showProposal.do?ID=",SUBSTITUTE(SplitQueryTable[[#This Row],[prop_id]],CHAR(160),"")),"eJ")</f>
        <v>eJ</v>
      </c>
      <c r="AC183" s="89" t="s">
        <v>2419</v>
      </c>
      <c r="AD183" s="3" t="s">
        <v>2419</v>
      </c>
      <c r="AE183" s="91">
        <v>2017</v>
      </c>
      <c r="AF183" s="13" t="s">
        <v>43</v>
      </c>
      <c r="AG183" s="13">
        <v>199757</v>
      </c>
      <c r="AH183" s="45">
        <v>299560</v>
      </c>
      <c r="AI183" s="44" t="s">
        <v>2421</v>
      </c>
      <c r="AJ183" s="2" t="s">
        <v>2422</v>
      </c>
      <c r="AK183" s="46" t="s">
        <v>1737</v>
      </c>
      <c r="AL183" s="55" t="s">
        <v>2379</v>
      </c>
      <c r="AM183" s="45" t="s">
        <v>2379</v>
      </c>
      <c r="AN183" s="56" t="s">
        <v>142</v>
      </c>
      <c r="AO183" s="23" t="s">
        <v>146</v>
      </c>
      <c r="AP183" s="11"/>
      <c r="AQ183" s="88" t="s">
        <v>2420</v>
      </c>
      <c r="AR183" s="57" t="s">
        <v>200</v>
      </c>
      <c r="AS183" s="46">
        <v>42754.439837962964</v>
      </c>
      <c r="AT183" s="3">
        <f t="shared" si="2"/>
        <v>158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43005.699629629627</v>
      </c>
      <c r="I184" s="43">
        <v>42066.631944444445</v>
      </c>
      <c r="J184" s="42">
        <v>42181.614293981482</v>
      </c>
      <c r="K184" s="81" t="s">
        <v>1768</v>
      </c>
      <c r="L184" t="s">
        <v>1768</v>
      </c>
      <c r="M184" t="s">
        <v>1761</v>
      </c>
      <c r="N184" s="1" t="s">
        <v>1761</v>
      </c>
      <c r="O184" s="1" t="s">
        <v>1770</v>
      </c>
      <c r="P184" t="s">
        <v>1770</v>
      </c>
      <c r="Q184" s="9" t="s">
        <v>45</v>
      </c>
      <c r="R184" s="82" t="s">
        <v>45</v>
      </c>
      <c r="S184" s="44" t="s">
        <v>2088</v>
      </c>
      <c r="T184" s="3" t="s">
        <v>61</v>
      </c>
      <c r="U184" s="2" t="s">
        <v>29</v>
      </c>
      <c r="V184" s="89" t="s">
        <v>29</v>
      </c>
      <c r="W184" s="11" t="s">
        <v>143</v>
      </c>
      <c r="X184" s="89" t="s">
        <v>143</v>
      </c>
      <c r="Y184" s="77" t="s">
        <v>1772</v>
      </c>
      <c r="Z184" s="84" t="s">
        <v>2424</v>
      </c>
      <c r="AA184" s="89" t="s">
        <v>62</v>
      </c>
      <c r="AB184" s="90" t="str">
        <f>HYPERLINK(CONCATENATE("https://www.ejacket.nsf.gov/ej/showProposal.do?ID=",SUBSTITUTE(SplitQueryTable[[#This Row],[prop_id]],CHAR(160),"")),"eJ")</f>
        <v>eJ</v>
      </c>
      <c r="AC184" s="89" t="s">
        <v>2423</v>
      </c>
      <c r="AD184" s="3" t="s">
        <v>2423</v>
      </c>
      <c r="AE184" s="91">
        <v>2017</v>
      </c>
      <c r="AF184" s="13" t="s">
        <v>43</v>
      </c>
      <c r="AG184" s="13">
        <v>65000</v>
      </c>
      <c r="AH184" s="45">
        <v>325000</v>
      </c>
      <c r="AI184" s="44" t="s">
        <v>2427</v>
      </c>
      <c r="AJ184" s="2" t="s">
        <v>2428</v>
      </c>
      <c r="AK184" s="46" t="s">
        <v>1719</v>
      </c>
      <c r="AL184" s="55" t="s">
        <v>2426</v>
      </c>
      <c r="AM184" s="45" t="s">
        <v>2426</v>
      </c>
      <c r="AN184" s="56" t="s">
        <v>142</v>
      </c>
      <c r="AO184" s="23" t="s">
        <v>146</v>
      </c>
      <c r="AP184" s="11" t="s">
        <v>172</v>
      </c>
      <c r="AQ184" s="88" t="s">
        <v>2425</v>
      </c>
      <c r="AR184" s="57" t="s">
        <v>40</v>
      </c>
      <c r="AS184" s="46">
        <v>42940.764189814814</v>
      </c>
      <c r="AT184" s="3">
        <f t="shared" si="2"/>
        <v>159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43005.699629629627</v>
      </c>
      <c r="I185" s="43">
        <v>41702.540277777778</v>
      </c>
      <c r="J185" s="42">
        <v>41844.357800925929</v>
      </c>
      <c r="K185" s="81" t="s">
        <v>1768</v>
      </c>
      <c r="L185" t="s">
        <v>1768</v>
      </c>
      <c r="M185" t="s">
        <v>1761</v>
      </c>
      <c r="N185" s="1" t="s">
        <v>1761</v>
      </c>
      <c r="O185" s="1" t="s">
        <v>2109</v>
      </c>
      <c r="P185" t="s">
        <v>2109</v>
      </c>
      <c r="Q185" s="9" t="s">
        <v>45</v>
      </c>
      <c r="R185" s="82" t="s">
        <v>45</v>
      </c>
      <c r="S185" s="44" t="s">
        <v>2088</v>
      </c>
      <c r="T185" s="3" t="s">
        <v>61</v>
      </c>
      <c r="U185" s="2" t="s">
        <v>29</v>
      </c>
      <c r="V185" s="89" t="s">
        <v>29</v>
      </c>
      <c r="W185" s="11" t="s">
        <v>143</v>
      </c>
      <c r="X185" s="89" t="s">
        <v>143</v>
      </c>
      <c r="Y185" s="77" t="s">
        <v>1772</v>
      </c>
      <c r="Z185" s="84" t="s">
        <v>2382</v>
      </c>
      <c r="AA185" s="89" t="s">
        <v>174</v>
      </c>
      <c r="AB185" s="90" t="str">
        <f>HYPERLINK(CONCATENATE("https://www.ejacket.nsf.gov/ej/showProposal.do?ID=",SUBSTITUTE(SplitQueryTable[[#This Row],[prop_id]],CHAR(160),"")),"eJ")</f>
        <v>eJ</v>
      </c>
      <c r="AC185" s="89" t="s">
        <v>2382</v>
      </c>
      <c r="AD185" s="3" t="s">
        <v>2382</v>
      </c>
      <c r="AE185" s="91">
        <v>2017</v>
      </c>
      <c r="AF185" s="13" t="s">
        <v>43</v>
      </c>
      <c r="AG185" s="13">
        <v>0</v>
      </c>
      <c r="AH185" s="45">
        <v>657500</v>
      </c>
      <c r="AI185" s="44" t="s">
        <v>1841</v>
      </c>
      <c r="AJ185" s="2" t="s">
        <v>331</v>
      </c>
      <c r="AK185" s="46" t="s">
        <v>392</v>
      </c>
      <c r="AL185" s="55" t="s">
        <v>1840</v>
      </c>
      <c r="AM185" s="45" t="s">
        <v>1840</v>
      </c>
      <c r="AN185" s="56" t="s">
        <v>142</v>
      </c>
      <c r="AO185" s="23" t="s">
        <v>146</v>
      </c>
      <c r="AP185" s="11" t="s">
        <v>382</v>
      </c>
      <c r="AQ185" s="88" t="s">
        <v>2383</v>
      </c>
      <c r="AR185" s="57" t="s">
        <v>2355</v>
      </c>
      <c r="AS185" s="46">
        <v>42948.56349537037</v>
      </c>
      <c r="AT185" s="3">
        <f t="shared" si="2"/>
        <v>160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43005.699629629627</v>
      </c>
      <c r="I186" s="43">
        <v>41702.570138888892</v>
      </c>
      <c r="J186" s="42">
        <v>41851.355393518519</v>
      </c>
      <c r="K186" s="81" t="s">
        <v>1768</v>
      </c>
      <c r="L186" t="s">
        <v>1768</v>
      </c>
      <c r="M186" t="s">
        <v>1761</v>
      </c>
      <c r="N186" s="1" t="s">
        <v>1761</v>
      </c>
      <c r="O186" s="1" t="s">
        <v>2109</v>
      </c>
      <c r="P186" t="s">
        <v>2109</v>
      </c>
      <c r="Q186" s="9" t="s">
        <v>45</v>
      </c>
      <c r="R186" s="82" t="s">
        <v>45</v>
      </c>
      <c r="S186" s="44" t="s">
        <v>2088</v>
      </c>
      <c r="T186" s="3" t="s">
        <v>61</v>
      </c>
      <c r="U186" s="2" t="s">
        <v>29</v>
      </c>
      <c r="V186" s="89" t="s">
        <v>29</v>
      </c>
      <c r="W186" s="11" t="s">
        <v>143</v>
      </c>
      <c r="X186" s="89" t="s">
        <v>143</v>
      </c>
      <c r="Y186" s="77" t="s">
        <v>1772</v>
      </c>
      <c r="Z186" s="84" t="s">
        <v>2429</v>
      </c>
      <c r="AA186" s="89" t="s">
        <v>28</v>
      </c>
      <c r="AB186" s="90" t="str">
        <f>HYPERLINK(CONCATENATE("https://www.ejacket.nsf.gov/ej/showProposal.do?ID=",SUBSTITUTE(SplitQueryTable[[#This Row],[prop_id]],CHAR(160),"")),"eJ")</f>
        <v>eJ</v>
      </c>
      <c r="AC186" s="89" t="s">
        <v>2429</v>
      </c>
      <c r="AD186" s="3" t="s">
        <v>2429</v>
      </c>
      <c r="AE186" s="91">
        <v>2017</v>
      </c>
      <c r="AF186" s="13" t="s">
        <v>43</v>
      </c>
      <c r="AG186" s="13">
        <v>65000</v>
      </c>
      <c r="AH186" s="45">
        <v>325000</v>
      </c>
      <c r="AI186" s="44" t="s">
        <v>2432</v>
      </c>
      <c r="AJ186" s="2" t="s">
        <v>166</v>
      </c>
      <c r="AK186" s="46" t="s">
        <v>1741</v>
      </c>
      <c r="AL186" s="55" t="s">
        <v>2431</v>
      </c>
      <c r="AM186" s="45" t="s">
        <v>2431</v>
      </c>
      <c r="AN186" s="56" t="s">
        <v>142</v>
      </c>
      <c r="AO186" s="23" t="s">
        <v>146</v>
      </c>
      <c r="AP186" s="11" t="s">
        <v>172</v>
      </c>
      <c r="AQ186" s="88" t="s">
        <v>2430</v>
      </c>
      <c r="AR186" s="57" t="s">
        <v>200</v>
      </c>
      <c r="AS186" s="46">
        <v>42998.351643518516</v>
      </c>
      <c r="AT186" s="3">
        <f t="shared" si="2"/>
        <v>161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43005.699629629627</v>
      </c>
      <c r="I187" s="43">
        <v>41544.693749999999</v>
      </c>
      <c r="J187" s="42">
        <v>41675.631111111114</v>
      </c>
      <c r="K187" s="81" t="s">
        <v>1768</v>
      </c>
      <c r="L187" t="s">
        <v>1768</v>
      </c>
      <c r="M187" t="s">
        <v>1761</v>
      </c>
      <c r="N187" s="1" t="s">
        <v>1761</v>
      </c>
      <c r="O187" s="1" t="s">
        <v>2109</v>
      </c>
      <c r="P187" t="s">
        <v>2109</v>
      </c>
      <c r="Q187" s="9" t="s">
        <v>45</v>
      </c>
      <c r="R187" s="82" t="s">
        <v>45</v>
      </c>
      <c r="S187" s="44" t="s">
        <v>2102</v>
      </c>
      <c r="T187" s="3" t="s">
        <v>61</v>
      </c>
      <c r="U187" s="2" t="s">
        <v>29</v>
      </c>
      <c r="V187" s="89" t="s">
        <v>29</v>
      </c>
      <c r="W187" s="11" t="s">
        <v>143</v>
      </c>
      <c r="X187" s="89" t="s">
        <v>143</v>
      </c>
      <c r="Y187" s="77" t="s">
        <v>1772</v>
      </c>
      <c r="Z187" s="84" t="s">
        <v>2433</v>
      </c>
      <c r="AA187" s="89" t="s">
        <v>28</v>
      </c>
      <c r="AB187" s="90" t="str">
        <f>HYPERLINK(CONCATENATE("https://www.ejacket.nsf.gov/ej/showProposal.do?ID=",SUBSTITUTE(SplitQueryTable[[#This Row],[prop_id]],CHAR(160),"")),"eJ")</f>
        <v>eJ</v>
      </c>
      <c r="AC187" s="89" t="s">
        <v>2433</v>
      </c>
      <c r="AD187" s="3" t="s">
        <v>2433</v>
      </c>
      <c r="AE187" s="91">
        <v>2017</v>
      </c>
      <c r="AF187" s="13" t="s">
        <v>43</v>
      </c>
      <c r="AG187" s="13">
        <v>60000</v>
      </c>
      <c r="AH187" s="45">
        <v>299631</v>
      </c>
      <c r="AI187" s="44" t="s">
        <v>272</v>
      </c>
      <c r="AJ187" s="2" t="s">
        <v>2435</v>
      </c>
      <c r="AK187" s="46" t="s">
        <v>1750</v>
      </c>
      <c r="AL187" s="55" t="s">
        <v>2170</v>
      </c>
      <c r="AM187" s="45" t="s">
        <v>2170</v>
      </c>
      <c r="AN187" s="56" t="s">
        <v>142</v>
      </c>
      <c r="AO187" s="23" t="s">
        <v>146</v>
      </c>
      <c r="AP187" s="11" t="s">
        <v>382</v>
      </c>
      <c r="AQ187" s="88" t="s">
        <v>2434</v>
      </c>
      <c r="AR187" s="57" t="s">
        <v>200</v>
      </c>
      <c r="AS187" s="46">
        <v>42208.564918981479</v>
      </c>
      <c r="AT187" s="3">
        <f t="shared" si="2"/>
        <v>162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43005.699629629627</v>
      </c>
      <c r="I188" s="43">
        <v>41709.532638888886</v>
      </c>
      <c r="J188" s="42">
        <v>41851.358668981484</v>
      </c>
      <c r="K188" s="81" t="s">
        <v>1768</v>
      </c>
      <c r="L188" t="s">
        <v>1768</v>
      </c>
      <c r="M188" t="s">
        <v>1761</v>
      </c>
      <c r="N188" s="1" t="s">
        <v>1761</v>
      </c>
      <c r="O188" s="1" t="s">
        <v>2109</v>
      </c>
      <c r="P188" t="s">
        <v>2109</v>
      </c>
      <c r="Q188" s="9" t="s">
        <v>45</v>
      </c>
      <c r="R188" s="82" t="s">
        <v>45</v>
      </c>
      <c r="S188" s="44" t="s">
        <v>2088</v>
      </c>
      <c r="T188" s="3" t="s">
        <v>61</v>
      </c>
      <c r="U188" s="2" t="s">
        <v>29</v>
      </c>
      <c r="V188" s="89" t="s">
        <v>29</v>
      </c>
      <c r="W188" s="11" t="s">
        <v>143</v>
      </c>
      <c r="X188" s="89" t="s">
        <v>143</v>
      </c>
      <c r="Y188" s="77" t="s">
        <v>1772</v>
      </c>
      <c r="Z188" s="84" t="s">
        <v>2377</v>
      </c>
      <c r="AA188" s="89" t="s">
        <v>174</v>
      </c>
      <c r="AB188" s="90" t="str">
        <f>HYPERLINK(CONCATENATE("https://www.ejacket.nsf.gov/ej/showProposal.do?ID=",SUBSTITUTE(SplitQueryTable[[#This Row],[prop_id]],CHAR(160),"")),"eJ")</f>
        <v>eJ</v>
      </c>
      <c r="AC188" s="89" t="s">
        <v>2377</v>
      </c>
      <c r="AD188" s="3" t="s">
        <v>2377</v>
      </c>
      <c r="AE188" s="91">
        <v>2017</v>
      </c>
      <c r="AF188" s="13" t="s">
        <v>43</v>
      </c>
      <c r="AG188" s="13">
        <v>87875</v>
      </c>
      <c r="AH188" s="45">
        <v>520000</v>
      </c>
      <c r="AI188" s="44" t="s">
        <v>297</v>
      </c>
      <c r="AJ188" s="2" t="s">
        <v>2428</v>
      </c>
      <c r="AK188" s="46" t="s">
        <v>1818</v>
      </c>
      <c r="AL188" s="55" t="s">
        <v>2379</v>
      </c>
      <c r="AM188" s="45" t="s">
        <v>2380</v>
      </c>
      <c r="AN188" s="56" t="s">
        <v>142</v>
      </c>
      <c r="AO188" s="23" t="s">
        <v>146</v>
      </c>
      <c r="AP188" s="11" t="s">
        <v>382</v>
      </c>
      <c r="AQ188" s="88" t="s">
        <v>2378</v>
      </c>
      <c r="AR188" s="57" t="s">
        <v>2171</v>
      </c>
      <c r="AS188" s="46">
        <v>42181.945254629631</v>
      </c>
      <c r="AT188" s="3">
        <f t="shared" si="2"/>
        <v>163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43005.699629629627</v>
      </c>
      <c r="I189" s="43">
        <v>42794.702777777777</v>
      </c>
      <c r="J189" s="42">
        <v>42929.374884259261</v>
      </c>
      <c r="K189" s="81" t="s">
        <v>1768</v>
      </c>
      <c r="L189" t="s">
        <v>1768</v>
      </c>
      <c r="M189" t="s">
        <v>1761</v>
      </c>
      <c r="N189" s="1" t="s">
        <v>1761</v>
      </c>
      <c r="O189" s="1" t="s">
        <v>1781</v>
      </c>
      <c r="P189" t="s">
        <v>1781</v>
      </c>
      <c r="Q189" s="9" t="s">
        <v>45</v>
      </c>
      <c r="R189" s="82" t="s">
        <v>45</v>
      </c>
      <c r="S189" s="44" t="s">
        <v>1782</v>
      </c>
      <c r="T189" s="3" t="s">
        <v>61</v>
      </c>
      <c r="U189" s="2" t="s">
        <v>29</v>
      </c>
      <c r="V189" s="89" t="s">
        <v>29</v>
      </c>
      <c r="W189" s="11" t="s">
        <v>143</v>
      </c>
      <c r="X189" s="89" t="s">
        <v>143</v>
      </c>
      <c r="Y189" s="77" t="s">
        <v>1772</v>
      </c>
      <c r="Z189" s="84" t="s">
        <v>2436</v>
      </c>
      <c r="AA189" s="89" t="s">
        <v>28</v>
      </c>
      <c r="AB189" s="90" t="str">
        <f>HYPERLINK(CONCATENATE("https://www.ejacket.nsf.gov/ej/showProposal.do?ID=",SUBSTITUTE(SplitQueryTable[[#This Row],[prop_id]],CHAR(160),"")),"eJ")</f>
        <v>eJ</v>
      </c>
      <c r="AC189" s="89" t="s">
        <v>2436</v>
      </c>
      <c r="AD189" s="3" t="s">
        <v>2436</v>
      </c>
      <c r="AE189" s="91">
        <v>2017</v>
      </c>
      <c r="AF189" s="13" t="s">
        <v>43</v>
      </c>
      <c r="AG189" s="13">
        <v>192759</v>
      </c>
      <c r="AH189" s="45">
        <v>500000</v>
      </c>
      <c r="AI189" s="44" t="s">
        <v>2439</v>
      </c>
      <c r="AJ189" s="2" t="s">
        <v>2440</v>
      </c>
      <c r="AK189" s="46" t="s">
        <v>160</v>
      </c>
      <c r="AL189" s="55" t="s">
        <v>2438</v>
      </c>
      <c r="AM189" s="45" t="s">
        <v>1759</v>
      </c>
      <c r="AN189" s="56" t="s">
        <v>142</v>
      </c>
      <c r="AO189" s="23" t="s">
        <v>146</v>
      </c>
      <c r="AP189" s="11"/>
      <c r="AQ189" s="88" t="s">
        <v>2437</v>
      </c>
      <c r="AR189" s="57" t="s">
        <v>200</v>
      </c>
      <c r="AS189" s="46">
        <v>42950.877604166664</v>
      </c>
      <c r="AT189" s="3">
        <f t="shared" si="2"/>
        <v>164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43005.699629629627</v>
      </c>
      <c r="I190" s="43">
        <v>41541.668749999997</v>
      </c>
      <c r="J190" s="42">
        <v>41677.304594907408</v>
      </c>
      <c r="K190" s="81" t="s">
        <v>1768</v>
      </c>
      <c r="L190" t="s">
        <v>1768</v>
      </c>
      <c r="M190" t="s">
        <v>1761</v>
      </c>
      <c r="N190" s="1" t="s">
        <v>1761</v>
      </c>
      <c r="O190" s="1" t="s">
        <v>2109</v>
      </c>
      <c r="P190" t="s">
        <v>2109</v>
      </c>
      <c r="Q190" s="9" t="s">
        <v>45</v>
      </c>
      <c r="R190" s="82" t="s">
        <v>45</v>
      </c>
      <c r="S190" s="44" t="s">
        <v>2102</v>
      </c>
      <c r="T190" s="3" t="s">
        <v>61</v>
      </c>
      <c r="U190" s="2" t="s">
        <v>29</v>
      </c>
      <c r="V190" s="89" t="s">
        <v>29</v>
      </c>
      <c r="W190" s="11" t="s">
        <v>143</v>
      </c>
      <c r="X190" s="89" t="s">
        <v>143</v>
      </c>
      <c r="Y190" s="77" t="s">
        <v>1772</v>
      </c>
      <c r="Z190" s="84" t="s">
        <v>2191</v>
      </c>
      <c r="AA190" s="89" t="s">
        <v>174</v>
      </c>
      <c r="AB190" s="90" t="str">
        <f>HYPERLINK(CONCATENATE("https://www.ejacket.nsf.gov/ej/showProposal.do?ID=",SUBSTITUTE(SplitQueryTable[[#This Row],[prop_id]],CHAR(160),"")),"eJ")</f>
        <v>eJ</v>
      </c>
      <c r="AC190" s="89" t="s">
        <v>2191</v>
      </c>
      <c r="AD190" s="3" t="s">
        <v>2191</v>
      </c>
      <c r="AE190" s="91">
        <v>2017</v>
      </c>
      <c r="AF190" s="13" t="s">
        <v>43</v>
      </c>
      <c r="AG190" s="13">
        <v>98080</v>
      </c>
      <c r="AH190" s="45">
        <v>510220</v>
      </c>
      <c r="AI190" s="44" t="s">
        <v>2441</v>
      </c>
      <c r="AJ190" s="2" t="s">
        <v>2442</v>
      </c>
      <c r="AK190" s="46" t="s">
        <v>268</v>
      </c>
      <c r="AL190" s="55" t="s">
        <v>1775</v>
      </c>
      <c r="AM190" s="45" t="s">
        <v>1775</v>
      </c>
      <c r="AN190" s="56" t="s">
        <v>142</v>
      </c>
      <c r="AO190" s="23" t="s">
        <v>146</v>
      </c>
      <c r="AP190" s="11" t="s">
        <v>382</v>
      </c>
      <c r="AQ190" s="88" t="s">
        <v>2192</v>
      </c>
      <c r="AR190" s="57" t="s">
        <v>2171</v>
      </c>
      <c r="AS190" s="46">
        <v>42181.945254629631</v>
      </c>
      <c r="AT190" s="3">
        <f t="shared" si="2"/>
        <v>165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43005.699629629627</v>
      </c>
      <c r="I191" s="43">
        <v>41702.702777777777</v>
      </c>
      <c r="J191" s="42">
        <v>41855.533935185187</v>
      </c>
      <c r="K191" s="81" t="s">
        <v>1768</v>
      </c>
      <c r="L191" t="s">
        <v>1760</v>
      </c>
      <c r="M191" t="s">
        <v>1761</v>
      </c>
      <c r="N191" s="1" t="s">
        <v>1761</v>
      </c>
      <c r="O191" s="1" t="s">
        <v>2109</v>
      </c>
      <c r="P191" t="s">
        <v>52</v>
      </c>
      <c r="Q191" s="9" t="s">
        <v>45</v>
      </c>
      <c r="R191" s="82" t="s">
        <v>45</v>
      </c>
      <c r="S191" s="44" t="s">
        <v>2088</v>
      </c>
      <c r="T191" s="3" t="s">
        <v>61</v>
      </c>
      <c r="U191" s="2" t="s">
        <v>29</v>
      </c>
      <c r="V191" s="89" t="s">
        <v>29</v>
      </c>
      <c r="W191" s="11" t="s">
        <v>143</v>
      </c>
      <c r="X191" s="89" t="s">
        <v>143</v>
      </c>
      <c r="Y191" s="77" t="s">
        <v>1772</v>
      </c>
      <c r="Z191" s="84" t="s">
        <v>2138</v>
      </c>
      <c r="AA191" s="89" t="s">
        <v>62</v>
      </c>
      <c r="AB191" s="90" t="str">
        <f>HYPERLINK(CONCATENATE("https://www.ejacket.nsf.gov/ej/showProposal.do?ID=",SUBSTITUTE(SplitQueryTable[[#This Row],[prop_id]],CHAR(160),"")),"eJ")</f>
        <v>eJ</v>
      </c>
      <c r="AC191" s="89" t="s">
        <v>2443</v>
      </c>
      <c r="AD191" s="3" t="s">
        <v>2443</v>
      </c>
      <c r="AE191" s="91">
        <v>2017</v>
      </c>
      <c r="AF191" s="13" t="s">
        <v>43</v>
      </c>
      <c r="AG191" s="13">
        <v>65000</v>
      </c>
      <c r="AH191" s="45">
        <v>325000</v>
      </c>
      <c r="AI191" s="44" t="s">
        <v>2444</v>
      </c>
      <c r="AJ191" s="2" t="s">
        <v>323</v>
      </c>
      <c r="AK191" s="46" t="s">
        <v>246</v>
      </c>
      <c r="AL191" s="55" t="s">
        <v>2117</v>
      </c>
      <c r="AM191" s="45" t="s">
        <v>2117</v>
      </c>
      <c r="AN191" s="56" t="s">
        <v>142</v>
      </c>
      <c r="AO191" s="23" t="s">
        <v>146</v>
      </c>
      <c r="AP191" s="11" t="s">
        <v>172</v>
      </c>
      <c r="AQ191" s="88" t="s">
        <v>2139</v>
      </c>
      <c r="AR191" s="57" t="s">
        <v>40</v>
      </c>
      <c r="AS191" s="46">
        <v>42950.579583333332</v>
      </c>
      <c r="AT191" s="3">
        <f t="shared" si="2"/>
        <v>166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43005.699629629627</v>
      </c>
      <c r="I192" s="43">
        <v>41908.606249999997</v>
      </c>
      <c r="J192" s="42">
        <v>42067.462326388886</v>
      </c>
      <c r="K192" s="81" t="s">
        <v>1768</v>
      </c>
      <c r="L192" t="s">
        <v>1768</v>
      </c>
      <c r="M192" t="s">
        <v>1761</v>
      </c>
      <c r="N192" s="1" t="s">
        <v>1761</v>
      </c>
      <c r="O192" s="1" t="s">
        <v>1770</v>
      </c>
      <c r="P192" t="s">
        <v>1770</v>
      </c>
      <c r="Q192" s="9" t="s">
        <v>45</v>
      </c>
      <c r="R192" s="82" t="s">
        <v>45</v>
      </c>
      <c r="S192" s="44" t="s">
        <v>2088</v>
      </c>
      <c r="T192" s="3" t="s">
        <v>61</v>
      </c>
      <c r="U192" s="2" t="s">
        <v>29</v>
      </c>
      <c r="V192" s="89" t="s">
        <v>29</v>
      </c>
      <c r="W192" s="11" t="s">
        <v>143</v>
      </c>
      <c r="X192" s="89" t="s">
        <v>143</v>
      </c>
      <c r="Y192" s="77" t="s">
        <v>1772</v>
      </c>
      <c r="Z192" s="84" t="s">
        <v>2446</v>
      </c>
      <c r="AA192" s="89" t="s">
        <v>62</v>
      </c>
      <c r="AB192" s="90" t="str">
        <f>HYPERLINK(CONCATENATE("https://www.ejacket.nsf.gov/ej/showProposal.do?ID=",SUBSTITUTE(SplitQueryTable[[#This Row],[prop_id]],CHAR(160),"")),"eJ")</f>
        <v>eJ</v>
      </c>
      <c r="AC192" s="89" t="s">
        <v>2445</v>
      </c>
      <c r="AD192" s="3" t="s">
        <v>2445</v>
      </c>
      <c r="AE192" s="91">
        <v>2017</v>
      </c>
      <c r="AF192" s="13" t="s">
        <v>43</v>
      </c>
      <c r="AG192" s="13">
        <v>65000</v>
      </c>
      <c r="AH192" s="45">
        <v>425000</v>
      </c>
      <c r="AI192" s="44" t="s">
        <v>2448</v>
      </c>
      <c r="AJ192" s="2" t="s">
        <v>2449</v>
      </c>
      <c r="AK192" s="46" t="s">
        <v>2450</v>
      </c>
      <c r="AL192" s="55" t="s">
        <v>1873</v>
      </c>
      <c r="AM192" s="45" t="s">
        <v>2170</v>
      </c>
      <c r="AN192" s="56" t="s">
        <v>142</v>
      </c>
      <c r="AO192" s="23" t="s">
        <v>146</v>
      </c>
      <c r="AP192" s="11" t="s">
        <v>172</v>
      </c>
      <c r="AQ192" s="88" t="s">
        <v>2447</v>
      </c>
      <c r="AR192" s="57" t="s">
        <v>40</v>
      </c>
      <c r="AS192" s="46">
        <v>42974.852488425924</v>
      </c>
      <c r="AT192" s="3">
        <f t="shared" si="2"/>
        <v>167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43005.699629629627</v>
      </c>
      <c r="I193" s="43">
        <v>41338.655555555553</v>
      </c>
      <c r="J193" s="42">
        <v>41485.70894675926</v>
      </c>
      <c r="K193" s="81" t="s">
        <v>1768</v>
      </c>
      <c r="L193" t="s">
        <v>1760</v>
      </c>
      <c r="M193" t="s">
        <v>1761</v>
      </c>
      <c r="N193" s="1" t="s">
        <v>1761</v>
      </c>
      <c r="O193" s="1" t="s">
        <v>2101</v>
      </c>
      <c r="P193" t="s">
        <v>52</v>
      </c>
      <c r="Q193" s="9" t="s">
        <v>45</v>
      </c>
      <c r="R193" s="82" t="s">
        <v>45</v>
      </c>
      <c r="S193" s="44" t="s">
        <v>2102</v>
      </c>
      <c r="T193" s="3" t="s">
        <v>61</v>
      </c>
      <c r="U193" s="2" t="s">
        <v>29</v>
      </c>
      <c r="V193" s="89" t="s">
        <v>29</v>
      </c>
      <c r="W193" s="11" t="s">
        <v>143</v>
      </c>
      <c r="X193" s="89" t="s">
        <v>143</v>
      </c>
      <c r="Y193" s="77" t="s">
        <v>1772</v>
      </c>
      <c r="Z193" s="84" t="s">
        <v>2143</v>
      </c>
      <c r="AA193" s="89" t="s">
        <v>62</v>
      </c>
      <c r="AB193" s="90" t="str">
        <f>HYPERLINK(CONCATENATE("https://www.ejacket.nsf.gov/ej/showProposal.do?ID=",SUBSTITUTE(SplitQueryTable[[#This Row],[prop_id]],CHAR(160),"")),"eJ")</f>
        <v>eJ</v>
      </c>
      <c r="AC193" s="89" t="s">
        <v>2451</v>
      </c>
      <c r="AD193" s="3" t="s">
        <v>2451</v>
      </c>
      <c r="AE193" s="91">
        <v>2017</v>
      </c>
      <c r="AF193" s="13" t="s">
        <v>43</v>
      </c>
      <c r="AG193" s="13">
        <v>60000</v>
      </c>
      <c r="AH193" s="45">
        <v>300000</v>
      </c>
      <c r="AI193" s="44" t="s">
        <v>2452</v>
      </c>
      <c r="AJ193" s="2" t="s">
        <v>2257</v>
      </c>
      <c r="AK193" s="46" t="s">
        <v>290</v>
      </c>
      <c r="AL193" s="55" t="s">
        <v>2117</v>
      </c>
      <c r="AM193" s="45" t="s">
        <v>2117</v>
      </c>
      <c r="AN193" s="56" t="s">
        <v>142</v>
      </c>
      <c r="AO193" s="23" t="s">
        <v>146</v>
      </c>
      <c r="AP193" s="11" t="s">
        <v>172</v>
      </c>
      <c r="AQ193" s="88" t="s">
        <v>2144</v>
      </c>
      <c r="AR193" s="57" t="s">
        <v>40</v>
      </c>
      <c r="AS193" s="46">
        <v>42989.351122685184</v>
      </c>
      <c r="AT193" s="3">
        <f t="shared" si="2"/>
        <v>168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43005.699629629627</v>
      </c>
      <c r="I194" s="43">
        <v>42066.683333333334</v>
      </c>
      <c r="J194" s="42">
        <v>42181.613402777781</v>
      </c>
      <c r="K194" s="81" t="s">
        <v>1768</v>
      </c>
      <c r="L194" t="s">
        <v>1768</v>
      </c>
      <c r="M194" t="s">
        <v>2239</v>
      </c>
      <c r="N194" s="1" t="s">
        <v>1761</v>
      </c>
      <c r="O194" s="1" t="s">
        <v>1770</v>
      </c>
      <c r="P194" t="s">
        <v>1770</v>
      </c>
      <c r="Q194" s="9" t="s">
        <v>45</v>
      </c>
      <c r="R194" s="82" t="s">
        <v>45</v>
      </c>
      <c r="S194" s="44" t="s">
        <v>2088</v>
      </c>
      <c r="T194" s="3" t="s">
        <v>61</v>
      </c>
      <c r="U194" s="2" t="s">
        <v>29</v>
      </c>
      <c r="V194" s="89" t="s">
        <v>29</v>
      </c>
      <c r="W194" s="11" t="s">
        <v>143</v>
      </c>
      <c r="X194" s="89" t="s">
        <v>143</v>
      </c>
      <c r="Y194" s="77" t="s">
        <v>1772</v>
      </c>
      <c r="Z194" s="84" t="s">
        <v>2424</v>
      </c>
      <c r="AA194" s="89" t="s">
        <v>174</v>
      </c>
      <c r="AB194" s="90" t="str">
        <f>HYPERLINK(CONCATENATE("https://www.ejacket.nsf.gov/ej/showProposal.do?ID=",SUBSTITUTE(SplitQueryTable[[#This Row],[prop_id]],CHAR(160),"")),"eJ")</f>
        <v>eJ</v>
      </c>
      <c r="AC194" s="89" t="s">
        <v>2424</v>
      </c>
      <c r="AD194" s="3" t="s">
        <v>2424</v>
      </c>
      <c r="AE194" s="91">
        <v>2017</v>
      </c>
      <c r="AF194" s="13" t="s">
        <v>43</v>
      </c>
      <c r="AG194" s="13">
        <v>107605</v>
      </c>
      <c r="AH194" s="45">
        <v>558025</v>
      </c>
      <c r="AI194" s="44" t="s">
        <v>2453</v>
      </c>
      <c r="AJ194" s="2" t="s">
        <v>2454</v>
      </c>
      <c r="AK194" s="46" t="s">
        <v>1725</v>
      </c>
      <c r="AL194" s="55" t="s">
        <v>2426</v>
      </c>
      <c r="AM194" s="45" t="s">
        <v>2426</v>
      </c>
      <c r="AN194" s="56" t="s">
        <v>142</v>
      </c>
      <c r="AO194" s="23" t="s">
        <v>146</v>
      </c>
      <c r="AP194" s="11" t="s">
        <v>172</v>
      </c>
      <c r="AQ194" s="88" t="s">
        <v>2425</v>
      </c>
      <c r="AR194" s="57" t="s">
        <v>40</v>
      </c>
      <c r="AS194" s="46">
        <v>42939.940451388888</v>
      </c>
      <c r="AT194" s="3">
        <f t="shared" si="2"/>
        <v>169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43005.699629629627</v>
      </c>
      <c r="I195" s="43">
        <v>42380.664583333331</v>
      </c>
      <c r="J195" s="42">
        <v>42583.721921296295</v>
      </c>
      <c r="K195" s="81" t="s">
        <v>1768</v>
      </c>
      <c r="L195" t="s">
        <v>1768</v>
      </c>
      <c r="M195" t="s">
        <v>1761</v>
      </c>
      <c r="N195" s="1" t="s">
        <v>1761</v>
      </c>
      <c r="O195" s="1" t="s">
        <v>2152</v>
      </c>
      <c r="P195" t="s">
        <v>2152</v>
      </c>
      <c r="Q195" s="9" t="s">
        <v>45</v>
      </c>
      <c r="R195" s="82" t="s">
        <v>45</v>
      </c>
      <c r="S195" s="44" t="s">
        <v>1762</v>
      </c>
      <c r="T195" s="3" t="s">
        <v>61</v>
      </c>
      <c r="U195" s="2" t="s">
        <v>29</v>
      </c>
      <c r="V195" s="89" t="s">
        <v>29</v>
      </c>
      <c r="W195" s="11" t="s">
        <v>143</v>
      </c>
      <c r="X195" s="89" t="s">
        <v>143</v>
      </c>
      <c r="Y195" s="77" t="s">
        <v>1772</v>
      </c>
      <c r="Z195" s="84" t="s">
        <v>2455</v>
      </c>
      <c r="AA195" s="89" t="s">
        <v>28</v>
      </c>
      <c r="AB195" s="90" t="str">
        <f>HYPERLINK(CONCATENATE("https://www.ejacket.nsf.gov/ej/showProposal.do?ID=",SUBSTITUTE(SplitQueryTable[[#This Row],[prop_id]],CHAR(160),"")),"eJ")</f>
        <v>eJ</v>
      </c>
      <c r="AC195" s="89" t="s">
        <v>2455</v>
      </c>
      <c r="AD195" s="3" t="s">
        <v>2455</v>
      </c>
      <c r="AE195" s="91">
        <v>2017</v>
      </c>
      <c r="AF195" s="13" t="s">
        <v>43</v>
      </c>
      <c r="AG195" s="13">
        <v>12500</v>
      </c>
      <c r="AH195" s="45">
        <v>749849</v>
      </c>
      <c r="AI195" s="44" t="s">
        <v>2457</v>
      </c>
      <c r="AJ195" s="2" t="s">
        <v>2458</v>
      </c>
      <c r="AK195" s="46" t="s">
        <v>1796</v>
      </c>
      <c r="AL195" s="55" t="s">
        <v>2155</v>
      </c>
      <c r="AM195" s="45" t="s">
        <v>2155</v>
      </c>
      <c r="AN195" s="56" t="s">
        <v>142</v>
      </c>
      <c r="AO195" s="23" t="s">
        <v>146</v>
      </c>
      <c r="AP195" s="11" t="s">
        <v>172</v>
      </c>
      <c r="AQ195" s="88" t="s">
        <v>2456</v>
      </c>
      <c r="AR195" s="57" t="s">
        <v>40</v>
      </c>
      <c r="AS195" s="46">
        <v>42963.579722222225</v>
      </c>
      <c r="AT195" s="3">
        <f t="shared" si="2"/>
        <v>170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43005.699629629627</v>
      </c>
      <c r="I196" s="43">
        <v>41908.669444444444</v>
      </c>
      <c r="J196" s="42">
        <v>42067.461643518516</v>
      </c>
      <c r="K196" s="81" t="s">
        <v>1768</v>
      </c>
      <c r="L196" t="s">
        <v>1768</v>
      </c>
      <c r="M196" t="s">
        <v>1761</v>
      </c>
      <c r="N196" s="1" t="s">
        <v>1761</v>
      </c>
      <c r="O196" s="1" t="s">
        <v>1770</v>
      </c>
      <c r="P196" t="s">
        <v>1770</v>
      </c>
      <c r="Q196" s="9" t="s">
        <v>45</v>
      </c>
      <c r="R196" s="82" t="s">
        <v>45</v>
      </c>
      <c r="S196" s="44" t="s">
        <v>2088</v>
      </c>
      <c r="T196" s="3" t="s">
        <v>61</v>
      </c>
      <c r="U196" s="2" t="s">
        <v>29</v>
      </c>
      <c r="V196" s="89" t="s">
        <v>29</v>
      </c>
      <c r="W196" s="11" t="s">
        <v>143</v>
      </c>
      <c r="X196" s="89" t="s">
        <v>143</v>
      </c>
      <c r="Y196" s="77" t="s">
        <v>1772</v>
      </c>
      <c r="Z196" s="84" t="s">
        <v>2446</v>
      </c>
      <c r="AA196" s="89" t="s">
        <v>174</v>
      </c>
      <c r="AB196" s="90" t="str">
        <f>HYPERLINK(CONCATENATE("https://www.ejacket.nsf.gov/ej/showProposal.do?ID=",SUBSTITUTE(SplitQueryTable[[#This Row],[prop_id]],CHAR(160),"")),"eJ")</f>
        <v>eJ</v>
      </c>
      <c r="AC196" s="89" t="s">
        <v>2446</v>
      </c>
      <c r="AD196" s="3" t="s">
        <v>2446</v>
      </c>
      <c r="AE196" s="91">
        <v>2017</v>
      </c>
      <c r="AF196" s="13" t="s">
        <v>43</v>
      </c>
      <c r="AG196" s="13">
        <v>106974</v>
      </c>
      <c r="AH196" s="45">
        <v>779875</v>
      </c>
      <c r="AI196" s="44" t="s">
        <v>2460</v>
      </c>
      <c r="AJ196" s="2" t="s">
        <v>191</v>
      </c>
      <c r="AK196" s="46" t="s">
        <v>2461</v>
      </c>
      <c r="AL196" s="55" t="s">
        <v>2459</v>
      </c>
      <c r="AM196" s="45" t="s">
        <v>2170</v>
      </c>
      <c r="AN196" s="56" t="s">
        <v>142</v>
      </c>
      <c r="AO196" s="23" t="s">
        <v>146</v>
      </c>
      <c r="AP196" s="11" t="s">
        <v>172</v>
      </c>
      <c r="AQ196" s="88" t="s">
        <v>2447</v>
      </c>
      <c r="AR196" s="57" t="s">
        <v>204</v>
      </c>
      <c r="AS196" s="46">
        <v>42936.342303240737</v>
      </c>
      <c r="AT196" s="3">
        <f t="shared" si="2"/>
        <v>171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43005.699629629627</v>
      </c>
      <c r="I197" s="43">
        <v>41534.397916666669</v>
      </c>
      <c r="J197" s="42">
        <v>41682.345347222225</v>
      </c>
      <c r="K197" s="81" t="s">
        <v>1768</v>
      </c>
      <c r="L197" t="s">
        <v>1768</v>
      </c>
      <c r="M197" t="s">
        <v>1761</v>
      </c>
      <c r="N197" s="1" t="s">
        <v>1761</v>
      </c>
      <c r="O197" s="1" t="s">
        <v>2109</v>
      </c>
      <c r="P197" t="s">
        <v>2109</v>
      </c>
      <c r="Q197" s="9" t="s">
        <v>45</v>
      </c>
      <c r="R197" s="82" t="s">
        <v>45</v>
      </c>
      <c r="S197" s="44" t="s">
        <v>2102</v>
      </c>
      <c r="T197" s="3" t="s">
        <v>61</v>
      </c>
      <c r="U197" s="2" t="s">
        <v>29</v>
      </c>
      <c r="V197" s="89" t="s">
        <v>29</v>
      </c>
      <c r="W197" s="11" t="s">
        <v>143</v>
      </c>
      <c r="X197" s="89" t="s">
        <v>143</v>
      </c>
      <c r="Y197" s="77" t="s">
        <v>1772</v>
      </c>
      <c r="Z197" s="84" t="s">
        <v>2462</v>
      </c>
      <c r="AA197" s="89" t="s">
        <v>28</v>
      </c>
      <c r="AB197" s="90" t="str">
        <f>HYPERLINK(CONCATENATE("https://www.ejacket.nsf.gov/ej/showProposal.do?ID=",SUBSTITUTE(SplitQueryTable[[#This Row],[prop_id]],CHAR(160),"")),"eJ")</f>
        <v>eJ</v>
      </c>
      <c r="AC197" s="89" t="s">
        <v>2462</v>
      </c>
      <c r="AD197" s="3" t="s">
        <v>2462</v>
      </c>
      <c r="AE197" s="91">
        <v>2017</v>
      </c>
      <c r="AF197" s="13" t="s">
        <v>43</v>
      </c>
      <c r="AG197" s="13">
        <v>60000</v>
      </c>
      <c r="AH197" s="45">
        <v>300000</v>
      </c>
      <c r="AI197" s="44" t="s">
        <v>2465</v>
      </c>
      <c r="AJ197" s="2" t="s">
        <v>621</v>
      </c>
      <c r="AK197" s="46" t="s">
        <v>254</v>
      </c>
      <c r="AL197" s="55" t="s">
        <v>2464</v>
      </c>
      <c r="AM197" s="45" t="s">
        <v>2464</v>
      </c>
      <c r="AN197" s="56" t="s">
        <v>142</v>
      </c>
      <c r="AO197" s="23" t="s">
        <v>146</v>
      </c>
      <c r="AP197" s="11" t="s">
        <v>172</v>
      </c>
      <c r="AQ197" s="88" t="s">
        <v>2463</v>
      </c>
      <c r="AR197" s="57" t="s">
        <v>40</v>
      </c>
      <c r="AS197" s="46">
        <v>42772.505289351851</v>
      </c>
      <c r="AT197" s="3">
        <f t="shared" si="2"/>
        <v>172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43005.699629629627</v>
      </c>
      <c r="I198" s="43">
        <v>41544.656944444447</v>
      </c>
      <c r="J198" s="42">
        <v>41723.761319444442</v>
      </c>
      <c r="K198" s="81" t="s">
        <v>1768</v>
      </c>
      <c r="L198" t="s">
        <v>1760</v>
      </c>
      <c r="M198" t="s">
        <v>1761</v>
      </c>
      <c r="N198" s="1" t="s">
        <v>1761</v>
      </c>
      <c r="O198" s="1" t="s">
        <v>2161</v>
      </c>
      <c r="P198" t="s">
        <v>52</v>
      </c>
      <c r="Q198" s="9" t="s">
        <v>45</v>
      </c>
      <c r="R198" s="82" t="s">
        <v>45</v>
      </c>
      <c r="S198" s="44" t="s">
        <v>2102</v>
      </c>
      <c r="T198" s="3" t="s">
        <v>61</v>
      </c>
      <c r="U198" s="2" t="s">
        <v>29</v>
      </c>
      <c r="V198" s="89" t="s">
        <v>29</v>
      </c>
      <c r="W198" s="11" t="s">
        <v>143</v>
      </c>
      <c r="X198" s="89" t="s">
        <v>143</v>
      </c>
      <c r="Y198" s="77" t="s">
        <v>1772</v>
      </c>
      <c r="Z198" s="84" t="s">
        <v>2466</v>
      </c>
      <c r="AA198" s="89" t="s">
        <v>28</v>
      </c>
      <c r="AB198" s="90" t="str">
        <f>HYPERLINK(CONCATENATE("https://www.ejacket.nsf.gov/ej/showProposal.do?ID=",SUBSTITUTE(SplitQueryTable[[#This Row],[prop_id]],CHAR(160),"")),"eJ")</f>
        <v>eJ</v>
      </c>
      <c r="AC198" s="89" t="s">
        <v>2466</v>
      </c>
      <c r="AD198" s="3" t="s">
        <v>2466</v>
      </c>
      <c r="AE198" s="91">
        <v>2017</v>
      </c>
      <c r="AF198" s="13" t="s">
        <v>43</v>
      </c>
      <c r="AG198" s="13">
        <v>60000</v>
      </c>
      <c r="AH198" s="45">
        <v>359999</v>
      </c>
      <c r="AI198" s="44" t="s">
        <v>2468</v>
      </c>
      <c r="AJ198" s="2" t="s">
        <v>323</v>
      </c>
      <c r="AK198" s="46" t="s">
        <v>2469</v>
      </c>
      <c r="AL198" s="55" t="s">
        <v>2117</v>
      </c>
      <c r="AM198" s="45" t="s">
        <v>2117</v>
      </c>
      <c r="AN198" s="56" t="s">
        <v>142</v>
      </c>
      <c r="AO198" s="23" t="s">
        <v>146</v>
      </c>
      <c r="AP198" s="11" t="s">
        <v>172</v>
      </c>
      <c r="AQ198" s="88" t="s">
        <v>2467</v>
      </c>
      <c r="AR198" s="57" t="s">
        <v>40</v>
      </c>
      <c r="AS198" s="46">
        <v>42900.437152777777</v>
      </c>
      <c r="AT198" s="3">
        <f t="shared" si="2"/>
        <v>173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43005.699629629627</v>
      </c>
      <c r="I199" s="43">
        <v>41544.592361111114</v>
      </c>
      <c r="J199" s="42">
        <v>41670.563773148147</v>
      </c>
      <c r="K199" s="81" t="s">
        <v>1768</v>
      </c>
      <c r="L199" t="s">
        <v>1768</v>
      </c>
      <c r="M199" t="s">
        <v>1761</v>
      </c>
      <c r="N199" s="1" t="s">
        <v>1761</v>
      </c>
      <c r="O199" s="1" t="s">
        <v>2109</v>
      </c>
      <c r="P199" t="s">
        <v>2109</v>
      </c>
      <c r="Q199" s="9" t="s">
        <v>45</v>
      </c>
      <c r="R199" s="82" t="s">
        <v>45</v>
      </c>
      <c r="S199" s="44" t="s">
        <v>2102</v>
      </c>
      <c r="T199" s="3" t="s">
        <v>61</v>
      </c>
      <c r="U199" s="2" t="s">
        <v>29</v>
      </c>
      <c r="V199" s="89" t="s">
        <v>29</v>
      </c>
      <c r="W199" s="11" t="s">
        <v>143</v>
      </c>
      <c r="X199" s="89" t="s">
        <v>143</v>
      </c>
      <c r="Y199" s="77" t="s">
        <v>1772</v>
      </c>
      <c r="Z199" s="84" t="s">
        <v>2111</v>
      </c>
      <c r="AA199" s="89" t="s">
        <v>174</v>
      </c>
      <c r="AB199" s="90" t="str">
        <f>HYPERLINK(CONCATENATE("https://www.ejacket.nsf.gov/ej/showProposal.do?ID=",SUBSTITUTE(SplitQueryTable[[#This Row],[prop_id]],CHAR(160),"")),"eJ")</f>
        <v>eJ</v>
      </c>
      <c r="AC199" s="89" t="s">
        <v>2111</v>
      </c>
      <c r="AD199" s="3" t="s">
        <v>2111</v>
      </c>
      <c r="AE199" s="91">
        <v>2017</v>
      </c>
      <c r="AF199" s="13" t="s">
        <v>43</v>
      </c>
      <c r="AG199" s="13">
        <v>100100</v>
      </c>
      <c r="AH199" s="45">
        <v>661001</v>
      </c>
      <c r="AI199" s="44" t="s">
        <v>2470</v>
      </c>
      <c r="AJ199" s="2" t="s">
        <v>656</v>
      </c>
      <c r="AK199" s="46" t="s">
        <v>2471</v>
      </c>
      <c r="AL199" s="55" t="s">
        <v>1785</v>
      </c>
      <c r="AM199" s="45" t="s">
        <v>1785</v>
      </c>
      <c r="AN199" s="56" t="s">
        <v>142</v>
      </c>
      <c r="AO199" s="23" t="s">
        <v>146</v>
      </c>
      <c r="AP199" s="11" t="s">
        <v>172</v>
      </c>
      <c r="AQ199" s="88" t="s">
        <v>2112</v>
      </c>
      <c r="AR199" s="57" t="s">
        <v>40</v>
      </c>
      <c r="AS199" s="46">
        <v>42919.605856481481</v>
      </c>
      <c r="AT199" s="3">
        <f t="shared" si="2"/>
        <v>174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43005.699629629627</v>
      </c>
      <c r="I200" s="43">
        <v>41180.48333333333</v>
      </c>
      <c r="J200" s="42">
        <v>41309.668692129628</v>
      </c>
      <c r="K200" s="81" t="s">
        <v>1768</v>
      </c>
      <c r="L200" t="s">
        <v>1768</v>
      </c>
      <c r="M200" t="s">
        <v>1761</v>
      </c>
      <c r="N200" s="1" t="s">
        <v>1761</v>
      </c>
      <c r="O200" s="1" t="s">
        <v>2101</v>
      </c>
      <c r="P200" t="s">
        <v>2101</v>
      </c>
      <c r="Q200" s="9" t="s">
        <v>45</v>
      </c>
      <c r="R200" s="82" t="s">
        <v>45</v>
      </c>
      <c r="S200" s="44" t="s">
        <v>2102</v>
      </c>
      <c r="T200" s="3" t="s">
        <v>61</v>
      </c>
      <c r="U200" s="2" t="s">
        <v>29</v>
      </c>
      <c r="V200" s="89" t="s">
        <v>29</v>
      </c>
      <c r="W200" s="11" t="s">
        <v>143</v>
      </c>
      <c r="X200" s="89" t="s">
        <v>143</v>
      </c>
      <c r="Y200" s="77" t="s">
        <v>1772</v>
      </c>
      <c r="Z200" s="84" t="s">
        <v>2104</v>
      </c>
      <c r="AA200" s="89" t="s">
        <v>174</v>
      </c>
      <c r="AB200" s="90" t="str">
        <f>HYPERLINK(CONCATENATE("https://www.ejacket.nsf.gov/ej/showProposal.do?ID=",SUBSTITUTE(SplitQueryTable[[#This Row],[prop_id]],CHAR(160),"")),"eJ")</f>
        <v>eJ</v>
      </c>
      <c r="AC200" s="89" t="s">
        <v>2104</v>
      </c>
      <c r="AD200" s="3" t="s">
        <v>2104</v>
      </c>
      <c r="AE200" s="91">
        <v>2017</v>
      </c>
      <c r="AF200" s="13" t="s">
        <v>43</v>
      </c>
      <c r="AG200" s="13">
        <v>101868</v>
      </c>
      <c r="AH200" s="45">
        <v>529340</v>
      </c>
      <c r="AI200" s="44" t="s">
        <v>2472</v>
      </c>
      <c r="AJ200" s="2" t="s">
        <v>323</v>
      </c>
      <c r="AK200" s="46" t="s">
        <v>2473</v>
      </c>
      <c r="AL200" s="55" t="s">
        <v>1872</v>
      </c>
      <c r="AM200" s="45" t="s">
        <v>1872</v>
      </c>
      <c r="AN200" s="56" t="s">
        <v>142</v>
      </c>
      <c r="AO200" s="23" t="s">
        <v>146</v>
      </c>
      <c r="AP200" s="11" t="s">
        <v>172</v>
      </c>
      <c r="AQ200" s="88" t="s">
        <v>2105</v>
      </c>
      <c r="AR200" s="57" t="s">
        <v>40</v>
      </c>
      <c r="AS200" s="46">
        <v>42830.609884259262</v>
      </c>
      <c r="AT200" s="3">
        <f t="shared" si="2"/>
        <v>175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43005.699629629627</v>
      </c>
      <c r="I201" s="43">
        <v>41702.618055555555</v>
      </c>
      <c r="J201" s="42">
        <v>41852.85664351852</v>
      </c>
      <c r="K201" s="81" t="s">
        <v>1768</v>
      </c>
      <c r="L201" t="s">
        <v>1760</v>
      </c>
      <c r="M201" t="s">
        <v>1761</v>
      </c>
      <c r="N201" s="1" t="s">
        <v>1761</v>
      </c>
      <c r="O201" s="1" t="s">
        <v>2161</v>
      </c>
      <c r="P201" t="s">
        <v>52</v>
      </c>
      <c r="Q201" s="9" t="s">
        <v>45</v>
      </c>
      <c r="R201" s="82" t="s">
        <v>45</v>
      </c>
      <c r="S201" s="44" t="s">
        <v>2088</v>
      </c>
      <c r="T201" s="3" t="s">
        <v>61</v>
      </c>
      <c r="U201" s="2" t="s">
        <v>29</v>
      </c>
      <c r="V201" s="89" t="s">
        <v>29</v>
      </c>
      <c r="W201" s="11" t="s">
        <v>143</v>
      </c>
      <c r="X201" s="89" t="s">
        <v>143</v>
      </c>
      <c r="Y201" s="77" t="s">
        <v>1772</v>
      </c>
      <c r="Z201" s="84" t="s">
        <v>2349</v>
      </c>
      <c r="AA201" s="89" t="s">
        <v>62</v>
      </c>
      <c r="AB201" s="90" t="str">
        <f>HYPERLINK(CONCATENATE("https://www.ejacket.nsf.gov/ej/showProposal.do?ID=",SUBSTITUTE(SplitQueryTable[[#This Row],[prop_id]],CHAR(160),"")),"eJ")</f>
        <v>eJ</v>
      </c>
      <c r="AC201" s="89" t="s">
        <v>2474</v>
      </c>
      <c r="AD201" s="3" t="s">
        <v>2474</v>
      </c>
      <c r="AE201" s="91">
        <v>2017</v>
      </c>
      <c r="AF201" s="13" t="s">
        <v>43</v>
      </c>
      <c r="AG201" s="13">
        <v>65000</v>
      </c>
      <c r="AH201" s="45">
        <v>425000</v>
      </c>
      <c r="AI201" s="44" t="s">
        <v>2475</v>
      </c>
      <c r="AJ201" s="2" t="s">
        <v>621</v>
      </c>
      <c r="AK201" s="46" t="s">
        <v>293</v>
      </c>
      <c r="AL201" s="55" t="s">
        <v>2117</v>
      </c>
      <c r="AM201" s="45" t="s">
        <v>2117</v>
      </c>
      <c r="AN201" s="56" t="s">
        <v>142</v>
      </c>
      <c r="AO201" s="23" t="s">
        <v>146</v>
      </c>
      <c r="AP201" s="11" t="s">
        <v>382</v>
      </c>
      <c r="AQ201" s="88" t="s">
        <v>2350</v>
      </c>
      <c r="AR201" s="57" t="s">
        <v>2261</v>
      </c>
      <c r="AS201" s="46">
        <v>42837.598321759258</v>
      </c>
      <c r="AT201" s="3">
        <f t="shared" si="2"/>
        <v>176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43005.699629629627</v>
      </c>
      <c r="I202" s="43">
        <v>41702.622916666667</v>
      </c>
      <c r="J202" s="42">
        <v>41852.852719907409</v>
      </c>
      <c r="K202" s="81" t="s">
        <v>1768</v>
      </c>
      <c r="L202" t="s">
        <v>1760</v>
      </c>
      <c r="M202" t="s">
        <v>1761</v>
      </c>
      <c r="N202" s="1" t="s">
        <v>1761</v>
      </c>
      <c r="O202" s="1" t="s">
        <v>2161</v>
      </c>
      <c r="P202" t="s">
        <v>52</v>
      </c>
      <c r="Q202" s="9" t="s">
        <v>45</v>
      </c>
      <c r="R202" s="82" t="s">
        <v>45</v>
      </c>
      <c r="S202" s="44" t="s">
        <v>2088</v>
      </c>
      <c r="T202" s="3" t="s">
        <v>61</v>
      </c>
      <c r="U202" s="2" t="s">
        <v>29</v>
      </c>
      <c r="V202" s="89" t="s">
        <v>29</v>
      </c>
      <c r="W202" s="11" t="s">
        <v>143</v>
      </c>
      <c r="X202" s="89" t="s">
        <v>143</v>
      </c>
      <c r="Y202" s="77" t="s">
        <v>1772</v>
      </c>
      <c r="Z202" s="84" t="s">
        <v>2266</v>
      </c>
      <c r="AA202" s="89" t="s">
        <v>62</v>
      </c>
      <c r="AB202" s="90" t="str">
        <f>HYPERLINK(CONCATENATE("https://www.ejacket.nsf.gov/ej/showProposal.do?ID=",SUBSTITUTE(SplitQueryTable[[#This Row],[prop_id]],CHAR(160),"")),"eJ")</f>
        <v>eJ</v>
      </c>
      <c r="AC202" s="89" t="s">
        <v>2476</v>
      </c>
      <c r="AD202" s="3" t="s">
        <v>2476</v>
      </c>
      <c r="AE202" s="91">
        <v>2017</v>
      </c>
      <c r="AF202" s="13" t="s">
        <v>43</v>
      </c>
      <c r="AG202" s="13">
        <v>65001</v>
      </c>
      <c r="AH202" s="45">
        <v>325001</v>
      </c>
      <c r="AI202" s="44" t="s">
        <v>2477</v>
      </c>
      <c r="AJ202" s="2" t="s">
        <v>295</v>
      </c>
      <c r="AK202" s="46" t="s">
        <v>268</v>
      </c>
      <c r="AL202" s="55" t="s">
        <v>2117</v>
      </c>
      <c r="AM202" s="45" t="s">
        <v>2117</v>
      </c>
      <c r="AN202" s="56" t="s">
        <v>142</v>
      </c>
      <c r="AO202" s="23" t="s">
        <v>146</v>
      </c>
      <c r="AP202" s="11" t="s">
        <v>172</v>
      </c>
      <c r="AQ202" s="88" t="s">
        <v>2267</v>
      </c>
      <c r="AR202" s="57" t="s">
        <v>40</v>
      </c>
      <c r="AS202" s="46">
        <v>42984.639710648145</v>
      </c>
      <c r="AT202" s="3">
        <f t="shared" si="2"/>
        <v>177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43005.699629629627</v>
      </c>
      <c r="I203" s="43">
        <v>42066.70208333333</v>
      </c>
      <c r="J203" s="42">
        <v>42195.574606481481</v>
      </c>
      <c r="K203" s="81" t="s">
        <v>1768</v>
      </c>
      <c r="L203" t="s">
        <v>1768</v>
      </c>
      <c r="M203" t="s">
        <v>1761</v>
      </c>
      <c r="N203" s="1" t="s">
        <v>1761</v>
      </c>
      <c r="O203" s="1" t="s">
        <v>1770</v>
      </c>
      <c r="P203" t="s">
        <v>1770</v>
      </c>
      <c r="Q203" s="9" t="s">
        <v>45</v>
      </c>
      <c r="R203" s="82" t="s">
        <v>45</v>
      </c>
      <c r="S203" s="44" t="s">
        <v>2088</v>
      </c>
      <c r="T203" s="3" t="s">
        <v>2478</v>
      </c>
      <c r="U203" s="2" t="s">
        <v>29</v>
      </c>
      <c r="V203" s="89" t="s">
        <v>29</v>
      </c>
      <c r="W203" s="11" t="s">
        <v>143</v>
      </c>
      <c r="X203" s="89" t="s">
        <v>143</v>
      </c>
      <c r="Y203" s="77" t="s">
        <v>1772</v>
      </c>
      <c r="Z203" s="84" t="s">
        <v>2479</v>
      </c>
      <c r="AA203" s="89" t="s">
        <v>174</v>
      </c>
      <c r="AB203" s="90" t="str">
        <f>HYPERLINK(CONCATENATE("https://www.ejacket.nsf.gov/ej/showProposal.do?ID=",SUBSTITUTE(SplitQueryTable[[#This Row],[prop_id]],CHAR(160),"")),"eJ")</f>
        <v>eJ</v>
      </c>
      <c r="AC203" s="89" t="s">
        <v>2479</v>
      </c>
      <c r="AD203" s="3" t="s">
        <v>2479</v>
      </c>
      <c r="AE203" s="91">
        <v>2017</v>
      </c>
      <c r="AF203" s="13" t="s">
        <v>43</v>
      </c>
      <c r="AG203" s="13">
        <v>88250</v>
      </c>
      <c r="AH203" s="45">
        <v>470000</v>
      </c>
      <c r="AI203" s="44" t="s">
        <v>2481</v>
      </c>
      <c r="AJ203" s="2" t="s">
        <v>208</v>
      </c>
      <c r="AK203" s="46" t="s">
        <v>1714</v>
      </c>
      <c r="AL203" s="55" t="s">
        <v>2426</v>
      </c>
      <c r="AM203" s="45" t="s">
        <v>2426</v>
      </c>
      <c r="AN203" s="56" t="s">
        <v>142</v>
      </c>
      <c r="AO203" s="23" t="s">
        <v>146</v>
      </c>
      <c r="AP203" s="11" t="s">
        <v>172</v>
      </c>
      <c r="AQ203" s="88" t="s">
        <v>2480</v>
      </c>
      <c r="AR203" s="57" t="s">
        <v>40</v>
      </c>
      <c r="AS203" s="46">
        <v>42974.850868055553</v>
      </c>
      <c r="AT203" s="3">
        <f t="shared" si="2"/>
        <v>178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43005.699629629627</v>
      </c>
      <c r="I204" s="43">
        <v>41702.652083333334</v>
      </c>
      <c r="J204" s="42">
        <v>41852.640173611115</v>
      </c>
      <c r="K204" s="81" t="s">
        <v>1768</v>
      </c>
      <c r="L204" t="s">
        <v>1760</v>
      </c>
      <c r="M204" t="s">
        <v>1761</v>
      </c>
      <c r="N204" s="1" t="s">
        <v>1761</v>
      </c>
      <c r="O204" s="1" t="s">
        <v>2161</v>
      </c>
      <c r="P204" t="s">
        <v>52</v>
      </c>
      <c r="Q204" s="9" t="s">
        <v>45</v>
      </c>
      <c r="R204" s="82" t="s">
        <v>45</v>
      </c>
      <c r="S204" s="44" t="s">
        <v>2088</v>
      </c>
      <c r="T204" s="3" t="s">
        <v>2478</v>
      </c>
      <c r="U204" s="2" t="s">
        <v>29</v>
      </c>
      <c r="V204" s="89" t="s">
        <v>29</v>
      </c>
      <c r="W204" s="11" t="s">
        <v>143</v>
      </c>
      <c r="X204" s="89" t="s">
        <v>143</v>
      </c>
      <c r="Y204" s="77" t="s">
        <v>1772</v>
      </c>
      <c r="Z204" s="84" t="s">
        <v>2482</v>
      </c>
      <c r="AA204" s="89" t="s">
        <v>28</v>
      </c>
      <c r="AB204" s="90" t="str">
        <f>HYPERLINK(CONCATENATE("https://www.ejacket.nsf.gov/ej/showProposal.do?ID=",SUBSTITUTE(SplitQueryTable[[#This Row],[prop_id]],CHAR(160),"")),"eJ")</f>
        <v>eJ</v>
      </c>
      <c r="AC204" s="89" t="s">
        <v>2482</v>
      </c>
      <c r="AD204" s="3" t="s">
        <v>2482</v>
      </c>
      <c r="AE204" s="91">
        <v>2017</v>
      </c>
      <c r="AF204" s="13" t="s">
        <v>43</v>
      </c>
      <c r="AG204" s="13">
        <v>15000</v>
      </c>
      <c r="AH204" s="45">
        <v>75000</v>
      </c>
      <c r="AI204" s="44" t="s">
        <v>2484</v>
      </c>
      <c r="AJ204" s="2" t="s">
        <v>2485</v>
      </c>
      <c r="AK204" s="46" t="s">
        <v>1721</v>
      </c>
      <c r="AL204" s="55" t="s">
        <v>2117</v>
      </c>
      <c r="AM204" s="45" t="s">
        <v>2117</v>
      </c>
      <c r="AN204" s="56" t="s">
        <v>142</v>
      </c>
      <c r="AO204" s="23" t="s">
        <v>146</v>
      </c>
      <c r="AP204" s="11" t="s">
        <v>172</v>
      </c>
      <c r="AQ204" s="88" t="s">
        <v>2483</v>
      </c>
      <c r="AR204" s="57" t="s">
        <v>40</v>
      </c>
      <c r="AS204" s="46">
        <v>42963.585532407407</v>
      </c>
      <c r="AT204" s="3">
        <f t="shared" si="2"/>
        <v>179</v>
      </c>
    </row>
    <row r="205" spans="8:88" x14ac:dyDescent="0.4">
      <c r="H205" s="59">
        <v>43005.699629629627</v>
      </c>
      <c r="I205" s="43">
        <v>42066.702777777777</v>
      </c>
      <c r="J205" s="42">
        <v>42191.927986111114</v>
      </c>
      <c r="K205" s="81" t="s">
        <v>1768</v>
      </c>
      <c r="L205" t="s">
        <v>1768</v>
      </c>
      <c r="M205" t="s">
        <v>1761</v>
      </c>
      <c r="N205" s="1" t="s">
        <v>1761</v>
      </c>
      <c r="O205" s="1" t="s">
        <v>1770</v>
      </c>
      <c r="P205" t="s">
        <v>1770</v>
      </c>
      <c r="Q205" s="9" t="s">
        <v>45</v>
      </c>
      <c r="R205" s="82" t="s">
        <v>45</v>
      </c>
      <c r="S205" s="44" t="s">
        <v>2088</v>
      </c>
      <c r="T205" s="3" t="s">
        <v>2478</v>
      </c>
      <c r="U205" s="2" t="s">
        <v>29</v>
      </c>
      <c r="V205" s="89" t="s">
        <v>29</v>
      </c>
      <c r="W205" s="11" t="s">
        <v>143</v>
      </c>
      <c r="X205" s="89" t="s">
        <v>143</v>
      </c>
      <c r="Y205" s="77" t="s">
        <v>1772</v>
      </c>
      <c r="Z205" s="84" t="s">
        <v>2095</v>
      </c>
      <c r="AA205" s="89" t="s">
        <v>174</v>
      </c>
      <c r="AB205" s="90" t="str">
        <f>HYPERLINK(CONCATENATE("https://www.ejacket.nsf.gov/ej/showProposal.do?ID=",SUBSTITUTE(SplitQueryTable[[#This Row],[prop_id]],CHAR(160),"")),"eJ")</f>
        <v>eJ</v>
      </c>
      <c r="AC205" s="89" t="s">
        <v>2095</v>
      </c>
      <c r="AD205" s="3" t="s">
        <v>2095</v>
      </c>
      <c r="AE205" s="91">
        <v>2017</v>
      </c>
      <c r="AF205" s="13" t="s">
        <v>43</v>
      </c>
      <c r="AG205" s="13">
        <v>88250</v>
      </c>
      <c r="AH205" s="45">
        <v>461250</v>
      </c>
      <c r="AI205" s="44" t="s">
        <v>2486</v>
      </c>
      <c r="AJ205" s="2" t="s">
        <v>823</v>
      </c>
      <c r="AK205" s="46" t="s">
        <v>1731</v>
      </c>
      <c r="AL205" s="55" t="s">
        <v>1775</v>
      </c>
      <c r="AM205" s="45" t="s">
        <v>1775</v>
      </c>
      <c r="AN205" s="56" t="s">
        <v>142</v>
      </c>
      <c r="AO205" s="23" t="s">
        <v>146</v>
      </c>
      <c r="AP205" s="11" t="s">
        <v>172</v>
      </c>
      <c r="AQ205" s="88" t="s">
        <v>2096</v>
      </c>
      <c r="AR205" s="57" t="s">
        <v>204</v>
      </c>
      <c r="AS205" s="46">
        <v>42936.347500000003</v>
      </c>
      <c r="AT205" s="3">
        <f t="shared" si="2"/>
        <v>180</v>
      </c>
    </row>
    <row r="206" spans="8:88" x14ac:dyDescent="0.4">
      <c r="H206" s="59">
        <v>43005.699629629627</v>
      </c>
      <c r="I206" s="43">
        <v>42066.594444444447</v>
      </c>
      <c r="J206" s="42">
        <v>42195.573321759257</v>
      </c>
      <c r="K206" s="81" t="s">
        <v>1768</v>
      </c>
      <c r="L206" t="s">
        <v>1768</v>
      </c>
      <c r="M206" t="s">
        <v>1761</v>
      </c>
      <c r="N206" s="1" t="s">
        <v>1761</v>
      </c>
      <c r="O206" s="1" t="s">
        <v>1770</v>
      </c>
      <c r="P206" t="s">
        <v>1770</v>
      </c>
      <c r="Q206" s="9" t="s">
        <v>45</v>
      </c>
      <c r="R206" s="82" t="s">
        <v>45</v>
      </c>
      <c r="S206" s="44" t="s">
        <v>2088</v>
      </c>
      <c r="T206" s="3" t="s">
        <v>2478</v>
      </c>
      <c r="U206" s="2" t="s">
        <v>29</v>
      </c>
      <c r="V206" s="89" t="s">
        <v>29</v>
      </c>
      <c r="W206" s="11" t="s">
        <v>143</v>
      </c>
      <c r="X206" s="89" t="s">
        <v>143</v>
      </c>
      <c r="Y206" s="77" t="s">
        <v>1772</v>
      </c>
      <c r="Z206" s="84" t="s">
        <v>2487</v>
      </c>
      <c r="AA206" s="89" t="s">
        <v>174</v>
      </c>
      <c r="AB206" s="90" t="str">
        <f>HYPERLINK(CONCATENATE("https://www.ejacket.nsf.gov/ej/showProposal.do?ID=",SUBSTITUTE(SplitQueryTable[[#This Row],[prop_id]],CHAR(160),"")),"eJ")</f>
        <v>eJ</v>
      </c>
      <c r="AC206" s="89" t="s">
        <v>2487</v>
      </c>
      <c r="AD206" s="3" t="s">
        <v>2487</v>
      </c>
      <c r="AE206" s="91">
        <v>2017</v>
      </c>
      <c r="AF206" s="13" t="s">
        <v>43</v>
      </c>
      <c r="AG206" s="13">
        <v>108100</v>
      </c>
      <c r="AH206" s="45">
        <v>550000</v>
      </c>
      <c r="AI206" s="44" t="s">
        <v>2489</v>
      </c>
      <c r="AJ206" s="2" t="s">
        <v>191</v>
      </c>
      <c r="AK206" s="46" t="s">
        <v>301</v>
      </c>
      <c r="AL206" s="55" t="s">
        <v>2426</v>
      </c>
      <c r="AM206" s="45" t="s">
        <v>2426</v>
      </c>
      <c r="AN206" s="56" t="s">
        <v>142</v>
      </c>
      <c r="AO206" s="23" t="s">
        <v>146</v>
      </c>
      <c r="AP206" s="11" t="s">
        <v>172</v>
      </c>
      <c r="AQ206" s="88" t="s">
        <v>2488</v>
      </c>
      <c r="AR206" s="57" t="s">
        <v>40</v>
      </c>
      <c r="AS206" s="46">
        <v>42969.632847222223</v>
      </c>
      <c r="AT206" s="3">
        <f t="shared" si="2"/>
        <v>181</v>
      </c>
    </row>
    <row r="207" spans="8:88" x14ac:dyDescent="0.4">
      <c r="H207" s="59">
        <v>43005.699629629627</v>
      </c>
      <c r="I207" s="43">
        <v>42066.700694444444</v>
      </c>
      <c r="J207" s="42">
        <v>42195.575370370374</v>
      </c>
      <c r="K207" s="81" t="s">
        <v>1768</v>
      </c>
      <c r="L207" t="s">
        <v>1768</v>
      </c>
      <c r="M207" t="s">
        <v>1761</v>
      </c>
      <c r="N207" s="1" t="s">
        <v>1761</v>
      </c>
      <c r="O207" s="1" t="s">
        <v>1770</v>
      </c>
      <c r="P207" t="s">
        <v>1770</v>
      </c>
      <c r="Q207" s="9" t="s">
        <v>45</v>
      </c>
      <c r="R207" s="82" t="s">
        <v>45</v>
      </c>
      <c r="S207" s="44" t="s">
        <v>2088</v>
      </c>
      <c r="T207" s="3" t="s">
        <v>2478</v>
      </c>
      <c r="U207" s="2" t="s">
        <v>29</v>
      </c>
      <c r="V207" s="89" t="s">
        <v>29</v>
      </c>
      <c r="W207" s="11" t="s">
        <v>143</v>
      </c>
      <c r="X207" s="89" t="s">
        <v>143</v>
      </c>
      <c r="Y207" s="77" t="s">
        <v>1772</v>
      </c>
      <c r="Z207" s="84" t="s">
        <v>2479</v>
      </c>
      <c r="AA207" s="89" t="s">
        <v>62</v>
      </c>
      <c r="AB207" s="90" t="str">
        <f>HYPERLINK(CONCATENATE("https://www.ejacket.nsf.gov/ej/showProposal.do?ID=",SUBSTITUTE(SplitQueryTable[[#This Row],[prop_id]],CHAR(160),"")),"eJ")</f>
        <v>eJ</v>
      </c>
      <c r="AC207" s="89" t="s">
        <v>2490</v>
      </c>
      <c r="AD207" s="3" t="s">
        <v>2490</v>
      </c>
      <c r="AE207" s="91">
        <v>2017</v>
      </c>
      <c r="AF207" s="13" t="s">
        <v>43</v>
      </c>
      <c r="AG207" s="13">
        <v>45000</v>
      </c>
      <c r="AH207" s="45">
        <v>325000</v>
      </c>
      <c r="AI207" s="44" t="s">
        <v>177</v>
      </c>
      <c r="AJ207" s="2" t="s">
        <v>302</v>
      </c>
      <c r="AK207" s="46" t="s">
        <v>266</v>
      </c>
      <c r="AL207" s="55" t="s">
        <v>2393</v>
      </c>
      <c r="AM207" s="45" t="s">
        <v>2393</v>
      </c>
      <c r="AN207" s="56" t="s">
        <v>142</v>
      </c>
      <c r="AO207" s="23" t="s">
        <v>146</v>
      </c>
      <c r="AP207" s="11" t="s">
        <v>172</v>
      </c>
      <c r="AQ207" s="88" t="s">
        <v>2480</v>
      </c>
      <c r="AR207" s="57" t="s">
        <v>200</v>
      </c>
      <c r="AS207" s="46">
        <v>42999.288819444446</v>
      </c>
      <c r="AT207" s="3">
        <f t="shared" si="2"/>
        <v>182</v>
      </c>
    </row>
    <row r="208" spans="8:88" x14ac:dyDescent="0.4">
      <c r="H208" s="59">
        <v>43005.699629629627</v>
      </c>
      <c r="I208" s="43">
        <v>41542.433333333334</v>
      </c>
      <c r="J208" s="42">
        <v>41677.30059027778</v>
      </c>
      <c r="K208" s="81" t="s">
        <v>1768</v>
      </c>
      <c r="L208" t="s">
        <v>1768</v>
      </c>
      <c r="M208" t="s">
        <v>1761</v>
      </c>
      <c r="N208" s="1" t="s">
        <v>1761</v>
      </c>
      <c r="O208" s="1" t="s">
        <v>2109</v>
      </c>
      <c r="P208" t="s">
        <v>2109</v>
      </c>
      <c r="Q208" s="9" t="s">
        <v>45</v>
      </c>
      <c r="R208" s="82" t="s">
        <v>45</v>
      </c>
      <c r="S208" s="44" t="s">
        <v>2102</v>
      </c>
      <c r="T208" s="3" t="s">
        <v>2478</v>
      </c>
      <c r="U208" s="2" t="s">
        <v>29</v>
      </c>
      <c r="V208" s="89" t="s">
        <v>29</v>
      </c>
      <c r="W208" s="11" t="s">
        <v>143</v>
      </c>
      <c r="X208" s="89" t="s">
        <v>143</v>
      </c>
      <c r="Y208" s="77" t="s">
        <v>1772</v>
      </c>
      <c r="Z208" s="84" t="s">
        <v>2491</v>
      </c>
      <c r="AA208" s="89" t="s">
        <v>28</v>
      </c>
      <c r="AB208" s="90" t="str">
        <f>HYPERLINK(CONCATENATE("https://www.ejacket.nsf.gov/ej/showProposal.do?ID=",SUBSTITUTE(SplitQueryTable[[#This Row],[prop_id]],CHAR(160),"")),"eJ")</f>
        <v>eJ</v>
      </c>
      <c r="AC208" s="89" t="s">
        <v>2491</v>
      </c>
      <c r="AD208" s="3" t="s">
        <v>2491</v>
      </c>
      <c r="AE208" s="91">
        <v>2017</v>
      </c>
      <c r="AF208" s="13" t="s">
        <v>43</v>
      </c>
      <c r="AG208" s="13">
        <v>60000</v>
      </c>
      <c r="AH208" s="45">
        <v>300000</v>
      </c>
      <c r="AI208" s="44" t="s">
        <v>317</v>
      </c>
      <c r="AJ208" s="2" t="s">
        <v>263</v>
      </c>
      <c r="AK208" s="46" t="s">
        <v>2493</v>
      </c>
      <c r="AL208" s="55" t="s">
        <v>2464</v>
      </c>
      <c r="AM208" s="45" t="s">
        <v>2464</v>
      </c>
      <c r="AN208" s="56" t="s">
        <v>142</v>
      </c>
      <c r="AO208" s="23" t="s">
        <v>146</v>
      </c>
      <c r="AP208" s="11" t="s">
        <v>172</v>
      </c>
      <c r="AQ208" s="88" t="s">
        <v>2492</v>
      </c>
      <c r="AR208" s="57" t="s">
        <v>40</v>
      </c>
      <c r="AS208" s="46">
        <v>42936.620254629626</v>
      </c>
      <c r="AT208" s="3">
        <f t="shared" si="2"/>
        <v>183</v>
      </c>
    </row>
    <row r="209" spans="8:46" x14ac:dyDescent="0.4">
      <c r="H209" s="59">
        <v>43005.699629629627</v>
      </c>
      <c r="I209" s="43">
        <v>41543.65347222222</v>
      </c>
      <c r="J209" s="42">
        <v>41677.30190972222</v>
      </c>
      <c r="K209" s="81" t="s">
        <v>1768</v>
      </c>
      <c r="L209" t="s">
        <v>1768</v>
      </c>
      <c r="M209" t="s">
        <v>1761</v>
      </c>
      <c r="N209" s="1" t="s">
        <v>1761</v>
      </c>
      <c r="O209" s="1" t="s">
        <v>2109</v>
      </c>
      <c r="P209" t="s">
        <v>2109</v>
      </c>
      <c r="Q209" s="9" t="s">
        <v>45</v>
      </c>
      <c r="R209" s="82" t="s">
        <v>45</v>
      </c>
      <c r="S209" s="44" t="s">
        <v>2102</v>
      </c>
      <c r="T209" s="3" t="s">
        <v>2478</v>
      </c>
      <c r="U209" s="2" t="s">
        <v>29</v>
      </c>
      <c r="V209" s="89" t="s">
        <v>29</v>
      </c>
      <c r="W209" s="11" t="s">
        <v>143</v>
      </c>
      <c r="X209" s="89" t="s">
        <v>143</v>
      </c>
      <c r="Y209" s="77" t="s">
        <v>1772</v>
      </c>
      <c r="Z209" s="84" t="s">
        <v>2494</v>
      </c>
      <c r="AA209" s="89" t="s">
        <v>28</v>
      </c>
      <c r="AB209" s="90" t="str">
        <f>HYPERLINK(CONCATENATE("https://www.ejacket.nsf.gov/ej/showProposal.do?ID=",SUBSTITUTE(SplitQueryTable[[#This Row],[prop_id]],CHAR(160),"")),"eJ")</f>
        <v>eJ</v>
      </c>
      <c r="AC209" s="89" t="s">
        <v>2494</v>
      </c>
      <c r="AD209" s="3" t="s">
        <v>2494</v>
      </c>
      <c r="AE209" s="91">
        <v>2017</v>
      </c>
      <c r="AF209" s="13" t="s">
        <v>43</v>
      </c>
      <c r="AG209" s="13">
        <v>60000</v>
      </c>
      <c r="AH209" s="45">
        <v>300000</v>
      </c>
      <c r="AI209" s="44" t="s">
        <v>522</v>
      </c>
      <c r="AJ209" s="2" t="s">
        <v>296</v>
      </c>
      <c r="AK209" s="46" t="s">
        <v>1845</v>
      </c>
      <c r="AL209" s="55" t="s">
        <v>2431</v>
      </c>
      <c r="AM209" s="45" t="s">
        <v>2431</v>
      </c>
      <c r="AN209" s="56" t="s">
        <v>142</v>
      </c>
      <c r="AO209" s="23" t="s">
        <v>146</v>
      </c>
      <c r="AP209" s="11" t="s">
        <v>172</v>
      </c>
      <c r="AQ209" s="88" t="s">
        <v>2495</v>
      </c>
      <c r="AR209" s="57" t="s">
        <v>40</v>
      </c>
      <c r="AS209" s="46">
        <v>42821.551458333335</v>
      </c>
      <c r="AT209" s="3">
        <f t="shared" si="2"/>
        <v>184</v>
      </c>
    </row>
    <row r="210" spans="8:46" x14ac:dyDescent="0.4">
      <c r="H210" s="59">
        <v>43005.699629629627</v>
      </c>
      <c r="I210" s="43">
        <v>41908.554166666669</v>
      </c>
      <c r="J210" s="42">
        <v>42058.332870370374</v>
      </c>
      <c r="K210" s="81" t="s">
        <v>1768</v>
      </c>
      <c r="L210" t="s">
        <v>1768</v>
      </c>
      <c r="M210" t="s">
        <v>1761</v>
      </c>
      <c r="N210" s="1" t="s">
        <v>1761</v>
      </c>
      <c r="O210" s="1" t="s">
        <v>1770</v>
      </c>
      <c r="P210" t="s">
        <v>1770</v>
      </c>
      <c r="Q210" s="9" t="s">
        <v>45</v>
      </c>
      <c r="R210" s="82" t="s">
        <v>45</v>
      </c>
      <c r="S210" s="44" t="s">
        <v>2088</v>
      </c>
      <c r="T210" s="3" t="s">
        <v>1889</v>
      </c>
      <c r="U210" s="2" t="s">
        <v>29</v>
      </c>
      <c r="V210" s="89" t="s">
        <v>29</v>
      </c>
      <c r="W210" s="11" t="s">
        <v>143</v>
      </c>
      <c r="X210" s="89" t="s">
        <v>143</v>
      </c>
      <c r="Y210" s="77" t="s">
        <v>1772</v>
      </c>
      <c r="Z210" s="84" t="s">
        <v>2496</v>
      </c>
      <c r="AA210" s="89" t="s">
        <v>174</v>
      </c>
      <c r="AB210" s="90" t="str">
        <f>HYPERLINK(CONCATENATE("https://www.ejacket.nsf.gov/ej/showProposal.do?ID=",SUBSTITUTE(SplitQueryTable[[#This Row],[prop_id]],CHAR(160),"")),"eJ")</f>
        <v>eJ</v>
      </c>
      <c r="AC210" s="89" t="s">
        <v>2496</v>
      </c>
      <c r="AD210" s="3" t="s">
        <v>2496</v>
      </c>
      <c r="AE210" s="91">
        <v>2017</v>
      </c>
      <c r="AF210" s="13" t="s">
        <v>43</v>
      </c>
      <c r="AG210" s="13">
        <v>88550</v>
      </c>
      <c r="AH210" s="45">
        <v>324999</v>
      </c>
      <c r="AI210" s="44" t="s">
        <v>2498</v>
      </c>
      <c r="AJ210" s="2" t="s">
        <v>2499</v>
      </c>
      <c r="AK210" s="46" t="s">
        <v>1751</v>
      </c>
      <c r="AL210" s="55" t="s">
        <v>1775</v>
      </c>
      <c r="AM210" s="45" t="s">
        <v>1775</v>
      </c>
      <c r="AN210" s="56" t="s">
        <v>142</v>
      </c>
      <c r="AO210" s="23" t="s">
        <v>146</v>
      </c>
      <c r="AP210" s="11" t="s">
        <v>172</v>
      </c>
      <c r="AQ210" s="88" t="s">
        <v>2497</v>
      </c>
      <c r="AR210" s="57" t="s">
        <v>204</v>
      </c>
      <c r="AS210" s="46">
        <v>42936.348287037035</v>
      </c>
      <c r="AT210" s="3">
        <f t="shared" si="2"/>
        <v>185</v>
      </c>
    </row>
    <row r="211" spans="8:46" x14ac:dyDescent="0.4">
      <c r="H211" s="59">
        <v>43005.699629629627</v>
      </c>
      <c r="I211" s="43">
        <v>42794.697222222225</v>
      </c>
      <c r="J211" s="42">
        <v>42940.339537037034</v>
      </c>
      <c r="K211" s="81" t="s">
        <v>1768</v>
      </c>
      <c r="L211" t="s">
        <v>1768</v>
      </c>
      <c r="M211" t="s">
        <v>1761</v>
      </c>
      <c r="N211" s="1" t="s">
        <v>1761</v>
      </c>
      <c r="O211" s="1" t="s">
        <v>1781</v>
      </c>
      <c r="P211" t="s">
        <v>1781</v>
      </c>
      <c r="Q211" s="9" t="s">
        <v>45</v>
      </c>
      <c r="R211" s="82" t="s">
        <v>45</v>
      </c>
      <c r="S211" s="44" t="s">
        <v>1782</v>
      </c>
      <c r="T211" s="3" t="s">
        <v>1889</v>
      </c>
      <c r="U211" s="2" t="s">
        <v>29</v>
      </c>
      <c r="V211" s="89" t="s">
        <v>29</v>
      </c>
      <c r="W211" s="11" t="s">
        <v>143</v>
      </c>
      <c r="X211" s="89" t="s">
        <v>143</v>
      </c>
      <c r="Y211" s="77" t="s">
        <v>1772</v>
      </c>
      <c r="Z211" s="84" t="s">
        <v>2503</v>
      </c>
      <c r="AA211" s="89" t="s">
        <v>28</v>
      </c>
      <c r="AB211" s="90" t="str">
        <f>HYPERLINK(CONCATENATE("https://www.ejacket.nsf.gov/ej/showProposal.do?ID=",SUBSTITUTE(SplitQueryTable[[#This Row],[prop_id]],CHAR(160),"")),"eJ")</f>
        <v>eJ</v>
      </c>
      <c r="AC211" s="89" t="s">
        <v>2503</v>
      </c>
      <c r="AD211" s="3" t="s">
        <v>2503</v>
      </c>
      <c r="AE211" s="91">
        <v>2017</v>
      </c>
      <c r="AF211" s="13" t="s">
        <v>43</v>
      </c>
      <c r="AG211" s="13">
        <v>200000</v>
      </c>
      <c r="AH211" s="45">
        <v>500000</v>
      </c>
      <c r="AI211" s="44" t="s">
        <v>2505</v>
      </c>
      <c r="AJ211" s="2" t="s">
        <v>2506</v>
      </c>
      <c r="AK211" s="46" t="s">
        <v>2507</v>
      </c>
      <c r="AL211" s="55" t="s">
        <v>1775</v>
      </c>
      <c r="AM211" s="45" t="s">
        <v>1759</v>
      </c>
      <c r="AN211" s="56" t="s">
        <v>142</v>
      </c>
      <c r="AO211" s="23" t="s">
        <v>146</v>
      </c>
      <c r="AP211" s="11"/>
      <c r="AQ211" s="88" t="s">
        <v>2504</v>
      </c>
      <c r="AR211" s="57" t="s">
        <v>200</v>
      </c>
      <c r="AS211" s="46">
        <v>42967.821412037039</v>
      </c>
      <c r="AT211" s="3">
        <f t="shared" si="2"/>
        <v>186</v>
      </c>
    </row>
    <row r="212" spans="8:46" x14ac:dyDescent="0.4">
      <c r="H212" s="59">
        <v>43005.699629629627</v>
      </c>
      <c r="I212" s="43">
        <v>41544.664583333331</v>
      </c>
      <c r="J212" s="42">
        <v>41675.646504629629</v>
      </c>
      <c r="K212" s="81" t="s">
        <v>1768</v>
      </c>
      <c r="L212" t="s">
        <v>1768</v>
      </c>
      <c r="M212" t="s">
        <v>1761</v>
      </c>
      <c r="N212" s="1" t="s">
        <v>1761</v>
      </c>
      <c r="O212" s="1" t="s">
        <v>2109</v>
      </c>
      <c r="P212" t="s">
        <v>2109</v>
      </c>
      <c r="Q212" s="9" t="s">
        <v>45</v>
      </c>
      <c r="R212" s="82" t="s">
        <v>45</v>
      </c>
      <c r="S212" s="44" t="s">
        <v>2102</v>
      </c>
      <c r="T212" s="3" t="s">
        <v>1889</v>
      </c>
      <c r="U212" s="2" t="s">
        <v>29</v>
      </c>
      <c r="V212" s="89" t="s">
        <v>29</v>
      </c>
      <c r="W212" s="11" t="s">
        <v>143</v>
      </c>
      <c r="X212" s="89" t="s">
        <v>143</v>
      </c>
      <c r="Y212" s="77" t="s">
        <v>1772</v>
      </c>
      <c r="Z212" s="84" t="s">
        <v>2516</v>
      </c>
      <c r="AA212" s="89" t="s">
        <v>174</v>
      </c>
      <c r="AB212" s="90" t="str">
        <f>HYPERLINK(CONCATENATE("https://www.ejacket.nsf.gov/ej/showProposal.do?ID=",SUBSTITUTE(SplitQueryTable[[#This Row],[prop_id]],CHAR(160),"")),"eJ")</f>
        <v>eJ</v>
      </c>
      <c r="AC212" s="89" t="s">
        <v>2516</v>
      </c>
      <c r="AD212" s="3" t="s">
        <v>2516</v>
      </c>
      <c r="AE212" s="91">
        <v>2017</v>
      </c>
      <c r="AF212" s="13" t="s">
        <v>43</v>
      </c>
      <c r="AG212" s="13">
        <v>82500</v>
      </c>
      <c r="AH212" s="45">
        <v>628464</v>
      </c>
      <c r="AI212" s="44" t="s">
        <v>2518</v>
      </c>
      <c r="AJ212" s="2" t="s">
        <v>2519</v>
      </c>
      <c r="AK212" s="46" t="s">
        <v>346</v>
      </c>
      <c r="AL212" s="55" t="s">
        <v>2170</v>
      </c>
      <c r="AM212" s="45" t="s">
        <v>2170</v>
      </c>
      <c r="AN212" s="56" t="s">
        <v>142</v>
      </c>
      <c r="AO212" s="23" t="s">
        <v>146</v>
      </c>
      <c r="AP212" s="11" t="s">
        <v>172</v>
      </c>
      <c r="AQ212" s="88" t="s">
        <v>2517</v>
      </c>
      <c r="AR212" s="57" t="s">
        <v>200</v>
      </c>
      <c r="AS212" s="46">
        <v>42907.324942129628</v>
      </c>
      <c r="AT212" s="3">
        <f t="shared" si="2"/>
        <v>187</v>
      </c>
    </row>
    <row r="213" spans="8:46" x14ac:dyDescent="0.4">
      <c r="H213" s="59">
        <v>43005.699629629627</v>
      </c>
      <c r="I213" s="43">
        <v>41702.663194444445</v>
      </c>
      <c r="J213" s="42">
        <v>41850.563321759262</v>
      </c>
      <c r="K213" s="81" t="s">
        <v>1768</v>
      </c>
      <c r="L213" t="s">
        <v>1768</v>
      </c>
      <c r="M213" t="s">
        <v>1761</v>
      </c>
      <c r="N213" s="1" t="s">
        <v>1761</v>
      </c>
      <c r="O213" s="1" t="s">
        <v>1770</v>
      </c>
      <c r="P213" t="s">
        <v>1770</v>
      </c>
      <c r="Q213" s="9" t="s">
        <v>45</v>
      </c>
      <c r="R213" s="82" t="s">
        <v>45</v>
      </c>
      <c r="S213" s="44" t="s">
        <v>2088</v>
      </c>
      <c r="T213" s="3" t="s">
        <v>1889</v>
      </c>
      <c r="U213" s="2" t="s">
        <v>29</v>
      </c>
      <c r="V213" s="89" t="s">
        <v>29</v>
      </c>
      <c r="W213" s="11" t="s">
        <v>143</v>
      </c>
      <c r="X213" s="89" t="s">
        <v>143</v>
      </c>
      <c r="Y213" s="77" t="s">
        <v>1772</v>
      </c>
      <c r="Z213" s="84" t="s">
        <v>2521</v>
      </c>
      <c r="AA213" s="89" t="s">
        <v>62</v>
      </c>
      <c r="AB213" s="90" t="str">
        <f>HYPERLINK(CONCATENATE("https://www.ejacket.nsf.gov/ej/showProposal.do?ID=",SUBSTITUTE(SplitQueryTable[[#This Row],[prop_id]],CHAR(160),"")),"eJ")</f>
        <v>eJ</v>
      </c>
      <c r="AC213" s="89" t="s">
        <v>2520</v>
      </c>
      <c r="AD213" s="3" t="s">
        <v>2520</v>
      </c>
      <c r="AE213" s="91">
        <v>2017</v>
      </c>
      <c r="AF213" s="13" t="s">
        <v>43</v>
      </c>
      <c r="AG213" s="13">
        <v>45000</v>
      </c>
      <c r="AH213" s="45">
        <v>225000</v>
      </c>
      <c r="AI213" s="44" t="s">
        <v>2524</v>
      </c>
      <c r="AJ213" s="2" t="s">
        <v>2107</v>
      </c>
      <c r="AK213" s="46" t="s">
        <v>2461</v>
      </c>
      <c r="AL213" s="55" t="s">
        <v>1816</v>
      </c>
      <c r="AM213" s="45" t="s">
        <v>2523</v>
      </c>
      <c r="AN213" s="56" t="s">
        <v>142</v>
      </c>
      <c r="AO213" s="23" t="s">
        <v>146</v>
      </c>
      <c r="AP213" s="11" t="s">
        <v>172</v>
      </c>
      <c r="AQ213" s="88" t="s">
        <v>2522</v>
      </c>
      <c r="AR213" s="57" t="s">
        <v>40</v>
      </c>
      <c r="AS213" s="46">
        <v>42958.526886574073</v>
      </c>
      <c r="AT213" s="3">
        <f t="shared" si="2"/>
        <v>188</v>
      </c>
    </row>
    <row r="214" spans="8:46" x14ac:dyDescent="0.4">
      <c r="H214" s="59">
        <v>43005.699629629627</v>
      </c>
      <c r="I214" s="43">
        <v>41702.661805555559</v>
      </c>
      <c r="J214" s="42">
        <v>41852.450474537036</v>
      </c>
      <c r="K214" s="81" t="s">
        <v>1768</v>
      </c>
      <c r="L214" t="s">
        <v>1768</v>
      </c>
      <c r="M214" t="s">
        <v>1761</v>
      </c>
      <c r="N214" s="1" t="s">
        <v>1761</v>
      </c>
      <c r="O214" s="1" t="s">
        <v>1770</v>
      </c>
      <c r="P214" t="s">
        <v>1770</v>
      </c>
      <c r="Q214" s="9" t="s">
        <v>45</v>
      </c>
      <c r="R214" s="82" t="s">
        <v>45</v>
      </c>
      <c r="S214" s="44" t="s">
        <v>2088</v>
      </c>
      <c r="T214" s="3" t="s">
        <v>1889</v>
      </c>
      <c r="U214" s="2" t="s">
        <v>29</v>
      </c>
      <c r="V214" s="89" t="s">
        <v>29</v>
      </c>
      <c r="W214" s="11" t="s">
        <v>143</v>
      </c>
      <c r="X214" s="89" t="s">
        <v>143</v>
      </c>
      <c r="Y214" s="77" t="s">
        <v>1772</v>
      </c>
      <c r="Z214" s="84" t="s">
        <v>2525</v>
      </c>
      <c r="AA214" s="89" t="s">
        <v>174</v>
      </c>
      <c r="AB214" s="90" t="str">
        <f>HYPERLINK(CONCATENATE("https://www.ejacket.nsf.gov/ej/showProposal.do?ID=",SUBSTITUTE(SplitQueryTable[[#This Row],[prop_id]],CHAR(160),"")),"eJ")</f>
        <v>eJ</v>
      </c>
      <c r="AC214" s="89" t="s">
        <v>2525</v>
      </c>
      <c r="AD214" s="3" t="s">
        <v>2525</v>
      </c>
      <c r="AE214" s="91">
        <v>2017</v>
      </c>
      <c r="AF214" s="13" t="s">
        <v>43</v>
      </c>
      <c r="AG214" s="13">
        <v>93000</v>
      </c>
      <c r="AH214" s="45">
        <v>484998</v>
      </c>
      <c r="AI214" s="44" t="s">
        <v>2528</v>
      </c>
      <c r="AJ214" s="2" t="s">
        <v>2529</v>
      </c>
      <c r="AK214" s="46" t="s">
        <v>1732</v>
      </c>
      <c r="AL214" s="55" t="s">
        <v>2527</v>
      </c>
      <c r="AM214" s="45" t="s">
        <v>2527</v>
      </c>
      <c r="AN214" s="56" t="s">
        <v>142</v>
      </c>
      <c r="AO214" s="23" t="s">
        <v>146</v>
      </c>
      <c r="AP214" s="11" t="s">
        <v>172</v>
      </c>
      <c r="AQ214" s="88" t="s">
        <v>2526</v>
      </c>
      <c r="AR214" s="57" t="s">
        <v>40</v>
      </c>
      <c r="AS214" s="46">
        <v>42986.421736111108</v>
      </c>
      <c r="AT214" s="3">
        <f t="shared" si="2"/>
        <v>189</v>
      </c>
    </row>
    <row r="215" spans="8:46" x14ac:dyDescent="0.4">
      <c r="H215" s="59">
        <v>43005.699629629627</v>
      </c>
      <c r="I215" s="43">
        <v>42066.707638888889</v>
      </c>
      <c r="J215" s="42">
        <v>42212.733414351853</v>
      </c>
      <c r="K215" s="81" t="s">
        <v>1768</v>
      </c>
      <c r="L215" t="s">
        <v>1768</v>
      </c>
      <c r="M215" t="s">
        <v>1761</v>
      </c>
      <c r="N215" s="1" t="s">
        <v>1761</v>
      </c>
      <c r="O215" s="1" t="s">
        <v>1770</v>
      </c>
      <c r="P215" t="s">
        <v>1770</v>
      </c>
      <c r="Q215" s="9" t="s">
        <v>45</v>
      </c>
      <c r="R215" s="82" t="s">
        <v>45</v>
      </c>
      <c r="S215" s="44" t="s">
        <v>2088</v>
      </c>
      <c r="T215" s="3" t="s">
        <v>1889</v>
      </c>
      <c r="U215" s="2" t="s">
        <v>29</v>
      </c>
      <c r="V215" s="89" t="s">
        <v>29</v>
      </c>
      <c r="W215" s="11" t="s">
        <v>143</v>
      </c>
      <c r="X215" s="89" t="s">
        <v>143</v>
      </c>
      <c r="Y215" s="77" t="s">
        <v>1772</v>
      </c>
      <c r="Z215" s="84" t="s">
        <v>2530</v>
      </c>
      <c r="AA215" s="89" t="s">
        <v>28</v>
      </c>
      <c r="AB215" s="90" t="str">
        <f>HYPERLINK(CONCATENATE("https://www.ejacket.nsf.gov/ej/showProposal.do?ID=",SUBSTITUTE(SplitQueryTable[[#This Row],[prop_id]],CHAR(160),"")),"eJ")</f>
        <v>eJ</v>
      </c>
      <c r="AC215" s="89" t="s">
        <v>2530</v>
      </c>
      <c r="AD215" s="3" t="s">
        <v>2530</v>
      </c>
      <c r="AE215" s="91">
        <v>2017</v>
      </c>
      <c r="AF215" s="13" t="s">
        <v>43</v>
      </c>
      <c r="AG215" s="13">
        <v>45000</v>
      </c>
      <c r="AH215" s="45">
        <v>225000</v>
      </c>
      <c r="AI215" s="44" t="s">
        <v>2533</v>
      </c>
      <c r="AJ215" s="2" t="s">
        <v>331</v>
      </c>
      <c r="AK215" s="46" t="s">
        <v>1720</v>
      </c>
      <c r="AL215" s="55" t="s">
        <v>2532</v>
      </c>
      <c r="AM215" s="45" t="s">
        <v>2532</v>
      </c>
      <c r="AN215" s="56" t="s">
        <v>142</v>
      </c>
      <c r="AO215" s="23" t="s">
        <v>146</v>
      </c>
      <c r="AP215" s="11" t="s">
        <v>172</v>
      </c>
      <c r="AQ215" s="88" t="s">
        <v>2531</v>
      </c>
      <c r="AR215" s="57" t="s">
        <v>40</v>
      </c>
      <c r="AS215" s="46">
        <v>42993.287974537037</v>
      </c>
      <c r="AT215" s="3">
        <f t="shared" si="2"/>
        <v>190</v>
      </c>
    </row>
    <row r="216" spans="8:46" x14ac:dyDescent="0.4">
      <c r="H216" s="59">
        <v>43005.699629629627</v>
      </c>
      <c r="I216" s="43">
        <v>41544.674305555556</v>
      </c>
      <c r="J216" s="42">
        <v>41675.647615740738</v>
      </c>
      <c r="K216" s="81" t="s">
        <v>1768</v>
      </c>
      <c r="L216" t="s">
        <v>1768</v>
      </c>
      <c r="M216" t="s">
        <v>1761</v>
      </c>
      <c r="N216" s="1" t="s">
        <v>1761</v>
      </c>
      <c r="O216" s="1" t="s">
        <v>2109</v>
      </c>
      <c r="P216" t="s">
        <v>2109</v>
      </c>
      <c r="Q216" s="9" t="s">
        <v>45</v>
      </c>
      <c r="R216" s="82" t="s">
        <v>45</v>
      </c>
      <c r="S216" s="44" t="s">
        <v>2102</v>
      </c>
      <c r="T216" s="3" t="s">
        <v>1889</v>
      </c>
      <c r="U216" s="2" t="s">
        <v>29</v>
      </c>
      <c r="V216" s="89" t="s">
        <v>29</v>
      </c>
      <c r="W216" s="11" t="s">
        <v>143</v>
      </c>
      <c r="X216" s="89" t="s">
        <v>143</v>
      </c>
      <c r="Y216" s="77" t="s">
        <v>1772</v>
      </c>
      <c r="Z216" s="84" t="s">
        <v>2516</v>
      </c>
      <c r="AA216" s="89" t="s">
        <v>62</v>
      </c>
      <c r="AB216" s="90" t="str">
        <f>HYPERLINK(CONCATENATE("https://www.ejacket.nsf.gov/ej/showProposal.do?ID=",SUBSTITUTE(SplitQueryTable[[#This Row],[prop_id]],CHAR(160),"")),"eJ")</f>
        <v>eJ</v>
      </c>
      <c r="AC216" s="89" t="s">
        <v>2534</v>
      </c>
      <c r="AD216" s="3" t="s">
        <v>2534</v>
      </c>
      <c r="AE216" s="91">
        <v>2017</v>
      </c>
      <c r="AF216" s="13" t="s">
        <v>43</v>
      </c>
      <c r="AG216" s="13">
        <v>40000</v>
      </c>
      <c r="AH216" s="45">
        <v>300000</v>
      </c>
      <c r="AI216" s="44" t="s">
        <v>2535</v>
      </c>
      <c r="AJ216" s="2" t="s">
        <v>2536</v>
      </c>
      <c r="AK216" s="46" t="s">
        <v>160</v>
      </c>
      <c r="AL216" s="55" t="s">
        <v>2170</v>
      </c>
      <c r="AM216" s="45" t="s">
        <v>2170</v>
      </c>
      <c r="AN216" s="56" t="s">
        <v>142</v>
      </c>
      <c r="AO216" s="23" t="s">
        <v>146</v>
      </c>
      <c r="AP216" s="11" t="s">
        <v>172</v>
      </c>
      <c r="AQ216" s="88" t="s">
        <v>2517</v>
      </c>
      <c r="AR216" s="57" t="s">
        <v>200</v>
      </c>
      <c r="AS216" s="46">
        <v>42907.506249999999</v>
      </c>
      <c r="AT216" s="3">
        <f t="shared" si="2"/>
        <v>191</v>
      </c>
    </row>
    <row r="217" spans="8:46" x14ac:dyDescent="0.4">
      <c r="H217" s="59">
        <v>43005.699629629627</v>
      </c>
      <c r="I217" s="43">
        <v>41701.626388888886</v>
      </c>
      <c r="J217" s="42">
        <v>41852.450925925928</v>
      </c>
      <c r="K217" s="81" t="s">
        <v>1768</v>
      </c>
      <c r="L217" t="s">
        <v>1768</v>
      </c>
      <c r="M217" t="s">
        <v>1761</v>
      </c>
      <c r="N217" s="1" t="s">
        <v>1761</v>
      </c>
      <c r="O217" s="1" t="s">
        <v>1770</v>
      </c>
      <c r="P217" t="s">
        <v>1770</v>
      </c>
      <c r="Q217" s="9" t="s">
        <v>45</v>
      </c>
      <c r="R217" s="82" t="s">
        <v>45</v>
      </c>
      <c r="S217" s="44" t="s">
        <v>2088</v>
      </c>
      <c r="T217" s="3" t="s">
        <v>1889</v>
      </c>
      <c r="U217" s="2" t="s">
        <v>29</v>
      </c>
      <c r="V217" s="89" t="s">
        <v>29</v>
      </c>
      <c r="W217" s="11" t="s">
        <v>143</v>
      </c>
      <c r="X217" s="89" t="s">
        <v>143</v>
      </c>
      <c r="Y217" s="77" t="s">
        <v>1772</v>
      </c>
      <c r="Z217" s="84" t="s">
        <v>2525</v>
      </c>
      <c r="AA217" s="89" t="s">
        <v>62</v>
      </c>
      <c r="AB217" s="90" t="str">
        <f>HYPERLINK(CONCATENATE("https://www.ejacket.nsf.gov/ej/showProposal.do?ID=",SUBSTITUTE(SplitQueryTable[[#This Row],[prop_id]],CHAR(160),"")),"eJ")</f>
        <v>eJ</v>
      </c>
      <c r="AC217" s="89" t="s">
        <v>2537</v>
      </c>
      <c r="AD217" s="3" t="s">
        <v>2537</v>
      </c>
      <c r="AE217" s="91">
        <v>2017</v>
      </c>
      <c r="AF217" s="13" t="s">
        <v>43</v>
      </c>
      <c r="AG217" s="13">
        <v>45000</v>
      </c>
      <c r="AH217" s="45">
        <v>225000</v>
      </c>
      <c r="AI217" s="44" t="s">
        <v>2538</v>
      </c>
      <c r="AJ217" s="2" t="s">
        <v>422</v>
      </c>
      <c r="AK217" s="46" t="s">
        <v>1913</v>
      </c>
      <c r="AL217" s="55" t="s">
        <v>2247</v>
      </c>
      <c r="AM217" s="45" t="s">
        <v>2247</v>
      </c>
      <c r="AN217" s="56" t="s">
        <v>142</v>
      </c>
      <c r="AO217" s="23" t="s">
        <v>146</v>
      </c>
      <c r="AP217" s="11" t="s">
        <v>172</v>
      </c>
      <c r="AQ217" s="88" t="s">
        <v>2526</v>
      </c>
      <c r="AR217" s="57" t="s">
        <v>40</v>
      </c>
      <c r="AS217" s="46">
        <v>42966.917766203704</v>
      </c>
      <c r="AT217" s="3">
        <f t="shared" si="2"/>
        <v>192</v>
      </c>
    </row>
    <row r="218" spans="8:46" x14ac:dyDescent="0.4">
      <c r="H218" s="59">
        <v>43005.699629629627</v>
      </c>
      <c r="I218" s="43">
        <v>42562.554861111108</v>
      </c>
      <c r="J218" s="42">
        <v>42738.565821759257</v>
      </c>
      <c r="K218" s="81" t="s">
        <v>1768</v>
      </c>
      <c r="L218" t="s">
        <v>1768</v>
      </c>
      <c r="M218" t="s">
        <v>1761</v>
      </c>
      <c r="N218" s="1" t="s">
        <v>1761</v>
      </c>
      <c r="O218" s="1" t="s">
        <v>1770</v>
      </c>
      <c r="P218" t="s">
        <v>1770</v>
      </c>
      <c r="Q218" s="9" t="s">
        <v>45</v>
      </c>
      <c r="R218" s="82" t="s">
        <v>45</v>
      </c>
      <c r="S218" s="44" t="s">
        <v>1762</v>
      </c>
      <c r="T218" s="3" t="s">
        <v>1889</v>
      </c>
      <c r="U218" s="2" t="s">
        <v>29</v>
      </c>
      <c r="V218" s="89" t="s">
        <v>29</v>
      </c>
      <c r="W218" s="11" t="s">
        <v>143</v>
      </c>
      <c r="X218" s="89" t="s">
        <v>143</v>
      </c>
      <c r="Y218" s="77" t="s">
        <v>1772</v>
      </c>
      <c r="Z218" s="84" t="s">
        <v>2539</v>
      </c>
      <c r="AA218" s="89" t="s">
        <v>28</v>
      </c>
      <c r="AB218" s="90" t="str">
        <f>HYPERLINK(CONCATENATE("https://www.ejacket.nsf.gov/ej/showProposal.do?ID=",SUBSTITUTE(SplitQueryTable[[#This Row],[prop_id]],CHAR(160),"")),"eJ")</f>
        <v>eJ</v>
      </c>
      <c r="AC218" s="89" t="s">
        <v>2539</v>
      </c>
      <c r="AD218" s="3" t="s">
        <v>2539</v>
      </c>
      <c r="AE218" s="91">
        <v>2017</v>
      </c>
      <c r="AF218" s="13" t="s">
        <v>43</v>
      </c>
      <c r="AG218" s="13">
        <v>199989</v>
      </c>
      <c r="AH218" s="45">
        <v>499979</v>
      </c>
      <c r="AI218" s="44" t="s">
        <v>2541</v>
      </c>
      <c r="AJ218" s="2" t="s">
        <v>2542</v>
      </c>
      <c r="AK218" s="46" t="s">
        <v>2543</v>
      </c>
      <c r="AL218" s="55" t="s">
        <v>1793</v>
      </c>
      <c r="AM218" s="45" t="s">
        <v>1793</v>
      </c>
      <c r="AN218" s="56" t="s">
        <v>142</v>
      </c>
      <c r="AO218" s="23" t="s">
        <v>146</v>
      </c>
      <c r="AP218" s="11"/>
      <c r="AQ218" s="88" t="s">
        <v>2540</v>
      </c>
      <c r="AR218" s="57" t="s">
        <v>200</v>
      </c>
      <c r="AS218" s="46">
        <v>42759.34542824074</v>
      </c>
      <c r="AT218" s="3">
        <f t="shared" ref="AT218:AT281" si="3">IF(AD218=AD217,AT217,AT217+1)</f>
        <v>193</v>
      </c>
    </row>
    <row r="219" spans="8:46" x14ac:dyDescent="0.4">
      <c r="H219" s="59">
        <v>43005.699629629627</v>
      </c>
      <c r="I219" s="43">
        <v>42794.689583333333</v>
      </c>
      <c r="J219" s="42">
        <v>42940.338449074072</v>
      </c>
      <c r="K219" s="81" t="s">
        <v>1768</v>
      </c>
      <c r="L219" t="s">
        <v>1768</v>
      </c>
      <c r="M219" t="s">
        <v>1761</v>
      </c>
      <c r="N219" s="1" t="s">
        <v>1761</v>
      </c>
      <c r="O219" s="1" t="s">
        <v>1781</v>
      </c>
      <c r="P219" t="s">
        <v>1781</v>
      </c>
      <c r="Q219" s="9" t="s">
        <v>45</v>
      </c>
      <c r="R219" s="82" t="s">
        <v>45</v>
      </c>
      <c r="S219" s="44" t="s">
        <v>1782</v>
      </c>
      <c r="T219" s="3" t="s">
        <v>1889</v>
      </c>
      <c r="U219" s="2" t="s">
        <v>29</v>
      </c>
      <c r="V219" s="89" t="s">
        <v>29</v>
      </c>
      <c r="W219" s="11" t="s">
        <v>143</v>
      </c>
      <c r="X219" s="89" t="s">
        <v>143</v>
      </c>
      <c r="Y219" s="77" t="s">
        <v>1772</v>
      </c>
      <c r="Z219" s="84" t="s">
        <v>2544</v>
      </c>
      <c r="AA219" s="89" t="s">
        <v>28</v>
      </c>
      <c r="AB219" s="90" t="str">
        <f>HYPERLINK(CONCATENATE("https://www.ejacket.nsf.gov/ej/showProposal.do?ID=",SUBSTITUTE(SplitQueryTable[[#This Row],[prop_id]],CHAR(160),"")),"eJ")</f>
        <v>eJ</v>
      </c>
      <c r="AC219" s="89" t="s">
        <v>2544</v>
      </c>
      <c r="AD219" s="3" t="s">
        <v>2544</v>
      </c>
      <c r="AE219" s="91">
        <v>2017</v>
      </c>
      <c r="AF219" s="13" t="s">
        <v>43</v>
      </c>
      <c r="AG219" s="13">
        <v>200000</v>
      </c>
      <c r="AH219" s="45">
        <v>500000</v>
      </c>
      <c r="AI219" s="44" t="s">
        <v>748</v>
      </c>
      <c r="AJ219" s="2" t="s">
        <v>2546</v>
      </c>
      <c r="AK219" s="46" t="s">
        <v>2547</v>
      </c>
      <c r="AL219" s="55" t="s">
        <v>1775</v>
      </c>
      <c r="AM219" s="45" t="s">
        <v>1775</v>
      </c>
      <c r="AN219" s="56" t="s">
        <v>142</v>
      </c>
      <c r="AO219" s="23" t="s">
        <v>146</v>
      </c>
      <c r="AP219" s="11"/>
      <c r="AQ219" s="88" t="s">
        <v>2545</v>
      </c>
      <c r="AR219" s="57" t="s">
        <v>200</v>
      </c>
      <c r="AS219" s="46">
        <v>42967.829629629632</v>
      </c>
      <c r="AT219" s="3">
        <f t="shared" si="3"/>
        <v>194</v>
      </c>
    </row>
    <row r="220" spans="8:46" x14ac:dyDescent="0.4">
      <c r="H220" s="59">
        <v>43005.699629629627</v>
      </c>
      <c r="I220" s="43">
        <v>42562.652777777781</v>
      </c>
      <c r="J220" s="42">
        <v>42725.663263888891</v>
      </c>
      <c r="K220" s="81" t="s">
        <v>1768</v>
      </c>
      <c r="L220" t="s">
        <v>1768</v>
      </c>
      <c r="M220" t="s">
        <v>1761</v>
      </c>
      <c r="N220" s="1" t="s">
        <v>1761</v>
      </c>
      <c r="O220" s="1" t="s">
        <v>1770</v>
      </c>
      <c r="P220" t="s">
        <v>1770</v>
      </c>
      <c r="Q220" s="9" t="s">
        <v>45</v>
      </c>
      <c r="R220" s="82" t="s">
        <v>45</v>
      </c>
      <c r="S220" s="44" t="s">
        <v>1762</v>
      </c>
      <c r="T220" s="3" t="s">
        <v>1889</v>
      </c>
      <c r="U220" s="2" t="s">
        <v>29</v>
      </c>
      <c r="V220" s="89" t="s">
        <v>29</v>
      </c>
      <c r="W220" s="11" t="s">
        <v>143</v>
      </c>
      <c r="X220" s="89" t="s">
        <v>143</v>
      </c>
      <c r="Y220" s="77" t="s">
        <v>1772</v>
      </c>
      <c r="Z220" s="84" t="s">
        <v>2553</v>
      </c>
      <c r="AA220" s="89" t="s">
        <v>28</v>
      </c>
      <c r="AB220" s="90" t="str">
        <f>HYPERLINK(CONCATENATE("https://www.ejacket.nsf.gov/ej/showProposal.do?ID=",SUBSTITUTE(SplitQueryTable[[#This Row],[prop_id]],CHAR(160),"")),"eJ")</f>
        <v>eJ</v>
      </c>
      <c r="AC220" s="89" t="s">
        <v>2553</v>
      </c>
      <c r="AD220" s="3" t="s">
        <v>2553</v>
      </c>
      <c r="AE220" s="91">
        <v>2017</v>
      </c>
      <c r="AF220" s="13" t="s">
        <v>43</v>
      </c>
      <c r="AG220" s="13">
        <v>200000</v>
      </c>
      <c r="AH220" s="45">
        <v>612496</v>
      </c>
      <c r="AI220" s="44" t="s">
        <v>2556</v>
      </c>
      <c r="AJ220" s="2" t="s">
        <v>187</v>
      </c>
      <c r="AK220" s="46" t="s">
        <v>1735</v>
      </c>
      <c r="AL220" s="55" t="s">
        <v>2555</v>
      </c>
      <c r="AM220" s="45" t="s">
        <v>2555</v>
      </c>
      <c r="AN220" s="56" t="s">
        <v>142</v>
      </c>
      <c r="AO220" s="23" t="s">
        <v>146</v>
      </c>
      <c r="AP220" s="11"/>
      <c r="AQ220" s="88" t="s">
        <v>2554</v>
      </c>
      <c r="AR220" s="57" t="s">
        <v>200</v>
      </c>
      <c r="AS220" s="46">
        <v>42754.480914351851</v>
      </c>
      <c r="AT220" s="3">
        <f t="shared" si="3"/>
        <v>195</v>
      </c>
    </row>
    <row r="221" spans="8:46" x14ac:dyDescent="0.4">
      <c r="H221" s="59">
        <v>43005.699629629627</v>
      </c>
      <c r="I221" s="43">
        <v>41908.502083333333</v>
      </c>
      <c r="J221" s="42">
        <v>42058.334282407406</v>
      </c>
      <c r="K221" s="81" t="s">
        <v>1768</v>
      </c>
      <c r="L221" t="s">
        <v>1768</v>
      </c>
      <c r="M221" t="s">
        <v>1761</v>
      </c>
      <c r="N221" s="1" t="s">
        <v>1761</v>
      </c>
      <c r="O221" s="1" t="s">
        <v>1770</v>
      </c>
      <c r="P221" t="s">
        <v>1770</v>
      </c>
      <c r="Q221" s="9" t="s">
        <v>45</v>
      </c>
      <c r="R221" s="82" t="s">
        <v>45</v>
      </c>
      <c r="S221" s="44" t="s">
        <v>2088</v>
      </c>
      <c r="T221" s="3" t="s">
        <v>1889</v>
      </c>
      <c r="U221" s="2" t="s">
        <v>29</v>
      </c>
      <c r="V221" s="89" t="s">
        <v>29</v>
      </c>
      <c r="W221" s="11" t="s">
        <v>143</v>
      </c>
      <c r="X221" s="89" t="s">
        <v>143</v>
      </c>
      <c r="Y221" s="77" t="s">
        <v>1772</v>
      </c>
      <c r="Z221" s="84" t="s">
        <v>2496</v>
      </c>
      <c r="AA221" s="89" t="s">
        <v>62</v>
      </c>
      <c r="AB221" s="90" t="str">
        <f>HYPERLINK(CONCATENATE("https://www.ejacket.nsf.gov/ej/showProposal.do?ID=",SUBSTITUTE(SplitQueryTable[[#This Row],[prop_id]],CHAR(160),"")),"eJ")</f>
        <v>eJ</v>
      </c>
      <c r="AC221" s="89" t="s">
        <v>2557</v>
      </c>
      <c r="AD221" s="3" t="s">
        <v>2557</v>
      </c>
      <c r="AE221" s="91">
        <v>2017</v>
      </c>
      <c r="AF221" s="13" t="s">
        <v>43</v>
      </c>
      <c r="AG221" s="13">
        <v>45000</v>
      </c>
      <c r="AH221" s="45">
        <v>325000</v>
      </c>
      <c r="AI221" s="44" t="s">
        <v>2558</v>
      </c>
      <c r="AJ221" s="2" t="s">
        <v>2559</v>
      </c>
      <c r="AK221" s="46" t="s">
        <v>261</v>
      </c>
      <c r="AL221" s="55" t="s">
        <v>1775</v>
      </c>
      <c r="AM221" s="45" t="s">
        <v>1775</v>
      </c>
      <c r="AN221" s="56" t="s">
        <v>142</v>
      </c>
      <c r="AO221" s="23" t="s">
        <v>146</v>
      </c>
      <c r="AP221" s="11" t="s">
        <v>172</v>
      </c>
      <c r="AQ221" s="88" t="s">
        <v>2497</v>
      </c>
      <c r="AR221" s="57" t="s">
        <v>40</v>
      </c>
      <c r="AS221" s="46">
        <v>42948.272951388892</v>
      </c>
      <c r="AT221" s="3">
        <f t="shared" si="3"/>
        <v>196</v>
      </c>
    </row>
    <row r="222" spans="8:46" x14ac:dyDescent="0.4">
      <c r="H222" s="59">
        <v>43005.699629629627</v>
      </c>
      <c r="I222" s="43">
        <v>42064.519444444442</v>
      </c>
      <c r="J222" s="42">
        <v>42212.732592592591</v>
      </c>
      <c r="K222" s="81" t="s">
        <v>1768</v>
      </c>
      <c r="L222" t="s">
        <v>1768</v>
      </c>
      <c r="M222" t="s">
        <v>1761</v>
      </c>
      <c r="N222" s="1" t="s">
        <v>1761</v>
      </c>
      <c r="O222" s="1" t="s">
        <v>1770</v>
      </c>
      <c r="P222" t="s">
        <v>1770</v>
      </c>
      <c r="Q222" s="9" t="s">
        <v>45</v>
      </c>
      <c r="R222" s="82" t="s">
        <v>45</v>
      </c>
      <c r="S222" s="44" t="s">
        <v>2088</v>
      </c>
      <c r="T222" s="3" t="s">
        <v>1889</v>
      </c>
      <c r="U222" s="2" t="s">
        <v>29</v>
      </c>
      <c r="V222" s="89" t="s">
        <v>29</v>
      </c>
      <c r="W222" s="11" t="s">
        <v>143</v>
      </c>
      <c r="X222" s="89" t="s">
        <v>143</v>
      </c>
      <c r="Y222" s="77" t="s">
        <v>1772</v>
      </c>
      <c r="Z222" s="84" t="s">
        <v>2560</v>
      </c>
      <c r="AA222" s="89" t="s">
        <v>28</v>
      </c>
      <c r="AB222" s="90" t="str">
        <f>HYPERLINK(CONCATENATE("https://www.ejacket.nsf.gov/ej/showProposal.do?ID=",SUBSTITUTE(SplitQueryTable[[#This Row],[prop_id]],CHAR(160),"")),"eJ")</f>
        <v>eJ</v>
      </c>
      <c r="AC222" s="89" t="s">
        <v>2560</v>
      </c>
      <c r="AD222" s="3" t="s">
        <v>2560</v>
      </c>
      <c r="AE222" s="91">
        <v>2017</v>
      </c>
      <c r="AF222" s="13" t="s">
        <v>43</v>
      </c>
      <c r="AG222" s="13">
        <v>15000</v>
      </c>
      <c r="AH222" s="45">
        <v>75000</v>
      </c>
      <c r="AI222" s="44" t="s">
        <v>390</v>
      </c>
      <c r="AJ222" s="2" t="s">
        <v>2562</v>
      </c>
      <c r="AK222" s="46" t="s">
        <v>2563</v>
      </c>
      <c r="AL222" s="55" t="s">
        <v>2532</v>
      </c>
      <c r="AM222" s="45" t="s">
        <v>2532</v>
      </c>
      <c r="AN222" s="56" t="s">
        <v>142</v>
      </c>
      <c r="AO222" s="23" t="s">
        <v>146</v>
      </c>
      <c r="AP222" s="11" t="s">
        <v>172</v>
      </c>
      <c r="AQ222" s="88" t="s">
        <v>2561</v>
      </c>
      <c r="AR222" s="57" t="s">
        <v>40</v>
      </c>
      <c r="AS222" s="46">
        <v>42969.643761574072</v>
      </c>
      <c r="AT222" s="3">
        <f t="shared" si="3"/>
        <v>197</v>
      </c>
    </row>
    <row r="223" spans="8:46" x14ac:dyDescent="0.4">
      <c r="H223" s="59">
        <v>43005.699629629627</v>
      </c>
      <c r="I223" s="43">
        <v>42066.366666666669</v>
      </c>
      <c r="J223" s="42">
        <v>42212.562743055554</v>
      </c>
      <c r="K223" s="81" t="s">
        <v>1768</v>
      </c>
      <c r="L223" t="s">
        <v>1760</v>
      </c>
      <c r="M223" t="s">
        <v>1761</v>
      </c>
      <c r="N223" s="1" t="s">
        <v>1761</v>
      </c>
      <c r="O223" s="1" t="s">
        <v>227</v>
      </c>
      <c r="P223" t="s">
        <v>227</v>
      </c>
      <c r="Q223" s="9" t="s">
        <v>45</v>
      </c>
      <c r="R223" s="82" t="s">
        <v>45</v>
      </c>
      <c r="S223" s="44" t="s">
        <v>2088</v>
      </c>
      <c r="T223" s="3" t="s">
        <v>1889</v>
      </c>
      <c r="U223" s="2" t="s">
        <v>29</v>
      </c>
      <c r="V223" s="89" t="s">
        <v>29</v>
      </c>
      <c r="W223" s="11" t="s">
        <v>143</v>
      </c>
      <c r="X223" s="89" t="s">
        <v>143</v>
      </c>
      <c r="Y223" s="77" t="s">
        <v>1772</v>
      </c>
      <c r="Z223" s="84" t="s">
        <v>2565</v>
      </c>
      <c r="AA223" s="89" t="s">
        <v>62</v>
      </c>
      <c r="AB223" s="90" t="str">
        <f>HYPERLINK(CONCATENATE("https://www.ejacket.nsf.gov/ej/showProposal.do?ID=",SUBSTITUTE(SplitQueryTable[[#This Row],[prop_id]],CHAR(160),"")),"eJ")</f>
        <v>eJ</v>
      </c>
      <c r="AC223" s="89" t="s">
        <v>2564</v>
      </c>
      <c r="AD223" s="3" t="s">
        <v>2564</v>
      </c>
      <c r="AE223" s="91">
        <v>2017</v>
      </c>
      <c r="AF223" s="13" t="s">
        <v>43</v>
      </c>
      <c r="AG223" s="13">
        <v>45000</v>
      </c>
      <c r="AH223" s="45">
        <v>225000</v>
      </c>
      <c r="AI223" s="44" t="s">
        <v>2567</v>
      </c>
      <c r="AJ223" s="2" t="s">
        <v>239</v>
      </c>
      <c r="AK223" s="46" t="s">
        <v>301</v>
      </c>
      <c r="AL223" s="55" t="s">
        <v>2117</v>
      </c>
      <c r="AM223" s="45" t="s">
        <v>2117</v>
      </c>
      <c r="AN223" s="56" t="s">
        <v>142</v>
      </c>
      <c r="AO223" s="23" t="s">
        <v>146</v>
      </c>
      <c r="AP223" s="11" t="s">
        <v>172</v>
      </c>
      <c r="AQ223" s="88" t="s">
        <v>2566</v>
      </c>
      <c r="AR223" s="57" t="s">
        <v>40</v>
      </c>
      <c r="AS223" s="46">
        <v>42956.685856481483</v>
      </c>
      <c r="AT223" s="3">
        <f t="shared" si="3"/>
        <v>198</v>
      </c>
    </row>
    <row r="224" spans="8:46" x14ac:dyDescent="0.4">
      <c r="H224" s="59">
        <v>43005.699629629627</v>
      </c>
      <c r="I224" s="43">
        <v>41544.418749999997</v>
      </c>
      <c r="J224" s="42">
        <v>41723.76667824074</v>
      </c>
      <c r="K224" s="81" t="s">
        <v>1768</v>
      </c>
      <c r="L224" t="s">
        <v>1760</v>
      </c>
      <c r="M224" t="s">
        <v>1761</v>
      </c>
      <c r="N224" s="1" t="s">
        <v>1761</v>
      </c>
      <c r="O224" s="1" t="s">
        <v>2161</v>
      </c>
      <c r="P224" t="s">
        <v>52</v>
      </c>
      <c r="Q224" s="9" t="s">
        <v>45</v>
      </c>
      <c r="R224" s="82" t="s">
        <v>45</v>
      </c>
      <c r="S224" s="44" t="s">
        <v>2102</v>
      </c>
      <c r="T224" s="3" t="s">
        <v>1889</v>
      </c>
      <c r="U224" s="2" t="s">
        <v>29</v>
      </c>
      <c r="V224" s="89" t="s">
        <v>29</v>
      </c>
      <c r="W224" s="11" t="s">
        <v>143</v>
      </c>
      <c r="X224" s="89" t="s">
        <v>143</v>
      </c>
      <c r="Y224" s="77" t="s">
        <v>1772</v>
      </c>
      <c r="Z224" s="84" t="s">
        <v>2172</v>
      </c>
      <c r="AA224" s="89" t="s">
        <v>62</v>
      </c>
      <c r="AB224" s="90" t="str">
        <f>HYPERLINK(CONCATENATE("https://www.ejacket.nsf.gov/ej/showProposal.do?ID=",SUBSTITUTE(SplitQueryTable[[#This Row],[prop_id]],CHAR(160),"")),"eJ")</f>
        <v>eJ</v>
      </c>
      <c r="AC224" s="89" t="s">
        <v>2568</v>
      </c>
      <c r="AD224" s="3" t="s">
        <v>2568</v>
      </c>
      <c r="AE224" s="91">
        <v>2017</v>
      </c>
      <c r="AF224" s="13" t="s">
        <v>43</v>
      </c>
      <c r="AG224" s="13">
        <v>40000</v>
      </c>
      <c r="AH224" s="45">
        <v>200000</v>
      </c>
      <c r="AI224" s="44" t="s">
        <v>2569</v>
      </c>
      <c r="AJ224" s="2" t="s">
        <v>2570</v>
      </c>
      <c r="AK224" s="46" t="s">
        <v>2571</v>
      </c>
      <c r="AL224" s="55" t="s">
        <v>2117</v>
      </c>
      <c r="AM224" s="45" t="s">
        <v>2117</v>
      </c>
      <c r="AN224" s="56" t="s">
        <v>142</v>
      </c>
      <c r="AO224" s="23" t="s">
        <v>146</v>
      </c>
      <c r="AP224" s="11" t="s">
        <v>172</v>
      </c>
      <c r="AQ224" s="88" t="s">
        <v>2173</v>
      </c>
      <c r="AR224" s="57" t="s">
        <v>40</v>
      </c>
      <c r="AS224" s="46">
        <v>42900.508796296293</v>
      </c>
      <c r="AT224" s="3">
        <f t="shared" si="3"/>
        <v>199</v>
      </c>
    </row>
    <row r="225" spans="8:46" x14ac:dyDescent="0.4">
      <c r="H225" s="59">
        <v>43005.699629629627</v>
      </c>
      <c r="I225" s="43">
        <v>42066.670138888891</v>
      </c>
      <c r="J225" s="42">
        <v>42214.495243055557</v>
      </c>
      <c r="K225" s="81" t="s">
        <v>1768</v>
      </c>
      <c r="L225" t="s">
        <v>1768</v>
      </c>
      <c r="M225" t="s">
        <v>1761</v>
      </c>
      <c r="N225" s="1" t="s">
        <v>1761</v>
      </c>
      <c r="O225" s="1" t="s">
        <v>1770</v>
      </c>
      <c r="P225" t="s">
        <v>1770</v>
      </c>
      <c r="Q225" s="9" t="s">
        <v>45</v>
      </c>
      <c r="R225" s="82" t="s">
        <v>45</v>
      </c>
      <c r="S225" s="44" t="s">
        <v>2088</v>
      </c>
      <c r="T225" s="3" t="s">
        <v>1889</v>
      </c>
      <c r="U225" s="2" t="s">
        <v>29</v>
      </c>
      <c r="V225" s="89" t="s">
        <v>29</v>
      </c>
      <c r="W225" s="11" t="s">
        <v>143</v>
      </c>
      <c r="X225" s="89" t="s">
        <v>143</v>
      </c>
      <c r="Y225" s="77" t="s">
        <v>1772</v>
      </c>
      <c r="Z225" s="84" t="s">
        <v>2581</v>
      </c>
      <c r="AA225" s="89" t="s">
        <v>62</v>
      </c>
      <c r="AB225" s="90" t="str">
        <f>HYPERLINK(CONCATENATE("https://www.ejacket.nsf.gov/ej/showProposal.do?ID=",SUBSTITUTE(SplitQueryTable[[#This Row],[prop_id]],CHAR(160),"")),"eJ")</f>
        <v>eJ</v>
      </c>
      <c r="AC225" s="89" t="s">
        <v>2580</v>
      </c>
      <c r="AD225" s="3" t="s">
        <v>2580</v>
      </c>
      <c r="AE225" s="91">
        <v>2017</v>
      </c>
      <c r="AF225" s="13" t="s">
        <v>43</v>
      </c>
      <c r="AG225" s="13">
        <v>45000</v>
      </c>
      <c r="AH225" s="45">
        <v>225000</v>
      </c>
      <c r="AI225" s="44" t="s">
        <v>2584</v>
      </c>
      <c r="AJ225" s="2" t="s">
        <v>323</v>
      </c>
      <c r="AK225" s="46" t="s">
        <v>2390</v>
      </c>
      <c r="AL225" s="55" t="s">
        <v>2583</v>
      </c>
      <c r="AM225" s="45" t="s">
        <v>2583</v>
      </c>
      <c r="AN225" s="56" t="s">
        <v>142</v>
      </c>
      <c r="AO225" s="23" t="s">
        <v>146</v>
      </c>
      <c r="AP225" s="11" t="s">
        <v>172</v>
      </c>
      <c r="AQ225" s="88" t="s">
        <v>2582</v>
      </c>
      <c r="AR225" s="57" t="s">
        <v>40</v>
      </c>
      <c r="AS225" s="46">
        <v>42993.285405092596</v>
      </c>
      <c r="AT225" s="3">
        <f t="shared" si="3"/>
        <v>200</v>
      </c>
    </row>
    <row r="226" spans="8:46" x14ac:dyDescent="0.4">
      <c r="H226" s="59">
        <v>43005.699629629627</v>
      </c>
      <c r="I226" s="43">
        <v>41180.64166666667</v>
      </c>
      <c r="J226" s="42">
        <v>41318.736354166664</v>
      </c>
      <c r="K226" s="81" t="s">
        <v>1768</v>
      </c>
      <c r="L226" t="s">
        <v>1760</v>
      </c>
      <c r="M226" t="s">
        <v>1761</v>
      </c>
      <c r="N226" s="1" t="s">
        <v>1761</v>
      </c>
      <c r="O226" s="1" t="s">
        <v>2109</v>
      </c>
      <c r="P226" t="s">
        <v>52</v>
      </c>
      <c r="Q226" s="9" t="s">
        <v>45</v>
      </c>
      <c r="R226" s="82" t="s">
        <v>45</v>
      </c>
      <c r="S226" s="44" t="s">
        <v>2102</v>
      </c>
      <c r="T226" s="3" t="s">
        <v>1889</v>
      </c>
      <c r="U226" s="2" t="s">
        <v>29</v>
      </c>
      <c r="V226" s="89" t="s">
        <v>29</v>
      </c>
      <c r="W226" s="11" t="s">
        <v>143</v>
      </c>
      <c r="X226" s="89" t="s">
        <v>143</v>
      </c>
      <c r="Y226" s="77" t="s">
        <v>1772</v>
      </c>
      <c r="Z226" s="84" t="s">
        <v>2585</v>
      </c>
      <c r="AA226" s="89" t="s">
        <v>28</v>
      </c>
      <c r="AB226" s="90" t="str">
        <f>HYPERLINK(CONCATENATE("https://www.ejacket.nsf.gov/ej/showProposal.do?ID=",SUBSTITUTE(SplitQueryTable[[#This Row],[prop_id]],CHAR(160),"")),"eJ")</f>
        <v>eJ</v>
      </c>
      <c r="AC226" s="89" t="s">
        <v>2585</v>
      </c>
      <c r="AD226" s="3" t="s">
        <v>2585</v>
      </c>
      <c r="AE226" s="91">
        <v>2017</v>
      </c>
      <c r="AF226" s="13" t="s">
        <v>43</v>
      </c>
      <c r="AG226" s="13">
        <v>40000</v>
      </c>
      <c r="AH226" s="45">
        <v>200000</v>
      </c>
      <c r="AI226" s="44" t="s">
        <v>2587</v>
      </c>
      <c r="AJ226" s="2" t="s">
        <v>2257</v>
      </c>
      <c r="AK226" s="46" t="s">
        <v>1745</v>
      </c>
      <c r="AL226" s="55" t="s">
        <v>2117</v>
      </c>
      <c r="AM226" s="45" t="s">
        <v>2117</v>
      </c>
      <c r="AN226" s="56" t="s">
        <v>142</v>
      </c>
      <c r="AO226" s="23" t="s">
        <v>146</v>
      </c>
      <c r="AP226" s="11" t="s">
        <v>172</v>
      </c>
      <c r="AQ226" s="88" t="s">
        <v>2586</v>
      </c>
      <c r="AR226" s="57" t="s">
        <v>40</v>
      </c>
      <c r="AS226" s="46">
        <v>42963.582986111112</v>
      </c>
      <c r="AT226" s="3">
        <f t="shared" si="3"/>
        <v>201</v>
      </c>
    </row>
    <row r="227" spans="8:46" x14ac:dyDescent="0.4">
      <c r="H227" s="59">
        <v>43005.699629629627</v>
      </c>
      <c r="I227" s="43">
        <v>42794.620833333334</v>
      </c>
      <c r="J227" s="42">
        <v>42929.373182870368</v>
      </c>
      <c r="K227" s="81" t="s">
        <v>1768</v>
      </c>
      <c r="L227" t="s">
        <v>1768</v>
      </c>
      <c r="M227" t="s">
        <v>1761</v>
      </c>
      <c r="N227" s="1" t="s">
        <v>1761</v>
      </c>
      <c r="O227" s="1" t="s">
        <v>1781</v>
      </c>
      <c r="P227" t="s">
        <v>1781</v>
      </c>
      <c r="Q227" s="9" t="s">
        <v>45</v>
      </c>
      <c r="R227" s="82" t="s">
        <v>45</v>
      </c>
      <c r="S227" s="44" t="s">
        <v>1782</v>
      </c>
      <c r="T227" s="3" t="s">
        <v>1889</v>
      </c>
      <c r="U227" s="2" t="s">
        <v>29</v>
      </c>
      <c r="V227" s="89" t="s">
        <v>29</v>
      </c>
      <c r="W227" s="11" t="s">
        <v>143</v>
      </c>
      <c r="X227" s="89" t="s">
        <v>143</v>
      </c>
      <c r="Y227" s="77" t="s">
        <v>1772</v>
      </c>
      <c r="Z227" s="84" t="s">
        <v>2588</v>
      </c>
      <c r="AA227" s="89" t="s">
        <v>28</v>
      </c>
      <c r="AB227" s="90" t="str">
        <f>HYPERLINK(CONCATENATE("https://www.ejacket.nsf.gov/ej/showProposal.do?ID=",SUBSTITUTE(SplitQueryTable[[#This Row],[prop_id]],CHAR(160),"")),"eJ")</f>
        <v>eJ</v>
      </c>
      <c r="AC227" s="89" t="s">
        <v>2588</v>
      </c>
      <c r="AD227" s="3" t="s">
        <v>2588</v>
      </c>
      <c r="AE227" s="91">
        <v>2017</v>
      </c>
      <c r="AF227" s="13" t="s">
        <v>43</v>
      </c>
      <c r="AG227" s="13">
        <v>200000</v>
      </c>
      <c r="AH227" s="45">
        <v>500000</v>
      </c>
      <c r="AI227" s="44" t="s">
        <v>2590</v>
      </c>
      <c r="AJ227" s="2" t="s">
        <v>259</v>
      </c>
      <c r="AK227" s="46" t="s">
        <v>1745</v>
      </c>
      <c r="AL227" s="55" t="s">
        <v>2438</v>
      </c>
      <c r="AM227" s="45" t="s">
        <v>1759</v>
      </c>
      <c r="AN227" s="56" t="s">
        <v>142</v>
      </c>
      <c r="AO227" s="23" t="s">
        <v>146</v>
      </c>
      <c r="AP227" s="11"/>
      <c r="AQ227" s="88" t="s">
        <v>2589</v>
      </c>
      <c r="AR227" s="57" t="s">
        <v>200</v>
      </c>
      <c r="AS227" s="46">
        <v>42956.800937499997</v>
      </c>
      <c r="AT227" s="3">
        <f t="shared" si="3"/>
        <v>202</v>
      </c>
    </row>
    <row r="228" spans="8:46" x14ac:dyDescent="0.4">
      <c r="H228" s="59">
        <v>43005.699629629627</v>
      </c>
      <c r="I228" s="43">
        <v>42066.668055555558</v>
      </c>
      <c r="J228" s="42">
        <v>42181.616365740738</v>
      </c>
      <c r="K228" s="81" t="s">
        <v>1768</v>
      </c>
      <c r="L228" t="s">
        <v>1768</v>
      </c>
      <c r="M228" t="s">
        <v>1761</v>
      </c>
      <c r="N228" s="1" t="s">
        <v>1761</v>
      </c>
      <c r="O228" s="1" t="s">
        <v>1770</v>
      </c>
      <c r="P228" t="s">
        <v>1770</v>
      </c>
      <c r="Q228" s="9" t="s">
        <v>45</v>
      </c>
      <c r="R228" s="82" t="s">
        <v>45</v>
      </c>
      <c r="S228" s="44" t="s">
        <v>2088</v>
      </c>
      <c r="T228" s="3" t="s">
        <v>1889</v>
      </c>
      <c r="U228" s="2" t="s">
        <v>29</v>
      </c>
      <c r="V228" s="89" t="s">
        <v>29</v>
      </c>
      <c r="W228" s="11" t="s">
        <v>143</v>
      </c>
      <c r="X228" s="89" t="s">
        <v>143</v>
      </c>
      <c r="Y228" s="77" t="s">
        <v>1772</v>
      </c>
      <c r="Z228" s="84" t="s">
        <v>2592</v>
      </c>
      <c r="AA228" s="89" t="s">
        <v>62</v>
      </c>
      <c r="AB228" s="90" t="str">
        <f>HYPERLINK(CONCATENATE("https://www.ejacket.nsf.gov/ej/showProposal.do?ID=",SUBSTITUTE(SplitQueryTable[[#This Row],[prop_id]],CHAR(160),"")),"eJ")</f>
        <v>eJ</v>
      </c>
      <c r="AC228" s="89" t="s">
        <v>2591</v>
      </c>
      <c r="AD228" s="3" t="s">
        <v>2591</v>
      </c>
      <c r="AE228" s="91">
        <v>2017</v>
      </c>
      <c r="AF228" s="13" t="s">
        <v>43</v>
      </c>
      <c r="AG228" s="13">
        <v>45000</v>
      </c>
      <c r="AH228" s="45">
        <v>225000</v>
      </c>
      <c r="AI228" s="44" t="s">
        <v>2595</v>
      </c>
      <c r="AJ228" s="2" t="s">
        <v>215</v>
      </c>
      <c r="AK228" s="46" t="s">
        <v>308</v>
      </c>
      <c r="AL228" s="55" t="s">
        <v>2594</v>
      </c>
      <c r="AM228" s="45" t="s">
        <v>2594</v>
      </c>
      <c r="AN228" s="56" t="s">
        <v>142</v>
      </c>
      <c r="AO228" s="23" t="s">
        <v>146</v>
      </c>
      <c r="AP228" s="11" t="s">
        <v>172</v>
      </c>
      <c r="AQ228" s="88" t="s">
        <v>2593</v>
      </c>
      <c r="AR228" s="57" t="s">
        <v>40</v>
      </c>
      <c r="AS228" s="46">
        <v>42966.87295138889</v>
      </c>
      <c r="AT228" s="3">
        <f t="shared" si="3"/>
        <v>203</v>
      </c>
    </row>
    <row r="229" spans="8:46" x14ac:dyDescent="0.4">
      <c r="H229" s="59">
        <v>43005.699629629627</v>
      </c>
      <c r="I229" s="43">
        <v>41180.411805555559</v>
      </c>
      <c r="J229" s="42">
        <v>41318.346203703702</v>
      </c>
      <c r="K229" s="81" t="s">
        <v>1768</v>
      </c>
      <c r="L229" t="s">
        <v>1768</v>
      </c>
      <c r="M229" t="s">
        <v>1761</v>
      </c>
      <c r="N229" s="1" t="s">
        <v>1761</v>
      </c>
      <c r="O229" s="1" t="s">
        <v>2101</v>
      </c>
      <c r="P229" t="s">
        <v>2101</v>
      </c>
      <c r="Q229" s="9" t="s">
        <v>45</v>
      </c>
      <c r="R229" s="82" t="s">
        <v>45</v>
      </c>
      <c r="S229" s="44" t="s">
        <v>2102</v>
      </c>
      <c r="T229" s="3" t="s">
        <v>1889</v>
      </c>
      <c r="U229" s="2" t="s">
        <v>29</v>
      </c>
      <c r="V229" s="89" t="s">
        <v>29</v>
      </c>
      <c r="W229" s="11" t="s">
        <v>143</v>
      </c>
      <c r="X229" s="89" t="s">
        <v>143</v>
      </c>
      <c r="Y229" s="77" t="s">
        <v>1772</v>
      </c>
      <c r="Z229" s="84" t="s">
        <v>2548</v>
      </c>
      <c r="AA229" s="89" t="s">
        <v>62</v>
      </c>
      <c r="AB229" s="90" t="str">
        <f>HYPERLINK(CONCATENATE("https://www.ejacket.nsf.gov/ej/showProposal.do?ID=",SUBSTITUTE(SplitQueryTable[[#This Row],[prop_id]],CHAR(160),"")),"eJ")</f>
        <v>eJ</v>
      </c>
      <c r="AC229" s="89" t="s">
        <v>2596</v>
      </c>
      <c r="AD229" s="3" t="s">
        <v>2596</v>
      </c>
      <c r="AE229" s="91">
        <v>2017</v>
      </c>
      <c r="AF229" s="13" t="s">
        <v>43</v>
      </c>
      <c r="AG229" s="13">
        <v>49576</v>
      </c>
      <c r="AH229" s="45">
        <v>200000</v>
      </c>
      <c r="AI229" s="44" t="s">
        <v>2598</v>
      </c>
      <c r="AJ229" s="2" t="s">
        <v>2599</v>
      </c>
      <c r="AK229" s="46" t="s">
        <v>1745</v>
      </c>
      <c r="AL229" s="55" t="s">
        <v>2550</v>
      </c>
      <c r="AM229" s="45" t="s">
        <v>2550</v>
      </c>
      <c r="AN229" s="56" t="s">
        <v>142</v>
      </c>
      <c r="AO229" s="23" t="s">
        <v>146</v>
      </c>
      <c r="AP229" s="11" t="s">
        <v>382</v>
      </c>
      <c r="AQ229" s="88" t="s">
        <v>2597</v>
      </c>
      <c r="AR229" s="57" t="s">
        <v>2552</v>
      </c>
      <c r="AS229" s="46">
        <v>42257.653668981482</v>
      </c>
      <c r="AT229" s="3">
        <f t="shared" si="3"/>
        <v>204</v>
      </c>
    </row>
    <row r="230" spans="8:46" x14ac:dyDescent="0.4">
      <c r="H230" s="59">
        <v>43005.699629629627</v>
      </c>
      <c r="I230" s="43">
        <v>41338.659722222219</v>
      </c>
      <c r="J230" s="42">
        <v>41472.748877314814</v>
      </c>
      <c r="K230" s="81" t="s">
        <v>1768</v>
      </c>
      <c r="L230" t="s">
        <v>1768</v>
      </c>
      <c r="M230" t="s">
        <v>1761</v>
      </c>
      <c r="N230" s="1" t="s">
        <v>1761</v>
      </c>
      <c r="O230" s="1" t="s">
        <v>2101</v>
      </c>
      <c r="P230" t="s">
        <v>2101</v>
      </c>
      <c r="Q230" s="9" t="s">
        <v>45</v>
      </c>
      <c r="R230" s="82" t="s">
        <v>45</v>
      </c>
      <c r="S230" s="44" t="s">
        <v>2102</v>
      </c>
      <c r="T230" s="3" t="s">
        <v>1889</v>
      </c>
      <c r="U230" s="2" t="s">
        <v>29</v>
      </c>
      <c r="V230" s="89" t="s">
        <v>29</v>
      </c>
      <c r="W230" s="11" t="s">
        <v>143</v>
      </c>
      <c r="X230" s="89" t="s">
        <v>143</v>
      </c>
      <c r="Y230" s="77" t="s">
        <v>1772</v>
      </c>
      <c r="Z230" s="84" t="s">
        <v>2600</v>
      </c>
      <c r="AA230" s="89" t="s">
        <v>28</v>
      </c>
      <c r="AB230" s="90" t="str">
        <f>HYPERLINK(CONCATENATE("https://www.ejacket.nsf.gov/ej/showProposal.do?ID=",SUBSTITUTE(SplitQueryTable[[#This Row],[prop_id]],CHAR(160),"")),"eJ")</f>
        <v>eJ</v>
      </c>
      <c r="AC230" s="89" t="s">
        <v>2600</v>
      </c>
      <c r="AD230" s="3" t="s">
        <v>2600</v>
      </c>
      <c r="AE230" s="91">
        <v>2017</v>
      </c>
      <c r="AF230" s="13" t="s">
        <v>43</v>
      </c>
      <c r="AG230" s="13">
        <v>39220</v>
      </c>
      <c r="AH230" s="45">
        <v>194750</v>
      </c>
      <c r="AI230" s="44" t="s">
        <v>2602</v>
      </c>
      <c r="AJ230" s="2" t="s">
        <v>2603</v>
      </c>
      <c r="AK230" s="46" t="s">
        <v>1718</v>
      </c>
      <c r="AL230" s="55" t="s">
        <v>2272</v>
      </c>
      <c r="AM230" s="45" t="s">
        <v>2272</v>
      </c>
      <c r="AN230" s="56" t="s">
        <v>142</v>
      </c>
      <c r="AO230" s="23" t="s">
        <v>146</v>
      </c>
      <c r="AP230" s="11" t="s">
        <v>382</v>
      </c>
      <c r="AQ230" s="88" t="s">
        <v>2601</v>
      </c>
      <c r="AR230" s="57" t="s">
        <v>2171</v>
      </c>
      <c r="AS230" s="46">
        <v>42181.945254629631</v>
      </c>
      <c r="AT230" s="3">
        <f t="shared" si="3"/>
        <v>205</v>
      </c>
    </row>
    <row r="231" spans="8:46" x14ac:dyDescent="0.4">
      <c r="H231" s="59">
        <v>43005.699629629627</v>
      </c>
      <c r="I231" s="43">
        <v>41702.679166666669</v>
      </c>
      <c r="J231" s="42">
        <v>41850.556840277779</v>
      </c>
      <c r="K231" s="81" t="s">
        <v>1768</v>
      </c>
      <c r="L231" t="s">
        <v>1768</v>
      </c>
      <c r="M231" t="s">
        <v>1761</v>
      </c>
      <c r="N231" s="1" t="s">
        <v>1761</v>
      </c>
      <c r="O231" s="1" t="s">
        <v>1770</v>
      </c>
      <c r="P231" t="s">
        <v>2109</v>
      </c>
      <c r="Q231" s="9" t="s">
        <v>45</v>
      </c>
      <c r="R231" s="82" t="s">
        <v>45</v>
      </c>
      <c r="S231" s="44" t="s">
        <v>2088</v>
      </c>
      <c r="T231" s="3" t="s">
        <v>1889</v>
      </c>
      <c r="U231" s="2" t="s">
        <v>29</v>
      </c>
      <c r="V231" s="89" t="s">
        <v>29</v>
      </c>
      <c r="W231" s="11" t="s">
        <v>143</v>
      </c>
      <c r="X231" s="89" t="s">
        <v>143</v>
      </c>
      <c r="Y231" s="77" t="s">
        <v>1772</v>
      </c>
      <c r="Z231" s="84" t="s">
        <v>2521</v>
      </c>
      <c r="AA231" s="89" t="s">
        <v>174</v>
      </c>
      <c r="AB231" s="90" t="str">
        <f>HYPERLINK(CONCATENATE("https://www.ejacket.nsf.gov/ej/showProposal.do?ID=",SUBSTITUTE(SplitQueryTable[[#This Row],[prop_id]],CHAR(160),"")),"eJ")</f>
        <v>eJ</v>
      </c>
      <c r="AC231" s="89" t="s">
        <v>2521</v>
      </c>
      <c r="AD231" s="3" t="s">
        <v>2521</v>
      </c>
      <c r="AE231" s="91">
        <v>2017</v>
      </c>
      <c r="AF231" s="13" t="s">
        <v>43</v>
      </c>
      <c r="AG231" s="13">
        <v>86975</v>
      </c>
      <c r="AH231" s="45">
        <v>520000</v>
      </c>
      <c r="AI231" s="44" t="s">
        <v>1946</v>
      </c>
      <c r="AJ231" s="2" t="s">
        <v>1947</v>
      </c>
      <c r="AK231" s="46" t="s">
        <v>1948</v>
      </c>
      <c r="AL231" s="55" t="s">
        <v>2523</v>
      </c>
      <c r="AM231" s="45" t="s">
        <v>2523</v>
      </c>
      <c r="AN231" s="56" t="s">
        <v>142</v>
      </c>
      <c r="AO231" s="23" t="s">
        <v>146</v>
      </c>
      <c r="AP231" s="11" t="s">
        <v>382</v>
      </c>
      <c r="AQ231" s="88" t="s">
        <v>2522</v>
      </c>
      <c r="AR231" s="57" t="s">
        <v>2171</v>
      </c>
      <c r="AS231" s="46">
        <v>42181.945254629631</v>
      </c>
      <c r="AT231" s="3">
        <f t="shared" si="3"/>
        <v>206</v>
      </c>
    </row>
    <row r="232" spans="8:46" x14ac:dyDescent="0.4">
      <c r="H232" s="59">
        <v>43005.699629629627</v>
      </c>
      <c r="I232" s="43">
        <v>41702.688888888886</v>
      </c>
      <c r="J232" s="42">
        <v>41852.451689814814</v>
      </c>
      <c r="K232" s="81" t="s">
        <v>1768</v>
      </c>
      <c r="L232" t="s">
        <v>1768</v>
      </c>
      <c r="M232" t="s">
        <v>1761</v>
      </c>
      <c r="N232" s="1" t="s">
        <v>1761</v>
      </c>
      <c r="O232" s="1" t="s">
        <v>1770</v>
      </c>
      <c r="P232" t="s">
        <v>1770</v>
      </c>
      <c r="Q232" s="9" t="s">
        <v>45</v>
      </c>
      <c r="R232" s="82" t="s">
        <v>45</v>
      </c>
      <c r="S232" s="44" t="s">
        <v>2088</v>
      </c>
      <c r="T232" s="3" t="s">
        <v>1889</v>
      </c>
      <c r="U232" s="2" t="s">
        <v>29</v>
      </c>
      <c r="V232" s="89" t="s">
        <v>29</v>
      </c>
      <c r="W232" s="11" t="s">
        <v>143</v>
      </c>
      <c r="X232" s="89" t="s">
        <v>143</v>
      </c>
      <c r="Y232" s="77" t="s">
        <v>1772</v>
      </c>
      <c r="Z232" s="84" t="s">
        <v>2525</v>
      </c>
      <c r="AA232" s="89" t="s">
        <v>62</v>
      </c>
      <c r="AB232" s="90" t="str">
        <f>HYPERLINK(CONCATENATE("https://www.ejacket.nsf.gov/ej/showProposal.do?ID=",SUBSTITUTE(SplitQueryTable[[#This Row],[prop_id]],CHAR(160),"")),"eJ")</f>
        <v>eJ</v>
      </c>
      <c r="AC232" s="89" t="s">
        <v>2604</v>
      </c>
      <c r="AD232" s="3" t="s">
        <v>2604</v>
      </c>
      <c r="AE232" s="91">
        <v>2017</v>
      </c>
      <c r="AF232" s="13" t="s">
        <v>43</v>
      </c>
      <c r="AG232" s="13">
        <v>45000</v>
      </c>
      <c r="AH232" s="45">
        <v>225000</v>
      </c>
      <c r="AI232" s="44" t="s">
        <v>2605</v>
      </c>
      <c r="AJ232" s="2" t="s">
        <v>2606</v>
      </c>
      <c r="AK232" s="46" t="s">
        <v>1750</v>
      </c>
      <c r="AL232" s="55" t="s">
        <v>2247</v>
      </c>
      <c r="AM232" s="45" t="s">
        <v>2247</v>
      </c>
      <c r="AN232" s="56" t="s">
        <v>142</v>
      </c>
      <c r="AO232" s="23" t="s">
        <v>146</v>
      </c>
      <c r="AP232" s="11" t="s">
        <v>172</v>
      </c>
      <c r="AQ232" s="88" t="s">
        <v>2526</v>
      </c>
      <c r="AR232" s="57" t="s">
        <v>200</v>
      </c>
      <c r="AS232" s="46">
        <v>42998.576539351852</v>
      </c>
      <c r="AT232" s="3">
        <f t="shared" si="3"/>
        <v>207</v>
      </c>
    </row>
    <row r="233" spans="8:46" x14ac:dyDescent="0.4">
      <c r="H233" s="59">
        <v>43005.699629629627</v>
      </c>
      <c r="I233" s="43">
        <v>42066.682638888888</v>
      </c>
      <c r="J233" s="42">
        <v>42214.49486111111</v>
      </c>
      <c r="K233" s="81" t="s">
        <v>1768</v>
      </c>
      <c r="L233" t="s">
        <v>1768</v>
      </c>
      <c r="M233" t="s">
        <v>1761</v>
      </c>
      <c r="N233" s="1" t="s">
        <v>1761</v>
      </c>
      <c r="O233" s="1" t="s">
        <v>1770</v>
      </c>
      <c r="P233" t="s">
        <v>1770</v>
      </c>
      <c r="Q233" s="9" t="s">
        <v>45</v>
      </c>
      <c r="R233" s="82" t="s">
        <v>45</v>
      </c>
      <c r="S233" s="44" t="s">
        <v>2088</v>
      </c>
      <c r="T233" s="3" t="s">
        <v>1889</v>
      </c>
      <c r="U233" s="2" t="s">
        <v>29</v>
      </c>
      <c r="V233" s="89" t="s">
        <v>29</v>
      </c>
      <c r="W233" s="11" t="s">
        <v>143</v>
      </c>
      <c r="X233" s="89" t="s">
        <v>143</v>
      </c>
      <c r="Y233" s="77" t="s">
        <v>1772</v>
      </c>
      <c r="Z233" s="84" t="s">
        <v>2581</v>
      </c>
      <c r="AA233" s="89" t="s">
        <v>174</v>
      </c>
      <c r="AB233" s="90" t="str">
        <f>HYPERLINK(CONCATENATE("https://www.ejacket.nsf.gov/ej/showProposal.do?ID=",SUBSTITUTE(SplitQueryTable[[#This Row],[prop_id]],CHAR(160),"")),"eJ")</f>
        <v>eJ</v>
      </c>
      <c r="AC233" s="89" t="s">
        <v>2581</v>
      </c>
      <c r="AD233" s="3" t="s">
        <v>2581</v>
      </c>
      <c r="AE233" s="91">
        <v>2017</v>
      </c>
      <c r="AF233" s="13" t="s">
        <v>43</v>
      </c>
      <c r="AG233" s="13">
        <v>93062</v>
      </c>
      <c r="AH233" s="45">
        <v>461919</v>
      </c>
      <c r="AI233" s="44" t="s">
        <v>2607</v>
      </c>
      <c r="AJ233" s="2" t="s">
        <v>213</v>
      </c>
      <c r="AK233" s="46" t="s">
        <v>1724</v>
      </c>
      <c r="AL233" s="55" t="s">
        <v>2583</v>
      </c>
      <c r="AM233" s="45" t="s">
        <v>2583</v>
      </c>
      <c r="AN233" s="56" t="s">
        <v>142</v>
      </c>
      <c r="AO233" s="23" t="s">
        <v>146</v>
      </c>
      <c r="AP233" s="11" t="s">
        <v>172</v>
      </c>
      <c r="AQ233" s="88" t="s">
        <v>2582</v>
      </c>
      <c r="AR233" s="57" t="s">
        <v>40</v>
      </c>
      <c r="AS233" s="46">
        <v>42996.525949074072</v>
      </c>
      <c r="AT233" s="3">
        <f t="shared" si="3"/>
        <v>208</v>
      </c>
    </row>
    <row r="234" spans="8:46" x14ac:dyDescent="0.4">
      <c r="H234" s="59">
        <v>43005.699629629627</v>
      </c>
      <c r="I234" s="43">
        <v>42794.705555555556</v>
      </c>
      <c r="J234" s="42">
        <v>42940.340567129628</v>
      </c>
      <c r="K234" s="81" t="s">
        <v>1768</v>
      </c>
      <c r="L234" t="s">
        <v>1768</v>
      </c>
      <c r="M234" t="s">
        <v>1761</v>
      </c>
      <c r="N234" s="1" t="s">
        <v>1761</v>
      </c>
      <c r="O234" s="1" t="s">
        <v>1781</v>
      </c>
      <c r="P234" t="s">
        <v>1781</v>
      </c>
      <c r="Q234" s="9" t="s">
        <v>45</v>
      </c>
      <c r="R234" s="82" t="s">
        <v>45</v>
      </c>
      <c r="S234" s="44" t="s">
        <v>1782</v>
      </c>
      <c r="T234" s="3" t="s">
        <v>1889</v>
      </c>
      <c r="U234" s="2" t="s">
        <v>29</v>
      </c>
      <c r="V234" s="89" t="s">
        <v>29</v>
      </c>
      <c r="W234" s="11" t="s">
        <v>143</v>
      </c>
      <c r="X234" s="89" t="s">
        <v>143</v>
      </c>
      <c r="Y234" s="77" t="s">
        <v>1772</v>
      </c>
      <c r="Z234" s="84" t="s">
        <v>2608</v>
      </c>
      <c r="AA234" s="89" t="s">
        <v>28</v>
      </c>
      <c r="AB234" s="90" t="str">
        <f>HYPERLINK(CONCATENATE("https://www.ejacket.nsf.gov/ej/showProposal.do?ID=",SUBSTITUTE(SplitQueryTable[[#This Row],[prop_id]],CHAR(160),"")),"eJ")</f>
        <v>eJ</v>
      </c>
      <c r="AC234" s="89" t="s">
        <v>2608</v>
      </c>
      <c r="AD234" s="3" t="s">
        <v>2608</v>
      </c>
      <c r="AE234" s="91">
        <v>2017</v>
      </c>
      <c r="AF234" s="13" t="s">
        <v>43</v>
      </c>
      <c r="AG234" s="13">
        <v>199997</v>
      </c>
      <c r="AH234" s="45">
        <v>499992</v>
      </c>
      <c r="AI234" s="44" t="s">
        <v>2610</v>
      </c>
      <c r="AJ234" s="2" t="s">
        <v>2611</v>
      </c>
      <c r="AK234" s="46" t="s">
        <v>2166</v>
      </c>
      <c r="AL234" s="55" t="s">
        <v>1759</v>
      </c>
      <c r="AM234" s="45" t="s">
        <v>1775</v>
      </c>
      <c r="AN234" s="56" t="s">
        <v>142</v>
      </c>
      <c r="AO234" s="23" t="s">
        <v>146</v>
      </c>
      <c r="AP234" s="11"/>
      <c r="AQ234" s="88" t="s">
        <v>2609</v>
      </c>
      <c r="AR234" s="57" t="s">
        <v>200</v>
      </c>
      <c r="AS234" s="46">
        <v>42967.824502314812</v>
      </c>
      <c r="AT234" s="3">
        <f t="shared" si="3"/>
        <v>209</v>
      </c>
    </row>
    <row r="235" spans="8:46" x14ac:dyDescent="0.4">
      <c r="H235" s="59">
        <v>43005.699629629627</v>
      </c>
      <c r="I235" s="43">
        <v>41179.786111111112</v>
      </c>
      <c r="J235" s="42">
        <v>41318.734340277777</v>
      </c>
      <c r="K235" s="81" t="s">
        <v>1768</v>
      </c>
      <c r="L235" t="s">
        <v>1760</v>
      </c>
      <c r="M235" t="s">
        <v>1761</v>
      </c>
      <c r="N235" s="1" t="s">
        <v>1761</v>
      </c>
      <c r="O235" s="1" t="s">
        <v>2109</v>
      </c>
      <c r="P235" t="s">
        <v>52</v>
      </c>
      <c r="Q235" s="9" t="s">
        <v>45</v>
      </c>
      <c r="R235" s="82" t="s">
        <v>45</v>
      </c>
      <c r="S235" s="44" t="s">
        <v>2102</v>
      </c>
      <c r="T235" s="3" t="s">
        <v>1889</v>
      </c>
      <c r="U235" s="2" t="s">
        <v>29</v>
      </c>
      <c r="V235" s="89" t="s">
        <v>29</v>
      </c>
      <c r="W235" s="11" t="s">
        <v>143</v>
      </c>
      <c r="X235" s="89" t="s">
        <v>143</v>
      </c>
      <c r="Y235" s="77" t="s">
        <v>1772</v>
      </c>
      <c r="Z235" s="84" t="s">
        <v>2612</v>
      </c>
      <c r="AA235" s="89" t="s">
        <v>28</v>
      </c>
      <c r="AB235" s="90" t="str">
        <f>HYPERLINK(CONCATENATE("https://www.ejacket.nsf.gov/ej/showProposal.do?ID=",SUBSTITUTE(SplitQueryTable[[#This Row],[prop_id]],CHAR(160),"")),"eJ")</f>
        <v>eJ</v>
      </c>
      <c r="AC235" s="89" t="s">
        <v>2612</v>
      </c>
      <c r="AD235" s="3" t="s">
        <v>2612</v>
      </c>
      <c r="AE235" s="91">
        <v>2017</v>
      </c>
      <c r="AF235" s="13" t="s">
        <v>43</v>
      </c>
      <c r="AG235" s="13">
        <v>40000</v>
      </c>
      <c r="AH235" s="45">
        <v>200000</v>
      </c>
      <c r="AI235" s="44" t="s">
        <v>2333</v>
      </c>
      <c r="AJ235" s="2" t="s">
        <v>296</v>
      </c>
      <c r="AK235" s="46" t="s">
        <v>1837</v>
      </c>
      <c r="AL235" s="55" t="s">
        <v>2149</v>
      </c>
      <c r="AM235" s="45" t="s">
        <v>2149</v>
      </c>
      <c r="AN235" s="56" t="s">
        <v>142</v>
      </c>
      <c r="AO235" s="23" t="s">
        <v>146</v>
      </c>
      <c r="AP235" s="11" t="s">
        <v>172</v>
      </c>
      <c r="AQ235" s="88" t="s">
        <v>2613</v>
      </c>
      <c r="AR235" s="57" t="s">
        <v>40</v>
      </c>
      <c r="AS235" s="46">
        <v>42900.44</v>
      </c>
      <c r="AT235" s="3">
        <f t="shared" si="3"/>
        <v>210</v>
      </c>
    </row>
    <row r="236" spans="8:46" x14ac:dyDescent="0.4">
      <c r="H236" s="59">
        <v>43005.699629629627</v>
      </c>
      <c r="I236" s="43">
        <v>42066.714583333334</v>
      </c>
      <c r="J236" s="42">
        <v>42181.615416666667</v>
      </c>
      <c r="K236" s="81" t="s">
        <v>1768</v>
      </c>
      <c r="L236" t="s">
        <v>1768</v>
      </c>
      <c r="M236" t="s">
        <v>1761</v>
      </c>
      <c r="N236" s="1" t="s">
        <v>1761</v>
      </c>
      <c r="O236" s="1" t="s">
        <v>1770</v>
      </c>
      <c r="P236" t="s">
        <v>1770</v>
      </c>
      <c r="Q236" s="9" t="s">
        <v>45</v>
      </c>
      <c r="R236" s="82" t="s">
        <v>45</v>
      </c>
      <c r="S236" s="44" t="s">
        <v>2088</v>
      </c>
      <c r="T236" s="3" t="s">
        <v>1889</v>
      </c>
      <c r="U236" s="2" t="s">
        <v>29</v>
      </c>
      <c r="V236" s="89" t="s">
        <v>29</v>
      </c>
      <c r="W236" s="11" t="s">
        <v>143</v>
      </c>
      <c r="X236" s="89" t="s">
        <v>143</v>
      </c>
      <c r="Y236" s="77" t="s">
        <v>1772</v>
      </c>
      <c r="Z236" s="84" t="s">
        <v>2592</v>
      </c>
      <c r="AA236" s="89" t="s">
        <v>174</v>
      </c>
      <c r="AB236" s="90" t="str">
        <f>HYPERLINK(CONCATENATE("https://www.ejacket.nsf.gov/ej/showProposal.do?ID=",SUBSTITUTE(SplitQueryTable[[#This Row],[prop_id]],CHAR(160),"")),"eJ")</f>
        <v>eJ</v>
      </c>
      <c r="AC236" s="89" t="s">
        <v>2592</v>
      </c>
      <c r="AD236" s="3" t="s">
        <v>2592</v>
      </c>
      <c r="AE236" s="91">
        <v>2017</v>
      </c>
      <c r="AF236" s="13" t="s">
        <v>43</v>
      </c>
      <c r="AG236" s="13">
        <v>87425</v>
      </c>
      <c r="AH236" s="45">
        <v>457125</v>
      </c>
      <c r="AI236" s="44" t="s">
        <v>210</v>
      </c>
      <c r="AJ236" s="2" t="s">
        <v>2614</v>
      </c>
      <c r="AK236" s="46" t="s">
        <v>1737</v>
      </c>
      <c r="AL236" s="55" t="s">
        <v>2594</v>
      </c>
      <c r="AM236" s="45" t="s">
        <v>2594</v>
      </c>
      <c r="AN236" s="56" t="s">
        <v>142</v>
      </c>
      <c r="AO236" s="23" t="s">
        <v>146</v>
      </c>
      <c r="AP236" s="11" t="s">
        <v>172</v>
      </c>
      <c r="AQ236" s="88" t="s">
        <v>2593</v>
      </c>
      <c r="AR236" s="57" t="s">
        <v>40</v>
      </c>
      <c r="AS236" s="46">
        <v>42957.471539351849</v>
      </c>
      <c r="AT236" s="3">
        <f t="shared" si="3"/>
        <v>211</v>
      </c>
    </row>
    <row r="237" spans="8:46" x14ac:dyDescent="0.4">
      <c r="H237" s="59">
        <v>43005.699629629627</v>
      </c>
      <c r="I237" s="43">
        <v>42562.392361111109</v>
      </c>
      <c r="J237" s="42">
        <v>42738.56144675926</v>
      </c>
      <c r="K237" s="81" t="s">
        <v>1768</v>
      </c>
      <c r="L237" t="s">
        <v>1768</v>
      </c>
      <c r="M237" t="s">
        <v>1761</v>
      </c>
      <c r="N237" s="1" t="s">
        <v>1761</v>
      </c>
      <c r="O237" s="1" t="s">
        <v>1770</v>
      </c>
      <c r="P237" t="s">
        <v>1770</v>
      </c>
      <c r="Q237" s="9" t="s">
        <v>45</v>
      </c>
      <c r="R237" s="82" t="s">
        <v>45</v>
      </c>
      <c r="S237" s="44" t="s">
        <v>1762</v>
      </c>
      <c r="T237" s="3" t="s">
        <v>1889</v>
      </c>
      <c r="U237" s="2" t="s">
        <v>29</v>
      </c>
      <c r="V237" s="89" t="s">
        <v>29</v>
      </c>
      <c r="W237" s="11" t="s">
        <v>143</v>
      </c>
      <c r="X237" s="89" t="s">
        <v>143</v>
      </c>
      <c r="Y237" s="77" t="s">
        <v>1772</v>
      </c>
      <c r="Z237" s="84" t="s">
        <v>2615</v>
      </c>
      <c r="AA237" s="89" t="s">
        <v>28</v>
      </c>
      <c r="AB237" s="90" t="str">
        <f>HYPERLINK(CONCATENATE("https://www.ejacket.nsf.gov/ej/showProposal.do?ID=",SUBSTITUTE(SplitQueryTable[[#This Row],[prop_id]],CHAR(160),"")),"eJ")</f>
        <v>eJ</v>
      </c>
      <c r="AC237" s="89" t="s">
        <v>2615</v>
      </c>
      <c r="AD237" s="3" t="s">
        <v>2615</v>
      </c>
      <c r="AE237" s="91">
        <v>2017</v>
      </c>
      <c r="AF237" s="13" t="s">
        <v>43</v>
      </c>
      <c r="AG237" s="13">
        <v>199969</v>
      </c>
      <c r="AH237" s="45">
        <v>499891</v>
      </c>
      <c r="AI237" s="44" t="s">
        <v>2617</v>
      </c>
      <c r="AJ237" s="2" t="s">
        <v>2618</v>
      </c>
      <c r="AK237" s="46" t="s">
        <v>1745</v>
      </c>
      <c r="AL237" s="55" t="s">
        <v>1793</v>
      </c>
      <c r="AM237" s="45" t="s">
        <v>1793</v>
      </c>
      <c r="AN237" s="56" t="s">
        <v>142</v>
      </c>
      <c r="AO237" s="23" t="s">
        <v>146</v>
      </c>
      <c r="AP237" s="11"/>
      <c r="AQ237" s="88" t="s">
        <v>2616</v>
      </c>
      <c r="AR237" s="57" t="s">
        <v>200</v>
      </c>
      <c r="AS237" s="46">
        <v>42758.845300925925</v>
      </c>
      <c r="AT237" s="3">
        <f t="shared" si="3"/>
        <v>212</v>
      </c>
    </row>
    <row r="238" spans="8:46" x14ac:dyDescent="0.4">
      <c r="H238" s="59">
        <v>43005.699629629627</v>
      </c>
      <c r="I238" s="43">
        <v>42066.792361111111</v>
      </c>
      <c r="J238" s="42">
        <v>42192.478425925925</v>
      </c>
      <c r="K238" s="81" t="s">
        <v>1768</v>
      </c>
      <c r="L238" t="s">
        <v>1768</v>
      </c>
      <c r="M238" t="s">
        <v>1761</v>
      </c>
      <c r="N238" s="1" t="s">
        <v>1761</v>
      </c>
      <c r="O238" s="1" t="s">
        <v>1770</v>
      </c>
      <c r="P238" t="s">
        <v>1770</v>
      </c>
      <c r="Q238" s="9" t="s">
        <v>45</v>
      </c>
      <c r="R238" s="82" t="s">
        <v>45</v>
      </c>
      <c r="S238" s="44" t="s">
        <v>2088</v>
      </c>
      <c r="T238" s="3" t="s">
        <v>1889</v>
      </c>
      <c r="U238" s="2" t="s">
        <v>29</v>
      </c>
      <c r="V238" s="89" t="s">
        <v>29</v>
      </c>
      <c r="W238" s="11" t="s">
        <v>143</v>
      </c>
      <c r="X238" s="89" t="s">
        <v>143</v>
      </c>
      <c r="Y238" s="77" t="s">
        <v>1772</v>
      </c>
      <c r="Z238" s="84" t="s">
        <v>2619</v>
      </c>
      <c r="AA238" s="89" t="s">
        <v>28</v>
      </c>
      <c r="AB238" s="90" t="str">
        <f>HYPERLINK(CONCATENATE("https://www.ejacket.nsf.gov/ej/showProposal.do?ID=",SUBSTITUTE(SplitQueryTable[[#This Row],[prop_id]],CHAR(160),"")),"eJ")</f>
        <v>eJ</v>
      </c>
      <c r="AC238" s="89" t="s">
        <v>2619</v>
      </c>
      <c r="AD238" s="3" t="s">
        <v>2619</v>
      </c>
      <c r="AE238" s="91">
        <v>2017</v>
      </c>
      <c r="AF238" s="13" t="s">
        <v>43</v>
      </c>
      <c r="AG238" s="13">
        <v>45000</v>
      </c>
      <c r="AH238" s="45">
        <v>225000</v>
      </c>
      <c r="AI238" s="44" t="s">
        <v>2622</v>
      </c>
      <c r="AJ238" s="2" t="s">
        <v>178</v>
      </c>
      <c r="AK238" s="46" t="s">
        <v>328</v>
      </c>
      <c r="AL238" s="55" t="s">
        <v>2621</v>
      </c>
      <c r="AM238" s="45" t="s">
        <v>2621</v>
      </c>
      <c r="AN238" s="56" t="s">
        <v>142</v>
      </c>
      <c r="AO238" s="23" t="s">
        <v>146</v>
      </c>
      <c r="AP238" s="11" t="s">
        <v>172</v>
      </c>
      <c r="AQ238" s="88" t="s">
        <v>2620</v>
      </c>
      <c r="AR238" s="57" t="s">
        <v>40</v>
      </c>
      <c r="AS238" s="46">
        <v>42966.875300925924</v>
      </c>
      <c r="AT238" s="3">
        <f t="shared" si="3"/>
        <v>213</v>
      </c>
    </row>
    <row r="239" spans="8:46" x14ac:dyDescent="0.4">
      <c r="H239" s="59">
        <v>43005.699629629627</v>
      </c>
      <c r="I239" s="43">
        <v>42562.828472222223</v>
      </c>
      <c r="J239" s="42">
        <v>42725.6641087963</v>
      </c>
      <c r="K239" s="81" t="s">
        <v>1768</v>
      </c>
      <c r="L239" t="s">
        <v>1768</v>
      </c>
      <c r="M239" t="s">
        <v>1761</v>
      </c>
      <c r="N239" s="1" t="s">
        <v>1761</v>
      </c>
      <c r="O239" s="1" t="s">
        <v>1770</v>
      </c>
      <c r="P239" t="s">
        <v>1770</v>
      </c>
      <c r="Q239" s="9" t="s">
        <v>45</v>
      </c>
      <c r="R239" s="82" t="s">
        <v>45</v>
      </c>
      <c r="S239" s="44" t="s">
        <v>1762</v>
      </c>
      <c r="T239" s="3" t="s">
        <v>1889</v>
      </c>
      <c r="U239" s="2" t="s">
        <v>29</v>
      </c>
      <c r="V239" s="89" t="s">
        <v>29</v>
      </c>
      <c r="W239" s="11" t="s">
        <v>143</v>
      </c>
      <c r="X239" s="89" t="s">
        <v>143</v>
      </c>
      <c r="Y239" s="77" t="s">
        <v>1772</v>
      </c>
      <c r="Z239" s="84" t="s">
        <v>2623</v>
      </c>
      <c r="AA239" s="89" t="s">
        <v>28</v>
      </c>
      <c r="AB239" s="90" t="str">
        <f>HYPERLINK(CONCATENATE("https://www.ejacket.nsf.gov/ej/showProposal.do?ID=",SUBSTITUTE(SplitQueryTable[[#This Row],[prop_id]],CHAR(160),"")),"eJ")</f>
        <v>eJ</v>
      </c>
      <c r="AC239" s="89" t="s">
        <v>2623</v>
      </c>
      <c r="AD239" s="3" t="s">
        <v>2623</v>
      </c>
      <c r="AE239" s="91">
        <v>2017</v>
      </c>
      <c r="AF239" s="13" t="s">
        <v>43</v>
      </c>
      <c r="AG239" s="13">
        <v>200000</v>
      </c>
      <c r="AH239" s="45">
        <v>550000</v>
      </c>
      <c r="AI239" s="44" t="s">
        <v>1352</v>
      </c>
      <c r="AJ239" s="2" t="s">
        <v>1912</v>
      </c>
      <c r="AK239" s="46" t="s">
        <v>1733</v>
      </c>
      <c r="AL239" s="55" t="s">
        <v>2555</v>
      </c>
      <c r="AM239" s="45" t="s">
        <v>2555</v>
      </c>
      <c r="AN239" s="56" t="s">
        <v>142</v>
      </c>
      <c r="AO239" s="23" t="s">
        <v>146</v>
      </c>
      <c r="AP239" s="11"/>
      <c r="AQ239" s="88" t="s">
        <v>2624</v>
      </c>
      <c r="AR239" s="57" t="s">
        <v>200</v>
      </c>
      <c r="AS239" s="46">
        <v>42754.466099537036</v>
      </c>
      <c r="AT239" s="3">
        <f t="shared" si="3"/>
        <v>214</v>
      </c>
    </row>
    <row r="240" spans="8:46" x14ac:dyDescent="0.4">
      <c r="H240" s="59">
        <v>43005.699629629627</v>
      </c>
      <c r="I240" s="43">
        <v>42562.704861111109</v>
      </c>
      <c r="J240" s="42">
        <v>42764.398576388892</v>
      </c>
      <c r="K240" s="81" t="s">
        <v>137</v>
      </c>
      <c r="L240" t="s">
        <v>1760</v>
      </c>
      <c r="M240" t="s">
        <v>1761</v>
      </c>
      <c r="N240" s="1" t="s">
        <v>1761</v>
      </c>
      <c r="O240" s="1" t="s">
        <v>1800</v>
      </c>
      <c r="P240" t="s">
        <v>1800</v>
      </c>
      <c r="Q240" s="9" t="s">
        <v>45</v>
      </c>
      <c r="R240" s="82" t="s">
        <v>45</v>
      </c>
      <c r="S240" s="44" t="s">
        <v>1762</v>
      </c>
      <c r="T240" s="3" t="s">
        <v>1889</v>
      </c>
      <c r="U240" s="2" t="s">
        <v>29</v>
      </c>
      <c r="V240" s="89" t="s">
        <v>29</v>
      </c>
      <c r="W240" s="11" t="s">
        <v>143</v>
      </c>
      <c r="X240" s="89" t="s">
        <v>143</v>
      </c>
      <c r="Y240" s="77" t="s">
        <v>334</v>
      </c>
      <c r="Z240" s="84" t="s">
        <v>2625</v>
      </c>
      <c r="AA240" s="89" t="s">
        <v>28</v>
      </c>
      <c r="AB240" s="90" t="str">
        <f>HYPERLINK(CONCATENATE("https://www.ejacket.nsf.gov/ej/showProposal.do?ID=",SUBSTITUTE(SplitQueryTable[[#This Row],[prop_id]],CHAR(160),"")),"eJ")</f>
        <v>eJ</v>
      </c>
      <c r="AC240" s="89" t="s">
        <v>2625</v>
      </c>
      <c r="AD240" s="3" t="s">
        <v>2625</v>
      </c>
      <c r="AE240" s="91">
        <v>2017</v>
      </c>
      <c r="AF240" s="13" t="s">
        <v>43</v>
      </c>
      <c r="AG240" s="13">
        <v>100000</v>
      </c>
      <c r="AH240" s="45">
        <v>500000</v>
      </c>
      <c r="AI240" s="44" t="s">
        <v>2627</v>
      </c>
      <c r="AJ240" s="2" t="s">
        <v>2628</v>
      </c>
      <c r="AK240" s="46" t="s">
        <v>1745</v>
      </c>
      <c r="AL240" s="55" t="s">
        <v>1759</v>
      </c>
      <c r="AM240" s="45" t="s">
        <v>1759</v>
      </c>
      <c r="AN240" s="56" t="s">
        <v>142</v>
      </c>
      <c r="AO240" s="23" t="s">
        <v>146</v>
      </c>
      <c r="AP240" s="11"/>
      <c r="AQ240" s="88" t="s">
        <v>2626</v>
      </c>
      <c r="AR240" s="57" t="s">
        <v>193</v>
      </c>
      <c r="AS240" s="46">
        <v>42788.478310185186</v>
      </c>
      <c r="AT240" s="3">
        <f t="shared" si="3"/>
        <v>215</v>
      </c>
    </row>
    <row r="241" spans="8:46" x14ac:dyDescent="0.4">
      <c r="H241" s="59">
        <v>43005.699629629627</v>
      </c>
      <c r="I241" s="43">
        <v>42678</v>
      </c>
      <c r="J241" s="42">
        <v>42793.685231481482</v>
      </c>
      <c r="K241" s="81" t="s">
        <v>137</v>
      </c>
      <c r="L241" t="s">
        <v>1760</v>
      </c>
      <c r="M241" t="s">
        <v>1761</v>
      </c>
      <c r="N241" s="1" t="s">
        <v>1761</v>
      </c>
      <c r="O241" s="1" t="s">
        <v>1800</v>
      </c>
      <c r="P241" t="s">
        <v>1800</v>
      </c>
      <c r="Q241" s="9" t="s">
        <v>45</v>
      </c>
      <c r="R241" s="82" t="s">
        <v>45</v>
      </c>
      <c r="S241" s="44" t="s">
        <v>52</v>
      </c>
      <c r="T241" s="3" t="s">
        <v>136</v>
      </c>
      <c r="U241" s="2" t="s">
        <v>29</v>
      </c>
      <c r="V241" s="89" t="s">
        <v>29</v>
      </c>
      <c r="W241" s="11" t="s">
        <v>143</v>
      </c>
      <c r="X241" s="89" t="s">
        <v>143</v>
      </c>
      <c r="Y241" s="77" t="s">
        <v>334</v>
      </c>
      <c r="Z241" s="84" t="s">
        <v>2629</v>
      </c>
      <c r="AA241" s="89" t="s">
        <v>28</v>
      </c>
      <c r="AB241" s="90" t="str">
        <f>HYPERLINK(CONCATENATE("https://www.ejacket.nsf.gov/ej/showProposal.do?ID=",SUBSTITUTE(SplitQueryTable[[#This Row],[prop_id]],CHAR(160),"")),"eJ")</f>
        <v>eJ</v>
      </c>
      <c r="AC241" s="89" t="s">
        <v>2089</v>
      </c>
      <c r="AD241" s="3" t="s">
        <v>2629</v>
      </c>
      <c r="AE241" s="91">
        <v>2017</v>
      </c>
      <c r="AF241" s="13" t="s">
        <v>43</v>
      </c>
      <c r="AG241" s="13">
        <v>20000</v>
      </c>
      <c r="AH241" s="45">
        <v>20000</v>
      </c>
      <c r="AI241" s="44" t="s">
        <v>2091</v>
      </c>
      <c r="AJ241" s="2" t="s">
        <v>2092</v>
      </c>
      <c r="AK241" s="46" t="s">
        <v>2093</v>
      </c>
      <c r="AL241" s="55" t="s">
        <v>1759</v>
      </c>
      <c r="AM241" s="45"/>
      <c r="AN241" s="56" t="s">
        <v>142</v>
      </c>
      <c r="AO241" s="23" t="s">
        <v>146</v>
      </c>
      <c r="AP241" s="11" t="s">
        <v>172</v>
      </c>
      <c r="AQ241" s="88" t="s">
        <v>2090</v>
      </c>
      <c r="AR241" s="57" t="s">
        <v>40</v>
      </c>
      <c r="AS241" s="46">
        <v>42802.439826388887</v>
      </c>
      <c r="AT241" s="3">
        <f t="shared" si="3"/>
        <v>216</v>
      </c>
    </row>
    <row r="242" spans="8:46" x14ac:dyDescent="0.4">
      <c r="H242" s="59">
        <v>43005.699629629627</v>
      </c>
      <c r="I242" s="43">
        <v>42908</v>
      </c>
      <c r="J242" s="42">
        <v>42940.442118055558</v>
      </c>
      <c r="K242" s="81" t="s">
        <v>1768</v>
      </c>
      <c r="L242" t="s">
        <v>1768</v>
      </c>
      <c r="M242" t="s">
        <v>1893</v>
      </c>
      <c r="N242" s="1" t="s">
        <v>1761</v>
      </c>
      <c r="O242" s="1" t="s">
        <v>1781</v>
      </c>
      <c r="P242" t="s">
        <v>1781</v>
      </c>
      <c r="Q242" s="9" t="s">
        <v>45</v>
      </c>
      <c r="R242" s="82" t="s">
        <v>45</v>
      </c>
      <c r="S242" s="44" t="s">
        <v>52</v>
      </c>
      <c r="T242" s="3" t="s">
        <v>136</v>
      </c>
      <c r="U242" s="2" t="s">
        <v>29</v>
      </c>
      <c r="V242" s="89" t="s">
        <v>29</v>
      </c>
      <c r="W242" s="11" t="s">
        <v>143</v>
      </c>
      <c r="X242" s="89" t="s">
        <v>143</v>
      </c>
      <c r="Y242" s="77" t="s">
        <v>1772</v>
      </c>
      <c r="Z242" s="84" t="s">
        <v>2630</v>
      </c>
      <c r="AA242" s="89" t="s">
        <v>28</v>
      </c>
      <c r="AB242" s="90" t="str">
        <f>HYPERLINK(CONCATENATE("https://www.ejacket.nsf.gov/ej/showProposal.do?ID=",SUBSTITUTE(SplitQueryTable[[#This Row],[prop_id]],CHAR(160),"")),"eJ")</f>
        <v>eJ</v>
      </c>
      <c r="AC242" s="89" t="s">
        <v>2094</v>
      </c>
      <c r="AD242" s="3" t="s">
        <v>2630</v>
      </c>
      <c r="AE242" s="91">
        <v>2017</v>
      </c>
      <c r="AF242" s="13" t="s">
        <v>43</v>
      </c>
      <c r="AG242" s="13">
        <v>44999</v>
      </c>
      <c r="AH242" s="45">
        <v>45000</v>
      </c>
      <c r="AI242" s="44" t="s">
        <v>319</v>
      </c>
      <c r="AJ242" s="2" t="s">
        <v>1899</v>
      </c>
      <c r="AK242" s="46" t="s">
        <v>253</v>
      </c>
      <c r="AL242" s="55" t="s">
        <v>2632</v>
      </c>
      <c r="AM242" s="45" t="s">
        <v>2633</v>
      </c>
      <c r="AN242" s="56" t="s">
        <v>142</v>
      </c>
      <c r="AO242" s="23" t="s">
        <v>146</v>
      </c>
      <c r="AP242" s="11" t="s">
        <v>172</v>
      </c>
      <c r="AQ242" s="88" t="s">
        <v>2631</v>
      </c>
      <c r="AR242" s="57" t="s">
        <v>200</v>
      </c>
      <c r="AS242" s="46">
        <v>42958.61645833333</v>
      </c>
      <c r="AT242" s="3">
        <f t="shared" si="3"/>
        <v>217</v>
      </c>
    </row>
    <row r="243" spans="8:46" x14ac:dyDescent="0.4">
      <c r="H243" s="59">
        <v>43005.699629629627</v>
      </c>
      <c r="I243" s="43">
        <v>42921</v>
      </c>
      <c r="J243" s="42">
        <v>42940.448125000003</v>
      </c>
      <c r="K243" s="81" t="s">
        <v>1768</v>
      </c>
      <c r="L243" t="s">
        <v>1768</v>
      </c>
      <c r="M243" t="s">
        <v>1761</v>
      </c>
      <c r="N243" s="1" t="s">
        <v>1761</v>
      </c>
      <c r="O243" s="1" t="s">
        <v>1781</v>
      </c>
      <c r="P243" t="s">
        <v>1781</v>
      </c>
      <c r="Q243" s="9" t="s">
        <v>45</v>
      </c>
      <c r="R243" s="82" t="s">
        <v>45</v>
      </c>
      <c r="S243" s="44" t="s">
        <v>52</v>
      </c>
      <c r="T243" s="3" t="s">
        <v>136</v>
      </c>
      <c r="U243" s="2" t="s">
        <v>29</v>
      </c>
      <c r="V243" s="89" t="s">
        <v>29</v>
      </c>
      <c r="W243" s="11" t="s">
        <v>143</v>
      </c>
      <c r="X243" s="89" t="s">
        <v>143</v>
      </c>
      <c r="Y243" s="77" t="s">
        <v>1772</v>
      </c>
      <c r="Z243" s="84" t="s">
        <v>2634</v>
      </c>
      <c r="AA243" s="89" t="s">
        <v>28</v>
      </c>
      <c r="AB243" s="90" t="str">
        <f>HYPERLINK(CONCATENATE("https://www.ejacket.nsf.gov/ej/showProposal.do?ID=",SUBSTITUTE(SplitQueryTable[[#This Row],[prop_id]],CHAR(160),"")),"eJ")</f>
        <v>eJ</v>
      </c>
      <c r="AC243" s="89" t="s">
        <v>2094</v>
      </c>
      <c r="AD243" s="3" t="s">
        <v>2634</v>
      </c>
      <c r="AE243" s="91">
        <v>2017</v>
      </c>
      <c r="AF243" s="13" t="s">
        <v>43</v>
      </c>
      <c r="AG243" s="13">
        <v>20000</v>
      </c>
      <c r="AH243" s="45">
        <v>20000</v>
      </c>
      <c r="AI243" s="44" t="s">
        <v>319</v>
      </c>
      <c r="AJ243" s="2" t="s">
        <v>1899</v>
      </c>
      <c r="AK243" s="46" t="s">
        <v>253</v>
      </c>
      <c r="AL243" s="55" t="s">
        <v>2636</v>
      </c>
      <c r="AM243" s="45" t="s">
        <v>2636</v>
      </c>
      <c r="AN243" s="56" t="s">
        <v>142</v>
      </c>
      <c r="AO243" s="23" t="s">
        <v>146</v>
      </c>
      <c r="AP243" s="11" t="s">
        <v>172</v>
      </c>
      <c r="AQ243" s="88" t="s">
        <v>2635</v>
      </c>
      <c r="AR243" s="57" t="s">
        <v>200</v>
      </c>
      <c r="AS243" s="46">
        <v>42958.631550925929</v>
      </c>
      <c r="AT243" s="3">
        <f t="shared" si="3"/>
        <v>218</v>
      </c>
    </row>
    <row r="244" spans="8:46" x14ac:dyDescent="0.4">
      <c r="H244" s="59">
        <v>43005.699629629627</v>
      </c>
      <c r="I244" s="43">
        <v>42921</v>
      </c>
      <c r="J244" s="42">
        <v>42935.376388888886</v>
      </c>
      <c r="K244" s="81" t="s">
        <v>1768</v>
      </c>
      <c r="L244" t="s">
        <v>1768</v>
      </c>
      <c r="M244" t="s">
        <v>1761</v>
      </c>
      <c r="N244" s="1" t="s">
        <v>1761</v>
      </c>
      <c r="O244" s="1" t="s">
        <v>1781</v>
      </c>
      <c r="P244" t="s">
        <v>1781</v>
      </c>
      <c r="Q244" s="9" t="s">
        <v>45</v>
      </c>
      <c r="R244" s="82" t="s">
        <v>45</v>
      </c>
      <c r="S244" s="44" t="s">
        <v>2024</v>
      </c>
      <c r="T244" s="3" t="s">
        <v>136</v>
      </c>
      <c r="U244" s="2" t="s">
        <v>29</v>
      </c>
      <c r="V244" s="89" t="s">
        <v>29</v>
      </c>
      <c r="W244" s="11" t="s">
        <v>143</v>
      </c>
      <c r="X244" s="89" t="s">
        <v>143</v>
      </c>
      <c r="Y244" s="77" t="s">
        <v>1772</v>
      </c>
      <c r="Z244" s="84" t="s">
        <v>2637</v>
      </c>
      <c r="AA244" s="89" t="s">
        <v>28</v>
      </c>
      <c r="AB244" s="90" t="str">
        <f>HYPERLINK(CONCATENATE("https://www.ejacket.nsf.gov/ej/showProposal.do?ID=",SUBSTITUTE(SplitQueryTable[[#This Row],[prop_id]],CHAR(160),"")),"eJ")</f>
        <v>eJ</v>
      </c>
      <c r="AC244" s="89" t="s">
        <v>2094</v>
      </c>
      <c r="AD244" s="3" t="s">
        <v>2637</v>
      </c>
      <c r="AE244" s="91">
        <v>2017</v>
      </c>
      <c r="AF244" s="13" t="s">
        <v>43</v>
      </c>
      <c r="AG244" s="13">
        <v>16000</v>
      </c>
      <c r="AH244" s="45">
        <v>16000</v>
      </c>
      <c r="AI244" s="44" t="s">
        <v>319</v>
      </c>
      <c r="AJ244" s="2" t="s">
        <v>1899</v>
      </c>
      <c r="AK244" s="46" t="s">
        <v>253</v>
      </c>
      <c r="AL244" s="55" t="s">
        <v>2639</v>
      </c>
      <c r="AM244" s="45" t="s">
        <v>2639</v>
      </c>
      <c r="AN244" s="56" t="s">
        <v>142</v>
      </c>
      <c r="AO244" s="23" t="s">
        <v>146</v>
      </c>
      <c r="AP244" s="11" t="s">
        <v>172</v>
      </c>
      <c r="AQ244" s="88" t="s">
        <v>2638</v>
      </c>
      <c r="AR244" s="57" t="s">
        <v>651</v>
      </c>
      <c r="AS244" s="46">
        <v>42940.626134259262</v>
      </c>
      <c r="AT244" s="3">
        <f t="shared" si="3"/>
        <v>219</v>
      </c>
    </row>
    <row r="245" spans="8:46" x14ac:dyDescent="0.4">
      <c r="H245" s="59">
        <v>43005.699629629627</v>
      </c>
      <c r="I245" s="43">
        <v>42838</v>
      </c>
      <c r="J245" s="42">
        <v>42913.685682870368</v>
      </c>
      <c r="K245" s="81" t="s">
        <v>1768</v>
      </c>
      <c r="L245" t="s">
        <v>1768</v>
      </c>
      <c r="M245" t="s">
        <v>1761</v>
      </c>
      <c r="N245" s="1" t="s">
        <v>1761</v>
      </c>
      <c r="O245" s="1" t="s">
        <v>1781</v>
      </c>
      <c r="P245" t="s">
        <v>1781</v>
      </c>
      <c r="Q245" s="9" t="s">
        <v>45</v>
      </c>
      <c r="R245" s="82" t="s">
        <v>45</v>
      </c>
      <c r="S245" s="44" t="s">
        <v>52</v>
      </c>
      <c r="T245" s="3" t="s">
        <v>136</v>
      </c>
      <c r="U245" s="2" t="s">
        <v>29</v>
      </c>
      <c r="V245" s="89" t="s">
        <v>29</v>
      </c>
      <c r="W245" s="11" t="s">
        <v>143</v>
      </c>
      <c r="X245" s="89" t="s">
        <v>143</v>
      </c>
      <c r="Y245" s="77" t="s">
        <v>1772</v>
      </c>
      <c r="Z245" s="84" t="s">
        <v>2640</v>
      </c>
      <c r="AA245" s="89" t="s">
        <v>28</v>
      </c>
      <c r="AB245" s="90" t="str">
        <f>HYPERLINK(CONCATENATE("https://www.ejacket.nsf.gov/ej/showProposal.do?ID=",SUBSTITUTE(SplitQueryTable[[#This Row],[prop_id]],CHAR(160),"")),"eJ")</f>
        <v>eJ</v>
      </c>
      <c r="AC245" s="89" t="s">
        <v>2103</v>
      </c>
      <c r="AD245" s="3" t="s">
        <v>2640</v>
      </c>
      <c r="AE245" s="91">
        <v>2017</v>
      </c>
      <c r="AF245" s="13" t="s">
        <v>43</v>
      </c>
      <c r="AG245" s="13">
        <v>10000</v>
      </c>
      <c r="AH245" s="45">
        <v>10000</v>
      </c>
      <c r="AI245" s="44" t="s">
        <v>2106</v>
      </c>
      <c r="AJ245" s="2" t="s">
        <v>2107</v>
      </c>
      <c r="AK245" s="46" t="s">
        <v>2108</v>
      </c>
      <c r="AL245" s="55" t="s">
        <v>2642</v>
      </c>
      <c r="AM245" s="45" t="s">
        <v>2642</v>
      </c>
      <c r="AN245" s="56" t="s">
        <v>142</v>
      </c>
      <c r="AO245" s="23" t="s">
        <v>146</v>
      </c>
      <c r="AP245" s="11" t="s">
        <v>172</v>
      </c>
      <c r="AQ245" s="88" t="s">
        <v>2641</v>
      </c>
      <c r="AR245" s="57" t="s">
        <v>40</v>
      </c>
      <c r="AS245" s="46">
        <v>42926.539317129631</v>
      </c>
      <c r="AT245" s="3">
        <f t="shared" si="3"/>
        <v>220</v>
      </c>
    </row>
    <row r="246" spans="8:46" x14ac:dyDescent="0.4">
      <c r="H246" s="59">
        <v>43005.699629629627</v>
      </c>
      <c r="I246" s="43">
        <v>42913</v>
      </c>
      <c r="J246" s="42">
        <v>42935.37091435185</v>
      </c>
      <c r="K246" s="81" t="s">
        <v>1768</v>
      </c>
      <c r="L246" t="s">
        <v>1768</v>
      </c>
      <c r="M246" t="s">
        <v>1761</v>
      </c>
      <c r="N246" s="1" t="s">
        <v>1761</v>
      </c>
      <c r="O246" s="1" t="s">
        <v>1781</v>
      </c>
      <c r="P246" t="s">
        <v>1781</v>
      </c>
      <c r="Q246" s="9" t="s">
        <v>45</v>
      </c>
      <c r="R246" s="82" t="s">
        <v>45</v>
      </c>
      <c r="S246" s="44" t="s">
        <v>2024</v>
      </c>
      <c r="T246" s="3" t="s">
        <v>136</v>
      </c>
      <c r="U246" s="2" t="s">
        <v>29</v>
      </c>
      <c r="V246" s="89" t="s">
        <v>29</v>
      </c>
      <c r="W246" s="11" t="s">
        <v>143</v>
      </c>
      <c r="X246" s="89" t="s">
        <v>143</v>
      </c>
      <c r="Y246" s="77" t="s">
        <v>1772</v>
      </c>
      <c r="Z246" s="84" t="s">
        <v>2643</v>
      </c>
      <c r="AA246" s="89" t="s">
        <v>28</v>
      </c>
      <c r="AB246" s="90" t="str">
        <f>HYPERLINK(CONCATENATE("https://www.ejacket.nsf.gov/ej/showProposal.do?ID=",SUBSTITUTE(SplitQueryTable[[#This Row],[prop_id]],CHAR(160),"")),"eJ")</f>
        <v>eJ</v>
      </c>
      <c r="AC246" s="89" t="s">
        <v>2110</v>
      </c>
      <c r="AD246" s="3" t="s">
        <v>2643</v>
      </c>
      <c r="AE246" s="91">
        <v>2017</v>
      </c>
      <c r="AF246" s="13" t="s">
        <v>43</v>
      </c>
      <c r="AG246" s="13">
        <v>8000</v>
      </c>
      <c r="AH246" s="45">
        <v>8000</v>
      </c>
      <c r="AI246" s="44" t="s">
        <v>275</v>
      </c>
      <c r="AJ246" s="2" t="s">
        <v>2113</v>
      </c>
      <c r="AK246" s="46" t="s">
        <v>280</v>
      </c>
      <c r="AL246" s="55" t="s">
        <v>2645</v>
      </c>
      <c r="AM246" s="45" t="s">
        <v>2027</v>
      </c>
      <c r="AN246" s="56" t="s">
        <v>142</v>
      </c>
      <c r="AO246" s="23" t="s">
        <v>146</v>
      </c>
      <c r="AP246" s="11" t="s">
        <v>172</v>
      </c>
      <c r="AQ246" s="88" t="s">
        <v>2644</v>
      </c>
      <c r="AR246" s="57" t="s">
        <v>502</v>
      </c>
      <c r="AS246" s="46">
        <v>42940.606863425928</v>
      </c>
      <c r="AT246" s="3">
        <f t="shared" si="3"/>
        <v>221</v>
      </c>
    </row>
    <row r="247" spans="8:46" x14ac:dyDescent="0.4">
      <c r="H247" s="59">
        <v>43005.699629629627</v>
      </c>
      <c r="I247" s="43">
        <v>42901</v>
      </c>
      <c r="J247" s="42">
        <v>42937.678993055553</v>
      </c>
      <c r="K247" s="81" t="s">
        <v>1768</v>
      </c>
      <c r="L247" t="s">
        <v>1768</v>
      </c>
      <c r="M247" t="s">
        <v>1893</v>
      </c>
      <c r="N247" s="1" t="s">
        <v>1761</v>
      </c>
      <c r="O247" s="1" t="s">
        <v>1781</v>
      </c>
      <c r="P247" t="s">
        <v>1781</v>
      </c>
      <c r="Q247" s="9" t="s">
        <v>45</v>
      </c>
      <c r="R247" s="82" t="s">
        <v>45</v>
      </c>
      <c r="S247" s="44" t="s">
        <v>52</v>
      </c>
      <c r="T247" s="3" t="s">
        <v>136</v>
      </c>
      <c r="U247" s="2" t="s">
        <v>29</v>
      </c>
      <c r="V247" s="89" t="s">
        <v>29</v>
      </c>
      <c r="W247" s="11" t="s">
        <v>143</v>
      </c>
      <c r="X247" s="89" t="s">
        <v>143</v>
      </c>
      <c r="Y247" s="77" t="s">
        <v>1772</v>
      </c>
      <c r="Z247" s="84" t="s">
        <v>2646</v>
      </c>
      <c r="AA247" s="89" t="s">
        <v>28</v>
      </c>
      <c r="AB247" s="90" t="str">
        <f>HYPERLINK(CONCATENATE("https://www.ejacket.nsf.gov/ej/showProposal.do?ID=",SUBSTITUTE(SplitQueryTable[[#This Row],[prop_id]],CHAR(160),"")),"eJ")</f>
        <v>eJ</v>
      </c>
      <c r="AC247" s="89" t="s">
        <v>2647</v>
      </c>
      <c r="AD247" s="3" t="s">
        <v>2646</v>
      </c>
      <c r="AE247" s="91">
        <v>2017</v>
      </c>
      <c r="AF247" s="13" t="s">
        <v>43</v>
      </c>
      <c r="AG247" s="13">
        <v>34292</v>
      </c>
      <c r="AH247" s="45">
        <v>34292</v>
      </c>
      <c r="AI247" s="44" t="s">
        <v>2651</v>
      </c>
      <c r="AJ247" s="2" t="s">
        <v>2652</v>
      </c>
      <c r="AK247" s="46" t="s">
        <v>1747</v>
      </c>
      <c r="AL247" s="55" t="s">
        <v>2649</v>
      </c>
      <c r="AM247" s="45" t="s">
        <v>2650</v>
      </c>
      <c r="AN247" s="56" t="s">
        <v>142</v>
      </c>
      <c r="AO247" s="23" t="s">
        <v>146</v>
      </c>
      <c r="AP247" s="11"/>
      <c r="AQ247" s="88" t="s">
        <v>2648</v>
      </c>
      <c r="AR247" s="57" t="s">
        <v>200</v>
      </c>
      <c r="AS247" s="46">
        <v>42976.504259259258</v>
      </c>
      <c r="AT247" s="3">
        <f t="shared" si="3"/>
        <v>222</v>
      </c>
    </row>
    <row r="248" spans="8:46" x14ac:dyDescent="0.4">
      <c r="H248" s="59">
        <v>43005.699629629627</v>
      </c>
      <c r="I248" s="43">
        <v>42922</v>
      </c>
      <c r="J248" s="42">
        <v>42934.37604166667</v>
      </c>
      <c r="K248" s="81" t="s">
        <v>1768</v>
      </c>
      <c r="L248" t="s">
        <v>1768</v>
      </c>
      <c r="M248" t="s">
        <v>1761</v>
      </c>
      <c r="N248" s="1" t="s">
        <v>1761</v>
      </c>
      <c r="O248" s="1" t="s">
        <v>1781</v>
      </c>
      <c r="P248" t="s">
        <v>1781</v>
      </c>
      <c r="Q248" s="9" t="s">
        <v>45</v>
      </c>
      <c r="R248" s="82" t="s">
        <v>45</v>
      </c>
      <c r="S248" s="44" t="s">
        <v>2024</v>
      </c>
      <c r="T248" s="3" t="s">
        <v>136</v>
      </c>
      <c r="U248" s="2" t="s">
        <v>29</v>
      </c>
      <c r="V248" s="89" t="s">
        <v>29</v>
      </c>
      <c r="W248" s="11" t="s">
        <v>143</v>
      </c>
      <c r="X248" s="89" t="s">
        <v>143</v>
      </c>
      <c r="Y248" s="77" t="s">
        <v>1772</v>
      </c>
      <c r="Z248" s="84" t="s">
        <v>2653</v>
      </c>
      <c r="AA248" s="89" t="s">
        <v>28</v>
      </c>
      <c r="AB248" s="90" t="str">
        <f>HYPERLINK(CONCATENATE("https://www.ejacket.nsf.gov/ej/showProposal.do?ID=",SUBSTITUTE(SplitQueryTable[[#This Row],[prop_id]],CHAR(160),"")),"eJ")</f>
        <v>eJ</v>
      </c>
      <c r="AC248" s="89" t="s">
        <v>2516</v>
      </c>
      <c r="AD248" s="3" t="s">
        <v>2653</v>
      </c>
      <c r="AE248" s="91">
        <v>2017</v>
      </c>
      <c r="AF248" s="13" t="s">
        <v>43</v>
      </c>
      <c r="AG248" s="13">
        <v>16000</v>
      </c>
      <c r="AH248" s="45">
        <v>16000</v>
      </c>
      <c r="AI248" s="44" t="s">
        <v>2518</v>
      </c>
      <c r="AJ248" s="2" t="s">
        <v>2519</v>
      </c>
      <c r="AK248" s="46" t="s">
        <v>346</v>
      </c>
      <c r="AL248" s="55" t="s">
        <v>2655</v>
      </c>
      <c r="AM248" s="45" t="s">
        <v>2655</v>
      </c>
      <c r="AN248" s="56" t="s">
        <v>142</v>
      </c>
      <c r="AO248" s="23" t="s">
        <v>146</v>
      </c>
      <c r="AP248" s="11" t="s">
        <v>172</v>
      </c>
      <c r="AQ248" s="88" t="s">
        <v>2654</v>
      </c>
      <c r="AR248" s="57" t="s">
        <v>200</v>
      </c>
      <c r="AS248" s="46">
        <v>42952.868414351855</v>
      </c>
      <c r="AT248" s="3">
        <f t="shared" si="3"/>
        <v>223</v>
      </c>
    </row>
    <row r="249" spans="8:46" x14ac:dyDescent="0.4">
      <c r="H249" s="59">
        <v>43005.699629629627</v>
      </c>
      <c r="I249" s="43">
        <v>42772</v>
      </c>
      <c r="J249" s="42">
        <v>42823.50712962963</v>
      </c>
      <c r="K249" s="81" t="s">
        <v>1768</v>
      </c>
      <c r="L249" t="s">
        <v>1768</v>
      </c>
      <c r="M249" t="s">
        <v>1761</v>
      </c>
      <c r="N249" s="1" t="s">
        <v>1761</v>
      </c>
      <c r="O249" s="1" t="s">
        <v>1781</v>
      </c>
      <c r="P249" t="s">
        <v>1781</v>
      </c>
      <c r="Q249" s="9" t="s">
        <v>45</v>
      </c>
      <c r="R249" s="82" t="s">
        <v>45</v>
      </c>
      <c r="S249" s="44" t="s">
        <v>52</v>
      </c>
      <c r="T249" s="3" t="s">
        <v>136</v>
      </c>
      <c r="U249" s="2" t="s">
        <v>29</v>
      </c>
      <c r="V249" s="89" t="s">
        <v>29</v>
      </c>
      <c r="W249" s="11" t="s">
        <v>143</v>
      </c>
      <c r="X249" s="89" t="s">
        <v>143</v>
      </c>
      <c r="Y249" s="77" t="s">
        <v>1772</v>
      </c>
      <c r="Z249" s="84" t="s">
        <v>2656</v>
      </c>
      <c r="AA249" s="89" t="s">
        <v>28</v>
      </c>
      <c r="AB249" s="90" t="str">
        <f>HYPERLINK(CONCATENATE("https://www.ejacket.nsf.gov/ej/showProposal.do?ID=",SUBSTITUTE(SplitQueryTable[[#This Row],[prop_id]],CHAR(160),"")),"eJ")</f>
        <v>eJ</v>
      </c>
      <c r="AC249" s="89" t="s">
        <v>2525</v>
      </c>
      <c r="AD249" s="3" t="s">
        <v>2656</v>
      </c>
      <c r="AE249" s="91">
        <v>2017</v>
      </c>
      <c r="AF249" s="13" t="s">
        <v>43</v>
      </c>
      <c r="AG249" s="13">
        <v>13975</v>
      </c>
      <c r="AH249" s="45">
        <v>13975</v>
      </c>
      <c r="AI249" s="44" t="s">
        <v>2528</v>
      </c>
      <c r="AJ249" s="2" t="s">
        <v>2529</v>
      </c>
      <c r="AK249" s="46" t="s">
        <v>1732</v>
      </c>
      <c r="AL249" s="55" t="s">
        <v>2527</v>
      </c>
      <c r="AM249" s="45" t="s">
        <v>2658</v>
      </c>
      <c r="AN249" s="56" t="s">
        <v>142</v>
      </c>
      <c r="AO249" s="23" t="s">
        <v>146</v>
      </c>
      <c r="AP249" s="11" t="s">
        <v>172</v>
      </c>
      <c r="AQ249" s="88" t="s">
        <v>2657</v>
      </c>
      <c r="AR249" s="57" t="s">
        <v>200</v>
      </c>
      <c r="AS249" s="46">
        <v>42846.499560185184</v>
      </c>
      <c r="AT249" s="3">
        <f t="shared" si="3"/>
        <v>224</v>
      </c>
    </row>
    <row r="250" spans="8:46" x14ac:dyDescent="0.4">
      <c r="H250" s="59">
        <v>43005.699629629627</v>
      </c>
      <c r="I250" s="43">
        <v>42772</v>
      </c>
      <c r="J250" s="42">
        <v>42823.507662037038</v>
      </c>
      <c r="K250" s="81" t="s">
        <v>1768</v>
      </c>
      <c r="L250" t="s">
        <v>1768</v>
      </c>
      <c r="M250" t="s">
        <v>1761</v>
      </c>
      <c r="N250" s="1" t="s">
        <v>1761</v>
      </c>
      <c r="O250" s="1" t="s">
        <v>1781</v>
      </c>
      <c r="P250" t="s">
        <v>1781</v>
      </c>
      <c r="Q250" s="9" t="s">
        <v>45</v>
      </c>
      <c r="R250" s="82" t="s">
        <v>45</v>
      </c>
      <c r="S250" s="44" t="s">
        <v>52</v>
      </c>
      <c r="T250" s="3" t="s">
        <v>136</v>
      </c>
      <c r="U250" s="2" t="s">
        <v>29</v>
      </c>
      <c r="V250" s="89" t="s">
        <v>29</v>
      </c>
      <c r="W250" s="11" t="s">
        <v>143</v>
      </c>
      <c r="X250" s="89" t="s">
        <v>143</v>
      </c>
      <c r="Y250" s="77" t="s">
        <v>1772</v>
      </c>
      <c r="Z250" s="84" t="s">
        <v>2659</v>
      </c>
      <c r="AA250" s="89" t="s">
        <v>28</v>
      </c>
      <c r="AB250" s="90" t="str">
        <f>HYPERLINK(CONCATENATE("https://www.ejacket.nsf.gov/ej/showProposal.do?ID=",SUBSTITUTE(SplitQueryTable[[#This Row],[prop_id]],CHAR(160),"")),"eJ")</f>
        <v>eJ</v>
      </c>
      <c r="AC250" s="89" t="s">
        <v>2525</v>
      </c>
      <c r="AD250" s="3" t="s">
        <v>2659</v>
      </c>
      <c r="AE250" s="91">
        <v>2017</v>
      </c>
      <c r="AF250" s="13" t="s">
        <v>43</v>
      </c>
      <c r="AG250" s="13">
        <v>19875</v>
      </c>
      <c r="AH250" s="45">
        <v>19875</v>
      </c>
      <c r="AI250" s="44" t="s">
        <v>2528</v>
      </c>
      <c r="AJ250" s="2" t="s">
        <v>2529</v>
      </c>
      <c r="AK250" s="46" t="s">
        <v>1732</v>
      </c>
      <c r="AL250" s="55" t="s">
        <v>2527</v>
      </c>
      <c r="AM250" s="45"/>
      <c r="AN250" s="56" t="s">
        <v>142</v>
      </c>
      <c r="AO250" s="23" t="s">
        <v>146</v>
      </c>
      <c r="AP250" s="11" t="s">
        <v>172</v>
      </c>
      <c r="AQ250" s="88" t="s">
        <v>2660</v>
      </c>
      <c r="AR250" s="57" t="s">
        <v>200</v>
      </c>
      <c r="AS250" s="46">
        <v>42845.485474537039</v>
      </c>
      <c r="AT250" s="3">
        <f t="shared" si="3"/>
        <v>225</v>
      </c>
    </row>
    <row r="251" spans="8:46" x14ac:dyDescent="0.4">
      <c r="H251" s="59">
        <v>43005.699629629627</v>
      </c>
      <c r="I251" s="43">
        <v>42901</v>
      </c>
      <c r="J251" s="42">
        <v>42935.36178240741</v>
      </c>
      <c r="K251" s="81" t="s">
        <v>1768</v>
      </c>
      <c r="L251" t="s">
        <v>1768</v>
      </c>
      <c r="M251" t="s">
        <v>1761</v>
      </c>
      <c r="N251" s="1" t="s">
        <v>1761</v>
      </c>
      <c r="O251" s="1" t="s">
        <v>1781</v>
      </c>
      <c r="P251" t="s">
        <v>1781</v>
      </c>
      <c r="Q251" s="9" t="s">
        <v>45</v>
      </c>
      <c r="R251" s="82" t="s">
        <v>45</v>
      </c>
      <c r="S251" s="44" t="s">
        <v>52</v>
      </c>
      <c r="T251" s="3" t="s">
        <v>136</v>
      </c>
      <c r="U251" s="2" t="s">
        <v>29</v>
      </c>
      <c r="V251" s="89" t="s">
        <v>29</v>
      </c>
      <c r="W251" s="11" t="s">
        <v>143</v>
      </c>
      <c r="X251" s="89" t="s">
        <v>143</v>
      </c>
      <c r="Y251" s="77" t="s">
        <v>1772</v>
      </c>
      <c r="Z251" s="84" t="s">
        <v>2661</v>
      </c>
      <c r="AA251" s="89" t="s">
        <v>28</v>
      </c>
      <c r="AB251" s="90" t="str">
        <f>HYPERLINK(CONCATENATE("https://www.ejacket.nsf.gov/ej/showProposal.do?ID=",SUBSTITUTE(SplitQueryTable[[#This Row],[prop_id]],CHAR(160),"")),"eJ")</f>
        <v>eJ</v>
      </c>
      <c r="AC251" s="89" t="s">
        <v>2525</v>
      </c>
      <c r="AD251" s="3" t="s">
        <v>2661</v>
      </c>
      <c r="AE251" s="91">
        <v>2017</v>
      </c>
      <c r="AF251" s="13" t="s">
        <v>43</v>
      </c>
      <c r="AG251" s="13">
        <v>200000</v>
      </c>
      <c r="AH251" s="45">
        <v>200000</v>
      </c>
      <c r="AI251" s="44" t="s">
        <v>2528</v>
      </c>
      <c r="AJ251" s="2" t="s">
        <v>2529</v>
      </c>
      <c r="AK251" s="46" t="s">
        <v>1732</v>
      </c>
      <c r="AL251" s="55"/>
      <c r="AM251" s="45" t="s">
        <v>1759</v>
      </c>
      <c r="AN251" s="56" t="s">
        <v>142</v>
      </c>
      <c r="AO251" s="23" t="s">
        <v>146</v>
      </c>
      <c r="AP251" s="11" t="s">
        <v>172</v>
      </c>
      <c r="AQ251" s="88" t="s">
        <v>2526</v>
      </c>
      <c r="AR251" s="57" t="s">
        <v>200</v>
      </c>
      <c r="AS251" s="46">
        <v>42956.854513888888</v>
      </c>
      <c r="AT251" s="3">
        <f t="shared" si="3"/>
        <v>226</v>
      </c>
    </row>
    <row r="252" spans="8:46" x14ac:dyDescent="0.4">
      <c r="H252" s="59">
        <v>43005.699629629627</v>
      </c>
      <c r="I252" s="43">
        <v>42817.414444444446</v>
      </c>
      <c r="J252" s="42">
        <v>42920.442361111112</v>
      </c>
      <c r="K252" s="81" t="s">
        <v>137</v>
      </c>
      <c r="L252" t="s">
        <v>1760</v>
      </c>
      <c r="M252" t="s">
        <v>1761</v>
      </c>
      <c r="N252" s="1" t="s">
        <v>1761</v>
      </c>
      <c r="O252" s="1" t="s">
        <v>1800</v>
      </c>
      <c r="P252" t="s">
        <v>1800</v>
      </c>
      <c r="Q252" s="9" t="s">
        <v>45</v>
      </c>
      <c r="R252" s="82" t="s">
        <v>45</v>
      </c>
      <c r="S252" s="44" t="s">
        <v>52</v>
      </c>
      <c r="T252" s="3" t="s">
        <v>136</v>
      </c>
      <c r="U252" s="2" t="s">
        <v>29</v>
      </c>
      <c r="V252" s="89" t="s">
        <v>29</v>
      </c>
      <c r="W252" s="11" t="s">
        <v>143</v>
      </c>
      <c r="X252" s="89" t="s">
        <v>143</v>
      </c>
      <c r="Y252" s="77" t="s">
        <v>334</v>
      </c>
      <c r="Z252" s="84" t="s">
        <v>2662</v>
      </c>
      <c r="AA252" s="89" t="s">
        <v>28</v>
      </c>
      <c r="AB252" s="90" t="str">
        <f>HYPERLINK(CONCATENATE("https://www.ejacket.nsf.gov/ej/showProposal.do?ID=",SUBSTITUTE(SplitQueryTable[[#This Row],[prop_id]],CHAR(160),"")),"eJ")</f>
        <v>eJ</v>
      </c>
      <c r="AC252" s="89" t="s">
        <v>2142</v>
      </c>
      <c r="AD252" s="3" t="s">
        <v>2662</v>
      </c>
      <c r="AE252" s="91">
        <v>2017</v>
      </c>
      <c r="AF252" s="13" t="s">
        <v>43</v>
      </c>
      <c r="AG252" s="13">
        <v>30000</v>
      </c>
      <c r="AH252" s="45">
        <v>30000</v>
      </c>
      <c r="AI252" s="44" t="s">
        <v>2145</v>
      </c>
      <c r="AJ252" s="2" t="s">
        <v>2146</v>
      </c>
      <c r="AK252" s="46" t="s">
        <v>1754</v>
      </c>
      <c r="AL252" s="55" t="s">
        <v>1759</v>
      </c>
      <c r="AM252" s="45" t="s">
        <v>1759</v>
      </c>
      <c r="AN252" s="56" t="s">
        <v>142</v>
      </c>
      <c r="AO252" s="23" t="s">
        <v>146</v>
      </c>
      <c r="AP252" s="11" t="s">
        <v>172</v>
      </c>
      <c r="AQ252" s="88" t="s">
        <v>2144</v>
      </c>
      <c r="AR252" s="57" t="s">
        <v>40</v>
      </c>
      <c r="AS252" s="46">
        <v>42933.730578703704</v>
      </c>
      <c r="AT252" s="3">
        <f t="shared" si="3"/>
        <v>227</v>
      </c>
    </row>
    <row r="253" spans="8:46" x14ac:dyDescent="0.4">
      <c r="H253" s="59">
        <v>43005.699629629627</v>
      </c>
      <c r="I253" s="43">
        <v>42817.414768518516</v>
      </c>
      <c r="J253" s="42">
        <v>42905.523657407408</v>
      </c>
      <c r="K253" s="81" t="s">
        <v>137</v>
      </c>
      <c r="L253" t="s">
        <v>1760</v>
      </c>
      <c r="M253" t="s">
        <v>1761</v>
      </c>
      <c r="N253" s="1" t="s">
        <v>1761</v>
      </c>
      <c r="O253" s="1" t="s">
        <v>1800</v>
      </c>
      <c r="P253" t="s">
        <v>1800</v>
      </c>
      <c r="Q253" s="9" t="s">
        <v>45</v>
      </c>
      <c r="R253" s="82" t="s">
        <v>45</v>
      </c>
      <c r="S253" s="44" t="s">
        <v>52</v>
      </c>
      <c r="T253" s="3" t="s">
        <v>136</v>
      </c>
      <c r="U253" s="2" t="s">
        <v>29</v>
      </c>
      <c r="V253" s="89" t="s">
        <v>29</v>
      </c>
      <c r="W253" s="11" t="s">
        <v>143</v>
      </c>
      <c r="X253" s="89" t="s">
        <v>143</v>
      </c>
      <c r="Y253" s="77" t="s">
        <v>334</v>
      </c>
      <c r="Z253" s="84" t="s">
        <v>2663</v>
      </c>
      <c r="AA253" s="89" t="s">
        <v>28</v>
      </c>
      <c r="AB253" s="90" t="str">
        <f>HYPERLINK(CONCATENATE("https://www.ejacket.nsf.gov/ej/showProposal.do?ID=",SUBSTITUTE(SplitQueryTable[[#This Row],[prop_id]],CHAR(160),"")),"eJ")</f>
        <v>eJ</v>
      </c>
      <c r="AC253" s="89" t="s">
        <v>2142</v>
      </c>
      <c r="AD253" s="3" t="s">
        <v>2663</v>
      </c>
      <c r="AE253" s="91">
        <v>2017</v>
      </c>
      <c r="AF253" s="13" t="s">
        <v>43</v>
      </c>
      <c r="AG253" s="13">
        <v>30000</v>
      </c>
      <c r="AH253" s="45">
        <v>30000</v>
      </c>
      <c r="AI253" s="44" t="s">
        <v>2145</v>
      </c>
      <c r="AJ253" s="2" t="s">
        <v>2146</v>
      </c>
      <c r="AK253" s="46" t="s">
        <v>1754</v>
      </c>
      <c r="AL253" s="55" t="s">
        <v>1759</v>
      </c>
      <c r="AM253" s="45" t="s">
        <v>1759</v>
      </c>
      <c r="AN253" s="56" t="s">
        <v>142</v>
      </c>
      <c r="AO253" s="23" t="s">
        <v>146</v>
      </c>
      <c r="AP253" s="11" t="s">
        <v>172</v>
      </c>
      <c r="AQ253" s="88" t="s">
        <v>2144</v>
      </c>
      <c r="AR253" s="57" t="s">
        <v>362</v>
      </c>
      <c r="AS253" s="46">
        <v>42927.423310185186</v>
      </c>
      <c r="AT253" s="3">
        <f t="shared" si="3"/>
        <v>228</v>
      </c>
    </row>
    <row r="254" spans="8:46" x14ac:dyDescent="0.4">
      <c r="H254" s="59">
        <v>43005.699629629627</v>
      </c>
      <c r="I254" s="43">
        <v>42671</v>
      </c>
      <c r="J254" s="42">
        <v>42780.818645833337</v>
      </c>
      <c r="K254" s="81" t="s">
        <v>137</v>
      </c>
      <c r="L254" t="s">
        <v>1760</v>
      </c>
      <c r="M254" t="s">
        <v>1761</v>
      </c>
      <c r="N254" s="1" t="s">
        <v>1761</v>
      </c>
      <c r="O254" s="1" t="s">
        <v>1800</v>
      </c>
      <c r="P254" t="s">
        <v>1800</v>
      </c>
      <c r="Q254" s="9" t="s">
        <v>45</v>
      </c>
      <c r="R254" s="82" t="s">
        <v>45</v>
      </c>
      <c r="S254" s="44" t="s">
        <v>52</v>
      </c>
      <c r="T254" s="3" t="s">
        <v>136</v>
      </c>
      <c r="U254" s="2" t="s">
        <v>29</v>
      </c>
      <c r="V254" s="89" t="s">
        <v>29</v>
      </c>
      <c r="W254" s="11" t="s">
        <v>143</v>
      </c>
      <c r="X254" s="89" t="s">
        <v>143</v>
      </c>
      <c r="Y254" s="77" t="s">
        <v>334</v>
      </c>
      <c r="Z254" s="84" t="s">
        <v>2664</v>
      </c>
      <c r="AA254" s="89" t="s">
        <v>28</v>
      </c>
      <c r="AB254" s="90" t="str">
        <f>HYPERLINK(CONCATENATE("https://www.ejacket.nsf.gov/ej/showProposal.do?ID=",SUBSTITUTE(SplitQueryTable[[#This Row],[prop_id]],CHAR(160),"")),"eJ")</f>
        <v>eJ</v>
      </c>
      <c r="AC254" s="89" t="s">
        <v>2266</v>
      </c>
      <c r="AD254" s="3" t="s">
        <v>2664</v>
      </c>
      <c r="AE254" s="91">
        <v>2017</v>
      </c>
      <c r="AF254" s="13" t="s">
        <v>43</v>
      </c>
      <c r="AG254" s="13">
        <v>196549</v>
      </c>
      <c r="AH254" s="45">
        <v>196549</v>
      </c>
      <c r="AI254" s="44" t="s">
        <v>305</v>
      </c>
      <c r="AJ254" s="2" t="s">
        <v>331</v>
      </c>
      <c r="AK254" s="46" t="s">
        <v>1711</v>
      </c>
      <c r="AL254" s="55" t="s">
        <v>1759</v>
      </c>
      <c r="AM254" s="45" t="s">
        <v>1759</v>
      </c>
      <c r="AN254" s="56" t="s">
        <v>142</v>
      </c>
      <c r="AO254" s="23" t="s">
        <v>146</v>
      </c>
      <c r="AP254" s="11" t="s">
        <v>382</v>
      </c>
      <c r="AQ254" s="88" t="s">
        <v>2267</v>
      </c>
      <c r="AR254" s="57" t="s">
        <v>40</v>
      </c>
      <c r="AS254" s="46">
        <v>42794.695011574076</v>
      </c>
      <c r="AT254" s="3">
        <f t="shared" si="3"/>
        <v>229</v>
      </c>
    </row>
    <row r="255" spans="8:46" x14ac:dyDescent="0.4">
      <c r="H255" s="59">
        <v>43005.699629629627</v>
      </c>
      <c r="I255" s="43">
        <v>42853</v>
      </c>
      <c r="J255" s="42">
        <v>42870.641388888886</v>
      </c>
      <c r="K255" s="81" t="s">
        <v>1768</v>
      </c>
      <c r="L255" t="s">
        <v>1768</v>
      </c>
      <c r="M255" t="s">
        <v>1761</v>
      </c>
      <c r="N255" s="1" t="s">
        <v>1761</v>
      </c>
      <c r="O255" s="1" t="s">
        <v>1781</v>
      </c>
      <c r="P255" t="s">
        <v>1781</v>
      </c>
      <c r="Q255" s="9" t="s">
        <v>45</v>
      </c>
      <c r="R255" s="82" t="s">
        <v>45</v>
      </c>
      <c r="S255" s="44" t="s">
        <v>52</v>
      </c>
      <c r="T255" s="3" t="s">
        <v>136</v>
      </c>
      <c r="U255" s="2" t="s">
        <v>29</v>
      </c>
      <c r="V255" s="89" t="s">
        <v>29</v>
      </c>
      <c r="W255" s="11" t="s">
        <v>143</v>
      </c>
      <c r="X255" s="89" t="s">
        <v>143</v>
      </c>
      <c r="Y255" s="77" t="s">
        <v>1772</v>
      </c>
      <c r="Z255" s="84" t="s">
        <v>2665</v>
      </c>
      <c r="AA255" s="89" t="s">
        <v>28</v>
      </c>
      <c r="AB255" s="90" t="str">
        <f>HYPERLINK(CONCATENATE("https://www.ejacket.nsf.gov/ej/showProposal.do?ID=",SUBSTITUTE(SplitQueryTable[[#This Row],[prop_id]],CHAR(160),"")),"eJ")</f>
        <v>eJ</v>
      </c>
      <c r="AC255" s="89" t="s">
        <v>2153</v>
      </c>
      <c r="AD255" s="3" t="s">
        <v>2665</v>
      </c>
      <c r="AE255" s="91">
        <v>2017</v>
      </c>
      <c r="AF255" s="13" t="s">
        <v>43</v>
      </c>
      <c r="AG255" s="13">
        <v>16000</v>
      </c>
      <c r="AH255" s="45">
        <v>16000</v>
      </c>
      <c r="AI255" s="44" t="s">
        <v>2156</v>
      </c>
      <c r="AJ255" s="2" t="s">
        <v>296</v>
      </c>
      <c r="AK255" s="46" t="s">
        <v>226</v>
      </c>
      <c r="AL255" s="55" t="s">
        <v>2667</v>
      </c>
      <c r="AM255" s="45" t="s">
        <v>2667</v>
      </c>
      <c r="AN255" s="56" t="s">
        <v>142</v>
      </c>
      <c r="AO255" s="23" t="s">
        <v>146</v>
      </c>
      <c r="AP255" s="11" t="s">
        <v>172</v>
      </c>
      <c r="AQ255" s="88" t="s">
        <v>2666</v>
      </c>
      <c r="AR255" s="57" t="s">
        <v>40</v>
      </c>
      <c r="AS255" s="46">
        <v>42878.349131944444</v>
      </c>
      <c r="AT255" s="3">
        <f t="shared" si="3"/>
        <v>230</v>
      </c>
    </row>
    <row r="256" spans="8:46" x14ac:dyDescent="0.4">
      <c r="H256" s="59">
        <v>43005.699629629627</v>
      </c>
      <c r="I256" s="43">
        <v>42922</v>
      </c>
      <c r="J256" s="42">
        <v>42928.719305555554</v>
      </c>
      <c r="K256" s="81" t="s">
        <v>137</v>
      </c>
      <c r="L256" t="s">
        <v>1760</v>
      </c>
      <c r="M256" t="s">
        <v>1761</v>
      </c>
      <c r="N256" s="1" t="s">
        <v>1761</v>
      </c>
      <c r="O256" s="1" t="s">
        <v>1800</v>
      </c>
      <c r="P256" t="s">
        <v>1800</v>
      </c>
      <c r="Q256" s="9" t="s">
        <v>45</v>
      </c>
      <c r="R256" s="82" t="s">
        <v>45</v>
      </c>
      <c r="S256" s="44" t="s">
        <v>52</v>
      </c>
      <c r="T256" s="3" t="s">
        <v>136</v>
      </c>
      <c r="U256" s="2" t="s">
        <v>29</v>
      </c>
      <c r="V256" s="89" t="s">
        <v>29</v>
      </c>
      <c r="W256" s="11" t="s">
        <v>143</v>
      </c>
      <c r="X256" s="89" t="s">
        <v>143</v>
      </c>
      <c r="Y256" s="77" t="s">
        <v>334</v>
      </c>
      <c r="Z256" s="84" t="s">
        <v>2668</v>
      </c>
      <c r="AA256" s="89" t="s">
        <v>28</v>
      </c>
      <c r="AB256" s="90" t="str">
        <f>HYPERLINK(CONCATENATE("https://www.ejacket.nsf.gov/ej/showProposal.do?ID=",SUBSTITUTE(SplitQueryTable[[#This Row],[prop_id]],CHAR(160),"")),"eJ")</f>
        <v>eJ</v>
      </c>
      <c r="AC256" s="89" t="s">
        <v>2172</v>
      </c>
      <c r="AD256" s="3" t="s">
        <v>2668</v>
      </c>
      <c r="AE256" s="91">
        <v>2017</v>
      </c>
      <c r="AF256" s="13" t="s">
        <v>43</v>
      </c>
      <c r="AG256" s="13">
        <v>8000</v>
      </c>
      <c r="AH256" s="45">
        <v>8000</v>
      </c>
      <c r="AI256" s="44" t="s">
        <v>2174</v>
      </c>
      <c r="AJ256" s="2" t="s">
        <v>2175</v>
      </c>
      <c r="AK256" s="46" t="s">
        <v>313</v>
      </c>
      <c r="AL256" s="55" t="s">
        <v>138</v>
      </c>
      <c r="AM256" s="45" t="s">
        <v>138</v>
      </c>
      <c r="AN256" s="56" t="s">
        <v>142</v>
      </c>
      <c r="AO256" s="23" t="s">
        <v>146</v>
      </c>
      <c r="AP256" s="11" t="s">
        <v>172</v>
      </c>
      <c r="AQ256" s="88" t="s">
        <v>2173</v>
      </c>
      <c r="AR256" s="57" t="s">
        <v>40</v>
      </c>
      <c r="AS256" s="46">
        <v>42930.615891203706</v>
      </c>
      <c r="AT256" s="3">
        <f t="shared" si="3"/>
        <v>231</v>
      </c>
    </row>
    <row r="257" spans="8:46" x14ac:dyDescent="0.4">
      <c r="H257" s="59">
        <v>43005.699629629627</v>
      </c>
      <c r="I257" s="43">
        <v>42914</v>
      </c>
      <c r="J257" s="42">
        <v>42930.765150462961</v>
      </c>
      <c r="K257" s="81" t="s">
        <v>137</v>
      </c>
      <c r="L257" t="s">
        <v>1760</v>
      </c>
      <c r="M257" t="s">
        <v>1761</v>
      </c>
      <c r="N257" s="1" t="s">
        <v>1761</v>
      </c>
      <c r="O257" s="1" t="s">
        <v>1800</v>
      </c>
      <c r="P257" t="s">
        <v>1800</v>
      </c>
      <c r="Q257" s="9" t="s">
        <v>45</v>
      </c>
      <c r="R257" s="82" t="s">
        <v>45</v>
      </c>
      <c r="S257" s="44" t="s">
        <v>52</v>
      </c>
      <c r="T257" s="3" t="s">
        <v>136</v>
      </c>
      <c r="U257" s="2" t="s">
        <v>29</v>
      </c>
      <c r="V257" s="89" t="s">
        <v>29</v>
      </c>
      <c r="W257" s="11" t="s">
        <v>143</v>
      </c>
      <c r="X257" s="89" t="s">
        <v>143</v>
      </c>
      <c r="Y257" s="77" t="s">
        <v>334</v>
      </c>
      <c r="Z257" s="84" t="s">
        <v>2669</v>
      </c>
      <c r="AA257" s="89" t="s">
        <v>28</v>
      </c>
      <c r="AB257" s="90" t="str">
        <f>HYPERLINK(CONCATENATE("https://www.ejacket.nsf.gov/ej/showProposal.do?ID=",SUBSTITUTE(SplitQueryTable[[#This Row],[prop_id]],CHAR(160),"")),"eJ")</f>
        <v>eJ</v>
      </c>
      <c r="AC257" s="89" t="s">
        <v>2670</v>
      </c>
      <c r="AD257" s="3" t="s">
        <v>2669</v>
      </c>
      <c r="AE257" s="91">
        <v>2017</v>
      </c>
      <c r="AF257" s="13" t="s">
        <v>43</v>
      </c>
      <c r="AG257" s="13">
        <v>50000</v>
      </c>
      <c r="AH257" s="45">
        <v>50000</v>
      </c>
      <c r="AI257" s="44" t="s">
        <v>2673</v>
      </c>
      <c r="AJ257" s="2" t="s">
        <v>316</v>
      </c>
      <c r="AK257" s="46" t="s">
        <v>2674</v>
      </c>
      <c r="AL257" s="55" t="s">
        <v>1759</v>
      </c>
      <c r="AM257" s="45" t="s">
        <v>2672</v>
      </c>
      <c r="AN257" s="56" t="s">
        <v>142</v>
      </c>
      <c r="AO257" s="23" t="s">
        <v>146</v>
      </c>
      <c r="AP257" s="11" t="s">
        <v>382</v>
      </c>
      <c r="AQ257" s="88" t="s">
        <v>2671</v>
      </c>
      <c r="AR257" s="57" t="s">
        <v>40</v>
      </c>
      <c r="AS257" s="46">
        <v>42968.445497685185</v>
      </c>
      <c r="AT257" s="3">
        <f t="shared" si="3"/>
        <v>232</v>
      </c>
    </row>
    <row r="258" spans="8:46" x14ac:dyDescent="0.4">
      <c r="H258" s="59">
        <v>43005.699629629627</v>
      </c>
      <c r="I258" s="43">
        <v>42853</v>
      </c>
      <c r="J258" s="42">
        <v>42914.460312499999</v>
      </c>
      <c r="K258" s="81" t="s">
        <v>1768</v>
      </c>
      <c r="L258" t="s">
        <v>1768</v>
      </c>
      <c r="M258" t="s">
        <v>1761</v>
      </c>
      <c r="N258" s="1" t="s">
        <v>1761</v>
      </c>
      <c r="O258" s="1" t="s">
        <v>1781</v>
      </c>
      <c r="P258" t="s">
        <v>1781</v>
      </c>
      <c r="Q258" s="9" t="s">
        <v>45</v>
      </c>
      <c r="R258" s="82" t="s">
        <v>45</v>
      </c>
      <c r="S258" s="44" t="s">
        <v>1762</v>
      </c>
      <c r="T258" s="3" t="s">
        <v>136</v>
      </c>
      <c r="U258" s="2" t="s">
        <v>29</v>
      </c>
      <c r="V258" s="89" t="s">
        <v>29</v>
      </c>
      <c r="W258" s="11" t="s">
        <v>143</v>
      </c>
      <c r="X258" s="89" t="s">
        <v>143</v>
      </c>
      <c r="Y258" s="77" t="s">
        <v>1772</v>
      </c>
      <c r="Z258" s="84" t="s">
        <v>2675</v>
      </c>
      <c r="AA258" s="89" t="s">
        <v>28</v>
      </c>
      <c r="AB258" s="90" t="str">
        <f>HYPERLINK(CONCATENATE("https://www.ejacket.nsf.gov/ej/showProposal.do?ID=",SUBSTITUTE(SplitQueryTable[[#This Row],[prop_id]],CHAR(160),"")),"eJ")</f>
        <v>eJ</v>
      </c>
      <c r="AC258" s="89" t="s">
        <v>2676</v>
      </c>
      <c r="AD258" s="3" t="s">
        <v>2675</v>
      </c>
      <c r="AE258" s="91">
        <v>2017</v>
      </c>
      <c r="AF258" s="13" t="s">
        <v>43</v>
      </c>
      <c r="AG258" s="13">
        <v>16000</v>
      </c>
      <c r="AH258" s="45">
        <v>16000</v>
      </c>
      <c r="AI258" s="44" t="s">
        <v>2178</v>
      </c>
      <c r="AJ258" s="2" t="s">
        <v>296</v>
      </c>
      <c r="AK258" s="46" t="s">
        <v>261</v>
      </c>
      <c r="AL258" s="55" t="s">
        <v>2678</v>
      </c>
      <c r="AM258" s="45" t="s">
        <v>2679</v>
      </c>
      <c r="AN258" s="56" t="s">
        <v>142</v>
      </c>
      <c r="AO258" s="23" t="s">
        <v>146</v>
      </c>
      <c r="AP258" s="11"/>
      <c r="AQ258" s="88" t="s">
        <v>2677</v>
      </c>
      <c r="AR258" s="57" t="s">
        <v>40</v>
      </c>
      <c r="AS258" s="46">
        <v>42934.356261574074</v>
      </c>
      <c r="AT258" s="3">
        <f t="shared" si="3"/>
        <v>233</v>
      </c>
    </row>
    <row r="259" spans="8:46" x14ac:dyDescent="0.4">
      <c r="H259" s="59">
        <v>43005.699629629627</v>
      </c>
      <c r="I259" s="43">
        <v>42922</v>
      </c>
      <c r="J259" s="42">
        <v>42935.377870370372</v>
      </c>
      <c r="K259" s="81" t="s">
        <v>1768</v>
      </c>
      <c r="L259" t="s">
        <v>1768</v>
      </c>
      <c r="M259" t="s">
        <v>1761</v>
      </c>
      <c r="N259" s="1" t="s">
        <v>1761</v>
      </c>
      <c r="O259" s="1" t="s">
        <v>1781</v>
      </c>
      <c r="P259" t="s">
        <v>1781</v>
      </c>
      <c r="Q259" s="9" t="s">
        <v>45</v>
      </c>
      <c r="R259" s="82" t="s">
        <v>45</v>
      </c>
      <c r="S259" s="44" t="s">
        <v>2024</v>
      </c>
      <c r="T259" s="3" t="s">
        <v>136</v>
      </c>
      <c r="U259" s="2" t="s">
        <v>29</v>
      </c>
      <c r="V259" s="89" t="s">
        <v>29</v>
      </c>
      <c r="W259" s="11" t="s">
        <v>143</v>
      </c>
      <c r="X259" s="89" t="s">
        <v>143</v>
      </c>
      <c r="Y259" s="77" t="s">
        <v>1772</v>
      </c>
      <c r="Z259" s="84" t="s">
        <v>2680</v>
      </c>
      <c r="AA259" s="89" t="s">
        <v>28</v>
      </c>
      <c r="AB259" s="90" t="str">
        <f>HYPERLINK(CONCATENATE("https://www.ejacket.nsf.gov/ej/showProposal.do?ID=",SUBSTITUTE(SplitQueryTable[[#This Row],[prop_id]],CHAR(160),"")),"eJ")</f>
        <v>eJ</v>
      </c>
      <c r="AC259" s="89" t="s">
        <v>2190</v>
      </c>
      <c r="AD259" s="3" t="s">
        <v>2680</v>
      </c>
      <c r="AE259" s="91">
        <v>2017</v>
      </c>
      <c r="AF259" s="13" t="s">
        <v>43</v>
      </c>
      <c r="AG259" s="13">
        <v>16000</v>
      </c>
      <c r="AH259" s="45">
        <v>16000</v>
      </c>
      <c r="AI259" s="44" t="s">
        <v>2193</v>
      </c>
      <c r="AJ259" s="2" t="s">
        <v>628</v>
      </c>
      <c r="AK259" s="46" t="s">
        <v>1746</v>
      </c>
      <c r="AL259" s="55" t="s">
        <v>2682</v>
      </c>
      <c r="AM259" s="45" t="s">
        <v>2682</v>
      </c>
      <c r="AN259" s="56" t="s">
        <v>142</v>
      </c>
      <c r="AO259" s="23" t="s">
        <v>146</v>
      </c>
      <c r="AP259" s="11" t="s">
        <v>172</v>
      </c>
      <c r="AQ259" s="88" t="s">
        <v>2681</v>
      </c>
      <c r="AR259" s="57" t="s">
        <v>502</v>
      </c>
      <c r="AS259" s="46">
        <v>42943.346562500003</v>
      </c>
      <c r="AT259" s="3">
        <f t="shared" si="3"/>
        <v>234</v>
      </c>
    </row>
    <row r="260" spans="8:46" x14ac:dyDescent="0.4">
      <c r="H260" s="59">
        <v>43005.699629629627</v>
      </c>
      <c r="I260" s="43">
        <v>42914</v>
      </c>
      <c r="J260" s="42">
        <v>42935.372118055559</v>
      </c>
      <c r="K260" s="81" t="s">
        <v>1768</v>
      </c>
      <c r="L260" t="s">
        <v>1768</v>
      </c>
      <c r="M260" t="s">
        <v>1761</v>
      </c>
      <c r="N260" s="1" t="s">
        <v>1761</v>
      </c>
      <c r="O260" s="1" t="s">
        <v>1781</v>
      </c>
      <c r="P260" t="s">
        <v>1781</v>
      </c>
      <c r="Q260" s="9" t="s">
        <v>45</v>
      </c>
      <c r="R260" s="82" t="s">
        <v>45</v>
      </c>
      <c r="S260" s="44" t="s">
        <v>2024</v>
      </c>
      <c r="T260" s="3" t="s">
        <v>136</v>
      </c>
      <c r="U260" s="2" t="s">
        <v>29</v>
      </c>
      <c r="V260" s="89" t="s">
        <v>29</v>
      </c>
      <c r="W260" s="11" t="s">
        <v>143</v>
      </c>
      <c r="X260" s="89" t="s">
        <v>143</v>
      </c>
      <c r="Y260" s="77" t="s">
        <v>1772</v>
      </c>
      <c r="Z260" s="84" t="s">
        <v>2683</v>
      </c>
      <c r="AA260" s="89" t="s">
        <v>28</v>
      </c>
      <c r="AB260" s="90" t="str">
        <f>HYPERLINK(CONCATENATE("https://www.ejacket.nsf.gov/ej/showProposal.do?ID=",SUBSTITUTE(SplitQueryTable[[#This Row],[prop_id]],CHAR(160),"")),"eJ")</f>
        <v>eJ</v>
      </c>
      <c r="AC260" s="89" t="s">
        <v>2539</v>
      </c>
      <c r="AD260" s="3" t="s">
        <v>2683</v>
      </c>
      <c r="AE260" s="91">
        <v>2017</v>
      </c>
      <c r="AF260" s="13" t="s">
        <v>43</v>
      </c>
      <c r="AG260" s="13">
        <v>8000</v>
      </c>
      <c r="AH260" s="45">
        <v>8000</v>
      </c>
      <c r="AI260" s="44" t="s">
        <v>2541</v>
      </c>
      <c r="AJ260" s="2" t="s">
        <v>2542</v>
      </c>
      <c r="AK260" s="46" t="s">
        <v>2543</v>
      </c>
      <c r="AL260" s="55" t="s">
        <v>2685</v>
      </c>
      <c r="AM260" s="45" t="s">
        <v>2686</v>
      </c>
      <c r="AN260" s="56" t="s">
        <v>142</v>
      </c>
      <c r="AO260" s="23" t="s">
        <v>146</v>
      </c>
      <c r="AP260" s="11"/>
      <c r="AQ260" s="88" t="s">
        <v>2684</v>
      </c>
      <c r="AR260" s="57" t="s">
        <v>502</v>
      </c>
      <c r="AS260" s="46">
        <v>42943.343842592592</v>
      </c>
      <c r="AT260" s="3">
        <f t="shared" si="3"/>
        <v>235</v>
      </c>
    </row>
    <row r="261" spans="8:46" x14ac:dyDescent="0.4">
      <c r="H261" s="59">
        <v>43005.699629629627</v>
      </c>
      <c r="I261" s="43">
        <v>42605</v>
      </c>
      <c r="J261" s="42">
        <v>42854.497256944444</v>
      </c>
      <c r="K261" s="81" t="s">
        <v>137</v>
      </c>
      <c r="L261" t="s">
        <v>1760</v>
      </c>
      <c r="M261" t="s">
        <v>1761</v>
      </c>
      <c r="N261" s="1" t="s">
        <v>1761</v>
      </c>
      <c r="O261" s="1" t="s">
        <v>1800</v>
      </c>
      <c r="P261" t="s">
        <v>1800</v>
      </c>
      <c r="Q261" s="9" t="s">
        <v>45</v>
      </c>
      <c r="R261" s="82" t="s">
        <v>45</v>
      </c>
      <c r="S261" s="44" t="s">
        <v>52</v>
      </c>
      <c r="T261" s="3" t="s">
        <v>136</v>
      </c>
      <c r="U261" s="2" t="s">
        <v>29</v>
      </c>
      <c r="V261" s="89" t="s">
        <v>29</v>
      </c>
      <c r="W261" s="11" t="s">
        <v>143</v>
      </c>
      <c r="X261" s="89" t="s">
        <v>143</v>
      </c>
      <c r="Y261" s="77" t="s">
        <v>334</v>
      </c>
      <c r="Z261" s="84" t="s">
        <v>2687</v>
      </c>
      <c r="AA261" s="89" t="s">
        <v>28</v>
      </c>
      <c r="AB261" s="90" t="str">
        <f>HYPERLINK(CONCATENATE("https://www.ejacket.nsf.gov/ej/showProposal.do?ID=",SUBSTITUTE(SplitQueryTable[[#This Row],[prop_id]],CHAR(160),"")),"eJ")</f>
        <v>eJ</v>
      </c>
      <c r="AC261" s="89" t="s">
        <v>2202</v>
      </c>
      <c r="AD261" s="3" t="s">
        <v>2687</v>
      </c>
      <c r="AE261" s="91">
        <v>2017</v>
      </c>
      <c r="AF261" s="13" t="s">
        <v>43</v>
      </c>
      <c r="AG261" s="13">
        <v>20000</v>
      </c>
      <c r="AH261" s="45">
        <v>20000</v>
      </c>
      <c r="AI261" s="44" t="s">
        <v>2204</v>
      </c>
      <c r="AJ261" s="2" t="s">
        <v>2205</v>
      </c>
      <c r="AK261" s="46" t="s">
        <v>2206</v>
      </c>
      <c r="AL261" s="55" t="s">
        <v>1759</v>
      </c>
      <c r="AM261" s="45"/>
      <c r="AN261" s="56" t="s">
        <v>142</v>
      </c>
      <c r="AO261" s="23" t="s">
        <v>146</v>
      </c>
      <c r="AP261" s="11" t="s">
        <v>172</v>
      </c>
      <c r="AQ261" s="88" t="s">
        <v>2203</v>
      </c>
      <c r="AR261" s="57" t="s">
        <v>40</v>
      </c>
      <c r="AS261" s="46">
        <v>42863.598437499997</v>
      </c>
      <c r="AT261" s="3">
        <f t="shared" si="3"/>
        <v>236</v>
      </c>
    </row>
    <row r="262" spans="8:46" x14ac:dyDescent="0.4">
      <c r="H262" s="59">
        <v>43005.699629629627</v>
      </c>
      <c r="I262" s="43">
        <v>42912</v>
      </c>
      <c r="J262" s="42">
        <v>42935.367905092593</v>
      </c>
      <c r="K262" s="81" t="s">
        <v>1768</v>
      </c>
      <c r="L262" t="s">
        <v>1768</v>
      </c>
      <c r="M262" t="s">
        <v>1761</v>
      </c>
      <c r="N262" s="1" t="s">
        <v>1761</v>
      </c>
      <c r="O262" s="1" t="s">
        <v>1781</v>
      </c>
      <c r="P262" t="s">
        <v>1781</v>
      </c>
      <c r="Q262" s="9" t="s">
        <v>45</v>
      </c>
      <c r="R262" s="82" t="s">
        <v>45</v>
      </c>
      <c r="S262" s="44" t="s">
        <v>2024</v>
      </c>
      <c r="T262" s="3" t="s">
        <v>136</v>
      </c>
      <c r="U262" s="2" t="s">
        <v>29</v>
      </c>
      <c r="V262" s="89" t="s">
        <v>29</v>
      </c>
      <c r="W262" s="11" t="s">
        <v>143</v>
      </c>
      <c r="X262" s="89" t="s">
        <v>143</v>
      </c>
      <c r="Y262" s="77" t="s">
        <v>1772</v>
      </c>
      <c r="Z262" s="84" t="s">
        <v>2688</v>
      </c>
      <c r="AA262" s="89" t="s">
        <v>28</v>
      </c>
      <c r="AB262" s="90" t="str">
        <f>HYPERLINK(CONCATENATE("https://www.ejacket.nsf.gov/ej/showProposal.do?ID=",SUBSTITUTE(SplitQueryTable[[#This Row],[prop_id]],CHAR(160),"")),"eJ")</f>
        <v>eJ</v>
      </c>
      <c r="AC262" s="89" t="s">
        <v>2689</v>
      </c>
      <c r="AD262" s="3" t="s">
        <v>2688</v>
      </c>
      <c r="AE262" s="91">
        <v>2017</v>
      </c>
      <c r="AF262" s="13" t="s">
        <v>43</v>
      </c>
      <c r="AG262" s="13">
        <v>6800</v>
      </c>
      <c r="AH262" s="45">
        <v>6800</v>
      </c>
      <c r="AI262" s="44" t="s">
        <v>748</v>
      </c>
      <c r="AJ262" s="2" t="s">
        <v>2546</v>
      </c>
      <c r="AK262" s="46" t="s">
        <v>2547</v>
      </c>
      <c r="AL262" s="55" t="s">
        <v>2639</v>
      </c>
      <c r="AM262" s="45" t="s">
        <v>2691</v>
      </c>
      <c r="AN262" s="56" t="s">
        <v>142</v>
      </c>
      <c r="AO262" s="23" t="s">
        <v>146</v>
      </c>
      <c r="AP262" s="11"/>
      <c r="AQ262" s="88" t="s">
        <v>2690</v>
      </c>
      <c r="AR262" s="57" t="s">
        <v>502</v>
      </c>
      <c r="AS262" s="46">
        <v>42940.504502314812</v>
      </c>
      <c r="AT262" s="3">
        <f t="shared" si="3"/>
        <v>237</v>
      </c>
    </row>
    <row r="263" spans="8:46" x14ac:dyDescent="0.4">
      <c r="H263" s="59">
        <v>43005.699629629627</v>
      </c>
      <c r="I263" s="43">
        <v>42906</v>
      </c>
      <c r="J263" s="42">
        <v>42933.450497685182</v>
      </c>
      <c r="K263" s="81" t="s">
        <v>137</v>
      </c>
      <c r="L263" t="s">
        <v>1760</v>
      </c>
      <c r="M263" t="s">
        <v>1761</v>
      </c>
      <c r="N263" s="1" t="s">
        <v>1761</v>
      </c>
      <c r="O263" s="1" t="s">
        <v>1800</v>
      </c>
      <c r="P263" t="s">
        <v>1800</v>
      </c>
      <c r="Q263" s="9" t="s">
        <v>45</v>
      </c>
      <c r="R263" s="82" t="s">
        <v>45</v>
      </c>
      <c r="S263" s="44" t="s">
        <v>52</v>
      </c>
      <c r="T263" s="3" t="s">
        <v>136</v>
      </c>
      <c r="U263" s="2" t="s">
        <v>29</v>
      </c>
      <c r="V263" s="89" t="s">
        <v>29</v>
      </c>
      <c r="W263" s="11" t="s">
        <v>143</v>
      </c>
      <c r="X263" s="89" t="s">
        <v>143</v>
      </c>
      <c r="Y263" s="77" t="s">
        <v>334</v>
      </c>
      <c r="Z263" s="84" t="s">
        <v>2692</v>
      </c>
      <c r="AA263" s="89" t="s">
        <v>28</v>
      </c>
      <c r="AB263" s="90" t="str">
        <f>HYPERLINK(CONCATENATE("https://www.ejacket.nsf.gov/ej/showProposal.do?ID=",SUBSTITUTE(SplitQueryTable[[#This Row],[prop_id]],CHAR(160),"")),"eJ")</f>
        <v>eJ</v>
      </c>
      <c r="AC263" s="89" t="s">
        <v>2693</v>
      </c>
      <c r="AD263" s="3" t="s">
        <v>2692</v>
      </c>
      <c r="AE263" s="91">
        <v>2017</v>
      </c>
      <c r="AF263" s="13" t="s">
        <v>43</v>
      </c>
      <c r="AG263" s="13">
        <v>25000</v>
      </c>
      <c r="AH263" s="45">
        <v>25000</v>
      </c>
      <c r="AI263" s="44" t="s">
        <v>2695</v>
      </c>
      <c r="AJ263" s="2" t="s">
        <v>1322</v>
      </c>
      <c r="AK263" s="46" t="s">
        <v>1746</v>
      </c>
      <c r="AL263" s="55" t="s">
        <v>1759</v>
      </c>
      <c r="AM263" s="45" t="s">
        <v>1759</v>
      </c>
      <c r="AN263" s="56" t="s">
        <v>142</v>
      </c>
      <c r="AO263" s="23" t="s">
        <v>146</v>
      </c>
      <c r="AP263" s="11" t="s">
        <v>382</v>
      </c>
      <c r="AQ263" s="88" t="s">
        <v>2694</v>
      </c>
      <c r="AR263" s="57" t="s">
        <v>40</v>
      </c>
      <c r="AS263" s="46">
        <v>42968.472361111111</v>
      </c>
      <c r="AT263" s="3">
        <f t="shared" si="3"/>
        <v>238</v>
      </c>
    </row>
    <row r="264" spans="8:46" x14ac:dyDescent="0.4">
      <c r="H264" s="59">
        <v>43005.699629629627</v>
      </c>
      <c r="I264" s="43">
        <v>42909</v>
      </c>
      <c r="J264" s="42">
        <v>42940.445393518516</v>
      </c>
      <c r="K264" s="81" t="s">
        <v>1768</v>
      </c>
      <c r="L264" t="s">
        <v>1768</v>
      </c>
      <c r="M264" t="s">
        <v>1893</v>
      </c>
      <c r="N264" s="1" t="s">
        <v>1761</v>
      </c>
      <c r="O264" s="1" t="s">
        <v>1781</v>
      </c>
      <c r="P264" t="s">
        <v>1781</v>
      </c>
      <c r="Q264" s="9" t="s">
        <v>45</v>
      </c>
      <c r="R264" s="82" t="s">
        <v>45</v>
      </c>
      <c r="S264" s="44" t="s">
        <v>52</v>
      </c>
      <c r="T264" s="3" t="s">
        <v>136</v>
      </c>
      <c r="U264" s="2" t="s">
        <v>29</v>
      </c>
      <c r="V264" s="89" t="s">
        <v>29</v>
      </c>
      <c r="W264" s="11" t="s">
        <v>143</v>
      </c>
      <c r="X264" s="89" t="s">
        <v>143</v>
      </c>
      <c r="Y264" s="77" t="s">
        <v>1772</v>
      </c>
      <c r="Z264" s="84" t="s">
        <v>2696</v>
      </c>
      <c r="AA264" s="89" t="s">
        <v>28</v>
      </c>
      <c r="AB264" s="90" t="str">
        <f>HYPERLINK(CONCATENATE("https://www.ejacket.nsf.gov/ej/showProposal.do?ID=",SUBSTITUTE(SplitQueryTable[[#This Row],[prop_id]],CHAR(160),"")),"eJ")</f>
        <v>eJ</v>
      </c>
      <c r="AC264" s="89" t="s">
        <v>2697</v>
      </c>
      <c r="AD264" s="3" t="s">
        <v>2696</v>
      </c>
      <c r="AE264" s="91">
        <v>2017</v>
      </c>
      <c r="AF264" s="13" t="s">
        <v>43</v>
      </c>
      <c r="AG264" s="13">
        <v>50000</v>
      </c>
      <c r="AH264" s="45">
        <v>50000</v>
      </c>
      <c r="AI264" s="44" t="s">
        <v>2701</v>
      </c>
      <c r="AJ264" s="2" t="s">
        <v>2702</v>
      </c>
      <c r="AK264" s="46" t="s">
        <v>423</v>
      </c>
      <c r="AL264" s="55" t="s">
        <v>2699</v>
      </c>
      <c r="AM264" s="45" t="s">
        <v>2700</v>
      </c>
      <c r="AN264" s="56" t="s">
        <v>142</v>
      </c>
      <c r="AO264" s="23" t="s">
        <v>146</v>
      </c>
      <c r="AP264" s="11" t="s">
        <v>172</v>
      </c>
      <c r="AQ264" s="88" t="s">
        <v>2698</v>
      </c>
      <c r="AR264" s="57" t="s">
        <v>200</v>
      </c>
      <c r="AS264" s="46">
        <v>42970.893773148149</v>
      </c>
      <c r="AT264" s="3">
        <f t="shared" si="3"/>
        <v>239</v>
      </c>
    </row>
    <row r="265" spans="8:46" x14ac:dyDescent="0.4">
      <c r="H265" s="59">
        <v>43005.699629629627</v>
      </c>
      <c r="I265" s="43">
        <v>42815</v>
      </c>
      <c r="J265" s="42">
        <v>42842.75854166667</v>
      </c>
      <c r="K265" s="81" t="s">
        <v>1768</v>
      </c>
      <c r="L265" t="s">
        <v>1768</v>
      </c>
      <c r="M265" t="s">
        <v>1761</v>
      </c>
      <c r="N265" s="1" t="s">
        <v>1761</v>
      </c>
      <c r="O265" s="1" t="s">
        <v>1781</v>
      </c>
      <c r="P265" t="s">
        <v>1781</v>
      </c>
      <c r="Q265" s="9" t="s">
        <v>45</v>
      </c>
      <c r="R265" s="82" t="s">
        <v>45</v>
      </c>
      <c r="S265" s="44" t="s">
        <v>1941</v>
      </c>
      <c r="T265" s="3" t="s">
        <v>136</v>
      </c>
      <c r="U265" s="2" t="s">
        <v>29</v>
      </c>
      <c r="V265" s="89" t="s">
        <v>29</v>
      </c>
      <c r="W265" s="11" t="s">
        <v>143</v>
      </c>
      <c r="X265" s="89" t="s">
        <v>143</v>
      </c>
      <c r="Y265" s="77" t="s">
        <v>1772</v>
      </c>
      <c r="Z265" s="84" t="s">
        <v>2703</v>
      </c>
      <c r="AA265" s="89" t="s">
        <v>28</v>
      </c>
      <c r="AB265" s="90" t="str">
        <f>HYPERLINK(CONCATENATE("https://www.ejacket.nsf.gov/ej/showProposal.do?ID=",SUBSTITUTE(SplitQueryTable[[#This Row],[prop_id]],CHAR(160),"")),"eJ")</f>
        <v>eJ</v>
      </c>
      <c r="AC265" s="89" t="s">
        <v>2553</v>
      </c>
      <c r="AD265" s="3" t="s">
        <v>2703</v>
      </c>
      <c r="AE265" s="91">
        <v>2017</v>
      </c>
      <c r="AF265" s="13" t="s">
        <v>43</v>
      </c>
      <c r="AG265" s="13">
        <v>8000</v>
      </c>
      <c r="AH265" s="45">
        <v>8000</v>
      </c>
      <c r="AI265" s="44" t="s">
        <v>2556</v>
      </c>
      <c r="AJ265" s="2" t="s">
        <v>187</v>
      </c>
      <c r="AK265" s="46" t="s">
        <v>1735</v>
      </c>
      <c r="AL265" s="55" t="s">
        <v>2705</v>
      </c>
      <c r="AM265" s="45" t="s">
        <v>2705</v>
      </c>
      <c r="AN265" s="56" t="s">
        <v>142</v>
      </c>
      <c r="AO265" s="23" t="s">
        <v>146</v>
      </c>
      <c r="AP265" s="11"/>
      <c r="AQ265" s="88" t="s">
        <v>2704</v>
      </c>
      <c r="AR265" s="57" t="s">
        <v>40</v>
      </c>
      <c r="AS265" s="46">
        <v>42852.316377314812</v>
      </c>
      <c r="AT265" s="3">
        <f t="shared" si="3"/>
        <v>240</v>
      </c>
    </row>
    <row r="266" spans="8:46" x14ac:dyDescent="0.4">
      <c r="H266" s="59">
        <v>43005.699629629627</v>
      </c>
      <c r="I266" s="43">
        <v>42782</v>
      </c>
      <c r="J266" s="42">
        <v>42870.657997685186</v>
      </c>
      <c r="K266" s="81" t="s">
        <v>1768</v>
      </c>
      <c r="L266" t="s">
        <v>1768</v>
      </c>
      <c r="M266" t="s">
        <v>1761</v>
      </c>
      <c r="N266" s="1" t="s">
        <v>1761</v>
      </c>
      <c r="O266" s="1" t="s">
        <v>1781</v>
      </c>
      <c r="P266" t="s">
        <v>1781</v>
      </c>
      <c r="Q266" s="9" t="s">
        <v>45</v>
      </c>
      <c r="R266" s="82" t="s">
        <v>45</v>
      </c>
      <c r="S266" s="44" t="s">
        <v>1941</v>
      </c>
      <c r="T266" s="3" t="s">
        <v>136</v>
      </c>
      <c r="U266" s="2" t="s">
        <v>29</v>
      </c>
      <c r="V266" s="89" t="s">
        <v>29</v>
      </c>
      <c r="W266" s="11" t="s">
        <v>143</v>
      </c>
      <c r="X266" s="89" t="s">
        <v>143</v>
      </c>
      <c r="Y266" s="77" t="s">
        <v>1772</v>
      </c>
      <c r="Z266" s="84" t="s">
        <v>2706</v>
      </c>
      <c r="AA266" s="89" t="s">
        <v>28</v>
      </c>
      <c r="AB266" s="90" t="str">
        <f>HYPERLINK(CONCATENATE("https://www.ejacket.nsf.gov/ej/showProposal.do?ID=",SUBSTITUTE(SplitQueryTable[[#This Row],[prop_id]],CHAR(160),"")),"eJ")</f>
        <v>eJ</v>
      </c>
      <c r="AC266" s="89" t="s">
        <v>2496</v>
      </c>
      <c r="AD266" s="3" t="s">
        <v>2706</v>
      </c>
      <c r="AE266" s="91">
        <v>2017</v>
      </c>
      <c r="AF266" s="13" t="s">
        <v>43</v>
      </c>
      <c r="AG266" s="13">
        <v>8000</v>
      </c>
      <c r="AH266" s="45">
        <v>8000</v>
      </c>
      <c r="AI266" s="44" t="s">
        <v>2558</v>
      </c>
      <c r="AJ266" s="2" t="s">
        <v>2559</v>
      </c>
      <c r="AK266" s="46" t="s">
        <v>1751</v>
      </c>
      <c r="AL266" s="55" t="s">
        <v>2708</v>
      </c>
      <c r="AM266" s="45" t="s">
        <v>2708</v>
      </c>
      <c r="AN266" s="56" t="s">
        <v>142</v>
      </c>
      <c r="AO266" s="23" t="s">
        <v>146</v>
      </c>
      <c r="AP266" s="11" t="s">
        <v>172</v>
      </c>
      <c r="AQ266" s="88" t="s">
        <v>2707</v>
      </c>
      <c r="AR266" s="57" t="s">
        <v>40</v>
      </c>
      <c r="AS266" s="46">
        <v>42878.290254629632</v>
      </c>
      <c r="AT266" s="3">
        <f t="shared" si="3"/>
        <v>241</v>
      </c>
    </row>
    <row r="267" spans="8:46" x14ac:dyDescent="0.4">
      <c r="H267" s="59">
        <v>43005.699629629627</v>
      </c>
      <c r="I267" s="43">
        <v>42783</v>
      </c>
      <c r="J267" s="42">
        <v>42925.720763888887</v>
      </c>
      <c r="K267" s="81" t="s">
        <v>1768</v>
      </c>
      <c r="L267" t="s">
        <v>1768</v>
      </c>
      <c r="M267" t="s">
        <v>1761</v>
      </c>
      <c r="N267" s="1" t="s">
        <v>1761</v>
      </c>
      <c r="O267" s="1" t="s">
        <v>1781</v>
      </c>
      <c r="P267" t="s">
        <v>1781</v>
      </c>
      <c r="Q267" s="9" t="s">
        <v>45</v>
      </c>
      <c r="R267" s="82" t="s">
        <v>45</v>
      </c>
      <c r="S267" s="44" t="s">
        <v>52</v>
      </c>
      <c r="T267" s="3" t="s">
        <v>136</v>
      </c>
      <c r="U267" s="2" t="s">
        <v>29</v>
      </c>
      <c r="V267" s="89" t="s">
        <v>29</v>
      </c>
      <c r="W267" s="11" t="s">
        <v>143</v>
      </c>
      <c r="X267" s="89" t="s">
        <v>143</v>
      </c>
      <c r="Y267" s="77" t="s">
        <v>1772</v>
      </c>
      <c r="Z267" s="84" t="s">
        <v>2709</v>
      </c>
      <c r="AA267" s="89" t="s">
        <v>28</v>
      </c>
      <c r="AB267" s="90" t="str">
        <f>HYPERLINK(CONCATENATE("https://www.ejacket.nsf.gov/ej/showProposal.do?ID=",SUBSTITUTE(SplitQueryTable[[#This Row],[prop_id]],CHAR(160),"")),"eJ")</f>
        <v>eJ</v>
      </c>
      <c r="AC267" s="89" t="s">
        <v>2496</v>
      </c>
      <c r="AD267" s="3" t="s">
        <v>2709</v>
      </c>
      <c r="AE267" s="91">
        <v>2017</v>
      </c>
      <c r="AF267" s="13" t="s">
        <v>43</v>
      </c>
      <c r="AG267" s="13">
        <v>25000</v>
      </c>
      <c r="AH267" s="45">
        <v>25000</v>
      </c>
      <c r="AI267" s="44" t="s">
        <v>2558</v>
      </c>
      <c r="AJ267" s="2" t="s">
        <v>2559</v>
      </c>
      <c r="AK267" s="46" t="s">
        <v>1751</v>
      </c>
      <c r="AL267" s="55"/>
      <c r="AM267" s="45" t="s">
        <v>1759</v>
      </c>
      <c r="AN267" s="56" t="s">
        <v>142</v>
      </c>
      <c r="AO267" s="23" t="s">
        <v>146</v>
      </c>
      <c r="AP267" s="11" t="s">
        <v>172</v>
      </c>
      <c r="AQ267" s="88" t="s">
        <v>2710</v>
      </c>
      <c r="AR267" s="57" t="s">
        <v>200</v>
      </c>
      <c r="AS267" s="46">
        <v>42937.484930555554</v>
      </c>
      <c r="AT267" s="3">
        <f t="shared" si="3"/>
        <v>242</v>
      </c>
    </row>
    <row r="268" spans="8:46" x14ac:dyDescent="0.4">
      <c r="H268" s="59">
        <v>43005.699629629627</v>
      </c>
      <c r="I268" s="43">
        <v>42914</v>
      </c>
      <c r="J268" s="42">
        <v>42935.371458333335</v>
      </c>
      <c r="K268" s="81" t="s">
        <v>1768</v>
      </c>
      <c r="L268" t="s">
        <v>1768</v>
      </c>
      <c r="M268" t="s">
        <v>1761</v>
      </c>
      <c r="N268" s="1" t="s">
        <v>1761</v>
      </c>
      <c r="O268" s="1" t="s">
        <v>1781</v>
      </c>
      <c r="P268" t="s">
        <v>1781</v>
      </c>
      <c r="Q268" s="9" t="s">
        <v>45</v>
      </c>
      <c r="R268" s="82" t="s">
        <v>45</v>
      </c>
      <c r="S268" s="44" t="s">
        <v>1941</v>
      </c>
      <c r="T268" s="3" t="s">
        <v>136</v>
      </c>
      <c r="U268" s="2" t="s">
        <v>29</v>
      </c>
      <c r="V268" s="89" t="s">
        <v>29</v>
      </c>
      <c r="W268" s="11" t="s">
        <v>143</v>
      </c>
      <c r="X268" s="89" t="s">
        <v>143</v>
      </c>
      <c r="Y268" s="77" t="s">
        <v>1772</v>
      </c>
      <c r="Z268" s="84" t="s">
        <v>2711</v>
      </c>
      <c r="AA268" s="89" t="s">
        <v>28</v>
      </c>
      <c r="AB268" s="90" t="str">
        <f>HYPERLINK(CONCATENATE("https://www.ejacket.nsf.gov/ej/showProposal.do?ID=",SUBSTITUTE(SplitQueryTable[[#This Row],[prop_id]],CHAR(160),"")),"eJ")</f>
        <v>eJ</v>
      </c>
      <c r="AC268" s="89" t="s">
        <v>2496</v>
      </c>
      <c r="AD268" s="3" t="s">
        <v>2711</v>
      </c>
      <c r="AE268" s="91">
        <v>2017</v>
      </c>
      <c r="AF268" s="13" t="s">
        <v>43</v>
      </c>
      <c r="AG268" s="13">
        <v>8000</v>
      </c>
      <c r="AH268" s="45">
        <v>8000</v>
      </c>
      <c r="AI268" s="44" t="s">
        <v>2558</v>
      </c>
      <c r="AJ268" s="2" t="s">
        <v>2559</v>
      </c>
      <c r="AK268" s="46" t="s">
        <v>1751</v>
      </c>
      <c r="AL268" s="55" t="s">
        <v>2639</v>
      </c>
      <c r="AM268" s="45" t="s">
        <v>2691</v>
      </c>
      <c r="AN268" s="56" t="s">
        <v>142</v>
      </c>
      <c r="AO268" s="23" t="s">
        <v>146</v>
      </c>
      <c r="AP268" s="11" t="s">
        <v>172</v>
      </c>
      <c r="AQ268" s="88" t="s">
        <v>2712</v>
      </c>
      <c r="AR268" s="57" t="s">
        <v>502</v>
      </c>
      <c r="AS268" s="46">
        <v>42940.608194444445</v>
      </c>
      <c r="AT268" s="3">
        <f t="shared" si="3"/>
        <v>243</v>
      </c>
    </row>
    <row r="269" spans="8:46" x14ac:dyDescent="0.4">
      <c r="H269" s="59">
        <v>43005.699629629627</v>
      </c>
      <c r="I269" s="43">
        <v>42800</v>
      </c>
      <c r="J269" s="42">
        <v>42851.614201388889</v>
      </c>
      <c r="K269" s="81" t="s">
        <v>1768</v>
      </c>
      <c r="L269" t="s">
        <v>1768</v>
      </c>
      <c r="M269" t="s">
        <v>1761</v>
      </c>
      <c r="N269" s="1" t="s">
        <v>1761</v>
      </c>
      <c r="O269" s="1" t="s">
        <v>1781</v>
      </c>
      <c r="P269" t="s">
        <v>1781</v>
      </c>
      <c r="Q269" s="9" t="s">
        <v>45</v>
      </c>
      <c r="R269" s="82" t="s">
        <v>45</v>
      </c>
      <c r="S269" s="44" t="s">
        <v>52</v>
      </c>
      <c r="T269" s="3" t="s">
        <v>136</v>
      </c>
      <c r="U269" s="2" t="s">
        <v>29</v>
      </c>
      <c r="V269" s="89" t="s">
        <v>29</v>
      </c>
      <c r="W269" s="11" t="s">
        <v>143</v>
      </c>
      <c r="X269" s="89" t="s">
        <v>143</v>
      </c>
      <c r="Y269" s="77" t="s">
        <v>1772</v>
      </c>
      <c r="Z269" s="84" t="s">
        <v>2713</v>
      </c>
      <c r="AA269" s="89" t="s">
        <v>28</v>
      </c>
      <c r="AB269" s="90" t="str">
        <f>HYPERLINK(CONCATENATE("https://www.ejacket.nsf.gov/ej/showProposal.do?ID=",SUBSTITUTE(SplitQueryTable[[#This Row],[prop_id]],CHAR(160),"")),"eJ")</f>
        <v>eJ</v>
      </c>
      <c r="AC269" s="89" t="s">
        <v>2219</v>
      </c>
      <c r="AD269" s="3" t="s">
        <v>2713</v>
      </c>
      <c r="AE269" s="91">
        <v>2017</v>
      </c>
      <c r="AF269" s="13" t="s">
        <v>43</v>
      </c>
      <c r="AG269" s="13">
        <v>8000</v>
      </c>
      <c r="AH269" s="45">
        <v>8000</v>
      </c>
      <c r="AI269" s="44" t="s">
        <v>312</v>
      </c>
      <c r="AJ269" s="2" t="s">
        <v>2222</v>
      </c>
      <c r="AK269" s="46" t="s">
        <v>1739</v>
      </c>
      <c r="AL269" s="55" t="s">
        <v>2715</v>
      </c>
      <c r="AM269" s="45" t="s">
        <v>2715</v>
      </c>
      <c r="AN269" s="56" t="s">
        <v>142</v>
      </c>
      <c r="AO269" s="23" t="s">
        <v>146</v>
      </c>
      <c r="AP269" s="11" t="s">
        <v>172</v>
      </c>
      <c r="AQ269" s="88" t="s">
        <v>2714</v>
      </c>
      <c r="AR269" s="57" t="s">
        <v>40</v>
      </c>
      <c r="AS269" s="46">
        <v>42860.435115740744</v>
      </c>
      <c r="AT269" s="3">
        <f t="shared" si="3"/>
        <v>244</v>
      </c>
    </row>
    <row r="270" spans="8:46" x14ac:dyDescent="0.4">
      <c r="H270" s="59">
        <v>43005.699629629627</v>
      </c>
      <c r="I270" s="43">
        <v>42916</v>
      </c>
      <c r="J270" s="42">
        <v>42935.375451388885</v>
      </c>
      <c r="K270" s="81" t="s">
        <v>1768</v>
      </c>
      <c r="L270" t="s">
        <v>1768</v>
      </c>
      <c r="M270" t="s">
        <v>1761</v>
      </c>
      <c r="N270" s="1" t="s">
        <v>1761</v>
      </c>
      <c r="O270" s="1" t="s">
        <v>1781</v>
      </c>
      <c r="P270" t="s">
        <v>1781</v>
      </c>
      <c r="Q270" s="9" t="s">
        <v>45</v>
      </c>
      <c r="R270" s="82" t="s">
        <v>45</v>
      </c>
      <c r="S270" s="44" t="s">
        <v>2024</v>
      </c>
      <c r="T270" s="3" t="s">
        <v>136</v>
      </c>
      <c r="U270" s="2" t="s">
        <v>29</v>
      </c>
      <c r="V270" s="89" t="s">
        <v>29</v>
      </c>
      <c r="W270" s="11" t="s">
        <v>143</v>
      </c>
      <c r="X270" s="89" t="s">
        <v>143</v>
      </c>
      <c r="Y270" s="77" t="s">
        <v>1772</v>
      </c>
      <c r="Z270" s="84" t="s">
        <v>2716</v>
      </c>
      <c r="AA270" s="89" t="s">
        <v>28</v>
      </c>
      <c r="AB270" s="90" t="str">
        <f>HYPERLINK(CONCATENATE("https://www.ejacket.nsf.gov/ej/showProposal.do?ID=",SUBSTITUTE(SplitQueryTable[[#This Row],[prop_id]],CHAR(160),"")),"eJ")</f>
        <v>eJ</v>
      </c>
      <c r="AC270" s="89" t="s">
        <v>2220</v>
      </c>
      <c r="AD270" s="3" t="s">
        <v>2716</v>
      </c>
      <c r="AE270" s="91">
        <v>2017</v>
      </c>
      <c r="AF270" s="13" t="s">
        <v>43</v>
      </c>
      <c r="AG270" s="13">
        <v>16000</v>
      </c>
      <c r="AH270" s="45">
        <v>16000</v>
      </c>
      <c r="AI270" s="44" t="s">
        <v>2233</v>
      </c>
      <c r="AJ270" s="2" t="s">
        <v>2234</v>
      </c>
      <c r="AK270" s="46" t="s">
        <v>346</v>
      </c>
      <c r="AL270" s="55" t="s">
        <v>2718</v>
      </c>
      <c r="AM270" s="45" t="s">
        <v>2718</v>
      </c>
      <c r="AN270" s="56" t="s">
        <v>142</v>
      </c>
      <c r="AO270" s="23" t="s">
        <v>146</v>
      </c>
      <c r="AP270" s="11" t="s">
        <v>172</v>
      </c>
      <c r="AQ270" s="88" t="s">
        <v>2717</v>
      </c>
      <c r="AR270" s="57" t="s">
        <v>200</v>
      </c>
      <c r="AS270" s="46">
        <v>42967.814236111109</v>
      </c>
      <c r="AT270" s="3">
        <f t="shared" si="3"/>
        <v>245</v>
      </c>
    </row>
    <row r="271" spans="8:46" x14ac:dyDescent="0.4">
      <c r="H271" s="59">
        <v>43005.699629629627</v>
      </c>
      <c r="I271" s="43">
        <v>42909</v>
      </c>
      <c r="J271" s="42">
        <v>42940.69734953704</v>
      </c>
      <c r="K271" s="81" t="s">
        <v>1768</v>
      </c>
      <c r="L271" t="s">
        <v>1768</v>
      </c>
      <c r="M271" t="s">
        <v>1893</v>
      </c>
      <c r="N271" s="1" t="s">
        <v>1761</v>
      </c>
      <c r="O271" s="1" t="s">
        <v>1781</v>
      </c>
      <c r="P271" t="s">
        <v>1781</v>
      </c>
      <c r="Q271" s="9" t="s">
        <v>45</v>
      </c>
      <c r="R271" s="82" t="s">
        <v>45</v>
      </c>
      <c r="S271" s="44" t="s">
        <v>52</v>
      </c>
      <c r="T271" s="3" t="s">
        <v>136</v>
      </c>
      <c r="U271" s="2" t="s">
        <v>29</v>
      </c>
      <c r="V271" s="89" t="s">
        <v>29</v>
      </c>
      <c r="W271" s="11" t="s">
        <v>143</v>
      </c>
      <c r="X271" s="89" t="s">
        <v>143</v>
      </c>
      <c r="Y271" s="77" t="s">
        <v>1772</v>
      </c>
      <c r="Z271" s="84" t="s">
        <v>2719</v>
      </c>
      <c r="AA271" s="89" t="s">
        <v>28</v>
      </c>
      <c r="AB271" s="90" t="str">
        <f>HYPERLINK(CONCATENATE("https://www.ejacket.nsf.gov/ej/showProposal.do?ID=",SUBSTITUTE(SplitQueryTable[[#This Row],[prop_id]],CHAR(160),"")),"eJ")</f>
        <v>eJ</v>
      </c>
      <c r="AC271" s="89" t="s">
        <v>2720</v>
      </c>
      <c r="AD271" s="3" t="s">
        <v>2719</v>
      </c>
      <c r="AE271" s="91">
        <v>2017</v>
      </c>
      <c r="AF271" s="13" t="s">
        <v>44</v>
      </c>
      <c r="AG271" s="13">
        <v>11018</v>
      </c>
      <c r="AH271" s="45">
        <v>29717</v>
      </c>
      <c r="AI271" s="44" t="s">
        <v>2722</v>
      </c>
      <c r="AJ271" s="2" t="s">
        <v>318</v>
      </c>
      <c r="AK271" s="46" t="s">
        <v>1718</v>
      </c>
      <c r="AL271" s="55" t="s">
        <v>2045</v>
      </c>
      <c r="AM271" s="45" t="s">
        <v>2045</v>
      </c>
      <c r="AN271" s="56" t="s">
        <v>142</v>
      </c>
      <c r="AO271" s="23" t="s">
        <v>146</v>
      </c>
      <c r="AP271" s="11" t="s">
        <v>382</v>
      </c>
      <c r="AQ271" s="88" t="s">
        <v>2721</v>
      </c>
      <c r="AR271" s="57" t="s">
        <v>200</v>
      </c>
      <c r="AS271" s="46">
        <v>42973.903993055559</v>
      </c>
      <c r="AT271" s="3">
        <f t="shared" si="3"/>
        <v>246</v>
      </c>
    </row>
    <row r="272" spans="8:46" x14ac:dyDescent="0.4">
      <c r="H272" s="59">
        <v>43005.699629629627</v>
      </c>
      <c r="I272" s="43">
        <v>42915</v>
      </c>
      <c r="J272" s="42">
        <v>42940.447523148148</v>
      </c>
      <c r="K272" s="81" t="s">
        <v>1768</v>
      </c>
      <c r="L272" t="s">
        <v>1768</v>
      </c>
      <c r="M272" t="s">
        <v>1761</v>
      </c>
      <c r="N272" s="1" t="s">
        <v>1761</v>
      </c>
      <c r="O272" s="1" t="s">
        <v>1781</v>
      </c>
      <c r="P272" t="s">
        <v>1781</v>
      </c>
      <c r="Q272" s="9" t="s">
        <v>45</v>
      </c>
      <c r="R272" s="82" t="s">
        <v>45</v>
      </c>
      <c r="S272" s="44" t="s">
        <v>2024</v>
      </c>
      <c r="T272" s="3" t="s">
        <v>136</v>
      </c>
      <c r="U272" s="2" t="s">
        <v>29</v>
      </c>
      <c r="V272" s="89" t="s">
        <v>29</v>
      </c>
      <c r="W272" s="11" t="s">
        <v>143</v>
      </c>
      <c r="X272" s="89" t="s">
        <v>143</v>
      </c>
      <c r="Y272" s="77" t="s">
        <v>1772</v>
      </c>
      <c r="Z272" s="84" t="s">
        <v>2723</v>
      </c>
      <c r="AA272" s="89" t="s">
        <v>28</v>
      </c>
      <c r="AB272" s="90" t="str">
        <f>HYPERLINK(CONCATENATE("https://www.ejacket.nsf.gov/ej/showProposal.do?ID=",SUBSTITUTE(SplitQueryTable[[#This Row],[prop_id]],CHAR(160),"")),"eJ")</f>
        <v>eJ</v>
      </c>
      <c r="AC272" s="89" t="s">
        <v>2245</v>
      </c>
      <c r="AD272" s="3" t="s">
        <v>2723</v>
      </c>
      <c r="AE272" s="91">
        <v>2017</v>
      </c>
      <c r="AF272" s="13" t="s">
        <v>43</v>
      </c>
      <c r="AG272" s="13">
        <v>16000</v>
      </c>
      <c r="AH272" s="45">
        <v>16000</v>
      </c>
      <c r="AI272" s="44" t="s">
        <v>2248</v>
      </c>
      <c r="AJ272" s="2" t="s">
        <v>277</v>
      </c>
      <c r="AK272" s="46" t="s">
        <v>2166</v>
      </c>
      <c r="AL272" s="55" t="s">
        <v>2725</v>
      </c>
      <c r="AM272" s="45" t="s">
        <v>2726</v>
      </c>
      <c r="AN272" s="56" t="s">
        <v>142</v>
      </c>
      <c r="AO272" s="23" t="s">
        <v>146</v>
      </c>
      <c r="AP272" s="11" t="s">
        <v>172</v>
      </c>
      <c r="AQ272" s="88" t="s">
        <v>2724</v>
      </c>
      <c r="AR272" s="57" t="s">
        <v>40</v>
      </c>
      <c r="AS272" s="46">
        <v>42956.570532407408</v>
      </c>
      <c r="AT272" s="3">
        <f t="shared" si="3"/>
        <v>247</v>
      </c>
    </row>
    <row r="273" spans="8:46" x14ac:dyDescent="0.4">
      <c r="H273" s="59">
        <v>43005.699629629627</v>
      </c>
      <c r="I273" s="43">
        <v>42870</v>
      </c>
      <c r="J273" s="42">
        <v>42913.687418981484</v>
      </c>
      <c r="K273" s="81" t="s">
        <v>1768</v>
      </c>
      <c r="L273" t="s">
        <v>1768</v>
      </c>
      <c r="M273" t="s">
        <v>1761</v>
      </c>
      <c r="N273" s="1" t="s">
        <v>1761</v>
      </c>
      <c r="O273" s="1" t="s">
        <v>1781</v>
      </c>
      <c r="P273" t="s">
        <v>1781</v>
      </c>
      <c r="Q273" s="9" t="s">
        <v>45</v>
      </c>
      <c r="R273" s="82" t="s">
        <v>45</v>
      </c>
      <c r="S273" s="44" t="s">
        <v>1941</v>
      </c>
      <c r="T273" s="3" t="s">
        <v>136</v>
      </c>
      <c r="U273" s="2" t="s">
        <v>29</v>
      </c>
      <c r="V273" s="89" t="s">
        <v>29</v>
      </c>
      <c r="W273" s="11" t="s">
        <v>143</v>
      </c>
      <c r="X273" s="89" t="s">
        <v>143</v>
      </c>
      <c r="Y273" s="77" t="s">
        <v>1772</v>
      </c>
      <c r="Z273" s="84" t="s">
        <v>2727</v>
      </c>
      <c r="AA273" s="89" t="s">
        <v>28</v>
      </c>
      <c r="AB273" s="90" t="str">
        <f>HYPERLINK(CONCATENATE("https://www.ejacket.nsf.gov/ej/showProposal.do?ID=",SUBSTITUTE(SplitQueryTable[[#This Row],[prop_id]],CHAR(160),"")),"eJ")</f>
        <v>eJ</v>
      </c>
      <c r="AC273" s="89" t="s">
        <v>2249</v>
      </c>
      <c r="AD273" s="3" t="s">
        <v>2727</v>
      </c>
      <c r="AE273" s="91">
        <v>2017</v>
      </c>
      <c r="AF273" s="13" t="s">
        <v>43</v>
      </c>
      <c r="AG273" s="13">
        <v>8000</v>
      </c>
      <c r="AH273" s="45">
        <v>8000</v>
      </c>
      <c r="AI273" s="44" t="s">
        <v>239</v>
      </c>
      <c r="AJ273" s="2" t="s">
        <v>291</v>
      </c>
      <c r="AK273" s="46" t="s">
        <v>1724</v>
      </c>
      <c r="AL273" s="55" t="s">
        <v>2729</v>
      </c>
      <c r="AM273" s="45" t="s">
        <v>2729</v>
      </c>
      <c r="AN273" s="56" t="s">
        <v>142</v>
      </c>
      <c r="AO273" s="23" t="s">
        <v>146</v>
      </c>
      <c r="AP273" s="11" t="s">
        <v>172</v>
      </c>
      <c r="AQ273" s="88" t="s">
        <v>2728</v>
      </c>
      <c r="AR273" s="57" t="s">
        <v>40</v>
      </c>
      <c r="AS273" s="46">
        <v>42926.516365740739</v>
      </c>
      <c r="AT273" s="3">
        <f t="shared" si="3"/>
        <v>248</v>
      </c>
    </row>
    <row r="274" spans="8:46" x14ac:dyDescent="0.4">
      <c r="H274" s="59">
        <v>43005.699629629627</v>
      </c>
      <c r="I274" s="43">
        <v>42922</v>
      </c>
      <c r="J274" s="42">
        <v>42935.378460648149</v>
      </c>
      <c r="K274" s="81" t="s">
        <v>1768</v>
      </c>
      <c r="L274" t="s">
        <v>1768</v>
      </c>
      <c r="M274" t="s">
        <v>1761</v>
      </c>
      <c r="N274" s="1" t="s">
        <v>1761</v>
      </c>
      <c r="O274" s="1" t="s">
        <v>1781</v>
      </c>
      <c r="P274" t="s">
        <v>1781</v>
      </c>
      <c r="Q274" s="9" t="s">
        <v>45</v>
      </c>
      <c r="R274" s="82" t="s">
        <v>45</v>
      </c>
      <c r="S274" s="44" t="s">
        <v>2024</v>
      </c>
      <c r="T274" s="3" t="s">
        <v>136</v>
      </c>
      <c r="U274" s="2" t="s">
        <v>29</v>
      </c>
      <c r="V274" s="89" t="s">
        <v>29</v>
      </c>
      <c r="W274" s="11" t="s">
        <v>143</v>
      </c>
      <c r="X274" s="89" t="s">
        <v>143</v>
      </c>
      <c r="Y274" s="77" t="s">
        <v>1772</v>
      </c>
      <c r="Z274" s="84" t="s">
        <v>2730</v>
      </c>
      <c r="AA274" s="89" t="s">
        <v>28</v>
      </c>
      <c r="AB274" s="90" t="str">
        <f>HYPERLINK(CONCATENATE("https://www.ejacket.nsf.gov/ej/showProposal.do?ID=",SUBSTITUTE(SplitQueryTable[[#This Row],[prop_id]],CHAR(160),"")),"eJ")</f>
        <v>eJ</v>
      </c>
      <c r="AC274" s="89" t="s">
        <v>2249</v>
      </c>
      <c r="AD274" s="3" t="s">
        <v>2730</v>
      </c>
      <c r="AE274" s="91">
        <v>2017</v>
      </c>
      <c r="AF274" s="13" t="s">
        <v>43</v>
      </c>
      <c r="AG274" s="13">
        <v>16000</v>
      </c>
      <c r="AH274" s="45">
        <v>16000</v>
      </c>
      <c r="AI274" s="44" t="s">
        <v>239</v>
      </c>
      <c r="AJ274" s="2" t="s">
        <v>291</v>
      </c>
      <c r="AK274" s="46" t="s">
        <v>1724</v>
      </c>
      <c r="AL274" s="55" t="s">
        <v>2027</v>
      </c>
      <c r="AM274" s="45" t="s">
        <v>2027</v>
      </c>
      <c r="AN274" s="56" t="s">
        <v>142</v>
      </c>
      <c r="AO274" s="23" t="s">
        <v>146</v>
      </c>
      <c r="AP274" s="11" t="s">
        <v>172</v>
      </c>
      <c r="AQ274" s="88" t="s">
        <v>2728</v>
      </c>
      <c r="AR274" s="57" t="s">
        <v>502</v>
      </c>
      <c r="AS274" s="46">
        <v>42943.347986111112</v>
      </c>
      <c r="AT274" s="3">
        <f t="shared" si="3"/>
        <v>249</v>
      </c>
    </row>
    <row r="275" spans="8:46" x14ac:dyDescent="0.4">
      <c r="H275" s="59">
        <v>43005.699629629627</v>
      </c>
      <c r="I275" s="43">
        <v>42810</v>
      </c>
      <c r="J275" s="42">
        <v>42913.688067129631</v>
      </c>
      <c r="K275" s="81" t="s">
        <v>1768</v>
      </c>
      <c r="L275" t="s">
        <v>1768</v>
      </c>
      <c r="M275" t="s">
        <v>1761</v>
      </c>
      <c r="N275" s="1" t="s">
        <v>1761</v>
      </c>
      <c r="O275" s="1" t="s">
        <v>1781</v>
      </c>
      <c r="P275" t="s">
        <v>1781</v>
      </c>
      <c r="Q275" s="9" t="s">
        <v>45</v>
      </c>
      <c r="R275" s="82" t="s">
        <v>45</v>
      </c>
      <c r="S275" s="44" t="s">
        <v>52</v>
      </c>
      <c r="T275" s="3" t="s">
        <v>136</v>
      </c>
      <c r="U275" s="2" t="s">
        <v>29</v>
      </c>
      <c r="V275" s="89" t="s">
        <v>29</v>
      </c>
      <c r="W275" s="11" t="s">
        <v>143</v>
      </c>
      <c r="X275" s="89" t="s">
        <v>143</v>
      </c>
      <c r="Y275" s="77" t="s">
        <v>1772</v>
      </c>
      <c r="Z275" s="84" t="s">
        <v>2731</v>
      </c>
      <c r="AA275" s="89" t="s">
        <v>28</v>
      </c>
      <c r="AB275" s="90" t="str">
        <f>HYPERLINK(CONCATENATE("https://www.ejacket.nsf.gov/ej/showProposal.do?ID=",SUBSTITUTE(SplitQueryTable[[#This Row],[prop_id]],CHAR(160),"")),"eJ")</f>
        <v>eJ</v>
      </c>
      <c r="AC275" s="89" t="s">
        <v>2270</v>
      </c>
      <c r="AD275" s="3" t="s">
        <v>2731</v>
      </c>
      <c r="AE275" s="91">
        <v>2017</v>
      </c>
      <c r="AF275" s="13" t="s">
        <v>43</v>
      </c>
      <c r="AG275" s="13">
        <v>8000</v>
      </c>
      <c r="AH275" s="45">
        <v>8000</v>
      </c>
      <c r="AI275" s="44" t="s">
        <v>2273</v>
      </c>
      <c r="AJ275" s="2" t="s">
        <v>2274</v>
      </c>
      <c r="AK275" s="46" t="s">
        <v>281</v>
      </c>
      <c r="AL275" s="55" t="s">
        <v>2733</v>
      </c>
      <c r="AM275" s="45" t="s">
        <v>2733</v>
      </c>
      <c r="AN275" s="56" t="s">
        <v>142</v>
      </c>
      <c r="AO275" s="23" t="s">
        <v>146</v>
      </c>
      <c r="AP275" s="11" t="s">
        <v>382</v>
      </c>
      <c r="AQ275" s="88" t="s">
        <v>2732</v>
      </c>
      <c r="AR275" s="57" t="s">
        <v>40</v>
      </c>
      <c r="AS275" s="46">
        <v>42926.522361111114</v>
      </c>
      <c r="AT275" s="3">
        <f t="shared" si="3"/>
        <v>250</v>
      </c>
    </row>
    <row r="276" spans="8:46" x14ac:dyDescent="0.4">
      <c r="H276" s="59">
        <v>43005.699629629627</v>
      </c>
      <c r="I276" s="43">
        <v>42922</v>
      </c>
      <c r="J276" s="42">
        <v>42934.37877314815</v>
      </c>
      <c r="K276" s="81" t="s">
        <v>1768</v>
      </c>
      <c r="L276" t="s">
        <v>1768</v>
      </c>
      <c r="M276" t="s">
        <v>1761</v>
      </c>
      <c r="N276" s="1" t="s">
        <v>1761</v>
      </c>
      <c r="O276" s="1" t="s">
        <v>1781</v>
      </c>
      <c r="P276" t="s">
        <v>1781</v>
      </c>
      <c r="Q276" s="9" t="s">
        <v>45</v>
      </c>
      <c r="R276" s="82" t="s">
        <v>45</v>
      </c>
      <c r="S276" s="44" t="s">
        <v>2024</v>
      </c>
      <c r="T276" s="3" t="s">
        <v>136</v>
      </c>
      <c r="U276" s="2" t="s">
        <v>29</v>
      </c>
      <c r="V276" s="89" t="s">
        <v>29</v>
      </c>
      <c r="W276" s="11" t="s">
        <v>143</v>
      </c>
      <c r="X276" s="89" t="s">
        <v>143</v>
      </c>
      <c r="Y276" s="77" t="s">
        <v>1772</v>
      </c>
      <c r="Z276" s="84" t="s">
        <v>2734</v>
      </c>
      <c r="AA276" s="89" t="s">
        <v>28</v>
      </c>
      <c r="AB276" s="90" t="str">
        <f>HYPERLINK(CONCATENATE("https://www.ejacket.nsf.gov/ej/showProposal.do?ID=",SUBSTITUTE(SplitQueryTable[[#This Row],[prop_id]],CHAR(160),"")),"eJ")</f>
        <v>eJ</v>
      </c>
      <c r="AC276" s="89" t="s">
        <v>2241</v>
      </c>
      <c r="AD276" s="3" t="s">
        <v>2734</v>
      </c>
      <c r="AE276" s="91">
        <v>2017</v>
      </c>
      <c r="AF276" s="13" t="s">
        <v>43</v>
      </c>
      <c r="AG276" s="13">
        <v>16000</v>
      </c>
      <c r="AH276" s="45">
        <v>16000</v>
      </c>
      <c r="AI276" s="44" t="s">
        <v>2278</v>
      </c>
      <c r="AJ276" s="2" t="s">
        <v>2279</v>
      </c>
      <c r="AK276" s="46" t="s">
        <v>1750</v>
      </c>
      <c r="AL276" s="55" t="s">
        <v>2736</v>
      </c>
      <c r="AM276" s="45" t="s">
        <v>2736</v>
      </c>
      <c r="AN276" s="56" t="s">
        <v>142</v>
      </c>
      <c r="AO276" s="23" t="s">
        <v>146</v>
      </c>
      <c r="AP276" s="11" t="s">
        <v>172</v>
      </c>
      <c r="AQ276" s="88" t="s">
        <v>2735</v>
      </c>
      <c r="AR276" s="57" t="s">
        <v>200</v>
      </c>
      <c r="AS276" s="46">
        <v>42935.432187500002</v>
      </c>
      <c r="AT276" s="3">
        <f t="shared" si="3"/>
        <v>251</v>
      </c>
    </row>
    <row r="277" spans="8:46" x14ac:dyDescent="0.4">
      <c r="H277" s="59">
        <v>43005.699629629627</v>
      </c>
      <c r="I277" s="43">
        <v>42768</v>
      </c>
      <c r="J277" s="42">
        <v>42788.333749999998</v>
      </c>
      <c r="K277" s="81" t="s">
        <v>1768</v>
      </c>
      <c r="L277" t="s">
        <v>1768</v>
      </c>
      <c r="M277" t="s">
        <v>1761</v>
      </c>
      <c r="N277" s="1" t="s">
        <v>1761</v>
      </c>
      <c r="O277" s="1" t="s">
        <v>1781</v>
      </c>
      <c r="P277" t="s">
        <v>1781</v>
      </c>
      <c r="Q277" s="9" t="s">
        <v>45</v>
      </c>
      <c r="R277" s="82" t="s">
        <v>45</v>
      </c>
      <c r="S277" s="44" t="s">
        <v>52</v>
      </c>
      <c r="T277" s="3" t="s">
        <v>136</v>
      </c>
      <c r="U277" s="2" t="s">
        <v>29</v>
      </c>
      <c r="V277" s="89" t="s">
        <v>29</v>
      </c>
      <c r="W277" s="11" t="s">
        <v>143</v>
      </c>
      <c r="X277" s="89" t="s">
        <v>143</v>
      </c>
      <c r="Y277" s="77" t="s">
        <v>1772</v>
      </c>
      <c r="Z277" s="84" t="s">
        <v>2737</v>
      </c>
      <c r="AA277" s="89" t="s">
        <v>28</v>
      </c>
      <c r="AB277" s="90" t="str">
        <f>HYPERLINK(CONCATENATE("https://www.ejacket.nsf.gov/ej/showProposal.do?ID=",SUBSTITUTE(SplitQueryTable[[#This Row],[prop_id]],CHAR(160),"")),"eJ")</f>
        <v>eJ</v>
      </c>
      <c r="AC277" s="89" t="s">
        <v>2600</v>
      </c>
      <c r="AD277" s="3" t="s">
        <v>2737</v>
      </c>
      <c r="AE277" s="91">
        <v>2017</v>
      </c>
      <c r="AF277" s="13" t="s">
        <v>43</v>
      </c>
      <c r="AG277" s="13">
        <v>14513</v>
      </c>
      <c r="AH277" s="45">
        <v>14513</v>
      </c>
      <c r="AI277" s="44" t="s">
        <v>2602</v>
      </c>
      <c r="AJ277" s="2" t="s">
        <v>2603</v>
      </c>
      <c r="AK277" s="46" t="s">
        <v>1718</v>
      </c>
      <c r="AL277" s="55" t="s">
        <v>2272</v>
      </c>
      <c r="AM277" s="45" t="s">
        <v>2272</v>
      </c>
      <c r="AN277" s="56" t="s">
        <v>142</v>
      </c>
      <c r="AO277" s="23" t="s">
        <v>146</v>
      </c>
      <c r="AP277" s="11" t="s">
        <v>382</v>
      </c>
      <c r="AQ277" s="88" t="s">
        <v>2601</v>
      </c>
      <c r="AR277" s="57" t="s">
        <v>40</v>
      </c>
      <c r="AS277" s="46">
        <v>42795.460393518515</v>
      </c>
      <c r="AT277" s="3">
        <f t="shared" si="3"/>
        <v>252</v>
      </c>
    </row>
    <row r="278" spans="8:46" x14ac:dyDescent="0.4">
      <c r="H278" s="59">
        <v>43005.699629629627</v>
      </c>
      <c r="I278" s="43">
        <v>42922</v>
      </c>
      <c r="J278" s="42">
        <v>42940.624456018515</v>
      </c>
      <c r="K278" s="81" t="s">
        <v>1768</v>
      </c>
      <c r="L278" t="s">
        <v>1768</v>
      </c>
      <c r="M278" t="s">
        <v>1761</v>
      </c>
      <c r="N278" s="1" t="s">
        <v>1761</v>
      </c>
      <c r="O278" s="1" t="s">
        <v>1781</v>
      </c>
      <c r="P278" t="s">
        <v>1781</v>
      </c>
      <c r="Q278" s="9" t="s">
        <v>45</v>
      </c>
      <c r="R278" s="82" t="s">
        <v>45</v>
      </c>
      <c r="S278" s="44" t="s">
        <v>2024</v>
      </c>
      <c r="T278" s="3" t="s">
        <v>136</v>
      </c>
      <c r="U278" s="2" t="s">
        <v>29</v>
      </c>
      <c r="V278" s="89" t="s">
        <v>29</v>
      </c>
      <c r="W278" s="11" t="s">
        <v>143</v>
      </c>
      <c r="X278" s="89" t="s">
        <v>143</v>
      </c>
      <c r="Y278" s="77" t="s">
        <v>1772</v>
      </c>
      <c r="Z278" s="84" t="s">
        <v>2738</v>
      </c>
      <c r="AA278" s="89" t="s">
        <v>28</v>
      </c>
      <c r="AB278" s="90" t="str">
        <f>HYPERLINK(CONCATENATE("https://www.ejacket.nsf.gov/ej/showProposal.do?ID=",SUBSTITUTE(SplitQueryTable[[#This Row],[prop_id]],CHAR(160),"")),"eJ")</f>
        <v>eJ</v>
      </c>
      <c r="AC278" s="89" t="s">
        <v>2600</v>
      </c>
      <c r="AD278" s="3" t="s">
        <v>2738</v>
      </c>
      <c r="AE278" s="91">
        <v>2017</v>
      </c>
      <c r="AF278" s="13" t="s">
        <v>43</v>
      </c>
      <c r="AG278" s="13">
        <v>15993</v>
      </c>
      <c r="AH278" s="45">
        <v>15993</v>
      </c>
      <c r="AI278" s="44" t="s">
        <v>2602</v>
      </c>
      <c r="AJ278" s="2" t="s">
        <v>2603</v>
      </c>
      <c r="AK278" s="46" t="s">
        <v>1718</v>
      </c>
      <c r="AL278" s="55" t="s">
        <v>2740</v>
      </c>
      <c r="AM278" s="45" t="s">
        <v>2740</v>
      </c>
      <c r="AN278" s="56" t="s">
        <v>142</v>
      </c>
      <c r="AO278" s="23" t="s">
        <v>146</v>
      </c>
      <c r="AP278" s="11" t="s">
        <v>382</v>
      </c>
      <c r="AQ278" s="88" t="s">
        <v>2739</v>
      </c>
      <c r="AR278" s="57" t="s">
        <v>200</v>
      </c>
      <c r="AS278" s="46">
        <v>42977.516481481478</v>
      </c>
      <c r="AT278" s="3">
        <f t="shared" si="3"/>
        <v>253</v>
      </c>
    </row>
    <row r="279" spans="8:46" x14ac:dyDescent="0.4">
      <c r="H279" s="59">
        <v>43005.699629629627</v>
      </c>
      <c r="I279" s="43">
        <v>42909</v>
      </c>
      <c r="J279" s="42">
        <v>42940.458645833336</v>
      </c>
      <c r="K279" s="81" t="s">
        <v>1768</v>
      </c>
      <c r="L279" t="s">
        <v>1768</v>
      </c>
      <c r="M279" t="s">
        <v>1893</v>
      </c>
      <c r="N279" s="1" t="s">
        <v>1761</v>
      </c>
      <c r="O279" s="1" t="s">
        <v>1781</v>
      </c>
      <c r="P279" t="s">
        <v>1781</v>
      </c>
      <c r="Q279" s="9" t="s">
        <v>45</v>
      </c>
      <c r="R279" s="82" t="s">
        <v>45</v>
      </c>
      <c r="S279" s="44" t="s">
        <v>52</v>
      </c>
      <c r="T279" s="3" t="s">
        <v>136</v>
      </c>
      <c r="U279" s="2" t="s">
        <v>29</v>
      </c>
      <c r="V279" s="89" t="s">
        <v>29</v>
      </c>
      <c r="W279" s="11" t="s">
        <v>143</v>
      </c>
      <c r="X279" s="89" t="s">
        <v>143</v>
      </c>
      <c r="Y279" s="77" t="s">
        <v>1772</v>
      </c>
      <c r="Z279" s="84" t="s">
        <v>2741</v>
      </c>
      <c r="AA279" s="89" t="s">
        <v>28</v>
      </c>
      <c r="AB279" s="90" t="str">
        <f>HYPERLINK(CONCATENATE("https://www.ejacket.nsf.gov/ej/showProposal.do?ID=",SUBSTITUTE(SplitQueryTable[[#This Row],[prop_id]],CHAR(160),"")),"eJ")</f>
        <v>eJ</v>
      </c>
      <c r="AC279" s="89" t="s">
        <v>2095</v>
      </c>
      <c r="AD279" s="3" t="s">
        <v>2741</v>
      </c>
      <c r="AE279" s="91">
        <v>2017</v>
      </c>
      <c r="AF279" s="13" t="s">
        <v>43</v>
      </c>
      <c r="AG279" s="13">
        <v>50000</v>
      </c>
      <c r="AH279" s="45">
        <v>50000</v>
      </c>
      <c r="AI279" s="44" t="s">
        <v>2486</v>
      </c>
      <c r="AJ279" s="2" t="s">
        <v>823</v>
      </c>
      <c r="AK279" s="46" t="s">
        <v>1731</v>
      </c>
      <c r="AL279" s="55" t="s">
        <v>2632</v>
      </c>
      <c r="AM279" s="45" t="s">
        <v>2633</v>
      </c>
      <c r="AN279" s="56" t="s">
        <v>142</v>
      </c>
      <c r="AO279" s="23" t="s">
        <v>146</v>
      </c>
      <c r="AP279" s="11" t="s">
        <v>172</v>
      </c>
      <c r="AQ279" s="88" t="s">
        <v>2742</v>
      </c>
      <c r="AR279" s="57" t="s">
        <v>200</v>
      </c>
      <c r="AS279" s="46">
        <v>42971.44736111111</v>
      </c>
      <c r="AT279" s="3">
        <f t="shared" si="3"/>
        <v>254</v>
      </c>
    </row>
    <row r="280" spans="8:46" x14ac:dyDescent="0.4">
      <c r="H280" s="59">
        <v>43005.699629629627</v>
      </c>
      <c r="I280" s="43">
        <v>42836</v>
      </c>
      <c r="J280" s="42">
        <v>42870.661689814813</v>
      </c>
      <c r="K280" s="81" t="s">
        <v>1768</v>
      </c>
      <c r="L280" t="s">
        <v>1768</v>
      </c>
      <c r="M280" t="s">
        <v>1761</v>
      </c>
      <c r="N280" s="1" t="s">
        <v>1761</v>
      </c>
      <c r="O280" s="1" t="s">
        <v>1781</v>
      </c>
      <c r="P280" t="s">
        <v>1781</v>
      </c>
      <c r="Q280" s="9" t="s">
        <v>45</v>
      </c>
      <c r="R280" s="82" t="s">
        <v>45</v>
      </c>
      <c r="S280" s="44" t="s">
        <v>1941</v>
      </c>
      <c r="T280" s="3" t="s">
        <v>136</v>
      </c>
      <c r="U280" s="2" t="s">
        <v>29</v>
      </c>
      <c r="V280" s="89" t="s">
        <v>29</v>
      </c>
      <c r="W280" s="11" t="s">
        <v>143</v>
      </c>
      <c r="X280" s="89" t="s">
        <v>143</v>
      </c>
      <c r="Y280" s="77" t="s">
        <v>1772</v>
      </c>
      <c r="Z280" s="84" t="s">
        <v>2743</v>
      </c>
      <c r="AA280" s="89" t="s">
        <v>28</v>
      </c>
      <c r="AB280" s="90" t="str">
        <f>HYPERLINK(CONCATENATE("https://www.ejacket.nsf.gov/ej/showProposal.do?ID=",SUBSTITUTE(SplitQueryTable[[#This Row],[prop_id]],CHAR(160),"")),"eJ")</f>
        <v>eJ</v>
      </c>
      <c r="AC280" s="89" t="s">
        <v>2095</v>
      </c>
      <c r="AD280" s="3" t="s">
        <v>2743</v>
      </c>
      <c r="AE280" s="91">
        <v>2017</v>
      </c>
      <c r="AF280" s="13" t="s">
        <v>43</v>
      </c>
      <c r="AG280" s="13">
        <v>8000</v>
      </c>
      <c r="AH280" s="45">
        <v>8000</v>
      </c>
      <c r="AI280" s="44" t="s">
        <v>2486</v>
      </c>
      <c r="AJ280" s="2" t="s">
        <v>823</v>
      </c>
      <c r="AK280" s="46" t="s">
        <v>1731</v>
      </c>
      <c r="AL280" s="55" t="s">
        <v>2744</v>
      </c>
      <c r="AM280" s="45" t="s">
        <v>2744</v>
      </c>
      <c r="AN280" s="56" t="s">
        <v>142</v>
      </c>
      <c r="AO280" s="23" t="s">
        <v>146</v>
      </c>
      <c r="AP280" s="11" t="s">
        <v>172</v>
      </c>
      <c r="AQ280" s="88" t="s">
        <v>2638</v>
      </c>
      <c r="AR280" s="57" t="s">
        <v>200</v>
      </c>
      <c r="AS280" s="46">
        <v>42872.709988425922</v>
      </c>
      <c r="AT280" s="3">
        <f t="shared" si="3"/>
        <v>255</v>
      </c>
    </row>
    <row r="281" spans="8:46" x14ac:dyDescent="0.4">
      <c r="H281" s="59">
        <v>43005.699629629627</v>
      </c>
      <c r="I281" s="43">
        <v>42836</v>
      </c>
      <c r="J281" s="42">
        <v>42913.689849537041</v>
      </c>
      <c r="K281" s="81" t="s">
        <v>1768</v>
      </c>
      <c r="L281" t="s">
        <v>1768</v>
      </c>
      <c r="M281" t="s">
        <v>1761</v>
      </c>
      <c r="N281" s="1" t="s">
        <v>1761</v>
      </c>
      <c r="O281" s="1" t="s">
        <v>1781</v>
      </c>
      <c r="P281" t="s">
        <v>1781</v>
      </c>
      <c r="Q281" s="9" t="s">
        <v>45</v>
      </c>
      <c r="R281" s="82" t="s">
        <v>45</v>
      </c>
      <c r="S281" s="44" t="s">
        <v>2745</v>
      </c>
      <c r="T281" s="3" t="s">
        <v>136</v>
      </c>
      <c r="U281" s="2" t="s">
        <v>29</v>
      </c>
      <c r="V281" s="89" t="s">
        <v>29</v>
      </c>
      <c r="W281" s="11" t="s">
        <v>143</v>
      </c>
      <c r="X281" s="89" t="s">
        <v>143</v>
      </c>
      <c r="Y281" s="77" t="s">
        <v>1772</v>
      </c>
      <c r="Z281" s="84" t="s">
        <v>2746</v>
      </c>
      <c r="AA281" s="89" t="s">
        <v>28</v>
      </c>
      <c r="AB281" s="90" t="str">
        <f>HYPERLINK(CONCATENATE("https://www.ejacket.nsf.gov/ej/showProposal.do?ID=",SUBSTITUTE(SplitQueryTable[[#This Row],[prop_id]],CHAR(160),"")),"eJ")</f>
        <v>eJ</v>
      </c>
      <c r="AC281" s="89" t="s">
        <v>2095</v>
      </c>
      <c r="AD281" s="3" t="s">
        <v>2746</v>
      </c>
      <c r="AE281" s="91">
        <v>2017</v>
      </c>
      <c r="AF281" s="13" t="s">
        <v>43</v>
      </c>
      <c r="AG281" s="13">
        <v>10000</v>
      </c>
      <c r="AH281" s="45">
        <v>10000</v>
      </c>
      <c r="AI281" s="44" t="s">
        <v>2486</v>
      </c>
      <c r="AJ281" s="2" t="s">
        <v>823</v>
      </c>
      <c r="AK281" s="46" t="s">
        <v>1731</v>
      </c>
      <c r="AL281" s="55" t="s">
        <v>2748</v>
      </c>
      <c r="AM281" s="45" t="s">
        <v>2748</v>
      </c>
      <c r="AN281" s="56" t="s">
        <v>142</v>
      </c>
      <c r="AO281" s="23" t="s">
        <v>146</v>
      </c>
      <c r="AP281" s="11" t="s">
        <v>172</v>
      </c>
      <c r="AQ281" s="88" t="s">
        <v>2747</v>
      </c>
      <c r="AR281" s="57" t="s">
        <v>40</v>
      </c>
      <c r="AS281" s="46">
        <v>42926.536550925928</v>
      </c>
      <c r="AT281" s="3">
        <f t="shared" si="3"/>
        <v>256</v>
      </c>
    </row>
    <row r="282" spans="8:46" x14ac:dyDescent="0.4">
      <c r="H282" s="59">
        <v>43005.699629629627</v>
      </c>
      <c r="I282" s="43">
        <v>42781</v>
      </c>
      <c r="J282" s="42">
        <v>42937.673090277778</v>
      </c>
      <c r="K282" s="81" t="s">
        <v>1768</v>
      </c>
      <c r="L282" t="s">
        <v>1768</v>
      </c>
      <c r="M282" t="s">
        <v>1761</v>
      </c>
      <c r="N282" s="1" t="s">
        <v>1761</v>
      </c>
      <c r="O282" s="1" t="s">
        <v>1781</v>
      </c>
      <c r="P282" t="s">
        <v>1781</v>
      </c>
      <c r="Q282" s="9" t="s">
        <v>45</v>
      </c>
      <c r="R282" s="82" t="s">
        <v>45</v>
      </c>
      <c r="S282" s="44" t="s">
        <v>52</v>
      </c>
      <c r="T282" s="3" t="s">
        <v>136</v>
      </c>
      <c r="U282" s="2" t="s">
        <v>29</v>
      </c>
      <c r="V282" s="89" t="s">
        <v>29</v>
      </c>
      <c r="W282" s="11" t="s">
        <v>143</v>
      </c>
      <c r="X282" s="89" t="s">
        <v>143</v>
      </c>
      <c r="Y282" s="77" t="s">
        <v>1772</v>
      </c>
      <c r="Z282" s="84" t="s">
        <v>2749</v>
      </c>
      <c r="AA282" s="89" t="s">
        <v>28</v>
      </c>
      <c r="AB282" s="90" t="str">
        <f>HYPERLINK(CONCATENATE("https://www.ejacket.nsf.gov/ej/showProposal.do?ID=",SUBSTITUTE(SplitQueryTable[[#This Row],[prop_id]],CHAR(160),"")),"eJ")</f>
        <v>eJ</v>
      </c>
      <c r="AC282" s="89" t="s">
        <v>2299</v>
      </c>
      <c r="AD282" s="3" t="s">
        <v>2749</v>
      </c>
      <c r="AE282" s="91">
        <v>2017</v>
      </c>
      <c r="AF282" s="13" t="s">
        <v>43</v>
      </c>
      <c r="AG282" s="13">
        <v>20000</v>
      </c>
      <c r="AH282" s="45">
        <v>20000</v>
      </c>
      <c r="AI282" s="44" t="s">
        <v>239</v>
      </c>
      <c r="AJ282" s="2" t="s">
        <v>2301</v>
      </c>
      <c r="AK282" s="46" t="s">
        <v>1727</v>
      </c>
      <c r="AL282" s="55" t="s">
        <v>2751</v>
      </c>
      <c r="AM282" s="45"/>
      <c r="AN282" s="56" t="s">
        <v>142</v>
      </c>
      <c r="AO282" s="23" t="s">
        <v>146</v>
      </c>
      <c r="AP282" s="11" t="s">
        <v>172</v>
      </c>
      <c r="AQ282" s="88" t="s">
        <v>2750</v>
      </c>
      <c r="AR282" s="57" t="s">
        <v>200</v>
      </c>
      <c r="AS282" s="46">
        <v>42957.848194444443</v>
      </c>
      <c r="AT282" s="3">
        <f t="shared" ref="AT282:AT343" si="4">IF(AD282=AD281,AT281,AT281+1)</f>
        <v>257</v>
      </c>
    </row>
    <row r="283" spans="8:46" x14ac:dyDescent="0.4">
      <c r="H283" s="59">
        <v>43005.699629629627</v>
      </c>
      <c r="I283" s="43">
        <v>42922</v>
      </c>
      <c r="J283" s="42">
        <v>42935.380324074074</v>
      </c>
      <c r="K283" s="81" t="s">
        <v>1768</v>
      </c>
      <c r="L283" t="s">
        <v>1768</v>
      </c>
      <c r="M283" t="s">
        <v>1761</v>
      </c>
      <c r="N283" s="1" t="s">
        <v>1761</v>
      </c>
      <c r="O283" s="1" t="s">
        <v>1781</v>
      </c>
      <c r="P283" t="s">
        <v>1781</v>
      </c>
      <c r="Q283" s="9" t="s">
        <v>45</v>
      </c>
      <c r="R283" s="82" t="s">
        <v>45</v>
      </c>
      <c r="S283" s="44" t="s">
        <v>2024</v>
      </c>
      <c r="T283" s="3" t="s">
        <v>136</v>
      </c>
      <c r="U283" s="2" t="s">
        <v>29</v>
      </c>
      <c r="V283" s="89" t="s">
        <v>29</v>
      </c>
      <c r="W283" s="11" t="s">
        <v>143</v>
      </c>
      <c r="X283" s="89" t="s">
        <v>143</v>
      </c>
      <c r="Y283" s="77" t="s">
        <v>1772</v>
      </c>
      <c r="Z283" s="84" t="s">
        <v>2752</v>
      </c>
      <c r="AA283" s="89" t="s">
        <v>28</v>
      </c>
      <c r="AB283" s="90" t="str">
        <f>HYPERLINK(CONCATENATE("https://www.ejacket.nsf.gov/ej/showProposal.do?ID=",SUBSTITUTE(SplitQueryTable[[#This Row],[prop_id]],CHAR(160),"")),"eJ")</f>
        <v>eJ</v>
      </c>
      <c r="AC283" s="89" t="s">
        <v>2299</v>
      </c>
      <c r="AD283" s="3" t="s">
        <v>2752</v>
      </c>
      <c r="AE283" s="91">
        <v>2017</v>
      </c>
      <c r="AF283" s="13" t="s">
        <v>43</v>
      </c>
      <c r="AG283" s="13">
        <v>8000</v>
      </c>
      <c r="AH283" s="45">
        <v>8000</v>
      </c>
      <c r="AI283" s="44" t="s">
        <v>239</v>
      </c>
      <c r="AJ283" s="2" t="s">
        <v>2301</v>
      </c>
      <c r="AK283" s="46" t="s">
        <v>1727</v>
      </c>
      <c r="AL283" s="55" t="s">
        <v>2655</v>
      </c>
      <c r="AM283" s="45" t="s">
        <v>2655</v>
      </c>
      <c r="AN283" s="56" t="s">
        <v>142</v>
      </c>
      <c r="AO283" s="23" t="s">
        <v>146</v>
      </c>
      <c r="AP283" s="11" t="s">
        <v>172</v>
      </c>
      <c r="AQ283" s="88" t="s">
        <v>2753</v>
      </c>
      <c r="AR283" s="57" t="s">
        <v>502</v>
      </c>
      <c r="AS283" s="46">
        <v>42943.351817129631</v>
      </c>
      <c r="AT283" s="3">
        <f t="shared" si="4"/>
        <v>258</v>
      </c>
    </row>
    <row r="284" spans="8:46" x14ac:dyDescent="0.4">
      <c r="H284" s="59">
        <v>43005.699629629627</v>
      </c>
      <c r="I284" s="43">
        <v>42825</v>
      </c>
      <c r="J284" s="42">
        <v>42913.689270833333</v>
      </c>
      <c r="K284" s="81" t="s">
        <v>1768</v>
      </c>
      <c r="L284" t="s">
        <v>1768</v>
      </c>
      <c r="M284" t="s">
        <v>1761</v>
      </c>
      <c r="N284" s="1" t="s">
        <v>1761</v>
      </c>
      <c r="O284" s="1" t="s">
        <v>1781</v>
      </c>
      <c r="P284" t="s">
        <v>1781</v>
      </c>
      <c r="Q284" s="9" t="s">
        <v>45</v>
      </c>
      <c r="R284" s="82" t="s">
        <v>45</v>
      </c>
      <c r="S284" s="44" t="s">
        <v>1941</v>
      </c>
      <c r="T284" s="3" t="s">
        <v>136</v>
      </c>
      <c r="U284" s="2" t="s">
        <v>29</v>
      </c>
      <c r="V284" s="89" t="s">
        <v>29</v>
      </c>
      <c r="W284" s="11" t="s">
        <v>143</v>
      </c>
      <c r="X284" s="89" t="s">
        <v>143</v>
      </c>
      <c r="Y284" s="77" t="s">
        <v>1772</v>
      </c>
      <c r="Z284" s="84" t="s">
        <v>2754</v>
      </c>
      <c r="AA284" s="89" t="s">
        <v>28</v>
      </c>
      <c r="AB284" s="90" t="str">
        <f>HYPERLINK(CONCATENATE("https://www.ejacket.nsf.gov/ej/showProposal.do?ID=",SUBSTITUTE(SplitQueryTable[[#This Row],[prop_id]],CHAR(160),"")),"eJ")</f>
        <v>eJ</v>
      </c>
      <c r="AC284" s="89" t="s">
        <v>2521</v>
      </c>
      <c r="AD284" s="3" t="s">
        <v>2754</v>
      </c>
      <c r="AE284" s="91">
        <v>2017</v>
      </c>
      <c r="AF284" s="13" t="s">
        <v>43</v>
      </c>
      <c r="AG284" s="13">
        <v>8000</v>
      </c>
      <c r="AH284" s="45">
        <v>8000</v>
      </c>
      <c r="AI284" s="44" t="s">
        <v>1946</v>
      </c>
      <c r="AJ284" s="2" t="s">
        <v>1947</v>
      </c>
      <c r="AK284" s="46" t="s">
        <v>1948</v>
      </c>
      <c r="AL284" s="55" t="s">
        <v>2756</v>
      </c>
      <c r="AM284" s="45" t="s">
        <v>2756</v>
      </c>
      <c r="AN284" s="56" t="s">
        <v>142</v>
      </c>
      <c r="AO284" s="23" t="s">
        <v>146</v>
      </c>
      <c r="AP284" s="11" t="s">
        <v>382</v>
      </c>
      <c r="AQ284" s="88" t="s">
        <v>2755</v>
      </c>
      <c r="AR284" s="57" t="s">
        <v>40</v>
      </c>
      <c r="AS284" s="46">
        <v>42926.535266203704</v>
      </c>
      <c r="AT284" s="3">
        <f t="shared" si="4"/>
        <v>259</v>
      </c>
    </row>
    <row r="285" spans="8:46" x14ac:dyDescent="0.4">
      <c r="H285" s="59">
        <v>43005.699629629627</v>
      </c>
      <c r="I285" s="43">
        <v>42922</v>
      </c>
      <c r="J285" s="42">
        <v>42935.377060185187</v>
      </c>
      <c r="K285" s="81" t="s">
        <v>1768</v>
      </c>
      <c r="L285" t="s">
        <v>1768</v>
      </c>
      <c r="M285" t="s">
        <v>1761</v>
      </c>
      <c r="N285" s="1" t="s">
        <v>1761</v>
      </c>
      <c r="O285" s="1" t="s">
        <v>1781</v>
      </c>
      <c r="P285" t="s">
        <v>1781</v>
      </c>
      <c r="Q285" s="9" t="s">
        <v>45</v>
      </c>
      <c r="R285" s="82" t="s">
        <v>45</v>
      </c>
      <c r="S285" s="44" t="s">
        <v>2024</v>
      </c>
      <c r="T285" s="3" t="s">
        <v>136</v>
      </c>
      <c r="U285" s="2" t="s">
        <v>29</v>
      </c>
      <c r="V285" s="89" t="s">
        <v>29</v>
      </c>
      <c r="W285" s="11" t="s">
        <v>143</v>
      </c>
      <c r="X285" s="89" t="s">
        <v>143</v>
      </c>
      <c r="Y285" s="77" t="s">
        <v>1772</v>
      </c>
      <c r="Z285" s="84" t="s">
        <v>2757</v>
      </c>
      <c r="AA285" s="89" t="s">
        <v>28</v>
      </c>
      <c r="AB285" s="90" t="str">
        <f>HYPERLINK(CONCATENATE("https://www.ejacket.nsf.gov/ej/showProposal.do?ID=",SUBSTITUTE(SplitQueryTable[[#This Row],[prop_id]],CHAR(160),"")),"eJ")</f>
        <v>eJ</v>
      </c>
      <c r="AC285" s="89" t="s">
        <v>2758</v>
      </c>
      <c r="AD285" s="3" t="s">
        <v>2757</v>
      </c>
      <c r="AE285" s="91">
        <v>2017</v>
      </c>
      <c r="AF285" s="13" t="s">
        <v>43</v>
      </c>
      <c r="AG285" s="13">
        <v>8000</v>
      </c>
      <c r="AH285" s="45">
        <v>8000</v>
      </c>
      <c r="AI285" s="44" t="s">
        <v>2320</v>
      </c>
      <c r="AJ285" s="2" t="s">
        <v>628</v>
      </c>
      <c r="AK285" s="46" t="s">
        <v>1736</v>
      </c>
      <c r="AL285" s="55" t="s">
        <v>2759</v>
      </c>
      <c r="AM285" s="45" t="s">
        <v>2759</v>
      </c>
      <c r="AN285" s="56" t="s">
        <v>142</v>
      </c>
      <c r="AO285" s="23" t="s">
        <v>146</v>
      </c>
      <c r="AP285" s="11"/>
      <c r="AQ285" s="88" t="s">
        <v>2753</v>
      </c>
      <c r="AR285" s="57" t="s">
        <v>502</v>
      </c>
      <c r="AS285" s="46">
        <v>42943.345243055555</v>
      </c>
      <c r="AT285" s="3">
        <f t="shared" si="4"/>
        <v>260</v>
      </c>
    </row>
    <row r="286" spans="8:46" x14ac:dyDescent="0.4">
      <c r="H286" s="59">
        <v>43005.699629629627</v>
      </c>
      <c r="I286" s="43">
        <v>42650</v>
      </c>
      <c r="J286" s="42">
        <v>42744.636261574073</v>
      </c>
      <c r="K286" s="81" t="s">
        <v>137</v>
      </c>
      <c r="L286" t="s">
        <v>1760</v>
      </c>
      <c r="M286" t="s">
        <v>1761</v>
      </c>
      <c r="N286" s="1" t="s">
        <v>1761</v>
      </c>
      <c r="O286" s="1" t="s">
        <v>1800</v>
      </c>
      <c r="P286" t="s">
        <v>1800</v>
      </c>
      <c r="Q286" s="9" t="s">
        <v>45</v>
      </c>
      <c r="R286" s="82" t="s">
        <v>45</v>
      </c>
      <c r="S286" s="44" t="s">
        <v>52</v>
      </c>
      <c r="T286" s="3" t="s">
        <v>136</v>
      </c>
      <c r="U286" s="2" t="s">
        <v>29</v>
      </c>
      <c r="V286" s="89" t="s">
        <v>29</v>
      </c>
      <c r="W286" s="11" t="s">
        <v>143</v>
      </c>
      <c r="X286" s="89" t="s">
        <v>143</v>
      </c>
      <c r="Y286" s="77" t="s">
        <v>334</v>
      </c>
      <c r="Z286" s="84" t="s">
        <v>2760</v>
      </c>
      <c r="AA286" s="89" t="s">
        <v>28</v>
      </c>
      <c r="AB286" s="90" t="str">
        <f>HYPERLINK(CONCATENATE("https://www.ejacket.nsf.gov/ej/showProposal.do?ID=",SUBSTITUTE(SplitQueryTable[[#This Row],[prop_id]],CHAR(160),"")),"eJ")</f>
        <v>eJ</v>
      </c>
      <c r="AC286" s="89" t="s">
        <v>2612</v>
      </c>
      <c r="AD286" s="3" t="s">
        <v>2760</v>
      </c>
      <c r="AE286" s="91">
        <v>2017</v>
      </c>
      <c r="AF286" s="13" t="s">
        <v>43</v>
      </c>
      <c r="AG286" s="13">
        <v>20000</v>
      </c>
      <c r="AH286" s="45">
        <v>20000</v>
      </c>
      <c r="AI286" s="44" t="s">
        <v>2333</v>
      </c>
      <c r="AJ286" s="2" t="s">
        <v>296</v>
      </c>
      <c r="AK286" s="46" t="s">
        <v>1837</v>
      </c>
      <c r="AL286" s="55" t="s">
        <v>1759</v>
      </c>
      <c r="AM286" s="45"/>
      <c r="AN286" s="56" t="s">
        <v>142</v>
      </c>
      <c r="AO286" s="23" t="s">
        <v>146</v>
      </c>
      <c r="AP286" s="11" t="s">
        <v>172</v>
      </c>
      <c r="AQ286" s="88" t="s">
        <v>2613</v>
      </c>
      <c r="AR286" s="57" t="s">
        <v>362</v>
      </c>
      <c r="AS286" s="46">
        <v>42768.624224537038</v>
      </c>
      <c r="AT286" s="3">
        <f t="shared" si="4"/>
        <v>261</v>
      </c>
    </row>
    <row r="287" spans="8:46" x14ac:dyDescent="0.4">
      <c r="H287" s="59">
        <v>43005.699629629627</v>
      </c>
      <c r="I287" s="43">
        <v>42837</v>
      </c>
      <c r="J287" s="42">
        <v>42914.457650462966</v>
      </c>
      <c r="K287" s="81" t="s">
        <v>1768</v>
      </c>
      <c r="L287" t="s">
        <v>1768</v>
      </c>
      <c r="M287" t="s">
        <v>1761</v>
      </c>
      <c r="N287" s="1" t="s">
        <v>1761</v>
      </c>
      <c r="O287" s="1" t="s">
        <v>1781</v>
      </c>
      <c r="P287" t="s">
        <v>1781</v>
      </c>
      <c r="Q287" s="9" t="s">
        <v>45</v>
      </c>
      <c r="R287" s="82" t="s">
        <v>45</v>
      </c>
      <c r="S287" s="44" t="s">
        <v>1941</v>
      </c>
      <c r="T287" s="3" t="s">
        <v>136</v>
      </c>
      <c r="U287" s="2" t="s">
        <v>29</v>
      </c>
      <c r="V287" s="89" t="s">
        <v>29</v>
      </c>
      <c r="W287" s="11" t="s">
        <v>143</v>
      </c>
      <c r="X287" s="89" t="s">
        <v>143</v>
      </c>
      <c r="Y287" s="77" t="s">
        <v>1772</v>
      </c>
      <c r="Z287" s="84" t="s">
        <v>2761</v>
      </c>
      <c r="AA287" s="89" t="s">
        <v>28</v>
      </c>
      <c r="AB287" s="90" t="str">
        <f>HYPERLINK(CONCATENATE("https://www.ejacket.nsf.gov/ej/showProposal.do?ID=",SUBSTITUTE(SplitQueryTable[[#This Row],[prop_id]],CHAR(160),"")),"eJ")</f>
        <v>eJ</v>
      </c>
      <c r="AC287" s="89" t="s">
        <v>2362</v>
      </c>
      <c r="AD287" s="3" t="s">
        <v>2761</v>
      </c>
      <c r="AE287" s="91">
        <v>2017</v>
      </c>
      <c r="AF287" s="13" t="s">
        <v>43</v>
      </c>
      <c r="AG287" s="13">
        <v>6000</v>
      </c>
      <c r="AH287" s="45">
        <v>6000</v>
      </c>
      <c r="AI287" s="44" t="s">
        <v>2363</v>
      </c>
      <c r="AJ287" s="2" t="s">
        <v>397</v>
      </c>
      <c r="AK287" s="46" t="s">
        <v>253</v>
      </c>
      <c r="AL287" s="55" t="s">
        <v>2763</v>
      </c>
      <c r="AM287" s="45" t="s">
        <v>2763</v>
      </c>
      <c r="AN287" s="56" t="s">
        <v>142</v>
      </c>
      <c r="AO287" s="23" t="s">
        <v>146</v>
      </c>
      <c r="AP287" s="11" t="s">
        <v>172</v>
      </c>
      <c r="AQ287" s="88" t="s">
        <v>2762</v>
      </c>
      <c r="AR287" s="57" t="s">
        <v>40</v>
      </c>
      <c r="AS287" s="46">
        <v>42926.509837962964</v>
      </c>
      <c r="AT287" s="3">
        <f t="shared" si="4"/>
        <v>262</v>
      </c>
    </row>
    <row r="288" spans="8:46" x14ac:dyDescent="0.4">
      <c r="H288" s="59">
        <v>43005.699629629627</v>
      </c>
      <c r="I288" s="43">
        <v>42671</v>
      </c>
      <c r="J288" s="42">
        <v>42744.636863425927</v>
      </c>
      <c r="K288" s="81" t="s">
        <v>137</v>
      </c>
      <c r="L288" t="s">
        <v>1760</v>
      </c>
      <c r="M288" t="s">
        <v>1761</v>
      </c>
      <c r="N288" s="1" t="s">
        <v>1761</v>
      </c>
      <c r="O288" s="1" t="s">
        <v>1800</v>
      </c>
      <c r="P288" t="s">
        <v>1800</v>
      </c>
      <c r="Q288" s="9" t="s">
        <v>45</v>
      </c>
      <c r="R288" s="82" t="s">
        <v>45</v>
      </c>
      <c r="S288" s="44" t="s">
        <v>52</v>
      </c>
      <c r="T288" s="3" t="s">
        <v>136</v>
      </c>
      <c r="U288" s="2" t="s">
        <v>29</v>
      </c>
      <c r="V288" s="89" t="s">
        <v>29</v>
      </c>
      <c r="W288" s="11" t="s">
        <v>143</v>
      </c>
      <c r="X288" s="89" t="s">
        <v>143</v>
      </c>
      <c r="Y288" s="77" t="s">
        <v>334</v>
      </c>
      <c r="Z288" s="84" t="s">
        <v>2764</v>
      </c>
      <c r="AA288" s="89" t="s">
        <v>28</v>
      </c>
      <c r="AB288" s="90" t="str">
        <f>HYPERLINK(CONCATENATE("https://www.ejacket.nsf.gov/ej/showProposal.do?ID=",SUBSTITUTE(SplitQueryTable[[#This Row],[prop_id]],CHAR(160),"")),"eJ")</f>
        <v>eJ</v>
      </c>
      <c r="AC288" s="89" t="s">
        <v>2765</v>
      </c>
      <c r="AD288" s="3" t="s">
        <v>2764</v>
      </c>
      <c r="AE288" s="91">
        <v>2017</v>
      </c>
      <c r="AF288" s="13" t="s">
        <v>43</v>
      </c>
      <c r="AG288" s="13">
        <v>199487</v>
      </c>
      <c r="AH288" s="45">
        <v>199487</v>
      </c>
      <c r="AI288" s="44" t="s">
        <v>2367</v>
      </c>
      <c r="AJ288" s="2" t="s">
        <v>2368</v>
      </c>
      <c r="AK288" s="46" t="s">
        <v>2766</v>
      </c>
      <c r="AL288" s="55" t="s">
        <v>1759</v>
      </c>
      <c r="AM288" s="45" t="s">
        <v>1759</v>
      </c>
      <c r="AN288" s="56" t="s">
        <v>142</v>
      </c>
      <c r="AO288" s="23" t="s">
        <v>146</v>
      </c>
      <c r="AP288" s="11" t="s">
        <v>382</v>
      </c>
      <c r="AQ288" s="88" t="s">
        <v>2365</v>
      </c>
      <c r="AR288" s="57" t="s">
        <v>362</v>
      </c>
      <c r="AS288" s="46">
        <v>42775.465289351851</v>
      </c>
      <c r="AT288" s="3">
        <f t="shared" si="4"/>
        <v>263</v>
      </c>
    </row>
    <row r="289" spans="8:46" x14ac:dyDescent="0.4">
      <c r="H289" s="59">
        <v>43005.699629629627</v>
      </c>
      <c r="I289" s="43">
        <v>42905</v>
      </c>
      <c r="J289" s="42">
        <v>42928.710844907408</v>
      </c>
      <c r="K289" s="81" t="s">
        <v>137</v>
      </c>
      <c r="L289" t="s">
        <v>1760</v>
      </c>
      <c r="M289" t="s">
        <v>1761</v>
      </c>
      <c r="N289" s="1" t="s">
        <v>1761</v>
      </c>
      <c r="O289" s="1" t="s">
        <v>1800</v>
      </c>
      <c r="P289" t="s">
        <v>1800</v>
      </c>
      <c r="Q289" s="9" t="s">
        <v>45</v>
      </c>
      <c r="R289" s="82" t="s">
        <v>45</v>
      </c>
      <c r="S289" s="44" t="s">
        <v>52</v>
      </c>
      <c r="T289" s="3" t="s">
        <v>136</v>
      </c>
      <c r="U289" s="2" t="s">
        <v>29</v>
      </c>
      <c r="V289" s="89" t="s">
        <v>29</v>
      </c>
      <c r="W289" s="11" t="s">
        <v>143</v>
      </c>
      <c r="X289" s="89" t="s">
        <v>143</v>
      </c>
      <c r="Y289" s="77" t="s">
        <v>334</v>
      </c>
      <c r="Z289" s="84" t="s">
        <v>2767</v>
      </c>
      <c r="AA289" s="89" t="s">
        <v>28</v>
      </c>
      <c r="AB289" s="90" t="str">
        <f>HYPERLINK(CONCATENATE("https://www.ejacket.nsf.gov/ej/showProposal.do?ID=",SUBSTITUTE(SplitQueryTable[[#This Row],[prop_id]],CHAR(160),"")),"eJ")</f>
        <v>eJ</v>
      </c>
      <c r="AC289" s="89" t="s">
        <v>2373</v>
      </c>
      <c r="AD289" s="3" t="s">
        <v>2767</v>
      </c>
      <c r="AE289" s="91">
        <v>2017</v>
      </c>
      <c r="AF289" s="13" t="s">
        <v>43</v>
      </c>
      <c r="AG289" s="13">
        <v>14500</v>
      </c>
      <c r="AH289" s="45">
        <v>14500</v>
      </c>
      <c r="AI289" s="44" t="s">
        <v>2375</v>
      </c>
      <c r="AJ289" s="2" t="s">
        <v>314</v>
      </c>
      <c r="AK289" s="46" t="s">
        <v>1837</v>
      </c>
      <c r="AL289" s="55" t="s">
        <v>138</v>
      </c>
      <c r="AM289" s="45" t="s">
        <v>138</v>
      </c>
      <c r="AN289" s="56" t="s">
        <v>142</v>
      </c>
      <c r="AO289" s="23" t="s">
        <v>146</v>
      </c>
      <c r="AP289" s="11"/>
      <c r="AQ289" s="88" t="s">
        <v>2768</v>
      </c>
      <c r="AR289" s="57" t="s">
        <v>40</v>
      </c>
      <c r="AS289" s="46">
        <v>42933.390706018516</v>
      </c>
      <c r="AT289" s="3">
        <f t="shared" si="4"/>
        <v>264</v>
      </c>
    </row>
    <row r="290" spans="8:46" x14ac:dyDescent="0.4">
      <c r="H290" s="59">
        <v>43005.699629629627</v>
      </c>
      <c r="I290" s="43">
        <v>42909</v>
      </c>
      <c r="J290" s="42">
        <v>42933.4533912037</v>
      </c>
      <c r="K290" s="81" t="s">
        <v>137</v>
      </c>
      <c r="L290" t="s">
        <v>1760</v>
      </c>
      <c r="M290" t="s">
        <v>1761</v>
      </c>
      <c r="N290" s="1" t="s">
        <v>1761</v>
      </c>
      <c r="O290" s="1" t="s">
        <v>1800</v>
      </c>
      <c r="P290" t="s">
        <v>1800</v>
      </c>
      <c r="Q290" s="9" t="s">
        <v>45</v>
      </c>
      <c r="R290" s="82" t="s">
        <v>45</v>
      </c>
      <c r="S290" s="44" t="s">
        <v>52</v>
      </c>
      <c r="T290" s="3" t="s">
        <v>136</v>
      </c>
      <c r="U290" s="2" t="s">
        <v>29</v>
      </c>
      <c r="V290" s="89" t="s">
        <v>29</v>
      </c>
      <c r="W290" s="11" t="s">
        <v>143</v>
      </c>
      <c r="X290" s="89" t="s">
        <v>143</v>
      </c>
      <c r="Y290" s="77" t="s">
        <v>334</v>
      </c>
      <c r="Z290" s="84" t="s">
        <v>2769</v>
      </c>
      <c r="AA290" s="89" t="s">
        <v>28</v>
      </c>
      <c r="AB290" s="90" t="str">
        <f>HYPERLINK(CONCATENATE("https://www.ejacket.nsf.gov/ej/showProposal.do?ID=",SUBSTITUTE(SplitQueryTable[[#This Row],[prop_id]],CHAR(160),"")),"eJ")</f>
        <v>eJ</v>
      </c>
      <c r="AC290" s="89" t="s">
        <v>2373</v>
      </c>
      <c r="AD290" s="3" t="s">
        <v>2769</v>
      </c>
      <c r="AE290" s="91">
        <v>2017</v>
      </c>
      <c r="AF290" s="13" t="s">
        <v>43</v>
      </c>
      <c r="AG290" s="13">
        <v>49950</v>
      </c>
      <c r="AH290" s="45">
        <v>49950</v>
      </c>
      <c r="AI290" s="44" t="s">
        <v>2375</v>
      </c>
      <c r="AJ290" s="2" t="s">
        <v>314</v>
      </c>
      <c r="AK290" s="46" t="s">
        <v>1837</v>
      </c>
      <c r="AL290" s="55" t="s">
        <v>1905</v>
      </c>
      <c r="AM290" s="45" t="s">
        <v>2672</v>
      </c>
      <c r="AN290" s="56" t="s">
        <v>142</v>
      </c>
      <c r="AO290" s="23" t="s">
        <v>146</v>
      </c>
      <c r="AP290" s="11"/>
      <c r="AQ290" s="88" t="s">
        <v>2374</v>
      </c>
      <c r="AR290" s="57" t="s">
        <v>40</v>
      </c>
      <c r="AS290" s="46">
        <v>42941.760081018518</v>
      </c>
      <c r="AT290" s="3">
        <f t="shared" si="4"/>
        <v>265</v>
      </c>
    </row>
    <row r="291" spans="8:46" x14ac:dyDescent="0.4">
      <c r="H291" s="59">
        <v>43005.699629629627</v>
      </c>
      <c r="I291" s="43">
        <v>42926</v>
      </c>
      <c r="J291" s="42">
        <v>42929.347974537035</v>
      </c>
      <c r="K291" s="81" t="s">
        <v>137</v>
      </c>
      <c r="L291" t="s">
        <v>1760</v>
      </c>
      <c r="M291" t="s">
        <v>1761</v>
      </c>
      <c r="N291" s="1" t="s">
        <v>1761</v>
      </c>
      <c r="O291" s="1" t="s">
        <v>1800</v>
      </c>
      <c r="P291" t="s">
        <v>1800</v>
      </c>
      <c r="Q291" s="9" t="s">
        <v>45</v>
      </c>
      <c r="R291" s="82" t="s">
        <v>45</v>
      </c>
      <c r="S291" s="44" t="s">
        <v>52</v>
      </c>
      <c r="T291" s="3" t="s">
        <v>136</v>
      </c>
      <c r="U291" s="2" t="s">
        <v>29</v>
      </c>
      <c r="V291" s="89" t="s">
        <v>29</v>
      </c>
      <c r="W291" s="11" t="s">
        <v>143</v>
      </c>
      <c r="X291" s="89" t="s">
        <v>143</v>
      </c>
      <c r="Y291" s="77" t="s">
        <v>334</v>
      </c>
      <c r="Z291" s="84" t="s">
        <v>2770</v>
      </c>
      <c r="AA291" s="89" t="s">
        <v>28</v>
      </c>
      <c r="AB291" s="90" t="str">
        <f>HYPERLINK(CONCATENATE("https://www.ejacket.nsf.gov/ej/showProposal.do?ID=",SUBSTITUTE(SplitQueryTable[[#This Row],[prop_id]],CHAR(160),"")),"eJ")</f>
        <v>eJ</v>
      </c>
      <c r="AC291" s="89" t="s">
        <v>2373</v>
      </c>
      <c r="AD291" s="3" t="s">
        <v>2770</v>
      </c>
      <c r="AE291" s="91">
        <v>2017</v>
      </c>
      <c r="AF291" s="13" t="s">
        <v>43</v>
      </c>
      <c r="AG291" s="13">
        <v>10000</v>
      </c>
      <c r="AH291" s="45">
        <v>10000</v>
      </c>
      <c r="AI291" s="44" t="s">
        <v>2375</v>
      </c>
      <c r="AJ291" s="2" t="s">
        <v>314</v>
      </c>
      <c r="AK291" s="46" t="s">
        <v>1837</v>
      </c>
      <c r="AL291" s="55" t="s">
        <v>2771</v>
      </c>
      <c r="AM291" s="45" t="s">
        <v>2771</v>
      </c>
      <c r="AN291" s="56" t="s">
        <v>142</v>
      </c>
      <c r="AO291" s="23" t="s">
        <v>146</v>
      </c>
      <c r="AP291" s="11"/>
      <c r="AQ291" s="88" t="s">
        <v>2374</v>
      </c>
      <c r="AR291" s="57" t="s">
        <v>40</v>
      </c>
      <c r="AS291" s="46">
        <v>42936.417268518519</v>
      </c>
      <c r="AT291" s="3">
        <f t="shared" si="4"/>
        <v>266</v>
      </c>
    </row>
    <row r="292" spans="8:46" x14ac:dyDescent="0.4">
      <c r="H292" s="59">
        <v>43005.699629629627</v>
      </c>
      <c r="I292" s="43">
        <v>42905</v>
      </c>
      <c r="J292" s="42">
        <v>42929.346226851849</v>
      </c>
      <c r="K292" s="81" t="s">
        <v>137</v>
      </c>
      <c r="L292" t="s">
        <v>1760</v>
      </c>
      <c r="M292" t="s">
        <v>1761</v>
      </c>
      <c r="N292" s="1" t="s">
        <v>1761</v>
      </c>
      <c r="O292" s="1" t="s">
        <v>1800</v>
      </c>
      <c r="P292" t="s">
        <v>1800</v>
      </c>
      <c r="Q292" s="9" t="s">
        <v>45</v>
      </c>
      <c r="R292" s="82" t="s">
        <v>45</v>
      </c>
      <c r="S292" s="44" t="s">
        <v>52</v>
      </c>
      <c r="T292" s="3" t="s">
        <v>136</v>
      </c>
      <c r="U292" s="2" t="s">
        <v>29</v>
      </c>
      <c r="V292" s="89" t="s">
        <v>29</v>
      </c>
      <c r="W292" s="11" t="s">
        <v>143</v>
      </c>
      <c r="X292" s="89" t="s">
        <v>143</v>
      </c>
      <c r="Y292" s="77" t="s">
        <v>334</v>
      </c>
      <c r="Z292" s="84" t="s">
        <v>2772</v>
      </c>
      <c r="AA292" s="89" t="s">
        <v>28</v>
      </c>
      <c r="AB292" s="90" t="str">
        <f>HYPERLINK(CONCATENATE("https://www.ejacket.nsf.gov/ej/showProposal.do?ID=",SUBSTITUTE(SplitQueryTable[[#This Row],[prop_id]],CHAR(160),"")),"eJ")</f>
        <v>eJ</v>
      </c>
      <c r="AC292" s="89" t="s">
        <v>2143</v>
      </c>
      <c r="AD292" s="3" t="s">
        <v>2772</v>
      </c>
      <c r="AE292" s="91">
        <v>2017</v>
      </c>
      <c r="AF292" s="13" t="s">
        <v>43</v>
      </c>
      <c r="AG292" s="13">
        <v>10000</v>
      </c>
      <c r="AH292" s="45">
        <v>10000</v>
      </c>
      <c r="AI292" s="44" t="s">
        <v>262</v>
      </c>
      <c r="AJ292" s="2" t="s">
        <v>2774</v>
      </c>
      <c r="AK292" s="46" t="s">
        <v>238</v>
      </c>
      <c r="AL292" s="55" t="s">
        <v>2773</v>
      </c>
      <c r="AM292" s="45" t="s">
        <v>2773</v>
      </c>
      <c r="AN292" s="56" t="s">
        <v>142</v>
      </c>
      <c r="AO292" s="23" t="s">
        <v>146</v>
      </c>
      <c r="AP292" s="11" t="s">
        <v>382</v>
      </c>
      <c r="AQ292" s="88" t="s">
        <v>2144</v>
      </c>
      <c r="AR292" s="57" t="s">
        <v>40</v>
      </c>
      <c r="AS292" s="46">
        <v>42934.583761574075</v>
      </c>
      <c r="AT292" s="3">
        <f t="shared" si="4"/>
        <v>267</v>
      </c>
    </row>
    <row r="293" spans="8:46" x14ac:dyDescent="0.4">
      <c r="H293" s="59">
        <v>43005.699629629627</v>
      </c>
      <c r="I293" s="43">
        <v>42905</v>
      </c>
      <c r="J293" s="42">
        <v>42928.717361111114</v>
      </c>
      <c r="K293" s="81" t="s">
        <v>137</v>
      </c>
      <c r="L293" t="s">
        <v>1760</v>
      </c>
      <c r="M293" t="s">
        <v>1761</v>
      </c>
      <c r="N293" s="1" t="s">
        <v>1761</v>
      </c>
      <c r="O293" s="1" t="s">
        <v>1800</v>
      </c>
      <c r="P293" t="s">
        <v>1800</v>
      </c>
      <c r="Q293" s="9" t="s">
        <v>45</v>
      </c>
      <c r="R293" s="82" t="s">
        <v>45</v>
      </c>
      <c r="S293" s="44" t="s">
        <v>52</v>
      </c>
      <c r="T293" s="3" t="s">
        <v>136</v>
      </c>
      <c r="U293" s="2" t="s">
        <v>29</v>
      </c>
      <c r="V293" s="89" t="s">
        <v>29</v>
      </c>
      <c r="W293" s="11" t="s">
        <v>143</v>
      </c>
      <c r="X293" s="89" t="s">
        <v>143</v>
      </c>
      <c r="Y293" s="77" t="s">
        <v>334</v>
      </c>
      <c r="Z293" s="84" t="s">
        <v>2775</v>
      </c>
      <c r="AA293" s="89" t="s">
        <v>28</v>
      </c>
      <c r="AB293" s="90" t="str">
        <f>HYPERLINK(CONCATENATE("https://www.ejacket.nsf.gov/ej/showProposal.do?ID=",SUBSTITUTE(SplitQueryTable[[#This Row],[prop_id]],CHAR(160),"")),"eJ")</f>
        <v>eJ</v>
      </c>
      <c r="AC293" s="89" t="s">
        <v>2143</v>
      </c>
      <c r="AD293" s="3" t="s">
        <v>2775</v>
      </c>
      <c r="AE293" s="91">
        <v>2017</v>
      </c>
      <c r="AF293" s="13" t="s">
        <v>43</v>
      </c>
      <c r="AG293" s="13">
        <v>16000</v>
      </c>
      <c r="AH293" s="45">
        <v>16000</v>
      </c>
      <c r="AI293" s="44" t="s">
        <v>262</v>
      </c>
      <c r="AJ293" s="2" t="s">
        <v>2774</v>
      </c>
      <c r="AK293" s="46" t="s">
        <v>238</v>
      </c>
      <c r="AL293" s="55" t="s">
        <v>138</v>
      </c>
      <c r="AM293" s="45" t="s">
        <v>138</v>
      </c>
      <c r="AN293" s="56" t="s">
        <v>142</v>
      </c>
      <c r="AO293" s="23" t="s">
        <v>146</v>
      </c>
      <c r="AP293" s="11" t="s">
        <v>382</v>
      </c>
      <c r="AQ293" s="88" t="s">
        <v>2144</v>
      </c>
      <c r="AR293" s="57" t="s">
        <v>40</v>
      </c>
      <c r="AS293" s="46">
        <v>42933.404930555553</v>
      </c>
      <c r="AT293" s="3">
        <f t="shared" si="4"/>
        <v>268</v>
      </c>
    </row>
    <row r="294" spans="8:46" x14ac:dyDescent="0.4">
      <c r="H294" s="59">
        <v>43005.699629629627</v>
      </c>
      <c r="I294" s="43">
        <v>42816</v>
      </c>
      <c r="J294" s="42">
        <v>42913.68509259259</v>
      </c>
      <c r="K294" s="81" t="s">
        <v>1768</v>
      </c>
      <c r="L294" t="s">
        <v>1768</v>
      </c>
      <c r="M294" t="s">
        <v>1761</v>
      </c>
      <c r="N294" s="1" t="s">
        <v>1761</v>
      </c>
      <c r="O294" s="1" t="s">
        <v>1781</v>
      </c>
      <c r="P294" t="s">
        <v>1781</v>
      </c>
      <c r="Q294" s="9" t="s">
        <v>45</v>
      </c>
      <c r="R294" s="82" t="s">
        <v>45</v>
      </c>
      <c r="S294" s="44" t="s">
        <v>52</v>
      </c>
      <c r="T294" s="3" t="s">
        <v>136</v>
      </c>
      <c r="U294" s="2" t="s">
        <v>29</v>
      </c>
      <c r="V294" s="89" t="s">
        <v>29</v>
      </c>
      <c r="W294" s="11" t="s">
        <v>143</v>
      </c>
      <c r="X294" s="89" t="s">
        <v>143</v>
      </c>
      <c r="Y294" s="77" t="s">
        <v>1772</v>
      </c>
      <c r="Z294" s="84" t="s">
        <v>2776</v>
      </c>
      <c r="AA294" s="89" t="s">
        <v>28</v>
      </c>
      <c r="AB294" s="90" t="str">
        <f>HYPERLINK(CONCATENATE("https://www.ejacket.nsf.gov/ej/showProposal.do?ID=",SUBSTITUTE(SplitQueryTable[[#This Row],[prop_id]],CHAR(160),"")),"eJ")</f>
        <v>eJ</v>
      </c>
      <c r="AC294" s="89" t="s">
        <v>2391</v>
      </c>
      <c r="AD294" s="3" t="s">
        <v>2776</v>
      </c>
      <c r="AE294" s="91">
        <v>2017</v>
      </c>
      <c r="AF294" s="13" t="s">
        <v>43</v>
      </c>
      <c r="AG294" s="13">
        <v>10000</v>
      </c>
      <c r="AH294" s="45">
        <v>10000</v>
      </c>
      <c r="AI294" s="44" t="s">
        <v>2394</v>
      </c>
      <c r="AJ294" s="2" t="s">
        <v>2395</v>
      </c>
      <c r="AK294" s="46" t="s">
        <v>1749</v>
      </c>
      <c r="AL294" s="55" t="s">
        <v>2778</v>
      </c>
      <c r="AM294" s="45" t="s">
        <v>2778</v>
      </c>
      <c r="AN294" s="56" t="s">
        <v>142</v>
      </c>
      <c r="AO294" s="23" t="s">
        <v>146</v>
      </c>
      <c r="AP294" s="11" t="s">
        <v>172</v>
      </c>
      <c r="AQ294" s="88" t="s">
        <v>2777</v>
      </c>
      <c r="AR294" s="57" t="s">
        <v>200</v>
      </c>
      <c r="AS294" s="46">
        <v>42928.670324074075</v>
      </c>
      <c r="AT294" s="3">
        <f t="shared" si="4"/>
        <v>269</v>
      </c>
    </row>
    <row r="295" spans="8:46" x14ac:dyDescent="0.4">
      <c r="H295" s="59">
        <v>43005.699629629627</v>
      </c>
      <c r="I295" s="43">
        <v>42822</v>
      </c>
      <c r="J295" s="42">
        <v>42913.688645833332</v>
      </c>
      <c r="K295" s="81" t="s">
        <v>1768</v>
      </c>
      <c r="L295" t="s">
        <v>1768</v>
      </c>
      <c r="M295" t="s">
        <v>1761</v>
      </c>
      <c r="N295" s="1" t="s">
        <v>1761</v>
      </c>
      <c r="O295" s="1" t="s">
        <v>1781</v>
      </c>
      <c r="P295" t="s">
        <v>1781</v>
      </c>
      <c r="Q295" s="9" t="s">
        <v>45</v>
      </c>
      <c r="R295" s="82" t="s">
        <v>45</v>
      </c>
      <c r="S295" s="44" t="s">
        <v>52</v>
      </c>
      <c r="T295" s="3" t="s">
        <v>136</v>
      </c>
      <c r="U295" s="2" t="s">
        <v>29</v>
      </c>
      <c r="V295" s="89" t="s">
        <v>29</v>
      </c>
      <c r="W295" s="11" t="s">
        <v>143</v>
      </c>
      <c r="X295" s="89" t="s">
        <v>143</v>
      </c>
      <c r="Y295" s="77" t="s">
        <v>1772</v>
      </c>
      <c r="Z295" s="84" t="s">
        <v>2779</v>
      </c>
      <c r="AA295" s="89" t="s">
        <v>28</v>
      </c>
      <c r="AB295" s="90" t="str">
        <f>HYPERLINK(CONCATENATE("https://www.ejacket.nsf.gov/ej/showProposal.do?ID=",SUBSTITUTE(SplitQueryTable[[#This Row],[prop_id]],CHAR(160),"")),"eJ")</f>
        <v>eJ</v>
      </c>
      <c r="AC295" s="89" t="s">
        <v>2780</v>
      </c>
      <c r="AD295" s="3" t="s">
        <v>2779</v>
      </c>
      <c r="AE295" s="91">
        <v>2017</v>
      </c>
      <c r="AF295" s="13" t="s">
        <v>43</v>
      </c>
      <c r="AG295" s="13">
        <v>8000</v>
      </c>
      <c r="AH295" s="45">
        <v>8000</v>
      </c>
      <c r="AI295" s="44" t="s">
        <v>2783</v>
      </c>
      <c r="AJ295" s="2" t="s">
        <v>573</v>
      </c>
      <c r="AK295" s="46" t="s">
        <v>1745</v>
      </c>
      <c r="AL295" s="55" t="s">
        <v>2782</v>
      </c>
      <c r="AM295" s="45" t="s">
        <v>2782</v>
      </c>
      <c r="AN295" s="56" t="s">
        <v>142</v>
      </c>
      <c r="AO295" s="23" t="s">
        <v>146</v>
      </c>
      <c r="AP295" s="11"/>
      <c r="AQ295" s="88" t="s">
        <v>2781</v>
      </c>
      <c r="AR295" s="57" t="s">
        <v>40</v>
      </c>
      <c r="AS295" s="46">
        <v>42926.534247685187</v>
      </c>
      <c r="AT295" s="3">
        <f t="shared" si="4"/>
        <v>270</v>
      </c>
    </row>
    <row r="296" spans="8:46" x14ac:dyDescent="0.4">
      <c r="H296" s="59">
        <v>43005.699629629627</v>
      </c>
      <c r="I296" s="43">
        <v>42922</v>
      </c>
      <c r="J296" s="42">
        <v>42940.451099537036</v>
      </c>
      <c r="K296" s="81" t="s">
        <v>1768</v>
      </c>
      <c r="L296" t="s">
        <v>1768</v>
      </c>
      <c r="M296" t="s">
        <v>1761</v>
      </c>
      <c r="N296" s="1" t="s">
        <v>1761</v>
      </c>
      <c r="O296" s="1" t="s">
        <v>1781</v>
      </c>
      <c r="P296" t="s">
        <v>1781</v>
      </c>
      <c r="Q296" s="9" t="s">
        <v>45</v>
      </c>
      <c r="R296" s="82" t="s">
        <v>45</v>
      </c>
      <c r="S296" s="44" t="s">
        <v>2745</v>
      </c>
      <c r="T296" s="3" t="s">
        <v>136</v>
      </c>
      <c r="U296" s="2" t="s">
        <v>29</v>
      </c>
      <c r="V296" s="89" t="s">
        <v>29</v>
      </c>
      <c r="W296" s="11" t="s">
        <v>143</v>
      </c>
      <c r="X296" s="89" t="s">
        <v>143</v>
      </c>
      <c r="Y296" s="77" t="s">
        <v>1772</v>
      </c>
      <c r="Z296" s="84" t="s">
        <v>2784</v>
      </c>
      <c r="AA296" s="89" t="s">
        <v>28</v>
      </c>
      <c r="AB296" s="90" t="str">
        <f>HYPERLINK(CONCATENATE("https://www.ejacket.nsf.gov/ej/showProposal.do?ID=",SUBSTITUTE(SplitQueryTable[[#This Row],[prop_id]],CHAR(160),"")),"eJ")</f>
        <v>eJ</v>
      </c>
      <c r="AC296" s="89" t="s">
        <v>2423</v>
      </c>
      <c r="AD296" s="3" t="s">
        <v>2784</v>
      </c>
      <c r="AE296" s="91">
        <v>2017</v>
      </c>
      <c r="AF296" s="13" t="s">
        <v>43</v>
      </c>
      <c r="AG296" s="13">
        <v>10000</v>
      </c>
      <c r="AH296" s="45">
        <v>10000</v>
      </c>
      <c r="AI296" s="44" t="s">
        <v>2427</v>
      </c>
      <c r="AJ296" s="2" t="s">
        <v>2428</v>
      </c>
      <c r="AK296" s="46" t="s">
        <v>1719</v>
      </c>
      <c r="AL296" s="55" t="s">
        <v>2786</v>
      </c>
      <c r="AM296" s="45" t="s">
        <v>2787</v>
      </c>
      <c r="AN296" s="56" t="s">
        <v>142</v>
      </c>
      <c r="AO296" s="23" t="s">
        <v>146</v>
      </c>
      <c r="AP296" s="11" t="s">
        <v>172</v>
      </c>
      <c r="AQ296" s="88" t="s">
        <v>2785</v>
      </c>
      <c r="AR296" s="57" t="s">
        <v>651</v>
      </c>
      <c r="AS296" s="46">
        <v>42968.441412037035</v>
      </c>
      <c r="AT296" s="3">
        <f t="shared" si="4"/>
        <v>271</v>
      </c>
    </row>
    <row r="297" spans="8:46" x14ac:dyDescent="0.4">
      <c r="H297" s="59">
        <v>43005.699629629627</v>
      </c>
      <c r="I297" s="43">
        <v>42922</v>
      </c>
      <c r="J297" s="42">
        <v>42940.721180555556</v>
      </c>
      <c r="K297" s="81" t="s">
        <v>1768</v>
      </c>
      <c r="L297" t="s">
        <v>1768</v>
      </c>
      <c r="M297" t="s">
        <v>1761</v>
      </c>
      <c r="N297" s="1" t="s">
        <v>1761</v>
      </c>
      <c r="O297" s="1" t="s">
        <v>1781</v>
      </c>
      <c r="P297" t="s">
        <v>1781</v>
      </c>
      <c r="Q297" s="9" t="s">
        <v>45</v>
      </c>
      <c r="R297" s="82" t="s">
        <v>45</v>
      </c>
      <c r="S297" s="44" t="s">
        <v>2024</v>
      </c>
      <c r="T297" s="3" t="s">
        <v>136</v>
      </c>
      <c r="U297" s="2" t="s">
        <v>29</v>
      </c>
      <c r="V297" s="89" t="s">
        <v>29</v>
      </c>
      <c r="W297" s="11" t="s">
        <v>143</v>
      </c>
      <c r="X297" s="89" t="s">
        <v>143</v>
      </c>
      <c r="Y297" s="77" t="s">
        <v>1772</v>
      </c>
      <c r="Z297" s="84" t="s">
        <v>2788</v>
      </c>
      <c r="AA297" s="89" t="s">
        <v>28</v>
      </c>
      <c r="AB297" s="90" t="str">
        <f>HYPERLINK(CONCATENATE("https://www.ejacket.nsf.gov/ej/showProposal.do?ID=",SUBSTITUTE(SplitQueryTable[[#This Row],[prop_id]],CHAR(160),"")),"eJ")</f>
        <v>eJ</v>
      </c>
      <c r="AC297" s="89" t="s">
        <v>2423</v>
      </c>
      <c r="AD297" s="3" t="s">
        <v>2788</v>
      </c>
      <c r="AE297" s="91">
        <v>2017</v>
      </c>
      <c r="AF297" s="13" t="s">
        <v>43</v>
      </c>
      <c r="AG297" s="13">
        <v>8000</v>
      </c>
      <c r="AH297" s="45">
        <v>8000</v>
      </c>
      <c r="AI297" s="44" t="s">
        <v>2427</v>
      </c>
      <c r="AJ297" s="2" t="s">
        <v>2428</v>
      </c>
      <c r="AK297" s="46" t="s">
        <v>1719</v>
      </c>
      <c r="AL297" s="55" t="s">
        <v>2790</v>
      </c>
      <c r="AM297" s="45" t="s">
        <v>2790</v>
      </c>
      <c r="AN297" s="56" t="s">
        <v>142</v>
      </c>
      <c r="AO297" s="23" t="s">
        <v>146</v>
      </c>
      <c r="AP297" s="11" t="s">
        <v>172</v>
      </c>
      <c r="AQ297" s="88" t="s">
        <v>2789</v>
      </c>
      <c r="AR297" s="57" t="s">
        <v>651</v>
      </c>
      <c r="AS297" s="46">
        <v>42965.630636574075</v>
      </c>
      <c r="AT297" s="3">
        <f t="shared" si="4"/>
        <v>272</v>
      </c>
    </row>
    <row r="298" spans="8:46" x14ac:dyDescent="0.4">
      <c r="H298" s="59">
        <v>43005.699629629627</v>
      </c>
      <c r="I298" s="43">
        <v>42825</v>
      </c>
      <c r="J298" s="42">
        <v>42934.336111111108</v>
      </c>
      <c r="K298" s="81" t="s">
        <v>1768</v>
      </c>
      <c r="L298" t="s">
        <v>1768</v>
      </c>
      <c r="M298" t="s">
        <v>1761</v>
      </c>
      <c r="N298" s="1" t="s">
        <v>1761</v>
      </c>
      <c r="O298" s="1" t="s">
        <v>1781</v>
      </c>
      <c r="P298" t="s">
        <v>1781</v>
      </c>
      <c r="Q298" s="9" t="s">
        <v>45</v>
      </c>
      <c r="R298" s="82" t="s">
        <v>45</v>
      </c>
      <c r="S298" s="44" t="s">
        <v>52</v>
      </c>
      <c r="T298" s="3" t="s">
        <v>136</v>
      </c>
      <c r="U298" s="2" t="s">
        <v>29</v>
      </c>
      <c r="V298" s="89" t="s">
        <v>29</v>
      </c>
      <c r="W298" s="11" t="s">
        <v>143</v>
      </c>
      <c r="X298" s="89" t="s">
        <v>143</v>
      </c>
      <c r="Y298" s="77" t="s">
        <v>1772</v>
      </c>
      <c r="Z298" s="84" t="s">
        <v>2791</v>
      </c>
      <c r="AA298" s="89" t="s">
        <v>28</v>
      </c>
      <c r="AB298" s="90" t="str">
        <f>HYPERLINK(CONCATENATE("https://www.ejacket.nsf.gov/ej/showProposal.do?ID=",SUBSTITUTE(SplitQueryTable[[#This Row],[prop_id]],CHAR(160),"")),"eJ")</f>
        <v>eJ</v>
      </c>
      <c r="AC298" s="89" t="s">
        <v>2382</v>
      </c>
      <c r="AD298" s="3" t="s">
        <v>2791</v>
      </c>
      <c r="AE298" s="91">
        <v>2017</v>
      </c>
      <c r="AF298" s="13" t="s">
        <v>43</v>
      </c>
      <c r="AG298" s="13">
        <v>20000</v>
      </c>
      <c r="AH298" s="45">
        <v>20000</v>
      </c>
      <c r="AI298" s="44" t="s">
        <v>1841</v>
      </c>
      <c r="AJ298" s="2" t="s">
        <v>331</v>
      </c>
      <c r="AK298" s="46" t="s">
        <v>392</v>
      </c>
      <c r="AL298" s="55" t="s">
        <v>2793</v>
      </c>
      <c r="AM298" s="45" t="s">
        <v>1759</v>
      </c>
      <c r="AN298" s="56" t="s">
        <v>142</v>
      </c>
      <c r="AO298" s="23" t="s">
        <v>146</v>
      </c>
      <c r="AP298" s="11" t="s">
        <v>382</v>
      </c>
      <c r="AQ298" s="88" t="s">
        <v>2792</v>
      </c>
      <c r="AR298" s="57" t="s">
        <v>200</v>
      </c>
      <c r="AS298" s="46">
        <v>42970.526759259257</v>
      </c>
      <c r="AT298" s="3">
        <f t="shared" si="4"/>
        <v>273</v>
      </c>
    </row>
    <row r="299" spans="8:46" x14ac:dyDescent="0.4">
      <c r="H299" s="59">
        <v>43005.699629629627</v>
      </c>
      <c r="I299" s="43">
        <v>42916</v>
      </c>
      <c r="J299" s="42">
        <v>42935.39503472222</v>
      </c>
      <c r="K299" s="81" t="s">
        <v>1768</v>
      </c>
      <c r="L299" t="s">
        <v>1768</v>
      </c>
      <c r="M299" t="s">
        <v>1761</v>
      </c>
      <c r="N299" s="1" t="s">
        <v>1761</v>
      </c>
      <c r="O299" s="1" t="s">
        <v>1781</v>
      </c>
      <c r="P299" t="s">
        <v>1781</v>
      </c>
      <c r="Q299" s="9" t="s">
        <v>45</v>
      </c>
      <c r="R299" s="82" t="s">
        <v>45</v>
      </c>
      <c r="S299" s="44" t="s">
        <v>2024</v>
      </c>
      <c r="T299" s="3" t="s">
        <v>136</v>
      </c>
      <c r="U299" s="2" t="s">
        <v>29</v>
      </c>
      <c r="V299" s="89" t="s">
        <v>29</v>
      </c>
      <c r="W299" s="11" t="s">
        <v>143</v>
      </c>
      <c r="X299" s="89" t="s">
        <v>143</v>
      </c>
      <c r="Y299" s="77" t="s">
        <v>1772</v>
      </c>
      <c r="Z299" s="84" t="s">
        <v>2794</v>
      </c>
      <c r="AA299" s="89" t="s">
        <v>28</v>
      </c>
      <c r="AB299" s="90" t="str">
        <f>HYPERLINK(CONCATENATE("https://www.ejacket.nsf.gov/ej/showProposal.do?ID=",SUBSTITUTE(SplitQueryTable[[#This Row],[prop_id]],CHAR(160),"")),"eJ")</f>
        <v>eJ</v>
      </c>
      <c r="AC299" s="89" t="s">
        <v>2382</v>
      </c>
      <c r="AD299" s="3" t="s">
        <v>2794</v>
      </c>
      <c r="AE299" s="91">
        <v>2017</v>
      </c>
      <c r="AF299" s="13" t="s">
        <v>43</v>
      </c>
      <c r="AG299" s="13">
        <v>26000</v>
      </c>
      <c r="AH299" s="45">
        <v>26000</v>
      </c>
      <c r="AI299" s="44" t="s">
        <v>1841</v>
      </c>
      <c r="AJ299" s="2" t="s">
        <v>331</v>
      </c>
      <c r="AK299" s="46" t="s">
        <v>392</v>
      </c>
      <c r="AL299" s="55" t="s">
        <v>2796</v>
      </c>
      <c r="AM299" s="45" t="s">
        <v>2796</v>
      </c>
      <c r="AN299" s="56" t="s">
        <v>142</v>
      </c>
      <c r="AO299" s="23" t="s">
        <v>146</v>
      </c>
      <c r="AP299" s="11" t="s">
        <v>382</v>
      </c>
      <c r="AQ299" s="88" t="s">
        <v>2795</v>
      </c>
      <c r="AR299" s="57" t="s">
        <v>200</v>
      </c>
      <c r="AS299" s="46">
        <v>42970.872881944444</v>
      </c>
      <c r="AT299" s="3">
        <f t="shared" si="4"/>
        <v>274</v>
      </c>
    </row>
    <row r="300" spans="8:46" x14ac:dyDescent="0.4">
      <c r="H300" s="59">
        <v>43005.699629629627</v>
      </c>
      <c r="I300" s="43">
        <v>42871</v>
      </c>
      <c r="J300" s="42">
        <v>42914.462962962964</v>
      </c>
      <c r="K300" s="81" t="s">
        <v>1768</v>
      </c>
      <c r="L300" t="s">
        <v>1768</v>
      </c>
      <c r="M300" t="s">
        <v>1761</v>
      </c>
      <c r="N300" s="1" t="s">
        <v>1761</v>
      </c>
      <c r="O300" s="1" t="s">
        <v>1781</v>
      </c>
      <c r="P300" t="s">
        <v>1781</v>
      </c>
      <c r="Q300" s="9" t="s">
        <v>45</v>
      </c>
      <c r="R300" s="82" t="s">
        <v>45</v>
      </c>
      <c r="S300" s="44" t="s">
        <v>52</v>
      </c>
      <c r="T300" s="3" t="s">
        <v>136</v>
      </c>
      <c r="U300" s="2" t="s">
        <v>29</v>
      </c>
      <c r="V300" s="89" t="s">
        <v>29</v>
      </c>
      <c r="W300" s="11" t="s">
        <v>143</v>
      </c>
      <c r="X300" s="89" t="s">
        <v>143</v>
      </c>
      <c r="Y300" s="77" t="s">
        <v>1772</v>
      </c>
      <c r="Z300" s="84" t="s">
        <v>2797</v>
      </c>
      <c r="AA300" s="89" t="s">
        <v>28</v>
      </c>
      <c r="AB300" s="90" t="str">
        <f>HYPERLINK(CONCATENATE("https://www.ejacket.nsf.gov/ej/showProposal.do?ID=",SUBSTITUTE(SplitQueryTable[[#This Row],[prop_id]],CHAR(160),"")),"eJ")</f>
        <v>eJ</v>
      </c>
      <c r="AC300" s="89" t="s">
        <v>2798</v>
      </c>
      <c r="AD300" s="3" t="s">
        <v>2797</v>
      </c>
      <c r="AE300" s="91">
        <v>2017</v>
      </c>
      <c r="AF300" s="13" t="s">
        <v>43</v>
      </c>
      <c r="AG300" s="13">
        <v>8000</v>
      </c>
      <c r="AH300" s="45">
        <v>8000</v>
      </c>
      <c r="AI300" s="44" t="s">
        <v>2800</v>
      </c>
      <c r="AJ300" s="2" t="s">
        <v>2801</v>
      </c>
      <c r="AK300" s="46" t="s">
        <v>313</v>
      </c>
      <c r="AL300" s="55" t="s">
        <v>2639</v>
      </c>
      <c r="AM300" s="45" t="s">
        <v>2639</v>
      </c>
      <c r="AN300" s="56" t="s">
        <v>142</v>
      </c>
      <c r="AO300" s="23" t="s">
        <v>146</v>
      </c>
      <c r="AP300" s="11"/>
      <c r="AQ300" s="88" t="s">
        <v>2799</v>
      </c>
      <c r="AR300" s="57" t="s">
        <v>40</v>
      </c>
      <c r="AS300" s="46">
        <v>42926.523449074077</v>
      </c>
      <c r="AT300" s="3">
        <f t="shared" si="4"/>
        <v>275</v>
      </c>
    </row>
    <row r="301" spans="8:46" x14ac:dyDescent="0.4">
      <c r="H301" s="59">
        <v>43005.699629629627</v>
      </c>
      <c r="I301" s="43">
        <v>42881</v>
      </c>
      <c r="J301" s="42">
        <v>42913.68681712963</v>
      </c>
      <c r="K301" s="81" t="s">
        <v>1768</v>
      </c>
      <c r="L301" t="s">
        <v>1768</v>
      </c>
      <c r="M301" t="s">
        <v>1761</v>
      </c>
      <c r="N301" s="1" t="s">
        <v>1761</v>
      </c>
      <c r="O301" s="1" t="s">
        <v>1781</v>
      </c>
      <c r="P301" t="s">
        <v>1781</v>
      </c>
      <c r="Q301" s="9" t="s">
        <v>45</v>
      </c>
      <c r="R301" s="82" t="s">
        <v>45</v>
      </c>
      <c r="S301" s="44" t="s">
        <v>1762</v>
      </c>
      <c r="T301" s="3" t="s">
        <v>136</v>
      </c>
      <c r="U301" s="2" t="s">
        <v>29</v>
      </c>
      <c r="V301" s="89" t="s">
        <v>29</v>
      </c>
      <c r="W301" s="11" t="s">
        <v>143</v>
      </c>
      <c r="X301" s="89" t="s">
        <v>143</v>
      </c>
      <c r="Y301" s="77" t="s">
        <v>1772</v>
      </c>
      <c r="Z301" s="84" t="s">
        <v>2802</v>
      </c>
      <c r="AA301" s="89" t="s">
        <v>28</v>
      </c>
      <c r="AB301" s="90" t="str">
        <f>HYPERLINK(CONCATENATE("https://www.ejacket.nsf.gov/ej/showProposal.do?ID=",SUBSTITUTE(SplitQueryTable[[#This Row],[prop_id]],CHAR(160),"")),"eJ")</f>
        <v>eJ</v>
      </c>
      <c r="AC301" s="89" t="s">
        <v>2798</v>
      </c>
      <c r="AD301" s="3" t="s">
        <v>2802</v>
      </c>
      <c r="AE301" s="91">
        <v>2017</v>
      </c>
      <c r="AF301" s="13" t="s">
        <v>43</v>
      </c>
      <c r="AG301" s="13">
        <v>8000</v>
      </c>
      <c r="AH301" s="45">
        <v>8000</v>
      </c>
      <c r="AI301" s="44" t="s">
        <v>2800</v>
      </c>
      <c r="AJ301" s="2" t="s">
        <v>2801</v>
      </c>
      <c r="AK301" s="46" t="s">
        <v>313</v>
      </c>
      <c r="AL301" s="55" t="s">
        <v>2708</v>
      </c>
      <c r="AM301" s="45" t="s">
        <v>2708</v>
      </c>
      <c r="AN301" s="56" t="s">
        <v>142</v>
      </c>
      <c r="AO301" s="23" t="s">
        <v>146</v>
      </c>
      <c r="AP301" s="11"/>
      <c r="AQ301" s="88" t="s">
        <v>2799</v>
      </c>
      <c r="AR301" s="57" t="s">
        <v>40</v>
      </c>
      <c r="AS301" s="46">
        <v>42926.533263888887</v>
      </c>
      <c r="AT301" s="3">
        <f t="shared" si="4"/>
        <v>276</v>
      </c>
    </row>
    <row r="302" spans="8:46" x14ac:dyDescent="0.4">
      <c r="H302" s="59">
        <v>43005.699629629627</v>
      </c>
      <c r="I302" s="43">
        <v>42753</v>
      </c>
      <c r="J302" s="42">
        <v>42823.506354166668</v>
      </c>
      <c r="K302" s="81" t="s">
        <v>1768</v>
      </c>
      <c r="L302" t="s">
        <v>1768</v>
      </c>
      <c r="M302" t="s">
        <v>1761</v>
      </c>
      <c r="N302" s="1" t="s">
        <v>1761</v>
      </c>
      <c r="O302" s="1" t="s">
        <v>1781</v>
      </c>
      <c r="P302" t="s">
        <v>1781</v>
      </c>
      <c r="Q302" s="9" t="s">
        <v>45</v>
      </c>
      <c r="R302" s="82" t="s">
        <v>45</v>
      </c>
      <c r="S302" s="44" t="s">
        <v>52</v>
      </c>
      <c r="T302" s="3" t="s">
        <v>136</v>
      </c>
      <c r="U302" s="2" t="s">
        <v>29</v>
      </c>
      <c r="V302" s="89" t="s">
        <v>29</v>
      </c>
      <c r="W302" s="11" t="s">
        <v>143</v>
      </c>
      <c r="X302" s="89" t="s">
        <v>143</v>
      </c>
      <c r="Y302" s="77" t="s">
        <v>1772</v>
      </c>
      <c r="Z302" s="84" t="s">
        <v>2803</v>
      </c>
      <c r="AA302" s="89" t="s">
        <v>28</v>
      </c>
      <c r="AB302" s="90" t="str">
        <f>HYPERLINK(CONCATENATE("https://www.ejacket.nsf.gov/ej/showProposal.do?ID=",SUBSTITUTE(SplitQueryTable[[#This Row],[prop_id]],CHAR(160),"")),"eJ")</f>
        <v>eJ</v>
      </c>
      <c r="AC302" s="89" t="s">
        <v>2197</v>
      </c>
      <c r="AD302" s="3" t="s">
        <v>2803</v>
      </c>
      <c r="AE302" s="91">
        <v>2017</v>
      </c>
      <c r="AF302" s="13" t="s">
        <v>43</v>
      </c>
      <c r="AG302" s="13">
        <v>35000</v>
      </c>
      <c r="AH302" s="45">
        <v>35000</v>
      </c>
      <c r="AI302" s="44" t="s">
        <v>2805</v>
      </c>
      <c r="AJ302" s="2" t="s">
        <v>2806</v>
      </c>
      <c r="AK302" s="46" t="s">
        <v>2201</v>
      </c>
      <c r="AL302" s="55" t="s">
        <v>1759</v>
      </c>
      <c r="AM302" s="45" t="s">
        <v>1759</v>
      </c>
      <c r="AN302" s="56" t="s">
        <v>142</v>
      </c>
      <c r="AO302" s="23" t="s">
        <v>146</v>
      </c>
      <c r="AP302" s="11" t="s">
        <v>172</v>
      </c>
      <c r="AQ302" s="88" t="s">
        <v>2804</v>
      </c>
      <c r="AR302" s="57" t="s">
        <v>200</v>
      </c>
      <c r="AS302" s="46">
        <v>42853.651030092595</v>
      </c>
      <c r="AT302" s="3">
        <f t="shared" si="4"/>
        <v>277</v>
      </c>
    </row>
    <row r="303" spans="8:46" x14ac:dyDescent="0.4">
      <c r="H303" s="59">
        <v>43005.699629629627</v>
      </c>
      <c r="I303" s="43">
        <v>42865</v>
      </c>
      <c r="J303" s="42">
        <v>42914.461145833331</v>
      </c>
      <c r="K303" s="81" t="s">
        <v>1768</v>
      </c>
      <c r="L303" t="s">
        <v>1768</v>
      </c>
      <c r="M303" t="s">
        <v>1761</v>
      </c>
      <c r="N303" s="1" t="s">
        <v>1761</v>
      </c>
      <c r="O303" s="1" t="s">
        <v>1781</v>
      </c>
      <c r="P303" t="s">
        <v>1781</v>
      </c>
      <c r="Q303" s="9" t="s">
        <v>45</v>
      </c>
      <c r="R303" s="82" t="s">
        <v>45</v>
      </c>
      <c r="S303" s="44" t="s">
        <v>52</v>
      </c>
      <c r="T303" s="3" t="s">
        <v>136</v>
      </c>
      <c r="U303" s="2" t="s">
        <v>29</v>
      </c>
      <c r="V303" s="89" t="s">
        <v>29</v>
      </c>
      <c r="W303" s="11" t="s">
        <v>143</v>
      </c>
      <c r="X303" s="89" t="s">
        <v>143</v>
      </c>
      <c r="Y303" s="77" t="s">
        <v>1772</v>
      </c>
      <c r="Z303" s="84" t="s">
        <v>2807</v>
      </c>
      <c r="AA303" s="89" t="s">
        <v>28</v>
      </c>
      <c r="AB303" s="90" t="str">
        <f>HYPERLINK(CONCATENATE("https://www.ejacket.nsf.gov/ej/showProposal.do?ID=",SUBSTITUTE(SplitQueryTable[[#This Row],[prop_id]],CHAR(160),"")),"eJ")</f>
        <v>eJ</v>
      </c>
      <c r="AC303" s="89" t="s">
        <v>2197</v>
      </c>
      <c r="AD303" s="3" t="s">
        <v>2807</v>
      </c>
      <c r="AE303" s="91">
        <v>2017</v>
      </c>
      <c r="AF303" s="13" t="s">
        <v>43</v>
      </c>
      <c r="AG303" s="13">
        <v>8000</v>
      </c>
      <c r="AH303" s="45">
        <v>8000</v>
      </c>
      <c r="AI303" s="44" t="s">
        <v>2805</v>
      </c>
      <c r="AJ303" s="2" t="s">
        <v>2806</v>
      </c>
      <c r="AK303" s="46" t="s">
        <v>2201</v>
      </c>
      <c r="AL303" s="55" t="s">
        <v>2645</v>
      </c>
      <c r="AM303" s="45" t="s">
        <v>2645</v>
      </c>
      <c r="AN303" s="56" t="s">
        <v>142</v>
      </c>
      <c r="AO303" s="23" t="s">
        <v>146</v>
      </c>
      <c r="AP303" s="11" t="s">
        <v>172</v>
      </c>
      <c r="AQ303" s="88" t="s">
        <v>2808</v>
      </c>
      <c r="AR303" s="57" t="s">
        <v>40</v>
      </c>
      <c r="AS303" s="46">
        <v>42926.517384259256</v>
      </c>
      <c r="AT303" s="3">
        <f t="shared" si="4"/>
        <v>278</v>
      </c>
    </row>
    <row r="304" spans="8:46" x14ac:dyDescent="0.4">
      <c r="H304" s="59">
        <v>43005.699629629627</v>
      </c>
      <c r="I304" s="43">
        <v>42867</v>
      </c>
      <c r="J304" s="42">
        <v>42935.360844907409</v>
      </c>
      <c r="K304" s="81" t="s">
        <v>1768</v>
      </c>
      <c r="L304" t="s">
        <v>1768</v>
      </c>
      <c r="M304" t="s">
        <v>1761</v>
      </c>
      <c r="N304" s="1" t="s">
        <v>1761</v>
      </c>
      <c r="O304" s="1" t="s">
        <v>1781</v>
      </c>
      <c r="P304" t="s">
        <v>1781</v>
      </c>
      <c r="Q304" s="9" t="s">
        <v>45</v>
      </c>
      <c r="R304" s="82" t="s">
        <v>45</v>
      </c>
      <c r="S304" s="44" t="s">
        <v>52</v>
      </c>
      <c r="T304" s="3" t="s">
        <v>136</v>
      </c>
      <c r="U304" s="2" t="s">
        <v>29</v>
      </c>
      <c r="V304" s="89" t="s">
        <v>29</v>
      </c>
      <c r="W304" s="11" t="s">
        <v>143</v>
      </c>
      <c r="X304" s="89" t="s">
        <v>143</v>
      </c>
      <c r="Y304" s="77" t="s">
        <v>1772</v>
      </c>
      <c r="Z304" s="84" t="s">
        <v>2809</v>
      </c>
      <c r="AA304" s="89" t="s">
        <v>28</v>
      </c>
      <c r="AB304" s="90" t="str">
        <f>HYPERLINK(CONCATENATE("https://www.ejacket.nsf.gov/ej/showProposal.do?ID=",SUBSTITUTE(SplitQueryTable[[#This Row],[prop_id]],CHAR(160),"")),"eJ")</f>
        <v>eJ</v>
      </c>
      <c r="AC304" s="89" t="s">
        <v>2197</v>
      </c>
      <c r="AD304" s="3" t="s">
        <v>2809</v>
      </c>
      <c r="AE304" s="91">
        <v>2017</v>
      </c>
      <c r="AF304" s="13" t="s">
        <v>43</v>
      </c>
      <c r="AG304" s="13">
        <v>25000</v>
      </c>
      <c r="AH304" s="45">
        <v>25000</v>
      </c>
      <c r="AI304" s="44" t="s">
        <v>2805</v>
      </c>
      <c r="AJ304" s="2" t="s">
        <v>2806</v>
      </c>
      <c r="AK304" s="46" t="s">
        <v>2201</v>
      </c>
      <c r="AL304" s="55"/>
      <c r="AM304" s="45" t="s">
        <v>1759</v>
      </c>
      <c r="AN304" s="56" t="s">
        <v>142</v>
      </c>
      <c r="AO304" s="23" t="s">
        <v>146</v>
      </c>
      <c r="AP304" s="11" t="s">
        <v>172</v>
      </c>
      <c r="AQ304" s="88" t="s">
        <v>2810</v>
      </c>
      <c r="AR304" s="57" t="s">
        <v>200</v>
      </c>
      <c r="AS304" s="46">
        <v>42970.849895833337</v>
      </c>
      <c r="AT304" s="3">
        <f t="shared" si="4"/>
        <v>279</v>
      </c>
    </row>
    <row r="305" spans="8:46" x14ac:dyDescent="0.4">
      <c r="H305" s="59">
        <v>43005.699629629627</v>
      </c>
      <c r="I305" s="43">
        <v>42860</v>
      </c>
      <c r="J305" s="42">
        <v>42895.478761574072</v>
      </c>
      <c r="K305" s="81" t="s">
        <v>137</v>
      </c>
      <c r="L305" t="s">
        <v>1760</v>
      </c>
      <c r="M305" t="s">
        <v>1761</v>
      </c>
      <c r="N305" s="1" t="s">
        <v>1761</v>
      </c>
      <c r="O305" s="1" t="s">
        <v>227</v>
      </c>
      <c r="P305" t="s">
        <v>227</v>
      </c>
      <c r="Q305" s="9" t="s">
        <v>65</v>
      </c>
      <c r="R305" s="82" t="s">
        <v>65</v>
      </c>
      <c r="S305" s="44" t="s">
        <v>52</v>
      </c>
      <c r="T305" s="3" t="s">
        <v>136</v>
      </c>
      <c r="U305" s="2" t="s">
        <v>29</v>
      </c>
      <c r="V305" s="89" t="s">
        <v>29</v>
      </c>
      <c r="W305" s="11" t="s">
        <v>143</v>
      </c>
      <c r="X305" s="89" t="s">
        <v>143</v>
      </c>
      <c r="Y305" s="77" t="s">
        <v>334</v>
      </c>
      <c r="Z305" s="84" t="s">
        <v>2811</v>
      </c>
      <c r="AA305" s="89" t="s">
        <v>28</v>
      </c>
      <c r="AB305" s="90" t="str">
        <f>HYPERLINK(CONCATENATE("https://www.ejacket.nsf.gov/ej/showProposal.do?ID=",SUBSTITUTE(SplitQueryTable[[#This Row],[prop_id]],CHAR(160),"")),"eJ")</f>
        <v>eJ</v>
      </c>
      <c r="AC305" s="89" t="s">
        <v>2138</v>
      </c>
      <c r="AD305" s="3" t="s">
        <v>2811</v>
      </c>
      <c r="AE305" s="91">
        <v>2017</v>
      </c>
      <c r="AF305" s="13" t="s">
        <v>43</v>
      </c>
      <c r="AG305" s="13">
        <v>20000</v>
      </c>
      <c r="AH305" s="45">
        <v>20000</v>
      </c>
      <c r="AI305" s="44" t="s">
        <v>2813</v>
      </c>
      <c r="AJ305" s="2" t="s">
        <v>2814</v>
      </c>
      <c r="AK305" s="46" t="s">
        <v>1711</v>
      </c>
      <c r="AL305" s="55" t="s">
        <v>2812</v>
      </c>
      <c r="AM305" s="45" t="s">
        <v>2812</v>
      </c>
      <c r="AN305" s="56" t="s">
        <v>142</v>
      </c>
      <c r="AO305" s="23" t="s">
        <v>146</v>
      </c>
      <c r="AP305" s="11" t="s">
        <v>382</v>
      </c>
      <c r="AQ305" s="88" t="s">
        <v>2139</v>
      </c>
      <c r="AR305" s="57" t="s">
        <v>40</v>
      </c>
      <c r="AS305" s="46">
        <v>42902.6955787037</v>
      </c>
      <c r="AT305" s="3">
        <f t="shared" si="4"/>
        <v>280</v>
      </c>
    </row>
    <row r="306" spans="8:46" x14ac:dyDescent="0.4">
      <c r="H306" s="59">
        <v>43005.699629629627</v>
      </c>
      <c r="I306" s="43">
        <v>42859</v>
      </c>
      <c r="J306" s="42">
        <v>42935.359849537039</v>
      </c>
      <c r="K306" s="81" t="s">
        <v>1768</v>
      </c>
      <c r="L306" t="s">
        <v>1768</v>
      </c>
      <c r="M306" t="s">
        <v>1761</v>
      </c>
      <c r="N306" s="1" t="s">
        <v>1761</v>
      </c>
      <c r="O306" s="1" t="s">
        <v>1781</v>
      </c>
      <c r="P306" t="s">
        <v>1781</v>
      </c>
      <c r="Q306" s="9" t="s">
        <v>45</v>
      </c>
      <c r="R306" s="82" t="s">
        <v>45</v>
      </c>
      <c r="S306" s="44" t="s">
        <v>52</v>
      </c>
      <c r="T306" s="3" t="s">
        <v>136</v>
      </c>
      <c r="U306" s="2" t="s">
        <v>29</v>
      </c>
      <c r="V306" s="89" t="s">
        <v>29</v>
      </c>
      <c r="W306" s="11" t="s">
        <v>143</v>
      </c>
      <c r="X306" s="89" t="s">
        <v>143</v>
      </c>
      <c r="Y306" s="77" t="s">
        <v>1772</v>
      </c>
      <c r="Z306" s="84" t="s">
        <v>2815</v>
      </c>
      <c r="AA306" s="89" t="s">
        <v>28</v>
      </c>
      <c r="AB306" s="90" t="str">
        <f>HYPERLINK(CONCATENATE("https://www.ejacket.nsf.gov/ej/showProposal.do?ID=",SUBSTITUTE(SplitQueryTable[[#This Row],[prop_id]],CHAR(160),"")),"eJ")</f>
        <v>eJ</v>
      </c>
      <c r="AC306" s="89" t="s">
        <v>2377</v>
      </c>
      <c r="AD306" s="3" t="s">
        <v>2815</v>
      </c>
      <c r="AE306" s="91">
        <v>2017</v>
      </c>
      <c r="AF306" s="13" t="s">
        <v>43</v>
      </c>
      <c r="AG306" s="13">
        <v>20000</v>
      </c>
      <c r="AH306" s="45">
        <v>20000</v>
      </c>
      <c r="AI306" s="44" t="s">
        <v>297</v>
      </c>
      <c r="AJ306" s="2" t="s">
        <v>2428</v>
      </c>
      <c r="AK306" s="46" t="s">
        <v>1818</v>
      </c>
      <c r="AL306" s="55"/>
      <c r="AM306" s="45" t="s">
        <v>1759</v>
      </c>
      <c r="AN306" s="56" t="s">
        <v>142</v>
      </c>
      <c r="AO306" s="23" t="s">
        <v>146</v>
      </c>
      <c r="AP306" s="11" t="s">
        <v>382</v>
      </c>
      <c r="AQ306" s="88" t="s">
        <v>2378</v>
      </c>
      <c r="AR306" s="57" t="s">
        <v>200</v>
      </c>
      <c r="AS306" s="46">
        <v>42970.866701388892</v>
      </c>
      <c r="AT306" s="3">
        <f t="shared" si="4"/>
        <v>281</v>
      </c>
    </row>
    <row r="307" spans="8:46" x14ac:dyDescent="0.4">
      <c r="H307" s="59">
        <v>43005.699629629627</v>
      </c>
      <c r="I307" s="43">
        <v>42851</v>
      </c>
      <c r="J307" s="42">
        <v>42933.677534722221</v>
      </c>
      <c r="K307" s="81" t="s">
        <v>1768</v>
      </c>
      <c r="L307" t="s">
        <v>1768</v>
      </c>
      <c r="M307" t="s">
        <v>1761</v>
      </c>
      <c r="N307" s="1" t="s">
        <v>1761</v>
      </c>
      <c r="O307" s="1" t="s">
        <v>1781</v>
      </c>
      <c r="P307" t="s">
        <v>1781</v>
      </c>
      <c r="Q307" s="9" t="s">
        <v>45</v>
      </c>
      <c r="R307" s="82" t="s">
        <v>45</v>
      </c>
      <c r="S307" s="44" t="s">
        <v>52</v>
      </c>
      <c r="T307" s="3" t="s">
        <v>136</v>
      </c>
      <c r="U307" s="2" t="s">
        <v>29</v>
      </c>
      <c r="V307" s="89" t="s">
        <v>29</v>
      </c>
      <c r="W307" s="11" t="s">
        <v>143</v>
      </c>
      <c r="X307" s="89" t="s">
        <v>143</v>
      </c>
      <c r="Y307" s="77" t="s">
        <v>1772</v>
      </c>
      <c r="Z307" s="84" t="s">
        <v>2816</v>
      </c>
      <c r="AA307" s="89" t="s">
        <v>28</v>
      </c>
      <c r="AB307" s="90" t="str">
        <f>HYPERLINK(CONCATENATE("https://www.ejacket.nsf.gov/ej/showProposal.do?ID=",SUBSTITUTE(SplitQueryTable[[#This Row],[prop_id]],CHAR(160),"")),"eJ")</f>
        <v>eJ</v>
      </c>
      <c r="AC307" s="89" t="s">
        <v>2619</v>
      </c>
      <c r="AD307" s="3" t="s">
        <v>2816</v>
      </c>
      <c r="AE307" s="91">
        <v>2017</v>
      </c>
      <c r="AF307" s="13" t="s">
        <v>43</v>
      </c>
      <c r="AG307" s="13">
        <v>100000</v>
      </c>
      <c r="AH307" s="45">
        <v>100000</v>
      </c>
      <c r="AI307" s="44" t="s">
        <v>2622</v>
      </c>
      <c r="AJ307" s="2" t="s">
        <v>178</v>
      </c>
      <c r="AK307" s="46" t="s">
        <v>328</v>
      </c>
      <c r="AL307" s="55" t="s">
        <v>1759</v>
      </c>
      <c r="AM307" s="45" t="s">
        <v>1759</v>
      </c>
      <c r="AN307" s="56" t="s">
        <v>142</v>
      </c>
      <c r="AO307" s="23" t="s">
        <v>146</v>
      </c>
      <c r="AP307" s="11" t="s">
        <v>172</v>
      </c>
      <c r="AQ307" s="88" t="s">
        <v>2620</v>
      </c>
      <c r="AR307" s="57" t="s">
        <v>200</v>
      </c>
      <c r="AS307" s="46">
        <v>42969.89402777778</v>
      </c>
      <c r="AT307" s="3">
        <f t="shared" si="4"/>
        <v>282</v>
      </c>
    </row>
    <row r="308" spans="8:46" x14ac:dyDescent="0.4">
      <c r="H308" s="59">
        <v>43005.699629629627</v>
      </c>
      <c r="I308" s="43">
        <v>42922</v>
      </c>
      <c r="J308" s="42">
        <v>42935.380925925929</v>
      </c>
      <c r="K308" s="81" t="s">
        <v>1768</v>
      </c>
      <c r="L308" t="s">
        <v>1768</v>
      </c>
      <c r="M308" t="s">
        <v>1761</v>
      </c>
      <c r="N308" s="1" t="s">
        <v>1761</v>
      </c>
      <c r="O308" s="1" t="s">
        <v>1781</v>
      </c>
      <c r="P308" t="s">
        <v>1781</v>
      </c>
      <c r="Q308" s="9" t="s">
        <v>45</v>
      </c>
      <c r="R308" s="82" t="s">
        <v>45</v>
      </c>
      <c r="S308" s="44" t="s">
        <v>2024</v>
      </c>
      <c r="T308" s="3" t="s">
        <v>136</v>
      </c>
      <c r="U308" s="2" t="s">
        <v>29</v>
      </c>
      <c r="V308" s="89" t="s">
        <v>29</v>
      </c>
      <c r="W308" s="11" t="s">
        <v>143</v>
      </c>
      <c r="X308" s="89" t="s">
        <v>143</v>
      </c>
      <c r="Y308" s="77" t="s">
        <v>1772</v>
      </c>
      <c r="Z308" s="84" t="s">
        <v>2817</v>
      </c>
      <c r="AA308" s="89" t="s">
        <v>28</v>
      </c>
      <c r="AB308" s="90" t="str">
        <f>HYPERLINK(CONCATENATE("https://www.ejacket.nsf.gov/ej/showProposal.do?ID=",SUBSTITUTE(SplitQueryTable[[#This Row],[prop_id]],CHAR(160),"")),"eJ")</f>
        <v>eJ</v>
      </c>
      <c r="AC308" s="89" t="s">
        <v>2619</v>
      </c>
      <c r="AD308" s="3" t="s">
        <v>2817</v>
      </c>
      <c r="AE308" s="91">
        <v>2017</v>
      </c>
      <c r="AF308" s="13" t="s">
        <v>43</v>
      </c>
      <c r="AG308" s="13">
        <v>8000</v>
      </c>
      <c r="AH308" s="45">
        <v>8000</v>
      </c>
      <c r="AI308" s="44" t="s">
        <v>2622</v>
      </c>
      <c r="AJ308" s="2" t="s">
        <v>178</v>
      </c>
      <c r="AK308" s="46" t="s">
        <v>328</v>
      </c>
      <c r="AL308" s="55" t="s">
        <v>2819</v>
      </c>
      <c r="AM308" s="45" t="s">
        <v>2819</v>
      </c>
      <c r="AN308" s="56" t="s">
        <v>142</v>
      </c>
      <c r="AO308" s="23" t="s">
        <v>146</v>
      </c>
      <c r="AP308" s="11" t="s">
        <v>172</v>
      </c>
      <c r="AQ308" s="88" t="s">
        <v>2818</v>
      </c>
      <c r="AR308" s="57" t="s">
        <v>502</v>
      </c>
      <c r="AS308" s="46">
        <v>42944.322233796294</v>
      </c>
      <c r="AT308" s="3">
        <f t="shared" si="4"/>
        <v>283</v>
      </c>
    </row>
    <row r="309" spans="8:46" x14ac:dyDescent="0.4">
      <c r="H309" s="59">
        <v>43005.699629629627</v>
      </c>
      <c r="I309" s="43">
        <v>42922</v>
      </c>
      <c r="J309" s="42">
        <v>42935.359178240738</v>
      </c>
      <c r="K309" s="81" t="s">
        <v>1768</v>
      </c>
      <c r="L309" t="s">
        <v>1768</v>
      </c>
      <c r="M309" t="s">
        <v>1761</v>
      </c>
      <c r="N309" s="1" t="s">
        <v>1761</v>
      </c>
      <c r="O309" s="1" t="s">
        <v>1781</v>
      </c>
      <c r="P309" t="s">
        <v>1781</v>
      </c>
      <c r="Q309" s="9" t="s">
        <v>45</v>
      </c>
      <c r="R309" s="82" t="s">
        <v>45</v>
      </c>
      <c r="S309" s="44" t="s">
        <v>2024</v>
      </c>
      <c r="T309" s="3" t="s">
        <v>136</v>
      </c>
      <c r="U309" s="2" t="s">
        <v>29</v>
      </c>
      <c r="V309" s="89" t="s">
        <v>29</v>
      </c>
      <c r="W309" s="11" t="s">
        <v>143</v>
      </c>
      <c r="X309" s="89" t="s">
        <v>143</v>
      </c>
      <c r="Y309" s="77" t="s">
        <v>1772</v>
      </c>
      <c r="Z309" s="84" t="s">
        <v>2820</v>
      </c>
      <c r="AA309" s="89" t="s">
        <v>28</v>
      </c>
      <c r="AB309" s="90" t="str">
        <f>HYPERLINK(CONCATENATE("https://www.ejacket.nsf.gov/ej/showProposal.do?ID=",SUBSTITUTE(SplitQueryTable[[#This Row],[prop_id]],CHAR(160),"")),"eJ")</f>
        <v>eJ</v>
      </c>
      <c r="AC309" s="89" t="s">
        <v>2619</v>
      </c>
      <c r="AD309" s="3" t="s">
        <v>2820</v>
      </c>
      <c r="AE309" s="91">
        <v>2017</v>
      </c>
      <c r="AF309" s="13" t="s">
        <v>43</v>
      </c>
      <c r="AG309" s="13">
        <v>8000</v>
      </c>
      <c r="AH309" s="45">
        <v>8000</v>
      </c>
      <c r="AI309" s="44" t="s">
        <v>2622</v>
      </c>
      <c r="AJ309" s="2" t="s">
        <v>178</v>
      </c>
      <c r="AK309" s="46" t="s">
        <v>328</v>
      </c>
      <c r="AL309" s="55" t="s">
        <v>2819</v>
      </c>
      <c r="AM309" s="45" t="s">
        <v>2819</v>
      </c>
      <c r="AN309" s="56" t="s">
        <v>142</v>
      </c>
      <c r="AO309" s="23" t="s">
        <v>146</v>
      </c>
      <c r="AP309" s="11" t="s">
        <v>172</v>
      </c>
      <c r="AQ309" s="88" t="s">
        <v>2818</v>
      </c>
      <c r="AR309" s="57" t="s">
        <v>502</v>
      </c>
      <c r="AS309" s="46">
        <v>42940.505266203705</v>
      </c>
      <c r="AT309" s="3">
        <f t="shared" si="4"/>
        <v>284</v>
      </c>
    </row>
    <row r="310" spans="8:46" x14ac:dyDescent="0.4">
      <c r="H310" s="59">
        <v>43005.699629629627</v>
      </c>
      <c r="I310" s="43">
        <v>42922</v>
      </c>
      <c r="J310" s="42">
        <v>42940.687337962961</v>
      </c>
      <c r="K310" s="81" t="s">
        <v>1768</v>
      </c>
      <c r="L310" t="s">
        <v>1768</v>
      </c>
      <c r="M310" t="s">
        <v>1761</v>
      </c>
      <c r="N310" s="1" t="s">
        <v>1761</v>
      </c>
      <c r="O310" s="1" t="s">
        <v>1781</v>
      </c>
      <c r="P310" t="s">
        <v>1781</v>
      </c>
      <c r="Q310" s="9" t="s">
        <v>45</v>
      </c>
      <c r="R310" s="82" t="s">
        <v>45</v>
      </c>
      <c r="S310" s="44" t="s">
        <v>2024</v>
      </c>
      <c r="T310" s="3" t="s">
        <v>136</v>
      </c>
      <c r="U310" s="2" t="s">
        <v>29</v>
      </c>
      <c r="V310" s="89" t="s">
        <v>29</v>
      </c>
      <c r="W310" s="11" t="s">
        <v>143</v>
      </c>
      <c r="X310" s="89" t="s">
        <v>143</v>
      </c>
      <c r="Y310" s="77" t="s">
        <v>1772</v>
      </c>
      <c r="Z310" s="84" t="s">
        <v>2821</v>
      </c>
      <c r="AA310" s="89" t="s">
        <v>28</v>
      </c>
      <c r="AB310" s="90" t="str">
        <f>HYPERLINK(CONCATENATE("https://www.ejacket.nsf.gov/ej/showProposal.do?ID=",SUBSTITUTE(SplitQueryTable[[#This Row],[prop_id]],CHAR(160),"")),"eJ")</f>
        <v>eJ</v>
      </c>
      <c r="AC310" s="89" t="s">
        <v>2424</v>
      </c>
      <c r="AD310" s="3" t="s">
        <v>2821</v>
      </c>
      <c r="AE310" s="91">
        <v>2017</v>
      </c>
      <c r="AF310" s="13" t="s">
        <v>43</v>
      </c>
      <c r="AG310" s="13">
        <v>16000</v>
      </c>
      <c r="AH310" s="45">
        <v>16000</v>
      </c>
      <c r="AI310" s="44" t="s">
        <v>2453</v>
      </c>
      <c r="AJ310" s="2" t="s">
        <v>2454</v>
      </c>
      <c r="AK310" s="46" t="s">
        <v>1725</v>
      </c>
      <c r="AL310" s="55" t="s">
        <v>2790</v>
      </c>
      <c r="AM310" s="45" t="s">
        <v>2790</v>
      </c>
      <c r="AN310" s="56" t="s">
        <v>142</v>
      </c>
      <c r="AO310" s="23" t="s">
        <v>146</v>
      </c>
      <c r="AP310" s="11" t="s">
        <v>172</v>
      </c>
      <c r="AQ310" s="88" t="s">
        <v>2789</v>
      </c>
      <c r="AR310" s="57" t="s">
        <v>40</v>
      </c>
      <c r="AS310" s="46">
        <v>42956.567766203705</v>
      </c>
      <c r="AT310" s="3">
        <f t="shared" si="4"/>
        <v>285</v>
      </c>
    </row>
    <row r="311" spans="8:46" x14ac:dyDescent="0.4">
      <c r="H311" s="59">
        <v>43005.699629629627</v>
      </c>
      <c r="I311" s="43">
        <v>42817.41511574074</v>
      </c>
      <c r="J311" s="42">
        <v>42863.720625000002</v>
      </c>
      <c r="K311" s="81" t="s">
        <v>137</v>
      </c>
      <c r="L311" t="s">
        <v>1760</v>
      </c>
      <c r="M311" t="s">
        <v>1761</v>
      </c>
      <c r="N311" s="1" t="s">
        <v>1761</v>
      </c>
      <c r="O311" s="1" t="s">
        <v>1800</v>
      </c>
      <c r="P311" t="s">
        <v>1800</v>
      </c>
      <c r="Q311" s="9" t="s">
        <v>45</v>
      </c>
      <c r="R311" s="82" t="s">
        <v>45</v>
      </c>
      <c r="S311" s="44" t="s">
        <v>52</v>
      </c>
      <c r="T311" s="3" t="s">
        <v>136</v>
      </c>
      <c r="U311" s="2" t="s">
        <v>29</v>
      </c>
      <c r="V311" s="89" t="s">
        <v>29</v>
      </c>
      <c r="W311" s="11" t="s">
        <v>143</v>
      </c>
      <c r="X311" s="89" t="s">
        <v>143</v>
      </c>
      <c r="Y311" s="77" t="s">
        <v>334</v>
      </c>
      <c r="Z311" s="84" t="s">
        <v>2822</v>
      </c>
      <c r="AA311" s="89" t="s">
        <v>28</v>
      </c>
      <c r="AB311" s="90" t="str">
        <f>HYPERLINK(CONCATENATE("https://www.ejacket.nsf.gov/ej/showProposal.do?ID=",SUBSTITUTE(SplitQueryTable[[#This Row],[prop_id]],CHAR(160),"")),"eJ")</f>
        <v>eJ</v>
      </c>
      <c r="AC311" s="89" t="s">
        <v>2451</v>
      </c>
      <c r="AD311" s="3" t="s">
        <v>2822</v>
      </c>
      <c r="AE311" s="91">
        <v>2017</v>
      </c>
      <c r="AF311" s="13" t="s">
        <v>43</v>
      </c>
      <c r="AG311" s="13">
        <v>30000</v>
      </c>
      <c r="AH311" s="45">
        <v>30000</v>
      </c>
      <c r="AI311" s="44" t="s">
        <v>327</v>
      </c>
      <c r="AJ311" s="2" t="s">
        <v>330</v>
      </c>
      <c r="AK311" s="46" t="s">
        <v>290</v>
      </c>
      <c r="AL311" s="55" t="s">
        <v>1759</v>
      </c>
      <c r="AM311" s="45" t="s">
        <v>1759</v>
      </c>
      <c r="AN311" s="56" t="s">
        <v>142</v>
      </c>
      <c r="AO311" s="23" t="s">
        <v>146</v>
      </c>
      <c r="AP311" s="11" t="s">
        <v>172</v>
      </c>
      <c r="AQ311" s="88" t="s">
        <v>2144</v>
      </c>
      <c r="AR311" s="57" t="s">
        <v>193</v>
      </c>
      <c r="AS311" s="46">
        <v>42886.492789351854</v>
      </c>
      <c r="AT311" s="3">
        <f t="shared" si="4"/>
        <v>286</v>
      </c>
    </row>
    <row r="312" spans="8:46" x14ac:dyDescent="0.4">
      <c r="H312" s="59">
        <v>43005.699629629627</v>
      </c>
      <c r="I312" s="43">
        <v>42817.415393518517</v>
      </c>
      <c r="J312" s="42">
        <v>42867.622824074075</v>
      </c>
      <c r="K312" s="81" t="s">
        <v>137</v>
      </c>
      <c r="L312" t="s">
        <v>1760</v>
      </c>
      <c r="M312" t="s">
        <v>1761</v>
      </c>
      <c r="N312" s="1" t="s">
        <v>1761</v>
      </c>
      <c r="O312" s="1" t="s">
        <v>1800</v>
      </c>
      <c r="P312" t="s">
        <v>1800</v>
      </c>
      <c r="Q312" s="9" t="s">
        <v>45</v>
      </c>
      <c r="R312" s="82" t="s">
        <v>45</v>
      </c>
      <c r="S312" s="44" t="s">
        <v>52</v>
      </c>
      <c r="T312" s="3" t="s">
        <v>136</v>
      </c>
      <c r="U312" s="2" t="s">
        <v>29</v>
      </c>
      <c r="V312" s="89" t="s">
        <v>29</v>
      </c>
      <c r="W312" s="11" t="s">
        <v>143</v>
      </c>
      <c r="X312" s="89" t="s">
        <v>143</v>
      </c>
      <c r="Y312" s="77" t="s">
        <v>334</v>
      </c>
      <c r="Z312" s="84" t="s">
        <v>2823</v>
      </c>
      <c r="AA312" s="89" t="s">
        <v>28</v>
      </c>
      <c r="AB312" s="90" t="str">
        <f>HYPERLINK(CONCATENATE("https://www.ejacket.nsf.gov/ej/showProposal.do?ID=",SUBSTITUTE(SplitQueryTable[[#This Row],[prop_id]],CHAR(160),"")),"eJ")</f>
        <v>eJ</v>
      </c>
      <c r="AC312" s="89" t="s">
        <v>2451</v>
      </c>
      <c r="AD312" s="3" t="s">
        <v>2823</v>
      </c>
      <c r="AE312" s="91">
        <v>2017</v>
      </c>
      <c r="AF312" s="13" t="s">
        <v>43</v>
      </c>
      <c r="AG312" s="13">
        <v>30000</v>
      </c>
      <c r="AH312" s="45">
        <v>30000</v>
      </c>
      <c r="AI312" s="44" t="s">
        <v>327</v>
      </c>
      <c r="AJ312" s="2" t="s">
        <v>330</v>
      </c>
      <c r="AK312" s="46" t="s">
        <v>290</v>
      </c>
      <c r="AL312" s="55"/>
      <c r="AM312" s="45" t="s">
        <v>1759</v>
      </c>
      <c r="AN312" s="56" t="s">
        <v>142</v>
      </c>
      <c r="AO312" s="23" t="s">
        <v>146</v>
      </c>
      <c r="AP312" s="11" t="s">
        <v>172</v>
      </c>
      <c r="AQ312" s="88" t="s">
        <v>2144</v>
      </c>
      <c r="AR312" s="57" t="s">
        <v>193</v>
      </c>
      <c r="AS312" s="46">
        <v>42886.494502314818</v>
      </c>
      <c r="AT312" s="3">
        <f t="shared" si="4"/>
        <v>287</v>
      </c>
    </row>
    <row r="313" spans="8:46" x14ac:dyDescent="0.4">
      <c r="H313" s="59">
        <v>43005.699629629627</v>
      </c>
      <c r="I313" s="43">
        <v>42530</v>
      </c>
      <c r="J313" s="42">
        <v>42725.504374999997</v>
      </c>
      <c r="K313" s="81" t="s">
        <v>137</v>
      </c>
      <c r="L313" t="s">
        <v>1760</v>
      </c>
      <c r="M313" t="s">
        <v>1761</v>
      </c>
      <c r="N313" s="1" t="s">
        <v>1761</v>
      </c>
      <c r="O313" s="1" t="s">
        <v>1800</v>
      </c>
      <c r="P313" t="s">
        <v>227</v>
      </c>
      <c r="Q313" s="9" t="s">
        <v>45</v>
      </c>
      <c r="R313" s="82" t="s">
        <v>45</v>
      </c>
      <c r="S313" s="44" t="s">
        <v>52</v>
      </c>
      <c r="T313" s="3" t="s">
        <v>136</v>
      </c>
      <c r="U313" s="2" t="s">
        <v>29</v>
      </c>
      <c r="V313" s="89" t="s">
        <v>29</v>
      </c>
      <c r="W313" s="11" t="s">
        <v>143</v>
      </c>
      <c r="X313" s="89" t="s">
        <v>143</v>
      </c>
      <c r="Y313" s="77" t="s">
        <v>334</v>
      </c>
      <c r="Z313" s="84" t="s">
        <v>2824</v>
      </c>
      <c r="AA313" s="89" t="s">
        <v>28</v>
      </c>
      <c r="AB313" s="90" t="str">
        <f>HYPERLINK(CONCATENATE("https://www.ejacket.nsf.gov/ej/showProposal.do?ID=",SUBSTITUTE(SplitQueryTable[[#This Row],[prop_id]],CHAR(160),"")),"eJ")</f>
        <v>eJ</v>
      </c>
      <c r="AC313" s="89" t="s">
        <v>2825</v>
      </c>
      <c r="AD313" s="3" t="s">
        <v>2824</v>
      </c>
      <c r="AE313" s="91">
        <v>2017</v>
      </c>
      <c r="AF313" s="13" t="s">
        <v>43</v>
      </c>
      <c r="AG313" s="13">
        <v>25000</v>
      </c>
      <c r="AH313" s="45">
        <v>25000</v>
      </c>
      <c r="AI313" s="44" t="s">
        <v>2627</v>
      </c>
      <c r="AJ313" s="2" t="s">
        <v>2628</v>
      </c>
      <c r="AK313" s="46" t="s">
        <v>1745</v>
      </c>
      <c r="AL313" s="55" t="s">
        <v>1759</v>
      </c>
      <c r="AM313" s="45"/>
      <c r="AN313" s="56" t="s">
        <v>142</v>
      </c>
      <c r="AO313" s="23" t="s">
        <v>146</v>
      </c>
      <c r="AP313" s="11"/>
      <c r="AQ313" s="88" t="s">
        <v>2826</v>
      </c>
      <c r="AR313" s="57" t="s">
        <v>193</v>
      </c>
      <c r="AS313" s="46">
        <v>42748.522268518522</v>
      </c>
      <c r="AT313" s="3">
        <f t="shared" si="4"/>
        <v>288</v>
      </c>
    </row>
    <row r="314" spans="8:46" x14ac:dyDescent="0.4">
      <c r="H314" s="59">
        <v>43005.699629629627</v>
      </c>
      <c r="I314" s="43">
        <v>42719</v>
      </c>
      <c r="J314" s="42">
        <v>42824.43949074074</v>
      </c>
      <c r="K314" s="81" t="s">
        <v>137</v>
      </c>
      <c r="L314" t="s">
        <v>1760</v>
      </c>
      <c r="M314" t="s">
        <v>1761</v>
      </c>
      <c r="N314" s="1" t="s">
        <v>1761</v>
      </c>
      <c r="O314" s="1" t="s">
        <v>1800</v>
      </c>
      <c r="P314" t="s">
        <v>1800</v>
      </c>
      <c r="Q314" s="9" t="s">
        <v>45</v>
      </c>
      <c r="R314" s="82" t="s">
        <v>45</v>
      </c>
      <c r="S314" s="44" t="s">
        <v>52</v>
      </c>
      <c r="T314" s="3" t="s">
        <v>136</v>
      </c>
      <c r="U314" s="2" t="s">
        <v>29</v>
      </c>
      <c r="V314" s="89" t="s">
        <v>29</v>
      </c>
      <c r="W314" s="11" t="s">
        <v>143</v>
      </c>
      <c r="X314" s="89" t="s">
        <v>143</v>
      </c>
      <c r="Y314" s="77" t="s">
        <v>334</v>
      </c>
      <c r="Z314" s="84" t="s">
        <v>2827</v>
      </c>
      <c r="AA314" s="89" t="s">
        <v>28</v>
      </c>
      <c r="AB314" s="90" t="str">
        <f>HYPERLINK(CONCATENATE("https://www.ejacket.nsf.gov/ej/showProposal.do?ID=",SUBSTITUTE(SplitQueryTable[[#This Row],[prop_id]],CHAR(160),"")),"eJ")</f>
        <v>eJ</v>
      </c>
      <c r="AC314" s="89" t="s">
        <v>2466</v>
      </c>
      <c r="AD314" s="3" t="s">
        <v>2827</v>
      </c>
      <c r="AE314" s="91">
        <v>2017</v>
      </c>
      <c r="AF314" s="13" t="s">
        <v>43</v>
      </c>
      <c r="AG314" s="13">
        <v>20000</v>
      </c>
      <c r="AH314" s="45">
        <v>20000</v>
      </c>
      <c r="AI314" s="44" t="s">
        <v>2468</v>
      </c>
      <c r="AJ314" s="2" t="s">
        <v>323</v>
      </c>
      <c r="AK314" s="46" t="s">
        <v>2469</v>
      </c>
      <c r="AL314" s="55" t="s">
        <v>1759</v>
      </c>
      <c r="AM314" s="45" t="s">
        <v>1759</v>
      </c>
      <c r="AN314" s="56" t="s">
        <v>142</v>
      </c>
      <c r="AO314" s="23" t="s">
        <v>146</v>
      </c>
      <c r="AP314" s="11" t="s">
        <v>172</v>
      </c>
      <c r="AQ314" s="88" t="s">
        <v>2467</v>
      </c>
      <c r="AR314" s="57" t="s">
        <v>40</v>
      </c>
      <c r="AS314" s="46">
        <v>42855.773900462962</v>
      </c>
      <c r="AT314" s="3">
        <f t="shared" si="4"/>
        <v>289</v>
      </c>
    </row>
    <row r="315" spans="8:46" x14ac:dyDescent="0.4">
      <c r="H315" s="59">
        <v>43005.699629629627</v>
      </c>
      <c r="I315" s="43">
        <v>42866</v>
      </c>
      <c r="J315" s="42">
        <v>42913.686261574076</v>
      </c>
      <c r="K315" s="81" t="s">
        <v>1768</v>
      </c>
      <c r="L315" t="s">
        <v>1768</v>
      </c>
      <c r="M315" t="s">
        <v>1761</v>
      </c>
      <c r="N315" s="1" t="s">
        <v>1761</v>
      </c>
      <c r="O315" s="1" t="s">
        <v>1781</v>
      </c>
      <c r="P315" t="s">
        <v>1781</v>
      </c>
      <c r="Q315" s="9" t="s">
        <v>45</v>
      </c>
      <c r="R315" s="82" t="s">
        <v>45</v>
      </c>
      <c r="S315" s="44" t="s">
        <v>1762</v>
      </c>
      <c r="T315" s="3" t="s">
        <v>136</v>
      </c>
      <c r="U315" s="2" t="s">
        <v>29</v>
      </c>
      <c r="V315" s="89" t="s">
        <v>29</v>
      </c>
      <c r="W315" s="11" t="s">
        <v>143</v>
      </c>
      <c r="X315" s="89" t="s">
        <v>143</v>
      </c>
      <c r="Y315" s="77" t="s">
        <v>1772</v>
      </c>
      <c r="Z315" s="84" t="s">
        <v>2828</v>
      </c>
      <c r="AA315" s="89" t="s">
        <v>28</v>
      </c>
      <c r="AB315" s="90" t="str">
        <f>HYPERLINK(CONCATENATE("https://www.ejacket.nsf.gov/ej/showProposal.do?ID=",SUBSTITUTE(SplitQueryTable[[#This Row],[prop_id]],CHAR(160),"")),"eJ")</f>
        <v>eJ</v>
      </c>
      <c r="AC315" s="89" t="s">
        <v>2829</v>
      </c>
      <c r="AD315" s="3" t="s">
        <v>2828</v>
      </c>
      <c r="AE315" s="91">
        <v>2017</v>
      </c>
      <c r="AF315" s="13" t="s">
        <v>43</v>
      </c>
      <c r="AG315" s="13">
        <v>21500</v>
      </c>
      <c r="AH315" s="45">
        <v>21500</v>
      </c>
      <c r="AI315" s="44" t="s">
        <v>2831</v>
      </c>
      <c r="AJ315" s="2" t="s">
        <v>2832</v>
      </c>
      <c r="AK315" s="46" t="s">
        <v>1725</v>
      </c>
      <c r="AL315" s="55" t="s">
        <v>1952</v>
      </c>
      <c r="AM315" s="45" t="s">
        <v>1952</v>
      </c>
      <c r="AN315" s="56" t="s">
        <v>142</v>
      </c>
      <c r="AO315" s="23" t="s">
        <v>146</v>
      </c>
      <c r="AP315" s="11"/>
      <c r="AQ315" s="88" t="s">
        <v>2830</v>
      </c>
      <c r="AR315" s="57" t="s">
        <v>40</v>
      </c>
      <c r="AS315" s="46">
        <v>42926.537997685184</v>
      </c>
      <c r="AT315" s="3">
        <f t="shared" si="4"/>
        <v>290</v>
      </c>
    </row>
    <row r="316" spans="8:46" x14ac:dyDescent="0.4">
      <c r="H316" s="59">
        <v>43005.699629629627</v>
      </c>
      <c r="I316" s="43">
        <v>42842</v>
      </c>
      <c r="J316" s="42">
        <v>42914.459340277775</v>
      </c>
      <c r="K316" s="81" t="s">
        <v>1768</v>
      </c>
      <c r="L316" t="s">
        <v>1768</v>
      </c>
      <c r="M316" t="s">
        <v>1761</v>
      </c>
      <c r="N316" s="1" t="s">
        <v>1761</v>
      </c>
      <c r="O316" s="1" t="s">
        <v>1781</v>
      </c>
      <c r="P316" t="s">
        <v>1781</v>
      </c>
      <c r="Q316" s="9" t="s">
        <v>45</v>
      </c>
      <c r="R316" s="82" t="s">
        <v>45</v>
      </c>
      <c r="S316" s="44" t="s">
        <v>1941</v>
      </c>
      <c r="T316" s="3" t="s">
        <v>136</v>
      </c>
      <c r="U316" s="2" t="s">
        <v>29</v>
      </c>
      <c r="V316" s="89" t="s">
        <v>29</v>
      </c>
      <c r="W316" s="11" t="s">
        <v>143</v>
      </c>
      <c r="X316" s="89" t="s">
        <v>143</v>
      </c>
      <c r="Y316" s="77" t="s">
        <v>1772</v>
      </c>
      <c r="Z316" s="84" t="s">
        <v>2833</v>
      </c>
      <c r="AA316" s="89" t="s">
        <v>28</v>
      </c>
      <c r="AB316" s="90" t="str">
        <f>HYPERLINK(CONCATENATE("https://www.ejacket.nsf.gov/ej/showProposal.do?ID=",SUBSTITUTE(SplitQueryTable[[#This Row],[prop_id]],CHAR(160),"")),"eJ")</f>
        <v>eJ</v>
      </c>
      <c r="AC316" s="89" t="s">
        <v>2104</v>
      </c>
      <c r="AD316" s="3" t="s">
        <v>2833</v>
      </c>
      <c r="AE316" s="91">
        <v>2017</v>
      </c>
      <c r="AF316" s="13" t="s">
        <v>43</v>
      </c>
      <c r="AG316" s="13">
        <v>8000</v>
      </c>
      <c r="AH316" s="45">
        <v>8000</v>
      </c>
      <c r="AI316" s="44" t="s">
        <v>2472</v>
      </c>
      <c r="AJ316" s="2" t="s">
        <v>323</v>
      </c>
      <c r="AK316" s="46" t="s">
        <v>2473</v>
      </c>
      <c r="AL316" s="55" t="s">
        <v>2835</v>
      </c>
      <c r="AM316" s="45" t="s">
        <v>2835</v>
      </c>
      <c r="AN316" s="56" t="s">
        <v>142</v>
      </c>
      <c r="AO316" s="23" t="s">
        <v>146</v>
      </c>
      <c r="AP316" s="11" t="s">
        <v>172</v>
      </c>
      <c r="AQ316" s="88" t="s">
        <v>2834</v>
      </c>
      <c r="AR316" s="57" t="s">
        <v>40</v>
      </c>
      <c r="AS316" s="46">
        <v>42926.511516203704</v>
      </c>
      <c r="AT316" s="3">
        <f t="shared" si="4"/>
        <v>291</v>
      </c>
    </row>
    <row r="317" spans="8:46" x14ac:dyDescent="0.4">
      <c r="H317" s="59">
        <v>43005.699629629627</v>
      </c>
      <c r="I317" s="43">
        <v>42867</v>
      </c>
      <c r="J317" s="42">
        <v>42914.462048611109</v>
      </c>
      <c r="K317" s="81" t="s">
        <v>1768</v>
      </c>
      <c r="L317" t="s">
        <v>1768</v>
      </c>
      <c r="M317" t="s">
        <v>1761</v>
      </c>
      <c r="N317" s="1" t="s">
        <v>1761</v>
      </c>
      <c r="O317" s="1" t="s">
        <v>1781</v>
      </c>
      <c r="P317" t="s">
        <v>1781</v>
      </c>
      <c r="Q317" s="9" t="s">
        <v>45</v>
      </c>
      <c r="R317" s="82" t="s">
        <v>45</v>
      </c>
      <c r="S317" s="44" t="s">
        <v>52</v>
      </c>
      <c r="T317" s="3" t="s">
        <v>136</v>
      </c>
      <c r="U317" s="2" t="s">
        <v>29</v>
      </c>
      <c r="V317" s="89" t="s">
        <v>29</v>
      </c>
      <c r="W317" s="11" t="s">
        <v>143</v>
      </c>
      <c r="X317" s="89" t="s">
        <v>143</v>
      </c>
      <c r="Y317" s="77" t="s">
        <v>1772</v>
      </c>
      <c r="Z317" s="84" t="s">
        <v>2836</v>
      </c>
      <c r="AA317" s="89" t="s">
        <v>28</v>
      </c>
      <c r="AB317" s="90" t="str">
        <f>HYPERLINK(CONCATENATE("https://www.ejacket.nsf.gov/ej/showProposal.do?ID=",SUBSTITUTE(SplitQueryTable[[#This Row],[prop_id]],CHAR(160),"")),"eJ")</f>
        <v>eJ</v>
      </c>
      <c r="AC317" s="89" t="s">
        <v>2837</v>
      </c>
      <c r="AD317" s="3" t="s">
        <v>2836</v>
      </c>
      <c r="AE317" s="91">
        <v>2017</v>
      </c>
      <c r="AF317" s="13" t="s">
        <v>43</v>
      </c>
      <c r="AG317" s="13">
        <v>15960</v>
      </c>
      <c r="AH317" s="45">
        <v>22200</v>
      </c>
      <c r="AI317" s="44" t="s">
        <v>2840</v>
      </c>
      <c r="AJ317" s="2" t="s">
        <v>263</v>
      </c>
      <c r="AK317" s="46" t="s">
        <v>2841</v>
      </c>
      <c r="AL317" s="55" t="s">
        <v>2839</v>
      </c>
      <c r="AM317" s="45" t="s">
        <v>2839</v>
      </c>
      <c r="AN317" s="56" t="s">
        <v>142</v>
      </c>
      <c r="AO317" s="23" t="s">
        <v>146</v>
      </c>
      <c r="AP317" s="11"/>
      <c r="AQ317" s="88" t="s">
        <v>2838</v>
      </c>
      <c r="AR317" s="57" t="s">
        <v>40</v>
      </c>
      <c r="AS317" s="46">
        <v>42940.34443287037</v>
      </c>
      <c r="AT317" s="3">
        <f t="shared" si="4"/>
        <v>292</v>
      </c>
    </row>
    <row r="318" spans="8:46" x14ac:dyDescent="0.4">
      <c r="H318" s="59">
        <v>43005.699629629627</v>
      </c>
      <c r="I318" s="43">
        <v>42817.413275462961</v>
      </c>
      <c r="J318" s="42">
        <v>42853.780798611115</v>
      </c>
      <c r="K318" s="81" t="s">
        <v>137</v>
      </c>
      <c r="L318" t="s">
        <v>1760</v>
      </c>
      <c r="M318" t="s">
        <v>1761</v>
      </c>
      <c r="N318" s="1" t="s">
        <v>1761</v>
      </c>
      <c r="O318" s="1" t="s">
        <v>1800</v>
      </c>
      <c r="P318" t="s">
        <v>1800</v>
      </c>
      <c r="Q318" s="9" t="s">
        <v>45</v>
      </c>
      <c r="R318" s="82" t="s">
        <v>45</v>
      </c>
      <c r="S318" s="44" t="s">
        <v>52</v>
      </c>
      <c r="T318" s="3" t="s">
        <v>136</v>
      </c>
      <c r="U318" s="2" t="s">
        <v>29</v>
      </c>
      <c r="V318" s="89" t="s">
        <v>29</v>
      </c>
      <c r="W318" s="11" t="s">
        <v>143</v>
      </c>
      <c r="X318" s="89" t="s">
        <v>143</v>
      </c>
      <c r="Y318" s="77" t="s">
        <v>334</v>
      </c>
      <c r="Z318" s="84" t="s">
        <v>2842</v>
      </c>
      <c r="AA318" s="89" t="s">
        <v>28</v>
      </c>
      <c r="AB318" s="90" t="str">
        <f>HYPERLINK(CONCATENATE("https://www.ejacket.nsf.gov/ej/showProposal.do?ID=",SUBSTITUTE(SplitQueryTable[[#This Row],[prop_id]],CHAR(160),"")),"eJ")</f>
        <v>eJ</v>
      </c>
      <c r="AC318" s="89" t="s">
        <v>2476</v>
      </c>
      <c r="AD318" s="3" t="s">
        <v>2842</v>
      </c>
      <c r="AE318" s="91">
        <v>2017</v>
      </c>
      <c r="AF318" s="13" t="s">
        <v>43</v>
      </c>
      <c r="AG318" s="13">
        <v>32499</v>
      </c>
      <c r="AH318" s="45">
        <v>32499</v>
      </c>
      <c r="AI318" s="44" t="s">
        <v>2477</v>
      </c>
      <c r="AJ318" s="2" t="s">
        <v>295</v>
      </c>
      <c r="AK318" s="46" t="s">
        <v>268</v>
      </c>
      <c r="AL318" s="55" t="s">
        <v>1759</v>
      </c>
      <c r="AM318" s="45" t="s">
        <v>1759</v>
      </c>
      <c r="AN318" s="56" t="s">
        <v>142</v>
      </c>
      <c r="AO318" s="23" t="s">
        <v>146</v>
      </c>
      <c r="AP318" s="11" t="s">
        <v>172</v>
      </c>
      <c r="AQ318" s="88" t="s">
        <v>2267</v>
      </c>
      <c r="AR318" s="57" t="s">
        <v>40</v>
      </c>
      <c r="AS318" s="46">
        <v>42871.483425925922</v>
      </c>
      <c r="AT318" s="3">
        <f t="shared" si="4"/>
        <v>293</v>
      </c>
    </row>
    <row r="319" spans="8:46" x14ac:dyDescent="0.4">
      <c r="H319" s="59">
        <v>43005.699629629627</v>
      </c>
      <c r="I319" s="43">
        <v>42817.414085648146</v>
      </c>
      <c r="J319" s="42">
        <v>42832.395185185182</v>
      </c>
      <c r="K319" s="81" t="s">
        <v>137</v>
      </c>
      <c r="L319" t="s">
        <v>1760</v>
      </c>
      <c r="M319" t="s">
        <v>1761</v>
      </c>
      <c r="N319" s="1" t="s">
        <v>1761</v>
      </c>
      <c r="O319" s="1" t="s">
        <v>1800</v>
      </c>
      <c r="P319" t="s">
        <v>1800</v>
      </c>
      <c r="Q319" s="9" t="s">
        <v>45</v>
      </c>
      <c r="R319" s="82" t="s">
        <v>45</v>
      </c>
      <c r="S319" s="44" t="s">
        <v>52</v>
      </c>
      <c r="T319" s="3" t="s">
        <v>136</v>
      </c>
      <c r="U319" s="2" t="s">
        <v>29</v>
      </c>
      <c r="V319" s="89" t="s">
        <v>29</v>
      </c>
      <c r="W319" s="11" t="s">
        <v>143</v>
      </c>
      <c r="X319" s="89" t="s">
        <v>143</v>
      </c>
      <c r="Y319" s="77" t="s">
        <v>334</v>
      </c>
      <c r="Z319" s="84" t="s">
        <v>2843</v>
      </c>
      <c r="AA319" s="89" t="s">
        <v>28</v>
      </c>
      <c r="AB319" s="90" t="str">
        <f>HYPERLINK(CONCATENATE("https://www.ejacket.nsf.gov/ej/showProposal.do?ID=",SUBSTITUTE(SplitQueryTable[[#This Row],[prop_id]],CHAR(160),"")),"eJ")</f>
        <v>eJ</v>
      </c>
      <c r="AC319" s="89" t="s">
        <v>2476</v>
      </c>
      <c r="AD319" s="3" t="s">
        <v>2843</v>
      </c>
      <c r="AE319" s="91">
        <v>2017</v>
      </c>
      <c r="AF319" s="13" t="s">
        <v>43</v>
      </c>
      <c r="AG319" s="13">
        <v>32500</v>
      </c>
      <c r="AH319" s="45">
        <v>32500</v>
      </c>
      <c r="AI319" s="44" t="s">
        <v>2477</v>
      </c>
      <c r="AJ319" s="2" t="s">
        <v>295</v>
      </c>
      <c r="AK319" s="46" t="s">
        <v>268</v>
      </c>
      <c r="AL319" s="55" t="s">
        <v>1759</v>
      </c>
      <c r="AM319" s="45" t="s">
        <v>1759</v>
      </c>
      <c r="AN319" s="56" t="s">
        <v>142</v>
      </c>
      <c r="AO319" s="23" t="s">
        <v>146</v>
      </c>
      <c r="AP319" s="11" t="s">
        <v>172</v>
      </c>
      <c r="AQ319" s="88" t="s">
        <v>2267</v>
      </c>
      <c r="AR319" s="57" t="s">
        <v>40</v>
      </c>
      <c r="AS319" s="46">
        <v>42855.769768518519</v>
      </c>
      <c r="AT319" s="3">
        <f t="shared" si="4"/>
        <v>294</v>
      </c>
    </row>
    <row r="320" spans="8:46" x14ac:dyDescent="0.4">
      <c r="H320" s="59">
        <v>43005.699629629627</v>
      </c>
      <c r="I320" s="43">
        <v>42762</v>
      </c>
      <c r="J320" s="42">
        <v>42773.496550925927</v>
      </c>
      <c r="K320" s="81" t="s">
        <v>1768</v>
      </c>
      <c r="L320" t="s">
        <v>1768</v>
      </c>
      <c r="M320" t="s">
        <v>1761</v>
      </c>
      <c r="N320" s="1" t="s">
        <v>1761</v>
      </c>
      <c r="O320" s="1" t="s">
        <v>1770</v>
      </c>
      <c r="P320" t="s">
        <v>1770</v>
      </c>
      <c r="Q320" s="9" t="s">
        <v>45</v>
      </c>
      <c r="R320" s="82" t="s">
        <v>45</v>
      </c>
      <c r="S320" s="44" t="s">
        <v>52</v>
      </c>
      <c r="T320" s="3" t="s">
        <v>136</v>
      </c>
      <c r="U320" s="2" t="s">
        <v>29</v>
      </c>
      <c r="V320" s="89" t="s">
        <v>29</v>
      </c>
      <c r="W320" s="11" t="s">
        <v>143</v>
      </c>
      <c r="X320" s="89" t="s">
        <v>143</v>
      </c>
      <c r="Y320" s="77" t="s">
        <v>1772</v>
      </c>
      <c r="Z320" s="84" t="s">
        <v>2844</v>
      </c>
      <c r="AA320" s="89" t="s">
        <v>28</v>
      </c>
      <c r="AB320" s="90" t="str">
        <f>HYPERLINK(CONCATENATE("https://www.ejacket.nsf.gov/ej/showProposal.do?ID=",SUBSTITUTE(SplitQueryTable[[#This Row],[prop_id]],CHAR(160),"")),"eJ")</f>
        <v>eJ</v>
      </c>
      <c r="AC320" s="89" t="s">
        <v>2487</v>
      </c>
      <c r="AD320" s="3" t="s">
        <v>2844</v>
      </c>
      <c r="AE320" s="91">
        <v>2017</v>
      </c>
      <c r="AF320" s="13" t="s">
        <v>43</v>
      </c>
      <c r="AG320" s="13">
        <v>13300</v>
      </c>
      <c r="AH320" s="45">
        <v>13300</v>
      </c>
      <c r="AI320" s="44" t="s">
        <v>2845</v>
      </c>
      <c r="AJ320" s="2" t="s">
        <v>422</v>
      </c>
      <c r="AK320" s="46" t="s">
        <v>301</v>
      </c>
      <c r="AL320" s="55" t="s">
        <v>2426</v>
      </c>
      <c r="AM320" s="45" t="s">
        <v>2426</v>
      </c>
      <c r="AN320" s="56" t="s">
        <v>142</v>
      </c>
      <c r="AO320" s="23" t="s">
        <v>146</v>
      </c>
      <c r="AP320" s="11" t="s">
        <v>172</v>
      </c>
      <c r="AQ320" s="88" t="s">
        <v>2488</v>
      </c>
      <c r="AR320" s="57" t="s">
        <v>200</v>
      </c>
      <c r="AS320" s="46">
        <v>42802.905636574076</v>
      </c>
      <c r="AT320" s="3">
        <f t="shared" si="4"/>
        <v>295</v>
      </c>
    </row>
    <row r="321" spans="8:46" x14ac:dyDescent="0.4">
      <c r="H321" s="59">
        <v>43005.699629629627</v>
      </c>
      <c r="I321" s="43">
        <v>42922</v>
      </c>
      <c r="J321" s="42">
        <v>42940.450462962966</v>
      </c>
      <c r="K321" s="81" t="s">
        <v>1768</v>
      </c>
      <c r="L321" t="s">
        <v>1768</v>
      </c>
      <c r="M321" t="s">
        <v>1761</v>
      </c>
      <c r="N321" s="1" t="s">
        <v>1761</v>
      </c>
      <c r="O321" s="1" t="s">
        <v>1781</v>
      </c>
      <c r="P321" t="s">
        <v>1781</v>
      </c>
      <c r="Q321" s="9" t="s">
        <v>45</v>
      </c>
      <c r="R321" s="82" t="s">
        <v>45</v>
      </c>
      <c r="S321" s="44" t="s">
        <v>52</v>
      </c>
      <c r="T321" s="3" t="s">
        <v>136</v>
      </c>
      <c r="U321" s="2" t="s">
        <v>29</v>
      </c>
      <c r="V321" s="89" t="s">
        <v>29</v>
      </c>
      <c r="W321" s="11" t="s">
        <v>143</v>
      </c>
      <c r="X321" s="89" t="s">
        <v>143</v>
      </c>
      <c r="Y321" s="77" t="s">
        <v>1772</v>
      </c>
      <c r="Z321" s="84" t="s">
        <v>2846</v>
      </c>
      <c r="AA321" s="89" t="s">
        <v>28</v>
      </c>
      <c r="AB321" s="90" t="str">
        <f>HYPERLINK(CONCATENATE("https://www.ejacket.nsf.gov/ej/showProposal.do?ID=",SUBSTITUTE(SplitQueryTable[[#This Row],[prop_id]],CHAR(160),"")),"eJ")</f>
        <v>eJ</v>
      </c>
      <c r="AC321" s="89" t="s">
        <v>2487</v>
      </c>
      <c r="AD321" s="3" t="s">
        <v>2846</v>
      </c>
      <c r="AE321" s="91">
        <v>2017</v>
      </c>
      <c r="AF321" s="13" t="s">
        <v>43</v>
      </c>
      <c r="AG321" s="13">
        <v>20000</v>
      </c>
      <c r="AH321" s="45">
        <v>20000</v>
      </c>
      <c r="AI321" s="44" t="s">
        <v>2845</v>
      </c>
      <c r="AJ321" s="2" t="s">
        <v>422</v>
      </c>
      <c r="AK321" s="46" t="s">
        <v>301</v>
      </c>
      <c r="AL321" s="55" t="s">
        <v>2848</v>
      </c>
      <c r="AM321" s="45" t="s">
        <v>2848</v>
      </c>
      <c r="AN321" s="56" t="s">
        <v>142</v>
      </c>
      <c r="AO321" s="23" t="s">
        <v>146</v>
      </c>
      <c r="AP321" s="11" t="s">
        <v>172</v>
      </c>
      <c r="AQ321" s="88" t="s">
        <v>2847</v>
      </c>
      <c r="AR321" s="57" t="s">
        <v>651</v>
      </c>
      <c r="AS321" s="46">
        <v>42940.624398148146</v>
      </c>
      <c r="AT321" s="3">
        <f t="shared" si="4"/>
        <v>296</v>
      </c>
    </row>
    <row r="322" spans="8:46" x14ac:dyDescent="0.4">
      <c r="H322" s="59">
        <v>43005.699629629627</v>
      </c>
      <c r="I322" s="43">
        <v>42922</v>
      </c>
      <c r="J322" s="42">
        <v>42935.379675925928</v>
      </c>
      <c r="K322" s="81" t="s">
        <v>1768</v>
      </c>
      <c r="L322" t="s">
        <v>1768</v>
      </c>
      <c r="M322" t="s">
        <v>1761</v>
      </c>
      <c r="N322" s="1" t="s">
        <v>1761</v>
      </c>
      <c r="O322" s="1" t="s">
        <v>1781</v>
      </c>
      <c r="P322" t="s">
        <v>1781</v>
      </c>
      <c r="Q322" s="9" t="s">
        <v>45</v>
      </c>
      <c r="R322" s="82" t="s">
        <v>45</v>
      </c>
      <c r="S322" s="44" t="s">
        <v>2024</v>
      </c>
      <c r="T322" s="3" t="s">
        <v>136</v>
      </c>
      <c r="U322" s="2" t="s">
        <v>29</v>
      </c>
      <c r="V322" s="89" t="s">
        <v>29</v>
      </c>
      <c r="W322" s="11" t="s">
        <v>143</v>
      </c>
      <c r="X322" s="89" t="s">
        <v>143</v>
      </c>
      <c r="Y322" s="77" t="s">
        <v>1772</v>
      </c>
      <c r="Z322" s="84" t="s">
        <v>2849</v>
      </c>
      <c r="AA322" s="89" t="s">
        <v>28</v>
      </c>
      <c r="AB322" s="90" t="str">
        <f>HYPERLINK(CONCATENATE("https://www.ejacket.nsf.gov/ej/showProposal.do?ID=",SUBSTITUTE(SplitQueryTable[[#This Row],[prop_id]],CHAR(160),"")),"eJ")</f>
        <v>eJ</v>
      </c>
      <c r="AC322" s="89" t="s">
        <v>2487</v>
      </c>
      <c r="AD322" s="3" t="s">
        <v>2849</v>
      </c>
      <c r="AE322" s="91">
        <v>2017</v>
      </c>
      <c r="AF322" s="13" t="s">
        <v>43</v>
      </c>
      <c r="AG322" s="13">
        <v>16000</v>
      </c>
      <c r="AH322" s="45">
        <v>16000</v>
      </c>
      <c r="AI322" s="44" t="s">
        <v>2845</v>
      </c>
      <c r="AJ322" s="2" t="s">
        <v>422</v>
      </c>
      <c r="AK322" s="46" t="s">
        <v>301</v>
      </c>
      <c r="AL322" s="55" t="s">
        <v>2851</v>
      </c>
      <c r="AM322" s="45" t="s">
        <v>2852</v>
      </c>
      <c r="AN322" s="56" t="s">
        <v>142</v>
      </c>
      <c r="AO322" s="23" t="s">
        <v>146</v>
      </c>
      <c r="AP322" s="11" t="s">
        <v>172</v>
      </c>
      <c r="AQ322" s="88" t="s">
        <v>2850</v>
      </c>
      <c r="AR322" s="57" t="s">
        <v>502</v>
      </c>
      <c r="AS322" s="46">
        <v>42943.376018518517</v>
      </c>
      <c r="AT322" s="3">
        <f t="shared" si="4"/>
        <v>297</v>
      </c>
    </row>
    <row r="323" spans="8:46" x14ac:dyDescent="0.4">
      <c r="H323" s="59">
        <v>43005.699629629627</v>
      </c>
      <c r="I323" s="43">
        <v>42794</v>
      </c>
      <c r="J323" s="42">
        <v>1</v>
      </c>
      <c r="K323" s="81" t="s">
        <v>1768</v>
      </c>
      <c r="L323" t="s">
        <v>1768</v>
      </c>
      <c r="M323" t="s">
        <v>1761</v>
      </c>
      <c r="N323" s="1" t="s">
        <v>1761</v>
      </c>
      <c r="O323" s="1" t="s">
        <v>1781</v>
      </c>
      <c r="P323" t="s">
        <v>1781</v>
      </c>
      <c r="Q323" s="9" t="s">
        <v>45</v>
      </c>
      <c r="R323" s="82" t="s">
        <v>45</v>
      </c>
      <c r="S323" s="44" t="s">
        <v>2102</v>
      </c>
      <c r="T323" s="3" t="s">
        <v>71</v>
      </c>
      <c r="U323" s="2" t="s">
        <v>29</v>
      </c>
      <c r="V323" s="89" t="s">
        <v>29</v>
      </c>
      <c r="W323" s="11" t="s">
        <v>143</v>
      </c>
      <c r="X323" s="89" t="s">
        <v>143</v>
      </c>
      <c r="Y323" s="77" t="s">
        <v>1772</v>
      </c>
      <c r="Z323" s="84" t="s">
        <v>2758</v>
      </c>
      <c r="AA323" s="89" t="s">
        <v>28</v>
      </c>
      <c r="AB323" s="90" t="str">
        <f>HYPERLINK(CONCATENATE("https://www.ejacket.nsf.gov/ej/showProposal.do?ID=",SUBSTITUTE(SplitQueryTable[[#This Row],[prop_id]],CHAR(160),"")),"eJ")</f>
        <v>eJ</v>
      </c>
      <c r="AC323" s="89" t="s">
        <v>2758</v>
      </c>
      <c r="AD323" s="3" t="s">
        <v>2758</v>
      </c>
      <c r="AE323" s="91">
        <v>2017</v>
      </c>
      <c r="AF323" s="13" t="s">
        <v>44</v>
      </c>
      <c r="AG323" s="13">
        <v>60000</v>
      </c>
      <c r="AH323" s="45">
        <v>135214</v>
      </c>
      <c r="AI323" s="44" t="s">
        <v>2320</v>
      </c>
      <c r="AJ323" s="2" t="s">
        <v>628</v>
      </c>
      <c r="AK323" s="46" t="s">
        <v>1736</v>
      </c>
      <c r="AL323" s="55"/>
      <c r="AM323" s="45" t="s">
        <v>2170</v>
      </c>
      <c r="AN323" s="56" t="s">
        <v>142</v>
      </c>
      <c r="AO323" s="23" t="s">
        <v>146</v>
      </c>
      <c r="AP323" s="11"/>
      <c r="AQ323" s="88" t="s">
        <v>2300</v>
      </c>
      <c r="AR323" s="57" t="s">
        <v>200</v>
      </c>
      <c r="AS323" s="46">
        <v>42907.370127314818</v>
      </c>
      <c r="AT323" s="3">
        <f t="shared" si="4"/>
        <v>298</v>
      </c>
    </row>
    <row r="324" spans="8:46" x14ac:dyDescent="0.4">
      <c r="H324" s="59">
        <v>43005.699629629627</v>
      </c>
      <c r="I324" s="43">
        <v>42990.601018518515</v>
      </c>
      <c r="J324" s="42">
        <v>42999.485034722224</v>
      </c>
      <c r="K324" s="81" t="s">
        <v>137</v>
      </c>
      <c r="L324" t="s">
        <v>1760</v>
      </c>
      <c r="M324" t="s">
        <v>1761</v>
      </c>
      <c r="N324" s="1" t="s">
        <v>1761</v>
      </c>
      <c r="O324" s="1" t="s">
        <v>1800</v>
      </c>
      <c r="P324" t="s">
        <v>1800</v>
      </c>
      <c r="Q324" s="9" t="s">
        <v>45</v>
      </c>
      <c r="R324" s="82" t="s">
        <v>45</v>
      </c>
      <c r="S324" s="44" t="s">
        <v>52</v>
      </c>
      <c r="T324" s="3" t="s">
        <v>202</v>
      </c>
      <c r="U324" s="2" t="s">
        <v>29</v>
      </c>
      <c r="V324" s="89" t="s">
        <v>29</v>
      </c>
      <c r="W324" s="11" t="s">
        <v>143</v>
      </c>
      <c r="X324" s="89" t="s">
        <v>143</v>
      </c>
      <c r="Y324" s="77" t="s">
        <v>334</v>
      </c>
      <c r="Z324" s="84" t="s">
        <v>2853</v>
      </c>
      <c r="AA324" s="89" t="s">
        <v>28</v>
      </c>
      <c r="AB324" s="90" t="str">
        <f>HYPERLINK(CONCATENATE("https://www.ejacket.nsf.gov/ej/showProposal.do?ID=",SUBSTITUTE(SplitQueryTable[[#This Row],[prop_id]],CHAR(160),"")),"eJ")</f>
        <v>eJ</v>
      </c>
      <c r="AC324" s="89" t="s">
        <v>2089</v>
      </c>
      <c r="AD324" s="3" t="s">
        <v>2853</v>
      </c>
      <c r="AE324" s="91">
        <v>2017</v>
      </c>
      <c r="AF324" s="13" t="s">
        <v>43</v>
      </c>
      <c r="AG324" s="13">
        <v>100000</v>
      </c>
      <c r="AH324" s="45">
        <v>100000</v>
      </c>
      <c r="AI324" s="44" t="s">
        <v>2091</v>
      </c>
      <c r="AJ324" s="2" t="s">
        <v>2092</v>
      </c>
      <c r="AK324" s="46" t="s">
        <v>2093</v>
      </c>
      <c r="AL324" s="55" t="s">
        <v>1759</v>
      </c>
      <c r="AM324" s="45" t="s">
        <v>1759</v>
      </c>
      <c r="AN324" s="56" t="s">
        <v>142</v>
      </c>
      <c r="AO324" s="23" t="s">
        <v>146</v>
      </c>
      <c r="AP324" s="11" t="s">
        <v>172</v>
      </c>
      <c r="AQ324" s="88" t="s">
        <v>2090</v>
      </c>
      <c r="AR324" s="57" t="s">
        <v>203</v>
      </c>
      <c r="AS324" s="46">
        <v>42999.49722222222</v>
      </c>
      <c r="AT324" s="3">
        <f t="shared" si="4"/>
        <v>299</v>
      </c>
    </row>
    <row r="325" spans="8:46" x14ac:dyDescent="0.4">
      <c r="H325" s="59">
        <v>43005.699629629627</v>
      </c>
      <c r="I325" s="43">
        <v>42975.413101851853</v>
      </c>
      <c r="J325" s="42">
        <v>42999.484594907408</v>
      </c>
      <c r="K325" s="81" t="s">
        <v>137</v>
      </c>
      <c r="L325" t="s">
        <v>1760</v>
      </c>
      <c r="M325" t="s">
        <v>1761</v>
      </c>
      <c r="N325" s="1" t="s">
        <v>1761</v>
      </c>
      <c r="O325" s="1" t="s">
        <v>227</v>
      </c>
      <c r="P325" t="s">
        <v>227</v>
      </c>
      <c r="Q325" s="9" t="s">
        <v>45</v>
      </c>
      <c r="R325" s="82" t="s">
        <v>45</v>
      </c>
      <c r="S325" s="44" t="s">
        <v>52</v>
      </c>
      <c r="T325" s="3" t="s">
        <v>202</v>
      </c>
      <c r="U325" s="2" t="s">
        <v>29</v>
      </c>
      <c r="V325" s="89" t="s">
        <v>29</v>
      </c>
      <c r="W325" s="11" t="s">
        <v>143</v>
      </c>
      <c r="X325" s="89" t="s">
        <v>143</v>
      </c>
      <c r="Y325" s="77" t="s">
        <v>334</v>
      </c>
      <c r="Z325" s="84" t="s">
        <v>2854</v>
      </c>
      <c r="AA325" s="89" t="s">
        <v>28</v>
      </c>
      <c r="AB325" s="90" t="str">
        <f>HYPERLINK(CONCATENATE("https://www.ejacket.nsf.gov/ej/showProposal.do?ID=",SUBSTITUTE(SplitQueryTable[[#This Row],[prop_id]],CHAR(160),"")),"eJ")</f>
        <v>eJ</v>
      </c>
      <c r="AC325" s="89" t="s">
        <v>2176</v>
      </c>
      <c r="AD325" s="3" t="s">
        <v>2854</v>
      </c>
      <c r="AE325" s="91">
        <v>2017</v>
      </c>
      <c r="AF325" s="13" t="s">
        <v>43</v>
      </c>
      <c r="AG325" s="13">
        <v>30000</v>
      </c>
      <c r="AH325" s="45">
        <v>100000</v>
      </c>
      <c r="AI325" s="44" t="s">
        <v>2178</v>
      </c>
      <c r="AJ325" s="2" t="s">
        <v>2179</v>
      </c>
      <c r="AK325" s="46" t="s">
        <v>1713</v>
      </c>
      <c r="AL325" s="55" t="s">
        <v>1759</v>
      </c>
      <c r="AM325" s="45" t="s">
        <v>1759</v>
      </c>
      <c r="AN325" s="56" t="s">
        <v>142</v>
      </c>
      <c r="AO325" s="23" t="s">
        <v>146</v>
      </c>
      <c r="AP325" s="11"/>
      <c r="AQ325" s="88" t="s">
        <v>2177</v>
      </c>
      <c r="AR325" s="57" t="s">
        <v>203</v>
      </c>
      <c r="AS325" s="46">
        <v>42999.495752314811</v>
      </c>
      <c r="AT325" s="3">
        <f t="shared" si="4"/>
        <v>300</v>
      </c>
    </row>
    <row r="326" spans="8:46" x14ac:dyDescent="0.4">
      <c r="H326" s="59">
        <v>43005.699629629627</v>
      </c>
      <c r="I326" s="43">
        <v>42975.413101851853</v>
      </c>
      <c r="J326" s="42">
        <v>42999.484594907408</v>
      </c>
      <c r="K326" s="81" t="s">
        <v>137</v>
      </c>
      <c r="L326" t="s">
        <v>1760</v>
      </c>
      <c r="M326" t="s">
        <v>1761</v>
      </c>
      <c r="N326" s="1" t="s">
        <v>1761</v>
      </c>
      <c r="O326" s="1" t="s">
        <v>227</v>
      </c>
      <c r="P326" t="s">
        <v>227</v>
      </c>
      <c r="Q326" s="9" t="s">
        <v>45</v>
      </c>
      <c r="R326" s="82" t="s">
        <v>45</v>
      </c>
      <c r="S326" s="44" t="s">
        <v>52</v>
      </c>
      <c r="T326" s="3" t="s">
        <v>202</v>
      </c>
      <c r="U326" s="2" t="s">
        <v>29</v>
      </c>
      <c r="V326" s="89" t="s">
        <v>29</v>
      </c>
      <c r="W326" s="11" t="s">
        <v>143</v>
      </c>
      <c r="X326" s="89" t="s">
        <v>143</v>
      </c>
      <c r="Y326" s="77" t="s">
        <v>334</v>
      </c>
      <c r="Z326" s="84" t="s">
        <v>2854</v>
      </c>
      <c r="AA326" s="89" t="s">
        <v>28</v>
      </c>
      <c r="AB326" s="90" t="str">
        <f>HYPERLINK(CONCATENATE("https://www.ejacket.nsf.gov/ej/showProposal.do?ID=",SUBSTITUTE(SplitQueryTable[[#This Row],[prop_id]],CHAR(160),"")),"eJ")</f>
        <v>eJ</v>
      </c>
      <c r="AC326" s="89" t="s">
        <v>2176</v>
      </c>
      <c r="AD326" s="3" t="s">
        <v>2854</v>
      </c>
      <c r="AE326" s="91">
        <v>2017</v>
      </c>
      <c r="AF326" s="13" t="s">
        <v>44</v>
      </c>
      <c r="AG326" s="13">
        <v>70000</v>
      </c>
      <c r="AH326" s="45">
        <v>100000</v>
      </c>
      <c r="AI326" s="44" t="s">
        <v>2178</v>
      </c>
      <c r="AJ326" s="2" t="s">
        <v>2179</v>
      </c>
      <c r="AK326" s="46" t="s">
        <v>1713</v>
      </c>
      <c r="AL326" s="55" t="s">
        <v>1759</v>
      </c>
      <c r="AM326" s="45" t="s">
        <v>1759</v>
      </c>
      <c r="AN326" s="56" t="s">
        <v>142</v>
      </c>
      <c r="AO326" s="23" t="s">
        <v>146</v>
      </c>
      <c r="AP326" s="11"/>
      <c r="AQ326" s="88" t="s">
        <v>2177</v>
      </c>
      <c r="AR326" s="57" t="s">
        <v>203</v>
      </c>
      <c r="AS326" s="46">
        <v>42999.495752314811</v>
      </c>
      <c r="AT326" s="3">
        <f t="shared" si="4"/>
        <v>300</v>
      </c>
    </row>
    <row r="327" spans="8:46" x14ac:dyDescent="0.4">
      <c r="H327" s="59">
        <v>43005.699629629627</v>
      </c>
      <c r="I327" s="43">
        <v>42989.543032407404</v>
      </c>
      <c r="J327" s="42">
        <v>42993.332719907405</v>
      </c>
      <c r="K327" s="81" t="s">
        <v>137</v>
      </c>
      <c r="L327" t="s">
        <v>1760</v>
      </c>
      <c r="M327" t="s">
        <v>1761</v>
      </c>
      <c r="N327" s="1" t="s">
        <v>1761</v>
      </c>
      <c r="O327" s="1" t="s">
        <v>1800</v>
      </c>
      <c r="P327" t="s">
        <v>1800</v>
      </c>
      <c r="Q327" s="9" t="s">
        <v>45</v>
      </c>
      <c r="R327" s="82" t="s">
        <v>45</v>
      </c>
      <c r="S327" s="44" t="s">
        <v>52</v>
      </c>
      <c r="T327" s="3" t="s">
        <v>202</v>
      </c>
      <c r="U327" s="2" t="s">
        <v>29</v>
      </c>
      <c r="V327" s="89" t="s">
        <v>29</v>
      </c>
      <c r="W327" s="11" t="s">
        <v>143</v>
      </c>
      <c r="X327" s="89" t="s">
        <v>143</v>
      </c>
      <c r="Y327" s="77" t="s">
        <v>334</v>
      </c>
      <c r="Z327" s="84" t="s">
        <v>2855</v>
      </c>
      <c r="AA327" s="89" t="s">
        <v>28</v>
      </c>
      <c r="AB327" s="90" t="str">
        <f>HYPERLINK(CONCATENATE("https://www.ejacket.nsf.gov/ej/showProposal.do?ID=",SUBSTITUTE(SplitQueryTable[[#This Row],[prop_id]],CHAR(160),"")),"eJ")</f>
        <v>eJ</v>
      </c>
      <c r="AC327" s="89" t="s">
        <v>2856</v>
      </c>
      <c r="AD327" s="3" t="s">
        <v>2855</v>
      </c>
      <c r="AE327" s="91">
        <v>2017</v>
      </c>
      <c r="AF327" s="13" t="s">
        <v>43</v>
      </c>
      <c r="AG327" s="13">
        <v>111040</v>
      </c>
      <c r="AH327" s="45">
        <v>111040</v>
      </c>
      <c r="AI327" s="44" t="s">
        <v>2858</v>
      </c>
      <c r="AJ327" s="2" t="s">
        <v>295</v>
      </c>
      <c r="AK327" s="46" t="s">
        <v>256</v>
      </c>
      <c r="AL327" s="55" t="s">
        <v>2117</v>
      </c>
      <c r="AM327" s="45"/>
      <c r="AN327" s="56" t="s">
        <v>142</v>
      </c>
      <c r="AO327" s="23" t="s">
        <v>146</v>
      </c>
      <c r="AP327" s="11" t="s">
        <v>382</v>
      </c>
      <c r="AQ327" s="88" t="s">
        <v>2857</v>
      </c>
      <c r="AR327" s="57" t="s">
        <v>362</v>
      </c>
      <c r="AS327" s="46">
        <v>42996.524594907409</v>
      </c>
      <c r="AT327" s="3">
        <f t="shared" si="4"/>
        <v>301</v>
      </c>
    </row>
    <row r="328" spans="8:46" x14ac:dyDescent="0.4">
      <c r="H328" s="59">
        <v>43005.699629629627</v>
      </c>
      <c r="I328" s="43">
        <v>42975.404085648152</v>
      </c>
      <c r="J328" s="42">
        <v>42984.359143518515</v>
      </c>
      <c r="K328" s="81" t="s">
        <v>137</v>
      </c>
      <c r="L328" t="s">
        <v>1760</v>
      </c>
      <c r="M328" t="s">
        <v>1761</v>
      </c>
      <c r="N328" s="1" t="s">
        <v>1761</v>
      </c>
      <c r="O328" s="1" t="s">
        <v>227</v>
      </c>
      <c r="P328" t="s">
        <v>227</v>
      </c>
      <c r="Q328" s="9" t="s">
        <v>45</v>
      </c>
      <c r="R328" s="82" t="s">
        <v>45</v>
      </c>
      <c r="S328" s="44" t="s">
        <v>52</v>
      </c>
      <c r="T328" s="3" t="s">
        <v>202</v>
      </c>
      <c r="U328" s="2" t="s">
        <v>29</v>
      </c>
      <c r="V328" s="89" t="s">
        <v>29</v>
      </c>
      <c r="W328" s="11" t="s">
        <v>143</v>
      </c>
      <c r="X328" s="89" t="s">
        <v>143</v>
      </c>
      <c r="Y328" s="77" t="s">
        <v>334</v>
      </c>
      <c r="Z328" s="84" t="s">
        <v>2859</v>
      </c>
      <c r="AA328" s="89" t="s">
        <v>28</v>
      </c>
      <c r="AB328" s="90" t="str">
        <f>HYPERLINK(CONCATENATE("https://www.ejacket.nsf.gov/ej/showProposal.do?ID=",SUBSTITUTE(SplitQueryTable[[#This Row],[prop_id]],CHAR(160),"")),"eJ")</f>
        <v>eJ</v>
      </c>
      <c r="AC328" s="89" t="s">
        <v>2250</v>
      </c>
      <c r="AD328" s="3" t="s">
        <v>2859</v>
      </c>
      <c r="AE328" s="91">
        <v>2017</v>
      </c>
      <c r="AF328" s="13" t="s">
        <v>43</v>
      </c>
      <c r="AG328" s="13">
        <v>99999</v>
      </c>
      <c r="AH328" s="45">
        <v>99999</v>
      </c>
      <c r="AI328" s="44" t="s">
        <v>2252</v>
      </c>
      <c r="AJ328" s="2" t="s">
        <v>2113</v>
      </c>
      <c r="AK328" s="46" t="s">
        <v>2253</v>
      </c>
      <c r="AL328" s="55" t="s">
        <v>1759</v>
      </c>
      <c r="AM328" s="45" t="s">
        <v>1759</v>
      </c>
      <c r="AN328" s="56" t="s">
        <v>142</v>
      </c>
      <c r="AO328" s="23" t="s">
        <v>146</v>
      </c>
      <c r="AP328" s="11"/>
      <c r="AQ328" s="88" t="s">
        <v>2251</v>
      </c>
      <c r="AR328" s="57" t="s">
        <v>193</v>
      </c>
      <c r="AS328" s="46">
        <v>42985.497824074075</v>
      </c>
      <c r="AT328" s="3">
        <f t="shared" si="4"/>
        <v>302</v>
      </c>
    </row>
    <row r="329" spans="8:46" x14ac:dyDescent="0.4">
      <c r="H329" s="59">
        <v>43005.699629629627</v>
      </c>
      <c r="I329" s="43">
        <v>42975.41034722222</v>
      </c>
      <c r="J329" s="42">
        <v>42984.355486111112</v>
      </c>
      <c r="K329" s="81" t="s">
        <v>137</v>
      </c>
      <c r="L329" t="s">
        <v>1760</v>
      </c>
      <c r="M329" t="s">
        <v>1761</v>
      </c>
      <c r="N329" s="1" t="s">
        <v>1761</v>
      </c>
      <c r="O329" s="1" t="s">
        <v>227</v>
      </c>
      <c r="P329" t="s">
        <v>227</v>
      </c>
      <c r="Q329" s="9" t="s">
        <v>45</v>
      </c>
      <c r="R329" s="82" t="s">
        <v>45</v>
      </c>
      <c r="S329" s="44" t="s">
        <v>52</v>
      </c>
      <c r="T329" s="3" t="s">
        <v>202</v>
      </c>
      <c r="U329" s="2" t="s">
        <v>29</v>
      </c>
      <c r="V329" s="89" t="s">
        <v>29</v>
      </c>
      <c r="W329" s="11" t="s">
        <v>143</v>
      </c>
      <c r="X329" s="89" t="s">
        <v>143</v>
      </c>
      <c r="Y329" s="77" t="s">
        <v>334</v>
      </c>
      <c r="Z329" s="84" t="s">
        <v>2860</v>
      </c>
      <c r="AA329" s="89" t="s">
        <v>28</v>
      </c>
      <c r="AB329" s="90" t="str">
        <f>HYPERLINK(CONCATENATE("https://www.ejacket.nsf.gov/ej/showProposal.do?ID=",SUBSTITUTE(SplitQueryTable[[#This Row],[prop_id]],CHAR(160),"")),"eJ")</f>
        <v>eJ</v>
      </c>
      <c r="AC329" s="89" t="s">
        <v>2254</v>
      </c>
      <c r="AD329" s="3" t="s">
        <v>2860</v>
      </c>
      <c r="AE329" s="91">
        <v>2017</v>
      </c>
      <c r="AF329" s="13" t="s">
        <v>43</v>
      </c>
      <c r="AG329" s="13">
        <v>123669</v>
      </c>
      <c r="AH329" s="45">
        <v>123669</v>
      </c>
      <c r="AI329" s="44" t="s">
        <v>2256</v>
      </c>
      <c r="AJ329" s="2" t="s">
        <v>2257</v>
      </c>
      <c r="AK329" s="46" t="s">
        <v>1718</v>
      </c>
      <c r="AL329" s="55" t="s">
        <v>1759</v>
      </c>
      <c r="AM329" s="45" t="s">
        <v>1759</v>
      </c>
      <c r="AN329" s="56" t="s">
        <v>142</v>
      </c>
      <c r="AO329" s="23" t="s">
        <v>146</v>
      </c>
      <c r="AP329" s="11"/>
      <c r="AQ329" s="88" t="s">
        <v>2255</v>
      </c>
      <c r="AR329" s="57" t="s">
        <v>193</v>
      </c>
      <c r="AS329" s="46">
        <v>42985.477303240739</v>
      </c>
      <c r="AT329" s="3">
        <f t="shared" si="4"/>
        <v>303</v>
      </c>
    </row>
    <row r="330" spans="8:46" x14ac:dyDescent="0.4">
      <c r="H330" s="59">
        <v>43005.699629629627</v>
      </c>
      <c r="I330" s="43">
        <v>42975.400567129633</v>
      </c>
      <c r="J330" s="42">
        <v>42984.358784722222</v>
      </c>
      <c r="K330" s="81" t="s">
        <v>137</v>
      </c>
      <c r="L330" t="s">
        <v>1760</v>
      </c>
      <c r="M330" t="s">
        <v>1761</v>
      </c>
      <c r="N330" s="1" t="s">
        <v>1761</v>
      </c>
      <c r="O330" s="1" t="s">
        <v>1800</v>
      </c>
      <c r="P330" t="s">
        <v>1800</v>
      </c>
      <c r="Q330" s="9" t="s">
        <v>45</v>
      </c>
      <c r="R330" s="82" t="s">
        <v>45</v>
      </c>
      <c r="S330" s="44" t="s">
        <v>52</v>
      </c>
      <c r="T330" s="3" t="s">
        <v>202</v>
      </c>
      <c r="U330" s="2" t="s">
        <v>29</v>
      </c>
      <c r="V330" s="89" t="s">
        <v>29</v>
      </c>
      <c r="W330" s="11" t="s">
        <v>143</v>
      </c>
      <c r="X330" s="89" t="s">
        <v>143</v>
      </c>
      <c r="Y330" s="77" t="s">
        <v>334</v>
      </c>
      <c r="Z330" s="84" t="s">
        <v>2861</v>
      </c>
      <c r="AA330" s="89" t="s">
        <v>28</v>
      </c>
      <c r="AB330" s="90" t="str">
        <f>HYPERLINK(CONCATENATE("https://www.ejacket.nsf.gov/ej/showProposal.do?ID=",SUBSTITUTE(SplitQueryTable[[#This Row],[prop_id]],CHAR(160),"")),"eJ")</f>
        <v>eJ</v>
      </c>
      <c r="AC330" s="89" t="s">
        <v>2316</v>
      </c>
      <c r="AD330" s="3" t="s">
        <v>2861</v>
      </c>
      <c r="AE330" s="91">
        <v>2017</v>
      </c>
      <c r="AF330" s="13" t="s">
        <v>43</v>
      </c>
      <c r="AG330" s="13">
        <v>100000</v>
      </c>
      <c r="AH330" s="45">
        <v>100000</v>
      </c>
      <c r="AI330" s="44" t="s">
        <v>2318</v>
      </c>
      <c r="AJ330" s="2" t="s">
        <v>247</v>
      </c>
      <c r="AK330" s="46" t="s">
        <v>1732</v>
      </c>
      <c r="AL330" s="55" t="s">
        <v>1759</v>
      </c>
      <c r="AM330" s="45" t="s">
        <v>1759</v>
      </c>
      <c r="AN330" s="56" t="s">
        <v>142</v>
      </c>
      <c r="AO330" s="23" t="s">
        <v>146</v>
      </c>
      <c r="AP330" s="11"/>
      <c r="AQ330" s="88" t="s">
        <v>2317</v>
      </c>
      <c r="AR330" s="57" t="s">
        <v>193</v>
      </c>
      <c r="AS330" s="46">
        <v>42985.488877314812</v>
      </c>
      <c r="AT330" s="3">
        <f t="shared" si="4"/>
        <v>304</v>
      </c>
    </row>
    <row r="331" spans="8:46" x14ac:dyDescent="0.4">
      <c r="H331" s="59">
        <v>43005.699629629627</v>
      </c>
      <c r="I331" s="43">
        <v>42975.380347222221</v>
      </c>
      <c r="J331" s="42">
        <v>42984.357430555552</v>
      </c>
      <c r="K331" s="81" t="s">
        <v>137</v>
      </c>
      <c r="L331" t="s">
        <v>1760</v>
      </c>
      <c r="M331" t="s">
        <v>1761</v>
      </c>
      <c r="N331" s="1" t="s">
        <v>1761</v>
      </c>
      <c r="O331" s="1" t="s">
        <v>1800</v>
      </c>
      <c r="P331" t="s">
        <v>1800</v>
      </c>
      <c r="Q331" s="9" t="s">
        <v>45</v>
      </c>
      <c r="R331" s="82" t="s">
        <v>45</v>
      </c>
      <c r="S331" s="44" t="s">
        <v>52</v>
      </c>
      <c r="T331" s="3" t="s">
        <v>202</v>
      </c>
      <c r="U331" s="2" t="s">
        <v>29</v>
      </c>
      <c r="V331" s="89" t="s">
        <v>29</v>
      </c>
      <c r="W331" s="11" t="s">
        <v>143</v>
      </c>
      <c r="X331" s="89" t="s">
        <v>143</v>
      </c>
      <c r="Y331" s="77" t="s">
        <v>334</v>
      </c>
      <c r="Z331" s="84" t="s">
        <v>2862</v>
      </c>
      <c r="AA331" s="89" t="s">
        <v>28</v>
      </c>
      <c r="AB331" s="90" t="str">
        <f>HYPERLINK(CONCATENATE("https://www.ejacket.nsf.gov/ej/showProposal.do?ID=",SUBSTITUTE(SplitQueryTable[[#This Row],[prop_id]],CHAR(160),"")),"eJ")</f>
        <v>eJ</v>
      </c>
      <c r="AC331" s="89" t="s">
        <v>2322</v>
      </c>
      <c r="AD331" s="3" t="s">
        <v>2862</v>
      </c>
      <c r="AE331" s="91">
        <v>2017</v>
      </c>
      <c r="AF331" s="13" t="s">
        <v>43</v>
      </c>
      <c r="AG331" s="13">
        <v>150000</v>
      </c>
      <c r="AH331" s="45">
        <v>150000</v>
      </c>
      <c r="AI331" s="44" t="s">
        <v>2324</v>
      </c>
      <c r="AJ331" s="2" t="s">
        <v>622</v>
      </c>
      <c r="AK331" s="46" t="s">
        <v>2325</v>
      </c>
      <c r="AL331" s="55" t="s">
        <v>1759</v>
      </c>
      <c r="AM331" s="45" t="s">
        <v>1759</v>
      </c>
      <c r="AN331" s="56" t="s">
        <v>142</v>
      </c>
      <c r="AO331" s="23" t="s">
        <v>146</v>
      </c>
      <c r="AP331" s="11"/>
      <c r="AQ331" s="88" t="s">
        <v>2323</v>
      </c>
      <c r="AR331" s="57" t="s">
        <v>193</v>
      </c>
      <c r="AS331" s="46">
        <v>42985.482858796298</v>
      </c>
      <c r="AT331" s="3">
        <f t="shared" si="4"/>
        <v>305</v>
      </c>
    </row>
    <row r="332" spans="8:46" x14ac:dyDescent="0.4">
      <c r="H332" s="59">
        <v>43005.699629629627</v>
      </c>
      <c r="I332" s="43">
        <v>42975.365601851852</v>
      </c>
      <c r="J332" s="42">
        <v>42984.356990740744</v>
      </c>
      <c r="K332" s="81" t="s">
        <v>137</v>
      </c>
      <c r="L332" t="s">
        <v>1760</v>
      </c>
      <c r="M332" t="s">
        <v>1761</v>
      </c>
      <c r="N332" s="1" t="s">
        <v>1761</v>
      </c>
      <c r="O332" s="1" t="s">
        <v>1800</v>
      </c>
      <c r="P332" t="s">
        <v>1800</v>
      </c>
      <c r="Q332" s="9" t="s">
        <v>45</v>
      </c>
      <c r="R332" s="82" t="s">
        <v>45</v>
      </c>
      <c r="S332" s="44" t="s">
        <v>52</v>
      </c>
      <c r="T332" s="3" t="s">
        <v>202</v>
      </c>
      <c r="U332" s="2" t="s">
        <v>29</v>
      </c>
      <c r="V332" s="89" t="s">
        <v>29</v>
      </c>
      <c r="W332" s="11" t="s">
        <v>143</v>
      </c>
      <c r="X332" s="89" t="s">
        <v>143</v>
      </c>
      <c r="Y332" s="77" t="s">
        <v>334</v>
      </c>
      <c r="Z332" s="84" t="s">
        <v>2863</v>
      </c>
      <c r="AA332" s="89" t="s">
        <v>28</v>
      </c>
      <c r="AB332" s="90" t="str">
        <f>HYPERLINK(CONCATENATE("https://www.ejacket.nsf.gov/ej/showProposal.do?ID=",SUBSTITUTE(SplitQueryTable[[#This Row],[prop_id]],CHAR(160),"")),"eJ")</f>
        <v>eJ</v>
      </c>
      <c r="AC332" s="89" t="s">
        <v>2326</v>
      </c>
      <c r="AD332" s="3" t="s">
        <v>2863</v>
      </c>
      <c r="AE332" s="91">
        <v>2017</v>
      </c>
      <c r="AF332" s="13" t="s">
        <v>43</v>
      </c>
      <c r="AG332" s="13">
        <v>150000</v>
      </c>
      <c r="AH332" s="45">
        <v>150000</v>
      </c>
      <c r="AI332" s="44" t="s">
        <v>2327</v>
      </c>
      <c r="AJ332" s="2" t="s">
        <v>2328</v>
      </c>
      <c r="AK332" s="46" t="s">
        <v>313</v>
      </c>
      <c r="AL332" s="55" t="s">
        <v>1759</v>
      </c>
      <c r="AM332" s="45" t="s">
        <v>1759</v>
      </c>
      <c r="AN332" s="56" t="s">
        <v>142</v>
      </c>
      <c r="AO332" s="23" t="s">
        <v>146</v>
      </c>
      <c r="AP332" s="11"/>
      <c r="AQ332" s="88" t="s">
        <v>2323</v>
      </c>
      <c r="AR332" s="57" t="s">
        <v>193</v>
      </c>
      <c r="AS332" s="46">
        <v>42985.480370370373</v>
      </c>
      <c r="AT332" s="3">
        <f t="shared" si="4"/>
        <v>306</v>
      </c>
    </row>
    <row r="333" spans="8:46" x14ac:dyDescent="0.4">
      <c r="H333" s="59">
        <v>43005.699629629627</v>
      </c>
      <c r="I333" s="43">
        <v>42975.394768518519</v>
      </c>
      <c r="J333" s="42">
        <v>42985.856192129628</v>
      </c>
      <c r="K333" s="81" t="s">
        <v>137</v>
      </c>
      <c r="L333" t="s">
        <v>1760</v>
      </c>
      <c r="M333" t="s">
        <v>1761</v>
      </c>
      <c r="N333" s="1" t="s">
        <v>1761</v>
      </c>
      <c r="O333" s="1" t="s">
        <v>1800</v>
      </c>
      <c r="P333" t="s">
        <v>1800</v>
      </c>
      <c r="Q333" s="9" t="s">
        <v>45</v>
      </c>
      <c r="R333" s="82" t="s">
        <v>45</v>
      </c>
      <c r="S333" s="44" t="s">
        <v>52</v>
      </c>
      <c r="T333" s="3" t="s">
        <v>202</v>
      </c>
      <c r="U333" s="2" t="s">
        <v>29</v>
      </c>
      <c r="V333" s="89" t="s">
        <v>29</v>
      </c>
      <c r="W333" s="11" t="s">
        <v>143</v>
      </c>
      <c r="X333" s="89" t="s">
        <v>143</v>
      </c>
      <c r="Y333" s="77" t="s">
        <v>334</v>
      </c>
      <c r="Z333" s="84" t="s">
        <v>2864</v>
      </c>
      <c r="AA333" s="89" t="s">
        <v>28</v>
      </c>
      <c r="AB333" s="90" t="str">
        <f>HYPERLINK(CONCATENATE("https://www.ejacket.nsf.gov/ej/showProposal.do?ID=",SUBSTITUTE(SplitQueryTable[[#This Row],[prop_id]],CHAR(160),"")),"eJ")</f>
        <v>eJ</v>
      </c>
      <c r="AC333" s="89" t="s">
        <v>2342</v>
      </c>
      <c r="AD333" s="3" t="s">
        <v>2864</v>
      </c>
      <c r="AE333" s="91">
        <v>2017</v>
      </c>
      <c r="AF333" s="13" t="s">
        <v>43</v>
      </c>
      <c r="AG333" s="13">
        <v>100000</v>
      </c>
      <c r="AH333" s="45">
        <v>100000</v>
      </c>
      <c r="AI333" s="44" t="s">
        <v>2344</v>
      </c>
      <c r="AJ333" s="2" t="s">
        <v>2345</v>
      </c>
      <c r="AK333" s="46" t="s">
        <v>1745</v>
      </c>
      <c r="AL333" s="55" t="s">
        <v>1759</v>
      </c>
      <c r="AM333" s="45" t="s">
        <v>1759</v>
      </c>
      <c r="AN333" s="56" t="s">
        <v>142</v>
      </c>
      <c r="AO333" s="23" t="s">
        <v>146</v>
      </c>
      <c r="AP333" s="11"/>
      <c r="AQ333" s="88" t="s">
        <v>2343</v>
      </c>
      <c r="AR333" s="57" t="s">
        <v>204</v>
      </c>
      <c r="AS333" s="46">
        <v>42989.318043981482</v>
      </c>
      <c r="AT333" s="3">
        <f t="shared" si="4"/>
        <v>307</v>
      </c>
    </row>
    <row r="334" spans="8:46" x14ac:dyDescent="0.4">
      <c r="H334" s="59">
        <v>43005.699629629627</v>
      </c>
      <c r="I334" s="43">
        <v>42975.385960648149</v>
      </c>
      <c r="J334" s="42">
        <v>42984.357858796298</v>
      </c>
      <c r="K334" s="81" t="s">
        <v>137</v>
      </c>
      <c r="L334" t="s">
        <v>1760</v>
      </c>
      <c r="M334" t="s">
        <v>1761</v>
      </c>
      <c r="N334" s="1" t="s">
        <v>1761</v>
      </c>
      <c r="O334" s="1" t="s">
        <v>1800</v>
      </c>
      <c r="P334" t="s">
        <v>1800</v>
      </c>
      <c r="Q334" s="9" t="s">
        <v>45</v>
      </c>
      <c r="R334" s="82" t="s">
        <v>45</v>
      </c>
      <c r="S334" s="44" t="s">
        <v>52</v>
      </c>
      <c r="T334" s="3" t="s">
        <v>202</v>
      </c>
      <c r="U334" s="2" t="s">
        <v>29</v>
      </c>
      <c r="V334" s="89" t="s">
        <v>29</v>
      </c>
      <c r="W334" s="11" t="s">
        <v>143</v>
      </c>
      <c r="X334" s="89" t="s">
        <v>143</v>
      </c>
      <c r="Y334" s="77" t="s">
        <v>334</v>
      </c>
      <c r="Z334" s="84" t="s">
        <v>2865</v>
      </c>
      <c r="AA334" s="89" t="s">
        <v>28</v>
      </c>
      <c r="AB334" s="90" t="str">
        <f>HYPERLINK(CONCATENATE("https://www.ejacket.nsf.gov/ej/showProposal.do?ID=",SUBSTITUTE(SplitQueryTable[[#This Row],[prop_id]],CHAR(160),"")),"eJ")</f>
        <v>eJ</v>
      </c>
      <c r="AC334" s="89" t="s">
        <v>2373</v>
      </c>
      <c r="AD334" s="3" t="s">
        <v>2865</v>
      </c>
      <c r="AE334" s="91">
        <v>2017</v>
      </c>
      <c r="AF334" s="13" t="s">
        <v>43</v>
      </c>
      <c r="AG334" s="13">
        <v>100000</v>
      </c>
      <c r="AH334" s="45">
        <v>100000</v>
      </c>
      <c r="AI334" s="44" t="s">
        <v>2375</v>
      </c>
      <c r="AJ334" s="2" t="s">
        <v>314</v>
      </c>
      <c r="AK334" s="46" t="s">
        <v>1837</v>
      </c>
      <c r="AL334" s="55" t="s">
        <v>1759</v>
      </c>
      <c r="AM334" s="45" t="s">
        <v>1759</v>
      </c>
      <c r="AN334" s="56" t="s">
        <v>142</v>
      </c>
      <c r="AO334" s="23" t="s">
        <v>146</v>
      </c>
      <c r="AP334" s="11"/>
      <c r="AQ334" s="88" t="s">
        <v>2374</v>
      </c>
      <c r="AR334" s="57" t="s">
        <v>193</v>
      </c>
      <c r="AS334" s="46">
        <v>42985.485474537039</v>
      </c>
      <c r="AT334" s="3">
        <f t="shared" si="4"/>
        <v>308</v>
      </c>
    </row>
    <row r="335" spans="8:46" x14ac:dyDescent="0.4">
      <c r="H335" s="59">
        <v>43005.699629629627</v>
      </c>
      <c r="I335" s="43">
        <v>42975.407488425924</v>
      </c>
      <c r="J335" s="42">
        <v>42990.453344907408</v>
      </c>
      <c r="K335" s="81" t="s">
        <v>137</v>
      </c>
      <c r="L335" t="s">
        <v>1760</v>
      </c>
      <c r="M335" t="s">
        <v>1761</v>
      </c>
      <c r="N335" s="1" t="s">
        <v>1761</v>
      </c>
      <c r="O335" s="1" t="s">
        <v>227</v>
      </c>
      <c r="P335" t="s">
        <v>227</v>
      </c>
      <c r="Q335" s="9" t="s">
        <v>45</v>
      </c>
      <c r="R335" s="82" t="s">
        <v>45</v>
      </c>
      <c r="S335" s="44" t="s">
        <v>52</v>
      </c>
      <c r="T335" s="3" t="s">
        <v>202</v>
      </c>
      <c r="U335" s="2" t="s">
        <v>29</v>
      </c>
      <c r="V335" s="89" t="s">
        <v>29</v>
      </c>
      <c r="W335" s="11" t="s">
        <v>143</v>
      </c>
      <c r="X335" s="89" t="s">
        <v>143</v>
      </c>
      <c r="Y335" s="77" t="s">
        <v>334</v>
      </c>
      <c r="Z335" s="84" t="s">
        <v>2866</v>
      </c>
      <c r="AA335" s="89" t="s">
        <v>28</v>
      </c>
      <c r="AB335" s="90" t="str">
        <f>HYPERLINK(CONCATENATE("https://www.ejacket.nsf.gov/ej/showProposal.do?ID=",SUBSTITUTE(SplitQueryTable[[#This Row],[prop_id]],CHAR(160),"")),"eJ")</f>
        <v>eJ</v>
      </c>
      <c r="AC335" s="89" t="s">
        <v>2384</v>
      </c>
      <c r="AD335" s="3" t="s">
        <v>2866</v>
      </c>
      <c r="AE335" s="91">
        <v>2017</v>
      </c>
      <c r="AF335" s="13" t="s">
        <v>43</v>
      </c>
      <c r="AG335" s="13">
        <v>99971</v>
      </c>
      <c r="AH335" s="45">
        <v>99971</v>
      </c>
      <c r="AI335" s="44" t="s">
        <v>2385</v>
      </c>
      <c r="AJ335" s="2" t="s">
        <v>2386</v>
      </c>
      <c r="AK335" s="46" t="s">
        <v>252</v>
      </c>
      <c r="AL335" s="55" t="s">
        <v>1759</v>
      </c>
      <c r="AM335" s="45" t="s">
        <v>1759</v>
      </c>
      <c r="AN335" s="56" t="s">
        <v>142</v>
      </c>
      <c r="AO335" s="23" t="s">
        <v>146</v>
      </c>
      <c r="AP335" s="11"/>
      <c r="AQ335" s="88" t="s">
        <v>2251</v>
      </c>
      <c r="AR335" s="57" t="s">
        <v>204</v>
      </c>
      <c r="AS335" s="46">
        <v>42991.576493055552</v>
      </c>
      <c r="AT335" s="3">
        <f t="shared" si="4"/>
        <v>309</v>
      </c>
    </row>
    <row r="336" spans="8:46" x14ac:dyDescent="0.4">
      <c r="H336" s="59">
        <v>43005.699629629627</v>
      </c>
      <c r="I336" s="43">
        <v>42975.390532407408</v>
      </c>
      <c r="J336" s="42">
        <v>42984.35833333333</v>
      </c>
      <c r="K336" s="81" t="s">
        <v>137</v>
      </c>
      <c r="L336" t="s">
        <v>1760</v>
      </c>
      <c r="M336" t="s">
        <v>1761</v>
      </c>
      <c r="N336" s="1" t="s">
        <v>1761</v>
      </c>
      <c r="O336" s="1" t="s">
        <v>1800</v>
      </c>
      <c r="P336" t="s">
        <v>1800</v>
      </c>
      <c r="Q336" s="9" t="s">
        <v>45</v>
      </c>
      <c r="R336" s="82" t="s">
        <v>45</v>
      </c>
      <c r="S336" s="44" t="s">
        <v>52</v>
      </c>
      <c r="T336" s="3" t="s">
        <v>202</v>
      </c>
      <c r="U336" s="2" t="s">
        <v>29</v>
      </c>
      <c r="V336" s="89" t="s">
        <v>29</v>
      </c>
      <c r="W336" s="11" t="s">
        <v>143</v>
      </c>
      <c r="X336" s="89" t="s">
        <v>143</v>
      </c>
      <c r="Y336" s="77" t="s">
        <v>334</v>
      </c>
      <c r="Z336" s="84" t="s">
        <v>2867</v>
      </c>
      <c r="AA336" s="89" t="s">
        <v>28</v>
      </c>
      <c r="AB336" s="90" t="str">
        <f>HYPERLINK(CONCATENATE("https://www.ejacket.nsf.gov/ej/showProposal.do?ID=",SUBSTITUTE(SplitQueryTable[[#This Row],[prop_id]],CHAR(160),"")),"eJ")</f>
        <v>eJ</v>
      </c>
      <c r="AC336" s="89" t="s">
        <v>2416</v>
      </c>
      <c r="AD336" s="3" t="s">
        <v>2867</v>
      </c>
      <c r="AE336" s="91">
        <v>2017</v>
      </c>
      <c r="AF336" s="13" t="s">
        <v>43</v>
      </c>
      <c r="AG336" s="13">
        <v>99999</v>
      </c>
      <c r="AH336" s="45">
        <v>99999</v>
      </c>
      <c r="AI336" s="44" t="s">
        <v>2418</v>
      </c>
      <c r="AJ336" s="2" t="s">
        <v>323</v>
      </c>
      <c r="AK336" s="46" t="s">
        <v>1712</v>
      </c>
      <c r="AL336" s="55" t="s">
        <v>1759</v>
      </c>
      <c r="AM336" s="45" t="s">
        <v>1759</v>
      </c>
      <c r="AN336" s="56" t="s">
        <v>142</v>
      </c>
      <c r="AO336" s="23" t="s">
        <v>146</v>
      </c>
      <c r="AP336" s="11"/>
      <c r="AQ336" s="88" t="s">
        <v>2417</v>
      </c>
      <c r="AR336" s="57" t="s">
        <v>193</v>
      </c>
      <c r="AS336" s="46">
        <v>42985.487395833334</v>
      </c>
      <c r="AT336" s="3">
        <f t="shared" si="4"/>
        <v>310</v>
      </c>
    </row>
    <row r="337" spans="8:46" x14ac:dyDescent="0.4">
      <c r="H337" s="59">
        <v>43005.699629629627</v>
      </c>
      <c r="I337" s="43">
        <v>42989.543587962966</v>
      </c>
      <c r="J337" s="42">
        <v>42993.333136574074</v>
      </c>
      <c r="K337" s="81" t="s">
        <v>137</v>
      </c>
      <c r="L337" t="s">
        <v>1760</v>
      </c>
      <c r="M337" t="s">
        <v>1761</v>
      </c>
      <c r="N337" s="1" t="s">
        <v>1761</v>
      </c>
      <c r="O337" s="1" t="s">
        <v>1800</v>
      </c>
      <c r="P337" t="s">
        <v>1800</v>
      </c>
      <c r="Q337" s="9" t="s">
        <v>45</v>
      </c>
      <c r="R337" s="82" t="s">
        <v>45</v>
      </c>
      <c r="S337" s="44" t="s">
        <v>52</v>
      </c>
      <c r="T337" s="3" t="s">
        <v>202</v>
      </c>
      <c r="U337" s="2" t="s">
        <v>29</v>
      </c>
      <c r="V337" s="89" t="s">
        <v>29</v>
      </c>
      <c r="W337" s="11" t="s">
        <v>143</v>
      </c>
      <c r="X337" s="89" t="s">
        <v>143</v>
      </c>
      <c r="Y337" s="77" t="s">
        <v>334</v>
      </c>
      <c r="Z337" s="84" t="s">
        <v>2868</v>
      </c>
      <c r="AA337" s="89" t="s">
        <v>28</v>
      </c>
      <c r="AB337" s="90" t="str">
        <f>HYPERLINK(CONCATENATE("https://www.ejacket.nsf.gov/ej/showProposal.do?ID=",SUBSTITUTE(SplitQueryTable[[#This Row],[prop_id]],CHAR(160),"")),"eJ")</f>
        <v>eJ</v>
      </c>
      <c r="AC337" s="89" t="s">
        <v>2565</v>
      </c>
      <c r="AD337" s="3" t="s">
        <v>2868</v>
      </c>
      <c r="AE337" s="91">
        <v>2017</v>
      </c>
      <c r="AF337" s="13" t="s">
        <v>43</v>
      </c>
      <c r="AG337" s="13">
        <v>87200</v>
      </c>
      <c r="AH337" s="45">
        <v>87200</v>
      </c>
      <c r="AI337" s="44" t="s">
        <v>2869</v>
      </c>
      <c r="AJ337" s="2" t="s">
        <v>823</v>
      </c>
      <c r="AK337" s="46" t="s">
        <v>2870</v>
      </c>
      <c r="AL337" s="55" t="s">
        <v>2117</v>
      </c>
      <c r="AM337" s="45" t="s">
        <v>2117</v>
      </c>
      <c r="AN337" s="56" t="s">
        <v>142</v>
      </c>
      <c r="AO337" s="23" t="s">
        <v>146</v>
      </c>
      <c r="AP337" s="11" t="s">
        <v>382</v>
      </c>
      <c r="AQ337" s="88" t="s">
        <v>2566</v>
      </c>
      <c r="AR337" s="57" t="s">
        <v>362</v>
      </c>
      <c r="AS337" s="46">
        <v>42996.531875000001</v>
      </c>
      <c r="AT337" s="3">
        <f t="shared" si="4"/>
        <v>311</v>
      </c>
    </row>
    <row r="338" spans="8:46" x14ac:dyDescent="0.4">
      <c r="H338" s="59">
        <v>43005.699629629627</v>
      </c>
      <c r="I338" s="43">
        <v>42754.84652777778</v>
      </c>
      <c r="J338" s="42">
        <v>42797.355682870373</v>
      </c>
      <c r="K338" s="81" t="s">
        <v>1768</v>
      </c>
      <c r="L338" t="s">
        <v>1768</v>
      </c>
      <c r="M338" t="s">
        <v>1761</v>
      </c>
      <c r="N338" s="1" t="s">
        <v>1761</v>
      </c>
      <c r="O338" s="1" t="s">
        <v>1781</v>
      </c>
      <c r="P338" t="s">
        <v>1781</v>
      </c>
      <c r="Q338" s="9" t="s">
        <v>45</v>
      </c>
      <c r="R338" s="82" t="s">
        <v>45</v>
      </c>
      <c r="S338" s="44" t="s">
        <v>60</v>
      </c>
      <c r="T338" s="3" t="s">
        <v>61</v>
      </c>
      <c r="U338" s="2" t="s">
        <v>29</v>
      </c>
      <c r="V338" s="89" t="s">
        <v>29</v>
      </c>
      <c r="W338" s="11" t="s">
        <v>181</v>
      </c>
      <c r="X338" s="89" t="s">
        <v>181</v>
      </c>
      <c r="Y338" s="77" t="s">
        <v>1772</v>
      </c>
      <c r="Z338" s="84" t="s">
        <v>2871</v>
      </c>
      <c r="AA338" s="89" t="s">
        <v>28</v>
      </c>
      <c r="AB338" s="90" t="str">
        <f>HYPERLINK(CONCATENATE("https://www.ejacket.nsf.gov/ej/showProposal.do?ID=",SUBSTITUTE(SplitQueryTable[[#This Row],[prop_id]],CHAR(160),"")),"eJ")</f>
        <v>eJ</v>
      </c>
      <c r="AC338" s="89" t="s">
        <v>2871</v>
      </c>
      <c r="AD338" s="3" t="s">
        <v>2871</v>
      </c>
      <c r="AE338" s="91">
        <v>2017</v>
      </c>
      <c r="AF338" s="13" t="s">
        <v>43</v>
      </c>
      <c r="AG338" s="13">
        <v>629307</v>
      </c>
      <c r="AH338" s="45">
        <v>9162441</v>
      </c>
      <c r="AI338" s="44" t="s">
        <v>2873</v>
      </c>
      <c r="AJ338" s="2" t="s">
        <v>302</v>
      </c>
      <c r="AK338" s="46" t="s">
        <v>2874</v>
      </c>
      <c r="AL338" s="55"/>
      <c r="AM338" s="45"/>
      <c r="AN338" s="56" t="s">
        <v>180</v>
      </c>
      <c r="AO338" s="23" t="s">
        <v>146</v>
      </c>
      <c r="AP338" s="11"/>
      <c r="AQ338" s="88" t="s">
        <v>2872</v>
      </c>
      <c r="AR338" s="57" t="s">
        <v>203</v>
      </c>
      <c r="AS338" s="46">
        <v>42797.651944444442</v>
      </c>
      <c r="AT338" s="3">
        <f t="shared" si="4"/>
        <v>312</v>
      </c>
    </row>
    <row r="339" spans="8:46" x14ac:dyDescent="0.4">
      <c r="H339" s="59">
        <v>43005.699629629627</v>
      </c>
      <c r="I339" s="43">
        <v>42754.84652777778</v>
      </c>
      <c r="J339" s="42">
        <v>42797.355682870373</v>
      </c>
      <c r="K339" s="81" t="s">
        <v>1768</v>
      </c>
      <c r="L339" t="s">
        <v>1760</v>
      </c>
      <c r="M339" t="s">
        <v>1761</v>
      </c>
      <c r="N339" s="1" t="s">
        <v>1761</v>
      </c>
      <c r="O339" s="1" t="s">
        <v>1781</v>
      </c>
      <c r="P339" t="s">
        <v>227</v>
      </c>
      <c r="Q339" s="9" t="s">
        <v>45</v>
      </c>
      <c r="R339" s="82" t="s">
        <v>45</v>
      </c>
      <c r="S339" s="44" t="s">
        <v>60</v>
      </c>
      <c r="T339" s="3" t="s">
        <v>61</v>
      </c>
      <c r="U339" s="2" t="s">
        <v>29</v>
      </c>
      <c r="V339" s="89" t="s">
        <v>29</v>
      </c>
      <c r="W339" s="11" t="s">
        <v>181</v>
      </c>
      <c r="X339" s="89" t="s">
        <v>181</v>
      </c>
      <c r="Y339" s="77" t="s">
        <v>1772</v>
      </c>
      <c r="Z339" s="84" t="s">
        <v>2871</v>
      </c>
      <c r="AA339" s="89" t="s">
        <v>28</v>
      </c>
      <c r="AB339" s="90" t="str">
        <f>HYPERLINK(CONCATENATE("https://www.ejacket.nsf.gov/ej/showProposal.do?ID=",SUBSTITUTE(SplitQueryTable[[#This Row],[prop_id]],CHAR(160),"")),"eJ")</f>
        <v>eJ</v>
      </c>
      <c r="AC339" s="89" t="s">
        <v>2871</v>
      </c>
      <c r="AD339" s="3" t="s">
        <v>2871</v>
      </c>
      <c r="AE339" s="91">
        <v>2017</v>
      </c>
      <c r="AF339" s="13" t="s">
        <v>44</v>
      </c>
      <c r="AG339" s="13">
        <v>309957</v>
      </c>
      <c r="AH339" s="45">
        <v>9162441</v>
      </c>
      <c r="AI339" s="44" t="s">
        <v>2873</v>
      </c>
      <c r="AJ339" s="2" t="s">
        <v>302</v>
      </c>
      <c r="AK339" s="46" t="s">
        <v>2874</v>
      </c>
      <c r="AL339" s="55"/>
      <c r="AM339" s="45"/>
      <c r="AN339" s="56" t="s">
        <v>180</v>
      </c>
      <c r="AO339" s="23" t="s">
        <v>146</v>
      </c>
      <c r="AP339" s="11"/>
      <c r="AQ339" s="88" t="s">
        <v>2872</v>
      </c>
      <c r="AR339" s="57" t="s">
        <v>203</v>
      </c>
      <c r="AS339" s="46">
        <v>42797.651944444442</v>
      </c>
      <c r="AT339" s="3">
        <f t="shared" si="4"/>
        <v>312</v>
      </c>
    </row>
    <row r="340" spans="8:46" x14ac:dyDescent="0.4">
      <c r="H340" s="59">
        <v>43005.699629629627</v>
      </c>
      <c r="I340" s="43">
        <v>42998.384594907409</v>
      </c>
      <c r="J340" s="42">
        <v>42998.504120370373</v>
      </c>
      <c r="K340" s="81" t="s">
        <v>1768</v>
      </c>
      <c r="L340" t="s">
        <v>1768</v>
      </c>
      <c r="M340" t="s">
        <v>1761</v>
      </c>
      <c r="N340" s="1" t="s">
        <v>1761</v>
      </c>
      <c r="O340" s="1" t="s">
        <v>1781</v>
      </c>
      <c r="P340" t="s">
        <v>1781</v>
      </c>
      <c r="Q340" s="9" t="s">
        <v>45</v>
      </c>
      <c r="R340" s="82" t="s">
        <v>45</v>
      </c>
      <c r="S340" s="44" t="s">
        <v>52</v>
      </c>
      <c r="T340" s="3" t="s">
        <v>2875</v>
      </c>
      <c r="U340" s="2" t="s">
        <v>29</v>
      </c>
      <c r="V340" s="89" t="s">
        <v>29</v>
      </c>
      <c r="W340" s="11" t="s">
        <v>181</v>
      </c>
      <c r="X340" s="89" t="s">
        <v>181</v>
      </c>
      <c r="Y340" s="77" t="s">
        <v>1772</v>
      </c>
      <c r="Z340" s="84" t="s">
        <v>2876</v>
      </c>
      <c r="AA340" s="89" t="s">
        <v>28</v>
      </c>
      <c r="AB340" s="90" t="str">
        <f>HYPERLINK(CONCATENATE("https://www.ejacket.nsf.gov/ej/showProposal.do?ID=",SUBSTITUTE(SplitQueryTable[[#This Row],[prop_id]],CHAR(160),"")),"eJ")</f>
        <v>eJ</v>
      </c>
      <c r="AC340" s="89" t="s">
        <v>2871</v>
      </c>
      <c r="AD340" s="3" t="s">
        <v>2876</v>
      </c>
      <c r="AE340" s="91">
        <v>2017</v>
      </c>
      <c r="AF340" s="13" t="s">
        <v>43</v>
      </c>
      <c r="AG340" s="13">
        <v>225680</v>
      </c>
      <c r="AH340" s="45">
        <v>225680</v>
      </c>
      <c r="AI340" s="44" t="s">
        <v>2873</v>
      </c>
      <c r="AJ340" s="2" t="s">
        <v>302</v>
      </c>
      <c r="AK340" s="46" t="s">
        <v>2874</v>
      </c>
      <c r="AL340" s="55"/>
      <c r="AM340" s="45"/>
      <c r="AN340" s="56" t="s">
        <v>180</v>
      </c>
      <c r="AO340" s="23" t="s">
        <v>146</v>
      </c>
      <c r="AP340" s="11"/>
      <c r="AQ340" s="88" t="s">
        <v>2872</v>
      </c>
      <c r="AR340" s="57" t="s">
        <v>200</v>
      </c>
      <c r="AS340" s="46">
        <v>42999.414583333331</v>
      </c>
      <c r="AT340" s="3">
        <f t="shared" si="4"/>
        <v>313</v>
      </c>
    </row>
    <row r="341" spans="8:46" x14ac:dyDescent="0.4">
      <c r="H341" s="59">
        <v>43005.699629629627</v>
      </c>
      <c r="I341" s="43">
        <v>42909</v>
      </c>
      <c r="J341" s="42">
        <v>42940.685567129629</v>
      </c>
      <c r="K341" s="81" t="s">
        <v>1768</v>
      </c>
      <c r="L341" t="s">
        <v>1768</v>
      </c>
      <c r="M341" t="s">
        <v>1893</v>
      </c>
      <c r="N341" s="1" t="s">
        <v>1761</v>
      </c>
      <c r="O341" s="1" t="s">
        <v>1781</v>
      </c>
      <c r="P341" t="s">
        <v>1781</v>
      </c>
      <c r="Q341" s="9" t="s">
        <v>45</v>
      </c>
      <c r="R341" s="82" t="s">
        <v>45</v>
      </c>
      <c r="S341" s="44" t="s">
        <v>52</v>
      </c>
      <c r="T341" s="3" t="s">
        <v>136</v>
      </c>
      <c r="U341" s="2" t="s">
        <v>29</v>
      </c>
      <c r="V341" s="89" t="s">
        <v>29</v>
      </c>
      <c r="W341" s="11" t="s">
        <v>181</v>
      </c>
      <c r="X341" s="89" t="s">
        <v>181</v>
      </c>
      <c r="Y341" s="77" t="s">
        <v>1772</v>
      </c>
      <c r="Z341" s="84" t="s">
        <v>2877</v>
      </c>
      <c r="AA341" s="89" t="s">
        <v>28</v>
      </c>
      <c r="AB341" s="90" t="str">
        <f>HYPERLINK(CONCATENATE("https://www.ejacket.nsf.gov/ej/showProposal.do?ID=",SUBSTITUTE(SplitQueryTable[[#This Row],[prop_id]],CHAR(160),"")),"eJ")</f>
        <v>eJ</v>
      </c>
      <c r="AC341" s="89" t="s">
        <v>2878</v>
      </c>
      <c r="AD341" s="3" t="s">
        <v>2877</v>
      </c>
      <c r="AE341" s="91">
        <v>2017</v>
      </c>
      <c r="AF341" s="13" t="s">
        <v>43</v>
      </c>
      <c r="AG341" s="13">
        <v>40083</v>
      </c>
      <c r="AH341" s="45">
        <v>40083</v>
      </c>
      <c r="AI341" s="44" t="s">
        <v>2882</v>
      </c>
      <c r="AJ341" s="2" t="s">
        <v>2883</v>
      </c>
      <c r="AK341" s="46" t="s">
        <v>1719</v>
      </c>
      <c r="AL341" s="55" t="s">
        <v>2880</v>
      </c>
      <c r="AM341" s="45" t="s">
        <v>2881</v>
      </c>
      <c r="AN341" s="56" t="s">
        <v>180</v>
      </c>
      <c r="AO341" s="23" t="s">
        <v>146</v>
      </c>
      <c r="AP341" s="11"/>
      <c r="AQ341" s="88" t="s">
        <v>2879</v>
      </c>
      <c r="AR341" s="57" t="s">
        <v>200</v>
      </c>
      <c r="AS341" s="46">
        <v>42998.400104166663</v>
      </c>
      <c r="AT341" s="3">
        <f t="shared" si="4"/>
        <v>314</v>
      </c>
    </row>
    <row r="342" spans="8:46" x14ac:dyDescent="0.4">
      <c r="H342" s="59">
        <v>43005.699629629627</v>
      </c>
      <c r="I342" s="43">
        <v>42727.63958333333</v>
      </c>
      <c r="J342" s="42">
        <v>1</v>
      </c>
      <c r="K342" s="81" t="s">
        <v>1768</v>
      </c>
      <c r="L342" t="s">
        <v>1768</v>
      </c>
      <c r="M342" t="s">
        <v>1761</v>
      </c>
      <c r="N342" s="1" t="s">
        <v>1761</v>
      </c>
      <c r="O342" s="1" t="s">
        <v>1770</v>
      </c>
      <c r="P342" t="s">
        <v>1770</v>
      </c>
      <c r="Q342" s="9" t="s">
        <v>45</v>
      </c>
      <c r="R342" s="82" t="s">
        <v>45</v>
      </c>
      <c r="S342" s="44" t="s">
        <v>1782</v>
      </c>
      <c r="T342" s="3" t="s">
        <v>61</v>
      </c>
      <c r="U342" s="2" t="s">
        <v>2884</v>
      </c>
      <c r="V342" s="89"/>
      <c r="W342" s="11" t="s">
        <v>2891</v>
      </c>
      <c r="X342" s="89" t="s">
        <v>2891</v>
      </c>
      <c r="Y342" s="77" t="s">
        <v>1772</v>
      </c>
      <c r="Z342" s="84" t="s">
        <v>2885</v>
      </c>
      <c r="AA342" s="89" t="s">
        <v>28</v>
      </c>
      <c r="AB342" s="90" t="str">
        <f>HYPERLINK(CONCATENATE("https://www.ejacket.nsf.gov/ej/showProposal.do?ID=",SUBSTITUTE(SplitQueryTable[[#This Row],[prop_id]],CHAR(160),"")),"eJ")</f>
        <v>eJ</v>
      </c>
      <c r="AC342" s="89" t="s">
        <v>52</v>
      </c>
      <c r="AD342" s="3" t="s">
        <v>2885</v>
      </c>
      <c r="AE342" s="91">
        <v>2017</v>
      </c>
      <c r="AF342" s="13" t="s">
        <v>43</v>
      </c>
      <c r="AG342" s="13">
        <v>0</v>
      </c>
      <c r="AH342" s="45">
        <v>14999</v>
      </c>
      <c r="AI342" s="44" t="s">
        <v>2887</v>
      </c>
      <c r="AJ342" s="2" t="s">
        <v>2888</v>
      </c>
      <c r="AK342" s="46" t="s">
        <v>1706</v>
      </c>
      <c r="AL342" s="55" t="s">
        <v>1793</v>
      </c>
      <c r="AM342" s="45" t="s">
        <v>1759</v>
      </c>
      <c r="AN342" s="56" t="s">
        <v>2890</v>
      </c>
      <c r="AO342" s="23"/>
      <c r="AP342" s="11"/>
      <c r="AQ342" s="88" t="s">
        <v>2886</v>
      </c>
      <c r="AR342" s="57" t="s">
        <v>2889</v>
      </c>
      <c r="AS342" s="46">
        <v>42769.554247685184</v>
      </c>
      <c r="AT342" s="3">
        <f t="shared" si="4"/>
        <v>315</v>
      </c>
    </row>
    <row r="343" spans="8:46" x14ac:dyDescent="0.4">
      <c r="H343" s="59">
        <v>43005.699629629627</v>
      </c>
      <c r="I343" s="43">
        <v>42724.393055555556</v>
      </c>
      <c r="J343" s="42">
        <v>1</v>
      </c>
      <c r="K343" s="81" t="s">
        <v>1768</v>
      </c>
      <c r="L343" t="s">
        <v>1768</v>
      </c>
      <c r="M343" t="s">
        <v>1761</v>
      </c>
      <c r="N343" s="1" t="s">
        <v>1761</v>
      </c>
      <c r="O343" s="1" t="s">
        <v>1770</v>
      </c>
      <c r="P343" t="s">
        <v>1770</v>
      </c>
      <c r="Q343" s="9" t="s">
        <v>45</v>
      </c>
      <c r="R343" s="82" t="s">
        <v>45</v>
      </c>
      <c r="S343" s="44" t="s">
        <v>1782</v>
      </c>
      <c r="T343" s="3" t="s">
        <v>61</v>
      </c>
      <c r="U343" s="2" t="s">
        <v>2884</v>
      </c>
      <c r="V343" s="89"/>
      <c r="W343" s="11" t="s">
        <v>2891</v>
      </c>
      <c r="X343" s="89" t="s">
        <v>2891</v>
      </c>
      <c r="Y343" s="77" t="s">
        <v>1772</v>
      </c>
      <c r="Z343" s="84" t="s">
        <v>2892</v>
      </c>
      <c r="AA343" s="89" t="s">
        <v>28</v>
      </c>
      <c r="AB343" s="90" t="str">
        <f>HYPERLINK(CONCATENATE("https://www.ejacket.nsf.gov/ej/showProposal.do?ID=",SUBSTITUTE(SplitQueryTable[[#This Row],[prop_id]],CHAR(160),"")),"eJ")</f>
        <v>eJ</v>
      </c>
      <c r="AC343" s="89" t="s">
        <v>52</v>
      </c>
      <c r="AD343" s="3" t="s">
        <v>2892</v>
      </c>
      <c r="AE343" s="91">
        <v>2017</v>
      </c>
      <c r="AF343" s="13" t="s">
        <v>43</v>
      </c>
      <c r="AG343" s="13">
        <v>0</v>
      </c>
      <c r="AH343" s="45">
        <v>15000</v>
      </c>
      <c r="AI343" s="44" t="s">
        <v>2895</v>
      </c>
      <c r="AJ343" s="2" t="s">
        <v>247</v>
      </c>
      <c r="AK343" s="46" t="s">
        <v>2896</v>
      </c>
      <c r="AL343" s="55" t="s">
        <v>2894</v>
      </c>
      <c r="AM343" s="45" t="s">
        <v>1759</v>
      </c>
      <c r="AN343" s="56" t="s">
        <v>2890</v>
      </c>
      <c r="AO343" s="23"/>
      <c r="AP343" s="11"/>
      <c r="AQ343" s="88" t="s">
        <v>2893</v>
      </c>
      <c r="AR343" s="57" t="s">
        <v>2889</v>
      </c>
      <c r="AS343" s="46">
        <v>42769.555972222224</v>
      </c>
      <c r="AT343" s="3">
        <f t="shared" si="4"/>
        <v>316</v>
      </c>
    </row>
    <row r="344" spans="8:46" x14ac:dyDescent="0.4">
      <c r="H344" t="s">
        <v>58</v>
      </c>
      <c r="J344"/>
      <c r="K344"/>
      <c r="L344"/>
      <c r="P344"/>
      <c r="R344"/>
      <c r="S344"/>
      <c r="T344"/>
      <c r="U344"/>
      <c r="Y344"/>
      <c r="AB344"/>
      <c r="AG344" s="2">
        <f>SUBTOTAL(109,SplitQueryTable[budg_splt_tot_dol])</f>
        <v>20815216</v>
      </c>
      <c r="AQ344"/>
      <c r="AT344">
        <f>SUBTOTAL(109,SplitQueryTable[0])</f>
        <v>50698</v>
      </c>
    </row>
  </sheetData>
  <mergeCells count="12">
    <mergeCell ref="S24:Y24"/>
    <mergeCell ref="A25:B25"/>
    <mergeCell ref="C25:E25"/>
    <mergeCell ref="A2:R3"/>
    <mergeCell ref="A24:E24"/>
    <mergeCell ref="I24:J24"/>
    <mergeCell ref="K24:R24"/>
    <mergeCell ref="AR24:AS24"/>
    <mergeCell ref="Z24:AH24"/>
    <mergeCell ref="AI24:AK24"/>
    <mergeCell ref="AL24:AM24"/>
    <mergeCell ref="AN24:AQ24"/>
  </mergeCells>
  <conditionalFormatting sqref="P26:P343">
    <cfRule type="expression" dxfId="38" priority="5">
      <formula>$O26&lt;&gt;$P26</formula>
    </cfRule>
  </conditionalFormatting>
  <conditionalFormatting sqref="N26:N343">
    <cfRule type="expression" dxfId="37" priority="6">
      <formula>$M26&lt;&gt;$N26</formula>
    </cfRule>
  </conditionalFormatting>
  <conditionalFormatting sqref="R26:R343">
    <cfRule type="expression" dxfId="36" priority="7">
      <formula>$Q26&lt;&gt;$R26</formula>
    </cfRule>
  </conditionalFormatting>
  <conditionalFormatting sqref="L26:L343">
    <cfRule type="expression" dxfId="35" priority="8">
      <formula>$K26&lt;&gt;$L26</formula>
    </cfRule>
  </conditionalFormatting>
  <conditionalFormatting sqref="H26:AT343">
    <cfRule type="expression" dxfId="34" priority="303">
      <formula>AND(LEN($T26)&gt;0,MOD($AT26,2)=0)</formula>
    </cfRule>
  </conditionalFormatting>
  <conditionalFormatting sqref="V26:V343">
    <cfRule type="expression" dxfId="33" priority="1">
      <formula>$U26&lt;&gt;$V26</formula>
    </cfRule>
  </conditionalFormatting>
  <conditionalFormatting sqref="D47 A48">
    <cfRule type="expression" dxfId="32" priority="584">
      <formula>AND(LEN($T421)&gt;0,MOD($BU280,2)=0)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Tracker"/>
  <dimension ref="A1:CJ645"/>
  <sheetViews>
    <sheetView zoomScaleNormal="100" workbookViewId="0">
      <selection activeCell="A24" sqref="A24:E24"/>
    </sheetView>
  </sheetViews>
  <sheetFormatPr defaultRowHeight="14.6" x14ac:dyDescent="0.4"/>
  <cols>
    <col min="1" max="1" width="20.3828125" customWidth="1"/>
    <col min="2" max="2" width="20.69140625" customWidth="1"/>
    <col min="3" max="3" width="18.3046875" customWidth="1"/>
    <col min="4" max="4" width="14.15234375" customWidth="1"/>
    <col min="5" max="5" width="14.69140625" customWidth="1"/>
    <col min="6" max="6" width="24.15234375" customWidth="1"/>
    <col min="7" max="7" width="16.3046875" style="11" customWidth="1"/>
    <col min="8" max="8" width="15.53515625" customWidth="1"/>
    <col min="9" max="9" width="12.69140625" customWidth="1"/>
    <col min="10" max="10" width="13.84375" style="1" customWidth="1"/>
    <col min="11" max="12" width="13.84375" style="10" customWidth="1"/>
    <col min="13" max="13" width="13.84375" customWidth="1"/>
    <col min="14" max="15" width="12.69140625" customWidth="1"/>
    <col min="16" max="16" width="12.69140625" style="2" customWidth="1"/>
    <col min="17" max="17" width="11.15234375" customWidth="1"/>
    <col min="18" max="18" width="14.84375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customWidth="1"/>
    <col min="29" max="29" width="10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7" max="37" width="21.6914062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customWidth="1"/>
    <col min="44" max="44" width="12.84375" customWidth="1"/>
    <col min="45" max="45" width="16.15234375" customWidth="1"/>
    <col min="46" max="46" width="0" hidden="1" customWidth="1"/>
    <col min="47" max="48" width="16.69140625" customWidth="1"/>
    <col min="49" max="49" width="0" hidden="1" customWidth="1"/>
    <col min="50" max="50" width="17.3046875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30" t="str">
        <f>CONCATENATE(A24," (", pgm_annc_id, ",",b.pgm_ele_code,") Splits Tracking (",budg_yr,")")</f>
        <v xml:space="preserve"> RECENT ACTIVITY (eg: NSF 17-537,eg:7796::7798) Splits Tracking (eg: 2018)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67</v>
      </c>
      <c r="G5" s="25" t="s">
        <v>1756</v>
      </c>
      <c r="J5"/>
      <c r="K5"/>
      <c r="L5"/>
      <c r="P5"/>
      <c r="R5"/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5" t="s">
        <v>68</v>
      </c>
      <c r="G6">
        <v>2011</v>
      </c>
      <c r="H6">
        <v>2012</v>
      </c>
      <c r="I6">
        <v>2013</v>
      </c>
      <c r="J6">
        <v>2014</v>
      </c>
      <c r="K6">
        <v>2015</v>
      </c>
      <c r="L6">
        <v>2016</v>
      </c>
      <c r="M6">
        <v>2017</v>
      </c>
      <c r="N6">
        <v>2018</v>
      </c>
      <c r="O6">
        <v>2019</v>
      </c>
      <c r="P6">
        <v>2020</v>
      </c>
      <c r="Q6">
        <v>2021</v>
      </c>
      <c r="R6" t="s">
        <v>66</v>
      </c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26" t="s">
        <v>29</v>
      </c>
      <c r="G7" s="2"/>
      <c r="H7" s="2"/>
      <c r="I7" s="2"/>
      <c r="J7" s="2"/>
      <c r="K7" s="2"/>
      <c r="L7" s="2"/>
      <c r="M7" s="2"/>
      <c r="N7" s="2"/>
      <c r="O7" s="2"/>
      <c r="Q7" s="2"/>
      <c r="R7" s="2"/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61</v>
      </c>
      <c r="G8" s="2"/>
      <c r="H8" s="2"/>
      <c r="I8" s="2"/>
      <c r="J8" s="2">
        <v>23305252</v>
      </c>
      <c r="K8" s="2">
        <v>22960698</v>
      </c>
      <c r="L8" s="2">
        <v>25322290</v>
      </c>
      <c r="M8" s="2">
        <v>24480355</v>
      </c>
      <c r="N8" s="2">
        <v>6383776</v>
      </c>
      <c r="O8" s="2">
        <v>3942245</v>
      </c>
      <c r="P8" s="2">
        <v>2886955</v>
      </c>
      <c r="Q8" s="2">
        <v>742569</v>
      </c>
      <c r="R8" s="2">
        <v>110024140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71</v>
      </c>
      <c r="G9" s="2">
        <v>808504</v>
      </c>
      <c r="H9" s="2">
        <v>1540844</v>
      </c>
      <c r="I9" s="2">
        <v>618127</v>
      </c>
      <c r="J9" s="2">
        <v>589050</v>
      </c>
      <c r="K9" s="2">
        <v>2025126</v>
      </c>
      <c r="L9" s="2">
        <v>591431</v>
      </c>
      <c r="M9" s="2">
        <v>484470</v>
      </c>
      <c r="N9" s="2">
        <v>362999</v>
      </c>
      <c r="O9" s="2">
        <v>193907</v>
      </c>
      <c r="Q9" s="2"/>
      <c r="R9" s="2">
        <v>7214458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39" t="s">
        <v>202</v>
      </c>
      <c r="G10" s="2"/>
      <c r="H10" s="2"/>
      <c r="I10" s="2">
        <v>408167</v>
      </c>
      <c r="J10" s="2"/>
      <c r="K10" s="2">
        <v>659930</v>
      </c>
      <c r="L10" s="2">
        <v>240492</v>
      </c>
      <c r="M10" s="2"/>
      <c r="N10" s="2"/>
      <c r="O10" s="2"/>
      <c r="Q10" s="2"/>
      <c r="R10" s="2">
        <v>1308589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39" t="s">
        <v>136</v>
      </c>
      <c r="G11" s="2"/>
      <c r="H11" s="2"/>
      <c r="I11" s="2"/>
      <c r="J11" s="2">
        <v>292054</v>
      </c>
      <c r="K11" s="2">
        <v>191175</v>
      </c>
      <c r="L11" s="2">
        <v>272776</v>
      </c>
      <c r="M11" s="2">
        <v>307680</v>
      </c>
      <c r="N11" s="2"/>
      <c r="O11" s="2"/>
      <c r="Q11" s="2"/>
      <c r="R11" s="2">
        <v>1063685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F12" s="39" t="s">
        <v>1481</v>
      </c>
      <c r="G12" s="2"/>
      <c r="H12" s="2"/>
      <c r="I12" s="2"/>
      <c r="J12" s="2">
        <v>417034</v>
      </c>
      <c r="K12" s="2"/>
      <c r="L12" s="2"/>
      <c r="M12" s="2"/>
      <c r="N12" s="2"/>
      <c r="O12" s="2"/>
      <c r="Q12" s="2"/>
      <c r="R12" s="2">
        <v>417034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F13" s="26" t="s">
        <v>73</v>
      </c>
      <c r="G13" s="2">
        <v>808504</v>
      </c>
      <c r="H13" s="2">
        <v>1540844</v>
      </c>
      <c r="I13" s="2">
        <v>1026294</v>
      </c>
      <c r="J13" s="2">
        <v>24603390</v>
      </c>
      <c r="K13" s="2">
        <v>25836929</v>
      </c>
      <c r="L13" s="2">
        <v>26426989</v>
      </c>
      <c r="M13" s="2">
        <v>25272505</v>
      </c>
      <c r="N13" s="2">
        <v>6746775</v>
      </c>
      <c r="O13" s="2">
        <v>4136152</v>
      </c>
      <c r="P13" s="2">
        <v>2886955</v>
      </c>
      <c r="Q13" s="2">
        <v>742569</v>
      </c>
      <c r="R13" s="2">
        <v>120027906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F14" s="26" t="s">
        <v>154</v>
      </c>
      <c r="G14" s="2"/>
      <c r="H14" s="2"/>
      <c r="I14" s="2"/>
      <c r="J14" s="2"/>
      <c r="K14" s="2"/>
      <c r="L14" s="2"/>
      <c r="M14" s="2"/>
      <c r="N14" s="2"/>
      <c r="O14" s="2"/>
      <c r="Q14" s="2"/>
      <c r="R14" s="2"/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F15" s="39" t="s">
        <v>136</v>
      </c>
      <c r="G15" s="2"/>
      <c r="H15" s="2"/>
      <c r="I15" s="2"/>
      <c r="J15" s="2"/>
      <c r="K15" s="2"/>
      <c r="L15" s="2"/>
      <c r="M15" s="2">
        <v>16000</v>
      </c>
      <c r="N15" s="2"/>
      <c r="O15" s="2"/>
      <c r="Q15" s="2"/>
      <c r="R15" s="2">
        <v>16000</v>
      </c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F16" s="26" t="s">
        <v>159</v>
      </c>
      <c r="G16" s="2"/>
      <c r="H16" s="2"/>
      <c r="I16" s="2"/>
      <c r="J16" s="2"/>
      <c r="K16" s="2"/>
      <c r="L16" s="2"/>
      <c r="M16" s="2">
        <v>16000</v>
      </c>
      <c r="N16" s="2"/>
      <c r="O16" s="2"/>
      <c r="Q16" s="2"/>
      <c r="R16" s="2">
        <v>16000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F17" s="26" t="s">
        <v>223</v>
      </c>
      <c r="G17" s="2"/>
      <c r="H17" s="2"/>
      <c r="I17" s="2"/>
      <c r="J17" s="2"/>
      <c r="K17" s="2"/>
      <c r="L17" s="2"/>
      <c r="M17" s="2"/>
      <c r="N17" s="2"/>
      <c r="O17" s="2"/>
      <c r="Q17" s="2"/>
      <c r="R17" s="2"/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F18" s="39" t="s">
        <v>71</v>
      </c>
      <c r="G18" s="2"/>
      <c r="H18" s="2"/>
      <c r="I18" s="2"/>
      <c r="J18" s="2"/>
      <c r="K18" s="2"/>
      <c r="L18" s="2">
        <v>317896</v>
      </c>
      <c r="M18" s="2"/>
      <c r="N18" s="2"/>
      <c r="O18" s="2"/>
      <c r="Q18" s="2"/>
      <c r="R18" s="2">
        <v>317896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F19" s="26" t="s">
        <v>538</v>
      </c>
      <c r="G19" s="2"/>
      <c r="H19" s="2"/>
      <c r="I19" s="2"/>
      <c r="J19" s="2"/>
      <c r="K19" s="2"/>
      <c r="L19" s="2">
        <v>317896</v>
      </c>
      <c r="M19" s="2"/>
      <c r="N19" s="2"/>
      <c r="O19" s="2"/>
      <c r="Q19" s="2"/>
      <c r="R19" s="2">
        <v>317896</v>
      </c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F20" s="26" t="s">
        <v>66</v>
      </c>
      <c r="G20" s="2">
        <v>808504</v>
      </c>
      <c r="H20" s="2">
        <v>1540844</v>
      </c>
      <c r="I20" s="2">
        <v>1026294</v>
      </c>
      <c r="J20" s="2">
        <v>24603390</v>
      </c>
      <c r="K20" s="2">
        <v>25836929</v>
      </c>
      <c r="L20" s="2">
        <v>26744885</v>
      </c>
      <c r="M20" s="2">
        <v>25288505</v>
      </c>
      <c r="N20" s="2">
        <v>6746775</v>
      </c>
      <c r="O20" s="2">
        <v>4136152</v>
      </c>
      <c r="P20" s="2">
        <v>2886955</v>
      </c>
      <c r="Q20" s="2">
        <v>742569</v>
      </c>
      <c r="R20" s="2">
        <v>120361802</v>
      </c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G21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G22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G23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16.75" thickTop="1" thickBot="1" x14ac:dyDescent="0.45">
      <c r="A24" s="117" t="s">
        <v>158</v>
      </c>
      <c r="B24" s="118"/>
      <c r="C24" s="118"/>
      <c r="D24" s="118"/>
      <c r="E24" s="131"/>
      <c r="G24"/>
      <c r="H24" s="19"/>
      <c r="I24" s="124" t="s">
        <v>75</v>
      </c>
      <c r="J24" s="132"/>
      <c r="K24" s="121" t="s">
        <v>77</v>
      </c>
      <c r="L24" s="122"/>
      <c r="M24" s="122"/>
      <c r="N24" s="122"/>
      <c r="O24" s="122"/>
      <c r="P24" s="122"/>
      <c r="Q24" s="122"/>
      <c r="R24" s="123"/>
      <c r="S24" s="127" t="s">
        <v>78</v>
      </c>
      <c r="T24" s="128"/>
      <c r="U24" s="128"/>
      <c r="V24" s="128"/>
      <c r="W24" s="128"/>
      <c r="X24" s="128"/>
      <c r="Y24" s="129"/>
      <c r="Z24" s="121" t="s">
        <v>79</v>
      </c>
      <c r="AA24" s="122"/>
      <c r="AB24" s="122"/>
      <c r="AC24" s="122"/>
      <c r="AD24" s="122"/>
      <c r="AE24" s="122"/>
      <c r="AF24" s="122"/>
      <c r="AG24" s="122"/>
      <c r="AH24" s="123"/>
      <c r="AI24" s="124" t="s">
        <v>81</v>
      </c>
      <c r="AJ24" s="125"/>
      <c r="AK24" s="126"/>
      <c r="AL24" s="119" t="s">
        <v>80</v>
      </c>
      <c r="AM24" s="120"/>
      <c r="AN24" s="124" t="s">
        <v>151</v>
      </c>
      <c r="AO24" s="125"/>
      <c r="AP24" s="125"/>
      <c r="AQ24" s="126"/>
      <c r="AR24" s="119" t="s">
        <v>82</v>
      </c>
      <c r="AS24" s="120"/>
      <c r="AT24" s="76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" thickTop="1" x14ac:dyDescent="0.4">
      <c r="A25" s="114" t="s">
        <v>0</v>
      </c>
      <c r="B25" s="116"/>
      <c r="C25" s="114" t="s">
        <v>5</v>
      </c>
      <c r="D25" s="115"/>
      <c r="E25" s="116"/>
      <c r="G25"/>
      <c r="H25" s="58" t="s">
        <v>36</v>
      </c>
      <c r="I25" s="60" t="s">
        <v>15</v>
      </c>
      <c r="J25" s="61" t="s">
        <v>35</v>
      </c>
      <c r="K25" s="79" t="s">
        <v>31</v>
      </c>
      <c r="L25" s="62" t="s">
        <v>53</v>
      </c>
      <c r="M25" s="62" t="s">
        <v>16</v>
      </c>
      <c r="N25" s="63" t="s">
        <v>17</v>
      </c>
      <c r="O25" s="63" t="s">
        <v>32</v>
      </c>
      <c r="P25" s="62" t="s">
        <v>54</v>
      </c>
      <c r="Q25" s="64" t="s">
        <v>55</v>
      </c>
      <c r="R25" s="80" t="s">
        <v>56</v>
      </c>
      <c r="S25" s="65" t="s">
        <v>37</v>
      </c>
      <c r="T25" s="68" t="s">
        <v>22</v>
      </c>
      <c r="U25" s="67" t="s">
        <v>21</v>
      </c>
      <c r="V25" s="70" t="s">
        <v>144</v>
      </c>
      <c r="W25" s="46" t="s">
        <v>157</v>
      </c>
      <c r="X25" s="69" t="s">
        <v>141</v>
      </c>
      <c r="Y25" s="66" t="s">
        <v>30</v>
      </c>
      <c r="Z25" s="83" t="s">
        <v>26</v>
      </c>
      <c r="AA25" s="71" t="s">
        <v>27</v>
      </c>
      <c r="AB25" s="72" t="s">
        <v>76</v>
      </c>
      <c r="AC25" s="73" t="s">
        <v>33</v>
      </c>
      <c r="AD25" s="72" t="s">
        <v>14</v>
      </c>
      <c r="AE25" s="74" t="s">
        <v>18</v>
      </c>
      <c r="AF25" s="71" t="s">
        <v>42</v>
      </c>
      <c r="AG25" s="75" t="s">
        <v>19</v>
      </c>
      <c r="AH25" s="70" t="s">
        <v>34</v>
      </c>
      <c r="AI25" s="44" t="s">
        <v>23</v>
      </c>
      <c r="AJ25" s="14" t="s">
        <v>24</v>
      </c>
      <c r="AK25" s="46" t="s">
        <v>41</v>
      </c>
      <c r="AL25" s="55" t="s">
        <v>46</v>
      </c>
      <c r="AM25" s="45" t="s">
        <v>47</v>
      </c>
      <c r="AN25" s="86" t="s">
        <v>140</v>
      </c>
      <c r="AO25" s="47" t="s">
        <v>145</v>
      </c>
      <c r="AP25" s="46" t="s">
        <v>147</v>
      </c>
      <c r="AQ25" s="87" t="s">
        <v>20</v>
      </c>
      <c r="AR25" s="57" t="s">
        <v>38</v>
      </c>
      <c r="AS25" s="46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136" t="s">
        <v>2956</v>
      </c>
      <c r="C26" s="8" t="s">
        <v>6</v>
      </c>
      <c r="D26" s="136" t="s">
        <v>2943</v>
      </c>
      <c r="E26" s="139" t="s">
        <v>2962</v>
      </c>
      <c r="G26"/>
      <c r="H26" s="59">
        <v>42992.404930555553</v>
      </c>
      <c r="I26" s="43">
        <v>42326.372916666667</v>
      </c>
      <c r="J26" s="42">
        <v>42509.40519675926</v>
      </c>
      <c r="K26" s="81" t="s">
        <v>49</v>
      </c>
      <c r="L26" t="s">
        <v>49</v>
      </c>
      <c r="M26" t="s">
        <v>336</v>
      </c>
      <c r="N26" s="1" t="s">
        <v>336</v>
      </c>
      <c r="O26" s="1" t="s">
        <v>337</v>
      </c>
      <c r="P26" t="s">
        <v>337</v>
      </c>
      <c r="Q26" s="9" t="s">
        <v>45</v>
      </c>
      <c r="R26" s="82" t="s">
        <v>45</v>
      </c>
      <c r="S26" s="44" t="s">
        <v>196</v>
      </c>
      <c r="T26" s="3" t="s">
        <v>61</v>
      </c>
      <c r="U26" s="2" t="s">
        <v>29</v>
      </c>
      <c r="V26" s="3" t="s">
        <v>29</v>
      </c>
      <c r="W26" s="11" t="s">
        <v>153</v>
      </c>
      <c r="X26" s="3" t="s">
        <v>153</v>
      </c>
      <c r="Y26" s="77" t="s">
        <v>48</v>
      </c>
      <c r="Z26" s="84" t="s">
        <v>575</v>
      </c>
      <c r="AA26" s="89" t="s">
        <v>28</v>
      </c>
      <c r="AB26" s="90" t="str">
        <f>HYPERLINK(CONCATENATE("https://www.ejacket.nsf.gov/ej/showProposal.do?ID=",SUBSTITUTE(SplitQueryTableRecent[[#This Row],[prop_id]],CHAR(160),"")),"eJ")</f>
        <v>eJ</v>
      </c>
      <c r="AC26" s="89" t="s">
        <v>575</v>
      </c>
      <c r="AD26" s="3" t="s">
        <v>575</v>
      </c>
      <c r="AE26" s="91">
        <v>2016</v>
      </c>
      <c r="AF26" s="13" t="s">
        <v>43</v>
      </c>
      <c r="AG26" s="13">
        <v>418527</v>
      </c>
      <c r="AH26" s="45">
        <v>418527</v>
      </c>
      <c r="AI26" s="44" t="s">
        <v>578</v>
      </c>
      <c r="AJ26" s="2" t="s">
        <v>579</v>
      </c>
      <c r="AK26" s="46" t="s">
        <v>254</v>
      </c>
      <c r="AL26" s="55" t="s">
        <v>577</v>
      </c>
      <c r="AM26" s="45" t="s">
        <v>577</v>
      </c>
      <c r="AN26" s="56" t="s">
        <v>152</v>
      </c>
      <c r="AO26" s="23" t="s">
        <v>146</v>
      </c>
      <c r="AP26" s="11"/>
      <c r="AQ26" s="88" t="s">
        <v>576</v>
      </c>
      <c r="AR26" s="57" t="s">
        <v>164</v>
      </c>
      <c r="AS26" s="46">
        <v>42549.265381944446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36" t="s">
        <v>2945</v>
      </c>
      <c r="C27" s="8" t="s">
        <v>7</v>
      </c>
      <c r="D27" s="136" t="s">
        <v>2943</v>
      </c>
      <c r="E27" s="139" t="s">
        <v>2962</v>
      </c>
      <c r="G27"/>
      <c r="H27" s="59">
        <v>42992.404930555553</v>
      </c>
      <c r="I27" s="43">
        <v>42326.680555555555</v>
      </c>
      <c r="J27" s="42">
        <v>42537.357824074075</v>
      </c>
      <c r="K27" s="81" t="s">
        <v>49</v>
      </c>
      <c r="L27" t="s">
        <v>49</v>
      </c>
      <c r="M27" t="s">
        <v>336</v>
      </c>
      <c r="N27" s="1" t="s">
        <v>336</v>
      </c>
      <c r="O27" s="1" t="s">
        <v>337</v>
      </c>
      <c r="P27" t="s">
        <v>337</v>
      </c>
      <c r="Q27" s="9" t="s">
        <v>45</v>
      </c>
      <c r="R27" s="82" t="s">
        <v>45</v>
      </c>
      <c r="S27" s="44" t="s">
        <v>196</v>
      </c>
      <c r="T27" s="3" t="s">
        <v>61</v>
      </c>
      <c r="U27" s="2" t="s">
        <v>29</v>
      </c>
      <c r="V27" s="3" t="s">
        <v>29</v>
      </c>
      <c r="W27" s="11" t="s">
        <v>153</v>
      </c>
      <c r="X27" s="3" t="s">
        <v>153</v>
      </c>
      <c r="Y27" s="77" t="s">
        <v>48</v>
      </c>
      <c r="Z27" s="84" t="s">
        <v>582</v>
      </c>
      <c r="AA27" s="89" t="s">
        <v>28</v>
      </c>
      <c r="AB27" s="90" t="str">
        <f>HYPERLINK(CONCATENATE("https://www.ejacket.nsf.gov/ej/showProposal.do?ID=",SUBSTITUTE(SplitQueryTableRecent[[#This Row],[prop_id]],CHAR(160),"")),"eJ")</f>
        <v>eJ</v>
      </c>
      <c r="AC27" s="89" t="s">
        <v>582</v>
      </c>
      <c r="AD27" s="3" t="s">
        <v>582</v>
      </c>
      <c r="AE27" s="91">
        <v>2016</v>
      </c>
      <c r="AF27" s="13" t="s">
        <v>43</v>
      </c>
      <c r="AG27" s="13">
        <v>497154</v>
      </c>
      <c r="AH27" s="45">
        <v>497154</v>
      </c>
      <c r="AI27" s="44" t="s">
        <v>585</v>
      </c>
      <c r="AJ27" s="2" t="s">
        <v>279</v>
      </c>
      <c r="AK27" s="46" t="s">
        <v>246</v>
      </c>
      <c r="AL27" s="55" t="s">
        <v>584</v>
      </c>
      <c r="AM27" s="45" t="s">
        <v>584</v>
      </c>
      <c r="AN27" s="56" t="s">
        <v>152</v>
      </c>
      <c r="AO27" s="23" t="s">
        <v>146</v>
      </c>
      <c r="AP27" s="11"/>
      <c r="AQ27" s="88" t="s">
        <v>583</v>
      </c>
      <c r="AR27" s="57" t="s">
        <v>164</v>
      </c>
      <c r="AS27" s="46">
        <v>42559.408668981479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136" t="s">
        <v>2957</v>
      </c>
      <c r="C28" s="8" t="s">
        <v>8</v>
      </c>
      <c r="D28" s="136" t="s">
        <v>2944</v>
      </c>
      <c r="E28" s="140"/>
      <c r="G28"/>
      <c r="H28" s="59">
        <v>42992.404930555553</v>
      </c>
      <c r="I28" s="43">
        <v>41649.696527777778</v>
      </c>
      <c r="J28" s="42">
        <v>41814.37358796296</v>
      </c>
      <c r="K28" s="81" t="s">
        <v>49</v>
      </c>
      <c r="L28" t="s">
        <v>49</v>
      </c>
      <c r="M28" t="s">
        <v>336</v>
      </c>
      <c r="N28" s="1" t="s">
        <v>336</v>
      </c>
      <c r="O28" s="1" t="s">
        <v>245</v>
      </c>
      <c r="P28" t="s">
        <v>245</v>
      </c>
      <c r="Q28" s="9" t="s">
        <v>45</v>
      </c>
      <c r="R28" s="82" t="s">
        <v>45</v>
      </c>
      <c r="S28" s="44" t="s">
        <v>173</v>
      </c>
      <c r="T28" s="3" t="s">
        <v>61</v>
      </c>
      <c r="U28" s="2" t="s">
        <v>29</v>
      </c>
      <c r="V28" s="3" t="s">
        <v>29</v>
      </c>
      <c r="W28" s="11" t="s">
        <v>153</v>
      </c>
      <c r="X28" s="3" t="s">
        <v>153</v>
      </c>
      <c r="Y28" s="77" t="s">
        <v>48</v>
      </c>
      <c r="Z28" s="84" t="s">
        <v>587</v>
      </c>
      <c r="AA28" s="89" t="s">
        <v>62</v>
      </c>
      <c r="AB28" s="90" t="str">
        <f>HYPERLINK(CONCATENATE("https://www.ejacket.nsf.gov/ej/showProposal.do?ID=",SUBSTITUTE(SplitQueryTableRecent[[#This Row],[prop_id]],CHAR(160),"")),"eJ")</f>
        <v>eJ</v>
      </c>
      <c r="AC28" s="89" t="s">
        <v>586</v>
      </c>
      <c r="AD28" s="3" t="s">
        <v>586</v>
      </c>
      <c r="AE28" s="91">
        <v>2014</v>
      </c>
      <c r="AF28" s="13" t="s">
        <v>43</v>
      </c>
      <c r="AG28" s="13">
        <v>250000</v>
      </c>
      <c r="AH28" s="45">
        <v>250000</v>
      </c>
      <c r="AI28" s="44" t="s">
        <v>589</v>
      </c>
      <c r="AJ28" s="2" t="s">
        <v>348</v>
      </c>
      <c r="AK28" s="46" t="s">
        <v>1707</v>
      </c>
      <c r="AL28" s="55" t="s">
        <v>369</v>
      </c>
      <c r="AM28" s="45" t="s">
        <v>369</v>
      </c>
      <c r="AN28" s="56" t="s">
        <v>152</v>
      </c>
      <c r="AO28" s="23" t="s">
        <v>146</v>
      </c>
      <c r="AP28" s="11"/>
      <c r="AQ28" s="88" t="s">
        <v>588</v>
      </c>
      <c r="AR28" s="57" t="s">
        <v>161</v>
      </c>
      <c r="AS28" s="46">
        <v>41845.395335648151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36" t="s">
        <v>2953</v>
      </c>
      <c r="C29" s="8" t="s">
        <v>2</v>
      </c>
      <c r="D29" s="136" t="s">
        <v>2963</v>
      </c>
      <c r="E29" s="140"/>
      <c r="G29"/>
      <c r="H29" s="59">
        <v>42992.404930555553</v>
      </c>
      <c r="I29" s="43">
        <v>42016.436111111114</v>
      </c>
      <c r="J29" s="42">
        <v>42200.58021990741</v>
      </c>
      <c r="K29" s="81" t="s">
        <v>49</v>
      </c>
      <c r="L29" t="s">
        <v>49</v>
      </c>
      <c r="M29" t="s">
        <v>336</v>
      </c>
      <c r="N29" s="1" t="s">
        <v>336</v>
      </c>
      <c r="O29" s="1" t="s">
        <v>245</v>
      </c>
      <c r="P29" t="s">
        <v>245</v>
      </c>
      <c r="Q29" s="9" t="s">
        <v>45</v>
      </c>
      <c r="R29" s="82" t="s">
        <v>45</v>
      </c>
      <c r="S29" s="44" t="s">
        <v>184</v>
      </c>
      <c r="T29" s="3" t="s">
        <v>61</v>
      </c>
      <c r="U29" s="2" t="s">
        <v>29</v>
      </c>
      <c r="V29" s="3" t="s">
        <v>29</v>
      </c>
      <c r="W29" s="11" t="s">
        <v>153</v>
      </c>
      <c r="X29" s="3" t="s">
        <v>153</v>
      </c>
      <c r="Y29" s="77" t="s">
        <v>48</v>
      </c>
      <c r="Z29" s="84" t="s">
        <v>590</v>
      </c>
      <c r="AA29" s="89" t="s">
        <v>28</v>
      </c>
      <c r="AB29" s="90" t="str">
        <f>HYPERLINK(CONCATENATE("https://www.ejacket.nsf.gov/ej/showProposal.do?ID=",SUBSTITUTE(SplitQueryTableRecent[[#This Row],[prop_id]],CHAR(160),"")),"eJ")</f>
        <v>eJ</v>
      </c>
      <c r="AC29" s="89" t="s">
        <v>590</v>
      </c>
      <c r="AD29" s="3" t="s">
        <v>590</v>
      </c>
      <c r="AE29" s="91">
        <v>2015</v>
      </c>
      <c r="AF29" s="13" t="s">
        <v>43</v>
      </c>
      <c r="AG29" s="13">
        <v>499594</v>
      </c>
      <c r="AH29" s="45">
        <v>496844</v>
      </c>
      <c r="AI29" s="44" t="s">
        <v>592</v>
      </c>
      <c r="AJ29" s="2" t="s">
        <v>593</v>
      </c>
      <c r="AK29" s="46" t="s">
        <v>246</v>
      </c>
      <c r="AL29" s="55" t="s">
        <v>369</v>
      </c>
      <c r="AM29" s="45" t="s">
        <v>369</v>
      </c>
      <c r="AN29" s="56" t="s">
        <v>152</v>
      </c>
      <c r="AO29" s="23" t="s">
        <v>146</v>
      </c>
      <c r="AP29" s="11"/>
      <c r="AQ29" s="88" t="s">
        <v>591</v>
      </c>
      <c r="AR29" s="57" t="s">
        <v>164</v>
      </c>
      <c r="AS29" s="46">
        <v>42234.363969907405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136" t="s">
        <v>2951</v>
      </c>
      <c r="C30" s="8" t="s">
        <v>9</v>
      </c>
      <c r="D30" s="136" t="s">
        <v>2964</v>
      </c>
      <c r="E30" s="140"/>
      <c r="G30"/>
      <c r="H30" s="59">
        <v>42992.404930555553</v>
      </c>
      <c r="I30" s="43">
        <v>41649.659722222219</v>
      </c>
      <c r="J30" s="42">
        <v>41800.509976851848</v>
      </c>
      <c r="K30" s="81" t="s">
        <v>49</v>
      </c>
      <c r="L30" t="s">
        <v>49</v>
      </c>
      <c r="M30" t="s">
        <v>336</v>
      </c>
      <c r="N30" s="1" t="s">
        <v>336</v>
      </c>
      <c r="O30" s="1" t="s">
        <v>337</v>
      </c>
      <c r="P30" t="s">
        <v>337</v>
      </c>
      <c r="Q30" s="9" t="s">
        <v>45</v>
      </c>
      <c r="R30" s="82" t="s">
        <v>45</v>
      </c>
      <c r="S30" s="44" t="s">
        <v>173</v>
      </c>
      <c r="T30" s="3" t="s">
        <v>61</v>
      </c>
      <c r="U30" s="2" t="s">
        <v>29</v>
      </c>
      <c r="V30" s="3" t="s">
        <v>29</v>
      </c>
      <c r="W30" s="11" t="s">
        <v>153</v>
      </c>
      <c r="X30" s="3" t="s">
        <v>153</v>
      </c>
      <c r="Y30" s="77" t="s">
        <v>48</v>
      </c>
      <c r="Z30" s="84" t="s">
        <v>597</v>
      </c>
      <c r="AA30" s="89" t="s">
        <v>174</v>
      </c>
      <c r="AB30" s="90" t="str">
        <f>HYPERLINK(CONCATENATE("https://www.ejacket.nsf.gov/ej/showProposal.do?ID=",SUBSTITUTE(SplitQueryTableRecent[[#This Row],[prop_id]],CHAR(160),"")),"eJ")</f>
        <v>eJ</v>
      </c>
      <c r="AC30" s="89" t="s">
        <v>597</v>
      </c>
      <c r="AD30" s="3" t="s">
        <v>597</v>
      </c>
      <c r="AE30" s="91">
        <v>2014</v>
      </c>
      <c r="AF30" s="13" t="s">
        <v>43</v>
      </c>
      <c r="AG30" s="13">
        <v>250000</v>
      </c>
      <c r="AH30" s="45">
        <v>250000</v>
      </c>
      <c r="AI30" s="44" t="s">
        <v>595</v>
      </c>
      <c r="AJ30" s="2" t="s">
        <v>596</v>
      </c>
      <c r="AK30" s="46" t="s">
        <v>212</v>
      </c>
      <c r="AL30" s="55" t="s">
        <v>584</v>
      </c>
      <c r="AM30" s="45" t="s">
        <v>584</v>
      </c>
      <c r="AN30" s="56" t="s">
        <v>152</v>
      </c>
      <c r="AO30" s="23" t="s">
        <v>146</v>
      </c>
      <c r="AP30" s="11"/>
      <c r="AQ30" s="88" t="s">
        <v>598</v>
      </c>
      <c r="AR30" s="57" t="s">
        <v>164</v>
      </c>
      <c r="AS30" s="46">
        <v>41809.374861111108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36" t="s">
        <v>2959</v>
      </c>
      <c r="C31" s="8" t="s">
        <v>3</v>
      </c>
      <c r="D31" s="136" t="s">
        <v>2965</v>
      </c>
      <c r="E31" s="140"/>
      <c r="G31"/>
      <c r="H31" s="59">
        <v>42992.404930555553</v>
      </c>
      <c r="I31" s="43">
        <v>42690.553472222222</v>
      </c>
      <c r="J31" s="42">
        <v>42905.711331018516</v>
      </c>
      <c r="K31" s="81" t="s">
        <v>49</v>
      </c>
      <c r="L31" t="s">
        <v>49</v>
      </c>
      <c r="M31" t="s">
        <v>336</v>
      </c>
      <c r="N31" s="1" t="s">
        <v>336</v>
      </c>
      <c r="O31" s="1" t="s">
        <v>337</v>
      </c>
      <c r="P31" t="s">
        <v>337</v>
      </c>
      <c r="Q31" s="9" t="s">
        <v>45</v>
      </c>
      <c r="R31" s="82" t="s">
        <v>45</v>
      </c>
      <c r="S31" s="44" t="s">
        <v>192</v>
      </c>
      <c r="T31" s="3" t="s">
        <v>61</v>
      </c>
      <c r="U31" s="2" t="s">
        <v>29</v>
      </c>
      <c r="V31" s="3" t="s">
        <v>29</v>
      </c>
      <c r="W31" s="11" t="s">
        <v>153</v>
      </c>
      <c r="X31" s="3" t="s">
        <v>153</v>
      </c>
      <c r="Y31" s="77" t="s">
        <v>48</v>
      </c>
      <c r="Z31" s="84" t="s">
        <v>599</v>
      </c>
      <c r="AA31" s="89" t="s">
        <v>28</v>
      </c>
      <c r="AB31" s="90" t="str">
        <f>HYPERLINK(CONCATENATE("https://www.ejacket.nsf.gov/ej/showProposal.do?ID=",SUBSTITUTE(SplitQueryTableRecent[[#This Row],[prop_id]],CHAR(160),"")),"eJ")</f>
        <v>eJ</v>
      </c>
      <c r="AC31" s="89" t="s">
        <v>599</v>
      </c>
      <c r="AD31" s="3" t="s">
        <v>599</v>
      </c>
      <c r="AE31" s="91">
        <v>2017</v>
      </c>
      <c r="AF31" s="13" t="s">
        <v>43</v>
      </c>
      <c r="AG31" s="13">
        <v>450000</v>
      </c>
      <c r="AH31" s="45">
        <v>500000</v>
      </c>
      <c r="AI31" s="44" t="s">
        <v>602</v>
      </c>
      <c r="AJ31" s="2" t="s">
        <v>603</v>
      </c>
      <c r="AK31" s="46" t="s">
        <v>307</v>
      </c>
      <c r="AL31" s="55" t="s">
        <v>577</v>
      </c>
      <c r="AM31" s="45" t="s">
        <v>601</v>
      </c>
      <c r="AN31" s="56" t="s">
        <v>152</v>
      </c>
      <c r="AO31" s="23" t="s">
        <v>146</v>
      </c>
      <c r="AP31" s="11"/>
      <c r="AQ31" s="88" t="s">
        <v>600</v>
      </c>
      <c r="AR31" s="57" t="s">
        <v>188</v>
      </c>
      <c r="AS31" s="46">
        <v>42912.606006944443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136" t="s">
        <v>2960</v>
      </c>
      <c r="C32" s="8" t="s">
        <v>10</v>
      </c>
      <c r="D32" s="136" t="s">
        <v>2966</v>
      </c>
      <c r="E32" s="140"/>
      <c r="G32"/>
      <c r="H32" s="59">
        <v>42992.404930555553</v>
      </c>
      <c r="I32" s="43">
        <v>42018.665972222225</v>
      </c>
      <c r="J32" s="42">
        <v>42194.418113425927</v>
      </c>
      <c r="K32" s="81" t="s">
        <v>49</v>
      </c>
      <c r="L32" t="s">
        <v>49</v>
      </c>
      <c r="M32" t="s">
        <v>336</v>
      </c>
      <c r="N32" s="1" t="s">
        <v>336</v>
      </c>
      <c r="O32" s="1" t="s">
        <v>245</v>
      </c>
      <c r="P32" t="s">
        <v>245</v>
      </c>
      <c r="Q32" s="9" t="s">
        <v>45</v>
      </c>
      <c r="R32" s="82" t="s">
        <v>45</v>
      </c>
      <c r="S32" s="44" t="s">
        <v>184</v>
      </c>
      <c r="T32" s="3" t="s">
        <v>61</v>
      </c>
      <c r="U32" s="2" t="s">
        <v>29</v>
      </c>
      <c r="V32" s="3" t="s">
        <v>29</v>
      </c>
      <c r="W32" s="11" t="s">
        <v>153</v>
      </c>
      <c r="X32" s="3" t="s">
        <v>153</v>
      </c>
      <c r="Y32" s="77" t="s">
        <v>48</v>
      </c>
      <c r="Z32" s="84" t="s">
        <v>606</v>
      </c>
      <c r="AA32" s="89" t="s">
        <v>28</v>
      </c>
      <c r="AB32" s="90" t="str">
        <f>HYPERLINK(CONCATENATE("https://www.ejacket.nsf.gov/ej/showProposal.do?ID=",SUBSTITUTE(SplitQueryTableRecent[[#This Row],[prop_id]],CHAR(160),"")),"eJ")</f>
        <v>eJ</v>
      </c>
      <c r="AC32" s="89" t="s">
        <v>606</v>
      </c>
      <c r="AD32" s="3" t="s">
        <v>606</v>
      </c>
      <c r="AE32" s="91">
        <v>2015</v>
      </c>
      <c r="AF32" s="13" t="s">
        <v>43</v>
      </c>
      <c r="AG32" s="13">
        <v>499998</v>
      </c>
      <c r="AH32" s="45">
        <v>499998</v>
      </c>
      <c r="AI32" s="44" t="s">
        <v>604</v>
      </c>
      <c r="AJ32" s="2" t="s">
        <v>605</v>
      </c>
      <c r="AK32" s="46" t="s">
        <v>1707</v>
      </c>
      <c r="AL32" s="55" t="s">
        <v>369</v>
      </c>
      <c r="AM32" s="45" t="s">
        <v>369</v>
      </c>
      <c r="AN32" s="56" t="s">
        <v>152</v>
      </c>
      <c r="AO32" s="23" t="s">
        <v>146</v>
      </c>
      <c r="AP32" s="11"/>
      <c r="AQ32" s="88" t="s">
        <v>607</v>
      </c>
      <c r="AR32" s="57" t="s">
        <v>164</v>
      </c>
      <c r="AS32" s="46">
        <v>42223.580185185187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136" t="s">
        <v>2958</v>
      </c>
      <c r="C33" s="8" t="s">
        <v>11</v>
      </c>
      <c r="D33" s="136" t="s">
        <v>2953</v>
      </c>
      <c r="E33" s="140"/>
      <c r="G33"/>
      <c r="H33" s="59">
        <v>42992.404930555553</v>
      </c>
      <c r="I33" s="43">
        <v>42678.765972222223</v>
      </c>
      <c r="J33" s="42">
        <v>42905.702037037037</v>
      </c>
      <c r="K33" s="81" t="s">
        <v>49</v>
      </c>
      <c r="L33" t="s">
        <v>49</v>
      </c>
      <c r="M33" t="s">
        <v>336</v>
      </c>
      <c r="N33" s="1" t="s">
        <v>336</v>
      </c>
      <c r="O33" s="1" t="s">
        <v>337</v>
      </c>
      <c r="P33" t="s">
        <v>337</v>
      </c>
      <c r="Q33" s="9" t="s">
        <v>45</v>
      </c>
      <c r="R33" s="82" t="s">
        <v>45</v>
      </c>
      <c r="S33" s="44" t="s">
        <v>192</v>
      </c>
      <c r="T33" s="3" t="s">
        <v>61</v>
      </c>
      <c r="U33" s="2" t="s">
        <v>29</v>
      </c>
      <c r="V33" s="3" t="s">
        <v>29</v>
      </c>
      <c r="W33" s="11" t="s">
        <v>153</v>
      </c>
      <c r="X33" s="3" t="s">
        <v>153</v>
      </c>
      <c r="Y33" s="77" t="s">
        <v>48</v>
      </c>
      <c r="Z33" s="84" t="s">
        <v>608</v>
      </c>
      <c r="AA33" s="89" t="s">
        <v>28</v>
      </c>
      <c r="AB33" s="90" t="str">
        <f>HYPERLINK(CONCATENATE("https://www.ejacket.nsf.gov/ej/showProposal.do?ID=",SUBSTITUTE(SplitQueryTableRecent[[#This Row],[prop_id]],CHAR(160),"")),"eJ")</f>
        <v>eJ</v>
      </c>
      <c r="AC33" s="89" t="s">
        <v>608</v>
      </c>
      <c r="AD33" s="3" t="s">
        <v>608</v>
      </c>
      <c r="AE33" s="91">
        <v>2017</v>
      </c>
      <c r="AF33" s="13" t="s">
        <v>43</v>
      </c>
      <c r="AG33" s="13">
        <v>449993</v>
      </c>
      <c r="AH33" s="45">
        <v>499122</v>
      </c>
      <c r="AI33" s="44" t="s">
        <v>611</v>
      </c>
      <c r="AJ33" s="2" t="s">
        <v>612</v>
      </c>
      <c r="AK33" s="46" t="s">
        <v>253</v>
      </c>
      <c r="AL33" s="55" t="s">
        <v>610</v>
      </c>
      <c r="AM33" s="45" t="s">
        <v>610</v>
      </c>
      <c r="AN33" s="56" t="s">
        <v>152</v>
      </c>
      <c r="AO33" s="23" t="s">
        <v>146</v>
      </c>
      <c r="AP33" s="11"/>
      <c r="AQ33" s="88" t="s">
        <v>609</v>
      </c>
      <c r="AR33" s="57" t="s">
        <v>188</v>
      </c>
      <c r="AS33" s="46">
        <v>42914.546655092592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156</v>
      </c>
      <c r="B34" s="136" t="s">
        <v>2961</v>
      </c>
      <c r="C34" s="8" t="s">
        <v>12</v>
      </c>
      <c r="D34" s="136" t="s">
        <v>2967</v>
      </c>
      <c r="E34" s="140"/>
      <c r="G34"/>
      <c r="H34" s="59">
        <v>42992.404930555553</v>
      </c>
      <c r="I34" s="43">
        <v>42677.79791666667</v>
      </c>
      <c r="J34" s="42">
        <v>42905.69159722222</v>
      </c>
      <c r="K34" s="81" t="s">
        <v>49</v>
      </c>
      <c r="L34" t="s">
        <v>49</v>
      </c>
      <c r="M34" t="s">
        <v>336</v>
      </c>
      <c r="N34" s="1" t="s">
        <v>336</v>
      </c>
      <c r="O34" s="1" t="s">
        <v>337</v>
      </c>
      <c r="P34" t="s">
        <v>337</v>
      </c>
      <c r="Q34" s="9" t="s">
        <v>45</v>
      </c>
      <c r="R34" s="82" t="s">
        <v>45</v>
      </c>
      <c r="S34" s="44" t="s">
        <v>192</v>
      </c>
      <c r="T34" s="3" t="s">
        <v>61</v>
      </c>
      <c r="U34" s="2" t="s">
        <v>29</v>
      </c>
      <c r="V34" s="3" t="s">
        <v>29</v>
      </c>
      <c r="W34" s="11" t="s">
        <v>153</v>
      </c>
      <c r="X34" s="3" t="s">
        <v>153</v>
      </c>
      <c r="Y34" s="77" t="s">
        <v>48</v>
      </c>
      <c r="Z34" s="84" t="s">
        <v>617</v>
      </c>
      <c r="AA34" s="89" t="s">
        <v>28</v>
      </c>
      <c r="AB34" s="90" t="str">
        <f>HYPERLINK(CONCATENATE("https://www.ejacket.nsf.gov/ej/showProposal.do?ID=",SUBSTITUTE(SplitQueryTableRecent[[#This Row],[prop_id]],CHAR(160),"")),"eJ")</f>
        <v>eJ</v>
      </c>
      <c r="AC34" s="89" t="s">
        <v>617</v>
      </c>
      <c r="AD34" s="3" t="s">
        <v>617</v>
      </c>
      <c r="AE34" s="91">
        <v>2017</v>
      </c>
      <c r="AF34" s="13" t="s">
        <v>43</v>
      </c>
      <c r="AG34" s="13">
        <v>450000</v>
      </c>
      <c r="AH34" s="45">
        <v>500000</v>
      </c>
      <c r="AI34" s="44" t="s">
        <v>619</v>
      </c>
      <c r="AJ34" s="2" t="s">
        <v>620</v>
      </c>
      <c r="AK34" s="46" t="s">
        <v>1708</v>
      </c>
      <c r="AL34" s="55" t="s">
        <v>584</v>
      </c>
      <c r="AM34" s="45" t="s">
        <v>584</v>
      </c>
      <c r="AN34" s="56" t="s">
        <v>152</v>
      </c>
      <c r="AO34" s="23" t="s">
        <v>146</v>
      </c>
      <c r="AP34" s="11"/>
      <c r="AQ34" s="88" t="s">
        <v>618</v>
      </c>
      <c r="AR34" s="57" t="s">
        <v>188</v>
      </c>
      <c r="AS34" s="46">
        <v>42914.57671296296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136" t="s">
        <v>2968</v>
      </c>
      <c r="E35" s="140"/>
      <c r="G35"/>
      <c r="H35" s="59">
        <v>42992.404930555553</v>
      </c>
      <c r="I35" s="43">
        <v>41653.520833333336</v>
      </c>
      <c r="J35" s="42">
        <v>41810.532673611109</v>
      </c>
      <c r="K35" s="81" t="s">
        <v>49</v>
      </c>
      <c r="L35" t="s">
        <v>49</v>
      </c>
      <c r="M35" t="s">
        <v>336</v>
      </c>
      <c r="N35" s="1" t="s">
        <v>336</v>
      </c>
      <c r="O35" s="1" t="s">
        <v>245</v>
      </c>
      <c r="P35" t="s">
        <v>245</v>
      </c>
      <c r="Q35" s="9" t="s">
        <v>45</v>
      </c>
      <c r="R35" s="82" t="s">
        <v>45</v>
      </c>
      <c r="S35" s="44" t="s">
        <v>173</v>
      </c>
      <c r="T35" s="3" t="s">
        <v>61</v>
      </c>
      <c r="U35" s="2" t="s">
        <v>29</v>
      </c>
      <c r="V35" s="3" t="s">
        <v>29</v>
      </c>
      <c r="W35" s="11" t="s">
        <v>153</v>
      </c>
      <c r="X35" s="3" t="s">
        <v>153</v>
      </c>
      <c r="Y35" s="77" t="s">
        <v>48</v>
      </c>
      <c r="Z35" s="84" t="s">
        <v>624</v>
      </c>
      <c r="AA35" s="89" t="s">
        <v>62</v>
      </c>
      <c r="AB35" s="90" t="str">
        <f>HYPERLINK(CONCATENATE("https://www.ejacket.nsf.gov/ej/showProposal.do?ID=",SUBSTITUTE(SplitQueryTableRecent[[#This Row],[prop_id]],CHAR(160),"")),"eJ")</f>
        <v>eJ</v>
      </c>
      <c r="AC35" s="89" t="s">
        <v>623</v>
      </c>
      <c r="AD35" s="3" t="s">
        <v>623</v>
      </c>
      <c r="AE35" s="91">
        <v>2014</v>
      </c>
      <c r="AF35" s="13" t="s">
        <v>43</v>
      </c>
      <c r="AG35" s="13">
        <v>162699</v>
      </c>
      <c r="AH35" s="45">
        <v>162699</v>
      </c>
      <c r="AI35" s="44" t="s">
        <v>311</v>
      </c>
      <c r="AJ35" s="2" t="s">
        <v>626</v>
      </c>
      <c r="AK35" s="46" t="s">
        <v>1709</v>
      </c>
      <c r="AL35" s="55" t="s">
        <v>369</v>
      </c>
      <c r="AM35" s="45" t="s">
        <v>369</v>
      </c>
      <c r="AN35" s="56" t="s">
        <v>152</v>
      </c>
      <c r="AO35" s="23" t="s">
        <v>146</v>
      </c>
      <c r="AP35" s="11"/>
      <c r="AQ35" s="88" t="s">
        <v>625</v>
      </c>
      <c r="AR35" s="57" t="s">
        <v>161</v>
      </c>
      <c r="AS35" s="46">
        <v>41842.362175925926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136" t="s">
        <v>2969</v>
      </c>
      <c r="E36" s="140"/>
      <c r="G36"/>
      <c r="H36" s="59">
        <v>42992.404930555553</v>
      </c>
      <c r="I36" s="43">
        <v>42585.644444444442</v>
      </c>
      <c r="J36" s="42">
        <v>42586.699374999997</v>
      </c>
      <c r="K36" s="81" t="s">
        <v>49</v>
      </c>
      <c r="L36" t="s">
        <v>49</v>
      </c>
      <c r="M36" t="s">
        <v>336</v>
      </c>
      <c r="N36" s="1" t="s">
        <v>336</v>
      </c>
      <c r="O36" s="1" t="s">
        <v>337</v>
      </c>
      <c r="P36" t="s">
        <v>337</v>
      </c>
      <c r="Q36" s="9" t="s">
        <v>45</v>
      </c>
      <c r="R36" s="82" t="s">
        <v>45</v>
      </c>
      <c r="S36" s="44" t="s">
        <v>60</v>
      </c>
      <c r="T36" s="3" t="s">
        <v>61</v>
      </c>
      <c r="U36" s="2" t="s">
        <v>29</v>
      </c>
      <c r="V36" s="3" t="s">
        <v>29</v>
      </c>
      <c r="W36" s="11" t="s">
        <v>153</v>
      </c>
      <c r="X36" s="3" t="s">
        <v>153</v>
      </c>
      <c r="Y36" s="77" t="s">
        <v>48</v>
      </c>
      <c r="Z36" s="84" t="s">
        <v>629</v>
      </c>
      <c r="AA36" s="89" t="s">
        <v>28</v>
      </c>
      <c r="AB36" s="90" t="str">
        <f>HYPERLINK(CONCATENATE("https://www.ejacket.nsf.gov/ej/showProposal.do?ID=",SUBSTITUTE(SplitQueryTableRecent[[#This Row],[prop_id]],CHAR(160),"")),"eJ")</f>
        <v>eJ</v>
      </c>
      <c r="AC36" s="89" t="s">
        <v>629</v>
      </c>
      <c r="AD36" s="3" t="s">
        <v>629</v>
      </c>
      <c r="AE36" s="91">
        <v>2016</v>
      </c>
      <c r="AF36" s="13" t="s">
        <v>43</v>
      </c>
      <c r="AG36" s="13">
        <v>200772</v>
      </c>
      <c r="AH36" s="45">
        <v>200772</v>
      </c>
      <c r="AI36" s="44" t="s">
        <v>631</v>
      </c>
      <c r="AJ36" s="2" t="s">
        <v>191</v>
      </c>
      <c r="AK36" s="46" t="s">
        <v>226</v>
      </c>
      <c r="AL36" s="55" t="s">
        <v>574</v>
      </c>
      <c r="AM36" s="45" t="s">
        <v>574</v>
      </c>
      <c r="AN36" s="56" t="s">
        <v>152</v>
      </c>
      <c r="AO36" s="23" t="s">
        <v>146</v>
      </c>
      <c r="AP36" s="11"/>
      <c r="AQ36" s="88" t="s">
        <v>630</v>
      </c>
      <c r="AR36" s="57" t="s">
        <v>164</v>
      </c>
      <c r="AS36" s="46">
        <v>42620.484340277777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136" t="s">
        <v>2970</v>
      </c>
      <c r="E37" s="141"/>
      <c r="G37"/>
      <c r="H37" s="59">
        <v>42992.404930555553</v>
      </c>
      <c r="I37" s="43">
        <v>42326.553472222222</v>
      </c>
      <c r="J37" s="42">
        <v>42507.592974537038</v>
      </c>
      <c r="K37" s="81" t="s">
        <v>49</v>
      </c>
      <c r="L37" t="s">
        <v>49</v>
      </c>
      <c r="M37" t="s">
        <v>336</v>
      </c>
      <c r="N37" s="1" t="s">
        <v>336</v>
      </c>
      <c r="O37" s="1" t="s">
        <v>230</v>
      </c>
      <c r="P37" t="s">
        <v>230</v>
      </c>
      <c r="Q37" s="9" t="s">
        <v>45</v>
      </c>
      <c r="R37" s="82" t="s">
        <v>45</v>
      </c>
      <c r="S37" s="44" t="s">
        <v>196</v>
      </c>
      <c r="T37" s="3" t="s">
        <v>61</v>
      </c>
      <c r="U37" s="2" t="s">
        <v>29</v>
      </c>
      <c r="V37" s="3" t="s">
        <v>29</v>
      </c>
      <c r="W37" s="11" t="s">
        <v>153</v>
      </c>
      <c r="X37" s="3" t="s">
        <v>153</v>
      </c>
      <c r="Y37" s="77" t="s">
        <v>48</v>
      </c>
      <c r="Z37" s="84" t="s">
        <v>632</v>
      </c>
      <c r="AA37" s="89" t="s">
        <v>28</v>
      </c>
      <c r="AB37" s="90" t="str">
        <f>HYPERLINK(CONCATENATE("https://www.ejacket.nsf.gov/ej/showProposal.do?ID=",SUBSTITUTE(SplitQueryTableRecent[[#This Row],[prop_id]],CHAR(160),"")),"eJ")</f>
        <v>eJ</v>
      </c>
      <c r="AC37" s="89" t="s">
        <v>632</v>
      </c>
      <c r="AD37" s="3" t="s">
        <v>632</v>
      </c>
      <c r="AE37" s="91">
        <v>2016</v>
      </c>
      <c r="AF37" s="13" t="s">
        <v>43</v>
      </c>
      <c r="AG37" s="13">
        <v>500000</v>
      </c>
      <c r="AH37" s="45">
        <v>500000</v>
      </c>
      <c r="AI37" s="44" t="s">
        <v>634</v>
      </c>
      <c r="AJ37" s="2" t="s">
        <v>635</v>
      </c>
      <c r="AK37" s="46" t="s">
        <v>1710</v>
      </c>
      <c r="AL37" s="55" t="s">
        <v>369</v>
      </c>
      <c r="AM37" s="45" t="s">
        <v>369</v>
      </c>
      <c r="AN37" s="56" t="s">
        <v>152</v>
      </c>
      <c r="AO37" s="23" t="s">
        <v>146</v>
      </c>
      <c r="AP37" s="11"/>
      <c r="AQ37" s="88" t="s">
        <v>633</v>
      </c>
      <c r="AR37" s="57" t="s">
        <v>164</v>
      </c>
      <c r="AS37" s="46">
        <v>42531.492349537039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G38"/>
      <c r="H38" s="59">
        <v>42992.404930555553</v>
      </c>
      <c r="I38" s="43">
        <v>41653.715277777781</v>
      </c>
      <c r="J38" s="42">
        <v>41815.693703703706</v>
      </c>
      <c r="K38" s="81" t="s">
        <v>49</v>
      </c>
      <c r="L38" t="s">
        <v>49</v>
      </c>
      <c r="M38" t="s">
        <v>336</v>
      </c>
      <c r="N38" s="1" t="s">
        <v>336</v>
      </c>
      <c r="O38" s="1" t="s">
        <v>337</v>
      </c>
      <c r="P38" t="s">
        <v>337</v>
      </c>
      <c r="Q38" s="9" t="s">
        <v>45</v>
      </c>
      <c r="R38" s="82" t="s">
        <v>45</v>
      </c>
      <c r="S38" s="44" t="s">
        <v>173</v>
      </c>
      <c r="T38" s="3" t="s">
        <v>61</v>
      </c>
      <c r="U38" s="2" t="s">
        <v>29</v>
      </c>
      <c r="V38" s="3" t="s">
        <v>29</v>
      </c>
      <c r="W38" s="11" t="s">
        <v>153</v>
      </c>
      <c r="X38" s="3" t="s">
        <v>153</v>
      </c>
      <c r="Y38" s="77" t="s">
        <v>48</v>
      </c>
      <c r="Z38" s="84" t="s">
        <v>640</v>
      </c>
      <c r="AA38" s="89" t="s">
        <v>174</v>
      </c>
      <c r="AB38" s="90" t="str">
        <f>HYPERLINK(CONCATENATE("https://www.ejacket.nsf.gov/ej/showProposal.do?ID=",SUBSTITUTE(SplitQueryTableRecent[[#This Row],[prop_id]],CHAR(160),"")),"eJ")</f>
        <v>eJ</v>
      </c>
      <c r="AC38" s="89" t="s">
        <v>640</v>
      </c>
      <c r="AD38" s="3" t="s">
        <v>640</v>
      </c>
      <c r="AE38" s="91">
        <v>2014</v>
      </c>
      <c r="AF38" s="13" t="s">
        <v>43</v>
      </c>
      <c r="AG38" s="13">
        <v>254786</v>
      </c>
      <c r="AH38" s="45">
        <v>254786</v>
      </c>
      <c r="AI38" s="44" t="s">
        <v>642</v>
      </c>
      <c r="AJ38" s="2" t="s">
        <v>643</v>
      </c>
      <c r="AK38" s="46" t="s">
        <v>1711</v>
      </c>
      <c r="AL38" s="55" t="s">
        <v>584</v>
      </c>
      <c r="AM38" s="45" t="s">
        <v>584</v>
      </c>
      <c r="AN38" s="56" t="s">
        <v>152</v>
      </c>
      <c r="AO38" s="23" t="s">
        <v>146</v>
      </c>
      <c r="AP38" s="11"/>
      <c r="AQ38" s="88" t="s">
        <v>641</v>
      </c>
      <c r="AR38" s="57" t="s">
        <v>161</v>
      </c>
      <c r="AS38" s="46">
        <v>41843.356203703705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G39"/>
      <c r="H39" s="59">
        <v>42992.404930555553</v>
      </c>
      <c r="I39" s="43">
        <v>41953.61041666667</v>
      </c>
      <c r="J39" s="42">
        <v>42213.674861111111</v>
      </c>
      <c r="K39" s="81" t="s">
        <v>49</v>
      </c>
      <c r="L39" t="s">
        <v>49</v>
      </c>
      <c r="M39" t="s">
        <v>336</v>
      </c>
      <c r="N39" s="1" t="s">
        <v>336</v>
      </c>
      <c r="O39" s="1" t="s">
        <v>337</v>
      </c>
      <c r="P39" t="s">
        <v>337</v>
      </c>
      <c r="Q39" s="9" t="s">
        <v>45</v>
      </c>
      <c r="R39" s="82" t="s">
        <v>45</v>
      </c>
      <c r="S39" s="44" t="s">
        <v>184</v>
      </c>
      <c r="T39" s="3" t="s">
        <v>61</v>
      </c>
      <c r="U39" s="2" t="s">
        <v>29</v>
      </c>
      <c r="V39" s="3" t="s">
        <v>29</v>
      </c>
      <c r="W39" s="11" t="s">
        <v>153</v>
      </c>
      <c r="X39" s="3" t="s">
        <v>153</v>
      </c>
      <c r="Y39" s="77" t="s">
        <v>48</v>
      </c>
      <c r="Z39" s="84" t="s">
        <v>644</v>
      </c>
      <c r="AA39" s="89" t="s">
        <v>174</v>
      </c>
      <c r="AB39" s="90" t="str">
        <f>HYPERLINK(CONCATENATE("https://www.ejacket.nsf.gov/ej/showProposal.do?ID=",SUBSTITUTE(SplitQueryTableRecent[[#This Row],[prop_id]],CHAR(160),"")),"eJ")</f>
        <v>eJ</v>
      </c>
      <c r="AC39" s="89" t="s">
        <v>644</v>
      </c>
      <c r="AD39" s="3" t="s">
        <v>644</v>
      </c>
      <c r="AE39" s="91">
        <v>2015</v>
      </c>
      <c r="AF39" s="13" t="s">
        <v>43</v>
      </c>
      <c r="AG39" s="13">
        <v>164889</v>
      </c>
      <c r="AH39" s="45">
        <v>696766</v>
      </c>
      <c r="AI39" s="44" t="s">
        <v>642</v>
      </c>
      <c r="AJ39" s="2" t="s">
        <v>643</v>
      </c>
      <c r="AK39" s="46" t="s">
        <v>1711</v>
      </c>
      <c r="AL39" s="55" t="s">
        <v>341</v>
      </c>
      <c r="AM39" s="45" t="s">
        <v>341</v>
      </c>
      <c r="AN39" s="56" t="s">
        <v>152</v>
      </c>
      <c r="AO39" s="23" t="s">
        <v>146</v>
      </c>
      <c r="AP39" s="11"/>
      <c r="AQ39" s="88" t="s">
        <v>553</v>
      </c>
      <c r="AR39" s="57" t="s">
        <v>164</v>
      </c>
      <c r="AS39" s="46">
        <v>42250.324097222219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135</v>
      </c>
      <c r="G40" s="7"/>
      <c r="H40" s="59">
        <v>42992.404930555553</v>
      </c>
      <c r="I40" s="43">
        <v>41653.731944444444</v>
      </c>
      <c r="J40" s="42">
        <v>41834.558136574073</v>
      </c>
      <c r="K40" s="81" t="s">
        <v>49</v>
      </c>
      <c r="L40" t="s">
        <v>49</v>
      </c>
      <c r="M40" t="s">
        <v>571</v>
      </c>
      <c r="N40" s="1" t="s">
        <v>336</v>
      </c>
      <c r="O40" s="1" t="s">
        <v>347</v>
      </c>
      <c r="P40" t="s">
        <v>347</v>
      </c>
      <c r="Q40" s="9" t="s">
        <v>45</v>
      </c>
      <c r="R40" s="82" t="s">
        <v>45</v>
      </c>
      <c r="S40" s="44" t="s">
        <v>173</v>
      </c>
      <c r="T40" s="3" t="s">
        <v>61</v>
      </c>
      <c r="U40" s="2" t="s">
        <v>29</v>
      </c>
      <c r="V40" s="3" t="s">
        <v>29</v>
      </c>
      <c r="W40" s="11" t="s">
        <v>153</v>
      </c>
      <c r="X40" s="3" t="s">
        <v>153</v>
      </c>
      <c r="Y40" s="77" t="s">
        <v>48</v>
      </c>
      <c r="Z40" s="84" t="s">
        <v>647</v>
      </c>
      <c r="AA40" s="89" t="s">
        <v>28</v>
      </c>
      <c r="AB40" s="90" t="str">
        <f>HYPERLINK(CONCATENATE("https://www.ejacket.nsf.gov/ej/showProposal.do?ID=",SUBSTITUTE(SplitQueryTableRecent[[#This Row],[prop_id]],CHAR(160),"")),"eJ")</f>
        <v>eJ</v>
      </c>
      <c r="AC40" s="89" t="s">
        <v>647</v>
      </c>
      <c r="AD40" s="3" t="s">
        <v>647</v>
      </c>
      <c r="AE40" s="91">
        <v>2014</v>
      </c>
      <c r="AF40" s="13" t="s">
        <v>43</v>
      </c>
      <c r="AG40" s="13">
        <v>300000</v>
      </c>
      <c r="AH40" s="45">
        <v>489727</v>
      </c>
      <c r="AI40" s="44" t="s">
        <v>645</v>
      </c>
      <c r="AJ40" s="2" t="s">
        <v>646</v>
      </c>
      <c r="AK40" s="46" t="s">
        <v>1711</v>
      </c>
      <c r="AL40" s="55" t="s">
        <v>649</v>
      </c>
      <c r="AM40" s="45" t="s">
        <v>650</v>
      </c>
      <c r="AN40" s="56" t="s">
        <v>152</v>
      </c>
      <c r="AO40" s="23" t="s">
        <v>146</v>
      </c>
      <c r="AP40" s="11"/>
      <c r="AQ40" s="88" t="s">
        <v>648</v>
      </c>
      <c r="AR40" s="57" t="s">
        <v>164</v>
      </c>
      <c r="AS40" s="46">
        <v>41844.426550925928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H41" s="59">
        <v>42992.404930555553</v>
      </c>
      <c r="I41" s="43">
        <v>42325.662499999999</v>
      </c>
      <c r="J41" s="42">
        <v>42557.644502314812</v>
      </c>
      <c r="K41" s="81" t="s">
        <v>49</v>
      </c>
      <c r="L41" t="s">
        <v>49</v>
      </c>
      <c r="M41" t="s">
        <v>336</v>
      </c>
      <c r="N41" s="1" t="s">
        <v>336</v>
      </c>
      <c r="O41" s="1" t="s">
        <v>230</v>
      </c>
      <c r="P41" t="s">
        <v>230</v>
      </c>
      <c r="Q41" s="9" t="s">
        <v>45</v>
      </c>
      <c r="R41" s="82" t="s">
        <v>45</v>
      </c>
      <c r="S41" s="44" t="s">
        <v>196</v>
      </c>
      <c r="T41" s="3" t="s">
        <v>61</v>
      </c>
      <c r="U41" s="2" t="s">
        <v>29</v>
      </c>
      <c r="V41" s="3" t="s">
        <v>29</v>
      </c>
      <c r="W41" s="11" t="s">
        <v>153</v>
      </c>
      <c r="X41" s="3" t="s">
        <v>153</v>
      </c>
      <c r="Y41" s="77" t="s">
        <v>48</v>
      </c>
      <c r="Z41" s="84" t="s">
        <v>652</v>
      </c>
      <c r="AA41" s="89" t="s">
        <v>28</v>
      </c>
      <c r="AB41" s="90" t="str">
        <f>HYPERLINK(CONCATENATE("https://www.ejacket.nsf.gov/ej/showProposal.do?ID=",SUBSTITUTE(SplitQueryTableRecent[[#This Row],[prop_id]],CHAR(160),"")),"eJ")</f>
        <v>eJ</v>
      </c>
      <c r="AC41" s="89" t="s">
        <v>652</v>
      </c>
      <c r="AD41" s="3" t="s">
        <v>652</v>
      </c>
      <c r="AE41" s="91">
        <v>2016</v>
      </c>
      <c r="AF41" s="13" t="s">
        <v>43</v>
      </c>
      <c r="AG41" s="13">
        <v>300000</v>
      </c>
      <c r="AH41" s="45">
        <v>500000</v>
      </c>
      <c r="AI41" s="44" t="s">
        <v>654</v>
      </c>
      <c r="AJ41" s="2" t="s">
        <v>655</v>
      </c>
      <c r="AK41" s="46" t="s">
        <v>1706</v>
      </c>
      <c r="AL41" s="55" t="s">
        <v>544</v>
      </c>
      <c r="AM41" s="45" t="s">
        <v>544</v>
      </c>
      <c r="AN41" s="56" t="s">
        <v>152</v>
      </c>
      <c r="AO41" s="23" t="s">
        <v>146</v>
      </c>
      <c r="AP41" s="11"/>
      <c r="AQ41" s="88" t="s">
        <v>653</v>
      </c>
      <c r="AR41" s="57" t="s">
        <v>164</v>
      </c>
      <c r="AS41" s="46">
        <v>42579.447974537034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42992.404930555553</v>
      </c>
      <c r="I42" s="43">
        <v>41653.825694444444</v>
      </c>
      <c r="J42" s="42">
        <v>41814.3674537037</v>
      </c>
      <c r="K42" s="81" t="s">
        <v>49</v>
      </c>
      <c r="L42" t="s">
        <v>49</v>
      </c>
      <c r="M42" t="s">
        <v>336</v>
      </c>
      <c r="N42" s="1" t="s">
        <v>336</v>
      </c>
      <c r="O42" s="1" t="s">
        <v>245</v>
      </c>
      <c r="P42" t="s">
        <v>245</v>
      </c>
      <c r="Q42" s="9" t="s">
        <v>45</v>
      </c>
      <c r="R42" s="82" t="s">
        <v>45</v>
      </c>
      <c r="S42" s="44" t="s">
        <v>173</v>
      </c>
      <c r="T42" s="3" t="s">
        <v>61</v>
      </c>
      <c r="U42" s="2" t="s">
        <v>29</v>
      </c>
      <c r="V42" s="3" t="s">
        <v>29</v>
      </c>
      <c r="W42" s="11" t="s">
        <v>153</v>
      </c>
      <c r="X42" s="3" t="s">
        <v>153</v>
      </c>
      <c r="Y42" s="77" t="s">
        <v>48</v>
      </c>
      <c r="Z42" s="84" t="s">
        <v>658</v>
      </c>
      <c r="AA42" s="89" t="s">
        <v>28</v>
      </c>
      <c r="AB42" s="90" t="str">
        <f>HYPERLINK(CONCATENATE("https://www.ejacket.nsf.gov/ej/showProposal.do?ID=",SUBSTITUTE(SplitQueryTableRecent[[#This Row],[prop_id]],CHAR(160),"")),"eJ")</f>
        <v>eJ</v>
      </c>
      <c r="AC42" s="89" t="s">
        <v>658</v>
      </c>
      <c r="AD42" s="3" t="s">
        <v>658</v>
      </c>
      <c r="AE42" s="91">
        <v>2014</v>
      </c>
      <c r="AF42" s="13" t="s">
        <v>43</v>
      </c>
      <c r="AG42" s="13">
        <v>500000</v>
      </c>
      <c r="AH42" s="45">
        <v>500000</v>
      </c>
      <c r="AI42" s="44" t="s">
        <v>660</v>
      </c>
      <c r="AJ42" s="2" t="s">
        <v>661</v>
      </c>
      <c r="AK42" s="46" t="s">
        <v>1712</v>
      </c>
      <c r="AL42" s="55" t="s">
        <v>369</v>
      </c>
      <c r="AM42" s="45" t="s">
        <v>369</v>
      </c>
      <c r="AN42" s="56" t="s">
        <v>152</v>
      </c>
      <c r="AO42" s="23" t="s">
        <v>146</v>
      </c>
      <c r="AP42" s="11"/>
      <c r="AQ42" s="88" t="s">
        <v>659</v>
      </c>
      <c r="AR42" s="57" t="s">
        <v>164</v>
      </c>
      <c r="AS42" s="46">
        <v>41830.650833333333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H43" s="59">
        <v>42992.404930555553</v>
      </c>
      <c r="I43" s="43">
        <v>41653.678472222222</v>
      </c>
      <c r="J43" s="42">
        <v>41820.685648148145</v>
      </c>
      <c r="K43" s="81" t="s">
        <v>49</v>
      </c>
      <c r="L43" t="s">
        <v>49</v>
      </c>
      <c r="M43" t="s">
        <v>336</v>
      </c>
      <c r="N43" s="1" t="s">
        <v>336</v>
      </c>
      <c r="O43" s="1" t="s">
        <v>337</v>
      </c>
      <c r="P43" t="s">
        <v>337</v>
      </c>
      <c r="Q43" s="9" t="s">
        <v>45</v>
      </c>
      <c r="R43" s="82" t="s">
        <v>45</v>
      </c>
      <c r="S43" s="44" t="s">
        <v>173</v>
      </c>
      <c r="T43" s="3" t="s">
        <v>61</v>
      </c>
      <c r="U43" s="2" t="s">
        <v>29</v>
      </c>
      <c r="V43" s="3" t="s">
        <v>29</v>
      </c>
      <c r="W43" s="11" t="s">
        <v>153</v>
      </c>
      <c r="X43" s="3" t="s">
        <v>153</v>
      </c>
      <c r="Y43" s="77" t="s">
        <v>48</v>
      </c>
      <c r="Z43" s="84" t="s">
        <v>663</v>
      </c>
      <c r="AA43" s="89" t="s">
        <v>28</v>
      </c>
      <c r="AB43" s="90" t="str">
        <f>HYPERLINK(CONCATENATE("https://www.ejacket.nsf.gov/ej/showProposal.do?ID=",SUBSTITUTE(SplitQueryTableRecent[[#This Row],[prop_id]],CHAR(160),"")),"eJ")</f>
        <v>eJ</v>
      </c>
      <c r="AC43" s="89" t="s">
        <v>663</v>
      </c>
      <c r="AD43" s="3" t="s">
        <v>663</v>
      </c>
      <c r="AE43" s="91">
        <v>2014</v>
      </c>
      <c r="AF43" s="13" t="s">
        <v>43</v>
      </c>
      <c r="AG43" s="13">
        <v>494663</v>
      </c>
      <c r="AH43" s="45">
        <v>500000</v>
      </c>
      <c r="AI43" s="44" t="s">
        <v>237</v>
      </c>
      <c r="AJ43" s="2" t="s">
        <v>665</v>
      </c>
      <c r="AK43" s="46" t="s">
        <v>282</v>
      </c>
      <c r="AL43" s="55" t="s">
        <v>584</v>
      </c>
      <c r="AM43" s="45" t="s">
        <v>584</v>
      </c>
      <c r="AN43" s="56" t="s">
        <v>152</v>
      </c>
      <c r="AO43" s="23" t="s">
        <v>146</v>
      </c>
      <c r="AP43" s="11"/>
      <c r="AQ43" s="88" t="s">
        <v>664</v>
      </c>
      <c r="AR43" s="57" t="s">
        <v>164</v>
      </c>
      <c r="AS43" s="46">
        <v>41836.339606481481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74</v>
      </c>
      <c r="D44" s="33"/>
      <c r="E44" s="31"/>
      <c r="F44" s="31"/>
      <c r="H44" s="59">
        <v>42992.404930555553</v>
      </c>
      <c r="I44" s="43">
        <v>42326.69027777778</v>
      </c>
      <c r="J44" s="42">
        <v>42508.447314814817</v>
      </c>
      <c r="K44" s="81" t="s">
        <v>49</v>
      </c>
      <c r="L44" t="s">
        <v>49</v>
      </c>
      <c r="M44" t="s">
        <v>336</v>
      </c>
      <c r="N44" s="1" t="s">
        <v>336</v>
      </c>
      <c r="O44" s="1" t="s">
        <v>337</v>
      </c>
      <c r="P44" t="s">
        <v>337</v>
      </c>
      <c r="Q44" s="9" t="s">
        <v>45</v>
      </c>
      <c r="R44" s="82" t="s">
        <v>45</v>
      </c>
      <c r="S44" s="44" t="s">
        <v>196</v>
      </c>
      <c r="T44" s="3" t="s">
        <v>61</v>
      </c>
      <c r="U44" s="2" t="s">
        <v>29</v>
      </c>
      <c r="V44" s="3" t="s">
        <v>29</v>
      </c>
      <c r="W44" s="11" t="s">
        <v>153</v>
      </c>
      <c r="X44" s="3" t="s">
        <v>153</v>
      </c>
      <c r="Y44" s="77" t="s">
        <v>48</v>
      </c>
      <c r="Z44" s="84" t="s">
        <v>670</v>
      </c>
      <c r="AA44" s="89" t="s">
        <v>28</v>
      </c>
      <c r="AB44" s="90" t="str">
        <f>HYPERLINK(CONCATENATE("https://www.ejacket.nsf.gov/ej/showProposal.do?ID=",SUBSTITUTE(SplitQueryTableRecent[[#This Row],[prop_id]],CHAR(160),"")),"eJ")</f>
        <v>eJ</v>
      </c>
      <c r="AC44" s="89" t="s">
        <v>670</v>
      </c>
      <c r="AD44" s="3" t="s">
        <v>670</v>
      </c>
      <c r="AE44" s="91">
        <v>2016</v>
      </c>
      <c r="AF44" s="13" t="s">
        <v>43</v>
      </c>
      <c r="AG44" s="13">
        <v>465439</v>
      </c>
      <c r="AH44" s="45">
        <v>465439</v>
      </c>
      <c r="AI44" s="44" t="s">
        <v>666</v>
      </c>
      <c r="AJ44" s="2" t="s">
        <v>667</v>
      </c>
      <c r="AK44" s="46" t="s">
        <v>1713</v>
      </c>
      <c r="AL44" s="55" t="s">
        <v>584</v>
      </c>
      <c r="AM44" s="45" t="s">
        <v>584</v>
      </c>
      <c r="AN44" s="56" t="s">
        <v>152</v>
      </c>
      <c r="AO44" s="23" t="s">
        <v>146</v>
      </c>
      <c r="AP44" s="11"/>
      <c r="AQ44" s="88" t="s">
        <v>671</v>
      </c>
      <c r="AR44" s="57" t="s">
        <v>164</v>
      </c>
      <c r="AS44" s="46">
        <v>42548.322164351855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H45" s="59">
        <v>42992.404930555553</v>
      </c>
      <c r="I45" s="43">
        <v>41653.805555555555</v>
      </c>
      <c r="J45" s="42">
        <v>41834.549398148149</v>
      </c>
      <c r="K45" s="81" t="s">
        <v>49</v>
      </c>
      <c r="L45" t="s">
        <v>49</v>
      </c>
      <c r="M45" t="s">
        <v>336</v>
      </c>
      <c r="N45" s="1" t="s">
        <v>336</v>
      </c>
      <c r="O45" s="1" t="s">
        <v>245</v>
      </c>
      <c r="P45" t="s">
        <v>245</v>
      </c>
      <c r="Q45" s="9" t="s">
        <v>45</v>
      </c>
      <c r="R45" s="82" t="s">
        <v>45</v>
      </c>
      <c r="S45" s="44" t="s">
        <v>636</v>
      </c>
      <c r="T45" s="3" t="s">
        <v>61</v>
      </c>
      <c r="U45" s="2" t="s">
        <v>29</v>
      </c>
      <c r="V45" s="3" t="s">
        <v>29</v>
      </c>
      <c r="W45" s="11" t="s">
        <v>153</v>
      </c>
      <c r="X45" s="3" t="s">
        <v>153</v>
      </c>
      <c r="Y45" s="77" t="s">
        <v>48</v>
      </c>
      <c r="Z45" s="84" t="s">
        <v>672</v>
      </c>
      <c r="AA45" s="89" t="s">
        <v>28</v>
      </c>
      <c r="AB45" s="90" t="str">
        <f>HYPERLINK(CONCATENATE("https://www.ejacket.nsf.gov/ej/showProposal.do?ID=",SUBSTITUTE(SplitQueryTableRecent[[#This Row],[prop_id]],CHAR(160),"")),"eJ")</f>
        <v>eJ</v>
      </c>
      <c r="AC45" s="89" t="s">
        <v>672</v>
      </c>
      <c r="AD45" s="3" t="s">
        <v>672</v>
      </c>
      <c r="AE45" s="91">
        <v>2014</v>
      </c>
      <c r="AF45" s="13" t="s">
        <v>43</v>
      </c>
      <c r="AG45" s="13">
        <v>499995</v>
      </c>
      <c r="AH45" s="45">
        <v>499995</v>
      </c>
      <c r="AI45" s="44" t="s">
        <v>674</v>
      </c>
      <c r="AJ45" s="2" t="s">
        <v>675</v>
      </c>
      <c r="AK45" s="46" t="s">
        <v>1709</v>
      </c>
      <c r="AL45" s="55" t="s">
        <v>369</v>
      </c>
      <c r="AM45" s="45" t="s">
        <v>369</v>
      </c>
      <c r="AN45" s="56" t="s">
        <v>152</v>
      </c>
      <c r="AO45" s="23" t="s">
        <v>146</v>
      </c>
      <c r="AP45" s="11"/>
      <c r="AQ45" s="88" t="s">
        <v>673</v>
      </c>
      <c r="AR45" s="57" t="s">
        <v>164</v>
      </c>
      <c r="AS45" s="46">
        <v>41844.425578703704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59">
        <v>42992.404930555553</v>
      </c>
      <c r="I46" s="43">
        <v>41653.684027777781</v>
      </c>
      <c r="J46" s="42">
        <v>41841.49077546296</v>
      </c>
      <c r="K46" s="81" t="s">
        <v>49</v>
      </c>
      <c r="L46" t="s">
        <v>49</v>
      </c>
      <c r="M46" t="s">
        <v>336</v>
      </c>
      <c r="N46" s="1" t="s">
        <v>336</v>
      </c>
      <c r="O46" s="1" t="s">
        <v>245</v>
      </c>
      <c r="P46" t="s">
        <v>245</v>
      </c>
      <c r="Q46" s="9" t="s">
        <v>45</v>
      </c>
      <c r="R46" s="82" t="s">
        <v>45</v>
      </c>
      <c r="S46" s="44" t="s">
        <v>173</v>
      </c>
      <c r="T46" s="3" t="s">
        <v>61</v>
      </c>
      <c r="U46" s="2" t="s">
        <v>29</v>
      </c>
      <c r="V46" s="3" t="s">
        <v>29</v>
      </c>
      <c r="W46" s="11" t="s">
        <v>153</v>
      </c>
      <c r="X46" s="3" t="s">
        <v>153</v>
      </c>
      <c r="Y46" s="77" t="s">
        <v>48</v>
      </c>
      <c r="Z46" s="84" t="s">
        <v>677</v>
      </c>
      <c r="AA46" s="89" t="s">
        <v>28</v>
      </c>
      <c r="AB46" s="90" t="str">
        <f>HYPERLINK(CONCATENATE("https://www.ejacket.nsf.gov/ej/showProposal.do?ID=",SUBSTITUTE(SplitQueryTableRecent[[#This Row],[prop_id]],CHAR(160),"")),"eJ")</f>
        <v>eJ</v>
      </c>
      <c r="AC46" s="89" t="s">
        <v>677</v>
      </c>
      <c r="AD46" s="3" t="s">
        <v>677</v>
      </c>
      <c r="AE46" s="91">
        <v>2014</v>
      </c>
      <c r="AF46" s="13" t="s">
        <v>43</v>
      </c>
      <c r="AG46" s="13">
        <v>238023</v>
      </c>
      <c r="AH46" s="45">
        <v>476045</v>
      </c>
      <c r="AI46" s="44" t="s">
        <v>681</v>
      </c>
      <c r="AJ46" s="2" t="s">
        <v>287</v>
      </c>
      <c r="AK46" s="46" t="s">
        <v>1714</v>
      </c>
      <c r="AL46" s="55" t="s">
        <v>679</v>
      </c>
      <c r="AM46" s="45" t="s">
        <v>680</v>
      </c>
      <c r="AN46" s="56" t="s">
        <v>152</v>
      </c>
      <c r="AO46" s="23" t="s">
        <v>146</v>
      </c>
      <c r="AP46" s="11"/>
      <c r="AQ46" s="88" t="s">
        <v>678</v>
      </c>
      <c r="AR46" s="57" t="s">
        <v>164</v>
      </c>
      <c r="AS46" s="46">
        <v>41856.390914351854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/>
      <c r="B47" s="36"/>
      <c r="C47" s="36"/>
      <c r="D47" s="37"/>
      <c r="E47" s="36"/>
      <c r="F47" s="36"/>
      <c r="H47" s="59">
        <v>42992.404930555553</v>
      </c>
      <c r="I47" s="43">
        <v>42690.55972222222</v>
      </c>
      <c r="J47" s="42">
        <v>42906.277106481481</v>
      </c>
      <c r="K47" s="81" t="s">
        <v>49</v>
      </c>
      <c r="L47" t="s">
        <v>49</v>
      </c>
      <c r="M47" t="s">
        <v>336</v>
      </c>
      <c r="N47" s="1" t="s">
        <v>336</v>
      </c>
      <c r="O47" s="1" t="s">
        <v>337</v>
      </c>
      <c r="P47" t="s">
        <v>337</v>
      </c>
      <c r="Q47" s="9" t="s">
        <v>45</v>
      </c>
      <c r="R47" s="82" t="s">
        <v>45</v>
      </c>
      <c r="S47" s="44" t="s">
        <v>192</v>
      </c>
      <c r="T47" s="3" t="s">
        <v>61</v>
      </c>
      <c r="U47" s="2" t="s">
        <v>29</v>
      </c>
      <c r="V47" s="3" t="s">
        <v>29</v>
      </c>
      <c r="W47" s="11" t="s">
        <v>153</v>
      </c>
      <c r="X47" s="3" t="s">
        <v>153</v>
      </c>
      <c r="Y47" s="77" t="s">
        <v>48</v>
      </c>
      <c r="Z47" s="84" t="s">
        <v>687</v>
      </c>
      <c r="AA47" s="89" t="s">
        <v>28</v>
      </c>
      <c r="AB47" s="90" t="str">
        <f>HYPERLINK(CONCATENATE("https://www.ejacket.nsf.gov/ej/showProposal.do?ID=",SUBSTITUTE(SplitQueryTableRecent[[#This Row],[prop_id]],CHAR(160),"")),"eJ")</f>
        <v>eJ</v>
      </c>
      <c r="AC47" s="89" t="s">
        <v>687</v>
      </c>
      <c r="AD47" s="3" t="s">
        <v>687</v>
      </c>
      <c r="AE47" s="91">
        <v>2017</v>
      </c>
      <c r="AF47" s="13" t="s">
        <v>43</v>
      </c>
      <c r="AG47" s="13">
        <v>500000</v>
      </c>
      <c r="AH47" s="45">
        <v>500000</v>
      </c>
      <c r="AI47" s="44" t="s">
        <v>686</v>
      </c>
      <c r="AJ47" s="2" t="s">
        <v>166</v>
      </c>
      <c r="AK47" s="46" t="s">
        <v>1715</v>
      </c>
      <c r="AL47" s="55" t="s">
        <v>584</v>
      </c>
      <c r="AM47" s="45" t="s">
        <v>584</v>
      </c>
      <c r="AN47" s="56" t="s">
        <v>152</v>
      </c>
      <c r="AO47" s="23" t="s">
        <v>146</v>
      </c>
      <c r="AP47" s="11"/>
      <c r="AQ47" s="88" t="s">
        <v>688</v>
      </c>
      <c r="AR47" s="57" t="s">
        <v>188</v>
      </c>
      <c r="AS47" s="46">
        <v>42914.550057870372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H48" s="59">
        <v>42992.404930555553</v>
      </c>
      <c r="I48" s="43">
        <v>42325.78125</v>
      </c>
      <c r="J48" s="42">
        <v>42508.684062499997</v>
      </c>
      <c r="K48" s="81" t="s">
        <v>49</v>
      </c>
      <c r="L48" t="s">
        <v>49</v>
      </c>
      <c r="M48" t="s">
        <v>185</v>
      </c>
      <c r="N48" s="1" t="s">
        <v>336</v>
      </c>
      <c r="O48" s="1" t="s">
        <v>189</v>
      </c>
      <c r="P48" t="s">
        <v>337</v>
      </c>
      <c r="Q48" s="9" t="s">
        <v>45</v>
      </c>
      <c r="R48" s="82" t="s">
        <v>45</v>
      </c>
      <c r="S48" s="44" t="s">
        <v>196</v>
      </c>
      <c r="T48" s="3" t="s">
        <v>61</v>
      </c>
      <c r="U48" s="2" t="s">
        <v>29</v>
      </c>
      <c r="V48" s="3" t="s">
        <v>29</v>
      </c>
      <c r="W48" s="11" t="s">
        <v>153</v>
      </c>
      <c r="X48" s="3" t="s">
        <v>153</v>
      </c>
      <c r="Y48" s="77" t="s">
        <v>48</v>
      </c>
      <c r="Z48" s="84" t="s">
        <v>691</v>
      </c>
      <c r="AA48" s="89" t="s">
        <v>28</v>
      </c>
      <c r="AB48" s="90" t="str">
        <f>HYPERLINK(CONCATENATE("https://www.ejacket.nsf.gov/ej/showProposal.do?ID=",SUBSTITUTE(SplitQueryTableRecent[[#This Row],[prop_id]],CHAR(160),"")),"eJ")</f>
        <v>eJ</v>
      </c>
      <c r="AC48" s="89" t="s">
        <v>691</v>
      </c>
      <c r="AD48" s="3" t="s">
        <v>691</v>
      </c>
      <c r="AE48" s="91">
        <v>2016</v>
      </c>
      <c r="AF48" s="13" t="s">
        <v>43</v>
      </c>
      <c r="AG48" s="13">
        <v>225000</v>
      </c>
      <c r="AH48" s="45">
        <v>500000</v>
      </c>
      <c r="AI48" s="44" t="s">
        <v>694</v>
      </c>
      <c r="AJ48" s="2" t="s">
        <v>628</v>
      </c>
      <c r="AK48" s="46" t="s">
        <v>1706</v>
      </c>
      <c r="AL48" s="55" t="s">
        <v>693</v>
      </c>
      <c r="AM48" s="45" t="s">
        <v>369</v>
      </c>
      <c r="AN48" s="56" t="s">
        <v>152</v>
      </c>
      <c r="AO48" s="23" t="s">
        <v>146</v>
      </c>
      <c r="AP48" s="11"/>
      <c r="AQ48" s="88" t="s">
        <v>692</v>
      </c>
      <c r="AR48" s="57" t="s">
        <v>164</v>
      </c>
      <c r="AS48" s="46">
        <v>42548.366759259261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8:88" x14ac:dyDescent="0.4">
      <c r="H49" s="59">
        <v>42992.404930555553</v>
      </c>
      <c r="I49" s="43">
        <v>42018.615277777775</v>
      </c>
      <c r="J49" s="42">
        <v>42184.620057870372</v>
      </c>
      <c r="K49" s="81" t="s">
        <v>49</v>
      </c>
      <c r="L49" t="s">
        <v>49</v>
      </c>
      <c r="M49" t="s">
        <v>336</v>
      </c>
      <c r="N49" s="1" t="s">
        <v>336</v>
      </c>
      <c r="O49" s="1" t="s">
        <v>337</v>
      </c>
      <c r="P49" t="s">
        <v>337</v>
      </c>
      <c r="Q49" s="9" t="s">
        <v>45</v>
      </c>
      <c r="R49" s="82" t="s">
        <v>45</v>
      </c>
      <c r="S49" s="44" t="s">
        <v>184</v>
      </c>
      <c r="T49" s="3" t="s">
        <v>61</v>
      </c>
      <c r="U49" s="2" t="s">
        <v>29</v>
      </c>
      <c r="V49" s="3" t="s">
        <v>29</v>
      </c>
      <c r="W49" s="11" t="s">
        <v>153</v>
      </c>
      <c r="X49" s="3" t="s">
        <v>153</v>
      </c>
      <c r="Y49" s="77" t="s">
        <v>48</v>
      </c>
      <c r="Z49" s="84" t="s">
        <v>695</v>
      </c>
      <c r="AA49" s="89" t="s">
        <v>28</v>
      </c>
      <c r="AB49" s="90" t="str">
        <f>HYPERLINK(CONCATENATE("https://www.ejacket.nsf.gov/ej/showProposal.do?ID=",SUBSTITUTE(SplitQueryTableRecent[[#This Row],[prop_id]],CHAR(160),"")),"eJ")</f>
        <v>eJ</v>
      </c>
      <c r="AC49" s="89" t="s">
        <v>695</v>
      </c>
      <c r="AD49" s="3" t="s">
        <v>695</v>
      </c>
      <c r="AE49" s="91">
        <v>2015</v>
      </c>
      <c r="AF49" s="13" t="s">
        <v>43</v>
      </c>
      <c r="AG49" s="13">
        <v>500000</v>
      </c>
      <c r="AH49" s="45">
        <v>500000</v>
      </c>
      <c r="AI49" s="44" t="s">
        <v>697</v>
      </c>
      <c r="AJ49" s="2" t="s">
        <v>698</v>
      </c>
      <c r="AK49" s="46" t="s">
        <v>1714</v>
      </c>
      <c r="AL49" s="55" t="s">
        <v>584</v>
      </c>
      <c r="AM49" s="45" t="s">
        <v>584</v>
      </c>
      <c r="AN49" s="56" t="s">
        <v>152</v>
      </c>
      <c r="AO49" s="23" t="s">
        <v>146</v>
      </c>
      <c r="AP49" s="11"/>
      <c r="AQ49" s="88" t="s">
        <v>696</v>
      </c>
      <c r="AR49" s="57" t="s">
        <v>164</v>
      </c>
      <c r="AS49" s="46">
        <v>42212.437534722223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8:88" x14ac:dyDescent="0.4">
      <c r="H50" s="59">
        <v>42992.404930555553</v>
      </c>
      <c r="I50" s="43">
        <v>42326.631944444445</v>
      </c>
      <c r="J50" s="42">
        <v>42508.44358796296</v>
      </c>
      <c r="K50" s="81" t="s">
        <v>49</v>
      </c>
      <c r="L50" t="s">
        <v>49</v>
      </c>
      <c r="M50" t="s">
        <v>336</v>
      </c>
      <c r="N50" s="1" t="s">
        <v>336</v>
      </c>
      <c r="O50" s="1" t="s">
        <v>337</v>
      </c>
      <c r="P50" t="s">
        <v>337</v>
      </c>
      <c r="Q50" s="9" t="s">
        <v>45</v>
      </c>
      <c r="R50" s="82" t="s">
        <v>45</v>
      </c>
      <c r="S50" s="44" t="s">
        <v>196</v>
      </c>
      <c r="T50" s="3" t="s">
        <v>61</v>
      </c>
      <c r="U50" s="2" t="s">
        <v>29</v>
      </c>
      <c r="V50" s="3" t="s">
        <v>29</v>
      </c>
      <c r="W50" s="11" t="s">
        <v>153</v>
      </c>
      <c r="X50" s="3" t="s">
        <v>153</v>
      </c>
      <c r="Y50" s="77" t="s">
        <v>48</v>
      </c>
      <c r="Z50" s="84" t="s">
        <v>699</v>
      </c>
      <c r="AA50" s="89" t="s">
        <v>28</v>
      </c>
      <c r="AB50" s="90" t="str">
        <f>HYPERLINK(CONCATENATE("https://www.ejacket.nsf.gov/ej/showProposal.do?ID=",SUBSTITUTE(SplitQueryTableRecent[[#This Row],[prop_id]],CHAR(160),"")),"eJ")</f>
        <v>eJ</v>
      </c>
      <c r="AC50" s="89" t="s">
        <v>699</v>
      </c>
      <c r="AD50" s="3" t="s">
        <v>699</v>
      </c>
      <c r="AE50" s="91">
        <v>2016</v>
      </c>
      <c r="AF50" s="13" t="s">
        <v>43</v>
      </c>
      <c r="AG50" s="13">
        <v>461642</v>
      </c>
      <c r="AH50" s="45">
        <v>461642</v>
      </c>
      <c r="AI50" s="44" t="s">
        <v>701</v>
      </c>
      <c r="AJ50" s="2" t="s">
        <v>702</v>
      </c>
      <c r="AK50" s="46" t="s">
        <v>1716</v>
      </c>
      <c r="AL50" s="55" t="s">
        <v>584</v>
      </c>
      <c r="AM50" s="45" t="s">
        <v>584</v>
      </c>
      <c r="AN50" s="56" t="s">
        <v>152</v>
      </c>
      <c r="AO50" s="23" t="s">
        <v>146</v>
      </c>
      <c r="AP50" s="11"/>
      <c r="AQ50" s="88" t="s">
        <v>700</v>
      </c>
      <c r="AR50" s="57" t="s">
        <v>164</v>
      </c>
      <c r="AS50" s="46">
        <v>42548.318958333337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8:88" x14ac:dyDescent="0.4">
      <c r="H51" s="59">
        <v>42992.404930555553</v>
      </c>
      <c r="I51" s="43">
        <v>42690.682638888888</v>
      </c>
      <c r="J51" s="42">
        <v>42923.487384259257</v>
      </c>
      <c r="K51" s="81" t="s">
        <v>49</v>
      </c>
      <c r="L51" t="s">
        <v>49</v>
      </c>
      <c r="M51" t="s">
        <v>336</v>
      </c>
      <c r="N51" s="1" t="s">
        <v>336</v>
      </c>
      <c r="O51" s="1" t="s">
        <v>245</v>
      </c>
      <c r="P51" t="s">
        <v>245</v>
      </c>
      <c r="Q51" s="9" t="s">
        <v>45</v>
      </c>
      <c r="R51" s="82" t="s">
        <v>45</v>
      </c>
      <c r="S51" s="44" t="s">
        <v>192</v>
      </c>
      <c r="T51" s="3" t="s">
        <v>61</v>
      </c>
      <c r="U51" s="2" t="s">
        <v>29</v>
      </c>
      <c r="V51" s="3" t="s">
        <v>29</v>
      </c>
      <c r="W51" s="11" t="s">
        <v>153</v>
      </c>
      <c r="X51" s="3" t="s">
        <v>153</v>
      </c>
      <c r="Y51" s="77" t="s">
        <v>48</v>
      </c>
      <c r="Z51" s="84" t="s">
        <v>704</v>
      </c>
      <c r="AA51" s="89" t="s">
        <v>28</v>
      </c>
      <c r="AB51" s="90" t="str">
        <f>HYPERLINK(CONCATENATE("https://www.ejacket.nsf.gov/ej/showProposal.do?ID=",SUBSTITUTE(SplitQueryTableRecent[[#This Row],[prop_id]],CHAR(160),"")),"eJ")</f>
        <v>eJ</v>
      </c>
      <c r="AC51" s="89" t="s">
        <v>704</v>
      </c>
      <c r="AD51" s="3" t="s">
        <v>704</v>
      </c>
      <c r="AE51" s="91">
        <v>2017</v>
      </c>
      <c r="AF51" s="13" t="s">
        <v>43</v>
      </c>
      <c r="AG51" s="13">
        <v>180000</v>
      </c>
      <c r="AH51" s="45">
        <v>499463</v>
      </c>
      <c r="AI51" s="44" t="s">
        <v>402</v>
      </c>
      <c r="AJ51" s="2" t="s">
        <v>708</v>
      </c>
      <c r="AK51" s="46" t="s">
        <v>1709</v>
      </c>
      <c r="AL51" s="55" t="s">
        <v>706</v>
      </c>
      <c r="AM51" s="45" t="s">
        <v>707</v>
      </c>
      <c r="AN51" s="56" t="s">
        <v>152</v>
      </c>
      <c r="AO51" s="23" t="s">
        <v>146</v>
      </c>
      <c r="AP51" s="11"/>
      <c r="AQ51" s="88" t="s">
        <v>705</v>
      </c>
      <c r="AR51" s="57" t="s">
        <v>40</v>
      </c>
      <c r="AS51" s="46">
        <v>42944.410949074074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8:88" x14ac:dyDescent="0.4">
      <c r="H52" s="59">
        <v>42992.404930555553</v>
      </c>
      <c r="I52" s="43">
        <v>42013.820833333331</v>
      </c>
      <c r="J52" s="42">
        <v>42194.43377314815</v>
      </c>
      <c r="K52" s="81" t="s">
        <v>49</v>
      </c>
      <c r="L52" t="s">
        <v>49</v>
      </c>
      <c r="M52" t="s">
        <v>336</v>
      </c>
      <c r="N52" s="1" t="s">
        <v>336</v>
      </c>
      <c r="O52" s="1" t="s">
        <v>245</v>
      </c>
      <c r="P52" t="s">
        <v>245</v>
      </c>
      <c r="Q52" s="9" t="s">
        <v>45</v>
      </c>
      <c r="R52" s="82" t="s">
        <v>45</v>
      </c>
      <c r="S52" s="44" t="s">
        <v>184</v>
      </c>
      <c r="T52" s="3" t="s">
        <v>61</v>
      </c>
      <c r="U52" s="2" t="s">
        <v>29</v>
      </c>
      <c r="V52" s="3" t="s">
        <v>29</v>
      </c>
      <c r="W52" s="11" t="s">
        <v>153</v>
      </c>
      <c r="X52" s="3" t="s">
        <v>153</v>
      </c>
      <c r="Y52" s="77" t="s">
        <v>48</v>
      </c>
      <c r="Z52" s="84" t="s">
        <v>710</v>
      </c>
      <c r="AA52" s="89" t="s">
        <v>28</v>
      </c>
      <c r="AB52" s="90" t="str">
        <f>HYPERLINK(CONCATENATE("https://www.ejacket.nsf.gov/ej/showProposal.do?ID=",SUBSTITUTE(SplitQueryTableRecent[[#This Row],[prop_id]],CHAR(160),"")),"eJ")</f>
        <v>eJ</v>
      </c>
      <c r="AC52" s="89" t="s">
        <v>710</v>
      </c>
      <c r="AD52" s="3" t="s">
        <v>710</v>
      </c>
      <c r="AE52" s="91">
        <v>2015</v>
      </c>
      <c r="AF52" s="13" t="s">
        <v>43</v>
      </c>
      <c r="AG52" s="13">
        <v>500000</v>
      </c>
      <c r="AH52" s="45">
        <v>500000</v>
      </c>
      <c r="AI52" s="44" t="s">
        <v>712</v>
      </c>
      <c r="AJ52" s="2" t="s">
        <v>217</v>
      </c>
      <c r="AK52" s="46" t="s">
        <v>1717</v>
      </c>
      <c r="AL52" s="55" t="s">
        <v>369</v>
      </c>
      <c r="AM52" s="45" t="s">
        <v>369</v>
      </c>
      <c r="AN52" s="56" t="s">
        <v>152</v>
      </c>
      <c r="AO52" s="23" t="s">
        <v>146</v>
      </c>
      <c r="AP52" s="11"/>
      <c r="AQ52" s="88" t="s">
        <v>711</v>
      </c>
      <c r="AR52" s="57" t="s">
        <v>164</v>
      </c>
      <c r="AS52" s="46">
        <v>42223.584814814814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8:88" x14ac:dyDescent="0.4">
      <c r="H53" s="59">
        <v>42992.404930555553</v>
      </c>
      <c r="I53" s="43">
        <v>41653.674305555556</v>
      </c>
      <c r="J53" s="42">
        <v>41815.679548611108</v>
      </c>
      <c r="K53" s="81" t="s">
        <v>49</v>
      </c>
      <c r="L53" t="s">
        <v>49</v>
      </c>
      <c r="M53" t="s">
        <v>336</v>
      </c>
      <c r="N53" s="1" t="s">
        <v>336</v>
      </c>
      <c r="O53" s="1" t="s">
        <v>337</v>
      </c>
      <c r="P53" t="s">
        <v>337</v>
      </c>
      <c r="Q53" s="9" t="s">
        <v>45</v>
      </c>
      <c r="R53" s="82" t="s">
        <v>45</v>
      </c>
      <c r="S53" s="44" t="s">
        <v>173</v>
      </c>
      <c r="T53" s="3" t="s">
        <v>61</v>
      </c>
      <c r="U53" s="2" t="s">
        <v>29</v>
      </c>
      <c r="V53" s="3" t="s">
        <v>29</v>
      </c>
      <c r="W53" s="11" t="s">
        <v>153</v>
      </c>
      <c r="X53" s="3" t="s">
        <v>153</v>
      </c>
      <c r="Y53" s="77" t="s">
        <v>48</v>
      </c>
      <c r="Z53" s="84" t="s">
        <v>713</v>
      </c>
      <c r="AA53" s="89" t="s">
        <v>28</v>
      </c>
      <c r="AB53" s="90" t="str">
        <f>HYPERLINK(CONCATENATE("https://www.ejacket.nsf.gov/ej/showProposal.do?ID=",SUBSTITUTE(SplitQueryTableRecent[[#This Row],[prop_id]],CHAR(160),"")),"eJ")</f>
        <v>eJ</v>
      </c>
      <c r="AC53" s="89" t="s">
        <v>713</v>
      </c>
      <c r="AD53" s="3" t="s">
        <v>713</v>
      </c>
      <c r="AE53" s="91">
        <v>2014</v>
      </c>
      <c r="AF53" s="13" t="s">
        <v>43</v>
      </c>
      <c r="AG53" s="13">
        <v>368444</v>
      </c>
      <c r="AH53" s="45">
        <v>369406</v>
      </c>
      <c r="AI53" s="44" t="s">
        <v>715</v>
      </c>
      <c r="AJ53" s="2" t="s">
        <v>716</v>
      </c>
      <c r="AK53" s="46" t="s">
        <v>1718</v>
      </c>
      <c r="AL53" s="55" t="s">
        <v>584</v>
      </c>
      <c r="AM53" s="45" t="s">
        <v>584</v>
      </c>
      <c r="AN53" s="56" t="s">
        <v>152</v>
      </c>
      <c r="AO53" s="23" t="s">
        <v>146</v>
      </c>
      <c r="AP53" s="11"/>
      <c r="AQ53" s="88" t="s">
        <v>714</v>
      </c>
      <c r="AR53" s="57" t="s">
        <v>164</v>
      </c>
      <c r="AS53" s="46">
        <v>41830.655300925922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8:88" x14ac:dyDescent="0.4">
      <c r="H54" s="59">
        <v>42992.404930555553</v>
      </c>
      <c r="I54" s="43">
        <v>41590.492361111108</v>
      </c>
      <c r="J54" s="42">
        <v>41800.610162037039</v>
      </c>
      <c r="K54" s="81" t="s">
        <v>49</v>
      </c>
      <c r="L54" t="s">
        <v>49</v>
      </c>
      <c r="M54" t="s">
        <v>336</v>
      </c>
      <c r="N54" s="1" t="s">
        <v>336</v>
      </c>
      <c r="O54" s="1" t="s">
        <v>245</v>
      </c>
      <c r="P54" t="s">
        <v>245</v>
      </c>
      <c r="Q54" s="9" t="s">
        <v>45</v>
      </c>
      <c r="R54" s="82" t="s">
        <v>45</v>
      </c>
      <c r="S54" s="44" t="s">
        <v>173</v>
      </c>
      <c r="T54" s="3" t="s">
        <v>61</v>
      </c>
      <c r="U54" s="2" t="s">
        <v>29</v>
      </c>
      <c r="V54" s="3" t="s">
        <v>29</v>
      </c>
      <c r="W54" s="11" t="s">
        <v>153</v>
      </c>
      <c r="X54" s="3" t="s">
        <v>153</v>
      </c>
      <c r="Y54" s="77" t="s">
        <v>48</v>
      </c>
      <c r="Z54" s="84" t="s">
        <v>718</v>
      </c>
      <c r="AA54" s="89" t="s">
        <v>62</v>
      </c>
      <c r="AB54" s="90" t="str">
        <f>HYPERLINK(CONCATENATE("https://www.ejacket.nsf.gov/ej/showProposal.do?ID=",SUBSTITUTE(SplitQueryTableRecent[[#This Row],[prop_id]],CHAR(160),"")),"eJ")</f>
        <v>eJ</v>
      </c>
      <c r="AC54" s="89" t="s">
        <v>717</v>
      </c>
      <c r="AD54" s="3" t="s">
        <v>717</v>
      </c>
      <c r="AE54" s="91">
        <v>2014</v>
      </c>
      <c r="AF54" s="13" t="s">
        <v>43</v>
      </c>
      <c r="AG54" s="13">
        <v>200000</v>
      </c>
      <c r="AH54" s="45">
        <v>200000</v>
      </c>
      <c r="AI54" s="44" t="s">
        <v>354</v>
      </c>
      <c r="AJ54" s="2" t="s">
        <v>355</v>
      </c>
      <c r="AK54" s="46" t="s">
        <v>1710</v>
      </c>
      <c r="AL54" s="55" t="s">
        <v>353</v>
      </c>
      <c r="AM54" s="45" t="s">
        <v>353</v>
      </c>
      <c r="AN54" s="56" t="s">
        <v>152</v>
      </c>
      <c r="AO54" s="23" t="s">
        <v>146</v>
      </c>
      <c r="AP54" s="11"/>
      <c r="AQ54" s="88" t="s">
        <v>719</v>
      </c>
      <c r="AR54" s="57" t="s">
        <v>164</v>
      </c>
      <c r="AS54" s="46">
        <v>41810.372094907405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8:88" x14ac:dyDescent="0.4">
      <c r="H55" s="59">
        <v>42992.404930555553</v>
      </c>
      <c r="I55" s="43">
        <v>42018.702777777777</v>
      </c>
      <c r="J55" s="42">
        <v>42177.680636574078</v>
      </c>
      <c r="K55" s="81" t="s">
        <v>49</v>
      </c>
      <c r="L55" t="s">
        <v>49</v>
      </c>
      <c r="M55" t="s">
        <v>336</v>
      </c>
      <c r="N55" s="1" t="s">
        <v>336</v>
      </c>
      <c r="O55" s="1" t="s">
        <v>337</v>
      </c>
      <c r="P55" t="s">
        <v>337</v>
      </c>
      <c r="Q55" s="9" t="s">
        <v>45</v>
      </c>
      <c r="R55" s="82" t="s">
        <v>45</v>
      </c>
      <c r="S55" s="44" t="s">
        <v>184</v>
      </c>
      <c r="T55" s="3" t="s">
        <v>61</v>
      </c>
      <c r="U55" s="2" t="s">
        <v>29</v>
      </c>
      <c r="V55" s="3" t="s">
        <v>29</v>
      </c>
      <c r="W55" s="11" t="s">
        <v>153</v>
      </c>
      <c r="X55" s="3" t="s">
        <v>153</v>
      </c>
      <c r="Y55" s="77" t="s">
        <v>48</v>
      </c>
      <c r="Z55" s="84" t="s">
        <v>723</v>
      </c>
      <c r="AA55" s="89" t="s">
        <v>28</v>
      </c>
      <c r="AB55" s="90" t="str">
        <f>HYPERLINK(CONCATENATE("https://www.ejacket.nsf.gov/ej/showProposal.do?ID=",SUBSTITUTE(SplitQueryTableRecent[[#This Row],[prop_id]],CHAR(160),"")),"eJ")</f>
        <v>eJ</v>
      </c>
      <c r="AC55" s="89" t="s">
        <v>723</v>
      </c>
      <c r="AD55" s="3" t="s">
        <v>723</v>
      </c>
      <c r="AE55" s="91">
        <v>2015</v>
      </c>
      <c r="AF55" s="13" t="s">
        <v>43</v>
      </c>
      <c r="AG55" s="13">
        <v>500000</v>
      </c>
      <c r="AH55" s="45">
        <v>500000</v>
      </c>
      <c r="AI55" s="44" t="s">
        <v>354</v>
      </c>
      <c r="AJ55" s="2" t="s">
        <v>355</v>
      </c>
      <c r="AK55" s="46" t="s">
        <v>1710</v>
      </c>
      <c r="AL55" s="55" t="s">
        <v>725</v>
      </c>
      <c r="AM55" s="45" t="s">
        <v>725</v>
      </c>
      <c r="AN55" s="56" t="s">
        <v>152</v>
      </c>
      <c r="AO55" s="23" t="s">
        <v>146</v>
      </c>
      <c r="AP55" s="11"/>
      <c r="AQ55" s="88" t="s">
        <v>724</v>
      </c>
      <c r="AR55" s="57" t="s">
        <v>164</v>
      </c>
      <c r="AS55" s="46">
        <v>42208.281157407408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8:88" x14ac:dyDescent="0.4">
      <c r="H56" s="59">
        <v>42992.404930555553</v>
      </c>
      <c r="I56" s="43">
        <v>42018.681250000001</v>
      </c>
      <c r="J56" s="42">
        <v>42184.578541666669</v>
      </c>
      <c r="K56" s="81" t="s">
        <v>49</v>
      </c>
      <c r="L56" t="s">
        <v>49</v>
      </c>
      <c r="M56" t="s">
        <v>336</v>
      </c>
      <c r="N56" s="1" t="s">
        <v>336</v>
      </c>
      <c r="O56" s="1" t="s">
        <v>337</v>
      </c>
      <c r="P56" t="s">
        <v>337</v>
      </c>
      <c r="Q56" s="9" t="s">
        <v>45</v>
      </c>
      <c r="R56" s="82" t="s">
        <v>45</v>
      </c>
      <c r="S56" s="44" t="s">
        <v>184</v>
      </c>
      <c r="T56" s="3" t="s">
        <v>61</v>
      </c>
      <c r="U56" s="2" t="s">
        <v>29</v>
      </c>
      <c r="V56" s="3" t="s">
        <v>29</v>
      </c>
      <c r="W56" s="11" t="s">
        <v>153</v>
      </c>
      <c r="X56" s="3" t="s">
        <v>153</v>
      </c>
      <c r="Y56" s="77" t="s">
        <v>48</v>
      </c>
      <c r="Z56" s="84" t="s">
        <v>726</v>
      </c>
      <c r="AA56" s="89" t="s">
        <v>28</v>
      </c>
      <c r="AB56" s="90" t="str">
        <f>HYPERLINK(CONCATENATE("https://www.ejacket.nsf.gov/ej/showProposal.do?ID=",SUBSTITUTE(SplitQueryTableRecent[[#This Row],[prop_id]],CHAR(160),"")),"eJ")</f>
        <v>eJ</v>
      </c>
      <c r="AC56" s="89" t="s">
        <v>726</v>
      </c>
      <c r="AD56" s="3" t="s">
        <v>726</v>
      </c>
      <c r="AE56" s="91">
        <v>2015</v>
      </c>
      <c r="AF56" s="13" t="s">
        <v>43</v>
      </c>
      <c r="AG56" s="13">
        <v>500000</v>
      </c>
      <c r="AH56" s="45">
        <v>500000</v>
      </c>
      <c r="AI56" s="44" t="s">
        <v>728</v>
      </c>
      <c r="AJ56" s="2" t="s">
        <v>208</v>
      </c>
      <c r="AK56" s="46" t="s">
        <v>1719</v>
      </c>
      <c r="AL56" s="55" t="s">
        <v>584</v>
      </c>
      <c r="AM56" s="45" t="s">
        <v>584</v>
      </c>
      <c r="AN56" s="56" t="s">
        <v>152</v>
      </c>
      <c r="AO56" s="23" t="s">
        <v>146</v>
      </c>
      <c r="AP56" s="11"/>
      <c r="AQ56" s="88" t="s">
        <v>727</v>
      </c>
      <c r="AR56" s="57" t="s">
        <v>164</v>
      </c>
      <c r="AS56" s="46">
        <v>42212.402673611112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8:88" x14ac:dyDescent="0.4">
      <c r="H57" s="59">
        <v>42992.404930555553</v>
      </c>
      <c r="I57" s="43">
        <v>42690.79791666667</v>
      </c>
      <c r="J57" s="42">
        <v>42936.490578703706</v>
      </c>
      <c r="K57" s="81" t="s">
        <v>49</v>
      </c>
      <c r="L57" t="s">
        <v>49</v>
      </c>
      <c r="M57" t="s">
        <v>336</v>
      </c>
      <c r="N57" s="1" t="s">
        <v>336</v>
      </c>
      <c r="O57" s="1" t="s">
        <v>245</v>
      </c>
      <c r="P57" t="s">
        <v>245</v>
      </c>
      <c r="Q57" s="9" t="s">
        <v>45</v>
      </c>
      <c r="R57" s="82" t="s">
        <v>45</v>
      </c>
      <c r="S57" s="44" t="s">
        <v>192</v>
      </c>
      <c r="T57" s="3" t="s">
        <v>61</v>
      </c>
      <c r="U57" s="2" t="s">
        <v>29</v>
      </c>
      <c r="V57" s="3" t="s">
        <v>29</v>
      </c>
      <c r="W57" s="11" t="s">
        <v>153</v>
      </c>
      <c r="X57" s="3" t="s">
        <v>153</v>
      </c>
      <c r="Y57" s="77" t="s">
        <v>48</v>
      </c>
      <c r="Z57" s="84" t="s">
        <v>729</v>
      </c>
      <c r="AA57" s="89" t="s">
        <v>28</v>
      </c>
      <c r="AB57" s="90" t="str">
        <f>HYPERLINK(CONCATENATE("https://www.ejacket.nsf.gov/ej/showProposal.do?ID=",SUBSTITUTE(SplitQueryTableRecent[[#This Row],[prop_id]],CHAR(160),"")),"eJ")</f>
        <v>eJ</v>
      </c>
      <c r="AC57" s="89" t="s">
        <v>729</v>
      </c>
      <c r="AD57" s="3" t="s">
        <v>729</v>
      </c>
      <c r="AE57" s="91">
        <v>2017</v>
      </c>
      <c r="AF57" s="13" t="s">
        <v>43</v>
      </c>
      <c r="AG57" s="13">
        <v>450000</v>
      </c>
      <c r="AH57" s="45">
        <v>500000</v>
      </c>
      <c r="AI57" s="44" t="s">
        <v>732</v>
      </c>
      <c r="AJ57" s="2" t="s">
        <v>171</v>
      </c>
      <c r="AK57" s="46" t="s">
        <v>1706</v>
      </c>
      <c r="AL57" s="55" t="s">
        <v>731</v>
      </c>
      <c r="AM57" s="45" t="s">
        <v>369</v>
      </c>
      <c r="AN57" s="56" t="s">
        <v>152</v>
      </c>
      <c r="AO57" s="23" t="s">
        <v>146</v>
      </c>
      <c r="AP57" s="11"/>
      <c r="AQ57" s="88" t="s">
        <v>730</v>
      </c>
      <c r="AR57" s="57" t="s">
        <v>188</v>
      </c>
      <c r="AS57" s="46">
        <v>42978.717187499999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8:88" x14ac:dyDescent="0.4">
      <c r="H58" s="59">
        <v>42992.404930555553</v>
      </c>
      <c r="I58" s="43">
        <v>42690.604861111111</v>
      </c>
      <c r="J58" s="42">
        <v>42916.505729166667</v>
      </c>
      <c r="K58" s="81" t="s">
        <v>49</v>
      </c>
      <c r="L58" t="s">
        <v>49</v>
      </c>
      <c r="M58" t="s">
        <v>336</v>
      </c>
      <c r="N58" s="1" t="s">
        <v>336</v>
      </c>
      <c r="O58" s="1" t="s">
        <v>245</v>
      </c>
      <c r="P58" t="s">
        <v>245</v>
      </c>
      <c r="Q58" s="9" t="s">
        <v>45</v>
      </c>
      <c r="R58" s="82" t="s">
        <v>45</v>
      </c>
      <c r="S58" s="44" t="s">
        <v>192</v>
      </c>
      <c r="T58" s="3" t="s">
        <v>61</v>
      </c>
      <c r="U58" s="2" t="s">
        <v>29</v>
      </c>
      <c r="V58" s="3" t="s">
        <v>29</v>
      </c>
      <c r="W58" s="11" t="s">
        <v>153</v>
      </c>
      <c r="X58" s="3" t="s">
        <v>153</v>
      </c>
      <c r="Y58" s="77" t="s">
        <v>48</v>
      </c>
      <c r="Z58" s="84" t="s">
        <v>734</v>
      </c>
      <c r="AA58" s="89" t="s">
        <v>62</v>
      </c>
      <c r="AB58" s="90" t="str">
        <f>HYPERLINK(CONCATENATE("https://www.ejacket.nsf.gov/ej/showProposal.do?ID=",SUBSTITUTE(SplitQueryTableRecent[[#This Row],[prop_id]],CHAR(160),"")),"eJ")</f>
        <v>eJ</v>
      </c>
      <c r="AC58" s="89" t="s">
        <v>733</v>
      </c>
      <c r="AD58" s="3" t="s">
        <v>733</v>
      </c>
      <c r="AE58" s="91">
        <v>2017</v>
      </c>
      <c r="AF58" s="13" t="s">
        <v>43</v>
      </c>
      <c r="AG58" s="13">
        <v>166666</v>
      </c>
      <c r="AH58" s="45">
        <v>166666</v>
      </c>
      <c r="AI58" s="44" t="s">
        <v>736</v>
      </c>
      <c r="AJ58" s="2" t="s">
        <v>737</v>
      </c>
      <c r="AK58" s="46" t="s">
        <v>1708</v>
      </c>
      <c r="AL58" s="55" t="s">
        <v>369</v>
      </c>
      <c r="AM58" s="45" t="s">
        <v>369</v>
      </c>
      <c r="AN58" s="56" t="s">
        <v>152</v>
      </c>
      <c r="AO58" s="23" t="s">
        <v>146</v>
      </c>
      <c r="AP58" s="11"/>
      <c r="AQ58" s="88" t="s">
        <v>735</v>
      </c>
      <c r="AR58" s="57" t="s">
        <v>188</v>
      </c>
      <c r="AS58" s="46">
        <v>42933.690370370372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8:88" x14ac:dyDescent="0.4">
      <c r="H59" s="59">
        <v>42992.404930555553</v>
      </c>
      <c r="I59" s="43">
        <v>42326.65</v>
      </c>
      <c r="J59" s="42">
        <v>42534.625520833331</v>
      </c>
      <c r="K59" s="81" t="s">
        <v>49</v>
      </c>
      <c r="L59" t="s">
        <v>49</v>
      </c>
      <c r="M59" t="s">
        <v>336</v>
      </c>
      <c r="N59" s="1" t="s">
        <v>336</v>
      </c>
      <c r="O59" s="1" t="s">
        <v>337</v>
      </c>
      <c r="P59" t="s">
        <v>337</v>
      </c>
      <c r="Q59" s="9" t="s">
        <v>45</v>
      </c>
      <c r="R59" s="82" t="s">
        <v>45</v>
      </c>
      <c r="S59" s="44" t="s">
        <v>196</v>
      </c>
      <c r="T59" s="3" t="s">
        <v>61</v>
      </c>
      <c r="U59" s="2" t="s">
        <v>29</v>
      </c>
      <c r="V59" s="3" t="s">
        <v>29</v>
      </c>
      <c r="W59" s="11" t="s">
        <v>153</v>
      </c>
      <c r="X59" s="3" t="s">
        <v>153</v>
      </c>
      <c r="Y59" s="77" t="s">
        <v>48</v>
      </c>
      <c r="Z59" s="84" t="s">
        <v>741</v>
      </c>
      <c r="AA59" s="89" t="s">
        <v>174</v>
      </c>
      <c r="AB59" s="90" t="str">
        <f>HYPERLINK(CONCATENATE("https://www.ejacket.nsf.gov/ej/showProposal.do?ID=",SUBSTITUTE(SplitQueryTableRecent[[#This Row],[prop_id]],CHAR(160),"")),"eJ")</f>
        <v>eJ</v>
      </c>
      <c r="AC59" s="89" t="s">
        <v>741</v>
      </c>
      <c r="AD59" s="3" t="s">
        <v>741</v>
      </c>
      <c r="AE59" s="91">
        <v>2016</v>
      </c>
      <c r="AF59" s="13" t="s">
        <v>43</v>
      </c>
      <c r="AG59" s="13">
        <v>280000</v>
      </c>
      <c r="AH59" s="45">
        <v>280000</v>
      </c>
      <c r="AI59" s="44" t="s">
        <v>738</v>
      </c>
      <c r="AJ59" s="2" t="s">
        <v>260</v>
      </c>
      <c r="AK59" s="46" t="s">
        <v>1720</v>
      </c>
      <c r="AL59" s="55" t="s">
        <v>584</v>
      </c>
      <c r="AM59" s="45" t="s">
        <v>584</v>
      </c>
      <c r="AN59" s="56" t="s">
        <v>152</v>
      </c>
      <c r="AO59" s="23" t="s">
        <v>146</v>
      </c>
      <c r="AP59" s="11"/>
      <c r="AQ59" s="88" t="s">
        <v>742</v>
      </c>
      <c r="AR59" s="57" t="s">
        <v>164</v>
      </c>
      <c r="AS59" s="46">
        <v>42551.627500000002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8:88" x14ac:dyDescent="0.4">
      <c r="H60" s="59">
        <v>42992.404930555553</v>
      </c>
      <c r="I60" s="43">
        <v>42018.717361111114</v>
      </c>
      <c r="J60" s="42">
        <v>42167.582870370374</v>
      </c>
      <c r="K60" s="81" t="s">
        <v>49</v>
      </c>
      <c r="L60" t="s">
        <v>49</v>
      </c>
      <c r="M60" t="s">
        <v>336</v>
      </c>
      <c r="N60" s="1" t="s">
        <v>336</v>
      </c>
      <c r="O60" s="1" t="s">
        <v>337</v>
      </c>
      <c r="P60" t="s">
        <v>337</v>
      </c>
      <c r="Q60" s="9" t="s">
        <v>45</v>
      </c>
      <c r="R60" s="82" t="s">
        <v>45</v>
      </c>
      <c r="S60" s="44" t="s">
        <v>184</v>
      </c>
      <c r="T60" s="3" t="s">
        <v>61</v>
      </c>
      <c r="U60" s="2" t="s">
        <v>29</v>
      </c>
      <c r="V60" s="3" t="s">
        <v>29</v>
      </c>
      <c r="W60" s="11" t="s">
        <v>153</v>
      </c>
      <c r="X60" s="3" t="s">
        <v>153</v>
      </c>
      <c r="Y60" s="77" t="s">
        <v>48</v>
      </c>
      <c r="Z60" s="84" t="s">
        <v>746</v>
      </c>
      <c r="AA60" s="89" t="s">
        <v>28</v>
      </c>
      <c r="AB60" s="90" t="str">
        <f>HYPERLINK(CONCATENATE("https://www.ejacket.nsf.gov/ej/showProposal.do?ID=",SUBSTITUTE(SplitQueryTableRecent[[#This Row],[prop_id]],CHAR(160),"")),"eJ")</f>
        <v>eJ</v>
      </c>
      <c r="AC60" s="89" t="s">
        <v>746</v>
      </c>
      <c r="AD60" s="3" t="s">
        <v>746</v>
      </c>
      <c r="AE60" s="91">
        <v>2015</v>
      </c>
      <c r="AF60" s="13" t="s">
        <v>43</v>
      </c>
      <c r="AG60" s="13">
        <v>499014</v>
      </c>
      <c r="AH60" s="45">
        <v>499014</v>
      </c>
      <c r="AI60" s="44" t="s">
        <v>748</v>
      </c>
      <c r="AJ60" s="2" t="s">
        <v>422</v>
      </c>
      <c r="AK60" s="46" t="s">
        <v>1709</v>
      </c>
      <c r="AL60" s="55" t="s">
        <v>584</v>
      </c>
      <c r="AM60" s="45" t="s">
        <v>584</v>
      </c>
      <c r="AN60" s="56" t="s">
        <v>152</v>
      </c>
      <c r="AO60" s="23" t="s">
        <v>146</v>
      </c>
      <c r="AP60" s="11"/>
      <c r="AQ60" s="88" t="s">
        <v>747</v>
      </c>
      <c r="AR60" s="57" t="s">
        <v>164</v>
      </c>
      <c r="AS60" s="46">
        <v>42193.356793981482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8:88" x14ac:dyDescent="0.4">
      <c r="H61" s="59">
        <v>42992.404930555553</v>
      </c>
      <c r="I61" s="43">
        <v>42018.683333333334</v>
      </c>
      <c r="J61" s="42">
        <v>42200.583391203705</v>
      </c>
      <c r="K61" s="81" t="s">
        <v>49</v>
      </c>
      <c r="L61" t="s">
        <v>49</v>
      </c>
      <c r="M61" t="s">
        <v>336</v>
      </c>
      <c r="N61" s="1" t="s">
        <v>336</v>
      </c>
      <c r="O61" s="1" t="s">
        <v>245</v>
      </c>
      <c r="P61" t="s">
        <v>245</v>
      </c>
      <c r="Q61" s="9" t="s">
        <v>45</v>
      </c>
      <c r="R61" s="82" t="s">
        <v>45</v>
      </c>
      <c r="S61" s="44" t="s">
        <v>184</v>
      </c>
      <c r="T61" s="3" t="s">
        <v>61</v>
      </c>
      <c r="U61" s="2" t="s">
        <v>29</v>
      </c>
      <c r="V61" s="3" t="s">
        <v>29</v>
      </c>
      <c r="W61" s="11" t="s">
        <v>153</v>
      </c>
      <c r="X61" s="3" t="s">
        <v>153</v>
      </c>
      <c r="Y61" s="77" t="s">
        <v>48</v>
      </c>
      <c r="Z61" s="84" t="s">
        <v>755</v>
      </c>
      <c r="AA61" s="89" t="s">
        <v>62</v>
      </c>
      <c r="AB61" s="90" t="str">
        <f>HYPERLINK(CONCATENATE("https://www.ejacket.nsf.gov/ej/showProposal.do?ID=",SUBSTITUTE(SplitQueryTableRecent[[#This Row],[prop_id]],CHAR(160),"")),"eJ")</f>
        <v>eJ</v>
      </c>
      <c r="AC61" s="89" t="s">
        <v>754</v>
      </c>
      <c r="AD61" s="3" t="s">
        <v>754</v>
      </c>
      <c r="AE61" s="91">
        <v>2015</v>
      </c>
      <c r="AF61" s="13" t="s">
        <v>43</v>
      </c>
      <c r="AG61" s="13">
        <v>250000</v>
      </c>
      <c r="AH61" s="45">
        <v>250000</v>
      </c>
      <c r="AI61" s="44" t="s">
        <v>752</v>
      </c>
      <c r="AJ61" s="2" t="s">
        <v>753</v>
      </c>
      <c r="AK61" s="46" t="s">
        <v>1708</v>
      </c>
      <c r="AL61" s="55" t="s">
        <v>369</v>
      </c>
      <c r="AM61" s="45" t="s">
        <v>369</v>
      </c>
      <c r="AN61" s="56" t="s">
        <v>152</v>
      </c>
      <c r="AO61" s="23" t="s">
        <v>146</v>
      </c>
      <c r="AP61" s="11"/>
      <c r="AQ61" s="88" t="s">
        <v>756</v>
      </c>
      <c r="AR61" s="57" t="s">
        <v>164</v>
      </c>
      <c r="AS61" s="46">
        <v>42233.595104166663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8:88" x14ac:dyDescent="0.4">
      <c r="H62" s="59">
        <v>42992.404930555553</v>
      </c>
      <c r="I62" s="43">
        <v>42017.57916666667</v>
      </c>
      <c r="J62" s="42">
        <v>42185.654108796298</v>
      </c>
      <c r="K62" s="81" t="s">
        <v>49</v>
      </c>
      <c r="L62" t="s">
        <v>49</v>
      </c>
      <c r="M62" t="s">
        <v>336</v>
      </c>
      <c r="N62" s="1" t="s">
        <v>336</v>
      </c>
      <c r="O62" s="1" t="s">
        <v>337</v>
      </c>
      <c r="P62" t="s">
        <v>337</v>
      </c>
      <c r="Q62" s="9" t="s">
        <v>45</v>
      </c>
      <c r="R62" s="82" t="s">
        <v>45</v>
      </c>
      <c r="S62" s="44" t="s">
        <v>184</v>
      </c>
      <c r="T62" s="3" t="s">
        <v>61</v>
      </c>
      <c r="U62" s="2" t="s">
        <v>29</v>
      </c>
      <c r="V62" s="3" t="s">
        <v>29</v>
      </c>
      <c r="W62" s="11" t="s">
        <v>153</v>
      </c>
      <c r="X62" s="3" t="s">
        <v>153</v>
      </c>
      <c r="Y62" s="77" t="s">
        <v>48</v>
      </c>
      <c r="Z62" s="84" t="s">
        <v>757</v>
      </c>
      <c r="AA62" s="89" t="s">
        <v>28</v>
      </c>
      <c r="AB62" s="90" t="str">
        <f>HYPERLINK(CONCATENATE("https://www.ejacket.nsf.gov/ej/showProposal.do?ID=",SUBSTITUTE(SplitQueryTableRecent[[#This Row],[prop_id]],CHAR(160),"")),"eJ")</f>
        <v>eJ</v>
      </c>
      <c r="AC62" s="89" t="s">
        <v>757</v>
      </c>
      <c r="AD62" s="3" t="s">
        <v>757</v>
      </c>
      <c r="AE62" s="91">
        <v>2015</v>
      </c>
      <c r="AF62" s="13" t="s">
        <v>43</v>
      </c>
      <c r="AG62" s="13">
        <v>449468</v>
      </c>
      <c r="AH62" s="45">
        <v>449468</v>
      </c>
      <c r="AI62" s="44" t="s">
        <v>332</v>
      </c>
      <c r="AJ62" s="2" t="s">
        <v>684</v>
      </c>
      <c r="AK62" s="46" t="s">
        <v>1711</v>
      </c>
      <c r="AL62" s="55" t="s">
        <v>584</v>
      </c>
      <c r="AM62" s="45" t="s">
        <v>584</v>
      </c>
      <c r="AN62" s="56" t="s">
        <v>152</v>
      </c>
      <c r="AO62" s="23" t="s">
        <v>146</v>
      </c>
      <c r="AP62" s="11"/>
      <c r="AQ62" s="88" t="s">
        <v>758</v>
      </c>
      <c r="AR62" s="57" t="s">
        <v>164</v>
      </c>
      <c r="AS62" s="46">
        <v>42222.339479166665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8:88" x14ac:dyDescent="0.4">
      <c r="H63" s="59">
        <v>42992.404930555553</v>
      </c>
      <c r="I63" s="43">
        <v>42018.477777777778</v>
      </c>
      <c r="J63" s="42">
        <v>42170.359479166669</v>
      </c>
      <c r="K63" s="81" t="s">
        <v>49</v>
      </c>
      <c r="L63" t="s">
        <v>49</v>
      </c>
      <c r="M63" t="s">
        <v>336</v>
      </c>
      <c r="N63" s="1" t="s">
        <v>336</v>
      </c>
      <c r="O63" s="1" t="s">
        <v>337</v>
      </c>
      <c r="P63" t="s">
        <v>337</v>
      </c>
      <c r="Q63" s="9" t="s">
        <v>45</v>
      </c>
      <c r="R63" s="82" t="s">
        <v>45</v>
      </c>
      <c r="S63" s="44" t="s">
        <v>184</v>
      </c>
      <c r="T63" s="3" t="s">
        <v>61</v>
      </c>
      <c r="U63" s="2" t="s">
        <v>29</v>
      </c>
      <c r="V63" s="3" t="s">
        <v>29</v>
      </c>
      <c r="W63" s="11" t="s">
        <v>153</v>
      </c>
      <c r="X63" s="3" t="s">
        <v>153</v>
      </c>
      <c r="Y63" s="77" t="s">
        <v>48</v>
      </c>
      <c r="Z63" s="84" t="s">
        <v>760</v>
      </c>
      <c r="AA63" s="89" t="s">
        <v>174</v>
      </c>
      <c r="AB63" s="90" t="str">
        <f>HYPERLINK(CONCATENATE("https://www.ejacket.nsf.gov/ej/showProposal.do?ID=",SUBSTITUTE(SplitQueryTableRecent[[#This Row],[prop_id]],CHAR(160),"")),"eJ")</f>
        <v>eJ</v>
      </c>
      <c r="AC63" s="89" t="s">
        <v>760</v>
      </c>
      <c r="AD63" s="3" t="s">
        <v>760</v>
      </c>
      <c r="AE63" s="91">
        <v>2015</v>
      </c>
      <c r="AF63" s="13" t="s">
        <v>43</v>
      </c>
      <c r="AG63" s="13">
        <v>270496</v>
      </c>
      <c r="AH63" s="45">
        <v>250000</v>
      </c>
      <c r="AI63" s="44" t="s">
        <v>237</v>
      </c>
      <c r="AJ63" s="2" t="s">
        <v>335</v>
      </c>
      <c r="AK63" s="46" t="s">
        <v>160</v>
      </c>
      <c r="AL63" s="55" t="s">
        <v>584</v>
      </c>
      <c r="AM63" s="45" t="s">
        <v>584</v>
      </c>
      <c r="AN63" s="56" t="s">
        <v>152</v>
      </c>
      <c r="AO63" s="23" t="s">
        <v>146</v>
      </c>
      <c r="AP63" s="11"/>
      <c r="AQ63" s="88" t="s">
        <v>761</v>
      </c>
      <c r="AR63" s="57" t="s">
        <v>164</v>
      </c>
      <c r="AS63" s="46">
        <v>42200.448530092595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8:88" x14ac:dyDescent="0.4">
      <c r="H64" s="59">
        <v>42992.404930555553</v>
      </c>
      <c r="I64" s="43">
        <v>42326.695833333331</v>
      </c>
      <c r="J64" s="42">
        <v>42529.55704861111</v>
      </c>
      <c r="K64" s="81" t="s">
        <v>49</v>
      </c>
      <c r="L64" t="s">
        <v>49</v>
      </c>
      <c r="M64" t="s">
        <v>336</v>
      </c>
      <c r="N64" s="1" t="s">
        <v>336</v>
      </c>
      <c r="O64" s="1" t="s">
        <v>230</v>
      </c>
      <c r="P64" t="s">
        <v>230</v>
      </c>
      <c r="Q64" s="9" t="s">
        <v>45</v>
      </c>
      <c r="R64" s="82" t="s">
        <v>45</v>
      </c>
      <c r="S64" s="44" t="s">
        <v>196</v>
      </c>
      <c r="T64" s="3" t="s">
        <v>61</v>
      </c>
      <c r="U64" s="2" t="s">
        <v>29</v>
      </c>
      <c r="V64" s="3" t="s">
        <v>29</v>
      </c>
      <c r="W64" s="11" t="s">
        <v>153</v>
      </c>
      <c r="X64" s="3" t="s">
        <v>153</v>
      </c>
      <c r="Y64" s="77" t="s">
        <v>48</v>
      </c>
      <c r="Z64" s="84" t="s">
        <v>762</v>
      </c>
      <c r="AA64" s="89" t="s">
        <v>28</v>
      </c>
      <c r="AB64" s="90" t="str">
        <f>HYPERLINK(CONCATENATE("https://www.ejacket.nsf.gov/ej/showProposal.do?ID=",SUBSTITUTE(SplitQueryTableRecent[[#This Row],[prop_id]],CHAR(160),"")),"eJ")</f>
        <v>eJ</v>
      </c>
      <c r="AC64" s="89" t="s">
        <v>762</v>
      </c>
      <c r="AD64" s="3" t="s">
        <v>762</v>
      </c>
      <c r="AE64" s="91">
        <v>2016</v>
      </c>
      <c r="AF64" s="13" t="s">
        <v>43</v>
      </c>
      <c r="AG64" s="13">
        <v>500000</v>
      </c>
      <c r="AH64" s="45">
        <v>500000</v>
      </c>
      <c r="AI64" s="44" t="s">
        <v>689</v>
      </c>
      <c r="AJ64" s="2" t="s">
        <v>170</v>
      </c>
      <c r="AK64" s="46" t="s">
        <v>1706</v>
      </c>
      <c r="AL64" s="55" t="s">
        <v>368</v>
      </c>
      <c r="AM64" s="45" t="s">
        <v>369</v>
      </c>
      <c r="AN64" s="56" t="s">
        <v>152</v>
      </c>
      <c r="AO64" s="23" t="s">
        <v>146</v>
      </c>
      <c r="AP64" s="11"/>
      <c r="AQ64" s="88" t="s">
        <v>763</v>
      </c>
      <c r="AR64" s="57" t="s">
        <v>164</v>
      </c>
      <c r="AS64" s="46">
        <v>42549.641527777778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8:88" x14ac:dyDescent="0.4">
      <c r="H65" s="59">
        <v>42992.404930555553</v>
      </c>
      <c r="I65" s="43">
        <v>42326.581250000003</v>
      </c>
      <c r="J65" s="42">
        <v>42536.390555555554</v>
      </c>
      <c r="K65" s="81" t="s">
        <v>49</v>
      </c>
      <c r="L65" t="s">
        <v>49</v>
      </c>
      <c r="M65" t="s">
        <v>336</v>
      </c>
      <c r="N65" s="1" t="s">
        <v>336</v>
      </c>
      <c r="O65" s="1" t="s">
        <v>230</v>
      </c>
      <c r="P65" t="s">
        <v>230</v>
      </c>
      <c r="Q65" s="9" t="s">
        <v>45</v>
      </c>
      <c r="R65" s="82" t="s">
        <v>45</v>
      </c>
      <c r="S65" s="44" t="s">
        <v>196</v>
      </c>
      <c r="T65" s="3" t="s">
        <v>61</v>
      </c>
      <c r="U65" s="2" t="s">
        <v>29</v>
      </c>
      <c r="V65" s="3" t="s">
        <v>29</v>
      </c>
      <c r="W65" s="11" t="s">
        <v>153</v>
      </c>
      <c r="X65" s="3" t="s">
        <v>153</v>
      </c>
      <c r="Y65" s="77" t="s">
        <v>48</v>
      </c>
      <c r="Z65" s="84" t="s">
        <v>765</v>
      </c>
      <c r="AA65" s="89" t="s">
        <v>28</v>
      </c>
      <c r="AB65" s="90" t="str">
        <f>HYPERLINK(CONCATENATE("https://www.ejacket.nsf.gov/ej/showProposal.do?ID=",SUBSTITUTE(SplitQueryTableRecent[[#This Row],[prop_id]],CHAR(160),"")),"eJ")</f>
        <v>eJ</v>
      </c>
      <c r="AC65" s="89" t="s">
        <v>765</v>
      </c>
      <c r="AD65" s="3" t="s">
        <v>765</v>
      </c>
      <c r="AE65" s="91">
        <v>2016</v>
      </c>
      <c r="AF65" s="13" t="s">
        <v>43</v>
      </c>
      <c r="AG65" s="13">
        <v>400000</v>
      </c>
      <c r="AH65" s="45">
        <v>500000</v>
      </c>
      <c r="AI65" s="44" t="s">
        <v>767</v>
      </c>
      <c r="AJ65" s="2" t="s">
        <v>208</v>
      </c>
      <c r="AK65" s="46" t="s">
        <v>1717</v>
      </c>
      <c r="AL65" s="55" t="s">
        <v>368</v>
      </c>
      <c r="AM65" s="45" t="s">
        <v>369</v>
      </c>
      <c r="AN65" s="56" t="s">
        <v>152</v>
      </c>
      <c r="AO65" s="23" t="s">
        <v>146</v>
      </c>
      <c r="AP65" s="11"/>
      <c r="AQ65" s="88" t="s">
        <v>766</v>
      </c>
      <c r="AR65" s="57" t="s">
        <v>164</v>
      </c>
      <c r="AS65" s="46">
        <v>42559.405289351853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8:88" x14ac:dyDescent="0.4">
      <c r="H66" s="59">
        <v>42992.404930555553</v>
      </c>
      <c r="I66" s="43">
        <v>42681.491666666669</v>
      </c>
      <c r="J66" s="42">
        <v>42905.708553240744</v>
      </c>
      <c r="K66" s="81" t="s">
        <v>49</v>
      </c>
      <c r="L66" t="s">
        <v>49</v>
      </c>
      <c r="M66" t="s">
        <v>336</v>
      </c>
      <c r="N66" s="1" t="s">
        <v>336</v>
      </c>
      <c r="O66" s="1" t="s">
        <v>337</v>
      </c>
      <c r="P66" t="s">
        <v>337</v>
      </c>
      <c r="Q66" s="9" t="s">
        <v>45</v>
      </c>
      <c r="R66" s="82" t="s">
        <v>45</v>
      </c>
      <c r="S66" s="44" t="s">
        <v>192</v>
      </c>
      <c r="T66" s="3" t="s">
        <v>61</v>
      </c>
      <c r="U66" s="2" t="s">
        <v>29</v>
      </c>
      <c r="V66" s="3" t="s">
        <v>29</v>
      </c>
      <c r="W66" s="11" t="s">
        <v>153</v>
      </c>
      <c r="X66" s="3" t="s">
        <v>153</v>
      </c>
      <c r="Y66" s="77" t="s">
        <v>48</v>
      </c>
      <c r="Z66" s="84" t="s">
        <v>772</v>
      </c>
      <c r="AA66" s="89" t="s">
        <v>28</v>
      </c>
      <c r="AB66" s="90" t="str">
        <f>HYPERLINK(CONCATENATE("https://www.ejacket.nsf.gov/ej/showProposal.do?ID=",SUBSTITUTE(SplitQueryTableRecent[[#This Row],[prop_id]],CHAR(160),"")),"eJ")</f>
        <v>eJ</v>
      </c>
      <c r="AC66" s="89" t="s">
        <v>772</v>
      </c>
      <c r="AD66" s="3" t="s">
        <v>772</v>
      </c>
      <c r="AE66" s="91">
        <v>2017</v>
      </c>
      <c r="AF66" s="13" t="s">
        <v>43</v>
      </c>
      <c r="AG66" s="13">
        <v>431728</v>
      </c>
      <c r="AH66" s="45">
        <v>431728</v>
      </c>
      <c r="AI66" s="44" t="s">
        <v>770</v>
      </c>
      <c r="AJ66" s="2" t="s">
        <v>771</v>
      </c>
      <c r="AK66" s="46" t="s">
        <v>465</v>
      </c>
      <c r="AL66" s="55" t="s">
        <v>610</v>
      </c>
      <c r="AM66" s="45" t="s">
        <v>369</v>
      </c>
      <c r="AN66" s="56" t="s">
        <v>152</v>
      </c>
      <c r="AO66" s="23" t="s">
        <v>146</v>
      </c>
      <c r="AP66" s="11"/>
      <c r="AQ66" s="88" t="s">
        <v>773</v>
      </c>
      <c r="AR66" s="57" t="s">
        <v>188</v>
      </c>
      <c r="AS66" s="46">
        <v>42912.646041666667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8:88" x14ac:dyDescent="0.4">
      <c r="H67" s="59">
        <v>42992.404930555553</v>
      </c>
      <c r="I67" s="43">
        <v>41653.549305555556</v>
      </c>
      <c r="J67" s="42">
        <v>41834.594108796293</v>
      </c>
      <c r="K67" s="81" t="s">
        <v>49</v>
      </c>
      <c r="L67" t="s">
        <v>49</v>
      </c>
      <c r="M67" t="s">
        <v>336</v>
      </c>
      <c r="N67" s="1" t="s">
        <v>336</v>
      </c>
      <c r="O67" s="1" t="s">
        <v>245</v>
      </c>
      <c r="P67" t="s">
        <v>245</v>
      </c>
      <c r="Q67" s="9" t="s">
        <v>45</v>
      </c>
      <c r="R67" s="82" t="s">
        <v>45</v>
      </c>
      <c r="S67" s="44" t="s">
        <v>173</v>
      </c>
      <c r="T67" s="3" t="s">
        <v>61</v>
      </c>
      <c r="U67" s="2" t="s">
        <v>29</v>
      </c>
      <c r="V67" s="3" t="s">
        <v>29</v>
      </c>
      <c r="W67" s="11" t="s">
        <v>153</v>
      </c>
      <c r="X67" s="3" t="s">
        <v>153</v>
      </c>
      <c r="Y67" s="77" t="s">
        <v>48</v>
      </c>
      <c r="Z67" s="84" t="s">
        <v>774</v>
      </c>
      <c r="AA67" s="89" t="s">
        <v>28</v>
      </c>
      <c r="AB67" s="90" t="str">
        <f>HYPERLINK(CONCATENATE("https://www.ejacket.nsf.gov/ej/showProposal.do?ID=",SUBSTITUTE(SplitQueryTableRecent[[#This Row],[prop_id]],CHAR(160),"")),"eJ")</f>
        <v>eJ</v>
      </c>
      <c r="AC67" s="89" t="s">
        <v>774</v>
      </c>
      <c r="AD67" s="3" t="s">
        <v>774</v>
      </c>
      <c r="AE67" s="91">
        <v>2014</v>
      </c>
      <c r="AF67" s="13" t="s">
        <v>43</v>
      </c>
      <c r="AG67" s="13">
        <v>372392</v>
      </c>
      <c r="AH67" s="45">
        <v>504522</v>
      </c>
      <c r="AI67" s="44" t="s">
        <v>776</v>
      </c>
      <c r="AJ67" s="2" t="s">
        <v>777</v>
      </c>
      <c r="AK67" s="46" t="s">
        <v>1721</v>
      </c>
      <c r="AL67" s="55" t="s">
        <v>369</v>
      </c>
      <c r="AM67" s="45" t="s">
        <v>369</v>
      </c>
      <c r="AN67" s="56" t="s">
        <v>152</v>
      </c>
      <c r="AO67" s="23" t="s">
        <v>146</v>
      </c>
      <c r="AP67" s="11"/>
      <c r="AQ67" s="88" t="s">
        <v>775</v>
      </c>
      <c r="AR67" s="57" t="s">
        <v>164</v>
      </c>
      <c r="AS67" s="46">
        <v>41844.579259259262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8:88" x14ac:dyDescent="0.4">
      <c r="H68" s="59">
        <v>42992.404930555553</v>
      </c>
      <c r="I68" s="43">
        <v>41653.549305555556</v>
      </c>
      <c r="J68" s="42">
        <v>41834.594108796293</v>
      </c>
      <c r="K68" s="81" t="s">
        <v>49</v>
      </c>
      <c r="L68" t="s">
        <v>49</v>
      </c>
      <c r="M68" t="s">
        <v>336</v>
      </c>
      <c r="N68" s="1" t="s">
        <v>336</v>
      </c>
      <c r="O68" s="1" t="s">
        <v>245</v>
      </c>
      <c r="P68" t="s">
        <v>245</v>
      </c>
      <c r="Q68" s="9" t="s">
        <v>45</v>
      </c>
      <c r="R68" s="82" t="s">
        <v>45</v>
      </c>
      <c r="S68" s="44" t="s">
        <v>173</v>
      </c>
      <c r="T68" s="3" t="s">
        <v>61</v>
      </c>
      <c r="U68" s="2" t="s">
        <v>29</v>
      </c>
      <c r="V68" s="3" t="s">
        <v>29</v>
      </c>
      <c r="W68" s="11" t="s">
        <v>153</v>
      </c>
      <c r="X68" s="3" t="s">
        <v>153</v>
      </c>
      <c r="Y68" s="77" t="s">
        <v>48</v>
      </c>
      <c r="Z68" s="84" t="s">
        <v>774</v>
      </c>
      <c r="AA68" s="89" t="s">
        <v>28</v>
      </c>
      <c r="AB68" s="90" t="str">
        <f>HYPERLINK(CONCATENATE("https://www.ejacket.nsf.gov/ej/showProposal.do?ID=",SUBSTITUTE(SplitQueryTableRecent[[#This Row],[prop_id]],CHAR(160),"")),"eJ")</f>
        <v>eJ</v>
      </c>
      <c r="AC68" s="89" t="s">
        <v>774</v>
      </c>
      <c r="AD68" s="3" t="s">
        <v>774</v>
      </c>
      <c r="AE68" s="91">
        <v>2014</v>
      </c>
      <c r="AF68" s="13" t="s">
        <v>57</v>
      </c>
      <c r="AG68" s="13">
        <v>8000</v>
      </c>
      <c r="AH68" s="45">
        <v>504522</v>
      </c>
      <c r="AI68" s="44" t="s">
        <v>776</v>
      </c>
      <c r="AJ68" s="2" t="s">
        <v>777</v>
      </c>
      <c r="AK68" s="46" t="s">
        <v>1721</v>
      </c>
      <c r="AL68" s="55" t="s">
        <v>369</v>
      </c>
      <c r="AM68" s="45" t="s">
        <v>779</v>
      </c>
      <c r="AN68" s="56" t="s">
        <v>152</v>
      </c>
      <c r="AO68" s="23" t="s">
        <v>146</v>
      </c>
      <c r="AP68" s="11"/>
      <c r="AQ68" s="88" t="s">
        <v>775</v>
      </c>
      <c r="AR68" s="57" t="s">
        <v>164</v>
      </c>
      <c r="AS68" s="46">
        <v>41844.579259259262</v>
      </c>
      <c r="AT68" s="3">
        <f t="shared" si="0"/>
        <v>42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8:88" x14ac:dyDescent="0.4">
      <c r="H69" s="59">
        <v>42992.404930555553</v>
      </c>
      <c r="I69" s="43">
        <v>42017.63958333333</v>
      </c>
      <c r="J69" s="42">
        <v>42167.573287037034</v>
      </c>
      <c r="K69" s="81" t="s">
        <v>49</v>
      </c>
      <c r="L69" t="s">
        <v>49</v>
      </c>
      <c r="M69" t="s">
        <v>336</v>
      </c>
      <c r="N69" s="1" t="s">
        <v>336</v>
      </c>
      <c r="O69" s="1" t="s">
        <v>337</v>
      </c>
      <c r="P69" t="s">
        <v>337</v>
      </c>
      <c r="Q69" s="9" t="s">
        <v>45</v>
      </c>
      <c r="R69" s="82" t="s">
        <v>45</v>
      </c>
      <c r="S69" s="44" t="s">
        <v>184</v>
      </c>
      <c r="T69" s="3" t="s">
        <v>61</v>
      </c>
      <c r="U69" s="2" t="s">
        <v>29</v>
      </c>
      <c r="V69" s="3" t="s">
        <v>29</v>
      </c>
      <c r="W69" s="11" t="s">
        <v>153</v>
      </c>
      <c r="X69" s="3" t="s">
        <v>153</v>
      </c>
      <c r="Y69" s="77" t="s">
        <v>48</v>
      </c>
      <c r="Z69" s="84" t="s">
        <v>780</v>
      </c>
      <c r="AA69" s="89" t="s">
        <v>28</v>
      </c>
      <c r="AB69" s="90" t="str">
        <f>HYPERLINK(CONCATENATE("https://www.ejacket.nsf.gov/ej/showProposal.do?ID=",SUBSTITUTE(SplitQueryTableRecent[[#This Row],[prop_id]],CHAR(160),"")),"eJ")</f>
        <v>eJ</v>
      </c>
      <c r="AC69" s="89" t="s">
        <v>780</v>
      </c>
      <c r="AD69" s="3" t="s">
        <v>780</v>
      </c>
      <c r="AE69" s="91">
        <v>2015</v>
      </c>
      <c r="AF69" s="13" t="s">
        <v>43</v>
      </c>
      <c r="AG69" s="13">
        <v>315175</v>
      </c>
      <c r="AH69" s="45">
        <v>315175</v>
      </c>
      <c r="AI69" s="44" t="s">
        <v>782</v>
      </c>
      <c r="AJ69" s="2" t="s">
        <v>783</v>
      </c>
      <c r="AK69" s="46" t="s">
        <v>282</v>
      </c>
      <c r="AL69" s="55" t="s">
        <v>584</v>
      </c>
      <c r="AM69" s="45" t="s">
        <v>584</v>
      </c>
      <c r="AN69" s="56" t="s">
        <v>152</v>
      </c>
      <c r="AO69" s="23" t="s">
        <v>146</v>
      </c>
      <c r="AP69" s="11"/>
      <c r="AQ69" s="88" t="s">
        <v>781</v>
      </c>
      <c r="AR69" s="57" t="s">
        <v>164</v>
      </c>
      <c r="AS69" s="46">
        <v>42193.36509259259</v>
      </c>
      <c r="AT69" s="3">
        <f t="shared" si="0"/>
        <v>43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8:88" x14ac:dyDescent="0.4">
      <c r="H70" s="59">
        <v>42992.404930555553</v>
      </c>
      <c r="I70" s="43">
        <v>42325.681944444441</v>
      </c>
      <c r="J70" s="42">
        <v>42536.458506944444</v>
      </c>
      <c r="K70" s="81" t="s">
        <v>49</v>
      </c>
      <c r="L70" t="s">
        <v>49</v>
      </c>
      <c r="M70" t="s">
        <v>336</v>
      </c>
      <c r="N70" s="1" t="s">
        <v>336</v>
      </c>
      <c r="O70" s="1" t="s">
        <v>337</v>
      </c>
      <c r="P70" t="s">
        <v>337</v>
      </c>
      <c r="Q70" s="9" t="s">
        <v>45</v>
      </c>
      <c r="R70" s="82" t="s">
        <v>45</v>
      </c>
      <c r="S70" s="44" t="s">
        <v>196</v>
      </c>
      <c r="T70" s="3" t="s">
        <v>61</v>
      </c>
      <c r="U70" s="2" t="s">
        <v>29</v>
      </c>
      <c r="V70" s="3" t="s">
        <v>29</v>
      </c>
      <c r="W70" s="11" t="s">
        <v>153</v>
      </c>
      <c r="X70" s="3" t="s">
        <v>153</v>
      </c>
      <c r="Y70" s="77" t="s">
        <v>48</v>
      </c>
      <c r="Z70" s="84" t="s">
        <v>788</v>
      </c>
      <c r="AA70" s="89" t="s">
        <v>62</v>
      </c>
      <c r="AB70" s="90" t="str">
        <f>HYPERLINK(CONCATENATE("https://www.ejacket.nsf.gov/ej/showProposal.do?ID=",SUBSTITUTE(SplitQueryTableRecent[[#This Row],[prop_id]],CHAR(160),"")),"eJ")</f>
        <v>eJ</v>
      </c>
      <c r="AC70" s="89" t="s">
        <v>787</v>
      </c>
      <c r="AD70" s="3" t="s">
        <v>787</v>
      </c>
      <c r="AE70" s="91">
        <v>2016</v>
      </c>
      <c r="AF70" s="13" t="s">
        <v>43</v>
      </c>
      <c r="AG70" s="13">
        <v>216883</v>
      </c>
      <c r="AH70" s="45">
        <v>216883</v>
      </c>
      <c r="AI70" s="44" t="s">
        <v>526</v>
      </c>
      <c r="AJ70" s="2" t="s">
        <v>786</v>
      </c>
      <c r="AK70" s="46" t="s">
        <v>683</v>
      </c>
      <c r="AL70" s="55" t="s">
        <v>584</v>
      </c>
      <c r="AM70" s="45" t="s">
        <v>584</v>
      </c>
      <c r="AN70" s="56" t="s">
        <v>152</v>
      </c>
      <c r="AO70" s="23" t="s">
        <v>146</v>
      </c>
      <c r="AP70" s="11"/>
      <c r="AQ70" s="88" t="s">
        <v>789</v>
      </c>
      <c r="AR70" s="57" t="s">
        <v>164</v>
      </c>
      <c r="AS70" s="46">
        <v>42559.407557870371</v>
      </c>
      <c r="AT70" s="3">
        <f t="shared" si="0"/>
        <v>44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8:88" x14ac:dyDescent="0.4">
      <c r="H71" s="59">
        <v>42992.404930555553</v>
      </c>
      <c r="I71" s="43">
        <v>42811.668055555558</v>
      </c>
      <c r="J71" s="42">
        <v>42833.46943287037</v>
      </c>
      <c r="K71" s="81" t="s">
        <v>49</v>
      </c>
      <c r="L71" t="s">
        <v>49</v>
      </c>
      <c r="M71" t="s">
        <v>336</v>
      </c>
      <c r="N71" s="1" t="s">
        <v>336</v>
      </c>
      <c r="O71" s="1" t="s">
        <v>245</v>
      </c>
      <c r="P71" t="s">
        <v>245</v>
      </c>
      <c r="Q71" s="9" t="s">
        <v>45</v>
      </c>
      <c r="R71" s="82" t="s">
        <v>45</v>
      </c>
      <c r="S71" s="44" t="s">
        <v>139</v>
      </c>
      <c r="T71" s="3" t="s">
        <v>61</v>
      </c>
      <c r="U71" s="2" t="s">
        <v>29</v>
      </c>
      <c r="V71" s="3" t="s">
        <v>29</v>
      </c>
      <c r="W71" s="11" t="s">
        <v>153</v>
      </c>
      <c r="X71" s="3" t="s">
        <v>153</v>
      </c>
      <c r="Y71" s="77" t="s">
        <v>48</v>
      </c>
      <c r="Z71" s="84" t="s">
        <v>790</v>
      </c>
      <c r="AA71" s="89" t="s">
        <v>28</v>
      </c>
      <c r="AB71" s="90" t="str">
        <f>HYPERLINK(CONCATENATE("https://www.ejacket.nsf.gov/ej/showProposal.do?ID=",SUBSTITUTE(SplitQueryTableRecent[[#This Row],[prop_id]],CHAR(160),"")),"eJ")</f>
        <v>eJ</v>
      </c>
      <c r="AC71" s="89" t="s">
        <v>790</v>
      </c>
      <c r="AD71" s="3" t="s">
        <v>790</v>
      </c>
      <c r="AE71" s="91">
        <v>2017</v>
      </c>
      <c r="AF71" s="13" t="s">
        <v>43</v>
      </c>
      <c r="AG71" s="13">
        <v>10000</v>
      </c>
      <c r="AH71" s="45">
        <v>20000</v>
      </c>
      <c r="AI71" s="44" t="s">
        <v>364</v>
      </c>
      <c r="AJ71" s="2" t="s">
        <v>365</v>
      </c>
      <c r="AK71" s="46" t="s">
        <v>1706</v>
      </c>
      <c r="AL71" s="55"/>
      <c r="AM71" s="45"/>
      <c r="AN71" s="56" t="s">
        <v>152</v>
      </c>
      <c r="AO71" s="23" t="s">
        <v>146</v>
      </c>
      <c r="AP71" s="11"/>
      <c r="AQ71" s="88" t="s">
        <v>791</v>
      </c>
      <c r="AR71" s="57" t="s">
        <v>40</v>
      </c>
      <c r="AS71" s="46">
        <v>42860.395011574074</v>
      </c>
      <c r="AT71" s="3">
        <f t="shared" si="0"/>
        <v>45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8:88" x14ac:dyDescent="0.4">
      <c r="H72" s="59">
        <v>42992.404930555553</v>
      </c>
      <c r="I72" s="43">
        <v>41590.552777777775</v>
      </c>
      <c r="J72" s="42">
        <v>41800.61042824074</v>
      </c>
      <c r="K72" s="81" t="s">
        <v>49</v>
      </c>
      <c r="L72" t="s">
        <v>49</v>
      </c>
      <c r="M72" t="s">
        <v>336</v>
      </c>
      <c r="N72" s="1" t="s">
        <v>336</v>
      </c>
      <c r="O72" s="1" t="s">
        <v>245</v>
      </c>
      <c r="P72" t="s">
        <v>245</v>
      </c>
      <c r="Q72" s="9" t="s">
        <v>45</v>
      </c>
      <c r="R72" s="82" t="s">
        <v>45</v>
      </c>
      <c r="S72" s="44" t="s">
        <v>173</v>
      </c>
      <c r="T72" s="3" t="s">
        <v>61</v>
      </c>
      <c r="U72" s="2" t="s">
        <v>29</v>
      </c>
      <c r="V72" s="3" t="s">
        <v>29</v>
      </c>
      <c r="W72" s="11" t="s">
        <v>153</v>
      </c>
      <c r="X72" s="3" t="s">
        <v>153</v>
      </c>
      <c r="Y72" s="77" t="s">
        <v>48</v>
      </c>
      <c r="Z72" s="84" t="s">
        <v>718</v>
      </c>
      <c r="AA72" s="89" t="s">
        <v>62</v>
      </c>
      <c r="AB72" s="90" t="str">
        <f>HYPERLINK(CONCATENATE("https://www.ejacket.nsf.gov/ej/showProposal.do?ID=",SUBSTITUTE(SplitQueryTableRecent[[#This Row],[prop_id]],CHAR(160),"")),"eJ")</f>
        <v>eJ</v>
      </c>
      <c r="AC72" s="89" t="s">
        <v>792</v>
      </c>
      <c r="AD72" s="3" t="s">
        <v>792</v>
      </c>
      <c r="AE72" s="91">
        <v>2014</v>
      </c>
      <c r="AF72" s="13" t="s">
        <v>43</v>
      </c>
      <c r="AG72" s="13">
        <v>200000</v>
      </c>
      <c r="AH72" s="45">
        <v>200000</v>
      </c>
      <c r="AI72" s="44" t="s">
        <v>793</v>
      </c>
      <c r="AJ72" s="2" t="s">
        <v>794</v>
      </c>
      <c r="AK72" s="46" t="s">
        <v>1715</v>
      </c>
      <c r="AL72" s="55" t="s">
        <v>353</v>
      </c>
      <c r="AM72" s="45" t="s">
        <v>353</v>
      </c>
      <c r="AN72" s="56" t="s">
        <v>152</v>
      </c>
      <c r="AO72" s="23" t="s">
        <v>146</v>
      </c>
      <c r="AP72" s="11"/>
      <c r="AQ72" s="88" t="s">
        <v>719</v>
      </c>
      <c r="AR72" s="57" t="s">
        <v>164</v>
      </c>
      <c r="AS72" s="46">
        <v>41810.372106481482</v>
      </c>
      <c r="AT72" s="3">
        <f t="shared" si="0"/>
        <v>46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8:88" x14ac:dyDescent="0.4">
      <c r="H73" s="59">
        <v>42992.404930555553</v>
      </c>
      <c r="I73" s="43">
        <v>42018.65625</v>
      </c>
      <c r="J73" s="42">
        <v>42198.394988425927</v>
      </c>
      <c r="K73" s="81" t="s">
        <v>49</v>
      </c>
      <c r="L73" t="s">
        <v>49</v>
      </c>
      <c r="M73" t="s">
        <v>336</v>
      </c>
      <c r="N73" s="1" t="s">
        <v>336</v>
      </c>
      <c r="O73" s="1" t="s">
        <v>245</v>
      </c>
      <c r="P73" t="s">
        <v>245</v>
      </c>
      <c r="Q73" s="9" t="s">
        <v>45</v>
      </c>
      <c r="R73" s="82" t="s">
        <v>45</v>
      </c>
      <c r="S73" s="44" t="s">
        <v>184</v>
      </c>
      <c r="T73" s="3" t="s">
        <v>61</v>
      </c>
      <c r="U73" s="2" t="s">
        <v>29</v>
      </c>
      <c r="V73" s="3" t="s">
        <v>29</v>
      </c>
      <c r="W73" s="11" t="s">
        <v>153</v>
      </c>
      <c r="X73" s="3" t="s">
        <v>153</v>
      </c>
      <c r="Y73" s="77" t="s">
        <v>48</v>
      </c>
      <c r="Z73" s="84" t="s">
        <v>795</v>
      </c>
      <c r="AA73" s="89" t="s">
        <v>174</v>
      </c>
      <c r="AB73" s="90" t="str">
        <f>HYPERLINK(CONCATENATE("https://www.ejacket.nsf.gov/ej/showProposal.do?ID=",SUBSTITUTE(SplitQueryTableRecent[[#This Row],[prop_id]],CHAR(160),"")),"eJ")</f>
        <v>eJ</v>
      </c>
      <c r="AC73" s="89" t="s">
        <v>795</v>
      </c>
      <c r="AD73" s="3" t="s">
        <v>795</v>
      </c>
      <c r="AE73" s="91">
        <v>2015</v>
      </c>
      <c r="AF73" s="13" t="s">
        <v>43</v>
      </c>
      <c r="AG73" s="13">
        <v>125315</v>
      </c>
      <c r="AH73" s="45">
        <v>270000</v>
      </c>
      <c r="AI73" s="44" t="s">
        <v>793</v>
      </c>
      <c r="AJ73" s="2" t="s">
        <v>794</v>
      </c>
      <c r="AK73" s="46" t="s">
        <v>1715</v>
      </c>
      <c r="AL73" s="55" t="s">
        <v>369</v>
      </c>
      <c r="AM73" s="45" t="s">
        <v>369</v>
      </c>
      <c r="AN73" s="56" t="s">
        <v>152</v>
      </c>
      <c r="AO73" s="23" t="s">
        <v>146</v>
      </c>
      <c r="AP73" s="11"/>
      <c r="AQ73" s="88" t="s">
        <v>796</v>
      </c>
      <c r="AR73" s="57" t="s">
        <v>164</v>
      </c>
      <c r="AS73" s="46">
        <v>42269.593865740739</v>
      </c>
      <c r="AT73" s="3">
        <f t="shared" si="0"/>
        <v>47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8:88" x14ac:dyDescent="0.4">
      <c r="H74" s="59">
        <v>42992.404930555553</v>
      </c>
      <c r="I74" s="43">
        <v>42018.65625</v>
      </c>
      <c r="J74" s="42">
        <v>42198.394988425927</v>
      </c>
      <c r="K74" s="81" t="s">
        <v>49</v>
      </c>
      <c r="L74" t="s">
        <v>49</v>
      </c>
      <c r="M74" t="s">
        <v>336</v>
      </c>
      <c r="N74" s="1" t="s">
        <v>336</v>
      </c>
      <c r="O74" s="1" t="s">
        <v>245</v>
      </c>
      <c r="P74" t="s">
        <v>245</v>
      </c>
      <c r="Q74" s="9" t="s">
        <v>45</v>
      </c>
      <c r="R74" s="82" t="s">
        <v>45</v>
      </c>
      <c r="S74" s="44" t="s">
        <v>184</v>
      </c>
      <c r="T74" s="3" t="s">
        <v>61</v>
      </c>
      <c r="U74" s="2" t="s">
        <v>29</v>
      </c>
      <c r="V74" s="3" t="s">
        <v>29</v>
      </c>
      <c r="W74" s="11" t="s">
        <v>153</v>
      </c>
      <c r="X74" s="3" t="s">
        <v>153</v>
      </c>
      <c r="Y74" s="77" t="s">
        <v>48</v>
      </c>
      <c r="Z74" s="84" t="s">
        <v>795</v>
      </c>
      <c r="AA74" s="89" t="s">
        <v>174</v>
      </c>
      <c r="AB74" s="90" t="str">
        <f>HYPERLINK(CONCATENATE("https://www.ejacket.nsf.gov/ej/showProposal.do?ID=",SUBSTITUTE(SplitQueryTableRecent[[#This Row],[prop_id]],CHAR(160),"")),"eJ")</f>
        <v>eJ</v>
      </c>
      <c r="AC74" s="89" t="s">
        <v>795</v>
      </c>
      <c r="AD74" s="3" t="s">
        <v>795</v>
      </c>
      <c r="AE74" s="91">
        <v>2015</v>
      </c>
      <c r="AF74" s="13" t="s">
        <v>44</v>
      </c>
      <c r="AG74" s="13">
        <v>4100</v>
      </c>
      <c r="AH74" s="45">
        <v>270000</v>
      </c>
      <c r="AI74" s="44" t="s">
        <v>793</v>
      </c>
      <c r="AJ74" s="2" t="s">
        <v>794</v>
      </c>
      <c r="AK74" s="46" t="s">
        <v>1715</v>
      </c>
      <c r="AL74" s="55" t="s">
        <v>369</v>
      </c>
      <c r="AM74" s="45" t="s">
        <v>138</v>
      </c>
      <c r="AN74" s="56" t="s">
        <v>152</v>
      </c>
      <c r="AO74" s="23" t="s">
        <v>146</v>
      </c>
      <c r="AP74" s="11"/>
      <c r="AQ74" s="88" t="s">
        <v>796</v>
      </c>
      <c r="AR74" s="57" t="s">
        <v>164</v>
      </c>
      <c r="AS74" s="46">
        <v>42269.593865740739</v>
      </c>
      <c r="AT74" s="3">
        <f t="shared" si="0"/>
        <v>47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8:88" x14ac:dyDescent="0.4">
      <c r="H75" s="59">
        <v>42992.404930555553</v>
      </c>
      <c r="I75" s="43">
        <v>42326.699305555558</v>
      </c>
      <c r="J75" s="42">
        <v>42507.678796296299</v>
      </c>
      <c r="K75" s="81" t="s">
        <v>49</v>
      </c>
      <c r="L75" t="s">
        <v>49</v>
      </c>
      <c r="M75" t="s">
        <v>336</v>
      </c>
      <c r="N75" s="1" t="s">
        <v>336</v>
      </c>
      <c r="O75" s="1" t="s">
        <v>230</v>
      </c>
      <c r="P75" t="s">
        <v>230</v>
      </c>
      <c r="Q75" s="9" t="s">
        <v>45</v>
      </c>
      <c r="R75" s="82" t="s">
        <v>45</v>
      </c>
      <c r="S75" s="44" t="s">
        <v>196</v>
      </c>
      <c r="T75" s="3" t="s">
        <v>61</v>
      </c>
      <c r="U75" s="2" t="s">
        <v>29</v>
      </c>
      <c r="V75" s="3" t="s">
        <v>29</v>
      </c>
      <c r="W75" s="11" t="s">
        <v>153</v>
      </c>
      <c r="X75" s="3" t="s">
        <v>153</v>
      </c>
      <c r="Y75" s="77" t="s">
        <v>48</v>
      </c>
      <c r="Z75" s="84" t="s">
        <v>797</v>
      </c>
      <c r="AA75" s="89" t="s">
        <v>28</v>
      </c>
      <c r="AB75" s="90" t="str">
        <f>HYPERLINK(CONCATENATE("https://www.ejacket.nsf.gov/ej/showProposal.do?ID=",SUBSTITUTE(SplitQueryTableRecent[[#This Row],[prop_id]],CHAR(160),"")),"eJ")</f>
        <v>eJ</v>
      </c>
      <c r="AC75" s="89" t="s">
        <v>797</v>
      </c>
      <c r="AD75" s="3" t="s">
        <v>797</v>
      </c>
      <c r="AE75" s="91">
        <v>2016</v>
      </c>
      <c r="AF75" s="13" t="s">
        <v>43</v>
      </c>
      <c r="AG75" s="13">
        <v>495010</v>
      </c>
      <c r="AH75" s="45">
        <v>495010</v>
      </c>
      <c r="AI75" s="44" t="s">
        <v>799</v>
      </c>
      <c r="AJ75" s="2" t="s">
        <v>295</v>
      </c>
      <c r="AK75" s="46" t="s">
        <v>1722</v>
      </c>
      <c r="AL75" s="55" t="s">
        <v>369</v>
      </c>
      <c r="AM75" s="45" t="s">
        <v>369</v>
      </c>
      <c r="AN75" s="56" t="s">
        <v>152</v>
      </c>
      <c r="AO75" s="23" t="s">
        <v>146</v>
      </c>
      <c r="AP75" s="11"/>
      <c r="AQ75" s="88" t="s">
        <v>798</v>
      </c>
      <c r="AR75" s="57" t="s">
        <v>164</v>
      </c>
      <c r="AS75" s="46">
        <v>42538.372847222221</v>
      </c>
      <c r="AT75" s="3">
        <f t="shared" si="0"/>
        <v>48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8:88" x14ac:dyDescent="0.4">
      <c r="H76" s="59">
        <v>42992.404930555553</v>
      </c>
      <c r="I76" s="43">
        <v>41653.68472222222</v>
      </c>
      <c r="J76" s="42">
        <v>41820.54892361111</v>
      </c>
      <c r="K76" s="81" t="s">
        <v>49</v>
      </c>
      <c r="L76" t="s">
        <v>49</v>
      </c>
      <c r="M76" t="s">
        <v>336</v>
      </c>
      <c r="N76" s="1" t="s">
        <v>336</v>
      </c>
      <c r="O76" s="1" t="s">
        <v>337</v>
      </c>
      <c r="P76" t="s">
        <v>337</v>
      </c>
      <c r="Q76" s="9" t="s">
        <v>45</v>
      </c>
      <c r="R76" s="82" t="s">
        <v>45</v>
      </c>
      <c r="S76" s="44" t="s">
        <v>173</v>
      </c>
      <c r="T76" s="3" t="s">
        <v>61</v>
      </c>
      <c r="U76" s="2" t="s">
        <v>29</v>
      </c>
      <c r="V76" s="3" t="s">
        <v>29</v>
      </c>
      <c r="W76" s="11" t="s">
        <v>153</v>
      </c>
      <c r="X76" s="3" t="s">
        <v>153</v>
      </c>
      <c r="Y76" s="77" t="s">
        <v>48</v>
      </c>
      <c r="Z76" s="84" t="s">
        <v>800</v>
      </c>
      <c r="AA76" s="89" t="s">
        <v>28</v>
      </c>
      <c r="AB76" s="90" t="str">
        <f>HYPERLINK(CONCATENATE("https://www.ejacket.nsf.gov/ej/showProposal.do?ID=",SUBSTITUTE(SplitQueryTableRecent[[#This Row],[prop_id]],CHAR(160),"")),"eJ")</f>
        <v>eJ</v>
      </c>
      <c r="AC76" s="89" t="s">
        <v>800</v>
      </c>
      <c r="AD76" s="3" t="s">
        <v>800</v>
      </c>
      <c r="AE76" s="91">
        <v>2014</v>
      </c>
      <c r="AF76" s="13" t="s">
        <v>43</v>
      </c>
      <c r="AG76" s="13">
        <v>266000</v>
      </c>
      <c r="AH76" s="45">
        <v>266000</v>
      </c>
      <c r="AI76" s="44" t="s">
        <v>802</v>
      </c>
      <c r="AJ76" s="2" t="s">
        <v>803</v>
      </c>
      <c r="AK76" s="46" t="s">
        <v>226</v>
      </c>
      <c r="AL76" s="55" t="s">
        <v>584</v>
      </c>
      <c r="AM76" s="45" t="s">
        <v>584</v>
      </c>
      <c r="AN76" s="56" t="s">
        <v>152</v>
      </c>
      <c r="AO76" s="23" t="s">
        <v>146</v>
      </c>
      <c r="AP76" s="11"/>
      <c r="AQ76" s="88" t="s">
        <v>801</v>
      </c>
      <c r="AR76" s="57" t="s">
        <v>161</v>
      </c>
      <c r="AS76" s="46">
        <v>41856.486759259256</v>
      </c>
      <c r="AT76" s="3">
        <f t="shared" si="0"/>
        <v>49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8:88" x14ac:dyDescent="0.4">
      <c r="H77" s="59">
        <v>42992.404930555553</v>
      </c>
      <c r="I77" s="43">
        <v>42018.688888888886</v>
      </c>
      <c r="J77" s="42">
        <v>42194.434537037036</v>
      </c>
      <c r="K77" s="81" t="s">
        <v>49</v>
      </c>
      <c r="L77" t="s">
        <v>49</v>
      </c>
      <c r="M77" t="s">
        <v>336</v>
      </c>
      <c r="N77" s="1" t="s">
        <v>336</v>
      </c>
      <c r="O77" s="1" t="s">
        <v>245</v>
      </c>
      <c r="P77" t="s">
        <v>245</v>
      </c>
      <c r="Q77" s="9" t="s">
        <v>45</v>
      </c>
      <c r="R77" s="82" t="s">
        <v>45</v>
      </c>
      <c r="S77" s="44" t="s">
        <v>184</v>
      </c>
      <c r="T77" s="3" t="s">
        <v>61</v>
      </c>
      <c r="U77" s="2" t="s">
        <v>29</v>
      </c>
      <c r="V77" s="3" t="s">
        <v>29</v>
      </c>
      <c r="W77" s="11" t="s">
        <v>153</v>
      </c>
      <c r="X77" s="3" t="s">
        <v>153</v>
      </c>
      <c r="Y77" s="77" t="s">
        <v>48</v>
      </c>
      <c r="Z77" s="84" t="s">
        <v>805</v>
      </c>
      <c r="AA77" s="89" t="s">
        <v>28</v>
      </c>
      <c r="AB77" s="90" t="str">
        <f>HYPERLINK(CONCATENATE("https://www.ejacket.nsf.gov/ej/showProposal.do?ID=",SUBSTITUTE(SplitQueryTableRecent[[#This Row],[prop_id]],CHAR(160),"")),"eJ")</f>
        <v>eJ</v>
      </c>
      <c r="AC77" s="89" t="s">
        <v>805</v>
      </c>
      <c r="AD77" s="3" t="s">
        <v>805</v>
      </c>
      <c r="AE77" s="91">
        <v>2015</v>
      </c>
      <c r="AF77" s="13" t="s">
        <v>43</v>
      </c>
      <c r="AG77" s="13">
        <v>421557</v>
      </c>
      <c r="AH77" s="45">
        <v>471211</v>
      </c>
      <c r="AI77" s="44" t="s">
        <v>807</v>
      </c>
      <c r="AJ77" s="2" t="s">
        <v>808</v>
      </c>
      <c r="AK77" s="46" t="s">
        <v>1723</v>
      </c>
      <c r="AL77" s="55" t="s">
        <v>369</v>
      </c>
      <c r="AM77" s="45" t="s">
        <v>369</v>
      </c>
      <c r="AN77" s="56" t="s">
        <v>152</v>
      </c>
      <c r="AO77" s="23" t="s">
        <v>146</v>
      </c>
      <c r="AP77" s="11"/>
      <c r="AQ77" s="88" t="s">
        <v>806</v>
      </c>
      <c r="AR77" s="57" t="s">
        <v>164</v>
      </c>
      <c r="AS77" s="46">
        <v>42223.585462962961</v>
      </c>
      <c r="AT77" s="3">
        <f t="shared" si="0"/>
        <v>50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8:88" x14ac:dyDescent="0.4">
      <c r="H78" s="59">
        <v>42992.404930555553</v>
      </c>
      <c r="I78" s="43">
        <v>42690.681944444441</v>
      </c>
      <c r="J78" s="42">
        <v>42905.721863425926</v>
      </c>
      <c r="K78" s="81" t="s">
        <v>49</v>
      </c>
      <c r="L78" t="s">
        <v>49</v>
      </c>
      <c r="M78" t="s">
        <v>336</v>
      </c>
      <c r="N78" s="1" t="s">
        <v>336</v>
      </c>
      <c r="O78" s="1" t="s">
        <v>337</v>
      </c>
      <c r="P78" t="s">
        <v>337</v>
      </c>
      <c r="Q78" s="9" t="s">
        <v>45</v>
      </c>
      <c r="R78" s="82" t="s">
        <v>45</v>
      </c>
      <c r="S78" s="44" t="s">
        <v>192</v>
      </c>
      <c r="T78" s="3" t="s">
        <v>61</v>
      </c>
      <c r="U78" s="2" t="s">
        <v>29</v>
      </c>
      <c r="V78" s="3" t="s">
        <v>29</v>
      </c>
      <c r="W78" s="11" t="s">
        <v>153</v>
      </c>
      <c r="X78" s="3" t="s">
        <v>153</v>
      </c>
      <c r="Y78" s="77" t="s">
        <v>48</v>
      </c>
      <c r="Z78" s="84" t="s">
        <v>809</v>
      </c>
      <c r="AA78" s="89" t="s">
        <v>28</v>
      </c>
      <c r="AB78" s="90" t="str">
        <f>HYPERLINK(CONCATENATE("https://www.ejacket.nsf.gov/ej/showProposal.do?ID=",SUBSTITUTE(SplitQueryTableRecent[[#This Row],[prop_id]],CHAR(160),"")),"eJ")</f>
        <v>eJ</v>
      </c>
      <c r="AC78" s="89" t="s">
        <v>809</v>
      </c>
      <c r="AD78" s="3" t="s">
        <v>809</v>
      </c>
      <c r="AE78" s="91">
        <v>2017</v>
      </c>
      <c r="AF78" s="13" t="s">
        <v>43</v>
      </c>
      <c r="AG78" s="13">
        <v>399318</v>
      </c>
      <c r="AH78" s="45">
        <v>399318</v>
      </c>
      <c r="AI78" s="44" t="s">
        <v>807</v>
      </c>
      <c r="AJ78" s="2" t="s">
        <v>808</v>
      </c>
      <c r="AK78" s="46" t="s">
        <v>1723</v>
      </c>
      <c r="AL78" s="55" t="s">
        <v>610</v>
      </c>
      <c r="AM78" s="45" t="s">
        <v>369</v>
      </c>
      <c r="AN78" s="56" t="s">
        <v>152</v>
      </c>
      <c r="AO78" s="23" t="s">
        <v>146</v>
      </c>
      <c r="AP78" s="11"/>
      <c r="AQ78" s="88" t="s">
        <v>810</v>
      </c>
      <c r="AR78" s="57" t="s">
        <v>188</v>
      </c>
      <c r="AS78" s="46">
        <v>42912.596608796295</v>
      </c>
      <c r="AT78" s="3">
        <f t="shared" si="0"/>
        <v>51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8:88" x14ac:dyDescent="0.4">
      <c r="H79" s="59">
        <v>42992.404930555553</v>
      </c>
      <c r="I79" s="43">
        <v>42018.607638888891</v>
      </c>
      <c r="J79" s="42">
        <v>42184.612453703703</v>
      </c>
      <c r="K79" s="81" t="s">
        <v>49</v>
      </c>
      <c r="L79" t="s">
        <v>49</v>
      </c>
      <c r="M79" t="s">
        <v>336</v>
      </c>
      <c r="N79" s="1" t="s">
        <v>336</v>
      </c>
      <c r="O79" s="1" t="s">
        <v>337</v>
      </c>
      <c r="P79" t="s">
        <v>337</v>
      </c>
      <c r="Q79" s="9" t="s">
        <v>45</v>
      </c>
      <c r="R79" s="82" t="s">
        <v>45</v>
      </c>
      <c r="S79" s="44" t="s">
        <v>184</v>
      </c>
      <c r="T79" s="3" t="s">
        <v>61</v>
      </c>
      <c r="U79" s="2" t="s">
        <v>29</v>
      </c>
      <c r="V79" s="3" t="s">
        <v>29</v>
      </c>
      <c r="W79" s="11" t="s">
        <v>153</v>
      </c>
      <c r="X79" s="3" t="s">
        <v>153</v>
      </c>
      <c r="Y79" s="77" t="s">
        <v>48</v>
      </c>
      <c r="Z79" s="84" t="s">
        <v>819</v>
      </c>
      <c r="AA79" s="89" t="s">
        <v>28</v>
      </c>
      <c r="AB79" s="90" t="str">
        <f>HYPERLINK(CONCATENATE("https://www.ejacket.nsf.gov/ej/showProposal.do?ID=",SUBSTITUTE(SplitQueryTableRecent[[#This Row],[prop_id]],CHAR(160),"")),"eJ")</f>
        <v>eJ</v>
      </c>
      <c r="AC79" s="89" t="s">
        <v>819</v>
      </c>
      <c r="AD79" s="3" t="s">
        <v>819</v>
      </c>
      <c r="AE79" s="91">
        <v>2015</v>
      </c>
      <c r="AF79" s="13" t="s">
        <v>43</v>
      </c>
      <c r="AG79" s="13">
        <v>500000</v>
      </c>
      <c r="AH79" s="45">
        <v>500000</v>
      </c>
      <c r="AI79" s="44" t="s">
        <v>818</v>
      </c>
      <c r="AJ79" s="2" t="s">
        <v>348</v>
      </c>
      <c r="AK79" s="46" t="s">
        <v>1724</v>
      </c>
      <c r="AL79" s="55" t="s">
        <v>584</v>
      </c>
      <c r="AM79" s="45" t="s">
        <v>584</v>
      </c>
      <c r="AN79" s="56" t="s">
        <v>152</v>
      </c>
      <c r="AO79" s="23" t="s">
        <v>146</v>
      </c>
      <c r="AP79" s="11"/>
      <c r="AQ79" s="88" t="s">
        <v>820</v>
      </c>
      <c r="AR79" s="57" t="s">
        <v>164</v>
      </c>
      <c r="AS79" s="46">
        <v>42212.397893518515</v>
      </c>
      <c r="AT79" s="3">
        <f t="shared" si="0"/>
        <v>52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8:88" x14ac:dyDescent="0.4">
      <c r="H80" s="59">
        <v>42992.404930555553</v>
      </c>
      <c r="I80" s="43">
        <v>42690.36041666667</v>
      </c>
      <c r="J80" s="42">
        <v>42923.670289351852</v>
      </c>
      <c r="K80" s="81" t="s">
        <v>49</v>
      </c>
      <c r="L80" t="s">
        <v>49</v>
      </c>
      <c r="M80" t="s">
        <v>336</v>
      </c>
      <c r="N80" s="1" t="s">
        <v>336</v>
      </c>
      <c r="O80" s="1" t="s">
        <v>245</v>
      </c>
      <c r="P80" t="s">
        <v>245</v>
      </c>
      <c r="Q80" s="9" t="s">
        <v>45</v>
      </c>
      <c r="R80" s="82" t="s">
        <v>45</v>
      </c>
      <c r="S80" s="44" t="s">
        <v>192</v>
      </c>
      <c r="T80" s="3" t="s">
        <v>61</v>
      </c>
      <c r="U80" s="2" t="s">
        <v>29</v>
      </c>
      <c r="V80" s="3" t="s">
        <v>29</v>
      </c>
      <c r="W80" s="11" t="s">
        <v>153</v>
      </c>
      <c r="X80" s="3" t="s">
        <v>153</v>
      </c>
      <c r="Y80" s="77" t="s">
        <v>48</v>
      </c>
      <c r="Z80" s="84" t="s">
        <v>821</v>
      </c>
      <c r="AA80" s="89" t="s">
        <v>28</v>
      </c>
      <c r="AB80" s="90" t="str">
        <f>HYPERLINK(CONCATENATE("https://www.ejacket.nsf.gov/ej/showProposal.do?ID=",SUBSTITUTE(SplitQueryTableRecent[[#This Row],[prop_id]],CHAR(160),"")),"eJ")</f>
        <v>eJ</v>
      </c>
      <c r="AC80" s="89" t="s">
        <v>821</v>
      </c>
      <c r="AD80" s="3" t="s">
        <v>821</v>
      </c>
      <c r="AE80" s="91">
        <v>2017</v>
      </c>
      <c r="AF80" s="13" t="s">
        <v>43</v>
      </c>
      <c r="AG80" s="13">
        <v>499998</v>
      </c>
      <c r="AH80" s="45">
        <v>499998</v>
      </c>
      <c r="AI80" s="44" t="s">
        <v>178</v>
      </c>
      <c r="AJ80" s="2" t="s">
        <v>823</v>
      </c>
      <c r="AK80" s="46" t="s">
        <v>238</v>
      </c>
      <c r="AL80" s="55" t="s">
        <v>731</v>
      </c>
      <c r="AM80" s="45" t="s">
        <v>369</v>
      </c>
      <c r="AN80" s="56" t="s">
        <v>152</v>
      </c>
      <c r="AO80" s="23" t="s">
        <v>146</v>
      </c>
      <c r="AP80" s="11"/>
      <c r="AQ80" s="88" t="s">
        <v>822</v>
      </c>
      <c r="AR80" s="57" t="s">
        <v>188</v>
      </c>
      <c r="AS80" s="46">
        <v>42954.709120370368</v>
      </c>
      <c r="AT80" s="3">
        <f t="shared" si="0"/>
        <v>53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8:88" x14ac:dyDescent="0.4">
      <c r="H81" s="59">
        <v>42992.404930555553</v>
      </c>
      <c r="I81" s="43">
        <v>41653.494444444441</v>
      </c>
      <c r="J81" s="42">
        <v>41834.513877314814</v>
      </c>
      <c r="K81" s="81" t="s">
        <v>49</v>
      </c>
      <c r="L81" t="s">
        <v>49</v>
      </c>
      <c r="M81" t="s">
        <v>336</v>
      </c>
      <c r="N81" s="1" t="s">
        <v>336</v>
      </c>
      <c r="O81" s="1" t="s">
        <v>337</v>
      </c>
      <c r="P81" t="s">
        <v>337</v>
      </c>
      <c r="Q81" s="9" t="s">
        <v>45</v>
      </c>
      <c r="R81" s="82" t="s">
        <v>45</v>
      </c>
      <c r="S81" s="44" t="s">
        <v>173</v>
      </c>
      <c r="T81" s="3" t="s">
        <v>61</v>
      </c>
      <c r="U81" s="2" t="s">
        <v>29</v>
      </c>
      <c r="V81" s="3" t="s">
        <v>29</v>
      </c>
      <c r="W81" s="11" t="s">
        <v>153</v>
      </c>
      <c r="X81" s="3" t="s">
        <v>153</v>
      </c>
      <c r="Y81" s="77" t="s">
        <v>48</v>
      </c>
      <c r="Z81" s="84" t="s">
        <v>824</v>
      </c>
      <c r="AA81" s="89" t="s">
        <v>28</v>
      </c>
      <c r="AB81" s="90" t="str">
        <f>HYPERLINK(CONCATENATE("https://www.ejacket.nsf.gov/ej/showProposal.do?ID=",SUBSTITUTE(SplitQueryTableRecent[[#This Row],[prop_id]],CHAR(160),"")),"eJ")</f>
        <v>eJ</v>
      </c>
      <c r="AC81" s="89" t="s">
        <v>824</v>
      </c>
      <c r="AD81" s="3" t="s">
        <v>824</v>
      </c>
      <c r="AE81" s="91">
        <v>2014</v>
      </c>
      <c r="AF81" s="13" t="s">
        <v>43</v>
      </c>
      <c r="AG81" s="13">
        <v>187449</v>
      </c>
      <c r="AH81" s="45">
        <v>187449</v>
      </c>
      <c r="AI81" s="44" t="s">
        <v>826</v>
      </c>
      <c r="AJ81" s="2" t="s">
        <v>827</v>
      </c>
      <c r="AK81" s="46" t="s">
        <v>828</v>
      </c>
      <c r="AL81" s="55" t="s">
        <v>703</v>
      </c>
      <c r="AM81" s="45" t="s">
        <v>703</v>
      </c>
      <c r="AN81" s="56" t="s">
        <v>152</v>
      </c>
      <c r="AO81" s="23" t="s">
        <v>146</v>
      </c>
      <c r="AP81" s="11"/>
      <c r="AQ81" s="88" t="s">
        <v>825</v>
      </c>
      <c r="AR81" s="57" t="s">
        <v>164</v>
      </c>
      <c r="AS81" s="46">
        <v>41858.44736111111</v>
      </c>
      <c r="AT81" s="3">
        <f t="shared" si="0"/>
        <v>54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8:88" x14ac:dyDescent="0.4">
      <c r="H82" s="59">
        <v>42992.404930555553</v>
      </c>
      <c r="I82" s="43">
        <v>41653.612500000003</v>
      </c>
      <c r="J82" s="42">
        <v>41834.664201388892</v>
      </c>
      <c r="K82" s="81" t="s">
        <v>49</v>
      </c>
      <c r="L82" t="s">
        <v>49</v>
      </c>
      <c r="M82" t="s">
        <v>336</v>
      </c>
      <c r="N82" s="1" t="s">
        <v>336</v>
      </c>
      <c r="O82" s="1" t="s">
        <v>245</v>
      </c>
      <c r="P82" t="s">
        <v>245</v>
      </c>
      <c r="Q82" s="9" t="s">
        <v>45</v>
      </c>
      <c r="R82" s="82" t="s">
        <v>45</v>
      </c>
      <c r="S82" s="44" t="s">
        <v>173</v>
      </c>
      <c r="T82" s="3" t="s">
        <v>61</v>
      </c>
      <c r="U82" s="2" t="s">
        <v>29</v>
      </c>
      <c r="V82" s="3" t="s">
        <v>29</v>
      </c>
      <c r="W82" s="11" t="s">
        <v>153</v>
      </c>
      <c r="X82" s="3" t="s">
        <v>153</v>
      </c>
      <c r="Y82" s="77" t="s">
        <v>48</v>
      </c>
      <c r="Z82" s="84" t="s">
        <v>832</v>
      </c>
      <c r="AA82" s="89" t="s">
        <v>62</v>
      </c>
      <c r="AB82" s="90" t="str">
        <f>HYPERLINK(CONCATENATE("https://www.ejacket.nsf.gov/ej/showProposal.do?ID=",SUBSTITUTE(SplitQueryTableRecent[[#This Row],[prop_id]],CHAR(160),"")),"eJ")</f>
        <v>eJ</v>
      </c>
      <c r="AC82" s="89" t="s">
        <v>831</v>
      </c>
      <c r="AD82" s="3" t="s">
        <v>831</v>
      </c>
      <c r="AE82" s="91">
        <v>2014</v>
      </c>
      <c r="AF82" s="13" t="s">
        <v>43</v>
      </c>
      <c r="AG82" s="13">
        <v>123471</v>
      </c>
      <c r="AH82" s="45">
        <v>250000</v>
      </c>
      <c r="AI82" s="44" t="s">
        <v>829</v>
      </c>
      <c r="AJ82" s="2" t="s">
        <v>830</v>
      </c>
      <c r="AK82" s="46" t="s">
        <v>1725</v>
      </c>
      <c r="AL82" s="55" t="s">
        <v>369</v>
      </c>
      <c r="AM82" s="45" t="s">
        <v>369</v>
      </c>
      <c r="AN82" s="56" t="s">
        <v>152</v>
      </c>
      <c r="AO82" s="23" t="s">
        <v>146</v>
      </c>
      <c r="AP82" s="11"/>
      <c r="AQ82" s="88" t="s">
        <v>833</v>
      </c>
      <c r="AR82" s="57" t="s">
        <v>164</v>
      </c>
      <c r="AS82" s="46">
        <v>41848.490474537037</v>
      </c>
      <c r="AT82" s="3">
        <f t="shared" si="0"/>
        <v>55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8:88" x14ac:dyDescent="0.4">
      <c r="H83" s="59">
        <v>42992.404930555553</v>
      </c>
      <c r="I83" s="43">
        <v>42934.439583333333</v>
      </c>
      <c r="J83" s="42">
        <v>42936.513067129628</v>
      </c>
      <c r="K83" s="81" t="s">
        <v>49</v>
      </c>
      <c r="L83" t="s">
        <v>49</v>
      </c>
      <c r="M83" t="s">
        <v>336</v>
      </c>
      <c r="N83" s="1" t="s">
        <v>336</v>
      </c>
      <c r="O83" s="1" t="s">
        <v>230</v>
      </c>
      <c r="P83" t="s">
        <v>230</v>
      </c>
      <c r="Q83" s="9" t="s">
        <v>45</v>
      </c>
      <c r="R83" s="82" t="s">
        <v>45</v>
      </c>
      <c r="S83" s="44" t="s">
        <v>139</v>
      </c>
      <c r="T83" s="3" t="s">
        <v>61</v>
      </c>
      <c r="U83" s="2" t="s">
        <v>29</v>
      </c>
      <c r="V83" s="3" t="s">
        <v>29</v>
      </c>
      <c r="W83" s="11" t="s">
        <v>153</v>
      </c>
      <c r="X83" s="3" t="s">
        <v>153</v>
      </c>
      <c r="Y83" s="77" t="s">
        <v>48</v>
      </c>
      <c r="Z83" s="84" t="s">
        <v>836</v>
      </c>
      <c r="AA83" s="89" t="s">
        <v>28</v>
      </c>
      <c r="AB83" s="90" t="str">
        <f>HYPERLINK(CONCATENATE("https://www.ejacket.nsf.gov/ej/showProposal.do?ID=",SUBSTITUTE(SplitQueryTableRecent[[#This Row],[prop_id]],CHAR(160),"")),"eJ")</f>
        <v>eJ</v>
      </c>
      <c r="AC83" s="89" t="s">
        <v>836</v>
      </c>
      <c r="AD83" s="3" t="s">
        <v>836</v>
      </c>
      <c r="AE83" s="91">
        <v>2017</v>
      </c>
      <c r="AF83" s="13" t="s">
        <v>43</v>
      </c>
      <c r="AG83" s="13">
        <v>225000</v>
      </c>
      <c r="AH83" s="45">
        <v>225000</v>
      </c>
      <c r="AI83" s="44" t="s">
        <v>829</v>
      </c>
      <c r="AJ83" s="2" t="s">
        <v>830</v>
      </c>
      <c r="AK83" s="46" t="s">
        <v>1725</v>
      </c>
      <c r="AL83" s="55" t="s">
        <v>627</v>
      </c>
      <c r="AM83" s="45" t="s">
        <v>627</v>
      </c>
      <c r="AN83" s="56" t="s">
        <v>152</v>
      </c>
      <c r="AO83" s="23" t="s">
        <v>146</v>
      </c>
      <c r="AP83" s="11"/>
      <c r="AQ83" s="88" t="s">
        <v>837</v>
      </c>
      <c r="AR83" s="57" t="s">
        <v>188</v>
      </c>
      <c r="AS83" s="46">
        <v>42978.420266203706</v>
      </c>
      <c r="AT83" s="3">
        <f t="shared" si="0"/>
        <v>56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8:88" x14ac:dyDescent="0.4">
      <c r="H84" s="59">
        <v>42992.404930555553</v>
      </c>
      <c r="I84" s="43">
        <v>42326.65</v>
      </c>
      <c r="J84" s="42">
        <v>42507.580243055556</v>
      </c>
      <c r="K84" s="81" t="s">
        <v>49</v>
      </c>
      <c r="L84" t="s">
        <v>49</v>
      </c>
      <c r="M84" t="s">
        <v>336</v>
      </c>
      <c r="N84" s="1" t="s">
        <v>336</v>
      </c>
      <c r="O84" s="1" t="s">
        <v>230</v>
      </c>
      <c r="P84" t="s">
        <v>230</v>
      </c>
      <c r="Q84" s="9" t="s">
        <v>45</v>
      </c>
      <c r="R84" s="82" t="s">
        <v>45</v>
      </c>
      <c r="S84" s="44" t="s">
        <v>196</v>
      </c>
      <c r="T84" s="3" t="s">
        <v>61</v>
      </c>
      <c r="U84" s="2" t="s">
        <v>29</v>
      </c>
      <c r="V84" s="3" t="s">
        <v>29</v>
      </c>
      <c r="W84" s="11" t="s">
        <v>153</v>
      </c>
      <c r="X84" s="3" t="s">
        <v>153</v>
      </c>
      <c r="Y84" s="77" t="s">
        <v>48</v>
      </c>
      <c r="Z84" s="84" t="s">
        <v>838</v>
      </c>
      <c r="AA84" s="89" t="s">
        <v>28</v>
      </c>
      <c r="AB84" s="90" t="str">
        <f>HYPERLINK(CONCATENATE("https://www.ejacket.nsf.gov/ej/showProposal.do?ID=",SUBSTITUTE(SplitQueryTableRecent[[#This Row],[prop_id]],CHAR(160),"")),"eJ")</f>
        <v>eJ</v>
      </c>
      <c r="AC84" s="89" t="s">
        <v>838</v>
      </c>
      <c r="AD84" s="3" t="s">
        <v>838</v>
      </c>
      <c r="AE84" s="91">
        <v>2016</v>
      </c>
      <c r="AF84" s="13" t="s">
        <v>43</v>
      </c>
      <c r="AG84" s="13">
        <v>403168</v>
      </c>
      <c r="AH84" s="45">
        <v>403168</v>
      </c>
      <c r="AI84" s="44" t="s">
        <v>840</v>
      </c>
      <c r="AJ84" s="2" t="s">
        <v>841</v>
      </c>
      <c r="AK84" s="46" t="s">
        <v>307</v>
      </c>
      <c r="AL84" s="55" t="s">
        <v>601</v>
      </c>
      <c r="AM84" s="45" t="s">
        <v>601</v>
      </c>
      <c r="AN84" s="56" t="s">
        <v>152</v>
      </c>
      <c r="AO84" s="23" t="s">
        <v>146</v>
      </c>
      <c r="AP84" s="11"/>
      <c r="AQ84" s="88" t="s">
        <v>839</v>
      </c>
      <c r="AR84" s="57" t="s">
        <v>164</v>
      </c>
      <c r="AS84" s="46">
        <v>42531.494166666664</v>
      </c>
      <c r="AT84" s="3">
        <f t="shared" si="0"/>
        <v>57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8:88" x14ac:dyDescent="0.4">
      <c r="H85" s="59">
        <v>42992.404930555553</v>
      </c>
      <c r="I85" s="43">
        <v>42326.711805555555</v>
      </c>
      <c r="J85" s="42">
        <v>42507.574780092589</v>
      </c>
      <c r="K85" s="81" t="s">
        <v>49</v>
      </c>
      <c r="L85" t="s">
        <v>49</v>
      </c>
      <c r="M85" t="s">
        <v>336</v>
      </c>
      <c r="N85" s="1" t="s">
        <v>336</v>
      </c>
      <c r="O85" s="1" t="s">
        <v>230</v>
      </c>
      <c r="P85" t="s">
        <v>230</v>
      </c>
      <c r="Q85" s="9" t="s">
        <v>45</v>
      </c>
      <c r="R85" s="82" t="s">
        <v>45</v>
      </c>
      <c r="S85" s="44" t="s">
        <v>196</v>
      </c>
      <c r="T85" s="3" t="s">
        <v>61</v>
      </c>
      <c r="U85" s="2" t="s">
        <v>29</v>
      </c>
      <c r="V85" s="3" t="s">
        <v>29</v>
      </c>
      <c r="W85" s="11" t="s">
        <v>153</v>
      </c>
      <c r="X85" s="3" t="s">
        <v>153</v>
      </c>
      <c r="Y85" s="77" t="s">
        <v>48</v>
      </c>
      <c r="Z85" s="84" t="s">
        <v>845</v>
      </c>
      <c r="AA85" s="89" t="s">
        <v>28</v>
      </c>
      <c r="AB85" s="90" t="str">
        <f>HYPERLINK(CONCATENATE("https://www.ejacket.nsf.gov/ej/showProposal.do?ID=",SUBSTITUTE(SplitQueryTableRecent[[#This Row],[prop_id]],CHAR(160),"")),"eJ")</f>
        <v>eJ</v>
      </c>
      <c r="AC85" s="89" t="s">
        <v>845</v>
      </c>
      <c r="AD85" s="3" t="s">
        <v>845</v>
      </c>
      <c r="AE85" s="91">
        <v>2016</v>
      </c>
      <c r="AF85" s="13" t="s">
        <v>43</v>
      </c>
      <c r="AG85" s="13">
        <v>306107</v>
      </c>
      <c r="AH85" s="45">
        <v>306107</v>
      </c>
      <c r="AI85" s="44" t="s">
        <v>847</v>
      </c>
      <c r="AJ85" s="2" t="s">
        <v>848</v>
      </c>
      <c r="AK85" s="46" t="s">
        <v>1720</v>
      </c>
      <c r="AL85" s="55" t="s">
        <v>369</v>
      </c>
      <c r="AM85" s="45" t="s">
        <v>369</v>
      </c>
      <c r="AN85" s="56" t="s">
        <v>152</v>
      </c>
      <c r="AO85" s="23" t="s">
        <v>146</v>
      </c>
      <c r="AP85" s="11"/>
      <c r="AQ85" s="88" t="s">
        <v>846</v>
      </c>
      <c r="AR85" s="57" t="s">
        <v>164</v>
      </c>
      <c r="AS85" s="46">
        <v>42531.397094907406</v>
      </c>
      <c r="AT85" s="3">
        <f t="shared" si="0"/>
        <v>58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8:88" x14ac:dyDescent="0.4">
      <c r="H86" s="59">
        <v>42992.404930555553</v>
      </c>
      <c r="I86" s="43">
        <v>42018.669444444444</v>
      </c>
      <c r="J86" s="42">
        <v>42542.35628472222</v>
      </c>
      <c r="K86" s="81" t="s">
        <v>49</v>
      </c>
      <c r="L86" t="s">
        <v>49</v>
      </c>
      <c r="M86" t="s">
        <v>336</v>
      </c>
      <c r="N86" s="1" t="s">
        <v>336</v>
      </c>
      <c r="O86" s="1" t="s">
        <v>337</v>
      </c>
      <c r="P86" t="s">
        <v>337</v>
      </c>
      <c r="Q86" s="9" t="s">
        <v>45</v>
      </c>
      <c r="R86" s="82" t="s">
        <v>45</v>
      </c>
      <c r="S86" s="44" t="s">
        <v>184</v>
      </c>
      <c r="T86" s="3" t="s">
        <v>61</v>
      </c>
      <c r="U86" s="2" t="s">
        <v>29</v>
      </c>
      <c r="V86" s="3" t="s">
        <v>29</v>
      </c>
      <c r="W86" s="11" t="s">
        <v>153</v>
      </c>
      <c r="X86" s="3" t="s">
        <v>153</v>
      </c>
      <c r="Y86" s="77" t="s">
        <v>48</v>
      </c>
      <c r="Z86" s="84" t="s">
        <v>849</v>
      </c>
      <c r="AA86" s="89" t="s">
        <v>28</v>
      </c>
      <c r="AB86" s="90" t="str">
        <f>HYPERLINK(CONCATENATE("https://www.ejacket.nsf.gov/ej/showProposal.do?ID=",SUBSTITUTE(SplitQueryTableRecent[[#This Row],[prop_id]],CHAR(160),"")),"eJ")</f>
        <v>eJ</v>
      </c>
      <c r="AC86" s="89" t="s">
        <v>849</v>
      </c>
      <c r="AD86" s="3" t="s">
        <v>849</v>
      </c>
      <c r="AE86" s="91">
        <v>2016</v>
      </c>
      <c r="AF86" s="13" t="s">
        <v>43</v>
      </c>
      <c r="AG86" s="13">
        <v>400000</v>
      </c>
      <c r="AH86" s="45">
        <v>450549</v>
      </c>
      <c r="AI86" s="44" t="s">
        <v>233</v>
      </c>
      <c r="AJ86" s="2" t="s">
        <v>300</v>
      </c>
      <c r="AK86" s="46" t="s">
        <v>238</v>
      </c>
      <c r="AL86" s="55" t="s">
        <v>725</v>
      </c>
      <c r="AM86" s="45" t="s">
        <v>725</v>
      </c>
      <c r="AN86" s="56" t="s">
        <v>152</v>
      </c>
      <c r="AO86" s="23" t="s">
        <v>146</v>
      </c>
      <c r="AP86" s="11"/>
      <c r="AQ86" s="88" t="s">
        <v>850</v>
      </c>
      <c r="AR86" s="57" t="s">
        <v>164</v>
      </c>
      <c r="AS86" s="46">
        <v>42572.319131944445</v>
      </c>
      <c r="AT86" s="3">
        <f t="shared" si="0"/>
        <v>59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8:88" x14ac:dyDescent="0.4">
      <c r="H87" s="59">
        <v>42992.404930555553</v>
      </c>
      <c r="I87" s="43">
        <v>42018.35</v>
      </c>
      <c r="J87" s="42">
        <v>42159.715185185189</v>
      </c>
      <c r="K87" s="81" t="s">
        <v>49</v>
      </c>
      <c r="L87" t="s">
        <v>49</v>
      </c>
      <c r="M87" t="s">
        <v>336</v>
      </c>
      <c r="N87" s="1" t="s">
        <v>336</v>
      </c>
      <c r="O87" s="1" t="s">
        <v>245</v>
      </c>
      <c r="P87" t="s">
        <v>245</v>
      </c>
      <c r="Q87" s="9" t="s">
        <v>45</v>
      </c>
      <c r="R87" s="82" t="s">
        <v>45</v>
      </c>
      <c r="S87" s="44" t="s">
        <v>184</v>
      </c>
      <c r="T87" s="3" t="s">
        <v>61</v>
      </c>
      <c r="U87" s="2" t="s">
        <v>29</v>
      </c>
      <c r="V87" s="3" t="s">
        <v>29</v>
      </c>
      <c r="W87" s="11" t="s">
        <v>153</v>
      </c>
      <c r="X87" s="3" t="s">
        <v>153</v>
      </c>
      <c r="Y87" s="77" t="s">
        <v>48</v>
      </c>
      <c r="Z87" s="84" t="s">
        <v>851</v>
      </c>
      <c r="AA87" s="89" t="s">
        <v>28</v>
      </c>
      <c r="AB87" s="90" t="str">
        <f>HYPERLINK(CONCATENATE("https://www.ejacket.nsf.gov/ej/showProposal.do?ID=",SUBSTITUTE(SplitQueryTableRecent[[#This Row],[prop_id]],CHAR(160),"")),"eJ")</f>
        <v>eJ</v>
      </c>
      <c r="AC87" s="89" t="s">
        <v>851</v>
      </c>
      <c r="AD87" s="3" t="s">
        <v>851</v>
      </c>
      <c r="AE87" s="91">
        <v>2015</v>
      </c>
      <c r="AF87" s="13" t="s">
        <v>43</v>
      </c>
      <c r="AG87" s="13">
        <v>488642</v>
      </c>
      <c r="AH87" s="45">
        <v>499997</v>
      </c>
      <c r="AI87" s="44" t="s">
        <v>853</v>
      </c>
      <c r="AJ87" s="2" t="s">
        <v>639</v>
      </c>
      <c r="AK87" s="46" t="s">
        <v>412</v>
      </c>
      <c r="AL87" s="55" t="s">
        <v>369</v>
      </c>
      <c r="AM87" s="45" t="s">
        <v>369</v>
      </c>
      <c r="AN87" s="56" t="s">
        <v>152</v>
      </c>
      <c r="AO87" s="23" t="s">
        <v>146</v>
      </c>
      <c r="AP87" s="11"/>
      <c r="AQ87" s="88" t="s">
        <v>852</v>
      </c>
      <c r="AR87" s="57" t="s">
        <v>164</v>
      </c>
      <c r="AS87" s="46">
        <v>42181.501134259262</v>
      </c>
      <c r="AT87" s="3">
        <f t="shared" si="0"/>
        <v>60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8:88" x14ac:dyDescent="0.4">
      <c r="H88" s="59">
        <v>42992.404930555553</v>
      </c>
      <c r="I88" s="43">
        <v>42018.35</v>
      </c>
      <c r="J88" s="42">
        <v>42159.715185185189</v>
      </c>
      <c r="K88" s="81" t="s">
        <v>49</v>
      </c>
      <c r="L88" t="s">
        <v>49</v>
      </c>
      <c r="M88" t="s">
        <v>336</v>
      </c>
      <c r="N88" s="1" t="s">
        <v>336</v>
      </c>
      <c r="O88" s="1" t="s">
        <v>245</v>
      </c>
      <c r="P88" t="s">
        <v>245</v>
      </c>
      <c r="Q88" s="9" t="s">
        <v>45</v>
      </c>
      <c r="R88" s="82" t="s">
        <v>45</v>
      </c>
      <c r="S88" s="44" t="s">
        <v>184</v>
      </c>
      <c r="T88" s="3" t="s">
        <v>61</v>
      </c>
      <c r="U88" s="2" t="s">
        <v>29</v>
      </c>
      <c r="V88" s="3" t="s">
        <v>29</v>
      </c>
      <c r="W88" s="11" t="s">
        <v>153</v>
      </c>
      <c r="X88" s="3" t="s">
        <v>153</v>
      </c>
      <c r="Y88" s="77" t="s">
        <v>48</v>
      </c>
      <c r="Z88" s="84" t="s">
        <v>851</v>
      </c>
      <c r="AA88" s="89" t="s">
        <v>28</v>
      </c>
      <c r="AB88" s="90" t="str">
        <f>HYPERLINK(CONCATENATE("https://www.ejacket.nsf.gov/ej/showProposal.do?ID=",SUBSTITUTE(SplitQueryTableRecent[[#This Row],[prop_id]],CHAR(160),"")),"eJ")</f>
        <v>eJ</v>
      </c>
      <c r="AC88" s="89" t="s">
        <v>851</v>
      </c>
      <c r="AD88" s="3" t="s">
        <v>851</v>
      </c>
      <c r="AE88" s="91">
        <v>2015</v>
      </c>
      <c r="AF88" s="13" t="s">
        <v>44</v>
      </c>
      <c r="AG88" s="13">
        <v>4000</v>
      </c>
      <c r="AH88" s="45">
        <v>499997</v>
      </c>
      <c r="AI88" s="44" t="s">
        <v>853</v>
      </c>
      <c r="AJ88" s="2" t="s">
        <v>639</v>
      </c>
      <c r="AK88" s="46" t="s">
        <v>412</v>
      </c>
      <c r="AL88" s="55" t="s">
        <v>369</v>
      </c>
      <c r="AM88" s="45" t="s">
        <v>854</v>
      </c>
      <c r="AN88" s="56" t="s">
        <v>152</v>
      </c>
      <c r="AO88" s="23" t="s">
        <v>146</v>
      </c>
      <c r="AP88" s="11"/>
      <c r="AQ88" s="88" t="s">
        <v>852</v>
      </c>
      <c r="AR88" s="57" t="s">
        <v>164</v>
      </c>
      <c r="AS88" s="46">
        <v>42181.501134259262</v>
      </c>
      <c r="AT88" s="3">
        <f t="shared" si="0"/>
        <v>60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8:88" x14ac:dyDescent="0.4">
      <c r="H89" s="59">
        <v>42992.404930555553</v>
      </c>
      <c r="I89" s="43">
        <v>41653.588888888888</v>
      </c>
      <c r="J89" s="42">
        <v>41800.491967592592</v>
      </c>
      <c r="K89" s="81" t="s">
        <v>49</v>
      </c>
      <c r="L89" t="s">
        <v>49</v>
      </c>
      <c r="M89" t="s">
        <v>336</v>
      </c>
      <c r="N89" s="1" t="s">
        <v>336</v>
      </c>
      <c r="O89" s="1" t="s">
        <v>337</v>
      </c>
      <c r="P89" t="s">
        <v>337</v>
      </c>
      <c r="Q89" s="9" t="s">
        <v>45</v>
      </c>
      <c r="R89" s="82" t="s">
        <v>45</v>
      </c>
      <c r="S89" s="44" t="s">
        <v>173</v>
      </c>
      <c r="T89" s="3" t="s">
        <v>61</v>
      </c>
      <c r="U89" s="2" t="s">
        <v>29</v>
      </c>
      <c r="V89" s="3" t="s">
        <v>29</v>
      </c>
      <c r="W89" s="11" t="s">
        <v>153</v>
      </c>
      <c r="X89" s="3" t="s">
        <v>153</v>
      </c>
      <c r="Y89" s="77" t="s">
        <v>48</v>
      </c>
      <c r="Z89" s="84" t="s">
        <v>857</v>
      </c>
      <c r="AA89" s="89" t="s">
        <v>28</v>
      </c>
      <c r="AB89" s="90" t="str">
        <f>HYPERLINK(CONCATENATE("https://www.ejacket.nsf.gov/ej/showProposal.do?ID=",SUBSTITUTE(SplitQueryTableRecent[[#This Row],[prop_id]],CHAR(160),"")),"eJ")</f>
        <v>eJ</v>
      </c>
      <c r="AC89" s="89" t="s">
        <v>857</v>
      </c>
      <c r="AD89" s="3" t="s">
        <v>857</v>
      </c>
      <c r="AE89" s="91">
        <v>2014</v>
      </c>
      <c r="AF89" s="13" t="s">
        <v>43</v>
      </c>
      <c r="AG89" s="13">
        <v>403270</v>
      </c>
      <c r="AH89" s="45">
        <v>500000</v>
      </c>
      <c r="AI89" s="44" t="s">
        <v>859</v>
      </c>
      <c r="AJ89" s="2" t="s">
        <v>288</v>
      </c>
      <c r="AK89" s="46" t="s">
        <v>1726</v>
      </c>
      <c r="AL89" s="55" t="s">
        <v>584</v>
      </c>
      <c r="AM89" s="45" t="s">
        <v>584</v>
      </c>
      <c r="AN89" s="56" t="s">
        <v>152</v>
      </c>
      <c r="AO89" s="23" t="s">
        <v>146</v>
      </c>
      <c r="AP89" s="11"/>
      <c r="AQ89" s="88" t="s">
        <v>858</v>
      </c>
      <c r="AR89" s="57" t="s">
        <v>164</v>
      </c>
      <c r="AS89" s="46">
        <v>41808.561759259261</v>
      </c>
      <c r="AT89" s="3">
        <f t="shared" si="0"/>
        <v>61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8:88" x14ac:dyDescent="0.4">
      <c r="H90" s="59">
        <v>42992.404930555553</v>
      </c>
      <c r="I90" s="43">
        <v>42206.799305555556</v>
      </c>
      <c r="J90" s="42">
        <v>42214.593310185184</v>
      </c>
      <c r="K90" s="81" t="s">
        <v>49</v>
      </c>
      <c r="L90" t="s">
        <v>49</v>
      </c>
      <c r="M90" t="s">
        <v>336</v>
      </c>
      <c r="N90" s="1" t="s">
        <v>336</v>
      </c>
      <c r="O90" s="1" t="s">
        <v>337</v>
      </c>
      <c r="P90" t="s">
        <v>337</v>
      </c>
      <c r="Q90" s="9" t="s">
        <v>45</v>
      </c>
      <c r="R90" s="82" t="s">
        <v>45</v>
      </c>
      <c r="S90" s="44" t="s">
        <v>186</v>
      </c>
      <c r="T90" s="3" t="s">
        <v>61</v>
      </c>
      <c r="U90" s="2" t="s">
        <v>29</v>
      </c>
      <c r="V90" s="3" t="s">
        <v>29</v>
      </c>
      <c r="W90" s="11" t="s">
        <v>153</v>
      </c>
      <c r="X90" s="3" t="s">
        <v>153</v>
      </c>
      <c r="Y90" s="77" t="s">
        <v>48</v>
      </c>
      <c r="Z90" s="84" t="s">
        <v>860</v>
      </c>
      <c r="AA90" s="89" t="s">
        <v>28</v>
      </c>
      <c r="AB90" s="90" t="str">
        <f>HYPERLINK(CONCATENATE("https://www.ejacket.nsf.gov/ej/showProposal.do?ID=",SUBSTITUTE(SplitQueryTableRecent[[#This Row],[prop_id]],CHAR(160),"")),"eJ")</f>
        <v>eJ</v>
      </c>
      <c r="AC90" s="89" t="s">
        <v>860</v>
      </c>
      <c r="AD90" s="3" t="s">
        <v>860</v>
      </c>
      <c r="AE90" s="91">
        <v>2015</v>
      </c>
      <c r="AF90" s="13" t="s">
        <v>43</v>
      </c>
      <c r="AG90" s="13">
        <v>199846</v>
      </c>
      <c r="AH90" s="45">
        <v>199846</v>
      </c>
      <c r="AI90" s="44" t="s">
        <v>862</v>
      </c>
      <c r="AJ90" s="2" t="s">
        <v>638</v>
      </c>
      <c r="AK90" s="46" t="s">
        <v>313</v>
      </c>
      <c r="AL90" s="55" t="s">
        <v>722</v>
      </c>
      <c r="AM90" s="45" t="s">
        <v>722</v>
      </c>
      <c r="AN90" s="56" t="s">
        <v>152</v>
      </c>
      <c r="AO90" s="23" t="s">
        <v>146</v>
      </c>
      <c r="AP90" s="11"/>
      <c r="AQ90" s="88" t="s">
        <v>861</v>
      </c>
      <c r="AR90" s="57" t="s">
        <v>164</v>
      </c>
      <c r="AS90" s="46">
        <v>42243.334155092591</v>
      </c>
      <c r="AT90" s="3">
        <f t="shared" ref="AT90:AT153" si="1">IF(AD90=AD89,AT89,AT89+1)</f>
        <v>62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8:88" x14ac:dyDescent="0.4">
      <c r="H91" s="59">
        <v>42992.404930555553</v>
      </c>
      <c r="I91" s="43">
        <v>42688.621527777781</v>
      </c>
      <c r="J91" s="42">
        <v>42906.387986111113</v>
      </c>
      <c r="K91" s="81" t="s">
        <v>49</v>
      </c>
      <c r="L91" t="s">
        <v>49</v>
      </c>
      <c r="M91" t="s">
        <v>336</v>
      </c>
      <c r="N91" s="1" t="s">
        <v>336</v>
      </c>
      <c r="O91" s="1" t="s">
        <v>245</v>
      </c>
      <c r="P91" t="s">
        <v>245</v>
      </c>
      <c r="Q91" s="9" t="s">
        <v>45</v>
      </c>
      <c r="R91" s="82" t="s">
        <v>45</v>
      </c>
      <c r="S91" s="44" t="s">
        <v>192</v>
      </c>
      <c r="T91" s="3" t="s">
        <v>61</v>
      </c>
      <c r="U91" s="2" t="s">
        <v>29</v>
      </c>
      <c r="V91" s="3" t="s">
        <v>29</v>
      </c>
      <c r="W91" s="11" t="s">
        <v>153</v>
      </c>
      <c r="X91" s="3" t="s">
        <v>153</v>
      </c>
      <c r="Y91" s="77" t="s">
        <v>48</v>
      </c>
      <c r="Z91" s="84" t="s">
        <v>863</v>
      </c>
      <c r="AA91" s="89" t="s">
        <v>28</v>
      </c>
      <c r="AB91" s="90" t="str">
        <f>HYPERLINK(CONCATENATE("https://www.ejacket.nsf.gov/ej/showProposal.do?ID=",SUBSTITUTE(SplitQueryTableRecent[[#This Row],[prop_id]],CHAR(160),"")),"eJ")</f>
        <v>eJ</v>
      </c>
      <c r="AC91" s="89" t="s">
        <v>863</v>
      </c>
      <c r="AD91" s="3" t="s">
        <v>863</v>
      </c>
      <c r="AE91" s="91">
        <v>2017</v>
      </c>
      <c r="AF91" s="13" t="s">
        <v>43</v>
      </c>
      <c r="AG91" s="13">
        <v>180000</v>
      </c>
      <c r="AH91" s="45">
        <v>499511</v>
      </c>
      <c r="AI91" s="44" t="s">
        <v>862</v>
      </c>
      <c r="AJ91" s="2" t="s">
        <v>638</v>
      </c>
      <c r="AK91" s="46" t="s">
        <v>313</v>
      </c>
      <c r="AL91" s="55" t="s">
        <v>865</v>
      </c>
      <c r="AM91" s="45" t="s">
        <v>865</v>
      </c>
      <c r="AN91" s="56" t="s">
        <v>152</v>
      </c>
      <c r="AO91" s="23" t="s">
        <v>146</v>
      </c>
      <c r="AP91" s="11"/>
      <c r="AQ91" s="88" t="s">
        <v>864</v>
      </c>
      <c r="AR91" s="57" t="s">
        <v>188</v>
      </c>
      <c r="AS91" s="46">
        <v>42926.59946759259</v>
      </c>
      <c r="AT91" s="3">
        <f t="shared" si="1"/>
        <v>63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8:88" x14ac:dyDescent="0.4">
      <c r="H92" s="59">
        <v>42992.404930555553</v>
      </c>
      <c r="I92" s="43">
        <v>42018.645138888889</v>
      </c>
      <c r="J92" s="42">
        <v>42167.608854166669</v>
      </c>
      <c r="K92" s="81" t="s">
        <v>49</v>
      </c>
      <c r="L92" t="s">
        <v>49</v>
      </c>
      <c r="M92" t="s">
        <v>336</v>
      </c>
      <c r="N92" s="1" t="s">
        <v>336</v>
      </c>
      <c r="O92" s="1" t="s">
        <v>337</v>
      </c>
      <c r="P92" t="s">
        <v>337</v>
      </c>
      <c r="Q92" s="9" t="s">
        <v>45</v>
      </c>
      <c r="R92" s="82" t="s">
        <v>45</v>
      </c>
      <c r="S92" s="44" t="s">
        <v>184</v>
      </c>
      <c r="T92" s="3" t="s">
        <v>61</v>
      </c>
      <c r="U92" s="2" t="s">
        <v>29</v>
      </c>
      <c r="V92" s="3" t="s">
        <v>29</v>
      </c>
      <c r="W92" s="11" t="s">
        <v>153</v>
      </c>
      <c r="X92" s="3" t="s">
        <v>153</v>
      </c>
      <c r="Y92" s="77" t="s">
        <v>48</v>
      </c>
      <c r="Z92" s="84" t="s">
        <v>866</v>
      </c>
      <c r="AA92" s="89" t="s">
        <v>174</v>
      </c>
      <c r="AB92" s="90" t="str">
        <f>HYPERLINK(CONCATENATE("https://www.ejacket.nsf.gov/ej/showProposal.do?ID=",SUBSTITUTE(SplitQueryTableRecent[[#This Row],[prop_id]],CHAR(160),"")),"eJ")</f>
        <v>eJ</v>
      </c>
      <c r="AC92" s="89" t="s">
        <v>866</v>
      </c>
      <c r="AD92" s="3" t="s">
        <v>866</v>
      </c>
      <c r="AE92" s="91">
        <v>2015</v>
      </c>
      <c r="AF92" s="13" t="s">
        <v>43</v>
      </c>
      <c r="AG92" s="13">
        <v>247065</v>
      </c>
      <c r="AH92" s="45">
        <v>244347</v>
      </c>
      <c r="AI92" s="44" t="s">
        <v>868</v>
      </c>
      <c r="AJ92" s="2" t="s">
        <v>302</v>
      </c>
      <c r="AK92" s="46" t="s">
        <v>301</v>
      </c>
      <c r="AL92" s="55" t="s">
        <v>584</v>
      </c>
      <c r="AM92" s="45" t="s">
        <v>584</v>
      </c>
      <c r="AN92" s="56" t="s">
        <v>152</v>
      </c>
      <c r="AO92" s="23" t="s">
        <v>146</v>
      </c>
      <c r="AP92" s="11"/>
      <c r="AQ92" s="88" t="s">
        <v>867</v>
      </c>
      <c r="AR92" s="57" t="s">
        <v>164</v>
      </c>
      <c r="AS92" s="46">
        <v>42194.418194444443</v>
      </c>
      <c r="AT92" s="3">
        <f t="shared" si="1"/>
        <v>64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8:88" x14ac:dyDescent="0.4">
      <c r="H93" s="59">
        <v>42992.404930555553</v>
      </c>
      <c r="I93" s="43">
        <v>42689.670138888891</v>
      </c>
      <c r="J93" s="42">
        <v>42905.675567129627</v>
      </c>
      <c r="K93" s="81" t="s">
        <v>49</v>
      </c>
      <c r="L93" t="s">
        <v>49</v>
      </c>
      <c r="M93" t="s">
        <v>336</v>
      </c>
      <c r="N93" s="1" t="s">
        <v>336</v>
      </c>
      <c r="O93" s="1" t="s">
        <v>337</v>
      </c>
      <c r="P93" t="s">
        <v>337</v>
      </c>
      <c r="Q93" s="9" t="s">
        <v>45</v>
      </c>
      <c r="R93" s="82" t="s">
        <v>45</v>
      </c>
      <c r="S93" s="44" t="s">
        <v>192</v>
      </c>
      <c r="T93" s="3" t="s">
        <v>61</v>
      </c>
      <c r="U93" s="2" t="s">
        <v>29</v>
      </c>
      <c r="V93" s="3" t="s">
        <v>29</v>
      </c>
      <c r="W93" s="11" t="s">
        <v>153</v>
      </c>
      <c r="X93" s="3" t="s">
        <v>153</v>
      </c>
      <c r="Y93" s="77" t="s">
        <v>48</v>
      </c>
      <c r="Z93" s="84" t="s">
        <v>869</v>
      </c>
      <c r="AA93" s="89" t="s">
        <v>28</v>
      </c>
      <c r="AB93" s="90" t="str">
        <f>HYPERLINK(CONCATENATE("https://www.ejacket.nsf.gov/ej/showProposal.do?ID=",SUBSTITUTE(SplitQueryTableRecent[[#This Row],[prop_id]],CHAR(160),"")),"eJ")</f>
        <v>eJ</v>
      </c>
      <c r="AC93" s="89" t="s">
        <v>869</v>
      </c>
      <c r="AD93" s="3" t="s">
        <v>869</v>
      </c>
      <c r="AE93" s="91">
        <v>2017</v>
      </c>
      <c r="AF93" s="13" t="s">
        <v>43</v>
      </c>
      <c r="AG93" s="13">
        <v>499570</v>
      </c>
      <c r="AH93" s="45">
        <v>499570</v>
      </c>
      <c r="AI93" s="44" t="s">
        <v>868</v>
      </c>
      <c r="AJ93" s="2" t="s">
        <v>302</v>
      </c>
      <c r="AK93" s="46" t="s">
        <v>301</v>
      </c>
      <c r="AL93" s="55" t="s">
        <v>584</v>
      </c>
      <c r="AM93" s="45" t="s">
        <v>584</v>
      </c>
      <c r="AN93" s="56" t="s">
        <v>152</v>
      </c>
      <c r="AO93" s="23" t="s">
        <v>146</v>
      </c>
      <c r="AP93" s="11"/>
      <c r="AQ93" s="88" t="s">
        <v>870</v>
      </c>
      <c r="AR93" s="57" t="s">
        <v>188</v>
      </c>
      <c r="AS93" s="46">
        <v>42914.612222222226</v>
      </c>
      <c r="AT93" s="3">
        <f t="shared" si="1"/>
        <v>65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8:88" x14ac:dyDescent="0.4">
      <c r="H94" s="59">
        <v>42992.404930555553</v>
      </c>
      <c r="I94" s="43">
        <v>42018.599305555559</v>
      </c>
      <c r="J94" s="42">
        <v>42194.413819444446</v>
      </c>
      <c r="K94" s="81" t="s">
        <v>49</v>
      </c>
      <c r="L94" t="s">
        <v>49</v>
      </c>
      <c r="M94" t="s">
        <v>336</v>
      </c>
      <c r="N94" s="1" t="s">
        <v>336</v>
      </c>
      <c r="O94" s="1" t="s">
        <v>245</v>
      </c>
      <c r="P94" t="s">
        <v>245</v>
      </c>
      <c r="Q94" s="9" t="s">
        <v>45</v>
      </c>
      <c r="R94" s="82" t="s">
        <v>45</v>
      </c>
      <c r="S94" s="44" t="s">
        <v>184</v>
      </c>
      <c r="T94" s="3" t="s">
        <v>61</v>
      </c>
      <c r="U94" s="2" t="s">
        <v>29</v>
      </c>
      <c r="V94" s="3" t="s">
        <v>29</v>
      </c>
      <c r="W94" s="11" t="s">
        <v>153</v>
      </c>
      <c r="X94" s="3" t="s">
        <v>153</v>
      </c>
      <c r="Y94" s="77" t="s">
        <v>48</v>
      </c>
      <c r="Z94" s="84" t="s">
        <v>871</v>
      </c>
      <c r="AA94" s="89" t="s">
        <v>28</v>
      </c>
      <c r="AB94" s="90" t="str">
        <f>HYPERLINK(CONCATENATE("https://www.ejacket.nsf.gov/ej/showProposal.do?ID=",SUBSTITUTE(SplitQueryTableRecent[[#This Row],[prop_id]],CHAR(160),"")),"eJ")</f>
        <v>eJ</v>
      </c>
      <c r="AC94" s="89" t="s">
        <v>871</v>
      </c>
      <c r="AD94" s="3" t="s">
        <v>871</v>
      </c>
      <c r="AE94" s="91">
        <v>2015</v>
      </c>
      <c r="AF94" s="13" t="s">
        <v>43</v>
      </c>
      <c r="AG94" s="13">
        <v>499952</v>
      </c>
      <c r="AH94" s="45">
        <v>499952</v>
      </c>
      <c r="AI94" s="44" t="s">
        <v>873</v>
      </c>
      <c r="AJ94" s="2" t="s">
        <v>298</v>
      </c>
      <c r="AK94" s="46" t="s">
        <v>1727</v>
      </c>
      <c r="AL94" s="55" t="s">
        <v>369</v>
      </c>
      <c r="AM94" s="45" t="s">
        <v>369</v>
      </c>
      <c r="AN94" s="56" t="s">
        <v>152</v>
      </c>
      <c r="AO94" s="23" t="s">
        <v>146</v>
      </c>
      <c r="AP94" s="11"/>
      <c r="AQ94" s="88" t="s">
        <v>872</v>
      </c>
      <c r="AR94" s="57" t="s">
        <v>164</v>
      </c>
      <c r="AS94" s="46">
        <v>42223.580960648149</v>
      </c>
      <c r="AT94" s="3">
        <f t="shared" si="1"/>
        <v>66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8:88" x14ac:dyDescent="0.4">
      <c r="H95" s="59">
        <v>42992.404930555553</v>
      </c>
      <c r="I95" s="43">
        <v>41653.576388888891</v>
      </c>
      <c r="J95" s="42">
        <v>41834.663831018515</v>
      </c>
      <c r="K95" s="81" t="s">
        <v>49</v>
      </c>
      <c r="L95" t="s">
        <v>49</v>
      </c>
      <c r="M95" t="s">
        <v>336</v>
      </c>
      <c r="N95" s="1" t="s">
        <v>336</v>
      </c>
      <c r="O95" s="1" t="s">
        <v>245</v>
      </c>
      <c r="P95" t="s">
        <v>245</v>
      </c>
      <c r="Q95" s="9" t="s">
        <v>45</v>
      </c>
      <c r="R95" s="82" t="s">
        <v>45</v>
      </c>
      <c r="S95" s="44" t="s">
        <v>173</v>
      </c>
      <c r="T95" s="3" t="s">
        <v>61</v>
      </c>
      <c r="U95" s="2" t="s">
        <v>29</v>
      </c>
      <c r="V95" s="3" t="s">
        <v>29</v>
      </c>
      <c r="W95" s="11" t="s">
        <v>153</v>
      </c>
      <c r="X95" s="3" t="s">
        <v>153</v>
      </c>
      <c r="Y95" s="77" t="s">
        <v>48</v>
      </c>
      <c r="Z95" s="84" t="s">
        <v>832</v>
      </c>
      <c r="AA95" s="89" t="s">
        <v>174</v>
      </c>
      <c r="AB95" s="90" t="str">
        <f>HYPERLINK(CONCATENATE("https://www.ejacket.nsf.gov/ej/showProposal.do?ID=",SUBSTITUTE(SplitQueryTableRecent[[#This Row],[prop_id]],CHAR(160),"")),"eJ")</f>
        <v>eJ</v>
      </c>
      <c r="AC95" s="89" t="s">
        <v>832</v>
      </c>
      <c r="AD95" s="3" t="s">
        <v>832</v>
      </c>
      <c r="AE95" s="91">
        <v>2014</v>
      </c>
      <c r="AF95" s="13" t="s">
        <v>43</v>
      </c>
      <c r="AG95" s="13">
        <v>125000</v>
      </c>
      <c r="AH95" s="45">
        <v>250000</v>
      </c>
      <c r="AI95" s="44" t="s">
        <v>879</v>
      </c>
      <c r="AJ95" s="2" t="s">
        <v>880</v>
      </c>
      <c r="AK95" s="46" t="s">
        <v>1707</v>
      </c>
      <c r="AL95" s="55" t="s">
        <v>369</v>
      </c>
      <c r="AM95" s="45" t="s">
        <v>369</v>
      </c>
      <c r="AN95" s="56" t="s">
        <v>152</v>
      </c>
      <c r="AO95" s="23" t="s">
        <v>146</v>
      </c>
      <c r="AP95" s="11"/>
      <c r="AQ95" s="88" t="s">
        <v>878</v>
      </c>
      <c r="AR95" s="57" t="s">
        <v>164</v>
      </c>
      <c r="AS95" s="46">
        <v>41848.49046296296</v>
      </c>
      <c r="AT95" s="3">
        <f t="shared" si="1"/>
        <v>67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8:88" x14ac:dyDescent="0.4">
      <c r="H96" s="59">
        <v>42992.404930555553</v>
      </c>
      <c r="I96" s="43">
        <v>42684.691666666666</v>
      </c>
      <c r="J96" s="42">
        <v>42902.689710648148</v>
      </c>
      <c r="K96" s="81" t="s">
        <v>49</v>
      </c>
      <c r="L96" t="s">
        <v>49</v>
      </c>
      <c r="M96" t="s">
        <v>336</v>
      </c>
      <c r="N96" s="1" t="s">
        <v>336</v>
      </c>
      <c r="O96" s="1" t="s">
        <v>245</v>
      </c>
      <c r="P96" t="s">
        <v>245</v>
      </c>
      <c r="Q96" s="9" t="s">
        <v>45</v>
      </c>
      <c r="R96" s="82" t="s">
        <v>45</v>
      </c>
      <c r="S96" s="44" t="s">
        <v>192</v>
      </c>
      <c r="T96" s="3" t="s">
        <v>61</v>
      </c>
      <c r="U96" s="2" t="s">
        <v>29</v>
      </c>
      <c r="V96" s="3" t="s">
        <v>29</v>
      </c>
      <c r="W96" s="11" t="s">
        <v>153</v>
      </c>
      <c r="X96" s="3" t="s">
        <v>153</v>
      </c>
      <c r="Y96" s="77" t="s">
        <v>48</v>
      </c>
      <c r="Z96" s="84" t="s">
        <v>884</v>
      </c>
      <c r="AA96" s="89" t="s">
        <v>28</v>
      </c>
      <c r="AB96" s="90" t="str">
        <f>HYPERLINK(CONCATENATE("https://www.ejacket.nsf.gov/ej/showProposal.do?ID=",SUBSTITUTE(SplitQueryTableRecent[[#This Row],[prop_id]],CHAR(160),"")),"eJ")</f>
        <v>eJ</v>
      </c>
      <c r="AC96" s="89" t="s">
        <v>884</v>
      </c>
      <c r="AD96" s="3" t="s">
        <v>884</v>
      </c>
      <c r="AE96" s="91">
        <v>2017</v>
      </c>
      <c r="AF96" s="13" t="s">
        <v>43</v>
      </c>
      <c r="AG96" s="13">
        <v>250000</v>
      </c>
      <c r="AH96" s="45">
        <v>499999</v>
      </c>
      <c r="AI96" s="44" t="s">
        <v>879</v>
      </c>
      <c r="AJ96" s="2" t="s">
        <v>880</v>
      </c>
      <c r="AK96" s="46" t="s">
        <v>1707</v>
      </c>
      <c r="AL96" s="55" t="s">
        <v>865</v>
      </c>
      <c r="AM96" s="45" t="s">
        <v>865</v>
      </c>
      <c r="AN96" s="56" t="s">
        <v>152</v>
      </c>
      <c r="AO96" s="23" t="s">
        <v>146</v>
      </c>
      <c r="AP96" s="11"/>
      <c r="AQ96" s="88" t="s">
        <v>885</v>
      </c>
      <c r="AR96" s="57" t="s">
        <v>188</v>
      </c>
      <c r="AS96" s="46">
        <v>42912.454918981479</v>
      </c>
      <c r="AT96" s="3">
        <f t="shared" si="1"/>
        <v>68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42992.404930555553</v>
      </c>
      <c r="I97" s="43">
        <v>41653.827777777777</v>
      </c>
      <c r="J97" s="42">
        <v>41838.362719907411</v>
      </c>
      <c r="K97" s="81" t="s">
        <v>49</v>
      </c>
      <c r="L97" t="s">
        <v>49</v>
      </c>
      <c r="M97" t="s">
        <v>336</v>
      </c>
      <c r="N97" s="1" t="s">
        <v>336</v>
      </c>
      <c r="O97" s="1" t="s">
        <v>337</v>
      </c>
      <c r="P97" t="s">
        <v>337</v>
      </c>
      <c r="Q97" s="9" t="s">
        <v>45</v>
      </c>
      <c r="R97" s="82" t="s">
        <v>45</v>
      </c>
      <c r="S97" s="44" t="s">
        <v>173</v>
      </c>
      <c r="T97" s="3" t="s">
        <v>61</v>
      </c>
      <c r="U97" s="2" t="s">
        <v>29</v>
      </c>
      <c r="V97" s="3" t="s">
        <v>29</v>
      </c>
      <c r="W97" s="11" t="s">
        <v>153</v>
      </c>
      <c r="X97" s="3" t="s">
        <v>153</v>
      </c>
      <c r="Y97" s="77" t="s">
        <v>48</v>
      </c>
      <c r="Z97" s="84" t="s">
        <v>886</v>
      </c>
      <c r="AA97" s="89" t="s">
        <v>28</v>
      </c>
      <c r="AB97" s="90" t="str">
        <f>HYPERLINK(CONCATENATE("https://www.ejacket.nsf.gov/ej/showProposal.do?ID=",SUBSTITUTE(SplitQueryTableRecent[[#This Row],[prop_id]],CHAR(160),"")),"eJ")</f>
        <v>eJ</v>
      </c>
      <c r="AC97" s="89" t="s">
        <v>886</v>
      </c>
      <c r="AD97" s="3" t="s">
        <v>886</v>
      </c>
      <c r="AE97" s="91">
        <v>2014</v>
      </c>
      <c r="AF97" s="13" t="s">
        <v>43</v>
      </c>
      <c r="AG97" s="13">
        <v>400000</v>
      </c>
      <c r="AH97" s="45">
        <v>500000</v>
      </c>
      <c r="AI97" s="44" t="s">
        <v>888</v>
      </c>
      <c r="AJ97" s="2" t="s">
        <v>889</v>
      </c>
      <c r="AK97" s="46" t="s">
        <v>1708</v>
      </c>
      <c r="AL97" s="55" t="s">
        <v>584</v>
      </c>
      <c r="AM97" s="45" t="s">
        <v>584</v>
      </c>
      <c r="AN97" s="56" t="s">
        <v>152</v>
      </c>
      <c r="AO97" s="23" t="s">
        <v>146</v>
      </c>
      <c r="AP97" s="11"/>
      <c r="AQ97" s="88" t="s">
        <v>887</v>
      </c>
      <c r="AR97" s="57" t="s">
        <v>164</v>
      </c>
      <c r="AS97" s="46">
        <v>41855.319780092592</v>
      </c>
      <c r="AT97" s="3">
        <f t="shared" si="1"/>
        <v>69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42992.404930555553</v>
      </c>
      <c r="I98" s="43">
        <v>41653.731944444444</v>
      </c>
      <c r="J98" s="42">
        <v>41810.523113425923</v>
      </c>
      <c r="K98" s="81" t="s">
        <v>49</v>
      </c>
      <c r="L98" t="s">
        <v>49</v>
      </c>
      <c r="M98" t="s">
        <v>336</v>
      </c>
      <c r="N98" s="1" t="s">
        <v>336</v>
      </c>
      <c r="O98" s="1" t="s">
        <v>245</v>
      </c>
      <c r="P98" t="s">
        <v>245</v>
      </c>
      <c r="Q98" s="9" t="s">
        <v>45</v>
      </c>
      <c r="R98" s="82" t="s">
        <v>45</v>
      </c>
      <c r="S98" s="44" t="s">
        <v>173</v>
      </c>
      <c r="T98" s="3" t="s">
        <v>61</v>
      </c>
      <c r="U98" s="2" t="s">
        <v>29</v>
      </c>
      <c r="V98" s="3" t="s">
        <v>29</v>
      </c>
      <c r="W98" s="11" t="s">
        <v>153</v>
      </c>
      <c r="X98" s="3" t="s">
        <v>153</v>
      </c>
      <c r="Y98" s="77" t="s">
        <v>48</v>
      </c>
      <c r="Z98" s="84" t="s">
        <v>890</v>
      </c>
      <c r="AA98" s="89" t="s">
        <v>28</v>
      </c>
      <c r="AB98" s="90" t="str">
        <f>HYPERLINK(CONCATENATE("https://www.ejacket.nsf.gov/ej/showProposal.do?ID=",SUBSTITUTE(SplitQueryTableRecent[[#This Row],[prop_id]],CHAR(160),"")),"eJ")</f>
        <v>eJ</v>
      </c>
      <c r="AC98" s="89" t="s">
        <v>890</v>
      </c>
      <c r="AD98" s="3" t="s">
        <v>890</v>
      </c>
      <c r="AE98" s="91">
        <v>2014</v>
      </c>
      <c r="AF98" s="13" t="s">
        <v>43</v>
      </c>
      <c r="AG98" s="13">
        <v>499542</v>
      </c>
      <c r="AH98" s="45">
        <v>499542</v>
      </c>
      <c r="AI98" s="44" t="s">
        <v>892</v>
      </c>
      <c r="AJ98" s="2" t="s">
        <v>893</v>
      </c>
      <c r="AK98" s="46" t="s">
        <v>521</v>
      </c>
      <c r="AL98" s="55" t="s">
        <v>601</v>
      </c>
      <c r="AM98" s="45" t="s">
        <v>601</v>
      </c>
      <c r="AN98" s="56" t="s">
        <v>152</v>
      </c>
      <c r="AO98" s="23" t="s">
        <v>146</v>
      </c>
      <c r="AP98" s="11"/>
      <c r="AQ98" s="88" t="s">
        <v>891</v>
      </c>
      <c r="AR98" s="57" t="s">
        <v>164</v>
      </c>
      <c r="AS98" s="46">
        <v>41830.320671296293</v>
      </c>
      <c r="AT98" s="3">
        <f t="shared" si="1"/>
        <v>70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42992.404930555553</v>
      </c>
      <c r="I99" s="43">
        <v>41653.425000000003</v>
      </c>
      <c r="J99" s="42">
        <v>41834.510960648149</v>
      </c>
      <c r="K99" s="81" t="s">
        <v>49</v>
      </c>
      <c r="L99" t="s">
        <v>49</v>
      </c>
      <c r="M99" t="s">
        <v>336</v>
      </c>
      <c r="N99" s="1" t="s">
        <v>336</v>
      </c>
      <c r="O99" s="1" t="s">
        <v>337</v>
      </c>
      <c r="P99" t="s">
        <v>337</v>
      </c>
      <c r="Q99" s="9" t="s">
        <v>45</v>
      </c>
      <c r="R99" s="82" t="s">
        <v>45</v>
      </c>
      <c r="S99" s="44" t="s">
        <v>173</v>
      </c>
      <c r="T99" s="3" t="s">
        <v>61</v>
      </c>
      <c r="U99" s="2" t="s">
        <v>29</v>
      </c>
      <c r="V99" s="3" t="s">
        <v>29</v>
      </c>
      <c r="W99" s="11" t="s">
        <v>153</v>
      </c>
      <c r="X99" s="3" t="s">
        <v>153</v>
      </c>
      <c r="Y99" s="77" t="s">
        <v>48</v>
      </c>
      <c r="Z99" s="84" t="s">
        <v>898</v>
      </c>
      <c r="AA99" s="89" t="s">
        <v>28</v>
      </c>
      <c r="AB99" s="90" t="str">
        <f>HYPERLINK(CONCATENATE("https://www.ejacket.nsf.gov/ej/showProposal.do?ID=",SUBSTITUTE(SplitQueryTableRecent[[#This Row],[prop_id]],CHAR(160),"")),"eJ")</f>
        <v>eJ</v>
      </c>
      <c r="AC99" s="89" t="s">
        <v>898</v>
      </c>
      <c r="AD99" s="3" t="s">
        <v>898</v>
      </c>
      <c r="AE99" s="91">
        <v>2014</v>
      </c>
      <c r="AF99" s="13" t="s">
        <v>43</v>
      </c>
      <c r="AG99" s="13">
        <v>149998</v>
      </c>
      <c r="AH99" s="45">
        <v>311119</v>
      </c>
      <c r="AI99" s="44" t="s">
        <v>900</v>
      </c>
      <c r="AJ99" s="2" t="s">
        <v>901</v>
      </c>
      <c r="AK99" s="46" t="s">
        <v>392</v>
      </c>
      <c r="AL99" s="55" t="s">
        <v>577</v>
      </c>
      <c r="AM99" s="45" t="s">
        <v>577</v>
      </c>
      <c r="AN99" s="56" t="s">
        <v>152</v>
      </c>
      <c r="AO99" s="23" t="s">
        <v>146</v>
      </c>
      <c r="AP99" s="11"/>
      <c r="AQ99" s="88" t="s">
        <v>899</v>
      </c>
      <c r="AR99" s="57" t="s">
        <v>161</v>
      </c>
      <c r="AS99" s="46">
        <v>41870.41474537037</v>
      </c>
      <c r="AT99" s="3">
        <f t="shared" si="1"/>
        <v>71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42992.404930555553</v>
      </c>
      <c r="I100" s="43">
        <v>41653.602083333331</v>
      </c>
      <c r="J100" s="42">
        <v>41813.630960648145</v>
      </c>
      <c r="K100" s="81" t="s">
        <v>49</v>
      </c>
      <c r="L100" t="s">
        <v>49</v>
      </c>
      <c r="M100" t="s">
        <v>336</v>
      </c>
      <c r="N100" s="1" t="s">
        <v>336</v>
      </c>
      <c r="O100" s="1" t="s">
        <v>245</v>
      </c>
      <c r="P100" t="s">
        <v>245</v>
      </c>
      <c r="Q100" s="9" t="s">
        <v>45</v>
      </c>
      <c r="R100" s="82" t="s">
        <v>45</v>
      </c>
      <c r="S100" s="44" t="s">
        <v>173</v>
      </c>
      <c r="T100" s="3" t="s">
        <v>61</v>
      </c>
      <c r="U100" s="2" t="s">
        <v>29</v>
      </c>
      <c r="V100" s="3" t="s">
        <v>29</v>
      </c>
      <c r="W100" s="11" t="s">
        <v>153</v>
      </c>
      <c r="X100" s="3" t="s">
        <v>153</v>
      </c>
      <c r="Y100" s="77" t="s">
        <v>48</v>
      </c>
      <c r="Z100" s="84" t="s">
        <v>902</v>
      </c>
      <c r="AA100" s="89" t="s">
        <v>28</v>
      </c>
      <c r="AB100" s="90" t="str">
        <f>HYPERLINK(CONCATENATE("https://www.ejacket.nsf.gov/ej/showProposal.do?ID=",SUBSTITUTE(SplitQueryTableRecent[[#This Row],[prop_id]],CHAR(160),"")),"eJ")</f>
        <v>eJ</v>
      </c>
      <c r="AC100" s="89" t="s">
        <v>902</v>
      </c>
      <c r="AD100" s="3" t="s">
        <v>902</v>
      </c>
      <c r="AE100" s="91">
        <v>2014</v>
      </c>
      <c r="AF100" s="13" t="s">
        <v>43</v>
      </c>
      <c r="AG100" s="13">
        <v>344725</v>
      </c>
      <c r="AH100" s="45">
        <v>344725</v>
      </c>
      <c r="AI100" s="44" t="s">
        <v>904</v>
      </c>
      <c r="AJ100" s="2" t="s">
        <v>685</v>
      </c>
      <c r="AK100" s="46" t="s">
        <v>1730</v>
      </c>
      <c r="AL100" s="55" t="s">
        <v>369</v>
      </c>
      <c r="AM100" s="45" t="s">
        <v>369</v>
      </c>
      <c r="AN100" s="56" t="s">
        <v>152</v>
      </c>
      <c r="AO100" s="23" t="s">
        <v>146</v>
      </c>
      <c r="AP100" s="11"/>
      <c r="AQ100" s="88" t="s">
        <v>903</v>
      </c>
      <c r="AR100" s="57" t="s">
        <v>161</v>
      </c>
      <c r="AS100" s="46">
        <v>41844.482314814813</v>
      </c>
      <c r="AT100" s="3">
        <f t="shared" si="1"/>
        <v>72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42992.404930555553</v>
      </c>
      <c r="I101" s="43">
        <v>42690.479166666664</v>
      </c>
      <c r="J101" s="42">
        <v>42923.672592592593</v>
      </c>
      <c r="K101" s="81" t="s">
        <v>49</v>
      </c>
      <c r="L101" t="s">
        <v>49</v>
      </c>
      <c r="M101" t="s">
        <v>336</v>
      </c>
      <c r="N101" s="1" t="s">
        <v>336</v>
      </c>
      <c r="O101" s="1" t="s">
        <v>245</v>
      </c>
      <c r="P101" t="s">
        <v>245</v>
      </c>
      <c r="Q101" s="9" t="s">
        <v>45</v>
      </c>
      <c r="R101" s="82" t="s">
        <v>45</v>
      </c>
      <c r="S101" s="44" t="s">
        <v>192</v>
      </c>
      <c r="T101" s="3" t="s">
        <v>61</v>
      </c>
      <c r="U101" s="2" t="s">
        <v>29</v>
      </c>
      <c r="V101" s="3" t="s">
        <v>29</v>
      </c>
      <c r="W101" s="11" t="s">
        <v>153</v>
      </c>
      <c r="X101" s="3" t="s">
        <v>153</v>
      </c>
      <c r="Y101" s="77" t="s">
        <v>48</v>
      </c>
      <c r="Z101" s="84" t="s">
        <v>905</v>
      </c>
      <c r="AA101" s="89" t="s">
        <v>28</v>
      </c>
      <c r="AB101" s="90" t="str">
        <f>HYPERLINK(CONCATENATE("https://www.ejacket.nsf.gov/ej/showProposal.do?ID=",SUBSTITUTE(SplitQueryTableRecent[[#This Row],[prop_id]],CHAR(160),"")),"eJ")</f>
        <v>eJ</v>
      </c>
      <c r="AC101" s="89" t="s">
        <v>905</v>
      </c>
      <c r="AD101" s="3" t="s">
        <v>905</v>
      </c>
      <c r="AE101" s="91">
        <v>2017</v>
      </c>
      <c r="AF101" s="13" t="s">
        <v>43</v>
      </c>
      <c r="AG101" s="13">
        <v>369903</v>
      </c>
      <c r="AH101" s="45">
        <v>369903</v>
      </c>
      <c r="AI101" s="44" t="s">
        <v>904</v>
      </c>
      <c r="AJ101" s="2" t="s">
        <v>685</v>
      </c>
      <c r="AK101" s="46" t="s">
        <v>1730</v>
      </c>
      <c r="AL101" s="55" t="s">
        <v>731</v>
      </c>
      <c r="AM101" s="45" t="s">
        <v>369</v>
      </c>
      <c r="AN101" s="56" t="s">
        <v>152</v>
      </c>
      <c r="AO101" s="23" t="s">
        <v>146</v>
      </c>
      <c r="AP101" s="11"/>
      <c r="AQ101" s="88" t="s">
        <v>906</v>
      </c>
      <c r="AR101" s="57" t="s">
        <v>188</v>
      </c>
      <c r="AS101" s="46">
        <v>42976.739398148151</v>
      </c>
      <c r="AT101" s="3">
        <f t="shared" si="1"/>
        <v>73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42992.404930555553</v>
      </c>
      <c r="I102" s="43">
        <v>42018.636805555558</v>
      </c>
      <c r="J102" s="42">
        <v>42170.368819444448</v>
      </c>
      <c r="K102" s="81" t="s">
        <v>49</v>
      </c>
      <c r="L102" t="s">
        <v>49</v>
      </c>
      <c r="M102" t="s">
        <v>336</v>
      </c>
      <c r="N102" s="1" t="s">
        <v>336</v>
      </c>
      <c r="O102" s="1" t="s">
        <v>337</v>
      </c>
      <c r="P102" t="s">
        <v>337</v>
      </c>
      <c r="Q102" s="9" t="s">
        <v>45</v>
      </c>
      <c r="R102" s="82" t="s">
        <v>45</v>
      </c>
      <c r="S102" s="44" t="s">
        <v>184</v>
      </c>
      <c r="T102" s="3" t="s">
        <v>61</v>
      </c>
      <c r="U102" s="2" t="s">
        <v>29</v>
      </c>
      <c r="V102" s="3" t="s">
        <v>29</v>
      </c>
      <c r="W102" s="11" t="s">
        <v>153</v>
      </c>
      <c r="X102" s="3" t="s">
        <v>153</v>
      </c>
      <c r="Y102" s="77" t="s">
        <v>48</v>
      </c>
      <c r="Z102" s="84" t="s">
        <v>866</v>
      </c>
      <c r="AA102" s="89" t="s">
        <v>62</v>
      </c>
      <c r="AB102" s="90" t="str">
        <f>HYPERLINK(CONCATENATE("https://www.ejacket.nsf.gov/ej/showProposal.do?ID=",SUBSTITUTE(SplitQueryTableRecent[[#This Row],[prop_id]],CHAR(160),"")),"eJ")</f>
        <v>eJ</v>
      </c>
      <c r="AC102" s="89" t="s">
        <v>907</v>
      </c>
      <c r="AD102" s="3" t="s">
        <v>907</v>
      </c>
      <c r="AE102" s="91">
        <v>2015</v>
      </c>
      <c r="AF102" s="13" t="s">
        <v>43</v>
      </c>
      <c r="AG102" s="13">
        <v>248973</v>
      </c>
      <c r="AH102" s="45">
        <v>248973</v>
      </c>
      <c r="AI102" s="44" t="s">
        <v>811</v>
      </c>
      <c r="AJ102" s="2" t="s">
        <v>263</v>
      </c>
      <c r="AK102" s="46" t="s">
        <v>1731</v>
      </c>
      <c r="AL102" s="55" t="s">
        <v>584</v>
      </c>
      <c r="AM102" s="45" t="s">
        <v>584</v>
      </c>
      <c r="AN102" s="56" t="s">
        <v>152</v>
      </c>
      <c r="AO102" s="23" t="s">
        <v>146</v>
      </c>
      <c r="AP102" s="11"/>
      <c r="AQ102" s="88" t="s">
        <v>908</v>
      </c>
      <c r="AR102" s="57" t="s">
        <v>164</v>
      </c>
      <c r="AS102" s="46">
        <v>42194.418124999997</v>
      </c>
      <c r="AT102" s="3">
        <f t="shared" si="1"/>
        <v>74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42992.404930555553</v>
      </c>
      <c r="I103" s="43">
        <v>42325.64166666667</v>
      </c>
      <c r="J103" s="42">
        <v>42534.843900462962</v>
      </c>
      <c r="K103" s="81" t="s">
        <v>49</v>
      </c>
      <c r="L103" t="s">
        <v>49</v>
      </c>
      <c r="M103" t="s">
        <v>185</v>
      </c>
      <c r="N103" s="1" t="s">
        <v>336</v>
      </c>
      <c r="O103" s="1" t="s">
        <v>189</v>
      </c>
      <c r="P103" t="s">
        <v>337</v>
      </c>
      <c r="Q103" s="9" t="s">
        <v>45</v>
      </c>
      <c r="R103" s="82" t="s">
        <v>45</v>
      </c>
      <c r="S103" s="44" t="s">
        <v>196</v>
      </c>
      <c r="T103" s="3" t="s">
        <v>61</v>
      </c>
      <c r="U103" s="2" t="s">
        <v>29</v>
      </c>
      <c r="V103" s="3" t="s">
        <v>29</v>
      </c>
      <c r="W103" s="11" t="s">
        <v>153</v>
      </c>
      <c r="X103" s="3" t="s">
        <v>153</v>
      </c>
      <c r="Y103" s="77" t="s">
        <v>48</v>
      </c>
      <c r="Z103" s="84" t="s">
        <v>910</v>
      </c>
      <c r="AA103" s="89" t="s">
        <v>28</v>
      </c>
      <c r="AB103" s="90" t="str">
        <f>HYPERLINK(CONCATENATE("https://www.ejacket.nsf.gov/ej/showProposal.do?ID=",SUBSTITUTE(SplitQueryTableRecent[[#This Row],[prop_id]],CHAR(160),"")),"eJ")</f>
        <v>eJ</v>
      </c>
      <c r="AC103" s="89" t="s">
        <v>910</v>
      </c>
      <c r="AD103" s="3" t="s">
        <v>910</v>
      </c>
      <c r="AE103" s="91">
        <v>2016</v>
      </c>
      <c r="AF103" s="13" t="s">
        <v>44</v>
      </c>
      <c r="AG103" s="13">
        <v>249528</v>
      </c>
      <c r="AH103" s="45">
        <v>499528</v>
      </c>
      <c r="AI103" s="44" t="s">
        <v>909</v>
      </c>
      <c r="AJ103" s="2" t="s">
        <v>296</v>
      </c>
      <c r="AK103" s="46" t="s">
        <v>1730</v>
      </c>
      <c r="AL103" s="55" t="s">
        <v>693</v>
      </c>
      <c r="AM103" s="45" t="s">
        <v>369</v>
      </c>
      <c r="AN103" s="56" t="s">
        <v>152</v>
      </c>
      <c r="AO103" s="23" t="s">
        <v>146</v>
      </c>
      <c r="AP103" s="11"/>
      <c r="AQ103" s="88" t="s">
        <v>911</v>
      </c>
      <c r="AR103" s="57" t="s">
        <v>164</v>
      </c>
      <c r="AS103" s="46">
        <v>42557.271296296298</v>
      </c>
      <c r="AT103" s="3">
        <f t="shared" si="1"/>
        <v>75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42992.404930555553</v>
      </c>
      <c r="I104" s="43">
        <v>41590.474305555559</v>
      </c>
      <c r="J104" s="42">
        <v>41800.609525462962</v>
      </c>
      <c r="K104" s="81" t="s">
        <v>49</v>
      </c>
      <c r="L104" t="s">
        <v>49</v>
      </c>
      <c r="M104" t="s">
        <v>336</v>
      </c>
      <c r="N104" s="1" t="s">
        <v>336</v>
      </c>
      <c r="O104" s="1" t="s">
        <v>245</v>
      </c>
      <c r="P104" t="s">
        <v>245</v>
      </c>
      <c r="Q104" s="9" t="s">
        <v>45</v>
      </c>
      <c r="R104" s="82" t="s">
        <v>45</v>
      </c>
      <c r="S104" s="44" t="s">
        <v>173</v>
      </c>
      <c r="T104" s="3" t="s">
        <v>61</v>
      </c>
      <c r="U104" s="2" t="s">
        <v>29</v>
      </c>
      <c r="V104" s="3" t="s">
        <v>29</v>
      </c>
      <c r="W104" s="11" t="s">
        <v>153</v>
      </c>
      <c r="X104" s="3" t="s">
        <v>153</v>
      </c>
      <c r="Y104" s="77" t="s">
        <v>48</v>
      </c>
      <c r="Z104" s="84" t="s">
        <v>718</v>
      </c>
      <c r="AA104" s="89" t="s">
        <v>174</v>
      </c>
      <c r="AB104" s="90" t="str">
        <f>HYPERLINK(CONCATENATE("https://www.ejacket.nsf.gov/ej/showProposal.do?ID=",SUBSTITUTE(SplitQueryTableRecent[[#This Row],[prop_id]],CHAR(160),"")),"eJ")</f>
        <v>eJ</v>
      </c>
      <c r="AC104" s="89" t="s">
        <v>718</v>
      </c>
      <c r="AD104" s="3" t="s">
        <v>718</v>
      </c>
      <c r="AE104" s="91">
        <v>2014</v>
      </c>
      <c r="AF104" s="13" t="s">
        <v>43</v>
      </c>
      <c r="AG104" s="13">
        <v>600000</v>
      </c>
      <c r="AH104" s="45">
        <v>600000</v>
      </c>
      <c r="AI104" s="44" t="s">
        <v>380</v>
      </c>
      <c r="AJ104" s="2" t="s">
        <v>381</v>
      </c>
      <c r="AK104" s="46" t="s">
        <v>1720</v>
      </c>
      <c r="AL104" s="55" t="s">
        <v>353</v>
      </c>
      <c r="AM104" s="45" t="s">
        <v>572</v>
      </c>
      <c r="AN104" s="56" t="s">
        <v>152</v>
      </c>
      <c r="AO104" s="23" t="s">
        <v>146</v>
      </c>
      <c r="AP104" s="11"/>
      <c r="AQ104" s="88" t="s">
        <v>719</v>
      </c>
      <c r="AR104" s="57" t="s">
        <v>164</v>
      </c>
      <c r="AS104" s="46">
        <v>41810.372071759259</v>
      </c>
      <c r="AT104" s="3">
        <f t="shared" si="1"/>
        <v>76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42992.404930555553</v>
      </c>
      <c r="I105" s="43">
        <v>41653.600694444445</v>
      </c>
      <c r="J105" s="42">
        <v>41834.598530092589</v>
      </c>
      <c r="K105" s="81" t="s">
        <v>49</v>
      </c>
      <c r="L105" t="s">
        <v>49</v>
      </c>
      <c r="M105" t="s">
        <v>336</v>
      </c>
      <c r="N105" s="1" t="s">
        <v>336</v>
      </c>
      <c r="O105" s="1" t="s">
        <v>245</v>
      </c>
      <c r="P105" t="s">
        <v>245</v>
      </c>
      <c r="Q105" s="9" t="s">
        <v>45</v>
      </c>
      <c r="R105" s="82" t="s">
        <v>45</v>
      </c>
      <c r="S105" s="44" t="s">
        <v>173</v>
      </c>
      <c r="T105" s="3" t="s">
        <v>61</v>
      </c>
      <c r="U105" s="2" t="s">
        <v>29</v>
      </c>
      <c r="V105" s="3" t="s">
        <v>29</v>
      </c>
      <c r="W105" s="11" t="s">
        <v>153</v>
      </c>
      <c r="X105" s="3" t="s">
        <v>153</v>
      </c>
      <c r="Y105" s="77" t="s">
        <v>48</v>
      </c>
      <c r="Z105" s="84" t="s">
        <v>913</v>
      </c>
      <c r="AA105" s="89" t="s">
        <v>28</v>
      </c>
      <c r="AB105" s="90" t="str">
        <f>HYPERLINK(CONCATENATE("https://www.ejacket.nsf.gov/ej/showProposal.do?ID=",SUBSTITUTE(SplitQueryTableRecent[[#This Row],[prop_id]],CHAR(160),"")),"eJ")</f>
        <v>eJ</v>
      </c>
      <c r="AC105" s="89" t="s">
        <v>913</v>
      </c>
      <c r="AD105" s="3" t="s">
        <v>913</v>
      </c>
      <c r="AE105" s="91">
        <v>2014</v>
      </c>
      <c r="AF105" s="13" t="s">
        <v>43</v>
      </c>
      <c r="AG105" s="13">
        <v>250000</v>
      </c>
      <c r="AH105" s="45">
        <v>500000</v>
      </c>
      <c r="AI105" s="44" t="s">
        <v>380</v>
      </c>
      <c r="AJ105" s="2" t="s">
        <v>381</v>
      </c>
      <c r="AK105" s="46" t="s">
        <v>1720</v>
      </c>
      <c r="AL105" s="55" t="s">
        <v>369</v>
      </c>
      <c r="AM105" s="45" t="s">
        <v>369</v>
      </c>
      <c r="AN105" s="56" t="s">
        <v>152</v>
      </c>
      <c r="AO105" s="23" t="s">
        <v>146</v>
      </c>
      <c r="AP105" s="11"/>
      <c r="AQ105" s="88" t="s">
        <v>914</v>
      </c>
      <c r="AR105" s="57" t="s">
        <v>164</v>
      </c>
      <c r="AS105" s="46">
        <v>41844.580810185187</v>
      </c>
      <c r="AT105" s="3">
        <f t="shared" si="1"/>
        <v>77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42992.404930555553</v>
      </c>
      <c r="I106" s="43">
        <v>42326.444444444445</v>
      </c>
      <c r="J106" s="42">
        <v>42508.636157407411</v>
      </c>
      <c r="K106" s="81" t="s">
        <v>49</v>
      </c>
      <c r="L106" t="s">
        <v>49</v>
      </c>
      <c r="M106" t="s">
        <v>336</v>
      </c>
      <c r="N106" s="1" t="s">
        <v>336</v>
      </c>
      <c r="O106" s="1" t="s">
        <v>230</v>
      </c>
      <c r="P106" t="s">
        <v>230</v>
      </c>
      <c r="Q106" s="9" t="s">
        <v>45</v>
      </c>
      <c r="R106" s="82" t="s">
        <v>45</v>
      </c>
      <c r="S106" s="44" t="s">
        <v>196</v>
      </c>
      <c r="T106" s="3" t="s">
        <v>61</v>
      </c>
      <c r="U106" s="2" t="s">
        <v>29</v>
      </c>
      <c r="V106" s="3" t="s">
        <v>29</v>
      </c>
      <c r="W106" s="11" t="s">
        <v>153</v>
      </c>
      <c r="X106" s="3" t="s">
        <v>153</v>
      </c>
      <c r="Y106" s="77" t="s">
        <v>48</v>
      </c>
      <c r="Z106" s="84" t="s">
        <v>916</v>
      </c>
      <c r="AA106" s="89" t="s">
        <v>62</v>
      </c>
      <c r="AB106" s="90" t="str">
        <f>HYPERLINK(CONCATENATE("https://www.ejacket.nsf.gov/ej/showProposal.do?ID=",SUBSTITUTE(SplitQueryTableRecent[[#This Row],[prop_id]],CHAR(160),"")),"eJ")</f>
        <v>eJ</v>
      </c>
      <c r="AC106" s="89" t="s">
        <v>915</v>
      </c>
      <c r="AD106" s="3" t="s">
        <v>915</v>
      </c>
      <c r="AE106" s="91">
        <v>2016</v>
      </c>
      <c r="AF106" s="13" t="s">
        <v>43</v>
      </c>
      <c r="AG106" s="13">
        <v>250000</v>
      </c>
      <c r="AH106" s="45">
        <v>250000</v>
      </c>
      <c r="AI106" s="44" t="s">
        <v>380</v>
      </c>
      <c r="AJ106" s="2" t="s">
        <v>381</v>
      </c>
      <c r="AK106" s="46" t="s">
        <v>1720</v>
      </c>
      <c r="AL106" s="55" t="s">
        <v>369</v>
      </c>
      <c r="AM106" s="45" t="s">
        <v>369</v>
      </c>
      <c r="AN106" s="56" t="s">
        <v>152</v>
      </c>
      <c r="AO106" s="23" t="s">
        <v>146</v>
      </c>
      <c r="AP106" s="11"/>
      <c r="AQ106" s="88" t="s">
        <v>917</v>
      </c>
      <c r="AR106" s="57" t="s">
        <v>164</v>
      </c>
      <c r="AS106" s="46">
        <v>42548.638171296298</v>
      </c>
      <c r="AT106" s="3">
        <f t="shared" si="1"/>
        <v>78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42992.404930555553</v>
      </c>
      <c r="I107" s="43">
        <v>41653.598611111112</v>
      </c>
      <c r="J107" s="42">
        <v>41815.672789351855</v>
      </c>
      <c r="K107" s="81" t="s">
        <v>49</v>
      </c>
      <c r="L107" t="s">
        <v>49</v>
      </c>
      <c r="M107" t="s">
        <v>336</v>
      </c>
      <c r="N107" s="1" t="s">
        <v>336</v>
      </c>
      <c r="O107" s="1" t="s">
        <v>337</v>
      </c>
      <c r="P107" t="s">
        <v>337</v>
      </c>
      <c r="Q107" s="9" t="s">
        <v>45</v>
      </c>
      <c r="R107" s="82" t="s">
        <v>45</v>
      </c>
      <c r="S107" s="44" t="s">
        <v>173</v>
      </c>
      <c r="T107" s="3" t="s">
        <v>61</v>
      </c>
      <c r="U107" s="2" t="s">
        <v>29</v>
      </c>
      <c r="V107" s="3" t="s">
        <v>29</v>
      </c>
      <c r="W107" s="11" t="s">
        <v>153</v>
      </c>
      <c r="X107" s="3" t="s">
        <v>153</v>
      </c>
      <c r="Y107" s="77" t="s">
        <v>48</v>
      </c>
      <c r="Z107" s="84" t="s">
        <v>918</v>
      </c>
      <c r="AA107" s="89" t="s">
        <v>28</v>
      </c>
      <c r="AB107" s="90" t="str">
        <f>HYPERLINK(CONCATENATE("https://www.ejacket.nsf.gov/ej/showProposal.do?ID=",SUBSTITUTE(SplitQueryTableRecent[[#This Row],[prop_id]],CHAR(160),"")),"eJ")</f>
        <v>eJ</v>
      </c>
      <c r="AC107" s="89" t="s">
        <v>918</v>
      </c>
      <c r="AD107" s="3" t="s">
        <v>918</v>
      </c>
      <c r="AE107" s="91">
        <v>2014</v>
      </c>
      <c r="AF107" s="13" t="s">
        <v>43</v>
      </c>
      <c r="AG107" s="13">
        <v>380048</v>
      </c>
      <c r="AH107" s="45">
        <v>380048</v>
      </c>
      <c r="AI107" s="44" t="s">
        <v>920</v>
      </c>
      <c r="AJ107" s="2" t="s">
        <v>921</v>
      </c>
      <c r="AK107" s="46" t="s">
        <v>662</v>
      </c>
      <c r="AL107" s="55" t="s">
        <v>584</v>
      </c>
      <c r="AM107" s="45" t="s">
        <v>584</v>
      </c>
      <c r="AN107" s="56" t="s">
        <v>152</v>
      </c>
      <c r="AO107" s="23" t="s">
        <v>146</v>
      </c>
      <c r="AP107" s="11"/>
      <c r="AQ107" s="88" t="s">
        <v>919</v>
      </c>
      <c r="AR107" s="57" t="s">
        <v>164</v>
      </c>
      <c r="AS107" s="46">
        <v>41830.668229166666</v>
      </c>
      <c r="AT107" s="3">
        <f t="shared" si="1"/>
        <v>79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42992.404930555553</v>
      </c>
      <c r="I108" s="43">
        <v>42324.456250000003</v>
      </c>
      <c r="J108" s="42">
        <v>42508.445</v>
      </c>
      <c r="K108" s="81" t="s">
        <v>49</v>
      </c>
      <c r="L108" t="s">
        <v>49</v>
      </c>
      <c r="M108" t="s">
        <v>336</v>
      </c>
      <c r="N108" s="1" t="s">
        <v>336</v>
      </c>
      <c r="O108" s="1" t="s">
        <v>337</v>
      </c>
      <c r="P108" t="s">
        <v>337</v>
      </c>
      <c r="Q108" s="9" t="s">
        <v>45</v>
      </c>
      <c r="R108" s="82" t="s">
        <v>45</v>
      </c>
      <c r="S108" s="44" t="s">
        <v>196</v>
      </c>
      <c r="T108" s="3" t="s">
        <v>61</v>
      </c>
      <c r="U108" s="2" t="s">
        <v>29</v>
      </c>
      <c r="V108" s="3" t="s">
        <v>29</v>
      </c>
      <c r="W108" s="11" t="s">
        <v>153</v>
      </c>
      <c r="X108" s="3" t="s">
        <v>153</v>
      </c>
      <c r="Y108" s="77" t="s">
        <v>48</v>
      </c>
      <c r="Z108" s="84" t="s">
        <v>922</v>
      </c>
      <c r="AA108" s="89" t="s">
        <v>28</v>
      </c>
      <c r="AB108" s="90" t="str">
        <f>HYPERLINK(CONCATENATE("https://www.ejacket.nsf.gov/ej/showProposal.do?ID=",SUBSTITUTE(SplitQueryTableRecent[[#This Row],[prop_id]],CHAR(160),"")),"eJ")</f>
        <v>eJ</v>
      </c>
      <c r="AC108" s="89" t="s">
        <v>922</v>
      </c>
      <c r="AD108" s="3" t="s">
        <v>922</v>
      </c>
      <c r="AE108" s="91">
        <v>2016</v>
      </c>
      <c r="AF108" s="13" t="s">
        <v>43</v>
      </c>
      <c r="AG108" s="13">
        <v>500000</v>
      </c>
      <c r="AH108" s="45">
        <v>500000</v>
      </c>
      <c r="AI108" s="44" t="s">
        <v>920</v>
      </c>
      <c r="AJ108" s="2" t="s">
        <v>921</v>
      </c>
      <c r="AK108" s="46" t="s">
        <v>662</v>
      </c>
      <c r="AL108" s="55" t="s">
        <v>584</v>
      </c>
      <c r="AM108" s="45" t="s">
        <v>924</v>
      </c>
      <c r="AN108" s="56" t="s">
        <v>152</v>
      </c>
      <c r="AO108" s="23" t="s">
        <v>146</v>
      </c>
      <c r="AP108" s="11"/>
      <c r="AQ108" s="88" t="s">
        <v>923</v>
      </c>
      <c r="AR108" s="57" t="s">
        <v>164</v>
      </c>
      <c r="AS108" s="46">
        <v>42548.320601851854</v>
      </c>
      <c r="AT108" s="3">
        <f t="shared" si="1"/>
        <v>80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42992.404930555553</v>
      </c>
      <c r="I109" s="43">
        <v>42018.536805555559</v>
      </c>
      <c r="J109" s="42">
        <v>42208.550011574072</v>
      </c>
      <c r="K109" s="81" t="s">
        <v>49</v>
      </c>
      <c r="L109" t="s">
        <v>49</v>
      </c>
      <c r="M109" t="s">
        <v>336</v>
      </c>
      <c r="N109" s="1" t="s">
        <v>336</v>
      </c>
      <c r="O109" s="1" t="s">
        <v>245</v>
      </c>
      <c r="P109" t="s">
        <v>245</v>
      </c>
      <c r="Q109" s="9" t="s">
        <v>45</v>
      </c>
      <c r="R109" s="82" t="s">
        <v>45</v>
      </c>
      <c r="S109" s="44" t="s">
        <v>184</v>
      </c>
      <c r="T109" s="3" t="s">
        <v>61</v>
      </c>
      <c r="U109" s="2" t="s">
        <v>29</v>
      </c>
      <c r="V109" s="3" t="s">
        <v>29</v>
      </c>
      <c r="W109" s="11" t="s">
        <v>153</v>
      </c>
      <c r="X109" s="3" t="s">
        <v>153</v>
      </c>
      <c r="Y109" s="77" t="s">
        <v>48</v>
      </c>
      <c r="Z109" s="84" t="s">
        <v>926</v>
      </c>
      <c r="AA109" s="89" t="s">
        <v>62</v>
      </c>
      <c r="AB109" s="90" t="str">
        <f>HYPERLINK(CONCATENATE("https://www.ejacket.nsf.gov/ej/showProposal.do?ID=",SUBSTITUTE(SplitQueryTableRecent[[#This Row],[prop_id]],CHAR(160),"")),"eJ")</f>
        <v>eJ</v>
      </c>
      <c r="AC109" s="89" t="s">
        <v>925</v>
      </c>
      <c r="AD109" s="3" t="s">
        <v>925</v>
      </c>
      <c r="AE109" s="91">
        <v>2015</v>
      </c>
      <c r="AF109" s="13" t="s">
        <v>43</v>
      </c>
      <c r="AG109" s="13">
        <v>310000</v>
      </c>
      <c r="AH109" s="45">
        <v>310000</v>
      </c>
      <c r="AI109" s="44" t="s">
        <v>269</v>
      </c>
      <c r="AJ109" s="2" t="s">
        <v>928</v>
      </c>
      <c r="AK109" s="46" t="s">
        <v>1711</v>
      </c>
      <c r="AL109" s="55" t="s">
        <v>369</v>
      </c>
      <c r="AM109" s="45" t="s">
        <v>369</v>
      </c>
      <c r="AN109" s="56" t="s">
        <v>152</v>
      </c>
      <c r="AO109" s="23" t="s">
        <v>146</v>
      </c>
      <c r="AP109" s="11"/>
      <c r="AQ109" s="88" t="s">
        <v>927</v>
      </c>
      <c r="AR109" s="57" t="s">
        <v>164</v>
      </c>
      <c r="AS109" s="46">
        <v>42242.494641203702</v>
      </c>
      <c r="AT109" s="3">
        <f t="shared" si="1"/>
        <v>81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42992.404930555553</v>
      </c>
      <c r="I110" s="43">
        <v>42326.509027777778</v>
      </c>
      <c r="J110" s="42">
        <v>42508.440972222219</v>
      </c>
      <c r="K110" s="81" t="s">
        <v>49</v>
      </c>
      <c r="L110" t="s">
        <v>49</v>
      </c>
      <c r="M110" t="s">
        <v>336</v>
      </c>
      <c r="N110" s="1" t="s">
        <v>336</v>
      </c>
      <c r="O110" s="1" t="s">
        <v>337</v>
      </c>
      <c r="P110" t="s">
        <v>337</v>
      </c>
      <c r="Q110" s="9" t="s">
        <v>45</v>
      </c>
      <c r="R110" s="82" t="s">
        <v>45</v>
      </c>
      <c r="S110" s="44" t="s">
        <v>196</v>
      </c>
      <c r="T110" s="3" t="s">
        <v>61</v>
      </c>
      <c r="U110" s="2" t="s">
        <v>29</v>
      </c>
      <c r="V110" s="3" t="s">
        <v>29</v>
      </c>
      <c r="W110" s="11" t="s">
        <v>153</v>
      </c>
      <c r="X110" s="3" t="s">
        <v>153</v>
      </c>
      <c r="Y110" s="77" t="s">
        <v>48</v>
      </c>
      <c r="Z110" s="84" t="s">
        <v>929</v>
      </c>
      <c r="AA110" s="89" t="s">
        <v>28</v>
      </c>
      <c r="AB110" s="90" t="str">
        <f>HYPERLINK(CONCATENATE("https://www.ejacket.nsf.gov/ej/showProposal.do?ID=",SUBSTITUTE(SplitQueryTableRecent[[#This Row],[prop_id]],CHAR(160),"")),"eJ")</f>
        <v>eJ</v>
      </c>
      <c r="AC110" s="89" t="s">
        <v>929</v>
      </c>
      <c r="AD110" s="3" t="s">
        <v>929</v>
      </c>
      <c r="AE110" s="91">
        <v>2016</v>
      </c>
      <c r="AF110" s="13" t="s">
        <v>43</v>
      </c>
      <c r="AG110" s="13">
        <v>498493</v>
      </c>
      <c r="AH110" s="45">
        <v>498493</v>
      </c>
      <c r="AI110" s="44" t="s">
        <v>931</v>
      </c>
      <c r="AJ110" s="2" t="s">
        <v>932</v>
      </c>
      <c r="AK110" s="46" t="s">
        <v>1713</v>
      </c>
      <c r="AL110" s="55" t="s">
        <v>584</v>
      </c>
      <c r="AM110" s="45" t="s">
        <v>584</v>
      </c>
      <c r="AN110" s="56" t="s">
        <v>152</v>
      </c>
      <c r="AO110" s="23" t="s">
        <v>146</v>
      </c>
      <c r="AP110" s="11"/>
      <c r="AQ110" s="88" t="s">
        <v>930</v>
      </c>
      <c r="AR110" s="57" t="s">
        <v>164</v>
      </c>
      <c r="AS110" s="46">
        <v>42545.64570601852</v>
      </c>
      <c r="AT110" s="3">
        <f t="shared" si="1"/>
        <v>82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42992.404930555553</v>
      </c>
      <c r="I111" s="43">
        <v>42017.710416666669</v>
      </c>
      <c r="J111" s="42">
        <v>42214.522060185183</v>
      </c>
      <c r="K111" s="81" t="s">
        <v>49</v>
      </c>
      <c r="L111" t="s">
        <v>49</v>
      </c>
      <c r="M111" t="s">
        <v>336</v>
      </c>
      <c r="N111" s="1" t="s">
        <v>336</v>
      </c>
      <c r="O111" s="1" t="s">
        <v>245</v>
      </c>
      <c r="P111" t="s">
        <v>245</v>
      </c>
      <c r="Q111" s="9" t="s">
        <v>45</v>
      </c>
      <c r="R111" s="82" t="s">
        <v>45</v>
      </c>
      <c r="S111" s="44" t="s">
        <v>184</v>
      </c>
      <c r="T111" s="3" t="s">
        <v>61</v>
      </c>
      <c r="U111" s="2" t="s">
        <v>29</v>
      </c>
      <c r="V111" s="3" t="s">
        <v>29</v>
      </c>
      <c r="W111" s="11" t="s">
        <v>153</v>
      </c>
      <c r="X111" s="3" t="s">
        <v>153</v>
      </c>
      <c r="Y111" s="77" t="s">
        <v>48</v>
      </c>
      <c r="Z111" s="84" t="s">
        <v>939</v>
      </c>
      <c r="AA111" s="89" t="s">
        <v>28</v>
      </c>
      <c r="AB111" s="90" t="str">
        <f>HYPERLINK(CONCATENATE("https://www.ejacket.nsf.gov/ej/showProposal.do?ID=",SUBSTITUTE(SplitQueryTableRecent[[#This Row],[prop_id]],CHAR(160),"")),"eJ")</f>
        <v>eJ</v>
      </c>
      <c r="AC111" s="89" t="s">
        <v>939</v>
      </c>
      <c r="AD111" s="3" t="s">
        <v>939</v>
      </c>
      <c r="AE111" s="91">
        <v>2015</v>
      </c>
      <c r="AF111" s="13" t="s">
        <v>43</v>
      </c>
      <c r="AG111" s="13">
        <v>175000</v>
      </c>
      <c r="AH111" s="45">
        <v>495807</v>
      </c>
      <c r="AI111" s="44" t="s">
        <v>941</v>
      </c>
      <c r="AJ111" s="2" t="s">
        <v>942</v>
      </c>
      <c r="AK111" s="46" t="s">
        <v>1715</v>
      </c>
      <c r="AL111" s="55" t="s">
        <v>369</v>
      </c>
      <c r="AM111" s="45" t="s">
        <v>369</v>
      </c>
      <c r="AN111" s="56" t="s">
        <v>152</v>
      </c>
      <c r="AO111" s="23" t="s">
        <v>146</v>
      </c>
      <c r="AP111" s="11"/>
      <c r="AQ111" s="88" t="s">
        <v>940</v>
      </c>
      <c r="AR111" s="57" t="s">
        <v>164</v>
      </c>
      <c r="AS111" s="46">
        <v>42242.473240740743</v>
      </c>
      <c r="AT111" s="3">
        <f t="shared" si="1"/>
        <v>83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42992.404930555553</v>
      </c>
      <c r="I112" s="43">
        <v>41648.584722222222</v>
      </c>
      <c r="J112" s="42">
        <v>41844.67019675926</v>
      </c>
      <c r="K112" s="81" t="s">
        <v>49</v>
      </c>
      <c r="L112" t="s">
        <v>49</v>
      </c>
      <c r="M112" t="s">
        <v>336</v>
      </c>
      <c r="N112" s="1" t="s">
        <v>336</v>
      </c>
      <c r="O112" s="1" t="s">
        <v>337</v>
      </c>
      <c r="P112" t="s">
        <v>337</v>
      </c>
      <c r="Q112" s="9" t="s">
        <v>45</v>
      </c>
      <c r="R112" s="82" t="s">
        <v>45</v>
      </c>
      <c r="S112" s="44" t="s">
        <v>173</v>
      </c>
      <c r="T112" s="3" t="s">
        <v>61</v>
      </c>
      <c r="U112" s="2" t="s">
        <v>29</v>
      </c>
      <c r="V112" s="3" t="s">
        <v>29</v>
      </c>
      <c r="W112" s="11" t="s">
        <v>153</v>
      </c>
      <c r="X112" s="3" t="s">
        <v>153</v>
      </c>
      <c r="Y112" s="77" t="s">
        <v>48</v>
      </c>
      <c r="Z112" s="84" t="s">
        <v>943</v>
      </c>
      <c r="AA112" s="89" t="s">
        <v>28</v>
      </c>
      <c r="AB112" s="90" t="str">
        <f>HYPERLINK(CONCATENATE("https://www.ejacket.nsf.gov/ej/showProposal.do?ID=",SUBSTITUTE(SplitQueryTableRecent[[#This Row],[prop_id]],CHAR(160),"")),"eJ")</f>
        <v>eJ</v>
      </c>
      <c r="AC112" s="89" t="s">
        <v>943</v>
      </c>
      <c r="AD112" s="3" t="s">
        <v>943</v>
      </c>
      <c r="AE112" s="91">
        <v>2014</v>
      </c>
      <c r="AF112" s="13" t="s">
        <v>43</v>
      </c>
      <c r="AG112" s="13">
        <v>154116</v>
      </c>
      <c r="AH112" s="45">
        <v>308442</v>
      </c>
      <c r="AI112" s="44" t="s">
        <v>234</v>
      </c>
      <c r="AJ112" s="2" t="s">
        <v>225</v>
      </c>
      <c r="AK112" s="46" t="s">
        <v>1732</v>
      </c>
      <c r="AL112" s="55" t="s">
        <v>577</v>
      </c>
      <c r="AM112" s="45" t="s">
        <v>577</v>
      </c>
      <c r="AN112" s="56" t="s">
        <v>152</v>
      </c>
      <c r="AO112" s="23" t="s">
        <v>146</v>
      </c>
      <c r="AP112" s="11"/>
      <c r="AQ112" s="88" t="s">
        <v>944</v>
      </c>
      <c r="AR112" s="57" t="s">
        <v>161</v>
      </c>
      <c r="AS112" s="46">
        <v>41871.65179398148</v>
      </c>
      <c r="AT112" s="3">
        <f t="shared" si="1"/>
        <v>84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42992.404930555553</v>
      </c>
      <c r="I113" s="43">
        <v>42018.61041666667</v>
      </c>
      <c r="J113" s="42">
        <v>42159.370324074072</v>
      </c>
      <c r="K113" s="81" t="s">
        <v>49</v>
      </c>
      <c r="L113" t="s">
        <v>49</v>
      </c>
      <c r="M113" t="s">
        <v>336</v>
      </c>
      <c r="N113" s="1" t="s">
        <v>336</v>
      </c>
      <c r="O113" s="1" t="s">
        <v>245</v>
      </c>
      <c r="P113" t="s">
        <v>245</v>
      </c>
      <c r="Q113" s="9" t="s">
        <v>45</v>
      </c>
      <c r="R113" s="82" t="s">
        <v>45</v>
      </c>
      <c r="S113" s="44" t="s">
        <v>184</v>
      </c>
      <c r="T113" s="3" t="s">
        <v>61</v>
      </c>
      <c r="U113" s="2" t="s">
        <v>29</v>
      </c>
      <c r="V113" s="3" t="s">
        <v>29</v>
      </c>
      <c r="W113" s="11" t="s">
        <v>153</v>
      </c>
      <c r="X113" s="3" t="s">
        <v>153</v>
      </c>
      <c r="Y113" s="77" t="s">
        <v>48</v>
      </c>
      <c r="Z113" s="84" t="s">
        <v>946</v>
      </c>
      <c r="AA113" s="89" t="s">
        <v>174</v>
      </c>
      <c r="AB113" s="90" t="str">
        <f>HYPERLINK(CONCATENATE("https://www.ejacket.nsf.gov/ej/showProposal.do?ID=",SUBSTITUTE(SplitQueryTableRecent[[#This Row],[prop_id]],CHAR(160),"")),"eJ")</f>
        <v>eJ</v>
      </c>
      <c r="AC113" s="89" t="s">
        <v>946</v>
      </c>
      <c r="AD113" s="3" t="s">
        <v>946</v>
      </c>
      <c r="AE113" s="91">
        <v>2015</v>
      </c>
      <c r="AF113" s="13" t="s">
        <v>43</v>
      </c>
      <c r="AG113" s="13">
        <v>150000</v>
      </c>
      <c r="AH113" s="45">
        <v>150000</v>
      </c>
      <c r="AI113" s="44" t="s">
        <v>452</v>
      </c>
      <c r="AJ113" s="2" t="s">
        <v>948</v>
      </c>
      <c r="AK113" s="46" t="s">
        <v>1720</v>
      </c>
      <c r="AL113" s="55" t="s">
        <v>369</v>
      </c>
      <c r="AM113" s="45" t="s">
        <v>369</v>
      </c>
      <c r="AN113" s="56" t="s">
        <v>152</v>
      </c>
      <c r="AO113" s="23" t="s">
        <v>146</v>
      </c>
      <c r="AP113" s="11"/>
      <c r="AQ113" s="88" t="s">
        <v>947</v>
      </c>
      <c r="AR113" s="57" t="s">
        <v>164</v>
      </c>
      <c r="AS113" s="46">
        <v>42184.40525462963</v>
      </c>
      <c r="AT113" s="3">
        <f t="shared" si="1"/>
        <v>85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42992.404930555553</v>
      </c>
      <c r="I114" s="43">
        <v>42018.692361111112</v>
      </c>
      <c r="J114" s="42">
        <v>42194.443333333336</v>
      </c>
      <c r="K114" s="81" t="s">
        <v>49</v>
      </c>
      <c r="L114" t="s">
        <v>49</v>
      </c>
      <c r="M114" t="s">
        <v>336</v>
      </c>
      <c r="N114" s="1" t="s">
        <v>336</v>
      </c>
      <c r="O114" s="1" t="s">
        <v>245</v>
      </c>
      <c r="P114" t="s">
        <v>245</v>
      </c>
      <c r="Q114" s="9" t="s">
        <v>45</v>
      </c>
      <c r="R114" s="82" t="s">
        <v>45</v>
      </c>
      <c r="S114" s="44" t="s">
        <v>184</v>
      </c>
      <c r="T114" s="3" t="s">
        <v>61</v>
      </c>
      <c r="U114" s="2" t="s">
        <v>29</v>
      </c>
      <c r="V114" s="3" t="s">
        <v>29</v>
      </c>
      <c r="W114" s="11" t="s">
        <v>153</v>
      </c>
      <c r="X114" s="3" t="s">
        <v>153</v>
      </c>
      <c r="Y114" s="77" t="s">
        <v>48</v>
      </c>
      <c r="Z114" s="84" t="s">
        <v>949</v>
      </c>
      <c r="AA114" s="89" t="s">
        <v>174</v>
      </c>
      <c r="AB114" s="90" t="str">
        <f>HYPERLINK(CONCATENATE("https://www.ejacket.nsf.gov/ej/showProposal.do?ID=",SUBSTITUTE(SplitQueryTableRecent[[#This Row],[prop_id]],CHAR(160),"")),"eJ")</f>
        <v>eJ</v>
      </c>
      <c r="AC114" s="89" t="s">
        <v>949</v>
      </c>
      <c r="AD114" s="3" t="s">
        <v>949</v>
      </c>
      <c r="AE114" s="91">
        <v>2015</v>
      </c>
      <c r="AF114" s="13" t="s">
        <v>43</v>
      </c>
      <c r="AG114" s="13">
        <v>250000</v>
      </c>
      <c r="AH114" s="45">
        <v>250000</v>
      </c>
      <c r="AI114" s="44" t="s">
        <v>452</v>
      </c>
      <c r="AJ114" s="2" t="s">
        <v>948</v>
      </c>
      <c r="AK114" s="46" t="s">
        <v>1720</v>
      </c>
      <c r="AL114" s="55" t="s">
        <v>369</v>
      </c>
      <c r="AM114" s="45" t="s">
        <v>369</v>
      </c>
      <c r="AN114" s="56" t="s">
        <v>152</v>
      </c>
      <c r="AO114" s="23" t="s">
        <v>146</v>
      </c>
      <c r="AP114" s="11"/>
      <c r="AQ114" s="88" t="s">
        <v>950</v>
      </c>
      <c r="AR114" s="57" t="s">
        <v>164</v>
      </c>
      <c r="AS114" s="46">
        <v>42227.586145833331</v>
      </c>
      <c r="AT114" s="3">
        <f t="shared" si="1"/>
        <v>86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42992.404930555553</v>
      </c>
      <c r="I115" s="43">
        <v>42326.603472222225</v>
      </c>
      <c r="J115" s="42">
        <v>42508.629143518519</v>
      </c>
      <c r="K115" s="81" t="s">
        <v>49</v>
      </c>
      <c r="L115" t="s">
        <v>49</v>
      </c>
      <c r="M115" t="s">
        <v>336</v>
      </c>
      <c r="N115" s="1" t="s">
        <v>336</v>
      </c>
      <c r="O115" s="1" t="s">
        <v>230</v>
      </c>
      <c r="P115" t="s">
        <v>230</v>
      </c>
      <c r="Q115" s="9" t="s">
        <v>45</v>
      </c>
      <c r="R115" s="82" t="s">
        <v>45</v>
      </c>
      <c r="S115" s="44" t="s">
        <v>196</v>
      </c>
      <c r="T115" s="3" t="s">
        <v>61</v>
      </c>
      <c r="U115" s="2" t="s">
        <v>29</v>
      </c>
      <c r="V115" s="3" t="s">
        <v>29</v>
      </c>
      <c r="W115" s="11" t="s">
        <v>153</v>
      </c>
      <c r="X115" s="3" t="s">
        <v>153</v>
      </c>
      <c r="Y115" s="77" t="s">
        <v>48</v>
      </c>
      <c r="Z115" s="84" t="s">
        <v>951</v>
      </c>
      <c r="AA115" s="89" t="s">
        <v>28</v>
      </c>
      <c r="AB115" s="90" t="str">
        <f>HYPERLINK(CONCATENATE("https://www.ejacket.nsf.gov/ej/showProposal.do?ID=",SUBSTITUTE(SplitQueryTableRecent[[#This Row],[prop_id]],CHAR(160),"")),"eJ")</f>
        <v>eJ</v>
      </c>
      <c r="AC115" s="89" t="s">
        <v>951</v>
      </c>
      <c r="AD115" s="3" t="s">
        <v>951</v>
      </c>
      <c r="AE115" s="91">
        <v>2016</v>
      </c>
      <c r="AF115" s="13" t="s">
        <v>43</v>
      </c>
      <c r="AG115" s="13">
        <v>500000</v>
      </c>
      <c r="AH115" s="45">
        <v>500000</v>
      </c>
      <c r="AI115" s="44" t="s">
        <v>452</v>
      </c>
      <c r="AJ115" s="2" t="s">
        <v>948</v>
      </c>
      <c r="AK115" s="46" t="s">
        <v>1720</v>
      </c>
      <c r="AL115" s="55" t="s">
        <v>369</v>
      </c>
      <c r="AM115" s="45" t="s">
        <v>369</v>
      </c>
      <c r="AN115" s="56" t="s">
        <v>152</v>
      </c>
      <c r="AO115" s="23" t="s">
        <v>146</v>
      </c>
      <c r="AP115" s="11"/>
      <c r="AQ115" s="88" t="s">
        <v>952</v>
      </c>
      <c r="AR115" s="57" t="s">
        <v>164</v>
      </c>
      <c r="AS115" s="46">
        <v>42548.36209490741</v>
      </c>
      <c r="AT115" s="3">
        <f t="shared" si="1"/>
        <v>87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42992.404930555553</v>
      </c>
      <c r="I116" s="43">
        <v>41653.564583333333</v>
      </c>
      <c r="J116" s="42">
        <v>41813.626168981478</v>
      </c>
      <c r="K116" s="81" t="s">
        <v>49</v>
      </c>
      <c r="L116" t="s">
        <v>49</v>
      </c>
      <c r="M116" t="s">
        <v>336</v>
      </c>
      <c r="N116" s="1" t="s">
        <v>336</v>
      </c>
      <c r="O116" s="1" t="s">
        <v>245</v>
      </c>
      <c r="P116" t="s">
        <v>245</v>
      </c>
      <c r="Q116" s="9" t="s">
        <v>45</v>
      </c>
      <c r="R116" s="82" t="s">
        <v>45</v>
      </c>
      <c r="S116" s="44" t="s">
        <v>173</v>
      </c>
      <c r="T116" s="3" t="s">
        <v>61</v>
      </c>
      <c r="U116" s="2" t="s">
        <v>29</v>
      </c>
      <c r="V116" s="3" t="s">
        <v>29</v>
      </c>
      <c r="W116" s="11" t="s">
        <v>153</v>
      </c>
      <c r="X116" s="3" t="s">
        <v>153</v>
      </c>
      <c r="Y116" s="77" t="s">
        <v>48</v>
      </c>
      <c r="Z116" s="84" t="s">
        <v>953</v>
      </c>
      <c r="AA116" s="89" t="s">
        <v>28</v>
      </c>
      <c r="AB116" s="90" t="str">
        <f>HYPERLINK(CONCATENATE("https://www.ejacket.nsf.gov/ej/showProposal.do?ID=",SUBSTITUTE(SplitQueryTableRecent[[#This Row],[prop_id]],CHAR(160),"")),"eJ")</f>
        <v>eJ</v>
      </c>
      <c r="AC116" s="89" t="s">
        <v>953</v>
      </c>
      <c r="AD116" s="3" t="s">
        <v>953</v>
      </c>
      <c r="AE116" s="91">
        <v>2014</v>
      </c>
      <c r="AF116" s="13" t="s">
        <v>43</v>
      </c>
      <c r="AG116" s="13">
        <v>249956</v>
      </c>
      <c r="AH116" s="45">
        <v>499912</v>
      </c>
      <c r="AI116" s="44" t="s">
        <v>385</v>
      </c>
      <c r="AJ116" s="2" t="s">
        <v>386</v>
      </c>
      <c r="AK116" s="46" t="s">
        <v>1726</v>
      </c>
      <c r="AL116" s="55" t="s">
        <v>955</v>
      </c>
      <c r="AM116" s="45" t="s">
        <v>550</v>
      </c>
      <c r="AN116" s="56" t="s">
        <v>152</v>
      </c>
      <c r="AO116" s="23" t="s">
        <v>146</v>
      </c>
      <c r="AP116" s="11"/>
      <c r="AQ116" s="88" t="s">
        <v>954</v>
      </c>
      <c r="AR116" s="57" t="s">
        <v>164</v>
      </c>
      <c r="AS116" s="46">
        <v>41830.641215277778</v>
      </c>
      <c r="AT116" s="3">
        <f t="shared" si="1"/>
        <v>88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42992.404930555553</v>
      </c>
      <c r="I117" s="43">
        <v>41653.767361111109</v>
      </c>
      <c r="J117" s="42">
        <v>41810.527245370373</v>
      </c>
      <c r="K117" s="81" t="s">
        <v>49</v>
      </c>
      <c r="L117" t="s">
        <v>49</v>
      </c>
      <c r="M117" t="s">
        <v>336</v>
      </c>
      <c r="N117" s="1" t="s">
        <v>336</v>
      </c>
      <c r="O117" s="1" t="s">
        <v>245</v>
      </c>
      <c r="P117" t="s">
        <v>245</v>
      </c>
      <c r="Q117" s="9" t="s">
        <v>45</v>
      </c>
      <c r="R117" s="82" t="s">
        <v>45</v>
      </c>
      <c r="S117" s="44" t="s">
        <v>636</v>
      </c>
      <c r="T117" s="3" t="s">
        <v>61</v>
      </c>
      <c r="U117" s="2" t="s">
        <v>29</v>
      </c>
      <c r="V117" s="3" t="s">
        <v>29</v>
      </c>
      <c r="W117" s="11" t="s">
        <v>153</v>
      </c>
      <c r="X117" s="3" t="s">
        <v>153</v>
      </c>
      <c r="Y117" s="77" t="s">
        <v>48</v>
      </c>
      <c r="Z117" s="84" t="s">
        <v>956</v>
      </c>
      <c r="AA117" s="89" t="s">
        <v>28</v>
      </c>
      <c r="AB117" s="90" t="str">
        <f>HYPERLINK(CONCATENATE("https://www.ejacket.nsf.gov/ej/showProposal.do?ID=",SUBSTITUTE(SplitQueryTableRecent[[#This Row],[prop_id]],CHAR(160),"")),"eJ")</f>
        <v>eJ</v>
      </c>
      <c r="AC117" s="89" t="s">
        <v>956</v>
      </c>
      <c r="AD117" s="3" t="s">
        <v>956</v>
      </c>
      <c r="AE117" s="91">
        <v>2014</v>
      </c>
      <c r="AF117" s="13" t="s">
        <v>43</v>
      </c>
      <c r="AG117" s="13">
        <v>376628</v>
      </c>
      <c r="AH117" s="45">
        <v>376628</v>
      </c>
      <c r="AI117" s="44" t="s">
        <v>216</v>
      </c>
      <c r="AJ117" s="2" t="s">
        <v>225</v>
      </c>
      <c r="AK117" s="46" t="s">
        <v>1733</v>
      </c>
      <c r="AL117" s="55" t="s">
        <v>707</v>
      </c>
      <c r="AM117" s="45" t="s">
        <v>707</v>
      </c>
      <c r="AN117" s="56" t="s">
        <v>152</v>
      </c>
      <c r="AO117" s="23" t="s">
        <v>146</v>
      </c>
      <c r="AP117" s="11"/>
      <c r="AQ117" s="88" t="s">
        <v>957</v>
      </c>
      <c r="AR117" s="57" t="s">
        <v>164</v>
      </c>
      <c r="AS117" s="46">
        <v>41842.314247685186</v>
      </c>
      <c r="AT117" s="3">
        <f t="shared" si="1"/>
        <v>89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42992.404930555553</v>
      </c>
      <c r="I118" s="43">
        <v>42641.40347222222</v>
      </c>
      <c r="J118" s="42">
        <v>42684.462418981479</v>
      </c>
      <c r="K118" s="81" t="s">
        <v>49</v>
      </c>
      <c r="L118" t="s">
        <v>49</v>
      </c>
      <c r="M118" t="s">
        <v>336</v>
      </c>
      <c r="N118" s="1" t="s">
        <v>336</v>
      </c>
      <c r="O118" s="1" t="s">
        <v>230</v>
      </c>
      <c r="P118" t="s">
        <v>230</v>
      </c>
      <c r="Q118" s="9" t="s">
        <v>65</v>
      </c>
      <c r="R118" s="82" t="s">
        <v>65</v>
      </c>
      <c r="S118" s="44" t="s">
        <v>60</v>
      </c>
      <c r="T118" s="3" t="s">
        <v>61</v>
      </c>
      <c r="U118" s="2" t="s">
        <v>29</v>
      </c>
      <c r="V118" s="3" t="s">
        <v>29</v>
      </c>
      <c r="W118" s="11" t="s">
        <v>153</v>
      </c>
      <c r="X118" s="3" t="s">
        <v>153</v>
      </c>
      <c r="Y118" s="77" t="s">
        <v>48</v>
      </c>
      <c r="Z118" s="84" t="s">
        <v>958</v>
      </c>
      <c r="AA118" s="89" t="s">
        <v>28</v>
      </c>
      <c r="AB118" s="90" t="str">
        <f>HYPERLINK(CONCATENATE("https://www.ejacket.nsf.gov/ej/showProposal.do?ID=",SUBSTITUTE(SplitQueryTableRecent[[#This Row],[prop_id]],CHAR(160),"")),"eJ")</f>
        <v>eJ</v>
      </c>
      <c r="AC118" s="89" t="s">
        <v>958</v>
      </c>
      <c r="AD118" s="3" t="s">
        <v>958</v>
      </c>
      <c r="AE118" s="91">
        <v>2017</v>
      </c>
      <c r="AF118" s="13" t="s">
        <v>43</v>
      </c>
      <c r="AG118" s="13">
        <v>20000</v>
      </c>
      <c r="AH118" s="45">
        <v>20000</v>
      </c>
      <c r="AI118" s="44" t="s">
        <v>961</v>
      </c>
      <c r="AJ118" s="2" t="s">
        <v>962</v>
      </c>
      <c r="AK118" s="46" t="s">
        <v>423</v>
      </c>
      <c r="AL118" s="55" t="s">
        <v>960</v>
      </c>
      <c r="AM118" s="45" t="s">
        <v>155</v>
      </c>
      <c r="AN118" s="56" t="s">
        <v>152</v>
      </c>
      <c r="AO118" s="23" t="s">
        <v>146</v>
      </c>
      <c r="AP118" s="11"/>
      <c r="AQ118" s="88" t="s">
        <v>959</v>
      </c>
      <c r="AR118" s="57" t="s">
        <v>164</v>
      </c>
      <c r="AS118" s="46">
        <v>42695.466215277775</v>
      </c>
      <c r="AT118" s="3">
        <f t="shared" si="1"/>
        <v>90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42992.404930555553</v>
      </c>
      <c r="I119" s="43">
        <v>41653.681944444441</v>
      </c>
      <c r="J119" s="42">
        <v>41810.532060185185</v>
      </c>
      <c r="K119" s="81" t="s">
        <v>49</v>
      </c>
      <c r="L119" t="s">
        <v>49</v>
      </c>
      <c r="M119" t="s">
        <v>336</v>
      </c>
      <c r="N119" s="1" t="s">
        <v>336</v>
      </c>
      <c r="O119" s="1" t="s">
        <v>245</v>
      </c>
      <c r="P119" t="s">
        <v>245</v>
      </c>
      <c r="Q119" s="9" t="s">
        <v>45</v>
      </c>
      <c r="R119" s="82" t="s">
        <v>45</v>
      </c>
      <c r="S119" s="44" t="s">
        <v>173</v>
      </c>
      <c r="T119" s="3" t="s">
        <v>61</v>
      </c>
      <c r="U119" s="2" t="s">
        <v>29</v>
      </c>
      <c r="V119" s="3" t="s">
        <v>29</v>
      </c>
      <c r="W119" s="11" t="s">
        <v>153</v>
      </c>
      <c r="X119" s="3" t="s">
        <v>153</v>
      </c>
      <c r="Y119" s="77" t="s">
        <v>48</v>
      </c>
      <c r="Z119" s="84" t="s">
        <v>624</v>
      </c>
      <c r="AA119" s="89" t="s">
        <v>174</v>
      </c>
      <c r="AB119" s="90" t="str">
        <f>HYPERLINK(CONCATENATE("https://www.ejacket.nsf.gov/ej/showProposal.do?ID=",SUBSTITUTE(SplitQueryTableRecent[[#This Row],[prop_id]],CHAR(160),"")),"eJ")</f>
        <v>eJ</v>
      </c>
      <c r="AC119" s="89" t="s">
        <v>624</v>
      </c>
      <c r="AD119" s="3" t="s">
        <v>624</v>
      </c>
      <c r="AE119" s="91">
        <v>2014</v>
      </c>
      <c r="AF119" s="13" t="s">
        <v>43</v>
      </c>
      <c r="AG119" s="13">
        <v>299504</v>
      </c>
      <c r="AH119" s="45">
        <v>294836</v>
      </c>
      <c r="AI119" s="44" t="s">
        <v>965</v>
      </c>
      <c r="AJ119" s="2" t="s">
        <v>171</v>
      </c>
      <c r="AK119" s="46" t="s">
        <v>1707</v>
      </c>
      <c r="AL119" s="55" t="s">
        <v>369</v>
      </c>
      <c r="AM119" s="45" t="s">
        <v>369</v>
      </c>
      <c r="AN119" s="56" t="s">
        <v>152</v>
      </c>
      <c r="AO119" s="23" t="s">
        <v>146</v>
      </c>
      <c r="AP119" s="11"/>
      <c r="AQ119" s="88" t="s">
        <v>964</v>
      </c>
      <c r="AR119" s="57" t="s">
        <v>161</v>
      </c>
      <c r="AS119" s="46">
        <v>41842.362199074072</v>
      </c>
      <c r="AT119" s="3">
        <f t="shared" si="1"/>
        <v>91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42992.404930555553</v>
      </c>
      <c r="I120" s="43">
        <v>42326.642361111109</v>
      </c>
      <c r="J120" s="42">
        <v>42508.63789351852</v>
      </c>
      <c r="K120" s="81" t="s">
        <v>49</v>
      </c>
      <c r="L120" t="s">
        <v>49</v>
      </c>
      <c r="M120" t="s">
        <v>336</v>
      </c>
      <c r="N120" s="1" t="s">
        <v>336</v>
      </c>
      <c r="O120" s="1" t="s">
        <v>230</v>
      </c>
      <c r="P120" t="s">
        <v>230</v>
      </c>
      <c r="Q120" s="9" t="s">
        <v>45</v>
      </c>
      <c r="R120" s="82" t="s">
        <v>45</v>
      </c>
      <c r="S120" s="44" t="s">
        <v>196</v>
      </c>
      <c r="T120" s="3" t="s">
        <v>61</v>
      </c>
      <c r="U120" s="2" t="s">
        <v>29</v>
      </c>
      <c r="V120" s="3" t="s">
        <v>29</v>
      </c>
      <c r="W120" s="11" t="s">
        <v>153</v>
      </c>
      <c r="X120" s="3" t="s">
        <v>153</v>
      </c>
      <c r="Y120" s="77" t="s">
        <v>48</v>
      </c>
      <c r="Z120" s="84" t="s">
        <v>966</v>
      </c>
      <c r="AA120" s="89" t="s">
        <v>174</v>
      </c>
      <c r="AB120" s="90" t="str">
        <f>HYPERLINK(CONCATENATE("https://www.ejacket.nsf.gov/ej/showProposal.do?ID=",SUBSTITUTE(SplitQueryTableRecent[[#This Row],[prop_id]],CHAR(160),"")),"eJ")</f>
        <v>eJ</v>
      </c>
      <c r="AC120" s="89" t="s">
        <v>966</v>
      </c>
      <c r="AD120" s="3" t="s">
        <v>966</v>
      </c>
      <c r="AE120" s="91">
        <v>2016</v>
      </c>
      <c r="AF120" s="13" t="s">
        <v>43</v>
      </c>
      <c r="AG120" s="13">
        <v>249823</v>
      </c>
      <c r="AH120" s="45">
        <v>249823</v>
      </c>
      <c r="AI120" s="44" t="s">
        <v>965</v>
      </c>
      <c r="AJ120" s="2" t="s">
        <v>171</v>
      </c>
      <c r="AK120" s="46" t="s">
        <v>1707</v>
      </c>
      <c r="AL120" s="55" t="s">
        <v>369</v>
      </c>
      <c r="AM120" s="45" t="s">
        <v>369</v>
      </c>
      <c r="AN120" s="56" t="s">
        <v>152</v>
      </c>
      <c r="AO120" s="23" t="s">
        <v>146</v>
      </c>
      <c r="AP120" s="11"/>
      <c r="AQ120" s="88" t="s">
        <v>967</v>
      </c>
      <c r="AR120" s="57" t="s">
        <v>164</v>
      </c>
      <c r="AS120" s="46">
        <v>42548.680451388886</v>
      </c>
      <c r="AT120" s="3">
        <f t="shared" si="1"/>
        <v>92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42992.404930555553</v>
      </c>
      <c r="I121" s="43">
        <v>42326.464583333334</v>
      </c>
      <c r="J121" s="42">
        <v>42529.701504629629</v>
      </c>
      <c r="K121" s="81" t="s">
        <v>49</v>
      </c>
      <c r="L121" t="s">
        <v>49</v>
      </c>
      <c r="M121" t="s">
        <v>336</v>
      </c>
      <c r="N121" s="1" t="s">
        <v>336</v>
      </c>
      <c r="O121" s="1" t="s">
        <v>337</v>
      </c>
      <c r="P121" t="s">
        <v>337</v>
      </c>
      <c r="Q121" s="9" t="s">
        <v>45</v>
      </c>
      <c r="R121" s="82" t="s">
        <v>45</v>
      </c>
      <c r="S121" s="44" t="s">
        <v>196</v>
      </c>
      <c r="T121" s="3" t="s">
        <v>61</v>
      </c>
      <c r="U121" s="2" t="s">
        <v>29</v>
      </c>
      <c r="V121" s="3" t="s">
        <v>29</v>
      </c>
      <c r="W121" s="11" t="s">
        <v>153</v>
      </c>
      <c r="X121" s="3" t="s">
        <v>153</v>
      </c>
      <c r="Y121" s="77" t="s">
        <v>48</v>
      </c>
      <c r="Z121" s="84" t="s">
        <v>969</v>
      </c>
      <c r="AA121" s="89" t="s">
        <v>62</v>
      </c>
      <c r="AB121" s="90" t="str">
        <f>HYPERLINK(CONCATENATE("https://www.ejacket.nsf.gov/ej/showProposal.do?ID=",SUBSTITUTE(SplitQueryTableRecent[[#This Row],[prop_id]],CHAR(160),"")),"eJ")</f>
        <v>eJ</v>
      </c>
      <c r="AC121" s="89" t="s">
        <v>968</v>
      </c>
      <c r="AD121" s="3" t="s">
        <v>968</v>
      </c>
      <c r="AE121" s="91">
        <v>2016</v>
      </c>
      <c r="AF121" s="13" t="s">
        <v>43</v>
      </c>
      <c r="AG121" s="13">
        <v>215000</v>
      </c>
      <c r="AH121" s="45">
        <v>215000</v>
      </c>
      <c r="AI121" s="44" t="s">
        <v>218</v>
      </c>
      <c r="AJ121" s="2" t="s">
        <v>971</v>
      </c>
      <c r="AK121" s="46" t="s">
        <v>346</v>
      </c>
      <c r="AL121" s="55" t="s">
        <v>584</v>
      </c>
      <c r="AM121" s="45" t="s">
        <v>584</v>
      </c>
      <c r="AN121" s="56" t="s">
        <v>152</v>
      </c>
      <c r="AO121" s="23" t="s">
        <v>146</v>
      </c>
      <c r="AP121" s="11"/>
      <c r="AQ121" s="88" t="s">
        <v>970</v>
      </c>
      <c r="AR121" s="57" t="s">
        <v>164</v>
      </c>
      <c r="AS121" s="46">
        <v>42550.328090277777</v>
      </c>
      <c r="AT121" s="3">
        <f t="shared" si="1"/>
        <v>93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42992.404930555553</v>
      </c>
      <c r="I122" s="43">
        <v>42326.647916666669</v>
      </c>
      <c r="J122" s="42">
        <v>42531.704594907409</v>
      </c>
      <c r="K122" s="81" t="s">
        <v>49</v>
      </c>
      <c r="L122" t="s">
        <v>49</v>
      </c>
      <c r="M122" t="s">
        <v>336</v>
      </c>
      <c r="N122" s="1" t="s">
        <v>336</v>
      </c>
      <c r="O122" s="1" t="s">
        <v>337</v>
      </c>
      <c r="P122" t="s">
        <v>337</v>
      </c>
      <c r="Q122" s="9" t="s">
        <v>45</v>
      </c>
      <c r="R122" s="82" t="s">
        <v>45</v>
      </c>
      <c r="S122" s="44" t="s">
        <v>196</v>
      </c>
      <c r="T122" s="3" t="s">
        <v>61</v>
      </c>
      <c r="U122" s="2" t="s">
        <v>29</v>
      </c>
      <c r="V122" s="3" t="s">
        <v>29</v>
      </c>
      <c r="W122" s="11" t="s">
        <v>153</v>
      </c>
      <c r="X122" s="3" t="s">
        <v>153</v>
      </c>
      <c r="Y122" s="77" t="s">
        <v>48</v>
      </c>
      <c r="Z122" s="84" t="s">
        <v>973</v>
      </c>
      <c r="AA122" s="89" t="s">
        <v>62</v>
      </c>
      <c r="AB122" s="90" t="str">
        <f>HYPERLINK(CONCATENATE("https://www.ejacket.nsf.gov/ej/showProposal.do?ID=",SUBSTITUTE(SplitQueryTableRecent[[#This Row],[prop_id]],CHAR(160),"")),"eJ")</f>
        <v>eJ</v>
      </c>
      <c r="AC122" s="89" t="s">
        <v>972</v>
      </c>
      <c r="AD122" s="3" t="s">
        <v>972</v>
      </c>
      <c r="AE122" s="91">
        <v>2016</v>
      </c>
      <c r="AF122" s="13" t="s">
        <v>43</v>
      </c>
      <c r="AG122" s="13">
        <v>250000</v>
      </c>
      <c r="AH122" s="45">
        <v>250000</v>
      </c>
      <c r="AI122" s="44" t="s">
        <v>975</v>
      </c>
      <c r="AJ122" s="2" t="s">
        <v>976</v>
      </c>
      <c r="AK122" s="46" t="s">
        <v>226</v>
      </c>
      <c r="AL122" s="55" t="s">
        <v>584</v>
      </c>
      <c r="AM122" s="45" t="s">
        <v>584</v>
      </c>
      <c r="AN122" s="56" t="s">
        <v>152</v>
      </c>
      <c r="AO122" s="23" t="s">
        <v>146</v>
      </c>
      <c r="AP122" s="11"/>
      <c r="AQ122" s="88" t="s">
        <v>974</v>
      </c>
      <c r="AR122" s="57" t="s">
        <v>164</v>
      </c>
      <c r="AS122" s="46">
        <v>42551.300243055557</v>
      </c>
      <c r="AT122" s="3">
        <f t="shared" si="1"/>
        <v>94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42992.404930555553</v>
      </c>
      <c r="I123" s="43">
        <v>42016.55</v>
      </c>
      <c r="J123" s="42">
        <v>42194.41138888889</v>
      </c>
      <c r="K123" s="81" t="s">
        <v>49</v>
      </c>
      <c r="L123" t="s">
        <v>49</v>
      </c>
      <c r="M123" t="s">
        <v>336</v>
      </c>
      <c r="N123" s="1" t="s">
        <v>336</v>
      </c>
      <c r="O123" s="1" t="s">
        <v>245</v>
      </c>
      <c r="P123" t="s">
        <v>245</v>
      </c>
      <c r="Q123" s="9" t="s">
        <v>45</v>
      </c>
      <c r="R123" s="82" t="s">
        <v>45</v>
      </c>
      <c r="S123" s="44" t="s">
        <v>184</v>
      </c>
      <c r="T123" s="3" t="s">
        <v>61</v>
      </c>
      <c r="U123" s="2" t="s">
        <v>29</v>
      </c>
      <c r="V123" s="3" t="s">
        <v>29</v>
      </c>
      <c r="W123" s="11" t="s">
        <v>153</v>
      </c>
      <c r="X123" s="3" t="s">
        <v>153</v>
      </c>
      <c r="Y123" s="77" t="s">
        <v>48</v>
      </c>
      <c r="Z123" s="84" t="s">
        <v>977</v>
      </c>
      <c r="AA123" s="89" t="s">
        <v>28</v>
      </c>
      <c r="AB123" s="90" t="str">
        <f>HYPERLINK(CONCATENATE("https://www.ejacket.nsf.gov/ej/showProposal.do?ID=",SUBSTITUTE(SplitQueryTableRecent[[#This Row],[prop_id]],CHAR(160),"")),"eJ")</f>
        <v>eJ</v>
      </c>
      <c r="AC123" s="89" t="s">
        <v>977</v>
      </c>
      <c r="AD123" s="3" t="s">
        <v>977</v>
      </c>
      <c r="AE123" s="91">
        <v>2015</v>
      </c>
      <c r="AF123" s="13" t="s">
        <v>43</v>
      </c>
      <c r="AG123" s="13">
        <v>482627</v>
      </c>
      <c r="AH123" s="45">
        <v>500000</v>
      </c>
      <c r="AI123" s="44" t="s">
        <v>979</v>
      </c>
      <c r="AJ123" s="2" t="s">
        <v>980</v>
      </c>
      <c r="AK123" s="46" t="s">
        <v>1717</v>
      </c>
      <c r="AL123" s="55" t="s">
        <v>369</v>
      </c>
      <c r="AM123" s="45" t="s">
        <v>369</v>
      </c>
      <c r="AN123" s="56" t="s">
        <v>152</v>
      </c>
      <c r="AO123" s="23" t="s">
        <v>146</v>
      </c>
      <c r="AP123" s="11"/>
      <c r="AQ123" s="88" t="s">
        <v>978</v>
      </c>
      <c r="AR123" s="57" t="s">
        <v>164</v>
      </c>
      <c r="AS123" s="46">
        <v>42223.511620370373</v>
      </c>
      <c r="AT123" s="3">
        <f t="shared" si="1"/>
        <v>95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42992.404930555553</v>
      </c>
      <c r="I124" s="43">
        <v>41653.777777777781</v>
      </c>
      <c r="J124" s="42">
        <v>41808.543124999997</v>
      </c>
      <c r="K124" s="81" t="s">
        <v>49</v>
      </c>
      <c r="L124" t="s">
        <v>49</v>
      </c>
      <c r="M124" t="s">
        <v>336</v>
      </c>
      <c r="N124" s="1" t="s">
        <v>336</v>
      </c>
      <c r="O124" s="1" t="s">
        <v>337</v>
      </c>
      <c r="P124" t="s">
        <v>337</v>
      </c>
      <c r="Q124" s="9" t="s">
        <v>45</v>
      </c>
      <c r="R124" s="82" t="s">
        <v>45</v>
      </c>
      <c r="S124" s="44" t="s">
        <v>173</v>
      </c>
      <c r="T124" s="3" t="s">
        <v>61</v>
      </c>
      <c r="U124" s="2" t="s">
        <v>29</v>
      </c>
      <c r="V124" s="3" t="s">
        <v>29</v>
      </c>
      <c r="W124" s="11" t="s">
        <v>153</v>
      </c>
      <c r="X124" s="3" t="s">
        <v>153</v>
      </c>
      <c r="Y124" s="77" t="s">
        <v>48</v>
      </c>
      <c r="Z124" s="84" t="s">
        <v>981</v>
      </c>
      <c r="AA124" s="89" t="s">
        <v>28</v>
      </c>
      <c r="AB124" s="90" t="str">
        <f>HYPERLINK(CONCATENATE("https://www.ejacket.nsf.gov/ej/showProposal.do?ID=",SUBSTITUTE(SplitQueryTableRecent[[#This Row],[prop_id]],CHAR(160),"")),"eJ")</f>
        <v>eJ</v>
      </c>
      <c r="AC124" s="89" t="s">
        <v>981</v>
      </c>
      <c r="AD124" s="3" t="s">
        <v>981</v>
      </c>
      <c r="AE124" s="91">
        <v>2014</v>
      </c>
      <c r="AF124" s="13" t="s">
        <v>43</v>
      </c>
      <c r="AG124" s="13">
        <v>280717</v>
      </c>
      <c r="AH124" s="45">
        <v>336179</v>
      </c>
      <c r="AI124" s="44" t="s">
        <v>983</v>
      </c>
      <c r="AJ124" s="2" t="s">
        <v>984</v>
      </c>
      <c r="AK124" s="46" t="s">
        <v>1734</v>
      </c>
      <c r="AL124" s="55" t="s">
        <v>584</v>
      </c>
      <c r="AM124" s="45" t="s">
        <v>584</v>
      </c>
      <c r="AN124" s="56" t="s">
        <v>152</v>
      </c>
      <c r="AO124" s="23" t="s">
        <v>146</v>
      </c>
      <c r="AP124" s="11"/>
      <c r="AQ124" s="88" t="s">
        <v>982</v>
      </c>
      <c r="AR124" s="57" t="s">
        <v>161</v>
      </c>
      <c r="AS124" s="46">
        <v>41820.367395833331</v>
      </c>
      <c r="AT124" s="3">
        <f t="shared" si="1"/>
        <v>96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42992.404930555553</v>
      </c>
      <c r="I125" s="43">
        <v>42325.729861111111</v>
      </c>
      <c r="J125" s="42">
        <v>42507.400277777779</v>
      </c>
      <c r="K125" s="81" t="s">
        <v>49</v>
      </c>
      <c r="L125" t="s">
        <v>49</v>
      </c>
      <c r="M125" t="s">
        <v>336</v>
      </c>
      <c r="N125" s="1" t="s">
        <v>336</v>
      </c>
      <c r="O125" s="1" t="s">
        <v>230</v>
      </c>
      <c r="P125" t="s">
        <v>230</v>
      </c>
      <c r="Q125" s="9" t="s">
        <v>45</v>
      </c>
      <c r="R125" s="82" t="s">
        <v>45</v>
      </c>
      <c r="S125" s="44" t="s">
        <v>196</v>
      </c>
      <c r="T125" s="3" t="s">
        <v>61</v>
      </c>
      <c r="U125" s="2" t="s">
        <v>29</v>
      </c>
      <c r="V125" s="3" t="s">
        <v>29</v>
      </c>
      <c r="W125" s="11" t="s">
        <v>153</v>
      </c>
      <c r="X125" s="3" t="s">
        <v>153</v>
      </c>
      <c r="Y125" s="77" t="s">
        <v>48</v>
      </c>
      <c r="Z125" s="84" t="s">
        <v>987</v>
      </c>
      <c r="AA125" s="89" t="s">
        <v>28</v>
      </c>
      <c r="AB125" s="90" t="str">
        <f>HYPERLINK(CONCATENATE("https://www.ejacket.nsf.gov/ej/showProposal.do?ID=",SUBSTITUTE(SplitQueryTableRecent[[#This Row],[prop_id]],CHAR(160),"")),"eJ")</f>
        <v>eJ</v>
      </c>
      <c r="AC125" s="89" t="s">
        <v>987</v>
      </c>
      <c r="AD125" s="3" t="s">
        <v>987</v>
      </c>
      <c r="AE125" s="91">
        <v>2016</v>
      </c>
      <c r="AF125" s="13" t="s">
        <v>43</v>
      </c>
      <c r="AG125" s="13">
        <v>499787</v>
      </c>
      <c r="AH125" s="45">
        <v>499787</v>
      </c>
      <c r="AI125" s="44" t="s">
        <v>985</v>
      </c>
      <c r="AJ125" s="2" t="s">
        <v>986</v>
      </c>
      <c r="AK125" s="46" t="s">
        <v>1727</v>
      </c>
      <c r="AL125" s="55" t="s">
        <v>369</v>
      </c>
      <c r="AM125" s="45" t="s">
        <v>369</v>
      </c>
      <c r="AN125" s="56" t="s">
        <v>152</v>
      </c>
      <c r="AO125" s="23" t="s">
        <v>146</v>
      </c>
      <c r="AP125" s="11"/>
      <c r="AQ125" s="88" t="s">
        <v>988</v>
      </c>
      <c r="AR125" s="57" t="s">
        <v>164</v>
      </c>
      <c r="AS125" s="46">
        <v>42531.368923611109</v>
      </c>
      <c r="AT125" s="3">
        <f t="shared" si="1"/>
        <v>97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42992.404930555553</v>
      </c>
      <c r="I126" s="43">
        <v>42690.558333333334</v>
      </c>
      <c r="J126" s="42">
        <v>42930.446793981479</v>
      </c>
      <c r="K126" s="81" t="s">
        <v>49</v>
      </c>
      <c r="L126" t="s">
        <v>49</v>
      </c>
      <c r="M126" t="s">
        <v>336</v>
      </c>
      <c r="N126" s="1" t="s">
        <v>336</v>
      </c>
      <c r="O126" s="1" t="s">
        <v>245</v>
      </c>
      <c r="P126" t="s">
        <v>245</v>
      </c>
      <c r="Q126" s="9" t="s">
        <v>45</v>
      </c>
      <c r="R126" s="82" t="s">
        <v>45</v>
      </c>
      <c r="S126" s="44" t="s">
        <v>192</v>
      </c>
      <c r="T126" s="3" t="s">
        <v>61</v>
      </c>
      <c r="U126" s="2" t="s">
        <v>29</v>
      </c>
      <c r="V126" s="3" t="s">
        <v>29</v>
      </c>
      <c r="W126" s="11" t="s">
        <v>153</v>
      </c>
      <c r="X126" s="3" t="s">
        <v>153</v>
      </c>
      <c r="Y126" s="77" t="s">
        <v>48</v>
      </c>
      <c r="Z126" s="84" t="s">
        <v>989</v>
      </c>
      <c r="AA126" s="89" t="s">
        <v>28</v>
      </c>
      <c r="AB126" s="90" t="str">
        <f>HYPERLINK(CONCATENATE("https://www.ejacket.nsf.gov/ej/showProposal.do?ID=",SUBSTITUTE(SplitQueryTableRecent[[#This Row],[prop_id]],CHAR(160),"")),"eJ")</f>
        <v>eJ</v>
      </c>
      <c r="AC126" s="89" t="s">
        <v>989</v>
      </c>
      <c r="AD126" s="3" t="s">
        <v>989</v>
      </c>
      <c r="AE126" s="91">
        <v>2017</v>
      </c>
      <c r="AF126" s="13" t="s">
        <v>43</v>
      </c>
      <c r="AG126" s="13">
        <v>470000</v>
      </c>
      <c r="AH126" s="45">
        <v>500000</v>
      </c>
      <c r="AI126" s="44" t="s">
        <v>991</v>
      </c>
      <c r="AJ126" s="2" t="s">
        <v>817</v>
      </c>
      <c r="AK126" s="46" t="s">
        <v>465</v>
      </c>
      <c r="AL126" s="55" t="s">
        <v>369</v>
      </c>
      <c r="AM126" s="45" t="s">
        <v>369</v>
      </c>
      <c r="AN126" s="56" t="s">
        <v>152</v>
      </c>
      <c r="AO126" s="23" t="s">
        <v>146</v>
      </c>
      <c r="AP126" s="11"/>
      <c r="AQ126" s="88" t="s">
        <v>990</v>
      </c>
      <c r="AR126" s="57" t="s">
        <v>188</v>
      </c>
      <c r="AS126" s="46">
        <v>42977.628067129626</v>
      </c>
      <c r="AT126" s="3">
        <f t="shared" si="1"/>
        <v>98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42992.404930555553</v>
      </c>
      <c r="I127" s="43">
        <v>42690.674305555556</v>
      </c>
      <c r="J127" s="42">
        <v>42933.405243055553</v>
      </c>
      <c r="K127" s="81" t="s">
        <v>49</v>
      </c>
      <c r="L127" t="s">
        <v>49</v>
      </c>
      <c r="M127" t="s">
        <v>336</v>
      </c>
      <c r="N127" s="1" t="s">
        <v>336</v>
      </c>
      <c r="O127" s="1" t="s">
        <v>230</v>
      </c>
      <c r="P127" t="s">
        <v>230</v>
      </c>
      <c r="Q127" s="9" t="s">
        <v>45</v>
      </c>
      <c r="R127" s="82" t="s">
        <v>45</v>
      </c>
      <c r="S127" s="44" t="s">
        <v>192</v>
      </c>
      <c r="T127" s="3" t="s">
        <v>61</v>
      </c>
      <c r="U127" s="2" t="s">
        <v>29</v>
      </c>
      <c r="V127" s="3" t="s">
        <v>29</v>
      </c>
      <c r="W127" s="11" t="s">
        <v>153</v>
      </c>
      <c r="X127" s="3" t="s">
        <v>153</v>
      </c>
      <c r="Y127" s="77" t="s">
        <v>48</v>
      </c>
      <c r="Z127" s="84" t="s">
        <v>992</v>
      </c>
      <c r="AA127" s="89" t="s">
        <v>28</v>
      </c>
      <c r="AB127" s="90" t="str">
        <f>HYPERLINK(CONCATENATE("https://www.ejacket.nsf.gov/ej/showProposal.do?ID=",SUBSTITUTE(SplitQueryTableRecent[[#This Row],[prop_id]],CHAR(160),"")),"eJ")</f>
        <v>eJ</v>
      </c>
      <c r="AC127" s="89" t="s">
        <v>992</v>
      </c>
      <c r="AD127" s="3" t="s">
        <v>992</v>
      </c>
      <c r="AE127" s="91">
        <v>2017</v>
      </c>
      <c r="AF127" s="13" t="s">
        <v>43</v>
      </c>
      <c r="AG127" s="13">
        <v>477478</v>
      </c>
      <c r="AH127" s="45">
        <v>500000</v>
      </c>
      <c r="AI127" s="44" t="s">
        <v>994</v>
      </c>
      <c r="AJ127" s="2" t="s">
        <v>296</v>
      </c>
      <c r="AK127" s="46" t="s">
        <v>1709</v>
      </c>
      <c r="AL127" s="55" t="s">
        <v>369</v>
      </c>
      <c r="AM127" s="45" t="s">
        <v>572</v>
      </c>
      <c r="AN127" s="56" t="s">
        <v>152</v>
      </c>
      <c r="AO127" s="23" t="s">
        <v>146</v>
      </c>
      <c r="AP127" s="11"/>
      <c r="AQ127" s="88" t="s">
        <v>993</v>
      </c>
      <c r="AR127" s="57" t="s">
        <v>188</v>
      </c>
      <c r="AS127" s="46">
        <v>42977.698009259257</v>
      </c>
      <c r="AT127" s="3">
        <f t="shared" si="1"/>
        <v>99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42992.404930555553</v>
      </c>
      <c r="I128" s="43">
        <v>42018.792361111111</v>
      </c>
      <c r="J128" s="42">
        <v>42159.366793981484</v>
      </c>
      <c r="K128" s="81" t="s">
        <v>49</v>
      </c>
      <c r="L128" t="s">
        <v>49</v>
      </c>
      <c r="M128" t="s">
        <v>336</v>
      </c>
      <c r="N128" s="1" t="s">
        <v>336</v>
      </c>
      <c r="O128" s="1" t="s">
        <v>245</v>
      </c>
      <c r="P128" t="s">
        <v>245</v>
      </c>
      <c r="Q128" s="9" t="s">
        <v>45</v>
      </c>
      <c r="R128" s="82" t="s">
        <v>45</v>
      </c>
      <c r="S128" s="44" t="s">
        <v>184</v>
      </c>
      <c r="T128" s="3" t="s">
        <v>61</v>
      </c>
      <c r="U128" s="2" t="s">
        <v>29</v>
      </c>
      <c r="V128" s="3" t="s">
        <v>29</v>
      </c>
      <c r="W128" s="11" t="s">
        <v>153</v>
      </c>
      <c r="X128" s="3" t="s">
        <v>153</v>
      </c>
      <c r="Y128" s="77" t="s">
        <v>48</v>
      </c>
      <c r="Z128" s="84" t="s">
        <v>997</v>
      </c>
      <c r="AA128" s="89" t="s">
        <v>174</v>
      </c>
      <c r="AB128" s="90" t="str">
        <f>HYPERLINK(CONCATENATE("https://www.ejacket.nsf.gov/ej/showProposal.do?ID=",SUBSTITUTE(SplitQueryTableRecent[[#This Row],[prop_id]],CHAR(160),"")),"eJ")</f>
        <v>eJ</v>
      </c>
      <c r="AC128" s="89" t="s">
        <v>997</v>
      </c>
      <c r="AD128" s="3" t="s">
        <v>997</v>
      </c>
      <c r="AE128" s="91">
        <v>2015</v>
      </c>
      <c r="AF128" s="13" t="s">
        <v>43</v>
      </c>
      <c r="AG128" s="13">
        <v>250000</v>
      </c>
      <c r="AH128" s="45">
        <v>250000</v>
      </c>
      <c r="AI128" s="44" t="s">
        <v>995</v>
      </c>
      <c r="AJ128" s="2" t="s">
        <v>996</v>
      </c>
      <c r="AK128" s="46" t="s">
        <v>195</v>
      </c>
      <c r="AL128" s="55" t="s">
        <v>369</v>
      </c>
      <c r="AM128" s="45" t="s">
        <v>369</v>
      </c>
      <c r="AN128" s="56" t="s">
        <v>152</v>
      </c>
      <c r="AO128" s="23" t="s">
        <v>146</v>
      </c>
      <c r="AP128" s="11"/>
      <c r="AQ128" s="88" t="s">
        <v>998</v>
      </c>
      <c r="AR128" s="57" t="s">
        <v>164</v>
      </c>
      <c r="AS128" s="46">
        <v>42179.577245370368</v>
      </c>
      <c r="AT128" s="3">
        <f t="shared" si="1"/>
        <v>100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42992.404930555553</v>
      </c>
      <c r="I129" s="43">
        <v>42802.745138888888</v>
      </c>
      <c r="J129" s="42">
        <v>42891.663564814815</v>
      </c>
      <c r="K129" s="81" t="s">
        <v>49</v>
      </c>
      <c r="L129" t="s">
        <v>49</v>
      </c>
      <c r="M129" t="s">
        <v>336</v>
      </c>
      <c r="N129" s="1" t="s">
        <v>336</v>
      </c>
      <c r="O129" s="1" t="s">
        <v>337</v>
      </c>
      <c r="P129" t="s">
        <v>337</v>
      </c>
      <c r="Q129" s="9" t="s">
        <v>45</v>
      </c>
      <c r="R129" s="82" t="s">
        <v>45</v>
      </c>
      <c r="S129" s="44" t="s">
        <v>139</v>
      </c>
      <c r="T129" s="3" t="s">
        <v>61</v>
      </c>
      <c r="U129" s="2" t="s">
        <v>29</v>
      </c>
      <c r="V129" s="3" t="s">
        <v>29</v>
      </c>
      <c r="W129" s="11" t="s">
        <v>153</v>
      </c>
      <c r="X129" s="3" t="s">
        <v>153</v>
      </c>
      <c r="Y129" s="77" t="s">
        <v>48</v>
      </c>
      <c r="Z129" s="84" t="s">
        <v>999</v>
      </c>
      <c r="AA129" s="89" t="s">
        <v>28</v>
      </c>
      <c r="AB129" s="90" t="str">
        <f>HYPERLINK(CONCATENATE("https://www.ejacket.nsf.gov/ej/showProposal.do?ID=",SUBSTITUTE(SplitQueryTableRecent[[#This Row],[prop_id]],CHAR(160),"")),"eJ")</f>
        <v>eJ</v>
      </c>
      <c r="AC129" s="89" t="s">
        <v>999</v>
      </c>
      <c r="AD129" s="3" t="s">
        <v>999</v>
      </c>
      <c r="AE129" s="91">
        <v>2017</v>
      </c>
      <c r="AF129" s="13" t="s">
        <v>43</v>
      </c>
      <c r="AG129" s="13">
        <v>375000</v>
      </c>
      <c r="AH129" s="45">
        <v>1000000</v>
      </c>
      <c r="AI129" s="44" t="s">
        <v>1002</v>
      </c>
      <c r="AJ129" s="2" t="s">
        <v>1003</v>
      </c>
      <c r="AK129" s="46" t="s">
        <v>160</v>
      </c>
      <c r="AL129" s="55" t="s">
        <v>1001</v>
      </c>
      <c r="AM129" s="45" t="s">
        <v>1001</v>
      </c>
      <c r="AN129" s="56" t="s">
        <v>152</v>
      </c>
      <c r="AO129" s="23" t="s">
        <v>146</v>
      </c>
      <c r="AP129" s="11"/>
      <c r="AQ129" s="88" t="s">
        <v>1000</v>
      </c>
      <c r="AR129" s="57" t="s">
        <v>193</v>
      </c>
      <c r="AS129" s="46">
        <v>42900.574456018519</v>
      </c>
      <c r="AT129" s="3">
        <f t="shared" si="1"/>
        <v>101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42992.404930555553</v>
      </c>
      <c r="I130" s="43">
        <v>41653.688194444447</v>
      </c>
      <c r="J130" s="42">
        <v>41810.518206018518</v>
      </c>
      <c r="K130" s="81" t="s">
        <v>49</v>
      </c>
      <c r="L130" t="s">
        <v>49</v>
      </c>
      <c r="M130" t="s">
        <v>336</v>
      </c>
      <c r="N130" s="1" t="s">
        <v>336</v>
      </c>
      <c r="O130" s="1" t="s">
        <v>245</v>
      </c>
      <c r="P130" t="s">
        <v>245</v>
      </c>
      <c r="Q130" s="9" t="s">
        <v>45</v>
      </c>
      <c r="R130" s="82" t="s">
        <v>45</v>
      </c>
      <c r="S130" s="44" t="s">
        <v>173</v>
      </c>
      <c r="T130" s="3" t="s">
        <v>61</v>
      </c>
      <c r="U130" s="2" t="s">
        <v>29</v>
      </c>
      <c r="V130" s="3" t="s">
        <v>29</v>
      </c>
      <c r="W130" s="11" t="s">
        <v>153</v>
      </c>
      <c r="X130" s="3" t="s">
        <v>153</v>
      </c>
      <c r="Y130" s="77" t="s">
        <v>48</v>
      </c>
      <c r="Z130" s="84" t="s">
        <v>1004</v>
      </c>
      <c r="AA130" s="89" t="s">
        <v>28</v>
      </c>
      <c r="AB130" s="90" t="str">
        <f>HYPERLINK(CONCATENATE("https://www.ejacket.nsf.gov/ej/showProposal.do?ID=",SUBSTITUTE(SplitQueryTableRecent[[#This Row],[prop_id]],CHAR(160),"")),"eJ")</f>
        <v>eJ</v>
      </c>
      <c r="AC130" s="89" t="s">
        <v>1004</v>
      </c>
      <c r="AD130" s="3" t="s">
        <v>1004</v>
      </c>
      <c r="AE130" s="91">
        <v>2014</v>
      </c>
      <c r="AF130" s="13" t="s">
        <v>43</v>
      </c>
      <c r="AG130" s="13">
        <v>499771</v>
      </c>
      <c r="AH130" s="45">
        <v>499771</v>
      </c>
      <c r="AI130" s="44" t="s">
        <v>232</v>
      </c>
      <c r="AJ130" s="2" t="s">
        <v>1006</v>
      </c>
      <c r="AK130" s="46" t="s">
        <v>292</v>
      </c>
      <c r="AL130" s="55" t="s">
        <v>369</v>
      </c>
      <c r="AM130" s="45" t="s">
        <v>369</v>
      </c>
      <c r="AN130" s="56" t="s">
        <v>152</v>
      </c>
      <c r="AO130" s="23" t="s">
        <v>146</v>
      </c>
      <c r="AP130" s="11"/>
      <c r="AQ130" s="88" t="s">
        <v>1005</v>
      </c>
      <c r="AR130" s="57" t="s">
        <v>164</v>
      </c>
      <c r="AS130" s="46">
        <v>41830.319398148145</v>
      </c>
      <c r="AT130" s="3">
        <f t="shared" si="1"/>
        <v>102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42992.404930555553</v>
      </c>
      <c r="I131" s="43">
        <v>42690.7</v>
      </c>
      <c r="J131" s="42">
        <v>42933.705324074072</v>
      </c>
      <c r="K131" s="81" t="s">
        <v>49</v>
      </c>
      <c r="L131" t="s">
        <v>49</v>
      </c>
      <c r="M131" t="s">
        <v>336</v>
      </c>
      <c r="N131" s="1" t="s">
        <v>336</v>
      </c>
      <c r="O131" s="1" t="s">
        <v>337</v>
      </c>
      <c r="P131" t="s">
        <v>337</v>
      </c>
      <c r="Q131" s="9" t="s">
        <v>45</v>
      </c>
      <c r="R131" s="82" t="s">
        <v>45</v>
      </c>
      <c r="S131" s="44" t="s">
        <v>192</v>
      </c>
      <c r="T131" s="3" t="s">
        <v>61</v>
      </c>
      <c r="U131" s="2" t="s">
        <v>29</v>
      </c>
      <c r="V131" s="3" t="s">
        <v>29</v>
      </c>
      <c r="W131" s="11" t="s">
        <v>153</v>
      </c>
      <c r="X131" s="3" t="s">
        <v>153</v>
      </c>
      <c r="Y131" s="77" t="s">
        <v>48</v>
      </c>
      <c r="Z131" s="84" t="s">
        <v>1010</v>
      </c>
      <c r="AA131" s="89" t="s">
        <v>28</v>
      </c>
      <c r="AB131" s="90" t="str">
        <f>HYPERLINK(CONCATENATE("https://www.ejacket.nsf.gov/ej/showProposal.do?ID=",SUBSTITUTE(SplitQueryTableRecent[[#This Row],[prop_id]],CHAR(160),"")),"eJ")</f>
        <v>eJ</v>
      </c>
      <c r="AC131" s="89" t="s">
        <v>1010</v>
      </c>
      <c r="AD131" s="3" t="s">
        <v>1010</v>
      </c>
      <c r="AE131" s="91">
        <v>2017</v>
      </c>
      <c r="AF131" s="13" t="s">
        <v>43</v>
      </c>
      <c r="AG131" s="13">
        <v>499703</v>
      </c>
      <c r="AH131" s="45">
        <v>499703</v>
      </c>
      <c r="AI131" s="44" t="s">
        <v>1009</v>
      </c>
      <c r="AJ131" s="2" t="s">
        <v>501</v>
      </c>
      <c r="AK131" s="46" t="s">
        <v>1724</v>
      </c>
      <c r="AL131" s="55" t="s">
        <v>584</v>
      </c>
      <c r="AM131" s="45" t="s">
        <v>584</v>
      </c>
      <c r="AN131" s="56" t="s">
        <v>152</v>
      </c>
      <c r="AO131" s="23" t="s">
        <v>146</v>
      </c>
      <c r="AP131" s="11"/>
      <c r="AQ131" s="88" t="s">
        <v>1011</v>
      </c>
      <c r="AR131" s="57" t="s">
        <v>188</v>
      </c>
      <c r="AS131" s="46">
        <v>42978.641840277778</v>
      </c>
      <c r="AT131" s="3">
        <f t="shared" si="1"/>
        <v>103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42992.404930555553</v>
      </c>
      <c r="I132" s="43">
        <v>41653.817361111112</v>
      </c>
      <c r="J132" s="42">
        <v>41834.669270833336</v>
      </c>
      <c r="K132" s="81" t="s">
        <v>49</v>
      </c>
      <c r="L132" t="s">
        <v>49</v>
      </c>
      <c r="M132" t="s">
        <v>336</v>
      </c>
      <c r="N132" s="1" t="s">
        <v>336</v>
      </c>
      <c r="O132" s="1" t="s">
        <v>245</v>
      </c>
      <c r="P132" t="s">
        <v>245</v>
      </c>
      <c r="Q132" s="9" t="s">
        <v>45</v>
      </c>
      <c r="R132" s="82" t="s">
        <v>45</v>
      </c>
      <c r="S132" s="44" t="s">
        <v>173</v>
      </c>
      <c r="T132" s="3" t="s">
        <v>61</v>
      </c>
      <c r="U132" s="2" t="s">
        <v>29</v>
      </c>
      <c r="V132" s="3" t="s">
        <v>29</v>
      </c>
      <c r="W132" s="11" t="s">
        <v>153</v>
      </c>
      <c r="X132" s="3" t="s">
        <v>153</v>
      </c>
      <c r="Y132" s="77" t="s">
        <v>48</v>
      </c>
      <c r="Z132" s="84" t="s">
        <v>1012</v>
      </c>
      <c r="AA132" s="89" t="s">
        <v>28</v>
      </c>
      <c r="AB132" s="90" t="str">
        <f>HYPERLINK(CONCATENATE("https://www.ejacket.nsf.gov/ej/showProposal.do?ID=",SUBSTITUTE(SplitQueryTableRecent[[#This Row],[prop_id]],CHAR(160),"")),"eJ")</f>
        <v>eJ</v>
      </c>
      <c r="AC132" s="89" t="s">
        <v>1012</v>
      </c>
      <c r="AD132" s="3" t="s">
        <v>1012</v>
      </c>
      <c r="AE132" s="91">
        <v>2014</v>
      </c>
      <c r="AF132" s="13" t="s">
        <v>43</v>
      </c>
      <c r="AG132" s="13">
        <v>500000</v>
      </c>
      <c r="AH132" s="45">
        <v>500000</v>
      </c>
      <c r="AI132" s="44" t="s">
        <v>1014</v>
      </c>
      <c r="AJ132" s="2" t="s">
        <v>1015</v>
      </c>
      <c r="AK132" s="46" t="s">
        <v>1706</v>
      </c>
      <c r="AL132" s="55" t="s">
        <v>369</v>
      </c>
      <c r="AM132" s="45" t="s">
        <v>369</v>
      </c>
      <c r="AN132" s="56" t="s">
        <v>152</v>
      </c>
      <c r="AO132" s="23" t="s">
        <v>146</v>
      </c>
      <c r="AP132" s="11"/>
      <c r="AQ132" s="88" t="s">
        <v>1013</v>
      </c>
      <c r="AR132" s="57" t="s">
        <v>164</v>
      </c>
      <c r="AS132" s="46">
        <v>41848.339270833334</v>
      </c>
      <c r="AT132" s="3">
        <f t="shared" si="1"/>
        <v>104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42992.404930555553</v>
      </c>
      <c r="I133" s="43">
        <v>42690.614583333336</v>
      </c>
      <c r="J133" s="42">
        <v>42902.692430555559</v>
      </c>
      <c r="K133" s="81" t="s">
        <v>49</v>
      </c>
      <c r="L133" t="s">
        <v>49</v>
      </c>
      <c r="M133" t="s">
        <v>336</v>
      </c>
      <c r="N133" s="1" t="s">
        <v>336</v>
      </c>
      <c r="O133" s="1" t="s">
        <v>230</v>
      </c>
      <c r="P133" t="s">
        <v>230</v>
      </c>
      <c r="Q133" s="9" t="s">
        <v>45</v>
      </c>
      <c r="R133" s="82" t="s">
        <v>45</v>
      </c>
      <c r="S133" s="44" t="s">
        <v>192</v>
      </c>
      <c r="T133" s="3" t="s">
        <v>61</v>
      </c>
      <c r="U133" s="2" t="s">
        <v>29</v>
      </c>
      <c r="V133" s="3" t="s">
        <v>29</v>
      </c>
      <c r="W133" s="11" t="s">
        <v>153</v>
      </c>
      <c r="X133" s="3" t="s">
        <v>153</v>
      </c>
      <c r="Y133" s="77" t="s">
        <v>48</v>
      </c>
      <c r="Z133" s="84" t="s">
        <v>1018</v>
      </c>
      <c r="AA133" s="89" t="s">
        <v>28</v>
      </c>
      <c r="AB133" s="90" t="str">
        <f>HYPERLINK(CONCATENATE("https://www.ejacket.nsf.gov/ej/showProposal.do?ID=",SUBSTITUTE(SplitQueryTableRecent[[#This Row],[prop_id]],CHAR(160),"")),"eJ")</f>
        <v>eJ</v>
      </c>
      <c r="AC133" s="89" t="s">
        <v>1018</v>
      </c>
      <c r="AD133" s="3" t="s">
        <v>1018</v>
      </c>
      <c r="AE133" s="91">
        <v>2017</v>
      </c>
      <c r="AF133" s="13" t="s">
        <v>43</v>
      </c>
      <c r="AG133" s="13">
        <v>500000</v>
      </c>
      <c r="AH133" s="45">
        <v>500000</v>
      </c>
      <c r="AI133" s="44" t="s">
        <v>1014</v>
      </c>
      <c r="AJ133" s="2" t="s">
        <v>1015</v>
      </c>
      <c r="AK133" s="46" t="s">
        <v>1706</v>
      </c>
      <c r="AL133" s="55" t="s">
        <v>369</v>
      </c>
      <c r="AM133" s="45" t="s">
        <v>369</v>
      </c>
      <c r="AN133" s="56" t="s">
        <v>152</v>
      </c>
      <c r="AO133" s="23" t="s">
        <v>146</v>
      </c>
      <c r="AP133" s="11"/>
      <c r="AQ133" s="88" t="s">
        <v>1019</v>
      </c>
      <c r="AR133" s="57" t="s">
        <v>188</v>
      </c>
      <c r="AS133" s="46">
        <v>42908.686481481483</v>
      </c>
      <c r="AT133" s="3">
        <f t="shared" si="1"/>
        <v>105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42992.404930555553</v>
      </c>
      <c r="I134" s="43">
        <v>42690.690972222219</v>
      </c>
      <c r="J134" s="42">
        <v>42916.508402777778</v>
      </c>
      <c r="K134" s="81" t="s">
        <v>49</v>
      </c>
      <c r="L134" t="s">
        <v>49</v>
      </c>
      <c r="M134" t="s">
        <v>336</v>
      </c>
      <c r="N134" s="1" t="s">
        <v>336</v>
      </c>
      <c r="O134" s="1" t="s">
        <v>245</v>
      </c>
      <c r="P134" t="s">
        <v>245</v>
      </c>
      <c r="Q134" s="9" t="s">
        <v>45</v>
      </c>
      <c r="R134" s="82" t="s">
        <v>45</v>
      </c>
      <c r="S134" s="44" t="s">
        <v>192</v>
      </c>
      <c r="T134" s="3" t="s">
        <v>61</v>
      </c>
      <c r="U134" s="2" t="s">
        <v>29</v>
      </c>
      <c r="V134" s="3" t="s">
        <v>29</v>
      </c>
      <c r="W134" s="11" t="s">
        <v>153</v>
      </c>
      <c r="X134" s="3" t="s">
        <v>153</v>
      </c>
      <c r="Y134" s="77" t="s">
        <v>48</v>
      </c>
      <c r="Z134" s="84" t="s">
        <v>1021</v>
      </c>
      <c r="AA134" s="89" t="s">
        <v>62</v>
      </c>
      <c r="AB134" s="90" t="str">
        <f>HYPERLINK(CONCATENATE("https://www.ejacket.nsf.gov/ej/showProposal.do?ID=",SUBSTITUTE(SplitQueryTableRecent[[#This Row],[prop_id]],CHAR(160),"")),"eJ")</f>
        <v>eJ</v>
      </c>
      <c r="AC134" s="89" t="s">
        <v>1020</v>
      </c>
      <c r="AD134" s="3" t="s">
        <v>1020</v>
      </c>
      <c r="AE134" s="91">
        <v>2017</v>
      </c>
      <c r="AF134" s="13" t="s">
        <v>43</v>
      </c>
      <c r="AG134" s="13">
        <v>190000</v>
      </c>
      <c r="AH134" s="45">
        <v>190000</v>
      </c>
      <c r="AI134" s="44" t="s">
        <v>1023</v>
      </c>
      <c r="AJ134" s="2" t="s">
        <v>171</v>
      </c>
      <c r="AK134" s="46" t="s">
        <v>1722</v>
      </c>
      <c r="AL134" s="55" t="s">
        <v>731</v>
      </c>
      <c r="AM134" s="45" t="s">
        <v>369</v>
      </c>
      <c r="AN134" s="56" t="s">
        <v>152</v>
      </c>
      <c r="AO134" s="23" t="s">
        <v>146</v>
      </c>
      <c r="AP134" s="11"/>
      <c r="AQ134" s="88" t="s">
        <v>1022</v>
      </c>
      <c r="AR134" s="57" t="s">
        <v>188</v>
      </c>
      <c r="AS134" s="46">
        <v>42934.467511574076</v>
      </c>
      <c r="AT134" s="3">
        <f t="shared" si="1"/>
        <v>106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42992.404930555553</v>
      </c>
      <c r="I135" s="43">
        <v>42018.69027777778</v>
      </c>
      <c r="J135" s="42">
        <v>42167.579988425925</v>
      </c>
      <c r="K135" s="81" t="s">
        <v>49</v>
      </c>
      <c r="L135" t="s">
        <v>49</v>
      </c>
      <c r="M135" t="s">
        <v>336</v>
      </c>
      <c r="N135" s="1" t="s">
        <v>336</v>
      </c>
      <c r="O135" s="1" t="s">
        <v>337</v>
      </c>
      <c r="P135" t="s">
        <v>337</v>
      </c>
      <c r="Q135" s="9" t="s">
        <v>45</v>
      </c>
      <c r="R135" s="82" t="s">
        <v>45</v>
      </c>
      <c r="S135" s="44" t="s">
        <v>184</v>
      </c>
      <c r="T135" s="3" t="s">
        <v>61</v>
      </c>
      <c r="U135" s="2" t="s">
        <v>29</v>
      </c>
      <c r="V135" s="3" t="s">
        <v>29</v>
      </c>
      <c r="W135" s="11" t="s">
        <v>153</v>
      </c>
      <c r="X135" s="3" t="s">
        <v>153</v>
      </c>
      <c r="Y135" s="77" t="s">
        <v>48</v>
      </c>
      <c r="Z135" s="84" t="s">
        <v>1024</v>
      </c>
      <c r="AA135" s="89" t="s">
        <v>28</v>
      </c>
      <c r="AB135" s="90" t="str">
        <f>HYPERLINK(CONCATENATE("https://www.ejacket.nsf.gov/ej/showProposal.do?ID=",SUBSTITUTE(SplitQueryTableRecent[[#This Row],[prop_id]],CHAR(160),"")),"eJ")</f>
        <v>eJ</v>
      </c>
      <c r="AC135" s="89" t="s">
        <v>1024</v>
      </c>
      <c r="AD135" s="3" t="s">
        <v>1024</v>
      </c>
      <c r="AE135" s="91">
        <v>2015</v>
      </c>
      <c r="AF135" s="13" t="s">
        <v>43</v>
      </c>
      <c r="AG135" s="13">
        <v>500000</v>
      </c>
      <c r="AH135" s="45">
        <v>500000</v>
      </c>
      <c r="AI135" s="44" t="s">
        <v>1026</v>
      </c>
      <c r="AJ135" s="2" t="s">
        <v>605</v>
      </c>
      <c r="AK135" s="46" t="s">
        <v>1735</v>
      </c>
      <c r="AL135" s="55" t="s">
        <v>584</v>
      </c>
      <c r="AM135" s="45" t="s">
        <v>584</v>
      </c>
      <c r="AN135" s="56" t="s">
        <v>152</v>
      </c>
      <c r="AO135" s="23" t="s">
        <v>146</v>
      </c>
      <c r="AP135" s="11"/>
      <c r="AQ135" s="88" t="s">
        <v>1025</v>
      </c>
      <c r="AR135" s="57" t="s">
        <v>164</v>
      </c>
      <c r="AS135" s="46">
        <v>42194.297175925924</v>
      </c>
      <c r="AT135" s="3">
        <f t="shared" si="1"/>
        <v>107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42992.404930555553</v>
      </c>
      <c r="I136" s="43">
        <v>42018.609722222223</v>
      </c>
      <c r="J136" s="42">
        <v>42213.679699074077</v>
      </c>
      <c r="K136" s="81" t="s">
        <v>49</v>
      </c>
      <c r="L136" t="s">
        <v>49</v>
      </c>
      <c r="M136" t="s">
        <v>336</v>
      </c>
      <c r="N136" s="1" t="s">
        <v>336</v>
      </c>
      <c r="O136" s="1" t="s">
        <v>337</v>
      </c>
      <c r="P136" t="s">
        <v>337</v>
      </c>
      <c r="Q136" s="9" t="s">
        <v>45</v>
      </c>
      <c r="R136" s="82" t="s">
        <v>45</v>
      </c>
      <c r="S136" s="44" t="s">
        <v>184</v>
      </c>
      <c r="T136" s="3" t="s">
        <v>61</v>
      </c>
      <c r="U136" s="2" t="s">
        <v>29</v>
      </c>
      <c r="V136" s="3" t="s">
        <v>29</v>
      </c>
      <c r="W136" s="11" t="s">
        <v>153</v>
      </c>
      <c r="X136" s="3" t="s">
        <v>153</v>
      </c>
      <c r="Y136" s="77" t="s">
        <v>48</v>
      </c>
      <c r="Z136" s="84" t="s">
        <v>1027</v>
      </c>
      <c r="AA136" s="89" t="s">
        <v>28</v>
      </c>
      <c r="AB136" s="90" t="str">
        <f>HYPERLINK(CONCATENATE("https://www.ejacket.nsf.gov/ej/showProposal.do?ID=",SUBSTITUTE(SplitQueryTableRecent[[#This Row],[prop_id]],CHAR(160),"")),"eJ")</f>
        <v>eJ</v>
      </c>
      <c r="AC136" s="89" t="s">
        <v>1027</v>
      </c>
      <c r="AD136" s="3" t="s">
        <v>1027</v>
      </c>
      <c r="AE136" s="91">
        <v>2015</v>
      </c>
      <c r="AF136" s="13" t="s">
        <v>43</v>
      </c>
      <c r="AG136" s="13">
        <v>426385</v>
      </c>
      <c r="AH136" s="45">
        <v>490000</v>
      </c>
      <c r="AI136" s="44" t="s">
        <v>1029</v>
      </c>
      <c r="AJ136" s="2" t="s">
        <v>1030</v>
      </c>
      <c r="AK136" s="46" t="s">
        <v>392</v>
      </c>
      <c r="AL136" s="55" t="s">
        <v>577</v>
      </c>
      <c r="AM136" s="45" t="s">
        <v>584</v>
      </c>
      <c r="AN136" s="56" t="s">
        <v>152</v>
      </c>
      <c r="AO136" s="23" t="s">
        <v>146</v>
      </c>
      <c r="AP136" s="11"/>
      <c r="AQ136" s="88" t="s">
        <v>1028</v>
      </c>
      <c r="AR136" s="57" t="s">
        <v>164</v>
      </c>
      <c r="AS136" s="46">
        <v>42250.339629629627</v>
      </c>
      <c r="AT136" s="3">
        <f t="shared" si="1"/>
        <v>108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42992.404930555553</v>
      </c>
      <c r="I137" s="43">
        <v>42018.609722222223</v>
      </c>
      <c r="J137" s="42">
        <v>42213.679699074077</v>
      </c>
      <c r="K137" s="81" t="s">
        <v>49</v>
      </c>
      <c r="L137" t="s">
        <v>49</v>
      </c>
      <c r="M137" t="s">
        <v>336</v>
      </c>
      <c r="N137" s="1" t="s">
        <v>336</v>
      </c>
      <c r="O137" s="1" t="s">
        <v>337</v>
      </c>
      <c r="P137" t="s">
        <v>337</v>
      </c>
      <c r="Q137" s="9" t="s">
        <v>45</v>
      </c>
      <c r="R137" s="82" t="s">
        <v>45</v>
      </c>
      <c r="S137" s="44" t="s">
        <v>184</v>
      </c>
      <c r="T137" s="3" t="s">
        <v>61</v>
      </c>
      <c r="U137" s="2" t="s">
        <v>29</v>
      </c>
      <c r="V137" s="3" t="s">
        <v>29</v>
      </c>
      <c r="W137" s="11" t="s">
        <v>153</v>
      </c>
      <c r="X137" s="3" t="s">
        <v>153</v>
      </c>
      <c r="Y137" s="77" t="s">
        <v>48</v>
      </c>
      <c r="Z137" s="84" t="s">
        <v>1027</v>
      </c>
      <c r="AA137" s="89" t="s">
        <v>28</v>
      </c>
      <c r="AB137" s="90" t="str">
        <f>HYPERLINK(CONCATENATE("https://www.ejacket.nsf.gov/ej/showProposal.do?ID=",SUBSTITUTE(SplitQueryTableRecent[[#This Row],[prop_id]],CHAR(160),"")),"eJ")</f>
        <v>eJ</v>
      </c>
      <c r="AC137" s="89" t="s">
        <v>1027</v>
      </c>
      <c r="AD137" s="3" t="s">
        <v>1027</v>
      </c>
      <c r="AE137" s="91">
        <v>2015</v>
      </c>
      <c r="AF137" s="13" t="s">
        <v>44</v>
      </c>
      <c r="AG137" s="13">
        <v>16000</v>
      </c>
      <c r="AH137" s="45">
        <v>490000</v>
      </c>
      <c r="AI137" s="44" t="s">
        <v>1029</v>
      </c>
      <c r="AJ137" s="2" t="s">
        <v>1030</v>
      </c>
      <c r="AK137" s="46" t="s">
        <v>392</v>
      </c>
      <c r="AL137" s="55" t="s">
        <v>577</v>
      </c>
      <c r="AM137" s="45" t="s">
        <v>1031</v>
      </c>
      <c r="AN137" s="56" t="s">
        <v>152</v>
      </c>
      <c r="AO137" s="23" t="s">
        <v>146</v>
      </c>
      <c r="AP137" s="11"/>
      <c r="AQ137" s="88" t="s">
        <v>1028</v>
      </c>
      <c r="AR137" s="57" t="s">
        <v>164</v>
      </c>
      <c r="AS137" s="46">
        <v>42250.339629629627</v>
      </c>
      <c r="AT137" s="3">
        <f t="shared" si="1"/>
        <v>108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42992.404930555553</v>
      </c>
      <c r="I138" s="43">
        <v>42326.643750000003</v>
      </c>
      <c r="J138" s="42">
        <v>42508.631736111114</v>
      </c>
      <c r="K138" s="81" t="s">
        <v>49</v>
      </c>
      <c r="L138" t="s">
        <v>49</v>
      </c>
      <c r="M138" t="s">
        <v>336</v>
      </c>
      <c r="N138" s="1" t="s">
        <v>336</v>
      </c>
      <c r="O138" s="1" t="s">
        <v>230</v>
      </c>
      <c r="P138" t="s">
        <v>230</v>
      </c>
      <c r="Q138" s="9" t="s">
        <v>45</v>
      </c>
      <c r="R138" s="82" t="s">
        <v>45</v>
      </c>
      <c r="S138" s="44" t="s">
        <v>196</v>
      </c>
      <c r="T138" s="3" t="s">
        <v>61</v>
      </c>
      <c r="U138" s="2" t="s">
        <v>29</v>
      </c>
      <c r="V138" s="3" t="s">
        <v>29</v>
      </c>
      <c r="W138" s="11" t="s">
        <v>153</v>
      </c>
      <c r="X138" s="3" t="s">
        <v>153</v>
      </c>
      <c r="Y138" s="77" t="s">
        <v>48</v>
      </c>
      <c r="Z138" s="84" t="s">
        <v>1033</v>
      </c>
      <c r="AA138" s="89" t="s">
        <v>28</v>
      </c>
      <c r="AB138" s="90" t="str">
        <f>HYPERLINK(CONCATENATE("https://www.ejacket.nsf.gov/ej/showProposal.do?ID=",SUBSTITUTE(SplitQueryTableRecent[[#This Row],[prop_id]],CHAR(160),"")),"eJ")</f>
        <v>eJ</v>
      </c>
      <c r="AC138" s="89" t="s">
        <v>1033</v>
      </c>
      <c r="AD138" s="3" t="s">
        <v>1033</v>
      </c>
      <c r="AE138" s="91">
        <v>2016</v>
      </c>
      <c r="AF138" s="13" t="s">
        <v>43</v>
      </c>
      <c r="AG138" s="13">
        <v>442320</v>
      </c>
      <c r="AH138" s="45">
        <v>442320</v>
      </c>
      <c r="AI138" s="44" t="s">
        <v>1035</v>
      </c>
      <c r="AJ138" s="2" t="s">
        <v>1036</v>
      </c>
      <c r="AK138" s="46" t="s">
        <v>417</v>
      </c>
      <c r="AL138" s="55" t="s">
        <v>369</v>
      </c>
      <c r="AM138" s="45" t="s">
        <v>369</v>
      </c>
      <c r="AN138" s="56" t="s">
        <v>152</v>
      </c>
      <c r="AO138" s="23" t="s">
        <v>146</v>
      </c>
      <c r="AP138" s="11"/>
      <c r="AQ138" s="88" t="s">
        <v>1034</v>
      </c>
      <c r="AR138" s="57" t="s">
        <v>164</v>
      </c>
      <c r="AS138" s="46">
        <v>42548.363912037035</v>
      </c>
      <c r="AT138" s="3">
        <f t="shared" si="1"/>
        <v>109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42992.404930555553</v>
      </c>
      <c r="I139" s="43">
        <v>42690.711111111108</v>
      </c>
      <c r="J139" s="42">
        <v>42916.505474537036</v>
      </c>
      <c r="K139" s="81" t="s">
        <v>49</v>
      </c>
      <c r="L139" t="s">
        <v>49</v>
      </c>
      <c r="M139" t="s">
        <v>336</v>
      </c>
      <c r="N139" s="1" t="s">
        <v>336</v>
      </c>
      <c r="O139" s="1" t="s">
        <v>245</v>
      </c>
      <c r="P139" t="s">
        <v>245</v>
      </c>
      <c r="Q139" s="9" t="s">
        <v>45</v>
      </c>
      <c r="R139" s="82" t="s">
        <v>45</v>
      </c>
      <c r="S139" s="44" t="s">
        <v>192</v>
      </c>
      <c r="T139" s="3" t="s">
        <v>61</v>
      </c>
      <c r="U139" s="2" t="s">
        <v>29</v>
      </c>
      <c r="V139" s="3" t="s">
        <v>29</v>
      </c>
      <c r="W139" s="11" t="s">
        <v>153</v>
      </c>
      <c r="X139" s="3" t="s">
        <v>153</v>
      </c>
      <c r="Y139" s="77" t="s">
        <v>48</v>
      </c>
      <c r="Z139" s="84" t="s">
        <v>734</v>
      </c>
      <c r="AA139" s="89" t="s">
        <v>174</v>
      </c>
      <c r="AB139" s="90" t="str">
        <f>HYPERLINK(CONCATENATE("https://www.ejacket.nsf.gov/ej/showProposal.do?ID=",SUBSTITUTE(SplitQueryTableRecent[[#This Row],[prop_id]],CHAR(160),"")),"eJ")</f>
        <v>eJ</v>
      </c>
      <c r="AC139" s="89" t="s">
        <v>734</v>
      </c>
      <c r="AD139" s="3" t="s">
        <v>734</v>
      </c>
      <c r="AE139" s="91">
        <v>2017</v>
      </c>
      <c r="AF139" s="13" t="s">
        <v>43</v>
      </c>
      <c r="AG139" s="13">
        <v>299999</v>
      </c>
      <c r="AH139" s="45">
        <v>333334</v>
      </c>
      <c r="AI139" s="44" t="s">
        <v>243</v>
      </c>
      <c r="AJ139" s="2" t="s">
        <v>1037</v>
      </c>
      <c r="AK139" s="46" t="s">
        <v>1722</v>
      </c>
      <c r="AL139" s="55" t="s">
        <v>369</v>
      </c>
      <c r="AM139" s="45" t="s">
        <v>369</v>
      </c>
      <c r="AN139" s="56" t="s">
        <v>152</v>
      </c>
      <c r="AO139" s="23" t="s">
        <v>146</v>
      </c>
      <c r="AP139" s="11"/>
      <c r="AQ139" s="88" t="s">
        <v>735</v>
      </c>
      <c r="AR139" s="57" t="s">
        <v>188</v>
      </c>
      <c r="AS139" s="46">
        <v>42933.692118055558</v>
      </c>
      <c r="AT139" s="3">
        <f t="shared" si="1"/>
        <v>110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42992.404930555553</v>
      </c>
      <c r="I140" s="43">
        <v>42012.566666666666</v>
      </c>
      <c r="J140" s="42">
        <v>42177.660717592589</v>
      </c>
      <c r="K140" s="81" t="s">
        <v>49</v>
      </c>
      <c r="L140" t="s">
        <v>49</v>
      </c>
      <c r="M140" t="s">
        <v>336</v>
      </c>
      <c r="N140" s="1" t="s">
        <v>336</v>
      </c>
      <c r="O140" s="1" t="s">
        <v>337</v>
      </c>
      <c r="P140" t="s">
        <v>337</v>
      </c>
      <c r="Q140" s="9" t="s">
        <v>45</v>
      </c>
      <c r="R140" s="82" t="s">
        <v>45</v>
      </c>
      <c r="S140" s="44" t="s">
        <v>184</v>
      </c>
      <c r="T140" s="3" t="s">
        <v>61</v>
      </c>
      <c r="U140" s="2" t="s">
        <v>29</v>
      </c>
      <c r="V140" s="3" t="s">
        <v>29</v>
      </c>
      <c r="W140" s="11" t="s">
        <v>153</v>
      </c>
      <c r="X140" s="3" t="s">
        <v>153</v>
      </c>
      <c r="Y140" s="77" t="s">
        <v>48</v>
      </c>
      <c r="Z140" s="84" t="s">
        <v>1040</v>
      </c>
      <c r="AA140" s="89" t="s">
        <v>28</v>
      </c>
      <c r="AB140" s="90" t="str">
        <f>HYPERLINK(CONCATENATE("https://www.ejacket.nsf.gov/ej/showProposal.do?ID=",SUBSTITUTE(SplitQueryTableRecent[[#This Row],[prop_id]],CHAR(160),"")),"eJ")</f>
        <v>eJ</v>
      </c>
      <c r="AC140" s="89" t="s">
        <v>1040</v>
      </c>
      <c r="AD140" s="3" t="s">
        <v>1040</v>
      </c>
      <c r="AE140" s="91">
        <v>2015</v>
      </c>
      <c r="AF140" s="13" t="s">
        <v>43</v>
      </c>
      <c r="AG140" s="13">
        <v>460111</v>
      </c>
      <c r="AH140" s="45">
        <v>493637</v>
      </c>
      <c r="AI140" s="44" t="s">
        <v>1043</v>
      </c>
      <c r="AJ140" s="2" t="s">
        <v>1044</v>
      </c>
      <c r="AK140" s="46" t="s">
        <v>1724</v>
      </c>
      <c r="AL140" s="55" t="s">
        <v>725</v>
      </c>
      <c r="AM140" s="45" t="s">
        <v>1042</v>
      </c>
      <c r="AN140" s="56" t="s">
        <v>152</v>
      </c>
      <c r="AO140" s="23" t="s">
        <v>146</v>
      </c>
      <c r="AP140" s="11"/>
      <c r="AQ140" s="88" t="s">
        <v>1041</v>
      </c>
      <c r="AR140" s="57" t="s">
        <v>164</v>
      </c>
      <c r="AS140" s="46">
        <v>42215.350023148145</v>
      </c>
      <c r="AT140" s="3">
        <f t="shared" si="1"/>
        <v>111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42992.404930555553</v>
      </c>
      <c r="I141" s="43">
        <v>41653.685416666667</v>
      </c>
      <c r="J141" s="42">
        <v>41810.514456018522</v>
      </c>
      <c r="K141" s="81" t="s">
        <v>49</v>
      </c>
      <c r="L141" t="s">
        <v>49</v>
      </c>
      <c r="M141" t="s">
        <v>336</v>
      </c>
      <c r="N141" s="1" t="s">
        <v>336</v>
      </c>
      <c r="O141" s="1" t="s">
        <v>245</v>
      </c>
      <c r="P141" t="s">
        <v>245</v>
      </c>
      <c r="Q141" s="9" t="s">
        <v>45</v>
      </c>
      <c r="R141" s="82" t="s">
        <v>45</v>
      </c>
      <c r="S141" s="44" t="s">
        <v>173</v>
      </c>
      <c r="T141" s="3" t="s">
        <v>61</v>
      </c>
      <c r="U141" s="2" t="s">
        <v>29</v>
      </c>
      <c r="V141" s="3" t="s">
        <v>29</v>
      </c>
      <c r="W141" s="11" t="s">
        <v>153</v>
      </c>
      <c r="X141" s="3" t="s">
        <v>153</v>
      </c>
      <c r="Y141" s="77" t="s">
        <v>48</v>
      </c>
      <c r="Z141" s="84" t="s">
        <v>1045</v>
      </c>
      <c r="AA141" s="89" t="s">
        <v>28</v>
      </c>
      <c r="AB141" s="90" t="str">
        <f>HYPERLINK(CONCATENATE("https://www.ejacket.nsf.gov/ej/showProposal.do?ID=",SUBSTITUTE(SplitQueryTableRecent[[#This Row],[prop_id]],CHAR(160),"")),"eJ")</f>
        <v>eJ</v>
      </c>
      <c r="AC141" s="89" t="s">
        <v>1045</v>
      </c>
      <c r="AD141" s="3" t="s">
        <v>1045</v>
      </c>
      <c r="AE141" s="91">
        <v>2014</v>
      </c>
      <c r="AF141" s="13" t="s">
        <v>43</v>
      </c>
      <c r="AG141" s="13">
        <v>493142</v>
      </c>
      <c r="AH141" s="45">
        <v>494214</v>
      </c>
      <c r="AI141" s="44" t="s">
        <v>237</v>
      </c>
      <c r="AJ141" s="2" t="s">
        <v>1047</v>
      </c>
      <c r="AK141" s="46" t="s">
        <v>246</v>
      </c>
      <c r="AL141" s="55" t="s">
        <v>369</v>
      </c>
      <c r="AM141" s="45" t="s">
        <v>369</v>
      </c>
      <c r="AN141" s="56" t="s">
        <v>152</v>
      </c>
      <c r="AO141" s="23" t="s">
        <v>146</v>
      </c>
      <c r="AP141" s="11"/>
      <c r="AQ141" s="88" t="s">
        <v>1046</v>
      </c>
      <c r="AR141" s="57" t="s">
        <v>164</v>
      </c>
      <c r="AS141" s="46">
        <v>41830.639340277776</v>
      </c>
      <c r="AT141" s="3">
        <f t="shared" si="1"/>
        <v>112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42992.404930555553</v>
      </c>
      <c r="I142" s="43">
        <v>42326.621527777781</v>
      </c>
      <c r="J142" s="42">
        <v>42508.635763888888</v>
      </c>
      <c r="K142" s="81" t="s">
        <v>49</v>
      </c>
      <c r="L142" t="s">
        <v>49</v>
      </c>
      <c r="M142" t="s">
        <v>336</v>
      </c>
      <c r="N142" s="1" t="s">
        <v>336</v>
      </c>
      <c r="O142" s="1" t="s">
        <v>230</v>
      </c>
      <c r="P142" t="s">
        <v>230</v>
      </c>
      <c r="Q142" s="9" t="s">
        <v>45</v>
      </c>
      <c r="R142" s="82" t="s">
        <v>45</v>
      </c>
      <c r="S142" s="44" t="s">
        <v>196</v>
      </c>
      <c r="T142" s="3" t="s">
        <v>61</v>
      </c>
      <c r="U142" s="2" t="s">
        <v>29</v>
      </c>
      <c r="V142" s="3" t="s">
        <v>29</v>
      </c>
      <c r="W142" s="11" t="s">
        <v>153</v>
      </c>
      <c r="X142" s="3" t="s">
        <v>153</v>
      </c>
      <c r="Y142" s="77" t="s">
        <v>48</v>
      </c>
      <c r="Z142" s="84" t="s">
        <v>916</v>
      </c>
      <c r="AA142" s="89" t="s">
        <v>174</v>
      </c>
      <c r="AB142" s="90" t="str">
        <f>HYPERLINK(CONCATENATE("https://www.ejacket.nsf.gov/ej/showProposal.do?ID=",SUBSTITUTE(SplitQueryTableRecent[[#This Row],[prop_id]],CHAR(160),"")),"eJ")</f>
        <v>eJ</v>
      </c>
      <c r="AC142" s="89" t="s">
        <v>916</v>
      </c>
      <c r="AD142" s="3" t="s">
        <v>916</v>
      </c>
      <c r="AE142" s="91">
        <v>2016</v>
      </c>
      <c r="AF142" s="13" t="s">
        <v>43</v>
      </c>
      <c r="AG142" s="13">
        <v>249854</v>
      </c>
      <c r="AH142" s="45">
        <v>249854</v>
      </c>
      <c r="AI142" s="44" t="s">
        <v>237</v>
      </c>
      <c r="AJ142" s="2" t="s">
        <v>1047</v>
      </c>
      <c r="AK142" s="46" t="s">
        <v>246</v>
      </c>
      <c r="AL142" s="55" t="s">
        <v>369</v>
      </c>
      <c r="AM142" s="45" t="s">
        <v>369</v>
      </c>
      <c r="AN142" s="56" t="s">
        <v>152</v>
      </c>
      <c r="AO142" s="23" t="s">
        <v>146</v>
      </c>
      <c r="AP142" s="11"/>
      <c r="AQ142" s="88" t="s">
        <v>917</v>
      </c>
      <c r="AR142" s="57" t="s">
        <v>164</v>
      </c>
      <c r="AS142" s="46">
        <v>42548.638229166667</v>
      </c>
      <c r="AT142" s="3">
        <f t="shared" si="1"/>
        <v>113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42992.404930555553</v>
      </c>
      <c r="I143" s="43">
        <v>41649.677083333336</v>
      </c>
      <c r="J143" s="42">
        <v>41814.372719907406</v>
      </c>
      <c r="K143" s="81" t="s">
        <v>49</v>
      </c>
      <c r="L143" t="s">
        <v>49</v>
      </c>
      <c r="M143" t="s">
        <v>336</v>
      </c>
      <c r="N143" s="1" t="s">
        <v>336</v>
      </c>
      <c r="O143" s="1" t="s">
        <v>245</v>
      </c>
      <c r="P143" t="s">
        <v>245</v>
      </c>
      <c r="Q143" s="9" t="s">
        <v>45</v>
      </c>
      <c r="R143" s="82" t="s">
        <v>45</v>
      </c>
      <c r="S143" s="44" t="s">
        <v>173</v>
      </c>
      <c r="T143" s="3" t="s">
        <v>61</v>
      </c>
      <c r="U143" s="2" t="s">
        <v>29</v>
      </c>
      <c r="V143" s="3" t="s">
        <v>29</v>
      </c>
      <c r="W143" s="11" t="s">
        <v>153</v>
      </c>
      <c r="X143" s="3" t="s">
        <v>153</v>
      </c>
      <c r="Y143" s="77" t="s">
        <v>48</v>
      </c>
      <c r="Z143" s="84" t="s">
        <v>587</v>
      </c>
      <c r="AA143" s="89" t="s">
        <v>174</v>
      </c>
      <c r="AB143" s="90" t="str">
        <f>HYPERLINK(CONCATENATE("https://www.ejacket.nsf.gov/ej/showProposal.do?ID=",SUBSTITUTE(SplitQueryTableRecent[[#This Row],[prop_id]],CHAR(160),"")),"eJ")</f>
        <v>eJ</v>
      </c>
      <c r="AC143" s="89" t="s">
        <v>587</v>
      </c>
      <c r="AD143" s="3" t="s">
        <v>587</v>
      </c>
      <c r="AE143" s="91">
        <v>2014</v>
      </c>
      <c r="AF143" s="13" t="s">
        <v>43</v>
      </c>
      <c r="AG143" s="13">
        <v>250000</v>
      </c>
      <c r="AH143" s="45">
        <v>250000</v>
      </c>
      <c r="AI143" s="44" t="s">
        <v>269</v>
      </c>
      <c r="AJ143" s="2" t="s">
        <v>250</v>
      </c>
      <c r="AK143" s="46" t="s">
        <v>253</v>
      </c>
      <c r="AL143" s="55" t="s">
        <v>369</v>
      </c>
      <c r="AM143" s="45" t="s">
        <v>369</v>
      </c>
      <c r="AN143" s="56" t="s">
        <v>152</v>
      </c>
      <c r="AO143" s="23" t="s">
        <v>146</v>
      </c>
      <c r="AP143" s="11"/>
      <c r="AQ143" s="88" t="s">
        <v>588</v>
      </c>
      <c r="AR143" s="57" t="s">
        <v>161</v>
      </c>
      <c r="AS143" s="46">
        <v>41845.395324074074</v>
      </c>
      <c r="AT143" s="3">
        <f t="shared" si="1"/>
        <v>114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42992.404930555553</v>
      </c>
      <c r="I144" s="43">
        <v>42018.635416666664</v>
      </c>
      <c r="J144" s="42">
        <v>42213.47284722222</v>
      </c>
      <c r="K144" s="81" t="s">
        <v>49</v>
      </c>
      <c r="L144" t="s">
        <v>49</v>
      </c>
      <c r="M144" t="s">
        <v>336</v>
      </c>
      <c r="N144" s="1" t="s">
        <v>336</v>
      </c>
      <c r="O144" s="1" t="s">
        <v>245</v>
      </c>
      <c r="P144" t="s">
        <v>245</v>
      </c>
      <c r="Q144" s="9" t="s">
        <v>45</v>
      </c>
      <c r="R144" s="82" t="s">
        <v>45</v>
      </c>
      <c r="S144" s="44" t="s">
        <v>184</v>
      </c>
      <c r="T144" s="3" t="s">
        <v>61</v>
      </c>
      <c r="U144" s="2" t="s">
        <v>29</v>
      </c>
      <c r="V144" s="3" t="s">
        <v>29</v>
      </c>
      <c r="W144" s="11" t="s">
        <v>153</v>
      </c>
      <c r="X144" s="3" t="s">
        <v>153</v>
      </c>
      <c r="Y144" s="77" t="s">
        <v>48</v>
      </c>
      <c r="Z144" s="84" t="s">
        <v>1050</v>
      </c>
      <c r="AA144" s="89" t="s">
        <v>62</v>
      </c>
      <c r="AB144" s="90" t="str">
        <f>HYPERLINK(CONCATENATE("https://www.ejacket.nsf.gov/ej/showProposal.do?ID=",SUBSTITUTE(SplitQueryTableRecent[[#This Row],[prop_id]],CHAR(160),"")),"eJ")</f>
        <v>eJ</v>
      </c>
      <c r="AC144" s="89" t="s">
        <v>1049</v>
      </c>
      <c r="AD144" s="3" t="s">
        <v>1049</v>
      </c>
      <c r="AE144" s="91">
        <v>2015</v>
      </c>
      <c r="AF144" s="13" t="s">
        <v>43</v>
      </c>
      <c r="AG144" s="13">
        <v>200000</v>
      </c>
      <c r="AH144" s="45">
        <v>250000</v>
      </c>
      <c r="AI144" s="44" t="s">
        <v>1052</v>
      </c>
      <c r="AJ144" s="2" t="s">
        <v>759</v>
      </c>
      <c r="AK144" s="46" t="s">
        <v>1736</v>
      </c>
      <c r="AL144" s="55" t="s">
        <v>369</v>
      </c>
      <c r="AM144" s="45" t="s">
        <v>369</v>
      </c>
      <c r="AN144" s="56" t="s">
        <v>152</v>
      </c>
      <c r="AO144" s="23" t="s">
        <v>146</v>
      </c>
      <c r="AP144" s="11"/>
      <c r="AQ144" s="88" t="s">
        <v>1051</v>
      </c>
      <c r="AR144" s="57" t="s">
        <v>164</v>
      </c>
      <c r="AS144" s="46">
        <v>42243.642233796294</v>
      </c>
      <c r="AT144" s="3">
        <f t="shared" si="1"/>
        <v>115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42992.404930555553</v>
      </c>
      <c r="I145" s="43">
        <v>42326.411805555559</v>
      </c>
      <c r="J145" s="42">
        <v>42507.403831018521</v>
      </c>
      <c r="K145" s="81" t="s">
        <v>49</v>
      </c>
      <c r="L145" t="s">
        <v>49</v>
      </c>
      <c r="M145" t="s">
        <v>336</v>
      </c>
      <c r="N145" s="1" t="s">
        <v>336</v>
      </c>
      <c r="O145" s="1" t="s">
        <v>230</v>
      </c>
      <c r="P145" t="s">
        <v>230</v>
      </c>
      <c r="Q145" s="9" t="s">
        <v>45</v>
      </c>
      <c r="R145" s="82" t="s">
        <v>45</v>
      </c>
      <c r="S145" s="44" t="s">
        <v>196</v>
      </c>
      <c r="T145" s="3" t="s">
        <v>61</v>
      </c>
      <c r="U145" s="2" t="s">
        <v>29</v>
      </c>
      <c r="V145" s="3" t="s">
        <v>29</v>
      </c>
      <c r="W145" s="11" t="s">
        <v>153</v>
      </c>
      <c r="X145" s="3" t="s">
        <v>153</v>
      </c>
      <c r="Y145" s="77" t="s">
        <v>48</v>
      </c>
      <c r="Z145" s="84" t="s">
        <v>1053</v>
      </c>
      <c r="AA145" s="89" t="s">
        <v>28</v>
      </c>
      <c r="AB145" s="90" t="str">
        <f>HYPERLINK(CONCATENATE("https://www.ejacket.nsf.gov/ej/showProposal.do?ID=",SUBSTITUTE(SplitQueryTableRecent[[#This Row],[prop_id]],CHAR(160),"")),"eJ")</f>
        <v>eJ</v>
      </c>
      <c r="AC145" s="89" t="s">
        <v>1053</v>
      </c>
      <c r="AD145" s="3" t="s">
        <v>1053</v>
      </c>
      <c r="AE145" s="91">
        <v>2016</v>
      </c>
      <c r="AF145" s="13" t="s">
        <v>43</v>
      </c>
      <c r="AG145" s="13">
        <v>500000</v>
      </c>
      <c r="AH145" s="45">
        <v>500000</v>
      </c>
      <c r="AI145" s="44" t="s">
        <v>317</v>
      </c>
      <c r="AJ145" s="2" t="s">
        <v>324</v>
      </c>
      <c r="AK145" s="46" t="s">
        <v>228</v>
      </c>
      <c r="AL145" s="55" t="s">
        <v>369</v>
      </c>
      <c r="AM145" s="45" t="s">
        <v>369</v>
      </c>
      <c r="AN145" s="56" t="s">
        <v>152</v>
      </c>
      <c r="AO145" s="23" t="s">
        <v>146</v>
      </c>
      <c r="AP145" s="11"/>
      <c r="AQ145" s="88" t="s">
        <v>1054</v>
      </c>
      <c r="AR145" s="57" t="s">
        <v>164</v>
      </c>
      <c r="AS145" s="46">
        <v>42531.370196759257</v>
      </c>
      <c r="AT145" s="3">
        <f t="shared" si="1"/>
        <v>116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42992.404930555553</v>
      </c>
      <c r="I146" s="43">
        <v>42195.728472222225</v>
      </c>
      <c r="J146" s="42">
        <v>42213.680219907408</v>
      </c>
      <c r="K146" s="81" t="s">
        <v>49</v>
      </c>
      <c r="L146" t="s">
        <v>49</v>
      </c>
      <c r="M146" t="s">
        <v>336</v>
      </c>
      <c r="N146" s="1" t="s">
        <v>336</v>
      </c>
      <c r="O146" s="1" t="s">
        <v>337</v>
      </c>
      <c r="P146" t="s">
        <v>337</v>
      </c>
      <c r="Q146" s="9" t="s">
        <v>45</v>
      </c>
      <c r="R146" s="82" t="s">
        <v>45</v>
      </c>
      <c r="S146" s="44" t="s">
        <v>186</v>
      </c>
      <c r="T146" s="3" t="s">
        <v>61</v>
      </c>
      <c r="U146" s="2" t="s">
        <v>29</v>
      </c>
      <c r="V146" s="3" t="s">
        <v>29</v>
      </c>
      <c r="W146" s="11" t="s">
        <v>153</v>
      </c>
      <c r="X146" s="3" t="s">
        <v>153</v>
      </c>
      <c r="Y146" s="77" t="s">
        <v>48</v>
      </c>
      <c r="Z146" s="84" t="s">
        <v>1055</v>
      </c>
      <c r="AA146" s="89" t="s">
        <v>28</v>
      </c>
      <c r="AB146" s="90" t="str">
        <f>HYPERLINK(CONCATENATE("https://www.ejacket.nsf.gov/ej/showProposal.do?ID=",SUBSTITUTE(SplitQueryTableRecent[[#This Row],[prop_id]],CHAR(160),"")),"eJ")</f>
        <v>eJ</v>
      </c>
      <c r="AC146" s="89" t="s">
        <v>1055</v>
      </c>
      <c r="AD146" s="3" t="s">
        <v>1055</v>
      </c>
      <c r="AE146" s="91">
        <v>2015</v>
      </c>
      <c r="AF146" s="13" t="s">
        <v>43</v>
      </c>
      <c r="AG146" s="13">
        <v>199891</v>
      </c>
      <c r="AH146" s="45">
        <v>199891</v>
      </c>
      <c r="AI146" s="44" t="s">
        <v>1057</v>
      </c>
      <c r="AJ146" s="2" t="s">
        <v>1058</v>
      </c>
      <c r="AK146" s="46" t="s">
        <v>1737</v>
      </c>
      <c r="AL146" s="55" t="s">
        <v>722</v>
      </c>
      <c r="AM146" s="45" t="s">
        <v>722</v>
      </c>
      <c r="AN146" s="56" t="s">
        <v>152</v>
      </c>
      <c r="AO146" s="23" t="s">
        <v>146</v>
      </c>
      <c r="AP146" s="11"/>
      <c r="AQ146" s="88" t="s">
        <v>1056</v>
      </c>
      <c r="AR146" s="57" t="s">
        <v>164</v>
      </c>
      <c r="AS146" s="46">
        <v>42241.335057870368</v>
      </c>
      <c r="AT146" s="3">
        <f t="shared" si="1"/>
        <v>117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42992.404930555553</v>
      </c>
      <c r="I147" s="43">
        <v>42690.675694444442</v>
      </c>
      <c r="J147" s="42">
        <v>42902.697314814817</v>
      </c>
      <c r="K147" s="81" t="s">
        <v>49</v>
      </c>
      <c r="L147" t="s">
        <v>49</v>
      </c>
      <c r="M147" t="s">
        <v>336</v>
      </c>
      <c r="N147" s="1" t="s">
        <v>336</v>
      </c>
      <c r="O147" s="1" t="s">
        <v>230</v>
      </c>
      <c r="P147" t="s">
        <v>230</v>
      </c>
      <c r="Q147" s="9" t="s">
        <v>45</v>
      </c>
      <c r="R147" s="82" t="s">
        <v>45</v>
      </c>
      <c r="S147" s="44" t="s">
        <v>192</v>
      </c>
      <c r="T147" s="3" t="s">
        <v>61</v>
      </c>
      <c r="U147" s="2" t="s">
        <v>29</v>
      </c>
      <c r="V147" s="3" t="s">
        <v>29</v>
      </c>
      <c r="W147" s="11" t="s">
        <v>153</v>
      </c>
      <c r="X147" s="3" t="s">
        <v>153</v>
      </c>
      <c r="Y147" s="77" t="s">
        <v>48</v>
      </c>
      <c r="Z147" s="84" t="s">
        <v>1062</v>
      </c>
      <c r="AA147" s="89" t="s">
        <v>28</v>
      </c>
      <c r="AB147" s="90" t="str">
        <f>HYPERLINK(CONCATENATE("https://www.ejacket.nsf.gov/ej/showProposal.do?ID=",SUBSTITUTE(SplitQueryTableRecent[[#This Row],[prop_id]],CHAR(160),"")),"eJ")</f>
        <v>eJ</v>
      </c>
      <c r="AC147" s="89" t="s">
        <v>1062</v>
      </c>
      <c r="AD147" s="3" t="s">
        <v>1062</v>
      </c>
      <c r="AE147" s="91">
        <v>2017</v>
      </c>
      <c r="AF147" s="13" t="s">
        <v>43</v>
      </c>
      <c r="AG147" s="13">
        <v>498176</v>
      </c>
      <c r="AH147" s="45">
        <v>514176</v>
      </c>
      <c r="AI147" s="44" t="s">
        <v>1061</v>
      </c>
      <c r="AJ147" s="2" t="s">
        <v>842</v>
      </c>
      <c r="AK147" s="46" t="s">
        <v>465</v>
      </c>
      <c r="AL147" s="55" t="s">
        <v>369</v>
      </c>
      <c r="AM147" s="45" t="s">
        <v>369</v>
      </c>
      <c r="AN147" s="56" t="s">
        <v>152</v>
      </c>
      <c r="AO147" s="23" t="s">
        <v>146</v>
      </c>
      <c r="AP147" s="11"/>
      <c r="AQ147" s="88" t="s">
        <v>1063</v>
      </c>
      <c r="AR147" s="57" t="s">
        <v>193</v>
      </c>
      <c r="AS147" s="46">
        <v>42914.807835648149</v>
      </c>
      <c r="AT147" s="3">
        <f t="shared" si="1"/>
        <v>118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42992.404930555553</v>
      </c>
      <c r="I148" s="43">
        <v>42690.675694444442</v>
      </c>
      <c r="J148" s="42">
        <v>42902.697314814817</v>
      </c>
      <c r="K148" s="81" t="s">
        <v>49</v>
      </c>
      <c r="L148" t="s">
        <v>49</v>
      </c>
      <c r="M148" t="s">
        <v>336</v>
      </c>
      <c r="N148" s="1" t="s">
        <v>336</v>
      </c>
      <c r="O148" s="1" t="s">
        <v>230</v>
      </c>
      <c r="P148" t="s">
        <v>230</v>
      </c>
      <c r="Q148" s="9" t="s">
        <v>45</v>
      </c>
      <c r="R148" s="82" t="s">
        <v>45</v>
      </c>
      <c r="S148" s="44" t="s">
        <v>192</v>
      </c>
      <c r="T148" s="3" t="s">
        <v>61</v>
      </c>
      <c r="U148" s="2" t="s">
        <v>29</v>
      </c>
      <c r="V148" s="3" t="s">
        <v>29</v>
      </c>
      <c r="W148" s="11" t="s">
        <v>153</v>
      </c>
      <c r="X148" s="3" t="s">
        <v>153</v>
      </c>
      <c r="Y148" s="77" t="s">
        <v>48</v>
      </c>
      <c r="Z148" s="84" t="s">
        <v>1062</v>
      </c>
      <c r="AA148" s="89" t="s">
        <v>28</v>
      </c>
      <c r="AB148" s="90" t="str">
        <f>HYPERLINK(CONCATENATE("https://www.ejacket.nsf.gov/ej/showProposal.do?ID=",SUBSTITUTE(SplitQueryTableRecent[[#This Row],[prop_id]],CHAR(160),"")),"eJ")</f>
        <v>eJ</v>
      </c>
      <c r="AC148" s="89" t="s">
        <v>1062</v>
      </c>
      <c r="AD148" s="3" t="s">
        <v>1062</v>
      </c>
      <c r="AE148" s="91">
        <v>2017</v>
      </c>
      <c r="AF148" s="13" t="s">
        <v>44</v>
      </c>
      <c r="AG148" s="13">
        <v>16000</v>
      </c>
      <c r="AH148" s="45">
        <v>514176</v>
      </c>
      <c r="AI148" s="44" t="s">
        <v>1061</v>
      </c>
      <c r="AJ148" s="2" t="s">
        <v>842</v>
      </c>
      <c r="AK148" s="46" t="s">
        <v>465</v>
      </c>
      <c r="AL148" s="55" t="s">
        <v>369</v>
      </c>
      <c r="AM148" s="45" t="s">
        <v>779</v>
      </c>
      <c r="AN148" s="56" t="s">
        <v>152</v>
      </c>
      <c r="AO148" s="23" t="s">
        <v>146</v>
      </c>
      <c r="AP148" s="11"/>
      <c r="AQ148" s="88" t="s">
        <v>1063</v>
      </c>
      <c r="AR148" s="57" t="s">
        <v>193</v>
      </c>
      <c r="AS148" s="46">
        <v>42914.807835648149</v>
      </c>
      <c r="AT148" s="3">
        <f t="shared" si="1"/>
        <v>118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42992.404930555553</v>
      </c>
      <c r="I149" s="43">
        <v>41653.57708333333</v>
      </c>
      <c r="J149" s="42">
        <v>41815.685381944444</v>
      </c>
      <c r="K149" s="81" t="s">
        <v>49</v>
      </c>
      <c r="L149" t="s">
        <v>49</v>
      </c>
      <c r="M149" t="s">
        <v>336</v>
      </c>
      <c r="N149" s="1" t="s">
        <v>336</v>
      </c>
      <c r="O149" s="1" t="s">
        <v>245</v>
      </c>
      <c r="P149" t="s">
        <v>245</v>
      </c>
      <c r="Q149" s="9" t="s">
        <v>45</v>
      </c>
      <c r="R149" s="82" t="s">
        <v>45</v>
      </c>
      <c r="S149" s="44" t="s">
        <v>173</v>
      </c>
      <c r="T149" s="3" t="s">
        <v>61</v>
      </c>
      <c r="U149" s="2" t="s">
        <v>29</v>
      </c>
      <c r="V149" s="3" t="s">
        <v>29</v>
      </c>
      <c r="W149" s="11" t="s">
        <v>153</v>
      </c>
      <c r="X149" s="3" t="s">
        <v>153</v>
      </c>
      <c r="Y149" s="77" t="s">
        <v>48</v>
      </c>
      <c r="Z149" s="84" t="s">
        <v>1064</v>
      </c>
      <c r="AA149" s="89" t="s">
        <v>28</v>
      </c>
      <c r="AB149" s="90" t="str">
        <f>HYPERLINK(CONCATENATE("https://www.ejacket.nsf.gov/ej/showProposal.do?ID=",SUBSTITUTE(SplitQueryTableRecent[[#This Row],[prop_id]],CHAR(160),"")),"eJ")</f>
        <v>eJ</v>
      </c>
      <c r="AC149" s="89" t="s">
        <v>1064</v>
      </c>
      <c r="AD149" s="3" t="s">
        <v>1064</v>
      </c>
      <c r="AE149" s="91">
        <v>2014</v>
      </c>
      <c r="AF149" s="13" t="s">
        <v>43</v>
      </c>
      <c r="AG149" s="13">
        <v>269014</v>
      </c>
      <c r="AH149" s="45">
        <v>340055</v>
      </c>
      <c r="AI149" s="44" t="s">
        <v>1066</v>
      </c>
      <c r="AJ149" s="2" t="s">
        <v>1067</v>
      </c>
      <c r="AK149" s="46" t="s">
        <v>346</v>
      </c>
      <c r="AL149" s="55" t="s">
        <v>369</v>
      </c>
      <c r="AM149" s="45" t="s">
        <v>369</v>
      </c>
      <c r="AN149" s="56" t="s">
        <v>152</v>
      </c>
      <c r="AO149" s="23" t="s">
        <v>146</v>
      </c>
      <c r="AP149" s="11"/>
      <c r="AQ149" s="88" t="s">
        <v>1065</v>
      </c>
      <c r="AR149" s="57" t="s">
        <v>161</v>
      </c>
      <c r="AS149" s="46">
        <v>41843.356840277775</v>
      </c>
      <c r="AT149" s="3">
        <f t="shared" si="1"/>
        <v>119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42992.404930555553</v>
      </c>
      <c r="I150" s="43">
        <v>41653.583333333336</v>
      </c>
      <c r="J150" s="42">
        <v>41834.596261574072</v>
      </c>
      <c r="K150" s="81" t="s">
        <v>49</v>
      </c>
      <c r="L150" t="s">
        <v>49</v>
      </c>
      <c r="M150" t="s">
        <v>336</v>
      </c>
      <c r="N150" s="1" t="s">
        <v>336</v>
      </c>
      <c r="O150" s="1" t="s">
        <v>337</v>
      </c>
      <c r="P150" t="s">
        <v>337</v>
      </c>
      <c r="Q150" s="9" t="s">
        <v>45</v>
      </c>
      <c r="R150" s="82" t="s">
        <v>45</v>
      </c>
      <c r="S150" s="44" t="s">
        <v>173</v>
      </c>
      <c r="T150" s="3" t="s">
        <v>61</v>
      </c>
      <c r="U150" s="2" t="s">
        <v>29</v>
      </c>
      <c r="V150" s="3" t="s">
        <v>29</v>
      </c>
      <c r="W150" s="11" t="s">
        <v>153</v>
      </c>
      <c r="X150" s="3" t="s">
        <v>153</v>
      </c>
      <c r="Y150" s="77" t="s">
        <v>48</v>
      </c>
      <c r="Z150" s="84" t="s">
        <v>1068</v>
      </c>
      <c r="AA150" s="89" t="s">
        <v>28</v>
      </c>
      <c r="AB150" s="90" t="str">
        <f>HYPERLINK(CONCATENATE("https://www.ejacket.nsf.gov/ej/showProposal.do?ID=",SUBSTITUTE(SplitQueryTableRecent[[#This Row],[prop_id]],CHAR(160),"")),"eJ")</f>
        <v>eJ</v>
      </c>
      <c r="AC150" s="89" t="s">
        <v>1068</v>
      </c>
      <c r="AD150" s="3" t="s">
        <v>1068</v>
      </c>
      <c r="AE150" s="91">
        <v>2014</v>
      </c>
      <c r="AF150" s="13" t="s">
        <v>43</v>
      </c>
      <c r="AG150" s="13">
        <v>498210</v>
      </c>
      <c r="AH150" s="45">
        <v>498210</v>
      </c>
      <c r="AI150" s="44" t="s">
        <v>621</v>
      </c>
      <c r="AJ150" s="2" t="s">
        <v>1070</v>
      </c>
      <c r="AK150" s="46" t="s">
        <v>1730</v>
      </c>
      <c r="AL150" s="55" t="s">
        <v>584</v>
      </c>
      <c r="AM150" s="45" t="s">
        <v>584</v>
      </c>
      <c r="AN150" s="56" t="s">
        <v>152</v>
      </c>
      <c r="AO150" s="23" t="s">
        <v>146</v>
      </c>
      <c r="AP150" s="11"/>
      <c r="AQ150" s="88" t="s">
        <v>1069</v>
      </c>
      <c r="AR150" s="57" t="s">
        <v>164</v>
      </c>
      <c r="AS150" s="46">
        <v>41844.580023148148</v>
      </c>
      <c r="AT150" s="3">
        <f t="shared" si="1"/>
        <v>120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42992.404930555553</v>
      </c>
      <c r="I151" s="43">
        <v>41653.515277777777</v>
      </c>
      <c r="J151" s="42">
        <v>41842.792523148149</v>
      </c>
      <c r="K151" s="81" t="s">
        <v>49</v>
      </c>
      <c r="L151" t="s">
        <v>49</v>
      </c>
      <c r="M151" t="s">
        <v>336</v>
      </c>
      <c r="N151" s="1" t="s">
        <v>336</v>
      </c>
      <c r="O151" s="1" t="s">
        <v>337</v>
      </c>
      <c r="P151" t="s">
        <v>337</v>
      </c>
      <c r="Q151" s="9" t="s">
        <v>45</v>
      </c>
      <c r="R151" s="82" t="s">
        <v>45</v>
      </c>
      <c r="S151" s="44" t="s">
        <v>173</v>
      </c>
      <c r="T151" s="3" t="s">
        <v>61</v>
      </c>
      <c r="U151" s="2" t="s">
        <v>29</v>
      </c>
      <c r="V151" s="3" t="s">
        <v>29</v>
      </c>
      <c r="W151" s="11" t="s">
        <v>153</v>
      </c>
      <c r="X151" s="3" t="s">
        <v>153</v>
      </c>
      <c r="Y151" s="77" t="s">
        <v>48</v>
      </c>
      <c r="Z151" s="84" t="s">
        <v>1072</v>
      </c>
      <c r="AA151" s="89" t="s">
        <v>28</v>
      </c>
      <c r="AB151" s="90" t="str">
        <f>HYPERLINK(CONCATENATE("https://www.ejacket.nsf.gov/ej/showProposal.do?ID=",SUBSTITUTE(SplitQueryTableRecent[[#This Row],[prop_id]],CHAR(160),"")),"eJ")</f>
        <v>eJ</v>
      </c>
      <c r="AC151" s="89" t="s">
        <v>1072</v>
      </c>
      <c r="AD151" s="3" t="s">
        <v>1072</v>
      </c>
      <c r="AE151" s="91">
        <v>2014</v>
      </c>
      <c r="AF151" s="13" t="s">
        <v>43</v>
      </c>
      <c r="AG151" s="13">
        <v>475000</v>
      </c>
      <c r="AH151" s="45">
        <v>500000</v>
      </c>
      <c r="AI151" s="44" t="s">
        <v>1074</v>
      </c>
      <c r="AJ151" s="2" t="s">
        <v>191</v>
      </c>
      <c r="AK151" s="46" t="s">
        <v>252</v>
      </c>
      <c r="AL151" s="55" t="s">
        <v>369</v>
      </c>
      <c r="AM151" s="45" t="s">
        <v>369</v>
      </c>
      <c r="AN151" s="56" t="s">
        <v>152</v>
      </c>
      <c r="AO151" s="23" t="s">
        <v>146</v>
      </c>
      <c r="AP151" s="11"/>
      <c r="AQ151" s="88" t="s">
        <v>1073</v>
      </c>
      <c r="AR151" s="57" t="s">
        <v>164</v>
      </c>
      <c r="AS151" s="46">
        <v>41863.48978009259</v>
      </c>
      <c r="AT151" s="3">
        <f t="shared" si="1"/>
        <v>121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42992.404930555553</v>
      </c>
      <c r="I152" s="43">
        <v>42690.673611111109</v>
      </c>
      <c r="J152" s="42">
        <v>42904.888923611114</v>
      </c>
      <c r="K152" s="81" t="s">
        <v>49</v>
      </c>
      <c r="L152" t="s">
        <v>49</v>
      </c>
      <c r="M152" t="s">
        <v>336</v>
      </c>
      <c r="N152" s="1" t="s">
        <v>336</v>
      </c>
      <c r="O152" s="1" t="s">
        <v>230</v>
      </c>
      <c r="P152" t="s">
        <v>230</v>
      </c>
      <c r="Q152" s="9" t="s">
        <v>45</v>
      </c>
      <c r="R152" s="82" t="s">
        <v>45</v>
      </c>
      <c r="S152" s="44" t="s">
        <v>192</v>
      </c>
      <c r="T152" s="3" t="s">
        <v>61</v>
      </c>
      <c r="U152" s="2" t="s">
        <v>29</v>
      </c>
      <c r="V152" s="3" t="s">
        <v>29</v>
      </c>
      <c r="W152" s="11" t="s">
        <v>153</v>
      </c>
      <c r="X152" s="3" t="s">
        <v>153</v>
      </c>
      <c r="Y152" s="77" t="s">
        <v>48</v>
      </c>
      <c r="Z152" s="84" t="s">
        <v>1076</v>
      </c>
      <c r="AA152" s="89" t="s">
        <v>28</v>
      </c>
      <c r="AB152" s="90" t="str">
        <f>HYPERLINK(CONCATENATE("https://www.ejacket.nsf.gov/ej/showProposal.do?ID=",SUBSTITUTE(SplitQueryTableRecent[[#This Row],[prop_id]],CHAR(160),"")),"eJ")</f>
        <v>eJ</v>
      </c>
      <c r="AC152" s="89" t="s">
        <v>1076</v>
      </c>
      <c r="AD152" s="3" t="s">
        <v>1076</v>
      </c>
      <c r="AE152" s="91">
        <v>2017</v>
      </c>
      <c r="AF152" s="13" t="s">
        <v>43</v>
      </c>
      <c r="AG152" s="13">
        <v>449996</v>
      </c>
      <c r="AH152" s="45">
        <v>490982</v>
      </c>
      <c r="AI152" s="44" t="s">
        <v>1075</v>
      </c>
      <c r="AJ152" s="2" t="s">
        <v>309</v>
      </c>
      <c r="AK152" s="46" t="s">
        <v>392</v>
      </c>
      <c r="AL152" s="55" t="s">
        <v>369</v>
      </c>
      <c r="AM152" s="45" t="s">
        <v>369</v>
      </c>
      <c r="AN152" s="56" t="s">
        <v>152</v>
      </c>
      <c r="AO152" s="23" t="s">
        <v>146</v>
      </c>
      <c r="AP152" s="11"/>
      <c r="AQ152" s="88" t="s">
        <v>1077</v>
      </c>
      <c r="AR152" s="57" t="s">
        <v>188</v>
      </c>
      <c r="AS152" s="46">
        <v>42912.495011574072</v>
      </c>
      <c r="AT152" s="3">
        <f t="shared" si="1"/>
        <v>122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42992.404930555553</v>
      </c>
      <c r="I153" s="43">
        <v>42326.719444444447</v>
      </c>
      <c r="J153" s="42">
        <v>42529.625127314815</v>
      </c>
      <c r="K153" s="81" t="s">
        <v>49</v>
      </c>
      <c r="L153" t="s">
        <v>49</v>
      </c>
      <c r="M153" t="s">
        <v>336</v>
      </c>
      <c r="N153" s="1" t="s">
        <v>336</v>
      </c>
      <c r="O153" s="1" t="s">
        <v>230</v>
      </c>
      <c r="P153" t="s">
        <v>230</v>
      </c>
      <c r="Q153" s="9" t="s">
        <v>45</v>
      </c>
      <c r="R153" s="82" t="s">
        <v>45</v>
      </c>
      <c r="S153" s="44" t="s">
        <v>196</v>
      </c>
      <c r="T153" s="3" t="s">
        <v>61</v>
      </c>
      <c r="U153" s="2" t="s">
        <v>29</v>
      </c>
      <c r="V153" s="3" t="s">
        <v>29</v>
      </c>
      <c r="W153" s="11" t="s">
        <v>153</v>
      </c>
      <c r="X153" s="3" t="s">
        <v>153</v>
      </c>
      <c r="Y153" s="77" t="s">
        <v>48</v>
      </c>
      <c r="Z153" s="84" t="s">
        <v>1078</v>
      </c>
      <c r="AA153" s="89" t="s">
        <v>174</v>
      </c>
      <c r="AB153" s="90" t="str">
        <f>HYPERLINK(CONCATENATE("https://www.ejacket.nsf.gov/ej/showProposal.do?ID=",SUBSTITUTE(SplitQueryTableRecent[[#This Row],[prop_id]],CHAR(160),"")),"eJ")</f>
        <v>eJ</v>
      </c>
      <c r="AC153" s="89" t="s">
        <v>1078</v>
      </c>
      <c r="AD153" s="3" t="s">
        <v>1078</v>
      </c>
      <c r="AE153" s="91">
        <v>2016</v>
      </c>
      <c r="AF153" s="13" t="s">
        <v>43</v>
      </c>
      <c r="AG153" s="13">
        <v>250000</v>
      </c>
      <c r="AH153" s="45">
        <v>250000</v>
      </c>
      <c r="AI153" s="44" t="s">
        <v>405</v>
      </c>
      <c r="AJ153" s="2" t="s">
        <v>406</v>
      </c>
      <c r="AK153" s="46" t="s">
        <v>1720</v>
      </c>
      <c r="AL153" s="55" t="s">
        <v>368</v>
      </c>
      <c r="AM153" s="45" t="s">
        <v>369</v>
      </c>
      <c r="AN153" s="56" t="s">
        <v>152</v>
      </c>
      <c r="AO153" s="23" t="s">
        <v>146</v>
      </c>
      <c r="AP153" s="11"/>
      <c r="AQ153" s="88" t="s">
        <v>1079</v>
      </c>
      <c r="AR153" s="57" t="s">
        <v>164</v>
      </c>
      <c r="AS153" s="46">
        <v>42549.674212962964</v>
      </c>
      <c r="AT153" s="3">
        <f t="shared" si="1"/>
        <v>123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42992.404930555553</v>
      </c>
      <c r="I154" s="43">
        <v>42688.044444444444</v>
      </c>
      <c r="J154" s="42">
        <v>42905.685185185182</v>
      </c>
      <c r="K154" s="81" t="s">
        <v>49</v>
      </c>
      <c r="L154" t="s">
        <v>49</v>
      </c>
      <c r="M154" t="s">
        <v>336</v>
      </c>
      <c r="N154" s="1" t="s">
        <v>336</v>
      </c>
      <c r="O154" s="1" t="s">
        <v>337</v>
      </c>
      <c r="P154" t="s">
        <v>337</v>
      </c>
      <c r="Q154" s="9" t="s">
        <v>45</v>
      </c>
      <c r="R154" s="82" t="s">
        <v>45</v>
      </c>
      <c r="S154" s="44" t="s">
        <v>192</v>
      </c>
      <c r="T154" s="3" t="s">
        <v>61</v>
      </c>
      <c r="U154" s="2" t="s">
        <v>29</v>
      </c>
      <c r="V154" s="3" t="s">
        <v>29</v>
      </c>
      <c r="W154" s="11" t="s">
        <v>153</v>
      </c>
      <c r="X154" s="3" t="s">
        <v>153</v>
      </c>
      <c r="Y154" s="77" t="s">
        <v>48</v>
      </c>
      <c r="Z154" s="84" t="s">
        <v>1081</v>
      </c>
      <c r="AA154" s="89" t="s">
        <v>28</v>
      </c>
      <c r="AB154" s="90" t="str">
        <f>HYPERLINK(CONCATENATE("https://www.ejacket.nsf.gov/ej/showProposal.do?ID=",SUBSTITUTE(SplitQueryTableRecent[[#This Row],[prop_id]],CHAR(160),"")),"eJ")</f>
        <v>eJ</v>
      </c>
      <c r="AC154" s="89" t="s">
        <v>1081</v>
      </c>
      <c r="AD154" s="3" t="s">
        <v>1081</v>
      </c>
      <c r="AE154" s="91">
        <v>2017</v>
      </c>
      <c r="AF154" s="13" t="s">
        <v>43</v>
      </c>
      <c r="AG154" s="13">
        <v>450000</v>
      </c>
      <c r="AH154" s="45">
        <v>500000</v>
      </c>
      <c r="AI154" s="44" t="s">
        <v>1080</v>
      </c>
      <c r="AJ154" s="2" t="s">
        <v>258</v>
      </c>
      <c r="AK154" s="46" t="s">
        <v>195</v>
      </c>
      <c r="AL154" s="55" t="s">
        <v>584</v>
      </c>
      <c r="AM154" s="45" t="s">
        <v>584</v>
      </c>
      <c r="AN154" s="56" t="s">
        <v>152</v>
      </c>
      <c r="AO154" s="23" t="s">
        <v>146</v>
      </c>
      <c r="AP154" s="11"/>
      <c r="AQ154" s="88" t="s">
        <v>1082</v>
      </c>
      <c r="AR154" s="57" t="s">
        <v>188</v>
      </c>
      <c r="AS154" s="46">
        <v>42914.632789351854</v>
      </c>
      <c r="AT154" s="3">
        <f t="shared" ref="AT154:AT217" si="2">IF(AD154=AD153,AT153,AT153+1)</f>
        <v>124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42992.404930555553</v>
      </c>
      <c r="I155" s="43">
        <v>42326.614583333336</v>
      </c>
      <c r="J155" s="42">
        <v>42502.438506944447</v>
      </c>
      <c r="K155" s="81" t="s">
        <v>49</v>
      </c>
      <c r="L155" t="s">
        <v>49</v>
      </c>
      <c r="M155" t="s">
        <v>50</v>
      </c>
      <c r="N155" s="1" t="s">
        <v>336</v>
      </c>
      <c r="O155" s="1" t="s">
        <v>347</v>
      </c>
      <c r="P155" t="s">
        <v>230</v>
      </c>
      <c r="Q155" s="9" t="s">
        <v>45</v>
      </c>
      <c r="R155" s="82" t="s">
        <v>45</v>
      </c>
      <c r="S155" s="44" t="s">
        <v>196</v>
      </c>
      <c r="T155" s="3" t="s">
        <v>61</v>
      </c>
      <c r="U155" s="2" t="s">
        <v>29</v>
      </c>
      <c r="V155" s="3" t="s">
        <v>29</v>
      </c>
      <c r="W155" s="11" t="s">
        <v>153</v>
      </c>
      <c r="X155" s="3" t="s">
        <v>153</v>
      </c>
      <c r="Y155" s="77" t="s">
        <v>48</v>
      </c>
      <c r="Z155" s="84" t="s">
        <v>1094</v>
      </c>
      <c r="AA155" s="89" t="s">
        <v>28</v>
      </c>
      <c r="AB155" s="90" t="str">
        <f>HYPERLINK(CONCATENATE("https://www.ejacket.nsf.gov/ej/showProposal.do?ID=",SUBSTITUTE(SplitQueryTableRecent[[#This Row],[prop_id]],CHAR(160),"")),"eJ")</f>
        <v>eJ</v>
      </c>
      <c r="AC155" s="89" t="s">
        <v>1094</v>
      </c>
      <c r="AD155" s="3" t="s">
        <v>1094</v>
      </c>
      <c r="AE155" s="91">
        <v>2016</v>
      </c>
      <c r="AF155" s="13" t="s">
        <v>43</v>
      </c>
      <c r="AG155" s="13">
        <v>306025</v>
      </c>
      <c r="AH155" s="45">
        <v>461109</v>
      </c>
      <c r="AI155" s="44" t="s">
        <v>1092</v>
      </c>
      <c r="AJ155" s="2" t="s">
        <v>1093</v>
      </c>
      <c r="AK155" s="46" t="s">
        <v>1731</v>
      </c>
      <c r="AL155" s="55" t="s">
        <v>398</v>
      </c>
      <c r="AM155" s="45" t="s">
        <v>398</v>
      </c>
      <c r="AN155" s="56" t="s">
        <v>152</v>
      </c>
      <c r="AO155" s="23" t="s">
        <v>146</v>
      </c>
      <c r="AP155" s="11"/>
      <c r="AQ155" s="88" t="s">
        <v>1095</v>
      </c>
      <c r="AR155" s="57" t="s">
        <v>203</v>
      </c>
      <c r="AS155" s="46">
        <v>42524.72252314815</v>
      </c>
      <c r="AT155" s="3">
        <f t="shared" si="2"/>
        <v>125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42992.404930555553</v>
      </c>
      <c r="I156" s="43">
        <v>42018.559027777781</v>
      </c>
      <c r="J156" s="42">
        <v>42198.999664351853</v>
      </c>
      <c r="K156" s="81" t="s">
        <v>137</v>
      </c>
      <c r="L156" t="s">
        <v>49</v>
      </c>
      <c r="M156" t="s">
        <v>344</v>
      </c>
      <c r="N156" s="1" t="s">
        <v>336</v>
      </c>
      <c r="O156" s="1" t="s">
        <v>1097</v>
      </c>
      <c r="P156" t="s">
        <v>245</v>
      </c>
      <c r="Q156" s="9" t="s">
        <v>45</v>
      </c>
      <c r="R156" s="82" t="s">
        <v>45</v>
      </c>
      <c r="S156" s="44" t="s">
        <v>541</v>
      </c>
      <c r="T156" s="3" t="s">
        <v>61</v>
      </c>
      <c r="U156" s="2" t="s">
        <v>29</v>
      </c>
      <c r="V156" s="3" t="s">
        <v>29</v>
      </c>
      <c r="W156" s="11" t="s">
        <v>153</v>
      </c>
      <c r="X156" s="3" t="s">
        <v>153</v>
      </c>
      <c r="Y156" s="77" t="s">
        <v>334</v>
      </c>
      <c r="Z156" s="84" t="s">
        <v>1098</v>
      </c>
      <c r="AA156" s="89" t="s">
        <v>28</v>
      </c>
      <c r="AB156" s="90" t="str">
        <f>HYPERLINK(CONCATENATE("https://www.ejacket.nsf.gov/ej/showProposal.do?ID=",SUBSTITUTE(SplitQueryTableRecent[[#This Row],[prop_id]],CHAR(160),"")),"eJ")</f>
        <v>eJ</v>
      </c>
      <c r="AC156" s="89" t="s">
        <v>1098</v>
      </c>
      <c r="AD156" s="3" t="s">
        <v>1098</v>
      </c>
      <c r="AE156" s="91">
        <v>2015</v>
      </c>
      <c r="AF156" s="13" t="s">
        <v>44</v>
      </c>
      <c r="AG156" s="13">
        <v>169096</v>
      </c>
      <c r="AH156" s="45">
        <v>338193</v>
      </c>
      <c r="AI156" s="44" t="s">
        <v>1096</v>
      </c>
      <c r="AJ156" s="2" t="s">
        <v>418</v>
      </c>
      <c r="AK156" s="46" t="s">
        <v>1738</v>
      </c>
      <c r="AL156" s="55" t="s">
        <v>544</v>
      </c>
      <c r="AM156" s="45" t="s">
        <v>369</v>
      </c>
      <c r="AN156" s="56" t="s">
        <v>152</v>
      </c>
      <c r="AO156" s="23" t="s">
        <v>146</v>
      </c>
      <c r="AP156" s="11"/>
      <c r="AQ156" s="88" t="s">
        <v>1099</v>
      </c>
      <c r="AR156" s="57" t="s">
        <v>164</v>
      </c>
      <c r="AS156" s="46">
        <v>42233.301006944443</v>
      </c>
      <c r="AT156" s="3">
        <f t="shared" si="2"/>
        <v>126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42992.404930555553</v>
      </c>
      <c r="I157" s="43">
        <v>42690.645138888889</v>
      </c>
      <c r="J157" s="42">
        <v>42905.720671296294</v>
      </c>
      <c r="K157" s="81" t="s">
        <v>49</v>
      </c>
      <c r="L157" t="s">
        <v>49</v>
      </c>
      <c r="M157" t="s">
        <v>336</v>
      </c>
      <c r="N157" s="1" t="s">
        <v>336</v>
      </c>
      <c r="O157" s="1" t="s">
        <v>337</v>
      </c>
      <c r="P157" t="s">
        <v>337</v>
      </c>
      <c r="Q157" s="9" t="s">
        <v>45</v>
      </c>
      <c r="R157" s="82" t="s">
        <v>45</v>
      </c>
      <c r="S157" s="44" t="s">
        <v>192</v>
      </c>
      <c r="T157" s="3" t="s">
        <v>61</v>
      </c>
      <c r="U157" s="2" t="s">
        <v>29</v>
      </c>
      <c r="V157" s="3" t="s">
        <v>29</v>
      </c>
      <c r="W157" s="11" t="s">
        <v>153</v>
      </c>
      <c r="X157" s="3" t="s">
        <v>153</v>
      </c>
      <c r="Y157" s="77" t="s">
        <v>48</v>
      </c>
      <c r="Z157" s="84" t="s">
        <v>1100</v>
      </c>
      <c r="AA157" s="89" t="s">
        <v>28</v>
      </c>
      <c r="AB157" s="90" t="str">
        <f>HYPERLINK(CONCATENATE("https://www.ejacket.nsf.gov/ej/showProposal.do?ID=",SUBSTITUTE(SplitQueryTableRecent[[#This Row],[prop_id]],CHAR(160),"")),"eJ")</f>
        <v>eJ</v>
      </c>
      <c r="AC157" s="89" t="s">
        <v>1100</v>
      </c>
      <c r="AD157" s="3" t="s">
        <v>1100</v>
      </c>
      <c r="AE157" s="91">
        <v>2017</v>
      </c>
      <c r="AF157" s="13" t="s">
        <v>43</v>
      </c>
      <c r="AG157" s="13">
        <v>395283</v>
      </c>
      <c r="AH157" s="45">
        <v>395283</v>
      </c>
      <c r="AI157" s="44" t="s">
        <v>1103</v>
      </c>
      <c r="AJ157" s="2" t="s">
        <v>1104</v>
      </c>
      <c r="AK157" s="46" t="s">
        <v>1739</v>
      </c>
      <c r="AL157" s="55" t="s">
        <v>1102</v>
      </c>
      <c r="AM157" s="45" t="s">
        <v>369</v>
      </c>
      <c r="AN157" s="56" t="s">
        <v>152</v>
      </c>
      <c r="AO157" s="23" t="s">
        <v>146</v>
      </c>
      <c r="AP157" s="11"/>
      <c r="AQ157" s="88" t="s">
        <v>1101</v>
      </c>
      <c r="AR157" s="57" t="s">
        <v>188</v>
      </c>
      <c r="AS157" s="46">
        <v>42914.555277777778</v>
      </c>
      <c r="AT157" s="3">
        <f t="shared" si="2"/>
        <v>127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42992.404930555553</v>
      </c>
      <c r="I158" s="43">
        <v>42017.692361111112</v>
      </c>
      <c r="J158" s="42">
        <v>42194.441493055558</v>
      </c>
      <c r="K158" s="81" t="s">
        <v>49</v>
      </c>
      <c r="L158" t="s">
        <v>49</v>
      </c>
      <c r="M158" t="s">
        <v>336</v>
      </c>
      <c r="N158" s="1" t="s">
        <v>336</v>
      </c>
      <c r="O158" s="1" t="s">
        <v>245</v>
      </c>
      <c r="P158" t="s">
        <v>245</v>
      </c>
      <c r="Q158" s="9" t="s">
        <v>45</v>
      </c>
      <c r="R158" s="82" t="s">
        <v>45</v>
      </c>
      <c r="S158" s="44" t="s">
        <v>184</v>
      </c>
      <c r="T158" s="3" t="s">
        <v>61</v>
      </c>
      <c r="U158" s="2" t="s">
        <v>29</v>
      </c>
      <c r="V158" s="3" t="s">
        <v>29</v>
      </c>
      <c r="W158" s="11" t="s">
        <v>153</v>
      </c>
      <c r="X158" s="3" t="s">
        <v>153</v>
      </c>
      <c r="Y158" s="77" t="s">
        <v>48</v>
      </c>
      <c r="Z158" s="84" t="s">
        <v>1106</v>
      </c>
      <c r="AA158" s="89" t="s">
        <v>62</v>
      </c>
      <c r="AB158" s="90" t="str">
        <f>HYPERLINK(CONCATENATE("https://www.ejacket.nsf.gov/ej/showProposal.do?ID=",SUBSTITUTE(SplitQueryTableRecent[[#This Row],[prop_id]],CHAR(160),"")),"eJ")</f>
        <v>eJ</v>
      </c>
      <c r="AC158" s="89" t="s">
        <v>1105</v>
      </c>
      <c r="AD158" s="3" t="s">
        <v>1105</v>
      </c>
      <c r="AE158" s="91">
        <v>2015</v>
      </c>
      <c r="AF158" s="13" t="s">
        <v>43</v>
      </c>
      <c r="AG158" s="13">
        <v>249848</v>
      </c>
      <c r="AH158" s="45">
        <v>249848</v>
      </c>
      <c r="AI158" s="44" t="s">
        <v>1108</v>
      </c>
      <c r="AJ158" s="2" t="s">
        <v>1109</v>
      </c>
      <c r="AK158" s="46" t="s">
        <v>1738</v>
      </c>
      <c r="AL158" s="55" t="s">
        <v>369</v>
      </c>
      <c r="AM158" s="45" t="s">
        <v>369</v>
      </c>
      <c r="AN158" s="56" t="s">
        <v>152</v>
      </c>
      <c r="AO158" s="23" t="s">
        <v>146</v>
      </c>
      <c r="AP158" s="11"/>
      <c r="AQ158" s="88" t="s">
        <v>1107</v>
      </c>
      <c r="AR158" s="57" t="s">
        <v>164</v>
      </c>
      <c r="AS158" s="46">
        <v>42227.51290509259</v>
      </c>
      <c r="AT158" s="3">
        <f t="shared" si="2"/>
        <v>128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42992.404930555553</v>
      </c>
      <c r="I159" s="43">
        <v>42326.457638888889</v>
      </c>
      <c r="J159" s="42">
        <v>42534.626192129632</v>
      </c>
      <c r="K159" s="81" t="s">
        <v>49</v>
      </c>
      <c r="L159" t="s">
        <v>49</v>
      </c>
      <c r="M159" t="s">
        <v>336</v>
      </c>
      <c r="N159" s="1" t="s">
        <v>336</v>
      </c>
      <c r="O159" s="1" t="s">
        <v>337</v>
      </c>
      <c r="P159" t="s">
        <v>337</v>
      </c>
      <c r="Q159" s="9" t="s">
        <v>45</v>
      </c>
      <c r="R159" s="82" t="s">
        <v>45</v>
      </c>
      <c r="S159" s="44" t="s">
        <v>196</v>
      </c>
      <c r="T159" s="3" t="s">
        <v>61</v>
      </c>
      <c r="U159" s="2" t="s">
        <v>29</v>
      </c>
      <c r="V159" s="3" t="s">
        <v>29</v>
      </c>
      <c r="W159" s="11" t="s">
        <v>153</v>
      </c>
      <c r="X159" s="3" t="s">
        <v>153</v>
      </c>
      <c r="Y159" s="77" t="s">
        <v>48</v>
      </c>
      <c r="Z159" s="84" t="s">
        <v>741</v>
      </c>
      <c r="AA159" s="89" t="s">
        <v>62</v>
      </c>
      <c r="AB159" s="90" t="str">
        <f>HYPERLINK(CONCATENATE("https://www.ejacket.nsf.gov/ej/showProposal.do?ID=",SUBSTITUTE(SplitQueryTableRecent[[#This Row],[prop_id]],CHAR(160),"")),"eJ")</f>
        <v>eJ</v>
      </c>
      <c r="AC159" s="89" t="s">
        <v>1110</v>
      </c>
      <c r="AD159" s="3" t="s">
        <v>1110</v>
      </c>
      <c r="AE159" s="91">
        <v>2016</v>
      </c>
      <c r="AF159" s="13" t="s">
        <v>43</v>
      </c>
      <c r="AG159" s="13">
        <v>220000</v>
      </c>
      <c r="AH159" s="45">
        <v>220000</v>
      </c>
      <c r="AI159" s="44" t="s">
        <v>285</v>
      </c>
      <c r="AJ159" s="2" t="s">
        <v>416</v>
      </c>
      <c r="AK159" s="46" t="s">
        <v>417</v>
      </c>
      <c r="AL159" s="55" t="s">
        <v>584</v>
      </c>
      <c r="AM159" s="45" t="s">
        <v>584</v>
      </c>
      <c r="AN159" s="56" t="s">
        <v>152</v>
      </c>
      <c r="AO159" s="23" t="s">
        <v>146</v>
      </c>
      <c r="AP159" s="11"/>
      <c r="AQ159" s="88" t="s">
        <v>742</v>
      </c>
      <c r="AR159" s="57" t="s">
        <v>164</v>
      </c>
      <c r="AS159" s="46">
        <v>42551.627453703702</v>
      </c>
      <c r="AT159" s="3">
        <f t="shared" si="2"/>
        <v>129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42992.404930555553</v>
      </c>
      <c r="I160" s="43">
        <v>42326.551388888889</v>
      </c>
      <c r="J160" s="42">
        <v>42563.693425925929</v>
      </c>
      <c r="K160" s="81" t="s">
        <v>49</v>
      </c>
      <c r="L160" t="s">
        <v>49</v>
      </c>
      <c r="M160" t="s">
        <v>336</v>
      </c>
      <c r="N160" s="1" t="s">
        <v>336</v>
      </c>
      <c r="O160" s="1" t="s">
        <v>337</v>
      </c>
      <c r="P160" t="s">
        <v>337</v>
      </c>
      <c r="Q160" s="9" t="s">
        <v>45</v>
      </c>
      <c r="R160" s="82" t="s">
        <v>45</v>
      </c>
      <c r="S160" s="44" t="s">
        <v>196</v>
      </c>
      <c r="T160" s="3" t="s">
        <v>61</v>
      </c>
      <c r="U160" s="2" t="s">
        <v>29</v>
      </c>
      <c r="V160" s="3" t="s">
        <v>29</v>
      </c>
      <c r="W160" s="11" t="s">
        <v>153</v>
      </c>
      <c r="X160" s="3" t="s">
        <v>153</v>
      </c>
      <c r="Y160" s="77" t="s">
        <v>48</v>
      </c>
      <c r="Z160" s="84" t="s">
        <v>1112</v>
      </c>
      <c r="AA160" s="89" t="s">
        <v>62</v>
      </c>
      <c r="AB160" s="90" t="str">
        <f>HYPERLINK(CONCATENATE("https://www.ejacket.nsf.gov/ej/showProposal.do?ID=",SUBSTITUTE(SplitQueryTableRecent[[#This Row],[prop_id]],CHAR(160),"")),"eJ")</f>
        <v>eJ</v>
      </c>
      <c r="AC160" s="89" t="s">
        <v>1111</v>
      </c>
      <c r="AD160" s="3" t="s">
        <v>1111</v>
      </c>
      <c r="AE160" s="91">
        <v>2016</v>
      </c>
      <c r="AF160" s="13" t="s">
        <v>43</v>
      </c>
      <c r="AG160" s="13">
        <v>78652</v>
      </c>
      <c r="AH160" s="45">
        <v>250000</v>
      </c>
      <c r="AI160" s="44" t="s">
        <v>285</v>
      </c>
      <c r="AJ160" s="2" t="s">
        <v>416</v>
      </c>
      <c r="AK160" s="46" t="s">
        <v>417</v>
      </c>
      <c r="AL160" s="55" t="s">
        <v>584</v>
      </c>
      <c r="AM160" s="45" t="s">
        <v>584</v>
      </c>
      <c r="AN160" s="56" t="s">
        <v>152</v>
      </c>
      <c r="AO160" s="23" t="s">
        <v>146</v>
      </c>
      <c r="AP160" s="11"/>
      <c r="AQ160" s="88" t="s">
        <v>1113</v>
      </c>
      <c r="AR160" s="57" t="s">
        <v>164</v>
      </c>
      <c r="AS160" s="46">
        <v>42583.596134259256</v>
      </c>
      <c r="AT160" s="3">
        <f t="shared" si="2"/>
        <v>130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42992.404930555553</v>
      </c>
      <c r="I161" s="43">
        <v>42016.790972222225</v>
      </c>
      <c r="J161" s="42">
        <v>42194.438460648147</v>
      </c>
      <c r="K161" s="81" t="s">
        <v>49</v>
      </c>
      <c r="L161" t="s">
        <v>49</v>
      </c>
      <c r="M161" t="s">
        <v>336</v>
      </c>
      <c r="N161" s="1" t="s">
        <v>336</v>
      </c>
      <c r="O161" s="1" t="s">
        <v>245</v>
      </c>
      <c r="P161" t="s">
        <v>245</v>
      </c>
      <c r="Q161" s="9" t="s">
        <v>45</v>
      </c>
      <c r="R161" s="82" t="s">
        <v>45</v>
      </c>
      <c r="S161" s="44" t="s">
        <v>184</v>
      </c>
      <c r="T161" s="3" t="s">
        <v>61</v>
      </c>
      <c r="U161" s="2" t="s">
        <v>29</v>
      </c>
      <c r="V161" s="3" t="s">
        <v>29</v>
      </c>
      <c r="W161" s="11" t="s">
        <v>153</v>
      </c>
      <c r="X161" s="3" t="s">
        <v>153</v>
      </c>
      <c r="Y161" s="77" t="s">
        <v>48</v>
      </c>
      <c r="Z161" s="84" t="s">
        <v>1116</v>
      </c>
      <c r="AA161" s="89" t="s">
        <v>62</v>
      </c>
      <c r="AB161" s="90" t="str">
        <f>HYPERLINK(CONCATENATE("https://www.ejacket.nsf.gov/ej/showProposal.do?ID=",SUBSTITUTE(SplitQueryTableRecent[[#This Row],[prop_id]],CHAR(160),"")),"eJ")</f>
        <v>eJ</v>
      </c>
      <c r="AC161" s="89" t="s">
        <v>1115</v>
      </c>
      <c r="AD161" s="3" t="s">
        <v>1115</v>
      </c>
      <c r="AE161" s="91">
        <v>2015</v>
      </c>
      <c r="AF161" s="13" t="s">
        <v>43</v>
      </c>
      <c r="AG161" s="13">
        <v>130000</v>
      </c>
      <c r="AH161" s="45">
        <v>131502</v>
      </c>
      <c r="AI161" s="44" t="s">
        <v>216</v>
      </c>
      <c r="AJ161" s="2" t="s">
        <v>1114</v>
      </c>
      <c r="AK161" s="46" t="s">
        <v>1722</v>
      </c>
      <c r="AL161" s="55" t="s">
        <v>369</v>
      </c>
      <c r="AM161" s="45" t="s">
        <v>369</v>
      </c>
      <c r="AN161" s="56" t="s">
        <v>152</v>
      </c>
      <c r="AO161" s="23" t="s">
        <v>146</v>
      </c>
      <c r="AP161" s="11"/>
      <c r="AQ161" s="88" t="s">
        <v>1117</v>
      </c>
      <c r="AR161" s="57" t="s">
        <v>164</v>
      </c>
      <c r="AS161" s="46">
        <v>42222.65662037037</v>
      </c>
      <c r="AT161" s="3">
        <f t="shared" si="2"/>
        <v>131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42992.404930555553</v>
      </c>
      <c r="I162" s="43">
        <v>42690.740277777775</v>
      </c>
      <c r="J162" s="42">
        <v>42902.691296296296</v>
      </c>
      <c r="K162" s="81" t="s">
        <v>49</v>
      </c>
      <c r="L162" t="s">
        <v>49</v>
      </c>
      <c r="M162" t="s">
        <v>336</v>
      </c>
      <c r="N162" s="1" t="s">
        <v>336</v>
      </c>
      <c r="O162" s="1" t="s">
        <v>230</v>
      </c>
      <c r="P162" t="s">
        <v>230</v>
      </c>
      <c r="Q162" s="9" t="s">
        <v>45</v>
      </c>
      <c r="R162" s="82" t="s">
        <v>45</v>
      </c>
      <c r="S162" s="44" t="s">
        <v>192</v>
      </c>
      <c r="T162" s="3" t="s">
        <v>61</v>
      </c>
      <c r="U162" s="2" t="s">
        <v>29</v>
      </c>
      <c r="V162" s="3" t="s">
        <v>29</v>
      </c>
      <c r="W162" s="11" t="s">
        <v>153</v>
      </c>
      <c r="X162" s="3" t="s">
        <v>153</v>
      </c>
      <c r="Y162" s="77" t="s">
        <v>48</v>
      </c>
      <c r="Z162" s="84" t="s">
        <v>1118</v>
      </c>
      <c r="AA162" s="89" t="s">
        <v>28</v>
      </c>
      <c r="AB162" s="90" t="str">
        <f>HYPERLINK(CONCATENATE("https://www.ejacket.nsf.gov/ej/showProposal.do?ID=",SUBSTITUTE(SplitQueryTableRecent[[#This Row],[prop_id]],CHAR(160),"")),"eJ")</f>
        <v>eJ</v>
      </c>
      <c r="AC162" s="89" t="s">
        <v>1118</v>
      </c>
      <c r="AD162" s="3" t="s">
        <v>1118</v>
      </c>
      <c r="AE162" s="91">
        <v>2017</v>
      </c>
      <c r="AF162" s="13" t="s">
        <v>43</v>
      </c>
      <c r="AG162" s="13">
        <v>439315</v>
      </c>
      <c r="AH162" s="45">
        <v>499989</v>
      </c>
      <c r="AI162" s="44" t="s">
        <v>216</v>
      </c>
      <c r="AJ162" s="2" t="s">
        <v>1114</v>
      </c>
      <c r="AK162" s="46" t="s">
        <v>1722</v>
      </c>
      <c r="AL162" s="55" t="s">
        <v>369</v>
      </c>
      <c r="AM162" s="45" t="s">
        <v>369</v>
      </c>
      <c r="AN162" s="56" t="s">
        <v>152</v>
      </c>
      <c r="AO162" s="23" t="s">
        <v>146</v>
      </c>
      <c r="AP162" s="11"/>
      <c r="AQ162" s="88" t="s">
        <v>1119</v>
      </c>
      <c r="AR162" s="57" t="s">
        <v>188</v>
      </c>
      <c r="AS162" s="46">
        <v>42908.689293981479</v>
      </c>
      <c r="AT162" s="3">
        <f t="shared" si="2"/>
        <v>132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42992.404930555553</v>
      </c>
      <c r="I163" s="43">
        <v>42690.412499999999</v>
      </c>
      <c r="J163" s="42">
        <v>42906.274409722224</v>
      </c>
      <c r="K163" s="81" t="s">
        <v>49</v>
      </c>
      <c r="L163" t="s">
        <v>49</v>
      </c>
      <c r="M163" t="s">
        <v>336</v>
      </c>
      <c r="N163" s="1" t="s">
        <v>336</v>
      </c>
      <c r="O163" s="1" t="s">
        <v>337</v>
      </c>
      <c r="P163" t="s">
        <v>337</v>
      </c>
      <c r="Q163" s="9" t="s">
        <v>45</v>
      </c>
      <c r="R163" s="82" t="s">
        <v>45</v>
      </c>
      <c r="S163" s="44" t="s">
        <v>192</v>
      </c>
      <c r="T163" s="3" t="s">
        <v>61</v>
      </c>
      <c r="U163" s="2" t="s">
        <v>29</v>
      </c>
      <c r="V163" s="3" t="s">
        <v>29</v>
      </c>
      <c r="W163" s="11" t="s">
        <v>153</v>
      </c>
      <c r="X163" s="3" t="s">
        <v>153</v>
      </c>
      <c r="Y163" s="77" t="s">
        <v>48</v>
      </c>
      <c r="Z163" s="84" t="s">
        <v>1121</v>
      </c>
      <c r="AA163" s="89" t="s">
        <v>28</v>
      </c>
      <c r="AB163" s="90" t="str">
        <f>HYPERLINK(CONCATENATE("https://www.ejacket.nsf.gov/ej/showProposal.do?ID=",SUBSTITUTE(SplitQueryTableRecent[[#This Row],[prop_id]],CHAR(160),"")),"eJ")</f>
        <v>eJ</v>
      </c>
      <c r="AC163" s="89" t="s">
        <v>1121</v>
      </c>
      <c r="AD163" s="3" t="s">
        <v>1121</v>
      </c>
      <c r="AE163" s="91">
        <v>2017</v>
      </c>
      <c r="AF163" s="13" t="s">
        <v>43</v>
      </c>
      <c r="AG163" s="13">
        <v>450000</v>
      </c>
      <c r="AH163" s="45">
        <v>500000</v>
      </c>
      <c r="AI163" s="44" t="s">
        <v>1123</v>
      </c>
      <c r="AJ163" s="2" t="s">
        <v>1124</v>
      </c>
      <c r="AK163" s="46" t="s">
        <v>1740</v>
      </c>
      <c r="AL163" s="55" t="s">
        <v>584</v>
      </c>
      <c r="AM163" s="45" t="s">
        <v>584</v>
      </c>
      <c r="AN163" s="56" t="s">
        <v>152</v>
      </c>
      <c r="AO163" s="23" t="s">
        <v>146</v>
      </c>
      <c r="AP163" s="11"/>
      <c r="AQ163" s="88" t="s">
        <v>1122</v>
      </c>
      <c r="AR163" s="57" t="s">
        <v>188</v>
      </c>
      <c r="AS163" s="46">
        <v>42912.661712962959</v>
      </c>
      <c r="AT163" s="3">
        <f t="shared" si="2"/>
        <v>133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42992.404930555553</v>
      </c>
      <c r="I164" s="43">
        <v>41584.715277777781</v>
      </c>
      <c r="J164" s="42">
        <v>41800.609895833331</v>
      </c>
      <c r="K164" s="81" t="s">
        <v>49</v>
      </c>
      <c r="L164" t="s">
        <v>49</v>
      </c>
      <c r="M164" t="s">
        <v>336</v>
      </c>
      <c r="N164" s="1" t="s">
        <v>336</v>
      </c>
      <c r="O164" s="1" t="s">
        <v>245</v>
      </c>
      <c r="P164" t="s">
        <v>245</v>
      </c>
      <c r="Q164" s="9" t="s">
        <v>45</v>
      </c>
      <c r="R164" s="82" t="s">
        <v>45</v>
      </c>
      <c r="S164" s="44" t="s">
        <v>173</v>
      </c>
      <c r="T164" s="3" t="s">
        <v>61</v>
      </c>
      <c r="U164" s="2" t="s">
        <v>29</v>
      </c>
      <c r="V164" s="3" t="s">
        <v>29</v>
      </c>
      <c r="W164" s="11" t="s">
        <v>153</v>
      </c>
      <c r="X164" s="3" t="s">
        <v>153</v>
      </c>
      <c r="Y164" s="77" t="s">
        <v>48</v>
      </c>
      <c r="Z164" s="84" t="s">
        <v>718</v>
      </c>
      <c r="AA164" s="89" t="s">
        <v>62</v>
      </c>
      <c r="AB164" s="90" t="str">
        <f>HYPERLINK(CONCATENATE("https://www.ejacket.nsf.gov/ej/showProposal.do?ID=",SUBSTITUTE(SplitQueryTableRecent[[#This Row],[prop_id]],CHAR(160),"")),"eJ")</f>
        <v>eJ</v>
      </c>
      <c r="AC164" s="89" t="s">
        <v>1125</v>
      </c>
      <c r="AD164" s="3" t="s">
        <v>1125</v>
      </c>
      <c r="AE164" s="91">
        <v>2014</v>
      </c>
      <c r="AF164" s="13" t="s">
        <v>43</v>
      </c>
      <c r="AG164" s="13">
        <v>199986</v>
      </c>
      <c r="AH164" s="45">
        <v>199986</v>
      </c>
      <c r="AI164" s="44" t="s">
        <v>1126</v>
      </c>
      <c r="AJ164" s="2" t="s">
        <v>1127</v>
      </c>
      <c r="AK164" s="46" t="s">
        <v>1731</v>
      </c>
      <c r="AL164" s="55" t="s">
        <v>353</v>
      </c>
      <c r="AM164" s="45" t="s">
        <v>353</v>
      </c>
      <c r="AN164" s="56" t="s">
        <v>152</v>
      </c>
      <c r="AO164" s="23" t="s">
        <v>146</v>
      </c>
      <c r="AP164" s="11"/>
      <c r="AQ164" s="88" t="s">
        <v>719</v>
      </c>
      <c r="AR164" s="57" t="s">
        <v>164</v>
      </c>
      <c r="AS164" s="46">
        <v>41810.372048611112</v>
      </c>
      <c r="AT164" s="3">
        <f t="shared" si="2"/>
        <v>134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42992.404930555553</v>
      </c>
      <c r="I165" s="43">
        <v>41653.638194444444</v>
      </c>
      <c r="J165" s="42">
        <v>41820.681030092594</v>
      </c>
      <c r="K165" s="81" t="s">
        <v>49</v>
      </c>
      <c r="L165" t="s">
        <v>49</v>
      </c>
      <c r="M165" t="s">
        <v>336</v>
      </c>
      <c r="N165" s="1" t="s">
        <v>336</v>
      </c>
      <c r="O165" s="1" t="s">
        <v>337</v>
      </c>
      <c r="P165" t="s">
        <v>337</v>
      </c>
      <c r="Q165" s="9" t="s">
        <v>45</v>
      </c>
      <c r="R165" s="82" t="s">
        <v>45</v>
      </c>
      <c r="S165" s="44" t="s">
        <v>173</v>
      </c>
      <c r="T165" s="3" t="s">
        <v>61</v>
      </c>
      <c r="U165" s="2" t="s">
        <v>29</v>
      </c>
      <c r="V165" s="3" t="s">
        <v>29</v>
      </c>
      <c r="W165" s="11" t="s">
        <v>153</v>
      </c>
      <c r="X165" s="3" t="s">
        <v>153</v>
      </c>
      <c r="Y165" s="77" t="s">
        <v>48</v>
      </c>
      <c r="Z165" s="84" t="s">
        <v>1128</v>
      </c>
      <c r="AA165" s="89" t="s">
        <v>28</v>
      </c>
      <c r="AB165" s="90" t="str">
        <f>HYPERLINK(CONCATENATE("https://www.ejacket.nsf.gov/ej/showProposal.do?ID=",SUBSTITUTE(SplitQueryTableRecent[[#This Row],[prop_id]],CHAR(160),"")),"eJ")</f>
        <v>eJ</v>
      </c>
      <c r="AC165" s="89" t="s">
        <v>1128</v>
      </c>
      <c r="AD165" s="3" t="s">
        <v>1128</v>
      </c>
      <c r="AE165" s="91">
        <v>2014</v>
      </c>
      <c r="AF165" s="13" t="s">
        <v>43</v>
      </c>
      <c r="AG165" s="13">
        <v>425239</v>
      </c>
      <c r="AH165" s="45">
        <v>467992</v>
      </c>
      <c r="AI165" s="44" t="s">
        <v>1126</v>
      </c>
      <c r="AJ165" s="2" t="s">
        <v>1127</v>
      </c>
      <c r="AK165" s="46" t="s">
        <v>1731</v>
      </c>
      <c r="AL165" s="55" t="s">
        <v>584</v>
      </c>
      <c r="AM165" s="45" t="s">
        <v>584</v>
      </c>
      <c r="AN165" s="56" t="s">
        <v>152</v>
      </c>
      <c r="AO165" s="23" t="s">
        <v>146</v>
      </c>
      <c r="AP165" s="11"/>
      <c r="AQ165" s="88" t="s">
        <v>1129</v>
      </c>
      <c r="AR165" s="57" t="s">
        <v>164</v>
      </c>
      <c r="AS165" s="46">
        <v>41836.325891203705</v>
      </c>
      <c r="AT165" s="3">
        <f t="shared" si="2"/>
        <v>135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42992.404930555553</v>
      </c>
      <c r="I166" s="43">
        <v>42326.654861111114</v>
      </c>
      <c r="J166" s="42">
        <v>42508.633379629631</v>
      </c>
      <c r="K166" s="81" t="s">
        <v>49</v>
      </c>
      <c r="L166" t="s">
        <v>49</v>
      </c>
      <c r="M166" t="s">
        <v>336</v>
      </c>
      <c r="N166" s="1" t="s">
        <v>336</v>
      </c>
      <c r="O166" s="1" t="s">
        <v>230</v>
      </c>
      <c r="P166" t="s">
        <v>230</v>
      </c>
      <c r="Q166" s="9" t="s">
        <v>45</v>
      </c>
      <c r="R166" s="82" t="s">
        <v>45</v>
      </c>
      <c r="S166" s="44" t="s">
        <v>196</v>
      </c>
      <c r="T166" s="3" t="s">
        <v>61</v>
      </c>
      <c r="U166" s="2" t="s">
        <v>29</v>
      </c>
      <c r="V166" s="3" t="s">
        <v>29</v>
      </c>
      <c r="W166" s="11" t="s">
        <v>153</v>
      </c>
      <c r="X166" s="3" t="s">
        <v>153</v>
      </c>
      <c r="Y166" s="77" t="s">
        <v>48</v>
      </c>
      <c r="Z166" s="84" t="s">
        <v>1130</v>
      </c>
      <c r="AA166" s="89" t="s">
        <v>28</v>
      </c>
      <c r="AB166" s="90" t="str">
        <f>HYPERLINK(CONCATENATE("https://www.ejacket.nsf.gov/ej/showProposal.do?ID=",SUBSTITUTE(SplitQueryTableRecent[[#This Row],[prop_id]],CHAR(160),"")),"eJ")</f>
        <v>eJ</v>
      </c>
      <c r="AC166" s="89" t="s">
        <v>1130</v>
      </c>
      <c r="AD166" s="3" t="s">
        <v>1130</v>
      </c>
      <c r="AE166" s="91">
        <v>2016</v>
      </c>
      <c r="AF166" s="13" t="s">
        <v>43</v>
      </c>
      <c r="AG166" s="13">
        <v>449094</v>
      </c>
      <c r="AH166" s="45">
        <v>449094</v>
      </c>
      <c r="AI166" s="44" t="s">
        <v>1126</v>
      </c>
      <c r="AJ166" s="2" t="s">
        <v>1127</v>
      </c>
      <c r="AK166" s="46" t="s">
        <v>1731</v>
      </c>
      <c r="AL166" s="55" t="s">
        <v>369</v>
      </c>
      <c r="AM166" s="45" t="s">
        <v>369</v>
      </c>
      <c r="AN166" s="56" t="s">
        <v>152</v>
      </c>
      <c r="AO166" s="23" t="s">
        <v>146</v>
      </c>
      <c r="AP166" s="11"/>
      <c r="AQ166" s="88" t="s">
        <v>1131</v>
      </c>
      <c r="AR166" s="57" t="s">
        <v>164</v>
      </c>
      <c r="AS166" s="46">
        <v>42548.365416666667</v>
      </c>
      <c r="AT166" s="3">
        <f t="shared" si="2"/>
        <v>136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42992.404930555553</v>
      </c>
      <c r="I167" s="43">
        <v>41653.652777777781</v>
      </c>
      <c r="J167" s="42">
        <v>41800.501631944448</v>
      </c>
      <c r="K167" s="81" t="s">
        <v>49</v>
      </c>
      <c r="L167" t="s">
        <v>49</v>
      </c>
      <c r="M167" t="s">
        <v>336</v>
      </c>
      <c r="N167" s="1" t="s">
        <v>336</v>
      </c>
      <c r="O167" s="1" t="s">
        <v>337</v>
      </c>
      <c r="P167" t="s">
        <v>337</v>
      </c>
      <c r="Q167" s="9" t="s">
        <v>45</v>
      </c>
      <c r="R167" s="82" t="s">
        <v>45</v>
      </c>
      <c r="S167" s="44" t="s">
        <v>173</v>
      </c>
      <c r="T167" s="3" t="s">
        <v>61</v>
      </c>
      <c r="U167" s="2" t="s">
        <v>29</v>
      </c>
      <c r="V167" s="3" t="s">
        <v>29</v>
      </c>
      <c r="W167" s="11" t="s">
        <v>153</v>
      </c>
      <c r="X167" s="3" t="s">
        <v>153</v>
      </c>
      <c r="Y167" s="77" t="s">
        <v>48</v>
      </c>
      <c r="Z167" s="84" t="s">
        <v>1133</v>
      </c>
      <c r="AA167" s="89" t="s">
        <v>28</v>
      </c>
      <c r="AB167" s="90" t="str">
        <f>HYPERLINK(CONCATENATE("https://www.ejacket.nsf.gov/ej/showProposal.do?ID=",SUBSTITUTE(SplitQueryTableRecent[[#This Row],[prop_id]],CHAR(160),"")),"eJ")</f>
        <v>eJ</v>
      </c>
      <c r="AC167" s="89" t="s">
        <v>1133</v>
      </c>
      <c r="AD167" s="3" t="s">
        <v>1133</v>
      </c>
      <c r="AE167" s="91">
        <v>2014</v>
      </c>
      <c r="AF167" s="13" t="s">
        <v>43</v>
      </c>
      <c r="AG167" s="13">
        <v>499962</v>
      </c>
      <c r="AH167" s="45">
        <v>499962</v>
      </c>
      <c r="AI167" s="44" t="s">
        <v>1135</v>
      </c>
      <c r="AJ167" s="2" t="s">
        <v>217</v>
      </c>
      <c r="AK167" s="46" t="s">
        <v>253</v>
      </c>
      <c r="AL167" s="55" t="s">
        <v>584</v>
      </c>
      <c r="AM167" s="45" t="s">
        <v>584</v>
      </c>
      <c r="AN167" s="56" t="s">
        <v>152</v>
      </c>
      <c r="AO167" s="23" t="s">
        <v>146</v>
      </c>
      <c r="AP167" s="11"/>
      <c r="AQ167" s="88" t="s">
        <v>1134</v>
      </c>
      <c r="AR167" s="57" t="s">
        <v>164</v>
      </c>
      <c r="AS167" s="46">
        <v>41810.368530092594</v>
      </c>
      <c r="AT167" s="3">
        <f t="shared" si="2"/>
        <v>137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42992.404930555553</v>
      </c>
      <c r="I168" s="43">
        <v>42578.645833333336</v>
      </c>
      <c r="J168" s="42">
        <v>42584.660069444442</v>
      </c>
      <c r="K168" s="81" t="s">
        <v>49</v>
      </c>
      <c r="L168" t="s">
        <v>49</v>
      </c>
      <c r="M168" t="s">
        <v>336</v>
      </c>
      <c r="N168" s="1" t="s">
        <v>336</v>
      </c>
      <c r="O168" s="1" t="s">
        <v>337</v>
      </c>
      <c r="P168" t="s">
        <v>337</v>
      </c>
      <c r="Q168" s="9" t="s">
        <v>65</v>
      </c>
      <c r="R168" s="82" t="s">
        <v>65</v>
      </c>
      <c r="S168" s="44" t="s">
        <v>60</v>
      </c>
      <c r="T168" s="3" t="s">
        <v>61</v>
      </c>
      <c r="U168" s="2" t="s">
        <v>29</v>
      </c>
      <c r="V168" s="3" t="s">
        <v>29</v>
      </c>
      <c r="W168" s="11" t="s">
        <v>153</v>
      </c>
      <c r="X168" s="3" t="s">
        <v>153</v>
      </c>
      <c r="Y168" s="77" t="s">
        <v>48</v>
      </c>
      <c r="Z168" s="84" t="s">
        <v>1138</v>
      </c>
      <c r="AA168" s="89" t="s">
        <v>28</v>
      </c>
      <c r="AB168" s="90" t="str">
        <f>HYPERLINK(CONCATENATE("https://www.ejacket.nsf.gov/ej/showProposal.do?ID=",SUBSTITUTE(SplitQueryTableRecent[[#This Row],[prop_id]],CHAR(160),"")),"eJ")</f>
        <v>eJ</v>
      </c>
      <c r="AC168" s="89" t="s">
        <v>1138</v>
      </c>
      <c r="AD168" s="3" t="s">
        <v>1138</v>
      </c>
      <c r="AE168" s="91">
        <v>2016</v>
      </c>
      <c r="AF168" s="13" t="s">
        <v>43</v>
      </c>
      <c r="AG168" s="13">
        <v>79824</v>
      </c>
      <c r="AH168" s="45">
        <v>79824</v>
      </c>
      <c r="AI168" s="44" t="s">
        <v>1135</v>
      </c>
      <c r="AJ168" s="2" t="s">
        <v>217</v>
      </c>
      <c r="AK168" s="46" t="s">
        <v>253</v>
      </c>
      <c r="AL168" s="55" t="s">
        <v>155</v>
      </c>
      <c r="AM168" s="45" t="s">
        <v>751</v>
      </c>
      <c r="AN168" s="56" t="s">
        <v>152</v>
      </c>
      <c r="AO168" s="23" t="s">
        <v>146</v>
      </c>
      <c r="AP168" s="11"/>
      <c r="AQ168" s="88" t="s">
        <v>1139</v>
      </c>
      <c r="AR168" s="57" t="s">
        <v>161</v>
      </c>
      <c r="AS168" s="46">
        <v>42619.599652777775</v>
      </c>
      <c r="AT168" s="3">
        <f t="shared" si="2"/>
        <v>138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42992.404930555553</v>
      </c>
      <c r="I169" s="43">
        <v>42018.636805555558</v>
      </c>
      <c r="J169" s="42">
        <v>42205.289467592593</v>
      </c>
      <c r="K169" s="81" t="s">
        <v>49</v>
      </c>
      <c r="L169" t="s">
        <v>49</v>
      </c>
      <c r="M169" t="s">
        <v>336</v>
      </c>
      <c r="N169" s="1" t="s">
        <v>336</v>
      </c>
      <c r="O169" s="1" t="s">
        <v>245</v>
      </c>
      <c r="P169" t="s">
        <v>245</v>
      </c>
      <c r="Q169" s="9" t="s">
        <v>45</v>
      </c>
      <c r="R169" s="82" t="s">
        <v>45</v>
      </c>
      <c r="S169" s="44" t="s">
        <v>184</v>
      </c>
      <c r="T169" s="3" t="s">
        <v>61</v>
      </c>
      <c r="U169" s="2" t="s">
        <v>29</v>
      </c>
      <c r="V169" s="3" t="s">
        <v>29</v>
      </c>
      <c r="W169" s="11" t="s">
        <v>153</v>
      </c>
      <c r="X169" s="3" t="s">
        <v>153</v>
      </c>
      <c r="Y169" s="77" t="s">
        <v>48</v>
      </c>
      <c r="Z169" s="84" t="s">
        <v>795</v>
      </c>
      <c r="AA169" s="89" t="s">
        <v>62</v>
      </c>
      <c r="AB169" s="90" t="str">
        <f>HYPERLINK(CONCATENATE("https://www.ejacket.nsf.gov/ej/showProposal.do?ID=",SUBSTITUTE(SplitQueryTableRecent[[#This Row],[prop_id]],CHAR(160),"")),"eJ")</f>
        <v>eJ</v>
      </c>
      <c r="AC169" s="89" t="s">
        <v>1142</v>
      </c>
      <c r="AD169" s="3" t="s">
        <v>1142</v>
      </c>
      <c r="AE169" s="91">
        <v>2015</v>
      </c>
      <c r="AF169" s="13" t="s">
        <v>43</v>
      </c>
      <c r="AG169" s="13">
        <v>115000</v>
      </c>
      <c r="AH169" s="45">
        <v>230000</v>
      </c>
      <c r="AI169" s="44" t="s">
        <v>1140</v>
      </c>
      <c r="AJ169" s="2" t="s">
        <v>1141</v>
      </c>
      <c r="AK169" s="46" t="s">
        <v>1724</v>
      </c>
      <c r="AL169" s="55" t="s">
        <v>369</v>
      </c>
      <c r="AM169" s="45" t="s">
        <v>369</v>
      </c>
      <c r="AN169" s="56" t="s">
        <v>152</v>
      </c>
      <c r="AO169" s="23" t="s">
        <v>146</v>
      </c>
      <c r="AP169" s="11"/>
      <c r="AQ169" s="88" t="s">
        <v>796</v>
      </c>
      <c r="AR169" s="57" t="s">
        <v>164</v>
      </c>
      <c r="AS169" s="46">
        <v>42269.593935185185</v>
      </c>
      <c r="AT169" s="3">
        <f t="shared" si="2"/>
        <v>139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42992.404930555553</v>
      </c>
      <c r="I170" s="43">
        <v>42790.604166666664</v>
      </c>
      <c r="J170" s="42">
        <v>42870.580682870372</v>
      </c>
      <c r="K170" s="81" t="s">
        <v>49</v>
      </c>
      <c r="L170" t="s">
        <v>49</v>
      </c>
      <c r="M170" t="s">
        <v>336</v>
      </c>
      <c r="N170" s="1" t="s">
        <v>336</v>
      </c>
      <c r="O170" s="1" t="s">
        <v>230</v>
      </c>
      <c r="P170" t="s">
        <v>230</v>
      </c>
      <c r="Q170" s="9" t="s">
        <v>65</v>
      </c>
      <c r="R170" s="82" t="s">
        <v>65</v>
      </c>
      <c r="S170" s="44" t="s">
        <v>139</v>
      </c>
      <c r="T170" s="3" t="s">
        <v>61</v>
      </c>
      <c r="U170" s="2" t="s">
        <v>29</v>
      </c>
      <c r="V170" s="3" t="s">
        <v>29</v>
      </c>
      <c r="W170" s="11" t="s">
        <v>153</v>
      </c>
      <c r="X170" s="3" t="s">
        <v>153</v>
      </c>
      <c r="Y170" s="77" t="s">
        <v>48</v>
      </c>
      <c r="Z170" s="84" t="s">
        <v>1143</v>
      </c>
      <c r="AA170" s="89" t="s">
        <v>28</v>
      </c>
      <c r="AB170" s="90" t="str">
        <f>HYPERLINK(CONCATENATE("https://www.ejacket.nsf.gov/ej/showProposal.do?ID=",SUBSTITUTE(SplitQueryTableRecent[[#This Row],[prop_id]],CHAR(160),"")),"eJ")</f>
        <v>eJ</v>
      </c>
      <c r="AC170" s="89" t="s">
        <v>1143</v>
      </c>
      <c r="AD170" s="3" t="s">
        <v>1143</v>
      </c>
      <c r="AE170" s="91">
        <v>2017</v>
      </c>
      <c r="AF170" s="13" t="s">
        <v>43</v>
      </c>
      <c r="AG170" s="13">
        <v>10000</v>
      </c>
      <c r="AH170" s="45">
        <v>20000</v>
      </c>
      <c r="AI170" s="44" t="s">
        <v>1140</v>
      </c>
      <c r="AJ170" s="2" t="s">
        <v>1141</v>
      </c>
      <c r="AK170" s="46" t="s">
        <v>1724</v>
      </c>
      <c r="AL170" s="55" t="s">
        <v>960</v>
      </c>
      <c r="AM170" s="45" t="s">
        <v>960</v>
      </c>
      <c r="AN170" s="56" t="s">
        <v>152</v>
      </c>
      <c r="AO170" s="23" t="s">
        <v>146</v>
      </c>
      <c r="AP170" s="11"/>
      <c r="AQ170" s="88" t="s">
        <v>1144</v>
      </c>
      <c r="AR170" s="57" t="s">
        <v>188</v>
      </c>
      <c r="AS170" s="46">
        <v>42912.546840277777</v>
      </c>
      <c r="AT170" s="3">
        <f t="shared" si="2"/>
        <v>140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42992.404930555553</v>
      </c>
      <c r="I171" s="43">
        <v>42018.668749999997</v>
      </c>
      <c r="J171" s="42">
        <v>42203.549837962964</v>
      </c>
      <c r="K171" s="81" t="s">
        <v>137</v>
      </c>
      <c r="L171" t="s">
        <v>49</v>
      </c>
      <c r="M171" t="s">
        <v>344</v>
      </c>
      <c r="N171" s="1" t="s">
        <v>336</v>
      </c>
      <c r="O171" s="1" t="s">
        <v>1097</v>
      </c>
      <c r="P171" t="s">
        <v>245</v>
      </c>
      <c r="Q171" s="9" t="s">
        <v>45</v>
      </c>
      <c r="R171" s="82" t="s">
        <v>45</v>
      </c>
      <c r="S171" s="44" t="s">
        <v>541</v>
      </c>
      <c r="T171" s="3" t="s">
        <v>61</v>
      </c>
      <c r="U171" s="2" t="s">
        <v>29</v>
      </c>
      <c r="V171" s="3" t="s">
        <v>29</v>
      </c>
      <c r="W171" s="11" t="s">
        <v>153</v>
      </c>
      <c r="X171" s="3" t="s">
        <v>153</v>
      </c>
      <c r="Y171" s="77" t="s">
        <v>334</v>
      </c>
      <c r="Z171" s="84" t="s">
        <v>1145</v>
      </c>
      <c r="AA171" s="89" t="s">
        <v>28</v>
      </c>
      <c r="AB171" s="90" t="str">
        <f>HYPERLINK(CONCATENATE("https://www.ejacket.nsf.gov/ej/showProposal.do?ID=",SUBSTITUTE(SplitQueryTableRecent[[#This Row],[prop_id]],CHAR(160),"")),"eJ")</f>
        <v>eJ</v>
      </c>
      <c r="AC171" s="89" t="s">
        <v>1145</v>
      </c>
      <c r="AD171" s="3" t="s">
        <v>1145</v>
      </c>
      <c r="AE171" s="91">
        <v>2015</v>
      </c>
      <c r="AF171" s="13" t="s">
        <v>44</v>
      </c>
      <c r="AG171" s="13">
        <v>210007</v>
      </c>
      <c r="AH171" s="45">
        <v>420015</v>
      </c>
      <c r="AI171" s="44" t="s">
        <v>1140</v>
      </c>
      <c r="AJ171" s="2" t="s">
        <v>1141</v>
      </c>
      <c r="AK171" s="46" t="s">
        <v>1724</v>
      </c>
      <c r="AL171" s="55" t="s">
        <v>544</v>
      </c>
      <c r="AM171" s="45" t="s">
        <v>369</v>
      </c>
      <c r="AN171" s="56" t="s">
        <v>152</v>
      </c>
      <c r="AO171" s="23" t="s">
        <v>146</v>
      </c>
      <c r="AP171" s="11"/>
      <c r="AQ171" s="88" t="s">
        <v>1146</v>
      </c>
      <c r="AR171" s="57" t="s">
        <v>164</v>
      </c>
      <c r="AS171" s="46">
        <v>42240.59511574074</v>
      </c>
      <c r="AT171" s="3">
        <f t="shared" si="2"/>
        <v>141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42992.404930555553</v>
      </c>
      <c r="I172" s="43">
        <v>42326.823611111111</v>
      </c>
      <c r="J172" s="42">
        <v>42507.571793981479</v>
      </c>
      <c r="K172" s="81" t="s">
        <v>49</v>
      </c>
      <c r="L172" t="s">
        <v>49</v>
      </c>
      <c r="M172" t="s">
        <v>336</v>
      </c>
      <c r="N172" s="1" t="s">
        <v>336</v>
      </c>
      <c r="O172" s="1" t="s">
        <v>230</v>
      </c>
      <c r="P172" t="s">
        <v>230</v>
      </c>
      <c r="Q172" s="9" t="s">
        <v>45</v>
      </c>
      <c r="R172" s="82" t="s">
        <v>45</v>
      </c>
      <c r="S172" s="44" t="s">
        <v>196</v>
      </c>
      <c r="T172" s="3" t="s">
        <v>61</v>
      </c>
      <c r="U172" s="2" t="s">
        <v>29</v>
      </c>
      <c r="V172" s="3" t="s">
        <v>29</v>
      </c>
      <c r="W172" s="11" t="s">
        <v>153</v>
      </c>
      <c r="X172" s="3" t="s">
        <v>153</v>
      </c>
      <c r="Y172" s="77" t="s">
        <v>48</v>
      </c>
      <c r="Z172" s="84" t="s">
        <v>1147</v>
      </c>
      <c r="AA172" s="89" t="s">
        <v>28</v>
      </c>
      <c r="AB172" s="90" t="str">
        <f>HYPERLINK(CONCATENATE("https://www.ejacket.nsf.gov/ej/showProposal.do?ID=",SUBSTITUTE(SplitQueryTableRecent[[#This Row],[prop_id]],CHAR(160),"")),"eJ")</f>
        <v>eJ</v>
      </c>
      <c r="AC172" s="89" t="s">
        <v>1147</v>
      </c>
      <c r="AD172" s="3" t="s">
        <v>1147</v>
      </c>
      <c r="AE172" s="91">
        <v>2016</v>
      </c>
      <c r="AF172" s="13" t="s">
        <v>43</v>
      </c>
      <c r="AG172" s="13">
        <v>499468</v>
      </c>
      <c r="AH172" s="45">
        <v>499468</v>
      </c>
      <c r="AI172" s="44" t="s">
        <v>1149</v>
      </c>
      <c r="AJ172" s="2" t="s">
        <v>1150</v>
      </c>
      <c r="AK172" s="46" t="s">
        <v>1729</v>
      </c>
      <c r="AL172" s="55" t="s">
        <v>601</v>
      </c>
      <c r="AM172" s="45" t="s">
        <v>580</v>
      </c>
      <c r="AN172" s="56" t="s">
        <v>152</v>
      </c>
      <c r="AO172" s="23" t="s">
        <v>146</v>
      </c>
      <c r="AP172" s="11"/>
      <c r="AQ172" s="88" t="s">
        <v>1148</v>
      </c>
      <c r="AR172" s="57" t="s">
        <v>164</v>
      </c>
      <c r="AS172" s="46">
        <v>42531.49554398148</v>
      </c>
      <c r="AT172" s="3">
        <f t="shared" si="2"/>
        <v>142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42992.404930555553</v>
      </c>
      <c r="I173" s="43">
        <v>41653.632638888892</v>
      </c>
      <c r="J173" s="42">
        <v>41815.690127314818</v>
      </c>
      <c r="K173" s="81" t="s">
        <v>49</v>
      </c>
      <c r="L173" t="s">
        <v>49</v>
      </c>
      <c r="M173" t="s">
        <v>336</v>
      </c>
      <c r="N173" s="1" t="s">
        <v>336</v>
      </c>
      <c r="O173" s="1" t="s">
        <v>245</v>
      </c>
      <c r="P173" t="s">
        <v>245</v>
      </c>
      <c r="Q173" s="9" t="s">
        <v>45</v>
      </c>
      <c r="R173" s="82" t="s">
        <v>45</v>
      </c>
      <c r="S173" s="44" t="s">
        <v>173</v>
      </c>
      <c r="T173" s="3" t="s">
        <v>61</v>
      </c>
      <c r="U173" s="2" t="s">
        <v>29</v>
      </c>
      <c r="V173" s="3" t="s">
        <v>29</v>
      </c>
      <c r="W173" s="11" t="s">
        <v>153</v>
      </c>
      <c r="X173" s="3" t="s">
        <v>153</v>
      </c>
      <c r="Y173" s="77" t="s">
        <v>48</v>
      </c>
      <c r="Z173" s="84" t="s">
        <v>1151</v>
      </c>
      <c r="AA173" s="89" t="s">
        <v>28</v>
      </c>
      <c r="AB173" s="90" t="str">
        <f>HYPERLINK(CONCATENATE("https://www.ejacket.nsf.gov/ej/showProposal.do?ID=",SUBSTITUTE(SplitQueryTableRecent[[#This Row],[prop_id]],CHAR(160),"")),"eJ")</f>
        <v>eJ</v>
      </c>
      <c r="AC173" s="89" t="s">
        <v>1151</v>
      </c>
      <c r="AD173" s="3" t="s">
        <v>1151</v>
      </c>
      <c r="AE173" s="91">
        <v>2014</v>
      </c>
      <c r="AF173" s="13" t="s">
        <v>43</v>
      </c>
      <c r="AG173" s="13">
        <v>500000</v>
      </c>
      <c r="AH173" s="45">
        <v>500000</v>
      </c>
      <c r="AI173" s="44" t="s">
        <v>1153</v>
      </c>
      <c r="AJ173" s="2" t="s">
        <v>320</v>
      </c>
      <c r="AK173" s="46" t="s">
        <v>1736</v>
      </c>
      <c r="AL173" s="55" t="s">
        <v>369</v>
      </c>
      <c r="AM173" s="45" t="s">
        <v>369</v>
      </c>
      <c r="AN173" s="56" t="s">
        <v>152</v>
      </c>
      <c r="AO173" s="23" t="s">
        <v>146</v>
      </c>
      <c r="AP173" s="11"/>
      <c r="AQ173" s="88" t="s">
        <v>1152</v>
      </c>
      <c r="AR173" s="57" t="s">
        <v>164</v>
      </c>
      <c r="AS173" s="46">
        <v>41830.667407407411</v>
      </c>
      <c r="AT173" s="3">
        <f t="shared" si="2"/>
        <v>143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42992.404930555553</v>
      </c>
      <c r="I174" s="43">
        <v>42522.727083333331</v>
      </c>
      <c r="J174" s="42">
        <v>42536.392777777779</v>
      </c>
      <c r="K174" s="81" t="s">
        <v>49</v>
      </c>
      <c r="L174" t="s">
        <v>49</v>
      </c>
      <c r="M174" t="s">
        <v>336</v>
      </c>
      <c r="N174" s="1" t="s">
        <v>336</v>
      </c>
      <c r="O174" s="1" t="s">
        <v>230</v>
      </c>
      <c r="P174" t="s">
        <v>230</v>
      </c>
      <c r="Q174" s="9" t="s">
        <v>45</v>
      </c>
      <c r="R174" s="82" t="s">
        <v>45</v>
      </c>
      <c r="S174" s="44" t="s">
        <v>60</v>
      </c>
      <c r="T174" s="3" t="s">
        <v>61</v>
      </c>
      <c r="U174" s="2" t="s">
        <v>29</v>
      </c>
      <c r="V174" s="3" t="s">
        <v>29</v>
      </c>
      <c r="W174" s="11" t="s">
        <v>153</v>
      </c>
      <c r="X174" s="3" t="s">
        <v>153</v>
      </c>
      <c r="Y174" s="77" t="s">
        <v>48</v>
      </c>
      <c r="Z174" s="84" t="s">
        <v>1154</v>
      </c>
      <c r="AA174" s="89" t="s">
        <v>28</v>
      </c>
      <c r="AB174" s="90" t="str">
        <f>HYPERLINK(CONCATENATE("https://www.ejacket.nsf.gov/ej/showProposal.do?ID=",SUBSTITUTE(SplitQueryTableRecent[[#This Row],[prop_id]],CHAR(160),"")),"eJ")</f>
        <v>eJ</v>
      </c>
      <c r="AC174" s="89" t="s">
        <v>1154</v>
      </c>
      <c r="AD174" s="3" t="s">
        <v>1154</v>
      </c>
      <c r="AE174" s="91">
        <v>2016</v>
      </c>
      <c r="AF174" s="13" t="s">
        <v>43</v>
      </c>
      <c r="AG174" s="13">
        <v>249999</v>
      </c>
      <c r="AH174" s="45">
        <v>249999</v>
      </c>
      <c r="AI174" s="44" t="s">
        <v>1153</v>
      </c>
      <c r="AJ174" s="2" t="s">
        <v>320</v>
      </c>
      <c r="AK174" s="46" t="s">
        <v>1736</v>
      </c>
      <c r="AL174" s="55" t="s">
        <v>574</v>
      </c>
      <c r="AM174" s="45" t="s">
        <v>574</v>
      </c>
      <c r="AN174" s="56" t="s">
        <v>152</v>
      </c>
      <c r="AO174" s="23" t="s">
        <v>146</v>
      </c>
      <c r="AP174" s="11"/>
      <c r="AQ174" s="88" t="s">
        <v>1155</v>
      </c>
      <c r="AR174" s="57" t="s">
        <v>164</v>
      </c>
      <c r="AS174" s="46">
        <v>42559.370034722226</v>
      </c>
      <c r="AT174" s="3">
        <f t="shared" si="2"/>
        <v>144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42992.404930555553</v>
      </c>
      <c r="I175" s="43">
        <v>41653.696527777778</v>
      </c>
      <c r="J175" s="42">
        <v>41834.645428240743</v>
      </c>
      <c r="K175" s="81" t="s">
        <v>49</v>
      </c>
      <c r="L175" t="s">
        <v>49</v>
      </c>
      <c r="M175" t="s">
        <v>336</v>
      </c>
      <c r="N175" s="1" t="s">
        <v>336</v>
      </c>
      <c r="O175" s="1" t="s">
        <v>245</v>
      </c>
      <c r="P175" t="s">
        <v>245</v>
      </c>
      <c r="Q175" s="9" t="s">
        <v>45</v>
      </c>
      <c r="R175" s="82" t="s">
        <v>45</v>
      </c>
      <c r="S175" s="44" t="s">
        <v>173</v>
      </c>
      <c r="T175" s="3" t="s">
        <v>61</v>
      </c>
      <c r="U175" s="2" t="s">
        <v>29</v>
      </c>
      <c r="V175" s="3" t="s">
        <v>29</v>
      </c>
      <c r="W175" s="11" t="s">
        <v>153</v>
      </c>
      <c r="X175" s="3" t="s">
        <v>153</v>
      </c>
      <c r="Y175" s="77" t="s">
        <v>48</v>
      </c>
      <c r="Z175" s="84" t="s">
        <v>1157</v>
      </c>
      <c r="AA175" s="89" t="s">
        <v>28</v>
      </c>
      <c r="AB175" s="90" t="str">
        <f>HYPERLINK(CONCATENATE("https://www.ejacket.nsf.gov/ej/showProposal.do?ID=",SUBSTITUTE(SplitQueryTableRecent[[#This Row],[prop_id]],CHAR(160),"")),"eJ")</f>
        <v>eJ</v>
      </c>
      <c r="AC175" s="89" t="s">
        <v>1157</v>
      </c>
      <c r="AD175" s="3" t="s">
        <v>1157</v>
      </c>
      <c r="AE175" s="91">
        <v>2014</v>
      </c>
      <c r="AF175" s="13" t="s">
        <v>43</v>
      </c>
      <c r="AG175" s="13">
        <v>274361</v>
      </c>
      <c r="AH175" s="45">
        <v>482944</v>
      </c>
      <c r="AI175" s="44" t="s">
        <v>1156</v>
      </c>
      <c r="AJ175" s="2" t="s">
        <v>213</v>
      </c>
      <c r="AK175" s="46" t="s">
        <v>1709</v>
      </c>
      <c r="AL175" s="55" t="s">
        <v>369</v>
      </c>
      <c r="AM175" s="45" t="s">
        <v>369</v>
      </c>
      <c r="AN175" s="56" t="s">
        <v>152</v>
      </c>
      <c r="AO175" s="23" t="s">
        <v>146</v>
      </c>
      <c r="AP175" s="11"/>
      <c r="AQ175" s="88" t="s">
        <v>1158</v>
      </c>
      <c r="AR175" s="57" t="s">
        <v>164</v>
      </c>
      <c r="AS175" s="46">
        <v>41848.48574074074</v>
      </c>
      <c r="AT175" s="3">
        <f t="shared" si="2"/>
        <v>145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42992.404930555553</v>
      </c>
      <c r="I176" s="43">
        <v>42326.538888888892</v>
      </c>
      <c r="J176" s="42">
        <v>42508.627766203703</v>
      </c>
      <c r="K176" s="81" t="s">
        <v>49</v>
      </c>
      <c r="L176" t="s">
        <v>49</v>
      </c>
      <c r="M176" t="s">
        <v>336</v>
      </c>
      <c r="N176" s="1" t="s">
        <v>336</v>
      </c>
      <c r="O176" s="1" t="s">
        <v>230</v>
      </c>
      <c r="P176" t="s">
        <v>230</v>
      </c>
      <c r="Q176" s="9" t="s">
        <v>45</v>
      </c>
      <c r="R176" s="82" t="s">
        <v>45</v>
      </c>
      <c r="S176" s="44" t="s">
        <v>196</v>
      </c>
      <c r="T176" s="3" t="s">
        <v>61</v>
      </c>
      <c r="U176" s="2" t="s">
        <v>29</v>
      </c>
      <c r="V176" s="3" t="s">
        <v>29</v>
      </c>
      <c r="W176" s="11" t="s">
        <v>153</v>
      </c>
      <c r="X176" s="3" t="s">
        <v>153</v>
      </c>
      <c r="Y176" s="77" t="s">
        <v>48</v>
      </c>
      <c r="Z176" s="84" t="s">
        <v>1159</v>
      </c>
      <c r="AA176" s="89" t="s">
        <v>28</v>
      </c>
      <c r="AB176" s="90" t="str">
        <f>HYPERLINK(CONCATENATE("https://www.ejacket.nsf.gov/ej/showProposal.do?ID=",SUBSTITUTE(SplitQueryTableRecent[[#This Row],[prop_id]],CHAR(160),"")),"eJ")</f>
        <v>eJ</v>
      </c>
      <c r="AC176" s="89" t="s">
        <v>1159</v>
      </c>
      <c r="AD176" s="3" t="s">
        <v>1159</v>
      </c>
      <c r="AE176" s="91">
        <v>2016</v>
      </c>
      <c r="AF176" s="13" t="s">
        <v>43</v>
      </c>
      <c r="AG176" s="13">
        <v>496285</v>
      </c>
      <c r="AH176" s="45">
        <v>496285</v>
      </c>
      <c r="AI176" s="44" t="s">
        <v>1156</v>
      </c>
      <c r="AJ176" s="2" t="s">
        <v>213</v>
      </c>
      <c r="AK176" s="46" t="s">
        <v>1709</v>
      </c>
      <c r="AL176" s="55" t="s">
        <v>369</v>
      </c>
      <c r="AM176" s="45" t="s">
        <v>369</v>
      </c>
      <c r="AN176" s="56" t="s">
        <v>152</v>
      </c>
      <c r="AO176" s="23" t="s">
        <v>146</v>
      </c>
      <c r="AP176" s="11"/>
      <c r="AQ176" s="88" t="s">
        <v>1160</v>
      </c>
      <c r="AR176" s="57" t="s">
        <v>164</v>
      </c>
      <c r="AS176" s="46">
        <v>42548.329398148147</v>
      </c>
      <c r="AT176" s="3">
        <f t="shared" si="2"/>
        <v>146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42992.404930555553</v>
      </c>
      <c r="I177" s="43">
        <v>42690.614583333336</v>
      </c>
      <c r="J177" s="42">
        <v>42912.665439814817</v>
      </c>
      <c r="K177" s="81" t="s">
        <v>49</v>
      </c>
      <c r="L177" t="s">
        <v>49</v>
      </c>
      <c r="M177" t="s">
        <v>336</v>
      </c>
      <c r="N177" s="1" t="s">
        <v>336</v>
      </c>
      <c r="O177" s="1" t="s">
        <v>337</v>
      </c>
      <c r="P177" t="s">
        <v>337</v>
      </c>
      <c r="Q177" s="9" t="s">
        <v>45</v>
      </c>
      <c r="R177" s="82" t="s">
        <v>45</v>
      </c>
      <c r="S177" s="44" t="s">
        <v>192</v>
      </c>
      <c r="T177" s="3" t="s">
        <v>61</v>
      </c>
      <c r="U177" s="2" t="s">
        <v>29</v>
      </c>
      <c r="V177" s="3" t="s">
        <v>29</v>
      </c>
      <c r="W177" s="11" t="s">
        <v>153</v>
      </c>
      <c r="X177" s="3" t="s">
        <v>153</v>
      </c>
      <c r="Y177" s="77" t="s">
        <v>48</v>
      </c>
      <c r="Z177" s="84" t="s">
        <v>1171</v>
      </c>
      <c r="AA177" s="89" t="s">
        <v>28</v>
      </c>
      <c r="AB177" s="90" t="str">
        <f>HYPERLINK(CONCATENATE("https://www.ejacket.nsf.gov/ej/showProposal.do?ID=",SUBSTITUTE(SplitQueryTableRecent[[#This Row],[prop_id]],CHAR(160),"")),"eJ")</f>
        <v>eJ</v>
      </c>
      <c r="AC177" s="89" t="s">
        <v>1171</v>
      </c>
      <c r="AD177" s="3" t="s">
        <v>1171</v>
      </c>
      <c r="AE177" s="91">
        <v>2017</v>
      </c>
      <c r="AF177" s="13" t="s">
        <v>43</v>
      </c>
      <c r="AG177" s="13">
        <v>449996</v>
      </c>
      <c r="AH177" s="45">
        <v>499663</v>
      </c>
      <c r="AI177" s="44" t="s">
        <v>1169</v>
      </c>
      <c r="AJ177" s="2" t="s">
        <v>1170</v>
      </c>
      <c r="AK177" s="46" t="s">
        <v>1733</v>
      </c>
      <c r="AL177" s="55" t="s">
        <v>584</v>
      </c>
      <c r="AM177" s="45" t="s">
        <v>584</v>
      </c>
      <c r="AN177" s="56" t="s">
        <v>152</v>
      </c>
      <c r="AO177" s="23" t="s">
        <v>146</v>
      </c>
      <c r="AP177" s="11"/>
      <c r="AQ177" s="88" t="s">
        <v>1172</v>
      </c>
      <c r="AR177" s="57" t="s">
        <v>188</v>
      </c>
      <c r="AS177" s="46">
        <v>42923.661909722221</v>
      </c>
      <c r="AT177" s="3">
        <f t="shared" si="2"/>
        <v>147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42992.404930555553</v>
      </c>
      <c r="I178" s="43">
        <v>41653.575694444444</v>
      </c>
      <c r="J178" s="42">
        <v>41799.528634259259</v>
      </c>
      <c r="K178" s="81" t="s">
        <v>49</v>
      </c>
      <c r="L178" t="s">
        <v>49</v>
      </c>
      <c r="M178" t="s">
        <v>336</v>
      </c>
      <c r="N178" s="1" t="s">
        <v>336</v>
      </c>
      <c r="O178" s="1" t="s">
        <v>337</v>
      </c>
      <c r="P178" t="s">
        <v>337</v>
      </c>
      <c r="Q178" s="9" t="s">
        <v>45</v>
      </c>
      <c r="R178" s="82" t="s">
        <v>45</v>
      </c>
      <c r="S178" s="44" t="s">
        <v>173</v>
      </c>
      <c r="T178" s="3" t="s">
        <v>61</v>
      </c>
      <c r="U178" s="2" t="s">
        <v>29</v>
      </c>
      <c r="V178" s="3" t="s">
        <v>29</v>
      </c>
      <c r="W178" s="11" t="s">
        <v>153</v>
      </c>
      <c r="X178" s="3" t="s">
        <v>153</v>
      </c>
      <c r="Y178" s="77" t="s">
        <v>48</v>
      </c>
      <c r="Z178" s="84" t="s">
        <v>1173</v>
      </c>
      <c r="AA178" s="89" t="s">
        <v>28</v>
      </c>
      <c r="AB178" s="90" t="str">
        <f>HYPERLINK(CONCATENATE("https://www.ejacket.nsf.gov/ej/showProposal.do?ID=",SUBSTITUTE(SplitQueryTableRecent[[#This Row],[prop_id]],CHAR(160),"")),"eJ")</f>
        <v>eJ</v>
      </c>
      <c r="AC178" s="89" t="s">
        <v>1173</v>
      </c>
      <c r="AD178" s="3" t="s">
        <v>1173</v>
      </c>
      <c r="AE178" s="91">
        <v>2014</v>
      </c>
      <c r="AF178" s="13" t="s">
        <v>43</v>
      </c>
      <c r="AG178" s="13">
        <v>297101</v>
      </c>
      <c r="AH178" s="45">
        <v>297101</v>
      </c>
      <c r="AI178" s="44" t="s">
        <v>1175</v>
      </c>
      <c r="AJ178" s="2" t="s">
        <v>1176</v>
      </c>
      <c r="AK178" s="46" t="s">
        <v>304</v>
      </c>
      <c r="AL178" s="55" t="s">
        <v>584</v>
      </c>
      <c r="AM178" s="45" t="s">
        <v>584</v>
      </c>
      <c r="AN178" s="56" t="s">
        <v>152</v>
      </c>
      <c r="AO178" s="23" t="s">
        <v>146</v>
      </c>
      <c r="AP178" s="11"/>
      <c r="AQ178" s="88" t="s">
        <v>1174</v>
      </c>
      <c r="AR178" s="57" t="s">
        <v>164</v>
      </c>
      <c r="AS178" s="46">
        <v>41808.557500000003</v>
      </c>
      <c r="AT178" s="3">
        <f t="shared" si="2"/>
        <v>148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42992.404930555553</v>
      </c>
      <c r="I179" s="43">
        <v>42018.64166666667</v>
      </c>
      <c r="J179" s="42">
        <v>42159.370856481481</v>
      </c>
      <c r="K179" s="81" t="s">
        <v>49</v>
      </c>
      <c r="L179" t="s">
        <v>49</v>
      </c>
      <c r="M179" t="s">
        <v>336</v>
      </c>
      <c r="N179" s="1" t="s">
        <v>336</v>
      </c>
      <c r="O179" s="1" t="s">
        <v>245</v>
      </c>
      <c r="P179" t="s">
        <v>245</v>
      </c>
      <c r="Q179" s="9" t="s">
        <v>45</v>
      </c>
      <c r="R179" s="82" t="s">
        <v>45</v>
      </c>
      <c r="S179" s="44" t="s">
        <v>184</v>
      </c>
      <c r="T179" s="3" t="s">
        <v>61</v>
      </c>
      <c r="U179" s="2" t="s">
        <v>29</v>
      </c>
      <c r="V179" s="3" t="s">
        <v>29</v>
      </c>
      <c r="W179" s="11" t="s">
        <v>153</v>
      </c>
      <c r="X179" s="3" t="s">
        <v>153</v>
      </c>
      <c r="Y179" s="77" t="s">
        <v>48</v>
      </c>
      <c r="Z179" s="84" t="s">
        <v>946</v>
      </c>
      <c r="AA179" s="89" t="s">
        <v>62</v>
      </c>
      <c r="AB179" s="90" t="str">
        <f>HYPERLINK(CONCATENATE("https://www.ejacket.nsf.gov/ej/showProposal.do?ID=",SUBSTITUTE(SplitQueryTableRecent[[#This Row],[prop_id]],CHAR(160),"")),"eJ")</f>
        <v>eJ</v>
      </c>
      <c r="AC179" s="89" t="s">
        <v>1177</v>
      </c>
      <c r="AD179" s="3" t="s">
        <v>1177</v>
      </c>
      <c r="AE179" s="91">
        <v>2015</v>
      </c>
      <c r="AF179" s="13" t="s">
        <v>43</v>
      </c>
      <c r="AG179" s="13">
        <v>150000</v>
      </c>
      <c r="AH179" s="45">
        <v>150000</v>
      </c>
      <c r="AI179" s="44" t="s">
        <v>1178</v>
      </c>
      <c r="AJ179" s="2" t="s">
        <v>1179</v>
      </c>
      <c r="AK179" s="46" t="s">
        <v>1717</v>
      </c>
      <c r="AL179" s="55" t="s">
        <v>369</v>
      </c>
      <c r="AM179" s="45" t="s">
        <v>369</v>
      </c>
      <c r="AN179" s="56" t="s">
        <v>152</v>
      </c>
      <c r="AO179" s="23" t="s">
        <v>146</v>
      </c>
      <c r="AP179" s="11"/>
      <c r="AQ179" s="88" t="s">
        <v>947</v>
      </c>
      <c r="AR179" s="57" t="s">
        <v>164</v>
      </c>
      <c r="AS179" s="46">
        <v>42184.405358796299</v>
      </c>
      <c r="AT179" s="3">
        <f t="shared" si="2"/>
        <v>149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42992.404930555553</v>
      </c>
      <c r="I180" s="43">
        <v>42690.665972222225</v>
      </c>
      <c r="J180" s="42">
        <v>42930.449884259258</v>
      </c>
      <c r="K180" s="81" t="s">
        <v>49</v>
      </c>
      <c r="L180" t="s">
        <v>49</v>
      </c>
      <c r="M180" t="s">
        <v>336</v>
      </c>
      <c r="N180" s="1" t="s">
        <v>336</v>
      </c>
      <c r="O180" s="1" t="s">
        <v>245</v>
      </c>
      <c r="P180" t="s">
        <v>245</v>
      </c>
      <c r="Q180" s="9" t="s">
        <v>45</v>
      </c>
      <c r="R180" s="82" t="s">
        <v>45</v>
      </c>
      <c r="S180" s="44" t="s">
        <v>192</v>
      </c>
      <c r="T180" s="3" t="s">
        <v>61</v>
      </c>
      <c r="U180" s="2" t="s">
        <v>29</v>
      </c>
      <c r="V180" s="3" t="s">
        <v>29</v>
      </c>
      <c r="W180" s="11" t="s">
        <v>153</v>
      </c>
      <c r="X180" s="3" t="s">
        <v>153</v>
      </c>
      <c r="Y180" s="77" t="s">
        <v>48</v>
      </c>
      <c r="Z180" s="84" t="s">
        <v>1180</v>
      </c>
      <c r="AA180" s="89" t="s">
        <v>28</v>
      </c>
      <c r="AB180" s="90" t="str">
        <f>HYPERLINK(CONCATENATE("https://www.ejacket.nsf.gov/ej/showProposal.do?ID=",SUBSTITUTE(SplitQueryTableRecent[[#This Row],[prop_id]],CHAR(160),"")),"eJ")</f>
        <v>eJ</v>
      </c>
      <c r="AC180" s="89" t="s">
        <v>1180</v>
      </c>
      <c r="AD180" s="3" t="s">
        <v>1180</v>
      </c>
      <c r="AE180" s="91">
        <v>2017</v>
      </c>
      <c r="AF180" s="13" t="s">
        <v>43</v>
      </c>
      <c r="AG180" s="13">
        <v>470000</v>
      </c>
      <c r="AH180" s="45">
        <v>499999</v>
      </c>
      <c r="AI180" s="44" t="s">
        <v>1178</v>
      </c>
      <c r="AJ180" s="2" t="s">
        <v>1179</v>
      </c>
      <c r="AK180" s="46" t="s">
        <v>1717</v>
      </c>
      <c r="AL180" s="55" t="s">
        <v>707</v>
      </c>
      <c r="AM180" s="45" t="s">
        <v>707</v>
      </c>
      <c r="AN180" s="56" t="s">
        <v>152</v>
      </c>
      <c r="AO180" s="23" t="s">
        <v>146</v>
      </c>
      <c r="AP180" s="11"/>
      <c r="AQ180" s="88" t="s">
        <v>1181</v>
      </c>
      <c r="AR180" s="57" t="s">
        <v>188</v>
      </c>
      <c r="AS180" s="46">
        <v>42977.633020833331</v>
      </c>
      <c r="AT180" s="3">
        <f t="shared" si="2"/>
        <v>150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42992.404930555553</v>
      </c>
      <c r="I181" s="43">
        <v>42326.48333333333</v>
      </c>
      <c r="J181" s="42">
        <v>42507.414236111108</v>
      </c>
      <c r="K181" s="81" t="s">
        <v>49</v>
      </c>
      <c r="L181" t="s">
        <v>49</v>
      </c>
      <c r="M181" t="s">
        <v>336</v>
      </c>
      <c r="N181" s="1" t="s">
        <v>336</v>
      </c>
      <c r="O181" s="1" t="s">
        <v>230</v>
      </c>
      <c r="P181" t="s">
        <v>230</v>
      </c>
      <c r="Q181" s="9" t="s">
        <v>45</v>
      </c>
      <c r="R181" s="82" t="s">
        <v>45</v>
      </c>
      <c r="S181" s="44" t="s">
        <v>196</v>
      </c>
      <c r="T181" s="3" t="s">
        <v>61</v>
      </c>
      <c r="U181" s="2" t="s">
        <v>29</v>
      </c>
      <c r="V181" s="3" t="s">
        <v>29</v>
      </c>
      <c r="W181" s="11" t="s">
        <v>153</v>
      </c>
      <c r="X181" s="3" t="s">
        <v>153</v>
      </c>
      <c r="Y181" s="77" t="s">
        <v>48</v>
      </c>
      <c r="Z181" s="84" t="s">
        <v>1182</v>
      </c>
      <c r="AA181" s="89" t="s">
        <v>28</v>
      </c>
      <c r="AB181" s="90" t="str">
        <f>HYPERLINK(CONCATENATE("https://www.ejacket.nsf.gov/ej/showProposal.do?ID=",SUBSTITUTE(SplitQueryTableRecent[[#This Row],[prop_id]],CHAR(160),"")),"eJ")</f>
        <v>eJ</v>
      </c>
      <c r="AC181" s="89" t="s">
        <v>1182</v>
      </c>
      <c r="AD181" s="3" t="s">
        <v>1182</v>
      </c>
      <c r="AE181" s="91">
        <v>2016</v>
      </c>
      <c r="AF181" s="13" t="s">
        <v>43</v>
      </c>
      <c r="AG181" s="13">
        <v>342695</v>
      </c>
      <c r="AH181" s="45">
        <v>342695</v>
      </c>
      <c r="AI181" s="44" t="s">
        <v>1184</v>
      </c>
      <c r="AJ181" s="2" t="s">
        <v>1185</v>
      </c>
      <c r="AK181" s="46" t="s">
        <v>423</v>
      </c>
      <c r="AL181" s="55" t="s">
        <v>369</v>
      </c>
      <c r="AM181" s="45" t="s">
        <v>369</v>
      </c>
      <c r="AN181" s="56" t="s">
        <v>152</v>
      </c>
      <c r="AO181" s="23" t="s">
        <v>146</v>
      </c>
      <c r="AP181" s="11"/>
      <c r="AQ181" s="88" t="s">
        <v>1183</v>
      </c>
      <c r="AR181" s="57" t="s">
        <v>164</v>
      </c>
      <c r="AS181" s="46">
        <v>42531.391550925924</v>
      </c>
      <c r="AT181" s="3">
        <f t="shared" si="2"/>
        <v>151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42992.404930555553</v>
      </c>
      <c r="I182" s="43">
        <v>41796.381249999999</v>
      </c>
      <c r="J182" s="42">
        <v>41806.524861111109</v>
      </c>
      <c r="K182" s="81" t="s">
        <v>49</v>
      </c>
      <c r="L182" t="s">
        <v>49</v>
      </c>
      <c r="M182" t="s">
        <v>50</v>
      </c>
      <c r="N182" s="1" t="s">
        <v>336</v>
      </c>
      <c r="O182" s="1" t="s">
        <v>347</v>
      </c>
      <c r="P182" t="s">
        <v>347</v>
      </c>
      <c r="Q182" s="9" t="s">
        <v>45</v>
      </c>
      <c r="R182" s="82" t="s">
        <v>45</v>
      </c>
      <c r="S182" s="44" t="s">
        <v>1186</v>
      </c>
      <c r="T182" s="3" t="s">
        <v>61</v>
      </c>
      <c r="U182" s="2" t="s">
        <v>29</v>
      </c>
      <c r="V182" s="3" t="s">
        <v>29</v>
      </c>
      <c r="W182" s="11" t="s">
        <v>153</v>
      </c>
      <c r="X182" s="3" t="s">
        <v>153</v>
      </c>
      <c r="Y182" s="77" t="s">
        <v>48</v>
      </c>
      <c r="Z182" s="84" t="s">
        <v>1187</v>
      </c>
      <c r="AA182" s="89" t="s">
        <v>28</v>
      </c>
      <c r="AB182" s="90" t="str">
        <f>HYPERLINK(CONCATENATE("https://www.ejacket.nsf.gov/ej/showProposal.do?ID=",SUBSTITUTE(SplitQueryTableRecent[[#This Row],[prop_id]],CHAR(160),"")),"eJ")</f>
        <v>eJ</v>
      </c>
      <c r="AC182" s="89" t="s">
        <v>1187</v>
      </c>
      <c r="AD182" s="3" t="s">
        <v>1187</v>
      </c>
      <c r="AE182" s="91">
        <v>2014</v>
      </c>
      <c r="AF182" s="13" t="s">
        <v>43</v>
      </c>
      <c r="AG182" s="13">
        <v>136768</v>
      </c>
      <c r="AH182" s="45">
        <v>200000</v>
      </c>
      <c r="AI182" s="44" t="s">
        <v>436</v>
      </c>
      <c r="AJ182" s="2" t="s">
        <v>437</v>
      </c>
      <c r="AK182" s="46" t="s">
        <v>1722</v>
      </c>
      <c r="AL182" s="55" t="s">
        <v>1189</v>
      </c>
      <c r="AM182" s="45" t="s">
        <v>1189</v>
      </c>
      <c r="AN182" s="56" t="s">
        <v>152</v>
      </c>
      <c r="AO182" s="23" t="s">
        <v>146</v>
      </c>
      <c r="AP182" s="11"/>
      <c r="AQ182" s="88" t="s">
        <v>1188</v>
      </c>
      <c r="AR182" s="57" t="s">
        <v>161</v>
      </c>
      <c r="AS182" s="46">
        <v>41808.413576388892</v>
      </c>
      <c r="AT182" s="3">
        <f t="shared" si="2"/>
        <v>152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42992.404930555553</v>
      </c>
      <c r="I183" s="43">
        <v>42326.461111111108</v>
      </c>
      <c r="J183" s="42">
        <v>42529.700023148151</v>
      </c>
      <c r="K183" s="81" t="s">
        <v>49</v>
      </c>
      <c r="L183" t="s">
        <v>49</v>
      </c>
      <c r="M183" t="s">
        <v>336</v>
      </c>
      <c r="N183" s="1" t="s">
        <v>336</v>
      </c>
      <c r="O183" s="1" t="s">
        <v>337</v>
      </c>
      <c r="P183" t="s">
        <v>337</v>
      </c>
      <c r="Q183" s="9" t="s">
        <v>45</v>
      </c>
      <c r="R183" s="82" t="s">
        <v>45</v>
      </c>
      <c r="S183" s="44" t="s">
        <v>196</v>
      </c>
      <c r="T183" s="3" t="s">
        <v>61</v>
      </c>
      <c r="U183" s="2" t="s">
        <v>29</v>
      </c>
      <c r="V183" s="3" t="s">
        <v>29</v>
      </c>
      <c r="W183" s="11" t="s">
        <v>153</v>
      </c>
      <c r="X183" s="3" t="s">
        <v>153</v>
      </c>
      <c r="Y183" s="77" t="s">
        <v>48</v>
      </c>
      <c r="Z183" s="84" t="s">
        <v>969</v>
      </c>
      <c r="AA183" s="89" t="s">
        <v>174</v>
      </c>
      <c r="AB183" s="90" t="str">
        <f>HYPERLINK(CONCATENATE("https://www.ejacket.nsf.gov/ej/showProposal.do?ID=",SUBSTITUTE(SplitQueryTableRecent[[#This Row],[prop_id]],CHAR(160),"")),"eJ")</f>
        <v>eJ</v>
      </c>
      <c r="AC183" s="89" t="s">
        <v>969</v>
      </c>
      <c r="AD183" s="3" t="s">
        <v>969</v>
      </c>
      <c r="AE183" s="91">
        <v>2016</v>
      </c>
      <c r="AF183" s="13" t="s">
        <v>43</v>
      </c>
      <c r="AG183" s="13">
        <v>285000</v>
      </c>
      <c r="AH183" s="45">
        <v>285000</v>
      </c>
      <c r="AI183" s="44" t="s">
        <v>1190</v>
      </c>
      <c r="AJ183" s="2" t="s">
        <v>1191</v>
      </c>
      <c r="AK183" s="46" t="s">
        <v>683</v>
      </c>
      <c r="AL183" s="55" t="s">
        <v>584</v>
      </c>
      <c r="AM183" s="45" t="s">
        <v>584</v>
      </c>
      <c r="AN183" s="56" t="s">
        <v>152</v>
      </c>
      <c r="AO183" s="23" t="s">
        <v>146</v>
      </c>
      <c r="AP183" s="11"/>
      <c r="AQ183" s="88" t="s">
        <v>970</v>
      </c>
      <c r="AR183" s="57" t="s">
        <v>164</v>
      </c>
      <c r="AS183" s="46">
        <v>42550.328032407408</v>
      </c>
      <c r="AT183" s="3">
        <f t="shared" si="2"/>
        <v>153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42992.404930555553</v>
      </c>
      <c r="I184" s="43">
        <v>41653.707638888889</v>
      </c>
      <c r="J184" s="42">
        <v>41834.623715277776</v>
      </c>
      <c r="K184" s="81" t="s">
        <v>49</v>
      </c>
      <c r="L184" t="s">
        <v>49</v>
      </c>
      <c r="M184" t="s">
        <v>336</v>
      </c>
      <c r="N184" s="1" t="s">
        <v>336</v>
      </c>
      <c r="O184" s="1" t="s">
        <v>245</v>
      </c>
      <c r="P184" t="s">
        <v>245</v>
      </c>
      <c r="Q184" s="9" t="s">
        <v>45</v>
      </c>
      <c r="R184" s="82" t="s">
        <v>45</v>
      </c>
      <c r="S184" s="44" t="s">
        <v>173</v>
      </c>
      <c r="T184" s="3" t="s">
        <v>61</v>
      </c>
      <c r="U184" s="2" t="s">
        <v>29</v>
      </c>
      <c r="V184" s="3" t="s">
        <v>29</v>
      </c>
      <c r="W184" s="11" t="s">
        <v>153</v>
      </c>
      <c r="X184" s="3" t="s">
        <v>153</v>
      </c>
      <c r="Y184" s="77" t="s">
        <v>48</v>
      </c>
      <c r="Z184" s="84" t="s">
        <v>1192</v>
      </c>
      <c r="AA184" s="89" t="s">
        <v>28</v>
      </c>
      <c r="AB184" s="90" t="str">
        <f>HYPERLINK(CONCATENATE("https://www.ejacket.nsf.gov/ej/showProposal.do?ID=",SUBSTITUTE(SplitQueryTableRecent[[#This Row],[prop_id]],CHAR(160),"")),"eJ")</f>
        <v>eJ</v>
      </c>
      <c r="AC184" s="89" t="s">
        <v>1192</v>
      </c>
      <c r="AD184" s="3" t="s">
        <v>1192</v>
      </c>
      <c r="AE184" s="91">
        <v>2014</v>
      </c>
      <c r="AF184" s="13" t="s">
        <v>43</v>
      </c>
      <c r="AG184" s="13">
        <v>500000</v>
      </c>
      <c r="AH184" s="45">
        <v>500000</v>
      </c>
      <c r="AI184" s="44" t="s">
        <v>441</v>
      </c>
      <c r="AJ184" s="2" t="s">
        <v>442</v>
      </c>
      <c r="AK184" s="46" t="s">
        <v>1717</v>
      </c>
      <c r="AL184" s="55" t="s">
        <v>369</v>
      </c>
      <c r="AM184" s="45" t="s">
        <v>369</v>
      </c>
      <c r="AN184" s="56" t="s">
        <v>152</v>
      </c>
      <c r="AO184" s="23" t="s">
        <v>146</v>
      </c>
      <c r="AP184" s="11"/>
      <c r="AQ184" s="88" t="s">
        <v>1193</v>
      </c>
      <c r="AR184" s="57" t="s">
        <v>164</v>
      </c>
      <c r="AS184" s="46">
        <v>41845.577372685184</v>
      </c>
      <c r="AT184" s="3">
        <f t="shared" si="2"/>
        <v>154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42992.404930555553</v>
      </c>
      <c r="I185" s="43">
        <v>42018.668749999997</v>
      </c>
      <c r="J185" s="42">
        <v>42184.572048611109</v>
      </c>
      <c r="K185" s="81" t="s">
        <v>49</v>
      </c>
      <c r="L185" t="s">
        <v>49</v>
      </c>
      <c r="M185" t="s">
        <v>336</v>
      </c>
      <c r="N185" s="1" t="s">
        <v>336</v>
      </c>
      <c r="O185" s="1" t="s">
        <v>337</v>
      </c>
      <c r="P185" t="s">
        <v>337</v>
      </c>
      <c r="Q185" s="9" t="s">
        <v>45</v>
      </c>
      <c r="R185" s="82" t="s">
        <v>45</v>
      </c>
      <c r="S185" s="44" t="s">
        <v>184</v>
      </c>
      <c r="T185" s="3" t="s">
        <v>61</v>
      </c>
      <c r="U185" s="2" t="s">
        <v>29</v>
      </c>
      <c r="V185" s="3" t="s">
        <v>29</v>
      </c>
      <c r="W185" s="11" t="s">
        <v>153</v>
      </c>
      <c r="X185" s="3" t="s">
        <v>153</v>
      </c>
      <c r="Y185" s="77" t="s">
        <v>48</v>
      </c>
      <c r="Z185" s="84" t="s">
        <v>1194</v>
      </c>
      <c r="AA185" s="89" t="s">
        <v>28</v>
      </c>
      <c r="AB185" s="90" t="str">
        <f>HYPERLINK(CONCATENATE("https://www.ejacket.nsf.gov/ej/showProposal.do?ID=",SUBSTITUTE(SplitQueryTableRecent[[#This Row],[prop_id]],CHAR(160),"")),"eJ")</f>
        <v>eJ</v>
      </c>
      <c r="AC185" s="89" t="s">
        <v>1194</v>
      </c>
      <c r="AD185" s="3" t="s">
        <v>1194</v>
      </c>
      <c r="AE185" s="91">
        <v>2015</v>
      </c>
      <c r="AF185" s="13" t="s">
        <v>43</v>
      </c>
      <c r="AG185" s="13">
        <v>500000</v>
      </c>
      <c r="AH185" s="45">
        <v>500000</v>
      </c>
      <c r="AI185" s="44" t="s">
        <v>1196</v>
      </c>
      <c r="AJ185" s="2" t="s">
        <v>1197</v>
      </c>
      <c r="AK185" s="46" t="s">
        <v>1720</v>
      </c>
      <c r="AL185" s="55" t="s">
        <v>584</v>
      </c>
      <c r="AM185" s="45" t="s">
        <v>584</v>
      </c>
      <c r="AN185" s="56" t="s">
        <v>152</v>
      </c>
      <c r="AO185" s="23" t="s">
        <v>146</v>
      </c>
      <c r="AP185" s="11"/>
      <c r="AQ185" s="88" t="s">
        <v>1195</v>
      </c>
      <c r="AR185" s="57" t="s">
        <v>164</v>
      </c>
      <c r="AS185" s="46">
        <v>42212.260034722225</v>
      </c>
      <c r="AT185" s="3">
        <f t="shared" si="2"/>
        <v>155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42992.404930555553</v>
      </c>
      <c r="I186" s="43">
        <v>42690.694444444445</v>
      </c>
      <c r="J186" s="42">
        <v>42905.713645833333</v>
      </c>
      <c r="K186" s="81" t="s">
        <v>49</v>
      </c>
      <c r="L186" t="s">
        <v>49</v>
      </c>
      <c r="M186" t="s">
        <v>336</v>
      </c>
      <c r="N186" s="1" t="s">
        <v>336</v>
      </c>
      <c r="O186" s="1" t="s">
        <v>337</v>
      </c>
      <c r="P186" t="s">
        <v>337</v>
      </c>
      <c r="Q186" s="9" t="s">
        <v>45</v>
      </c>
      <c r="R186" s="82" t="s">
        <v>45</v>
      </c>
      <c r="S186" s="44" t="s">
        <v>192</v>
      </c>
      <c r="T186" s="3" t="s">
        <v>61</v>
      </c>
      <c r="U186" s="2" t="s">
        <v>29</v>
      </c>
      <c r="V186" s="3" t="s">
        <v>29</v>
      </c>
      <c r="W186" s="11" t="s">
        <v>153</v>
      </c>
      <c r="X186" s="3" t="s">
        <v>153</v>
      </c>
      <c r="Y186" s="77" t="s">
        <v>48</v>
      </c>
      <c r="Z186" s="84" t="s">
        <v>1199</v>
      </c>
      <c r="AA186" s="89" t="s">
        <v>28</v>
      </c>
      <c r="AB186" s="90" t="str">
        <f>HYPERLINK(CONCATENATE("https://www.ejacket.nsf.gov/ej/showProposal.do?ID=",SUBSTITUTE(SplitQueryTableRecent[[#This Row],[prop_id]],CHAR(160),"")),"eJ")</f>
        <v>eJ</v>
      </c>
      <c r="AC186" s="89" t="s">
        <v>1199</v>
      </c>
      <c r="AD186" s="3" t="s">
        <v>1199</v>
      </c>
      <c r="AE186" s="91">
        <v>2017</v>
      </c>
      <c r="AF186" s="13" t="s">
        <v>43</v>
      </c>
      <c r="AG186" s="13">
        <v>499560</v>
      </c>
      <c r="AH186" s="45">
        <v>515560</v>
      </c>
      <c r="AI186" s="44" t="s">
        <v>242</v>
      </c>
      <c r="AJ186" s="2" t="s">
        <v>1198</v>
      </c>
      <c r="AK186" s="46" t="s">
        <v>290</v>
      </c>
      <c r="AL186" s="55" t="s">
        <v>779</v>
      </c>
      <c r="AM186" s="45" t="s">
        <v>369</v>
      </c>
      <c r="AN186" s="56" t="s">
        <v>152</v>
      </c>
      <c r="AO186" s="23" t="s">
        <v>146</v>
      </c>
      <c r="AP186" s="11"/>
      <c r="AQ186" s="88" t="s">
        <v>1200</v>
      </c>
      <c r="AR186" s="57" t="s">
        <v>193</v>
      </c>
      <c r="AS186" s="46">
        <v>42919.297280092593</v>
      </c>
      <c r="AT186" s="3">
        <f t="shared" si="2"/>
        <v>156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42992.404930555553</v>
      </c>
      <c r="I187" s="43">
        <v>42690.694444444445</v>
      </c>
      <c r="J187" s="42">
        <v>42905.713645833333</v>
      </c>
      <c r="K187" s="81" t="s">
        <v>49</v>
      </c>
      <c r="L187" t="s">
        <v>49</v>
      </c>
      <c r="M187" t="s">
        <v>336</v>
      </c>
      <c r="N187" s="1" t="s">
        <v>336</v>
      </c>
      <c r="O187" s="1" t="s">
        <v>337</v>
      </c>
      <c r="P187" t="s">
        <v>337</v>
      </c>
      <c r="Q187" s="9" t="s">
        <v>45</v>
      </c>
      <c r="R187" s="82" t="s">
        <v>45</v>
      </c>
      <c r="S187" s="44" t="s">
        <v>192</v>
      </c>
      <c r="T187" s="3" t="s">
        <v>61</v>
      </c>
      <c r="U187" s="2" t="s">
        <v>29</v>
      </c>
      <c r="V187" s="3" t="s">
        <v>29</v>
      </c>
      <c r="W187" s="11" t="s">
        <v>153</v>
      </c>
      <c r="X187" s="3" t="s">
        <v>153</v>
      </c>
      <c r="Y187" s="77" t="s">
        <v>48</v>
      </c>
      <c r="Z187" s="84" t="s">
        <v>1199</v>
      </c>
      <c r="AA187" s="89" t="s">
        <v>28</v>
      </c>
      <c r="AB187" s="90" t="str">
        <f>HYPERLINK(CONCATENATE("https://www.ejacket.nsf.gov/ej/showProposal.do?ID=",SUBSTITUTE(SplitQueryTableRecent[[#This Row],[prop_id]],CHAR(160),"")),"eJ")</f>
        <v>eJ</v>
      </c>
      <c r="AC187" s="89" t="s">
        <v>1199</v>
      </c>
      <c r="AD187" s="3" t="s">
        <v>1199</v>
      </c>
      <c r="AE187" s="91">
        <v>2017</v>
      </c>
      <c r="AF187" s="13" t="s">
        <v>44</v>
      </c>
      <c r="AG187" s="13">
        <v>16000</v>
      </c>
      <c r="AH187" s="45">
        <v>515560</v>
      </c>
      <c r="AI187" s="44" t="s">
        <v>242</v>
      </c>
      <c r="AJ187" s="2" t="s">
        <v>1198</v>
      </c>
      <c r="AK187" s="46" t="s">
        <v>290</v>
      </c>
      <c r="AL187" s="55" t="s">
        <v>779</v>
      </c>
      <c r="AM187" s="45" t="s">
        <v>779</v>
      </c>
      <c r="AN187" s="56" t="s">
        <v>152</v>
      </c>
      <c r="AO187" s="23" t="s">
        <v>146</v>
      </c>
      <c r="AP187" s="11"/>
      <c r="AQ187" s="88" t="s">
        <v>1200</v>
      </c>
      <c r="AR187" s="57" t="s">
        <v>193</v>
      </c>
      <c r="AS187" s="46">
        <v>42919.297280092593</v>
      </c>
      <c r="AT187" s="3">
        <f t="shared" si="2"/>
        <v>156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42992.404930555553</v>
      </c>
      <c r="I188" s="43">
        <v>42690.794444444444</v>
      </c>
      <c r="J188" s="42">
        <v>42906.279143518521</v>
      </c>
      <c r="K188" s="81" t="s">
        <v>49</v>
      </c>
      <c r="L188" t="s">
        <v>49</v>
      </c>
      <c r="M188" t="s">
        <v>336</v>
      </c>
      <c r="N188" s="1" t="s">
        <v>336</v>
      </c>
      <c r="O188" s="1" t="s">
        <v>337</v>
      </c>
      <c r="P188" t="s">
        <v>337</v>
      </c>
      <c r="Q188" s="9" t="s">
        <v>45</v>
      </c>
      <c r="R188" s="82" t="s">
        <v>45</v>
      </c>
      <c r="S188" s="44" t="s">
        <v>192</v>
      </c>
      <c r="T188" s="3" t="s">
        <v>61</v>
      </c>
      <c r="U188" s="2" t="s">
        <v>29</v>
      </c>
      <c r="V188" s="3" t="s">
        <v>29</v>
      </c>
      <c r="W188" s="11" t="s">
        <v>153</v>
      </c>
      <c r="X188" s="3" t="s">
        <v>153</v>
      </c>
      <c r="Y188" s="77" t="s">
        <v>48</v>
      </c>
      <c r="Z188" s="84" t="s">
        <v>1201</v>
      </c>
      <c r="AA188" s="89" t="s">
        <v>28</v>
      </c>
      <c r="AB188" s="90" t="str">
        <f>HYPERLINK(CONCATENATE("https://www.ejacket.nsf.gov/ej/showProposal.do?ID=",SUBSTITUTE(SplitQueryTableRecent[[#This Row],[prop_id]],CHAR(160),"")),"eJ")</f>
        <v>eJ</v>
      </c>
      <c r="AC188" s="89" t="s">
        <v>1201</v>
      </c>
      <c r="AD188" s="3" t="s">
        <v>1201</v>
      </c>
      <c r="AE188" s="91">
        <v>2017</v>
      </c>
      <c r="AF188" s="13" t="s">
        <v>43</v>
      </c>
      <c r="AG188" s="13">
        <v>499999</v>
      </c>
      <c r="AH188" s="45">
        <v>499999</v>
      </c>
      <c r="AI188" s="44" t="s">
        <v>1120</v>
      </c>
      <c r="AJ188" s="2" t="s">
        <v>1204</v>
      </c>
      <c r="AK188" s="46" t="s">
        <v>1706</v>
      </c>
      <c r="AL188" s="55" t="s">
        <v>1203</v>
      </c>
      <c r="AM188" s="45" t="s">
        <v>1203</v>
      </c>
      <c r="AN188" s="56" t="s">
        <v>152</v>
      </c>
      <c r="AO188" s="23" t="s">
        <v>146</v>
      </c>
      <c r="AP188" s="11"/>
      <c r="AQ188" s="88" t="s">
        <v>1202</v>
      </c>
      <c r="AR188" s="57" t="s">
        <v>188</v>
      </c>
      <c r="AS188" s="46">
        <v>42923.494872685187</v>
      </c>
      <c r="AT188" s="3">
        <f t="shared" si="2"/>
        <v>157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42992.404930555553</v>
      </c>
      <c r="I189" s="43">
        <v>42012.633333333331</v>
      </c>
      <c r="J189" s="42">
        <v>42171.655555555553</v>
      </c>
      <c r="K189" s="81" t="s">
        <v>49</v>
      </c>
      <c r="L189" t="s">
        <v>49</v>
      </c>
      <c r="M189" t="s">
        <v>50</v>
      </c>
      <c r="N189" s="1" t="s">
        <v>336</v>
      </c>
      <c r="O189" s="1" t="s">
        <v>70</v>
      </c>
      <c r="P189" t="s">
        <v>245</v>
      </c>
      <c r="Q189" s="9" t="s">
        <v>45</v>
      </c>
      <c r="R189" s="82" t="s">
        <v>45</v>
      </c>
      <c r="S189" s="44" t="s">
        <v>184</v>
      </c>
      <c r="T189" s="3" t="s">
        <v>61</v>
      </c>
      <c r="U189" s="2" t="s">
        <v>29</v>
      </c>
      <c r="V189" s="3" t="s">
        <v>29</v>
      </c>
      <c r="W189" s="11" t="s">
        <v>153</v>
      </c>
      <c r="X189" s="3" t="s">
        <v>153</v>
      </c>
      <c r="Y189" s="77" t="s">
        <v>48</v>
      </c>
      <c r="Z189" s="84" t="s">
        <v>1211</v>
      </c>
      <c r="AA189" s="89" t="s">
        <v>28</v>
      </c>
      <c r="AB189" s="90" t="str">
        <f>HYPERLINK(CONCATENATE("https://www.ejacket.nsf.gov/ej/showProposal.do?ID=",SUBSTITUTE(SplitQueryTableRecent[[#This Row],[prop_id]],CHAR(160),"")),"eJ")</f>
        <v>eJ</v>
      </c>
      <c r="AC189" s="89" t="s">
        <v>1211</v>
      </c>
      <c r="AD189" s="3" t="s">
        <v>1211</v>
      </c>
      <c r="AE189" s="91">
        <v>2015</v>
      </c>
      <c r="AF189" s="13" t="s">
        <v>44</v>
      </c>
      <c r="AG189" s="13">
        <v>142364</v>
      </c>
      <c r="AH189" s="45">
        <v>427093</v>
      </c>
      <c r="AI189" s="44" t="s">
        <v>1214</v>
      </c>
      <c r="AJ189" s="2" t="s">
        <v>1215</v>
      </c>
      <c r="AK189" s="46" t="s">
        <v>212</v>
      </c>
      <c r="AL189" s="55" t="s">
        <v>1213</v>
      </c>
      <c r="AM189" s="45" t="s">
        <v>369</v>
      </c>
      <c r="AN189" s="56" t="s">
        <v>152</v>
      </c>
      <c r="AO189" s="23" t="s">
        <v>146</v>
      </c>
      <c r="AP189" s="11"/>
      <c r="AQ189" s="88" t="s">
        <v>1212</v>
      </c>
      <c r="AR189" s="57" t="s">
        <v>164</v>
      </c>
      <c r="AS189" s="46">
        <v>42205.46980324074</v>
      </c>
      <c r="AT189" s="3">
        <f t="shared" si="2"/>
        <v>158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42992.404930555553</v>
      </c>
      <c r="I190" s="43">
        <v>41906.537499999999</v>
      </c>
      <c r="J190" s="42">
        <v>42027.558564814812</v>
      </c>
      <c r="K190" s="81" t="s">
        <v>49</v>
      </c>
      <c r="L190" t="s">
        <v>49</v>
      </c>
      <c r="M190" t="s">
        <v>336</v>
      </c>
      <c r="N190" s="1" t="s">
        <v>336</v>
      </c>
      <c r="O190" s="1" t="s">
        <v>337</v>
      </c>
      <c r="P190" t="s">
        <v>337</v>
      </c>
      <c r="Q190" s="9" t="s">
        <v>45</v>
      </c>
      <c r="R190" s="82" t="s">
        <v>45</v>
      </c>
      <c r="S190" s="44" t="s">
        <v>1186</v>
      </c>
      <c r="T190" s="3" t="s">
        <v>61</v>
      </c>
      <c r="U190" s="2" t="s">
        <v>29</v>
      </c>
      <c r="V190" s="3" t="s">
        <v>29</v>
      </c>
      <c r="W190" s="11" t="s">
        <v>153</v>
      </c>
      <c r="X190" s="3" t="s">
        <v>153</v>
      </c>
      <c r="Y190" s="77" t="s">
        <v>48</v>
      </c>
      <c r="Z190" s="84" t="s">
        <v>1216</v>
      </c>
      <c r="AA190" s="89" t="s">
        <v>28</v>
      </c>
      <c r="AB190" s="90" t="str">
        <f>HYPERLINK(CONCATENATE("https://www.ejacket.nsf.gov/ej/showProposal.do?ID=",SUBSTITUTE(SplitQueryTableRecent[[#This Row],[prop_id]],CHAR(160),"")),"eJ")</f>
        <v>eJ</v>
      </c>
      <c r="AC190" s="89" t="s">
        <v>1216</v>
      </c>
      <c r="AD190" s="3" t="s">
        <v>1216</v>
      </c>
      <c r="AE190" s="91">
        <v>2015</v>
      </c>
      <c r="AF190" s="13" t="s">
        <v>43</v>
      </c>
      <c r="AG190" s="13">
        <v>175000</v>
      </c>
      <c r="AH190" s="45">
        <v>175000</v>
      </c>
      <c r="AI190" s="44" t="s">
        <v>1219</v>
      </c>
      <c r="AJ190" s="2" t="s">
        <v>661</v>
      </c>
      <c r="AK190" s="46" t="s">
        <v>306</v>
      </c>
      <c r="AL190" s="55" t="s">
        <v>1218</v>
      </c>
      <c r="AM190" s="45" t="s">
        <v>1218</v>
      </c>
      <c r="AN190" s="56" t="s">
        <v>152</v>
      </c>
      <c r="AO190" s="23" t="s">
        <v>146</v>
      </c>
      <c r="AP190" s="11"/>
      <c r="AQ190" s="88" t="s">
        <v>1217</v>
      </c>
      <c r="AR190" s="57" t="s">
        <v>161</v>
      </c>
      <c r="AS190" s="46">
        <v>42037.620254629626</v>
      </c>
      <c r="AT190" s="3">
        <f t="shared" si="2"/>
        <v>159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42992.404930555553</v>
      </c>
      <c r="I191" s="43">
        <v>42326.670138888891</v>
      </c>
      <c r="J191" s="42">
        <v>42507.577361111114</v>
      </c>
      <c r="K191" s="81" t="s">
        <v>49</v>
      </c>
      <c r="L191" t="s">
        <v>49</v>
      </c>
      <c r="M191" t="s">
        <v>336</v>
      </c>
      <c r="N191" s="1" t="s">
        <v>336</v>
      </c>
      <c r="O191" s="1" t="s">
        <v>230</v>
      </c>
      <c r="P191" t="s">
        <v>230</v>
      </c>
      <c r="Q191" s="9" t="s">
        <v>45</v>
      </c>
      <c r="R191" s="82" t="s">
        <v>45</v>
      </c>
      <c r="S191" s="44" t="s">
        <v>196</v>
      </c>
      <c r="T191" s="3" t="s">
        <v>61</v>
      </c>
      <c r="U191" s="2" t="s">
        <v>29</v>
      </c>
      <c r="V191" s="3" t="s">
        <v>29</v>
      </c>
      <c r="W191" s="11" t="s">
        <v>153</v>
      </c>
      <c r="X191" s="3" t="s">
        <v>153</v>
      </c>
      <c r="Y191" s="77" t="s">
        <v>48</v>
      </c>
      <c r="Z191" s="84" t="s">
        <v>1222</v>
      </c>
      <c r="AA191" s="89" t="s">
        <v>28</v>
      </c>
      <c r="AB191" s="90" t="str">
        <f>HYPERLINK(CONCATENATE("https://www.ejacket.nsf.gov/ej/showProposal.do?ID=",SUBSTITUTE(SplitQueryTableRecent[[#This Row],[prop_id]],CHAR(160),"")),"eJ")</f>
        <v>eJ</v>
      </c>
      <c r="AC191" s="89" t="s">
        <v>1222</v>
      </c>
      <c r="AD191" s="3" t="s">
        <v>1222</v>
      </c>
      <c r="AE191" s="91">
        <v>2016</v>
      </c>
      <c r="AF191" s="13" t="s">
        <v>43</v>
      </c>
      <c r="AG191" s="13">
        <v>499995</v>
      </c>
      <c r="AH191" s="45">
        <v>499995</v>
      </c>
      <c r="AI191" s="44" t="s">
        <v>1220</v>
      </c>
      <c r="AJ191" s="2" t="s">
        <v>1221</v>
      </c>
      <c r="AK191" s="46" t="s">
        <v>1735</v>
      </c>
      <c r="AL191" s="55" t="s">
        <v>369</v>
      </c>
      <c r="AM191" s="45" t="s">
        <v>369</v>
      </c>
      <c r="AN191" s="56" t="s">
        <v>152</v>
      </c>
      <c r="AO191" s="23" t="s">
        <v>146</v>
      </c>
      <c r="AP191" s="11"/>
      <c r="AQ191" s="88" t="s">
        <v>1223</v>
      </c>
      <c r="AR191" s="57" t="s">
        <v>164</v>
      </c>
      <c r="AS191" s="46">
        <v>42531.395590277774</v>
      </c>
      <c r="AT191" s="3">
        <f t="shared" si="2"/>
        <v>160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42992.404930555553</v>
      </c>
      <c r="I192" s="43">
        <v>42017.606249999997</v>
      </c>
      <c r="J192" s="42">
        <v>42200.66033564815</v>
      </c>
      <c r="K192" s="81" t="s">
        <v>49</v>
      </c>
      <c r="L192" t="s">
        <v>49</v>
      </c>
      <c r="M192" t="s">
        <v>336</v>
      </c>
      <c r="N192" s="1" t="s">
        <v>336</v>
      </c>
      <c r="O192" s="1" t="s">
        <v>337</v>
      </c>
      <c r="P192" t="s">
        <v>337</v>
      </c>
      <c r="Q192" s="9" t="s">
        <v>45</v>
      </c>
      <c r="R192" s="82" t="s">
        <v>45</v>
      </c>
      <c r="S192" s="44" t="s">
        <v>184</v>
      </c>
      <c r="T192" s="3" t="s">
        <v>61</v>
      </c>
      <c r="U192" s="2" t="s">
        <v>29</v>
      </c>
      <c r="V192" s="3" t="s">
        <v>29</v>
      </c>
      <c r="W192" s="11" t="s">
        <v>153</v>
      </c>
      <c r="X192" s="3" t="s">
        <v>153</v>
      </c>
      <c r="Y192" s="77" t="s">
        <v>48</v>
      </c>
      <c r="Z192" s="84" t="s">
        <v>1228</v>
      </c>
      <c r="AA192" s="89" t="s">
        <v>28</v>
      </c>
      <c r="AB192" s="90" t="str">
        <f>HYPERLINK(CONCATENATE("https://www.ejacket.nsf.gov/ej/showProposal.do?ID=",SUBSTITUTE(SplitQueryTableRecent[[#This Row],[prop_id]],CHAR(160),"")),"eJ")</f>
        <v>eJ</v>
      </c>
      <c r="AC192" s="89" t="s">
        <v>1228</v>
      </c>
      <c r="AD192" s="3" t="s">
        <v>1228</v>
      </c>
      <c r="AE192" s="91">
        <v>2015</v>
      </c>
      <c r="AF192" s="13" t="s">
        <v>43</v>
      </c>
      <c r="AG192" s="13">
        <v>160000</v>
      </c>
      <c r="AH192" s="45">
        <v>456617</v>
      </c>
      <c r="AI192" s="44" t="s">
        <v>1230</v>
      </c>
      <c r="AJ192" s="2" t="s">
        <v>1231</v>
      </c>
      <c r="AK192" s="46" t="s">
        <v>1714</v>
      </c>
      <c r="AL192" s="55" t="s">
        <v>584</v>
      </c>
      <c r="AM192" s="45" t="s">
        <v>584</v>
      </c>
      <c r="AN192" s="56" t="s">
        <v>152</v>
      </c>
      <c r="AO192" s="23" t="s">
        <v>146</v>
      </c>
      <c r="AP192" s="11"/>
      <c r="AQ192" s="88" t="s">
        <v>1229</v>
      </c>
      <c r="AR192" s="57" t="s">
        <v>164</v>
      </c>
      <c r="AS192" s="46">
        <v>42234.373726851853</v>
      </c>
      <c r="AT192" s="3">
        <f t="shared" si="2"/>
        <v>161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42992.404930555553</v>
      </c>
      <c r="I193" s="43">
        <v>42326.511111111111</v>
      </c>
      <c r="J193" s="42">
        <v>42530.703321759262</v>
      </c>
      <c r="K193" s="81" t="s">
        <v>49</v>
      </c>
      <c r="L193" t="s">
        <v>49</v>
      </c>
      <c r="M193" t="s">
        <v>336</v>
      </c>
      <c r="N193" s="1" t="s">
        <v>336</v>
      </c>
      <c r="O193" s="1" t="s">
        <v>337</v>
      </c>
      <c r="P193" t="s">
        <v>337</v>
      </c>
      <c r="Q193" s="9" t="s">
        <v>45</v>
      </c>
      <c r="R193" s="82" t="s">
        <v>45</v>
      </c>
      <c r="S193" s="44" t="s">
        <v>196</v>
      </c>
      <c r="T193" s="3" t="s">
        <v>61</v>
      </c>
      <c r="U193" s="2" t="s">
        <v>29</v>
      </c>
      <c r="V193" s="3" t="s">
        <v>29</v>
      </c>
      <c r="W193" s="11" t="s">
        <v>153</v>
      </c>
      <c r="X193" s="3" t="s">
        <v>153</v>
      </c>
      <c r="Y193" s="77" t="s">
        <v>48</v>
      </c>
      <c r="Z193" s="84" t="s">
        <v>788</v>
      </c>
      <c r="AA193" s="89" t="s">
        <v>174</v>
      </c>
      <c r="AB193" s="90" t="str">
        <f>HYPERLINK(CONCATENATE("https://www.ejacket.nsf.gov/ej/showProposal.do?ID=",SUBSTITUTE(SplitQueryTableRecent[[#This Row],[prop_id]],CHAR(160),"")),"eJ")</f>
        <v>eJ</v>
      </c>
      <c r="AC193" s="89" t="s">
        <v>788</v>
      </c>
      <c r="AD193" s="3" t="s">
        <v>788</v>
      </c>
      <c r="AE193" s="91">
        <v>2016</v>
      </c>
      <c r="AF193" s="13" t="s">
        <v>43</v>
      </c>
      <c r="AG193" s="13">
        <v>280000</v>
      </c>
      <c r="AH193" s="45">
        <v>280000</v>
      </c>
      <c r="AI193" s="44" t="s">
        <v>1232</v>
      </c>
      <c r="AJ193" s="2" t="s">
        <v>933</v>
      </c>
      <c r="AK193" s="46" t="s">
        <v>313</v>
      </c>
      <c r="AL193" s="55" t="s">
        <v>584</v>
      </c>
      <c r="AM193" s="45" t="s">
        <v>584</v>
      </c>
      <c r="AN193" s="56" t="s">
        <v>152</v>
      </c>
      <c r="AO193" s="23" t="s">
        <v>146</v>
      </c>
      <c r="AP193" s="11"/>
      <c r="AQ193" s="88" t="s">
        <v>789</v>
      </c>
      <c r="AR193" s="57" t="s">
        <v>164</v>
      </c>
      <c r="AS193" s="46">
        <v>42559.40761574074</v>
      </c>
      <c r="AT193" s="3">
        <f t="shared" si="2"/>
        <v>162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42992.404930555553</v>
      </c>
      <c r="I194" s="43">
        <v>42326.582638888889</v>
      </c>
      <c r="J194" s="42">
        <v>42507.586759259262</v>
      </c>
      <c r="K194" s="81" t="s">
        <v>49</v>
      </c>
      <c r="L194" t="s">
        <v>49</v>
      </c>
      <c r="M194" t="s">
        <v>336</v>
      </c>
      <c r="N194" s="1" t="s">
        <v>336</v>
      </c>
      <c r="O194" s="1" t="s">
        <v>230</v>
      </c>
      <c r="P194" t="s">
        <v>230</v>
      </c>
      <c r="Q194" s="9" t="s">
        <v>45</v>
      </c>
      <c r="R194" s="82" t="s">
        <v>45</v>
      </c>
      <c r="S194" s="44" t="s">
        <v>196</v>
      </c>
      <c r="T194" s="3" t="s">
        <v>61</v>
      </c>
      <c r="U194" s="2" t="s">
        <v>29</v>
      </c>
      <c r="V194" s="3" t="s">
        <v>29</v>
      </c>
      <c r="W194" s="11" t="s">
        <v>153</v>
      </c>
      <c r="X194" s="3" t="s">
        <v>153</v>
      </c>
      <c r="Y194" s="77" t="s">
        <v>48</v>
      </c>
      <c r="Z194" s="84" t="s">
        <v>1239</v>
      </c>
      <c r="AA194" s="89" t="s">
        <v>28</v>
      </c>
      <c r="AB194" s="90" t="str">
        <f>HYPERLINK(CONCATENATE("https://www.ejacket.nsf.gov/ej/showProposal.do?ID=",SUBSTITUTE(SplitQueryTableRecent[[#This Row],[prop_id]],CHAR(160),"")),"eJ")</f>
        <v>eJ</v>
      </c>
      <c r="AC194" s="89" t="s">
        <v>1239</v>
      </c>
      <c r="AD194" s="3" t="s">
        <v>1239</v>
      </c>
      <c r="AE194" s="91">
        <v>2016</v>
      </c>
      <c r="AF194" s="13" t="s">
        <v>43</v>
      </c>
      <c r="AG194" s="13">
        <v>500000</v>
      </c>
      <c r="AH194" s="45">
        <v>500000</v>
      </c>
      <c r="AI194" s="44" t="s">
        <v>1205</v>
      </c>
      <c r="AJ194" s="2" t="s">
        <v>1241</v>
      </c>
      <c r="AK194" s="46" t="s">
        <v>195</v>
      </c>
      <c r="AL194" s="55" t="s">
        <v>369</v>
      </c>
      <c r="AM194" s="45" t="s">
        <v>369</v>
      </c>
      <c r="AN194" s="56" t="s">
        <v>152</v>
      </c>
      <c r="AO194" s="23" t="s">
        <v>146</v>
      </c>
      <c r="AP194" s="11"/>
      <c r="AQ194" s="88" t="s">
        <v>1240</v>
      </c>
      <c r="AR194" s="57" t="s">
        <v>164</v>
      </c>
      <c r="AS194" s="46">
        <v>42531.490902777776</v>
      </c>
      <c r="AT194" s="3">
        <f t="shared" si="2"/>
        <v>163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42992.404930555553</v>
      </c>
      <c r="I195" s="43">
        <v>42662.652777777781</v>
      </c>
      <c r="J195" s="42">
        <v>42902.542615740742</v>
      </c>
      <c r="K195" s="81" t="s">
        <v>49</v>
      </c>
      <c r="L195" t="s">
        <v>49</v>
      </c>
      <c r="M195" t="s">
        <v>336</v>
      </c>
      <c r="N195" s="1" t="s">
        <v>336</v>
      </c>
      <c r="O195" s="1" t="s">
        <v>230</v>
      </c>
      <c r="P195" t="s">
        <v>230</v>
      </c>
      <c r="Q195" s="9" t="s">
        <v>45</v>
      </c>
      <c r="R195" s="82" t="s">
        <v>45</v>
      </c>
      <c r="S195" s="44" t="s">
        <v>192</v>
      </c>
      <c r="T195" s="3" t="s">
        <v>61</v>
      </c>
      <c r="U195" s="2" t="s">
        <v>29</v>
      </c>
      <c r="V195" s="3" t="s">
        <v>29</v>
      </c>
      <c r="W195" s="11" t="s">
        <v>153</v>
      </c>
      <c r="X195" s="3" t="s">
        <v>153</v>
      </c>
      <c r="Y195" s="77" t="s">
        <v>48</v>
      </c>
      <c r="Z195" s="84" t="s">
        <v>1243</v>
      </c>
      <c r="AA195" s="89" t="s">
        <v>62</v>
      </c>
      <c r="AB195" s="90" t="str">
        <f>HYPERLINK(CONCATENATE("https://www.ejacket.nsf.gov/ej/showProposal.do?ID=",SUBSTITUTE(SplitQueryTableRecent[[#This Row],[prop_id]],CHAR(160),"")),"eJ")</f>
        <v>eJ</v>
      </c>
      <c r="AC195" s="89" t="s">
        <v>1242</v>
      </c>
      <c r="AD195" s="3" t="s">
        <v>1242</v>
      </c>
      <c r="AE195" s="91">
        <v>2017</v>
      </c>
      <c r="AF195" s="13" t="s">
        <v>43</v>
      </c>
      <c r="AG195" s="13">
        <v>451330</v>
      </c>
      <c r="AH195" s="45">
        <v>600000</v>
      </c>
      <c r="AI195" s="44" t="s">
        <v>1205</v>
      </c>
      <c r="AJ195" s="2" t="s">
        <v>1241</v>
      </c>
      <c r="AK195" s="46" t="s">
        <v>195</v>
      </c>
      <c r="AL195" s="55" t="s">
        <v>353</v>
      </c>
      <c r="AM195" s="45" t="s">
        <v>353</v>
      </c>
      <c r="AN195" s="56" t="s">
        <v>152</v>
      </c>
      <c r="AO195" s="23" t="s">
        <v>146</v>
      </c>
      <c r="AP195" s="11"/>
      <c r="AQ195" s="88" t="s">
        <v>1244</v>
      </c>
      <c r="AR195" s="57" t="s">
        <v>188</v>
      </c>
      <c r="AS195" s="46">
        <v>42908.673877314817</v>
      </c>
      <c r="AT195" s="3">
        <f t="shared" si="2"/>
        <v>164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42992.404930555553</v>
      </c>
      <c r="I196" s="43">
        <v>42691.532638888886</v>
      </c>
      <c r="J196" s="42">
        <v>42905.694016203706</v>
      </c>
      <c r="K196" s="81" t="s">
        <v>49</v>
      </c>
      <c r="L196" t="s">
        <v>49</v>
      </c>
      <c r="M196" t="s">
        <v>336</v>
      </c>
      <c r="N196" s="1" t="s">
        <v>336</v>
      </c>
      <c r="O196" s="1" t="s">
        <v>337</v>
      </c>
      <c r="P196" t="s">
        <v>337</v>
      </c>
      <c r="Q196" s="9" t="s">
        <v>45</v>
      </c>
      <c r="R196" s="82" t="s">
        <v>45</v>
      </c>
      <c r="S196" s="44" t="s">
        <v>192</v>
      </c>
      <c r="T196" s="3" t="s">
        <v>61</v>
      </c>
      <c r="U196" s="2" t="s">
        <v>29</v>
      </c>
      <c r="V196" s="3" t="s">
        <v>29</v>
      </c>
      <c r="W196" s="11" t="s">
        <v>153</v>
      </c>
      <c r="X196" s="3" t="s">
        <v>153</v>
      </c>
      <c r="Y196" s="77" t="s">
        <v>48</v>
      </c>
      <c r="Z196" s="84" t="s">
        <v>1245</v>
      </c>
      <c r="AA196" s="89" t="s">
        <v>174</v>
      </c>
      <c r="AB196" s="90" t="str">
        <f>HYPERLINK(CONCATENATE("https://www.ejacket.nsf.gov/ej/showProposal.do?ID=",SUBSTITUTE(SplitQueryTableRecent[[#This Row],[prop_id]],CHAR(160),"")),"eJ")</f>
        <v>eJ</v>
      </c>
      <c r="AC196" s="89" t="s">
        <v>1245</v>
      </c>
      <c r="AD196" s="3" t="s">
        <v>1245</v>
      </c>
      <c r="AE196" s="91">
        <v>2017</v>
      </c>
      <c r="AF196" s="13" t="s">
        <v>43</v>
      </c>
      <c r="AG196" s="13">
        <v>270000</v>
      </c>
      <c r="AH196" s="45">
        <v>299944</v>
      </c>
      <c r="AI196" s="44" t="s">
        <v>554</v>
      </c>
      <c r="AJ196" s="2" t="s">
        <v>555</v>
      </c>
      <c r="AK196" s="46" t="s">
        <v>246</v>
      </c>
      <c r="AL196" s="55" t="s">
        <v>369</v>
      </c>
      <c r="AM196" s="45" t="s">
        <v>369</v>
      </c>
      <c r="AN196" s="56" t="s">
        <v>152</v>
      </c>
      <c r="AO196" s="23" t="s">
        <v>146</v>
      </c>
      <c r="AP196" s="11"/>
      <c r="AQ196" s="88" t="s">
        <v>1246</v>
      </c>
      <c r="AR196" s="57" t="s">
        <v>188</v>
      </c>
      <c r="AS196" s="46">
        <v>42914.569780092592</v>
      </c>
      <c r="AT196" s="3">
        <f t="shared" si="2"/>
        <v>165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42992.404930555553</v>
      </c>
      <c r="I197" s="43">
        <v>42690.598611111112</v>
      </c>
      <c r="J197" s="42">
        <v>42904.890601851854</v>
      </c>
      <c r="K197" s="81" t="s">
        <v>49</v>
      </c>
      <c r="L197" t="s">
        <v>49</v>
      </c>
      <c r="M197" t="s">
        <v>336</v>
      </c>
      <c r="N197" s="1" t="s">
        <v>336</v>
      </c>
      <c r="O197" s="1" t="s">
        <v>230</v>
      </c>
      <c r="P197" t="s">
        <v>230</v>
      </c>
      <c r="Q197" s="9" t="s">
        <v>45</v>
      </c>
      <c r="R197" s="82" t="s">
        <v>45</v>
      </c>
      <c r="S197" s="44" t="s">
        <v>192</v>
      </c>
      <c r="T197" s="3" t="s">
        <v>61</v>
      </c>
      <c r="U197" s="2" t="s">
        <v>29</v>
      </c>
      <c r="V197" s="3" t="s">
        <v>29</v>
      </c>
      <c r="W197" s="11" t="s">
        <v>153</v>
      </c>
      <c r="X197" s="3" t="s">
        <v>153</v>
      </c>
      <c r="Y197" s="77" t="s">
        <v>48</v>
      </c>
      <c r="Z197" s="84" t="s">
        <v>1257</v>
      </c>
      <c r="AA197" s="89" t="s">
        <v>28</v>
      </c>
      <c r="AB197" s="90" t="str">
        <f>HYPERLINK(CONCATENATE("https://www.ejacket.nsf.gov/ej/showProposal.do?ID=",SUBSTITUTE(SplitQueryTableRecent[[#This Row],[prop_id]],CHAR(160),"")),"eJ")</f>
        <v>eJ</v>
      </c>
      <c r="AC197" s="89" t="s">
        <v>1257</v>
      </c>
      <c r="AD197" s="3" t="s">
        <v>1257</v>
      </c>
      <c r="AE197" s="91">
        <v>2017</v>
      </c>
      <c r="AF197" s="13" t="s">
        <v>43</v>
      </c>
      <c r="AG197" s="13">
        <v>450000</v>
      </c>
      <c r="AH197" s="45">
        <v>495000</v>
      </c>
      <c r="AI197" s="44" t="s">
        <v>1256</v>
      </c>
      <c r="AJ197" s="2" t="s">
        <v>1224</v>
      </c>
      <c r="AK197" s="46" t="s">
        <v>1715</v>
      </c>
      <c r="AL197" s="55" t="s">
        <v>369</v>
      </c>
      <c r="AM197" s="45" t="s">
        <v>369</v>
      </c>
      <c r="AN197" s="56" t="s">
        <v>152</v>
      </c>
      <c r="AO197" s="23" t="s">
        <v>146</v>
      </c>
      <c r="AP197" s="11"/>
      <c r="AQ197" s="88" t="s">
        <v>1258</v>
      </c>
      <c r="AR197" s="57" t="s">
        <v>188</v>
      </c>
      <c r="AS197" s="46">
        <v>42914.483784722222</v>
      </c>
      <c r="AT197" s="3">
        <f t="shared" si="2"/>
        <v>166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42992.404930555553</v>
      </c>
      <c r="I198" s="43">
        <v>42018.414583333331</v>
      </c>
      <c r="J198" s="42">
        <v>42200.663402777776</v>
      </c>
      <c r="K198" s="81" t="s">
        <v>49</v>
      </c>
      <c r="L198" t="s">
        <v>49</v>
      </c>
      <c r="M198" t="s">
        <v>336</v>
      </c>
      <c r="N198" s="1" t="s">
        <v>336</v>
      </c>
      <c r="O198" s="1" t="s">
        <v>337</v>
      </c>
      <c r="P198" t="s">
        <v>337</v>
      </c>
      <c r="Q198" s="9" t="s">
        <v>45</v>
      </c>
      <c r="R198" s="82" t="s">
        <v>45</v>
      </c>
      <c r="S198" s="44" t="s">
        <v>184</v>
      </c>
      <c r="T198" s="3" t="s">
        <v>61</v>
      </c>
      <c r="U198" s="2" t="s">
        <v>29</v>
      </c>
      <c r="V198" s="3" t="s">
        <v>29</v>
      </c>
      <c r="W198" s="11" t="s">
        <v>153</v>
      </c>
      <c r="X198" s="3" t="s">
        <v>153</v>
      </c>
      <c r="Y198" s="77" t="s">
        <v>48</v>
      </c>
      <c r="Z198" s="84" t="s">
        <v>1259</v>
      </c>
      <c r="AA198" s="89" t="s">
        <v>28</v>
      </c>
      <c r="AB198" s="90" t="str">
        <f>HYPERLINK(CONCATENATE("https://www.ejacket.nsf.gov/ej/showProposal.do?ID=",SUBSTITUTE(SplitQueryTableRecent[[#This Row],[prop_id]],CHAR(160),"")),"eJ")</f>
        <v>eJ</v>
      </c>
      <c r="AC198" s="89" t="s">
        <v>1259</v>
      </c>
      <c r="AD198" s="3" t="s">
        <v>1259</v>
      </c>
      <c r="AE198" s="91">
        <v>2015</v>
      </c>
      <c r="AF198" s="13" t="s">
        <v>43</v>
      </c>
      <c r="AG198" s="13">
        <v>185000</v>
      </c>
      <c r="AH198" s="45">
        <v>500000</v>
      </c>
      <c r="AI198" s="44" t="s">
        <v>474</v>
      </c>
      <c r="AJ198" s="2" t="s">
        <v>475</v>
      </c>
      <c r="AK198" s="46" t="s">
        <v>1739</v>
      </c>
      <c r="AL198" s="55" t="s">
        <v>584</v>
      </c>
      <c r="AM198" s="45" t="s">
        <v>584</v>
      </c>
      <c r="AN198" s="56" t="s">
        <v>152</v>
      </c>
      <c r="AO198" s="23" t="s">
        <v>146</v>
      </c>
      <c r="AP198" s="11"/>
      <c r="AQ198" s="88" t="s">
        <v>1260</v>
      </c>
      <c r="AR198" s="57" t="s">
        <v>164</v>
      </c>
      <c r="AS198" s="46">
        <v>42234.3746875</v>
      </c>
      <c r="AT198" s="3">
        <f t="shared" si="2"/>
        <v>167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42992.404930555553</v>
      </c>
      <c r="I199" s="43">
        <v>42018.677083333336</v>
      </c>
      <c r="J199" s="42">
        <v>42184.574305555558</v>
      </c>
      <c r="K199" s="81" t="s">
        <v>49</v>
      </c>
      <c r="L199" t="s">
        <v>49</v>
      </c>
      <c r="M199" t="s">
        <v>336</v>
      </c>
      <c r="N199" s="1" t="s">
        <v>336</v>
      </c>
      <c r="O199" s="1" t="s">
        <v>337</v>
      </c>
      <c r="P199" t="s">
        <v>337</v>
      </c>
      <c r="Q199" s="9" t="s">
        <v>45</v>
      </c>
      <c r="R199" s="82" t="s">
        <v>45</v>
      </c>
      <c r="S199" s="44" t="s">
        <v>184</v>
      </c>
      <c r="T199" s="3" t="s">
        <v>61</v>
      </c>
      <c r="U199" s="2" t="s">
        <v>29</v>
      </c>
      <c r="V199" s="3" t="s">
        <v>29</v>
      </c>
      <c r="W199" s="11" t="s">
        <v>153</v>
      </c>
      <c r="X199" s="3" t="s">
        <v>153</v>
      </c>
      <c r="Y199" s="77" t="s">
        <v>48</v>
      </c>
      <c r="Z199" s="84" t="s">
        <v>1263</v>
      </c>
      <c r="AA199" s="89" t="s">
        <v>28</v>
      </c>
      <c r="AB199" s="90" t="str">
        <f>HYPERLINK(CONCATENATE("https://www.ejacket.nsf.gov/ej/showProposal.do?ID=",SUBSTITUTE(SplitQueryTableRecent[[#This Row],[prop_id]],CHAR(160),"")),"eJ")</f>
        <v>eJ</v>
      </c>
      <c r="AC199" s="89" t="s">
        <v>1263</v>
      </c>
      <c r="AD199" s="3" t="s">
        <v>1263</v>
      </c>
      <c r="AE199" s="91">
        <v>2015</v>
      </c>
      <c r="AF199" s="13" t="s">
        <v>43</v>
      </c>
      <c r="AG199" s="13">
        <v>250134</v>
      </c>
      <c r="AH199" s="45">
        <v>250134</v>
      </c>
      <c r="AI199" s="44" t="s">
        <v>477</v>
      </c>
      <c r="AJ199" s="2" t="s">
        <v>478</v>
      </c>
      <c r="AK199" s="46" t="s">
        <v>301</v>
      </c>
      <c r="AL199" s="55" t="s">
        <v>584</v>
      </c>
      <c r="AM199" s="45" t="s">
        <v>543</v>
      </c>
      <c r="AN199" s="56" t="s">
        <v>152</v>
      </c>
      <c r="AO199" s="23" t="s">
        <v>146</v>
      </c>
      <c r="AP199" s="11"/>
      <c r="AQ199" s="88" t="s">
        <v>1264</v>
      </c>
      <c r="AR199" s="57" t="s">
        <v>164</v>
      </c>
      <c r="AS199" s="46">
        <v>42213.607731481483</v>
      </c>
      <c r="AT199" s="3">
        <f t="shared" si="2"/>
        <v>168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42992.404930555553</v>
      </c>
      <c r="I200" s="43">
        <v>41653.597916666666</v>
      </c>
      <c r="J200" s="42">
        <v>41806.400821759256</v>
      </c>
      <c r="K200" s="81" t="s">
        <v>49</v>
      </c>
      <c r="L200" t="s">
        <v>49</v>
      </c>
      <c r="M200" t="s">
        <v>336</v>
      </c>
      <c r="N200" s="1" t="s">
        <v>336</v>
      </c>
      <c r="O200" s="1" t="s">
        <v>337</v>
      </c>
      <c r="P200" t="s">
        <v>337</v>
      </c>
      <c r="Q200" s="9" t="s">
        <v>45</v>
      </c>
      <c r="R200" s="82" t="s">
        <v>45</v>
      </c>
      <c r="S200" s="44" t="s">
        <v>173</v>
      </c>
      <c r="T200" s="3" t="s">
        <v>61</v>
      </c>
      <c r="U200" s="2" t="s">
        <v>29</v>
      </c>
      <c r="V200" s="3" t="s">
        <v>29</v>
      </c>
      <c r="W200" s="11" t="s">
        <v>153</v>
      </c>
      <c r="X200" s="3" t="s">
        <v>153</v>
      </c>
      <c r="Y200" s="77" t="s">
        <v>48</v>
      </c>
      <c r="Z200" s="84" t="s">
        <v>1265</v>
      </c>
      <c r="AA200" s="89" t="s">
        <v>28</v>
      </c>
      <c r="AB200" s="90" t="str">
        <f>HYPERLINK(CONCATENATE("https://www.ejacket.nsf.gov/ej/showProposal.do?ID=",SUBSTITUTE(SplitQueryTableRecent[[#This Row],[prop_id]],CHAR(160),"")),"eJ")</f>
        <v>eJ</v>
      </c>
      <c r="AC200" s="89" t="s">
        <v>1265</v>
      </c>
      <c r="AD200" s="3" t="s">
        <v>1265</v>
      </c>
      <c r="AE200" s="91">
        <v>2014</v>
      </c>
      <c r="AF200" s="13" t="s">
        <v>43</v>
      </c>
      <c r="AG200" s="13">
        <v>257190</v>
      </c>
      <c r="AH200" s="45">
        <v>257190</v>
      </c>
      <c r="AI200" s="44" t="s">
        <v>411</v>
      </c>
      <c r="AJ200" s="2" t="s">
        <v>1267</v>
      </c>
      <c r="AK200" s="46" t="s">
        <v>328</v>
      </c>
      <c r="AL200" s="55" t="s">
        <v>577</v>
      </c>
      <c r="AM200" s="45" t="s">
        <v>577</v>
      </c>
      <c r="AN200" s="56" t="s">
        <v>152</v>
      </c>
      <c r="AO200" s="23" t="s">
        <v>146</v>
      </c>
      <c r="AP200" s="11"/>
      <c r="AQ200" s="88" t="s">
        <v>1266</v>
      </c>
      <c r="AR200" s="57" t="s">
        <v>161</v>
      </c>
      <c r="AS200" s="46">
        <v>41808.456979166665</v>
      </c>
      <c r="AT200" s="3">
        <f t="shared" si="2"/>
        <v>169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42992.404930555553</v>
      </c>
      <c r="I201" s="43">
        <v>42018.706250000003</v>
      </c>
      <c r="J201" s="42">
        <v>42184.654143518521</v>
      </c>
      <c r="K201" s="81" t="s">
        <v>49</v>
      </c>
      <c r="L201" t="s">
        <v>49</v>
      </c>
      <c r="M201" t="s">
        <v>336</v>
      </c>
      <c r="N201" s="1" t="s">
        <v>336</v>
      </c>
      <c r="O201" s="1" t="s">
        <v>337</v>
      </c>
      <c r="P201" t="s">
        <v>337</v>
      </c>
      <c r="Q201" s="9" t="s">
        <v>45</v>
      </c>
      <c r="R201" s="82" t="s">
        <v>45</v>
      </c>
      <c r="S201" s="44" t="s">
        <v>184</v>
      </c>
      <c r="T201" s="3" t="s">
        <v>61</v>
      </c>
      <c r="U201" s="2" t="s">
        <v>29</v>
      </c>
      <c r="V201" s="3" t="s">
        <v>29</v>
      </c>
      <c r="W201" s="11" t="s">
        <v>153</v>
      </c>
      <c r="X201" s="3" t="s">
        <v>153</v>
      </c>
      <c r="Y201" s="77" t="s">
        <v>48</v>
      </c>
      <c r="Z201" s="84" t="s">
        <v>1268</v>
      </c>
      <c r="AA201" s="89" t="s">
        <v>28</v>
      </c>
      <c r="AB201" s="90" t="str">
        <f>HYPERLINK(CONCATENATE("https://www.ejacket.nsf.gov/ej/showProposal.do?ID=",SUBSTITUTE(SplitQueryTableRecent[[#This Row],[prop_id]],CHAR(160),"")),"eJ")</f>
        <v>eJ</v>
      </c>
      <c r="AC201" s="89" t="s">
        <v>1268</v>
      </c>
      <c r="AD201" s="3" t="s">
        <v>1268</v>
      </c>
      <c r="AE201" s="91">
        <v>2015</v>
      </c>
      <c r="AF201" s="13" t="s">
        <v>43</v>
      </c>
      <c r="AG201" s="13">
        <v>499778</v>
      </c>
      <c r="AH201" s="45">
        <v>499778</v>
      </c>
      <c r="AI201" s="44" t="s">
        <v>350</v>
      </c>
      <c r="AJ201" s="2" t="s">
        <v>191</v>
      </c>
      <c r="AK201" s="46" t="s">
        <v>160</v>
      </c>
      <c r="AL201" s="55" t="s">
        <v>584</v>
      </c>
      <c r="AM201" s="45" t="s">
        <v>584</v>
      </c>
      <c r="AN201" s="56" t="s">
        <v>152</v>
      </c>
      <c r="AO201" s="23" t="s">
        <v>146</v>
      </c>
      <c r="AP201" s="11"/>
      <c r="AQ201" s="88" t="s">
        <v>1269</v>
      </c>
      <c r="AR201" s="57" t="s">
        <v>164</v>
      </c>
      <c r="AS201" s="46">
        <v>42212.344178240739</v>
      </c>
      <c r="AT201" s="3">
        <f t="shared" si="2"/>
        <v>170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42992.404930555553</v>
      </c>
      <c r="I202" s="43">
        <v>41653.456944444442</v>
      </c>
      <c r="J202" s="42">
        <v>41815.693958333337</v>
      </c>
      <c r="K202" s="81" t="s">
        <v>49</v>
      </c>
      <c r="L202" t="s">
        <v>49</v>
      </c>
      <c r="M202" t="s">
        <v>336</v>
      </c>
      <c r="N202" s="1" t="s">
        <v>336</v>
      </c>
      <c r="O202" s="1" t="s">
        <v>337</v>
      </c>
      <c r="P202" t="s">
        <v>337</v>
      </c>
      <c r="Q202" s="9" t="s">
        <v>45</v>
      </c>
      <c r="R202" s="82" t="s">
        <v>45</v>
      </c>
      <c r="S202" s="44" t="s">
        <v>173</v>
      </c>
      <c r="T202" s="3" t="s">
        <v>61</v>
      </c>
      <c r="U202" s="2" t="s">
        <v>29</v>
      </c>
      <c r="V202" s="3" t="s">
        <v>29</v>
      </c>
      <c r="W202" s="11" t="s">
        <v>153</v>
      </c>
      <c r="X202" s="3" t="s">
        <v>153</v>
      </c>
      <c r="Y202" s="77" t="s">
        <v>48</v>
      </c>
      <c r="Z202" s="84" t="s">
        <v>640</v>
      </c>
      <c r="AA202" s="89" t="s">
        <v>62</v>
      </c>
      <c r="AB202" s="90" t="str">
        <f>HYPERLINK(CONCATENATE("https://www.ejacket.nsf.gov/ej/showProposal.do?ID=",SUBSTITUTE(SplitQueryTableRecent[[#This Row],[prop_id]],CHAR(160),"")),"eJ")</f>
        <v>eJ</v>
      </c>
      <c r="AC202" s="89" t="s">
        <v>1270</v>
      </c>
      <c r="AD202" s="3" t="s">
        <v>1270</v>
      </c>
      <c r="AE202" s="91">
        <v>2014</v>
      </c>
      <c r="AF202" s="13" t="s">
        <v>43</v>
      </c>
      <c r="AG202" s="13">
        <v>171409</v>
      </c>
      <c r="AH202" s="45">
        <v>171409</v>
      </c>
      <c r="AI202" s="44" t="s">
        <v>1271</v>
      </c>
      <c r="AJ202" s="2" t="s">
        <v>684</v>
      </c>
      <c r="AK202" s="46" t="s">
        <v>1744</v>
      </c>
      <c r="AL202" s="55" t="s">
        <v>584</v>
      </c>
      <c r="AM202" s="45" t="s">
        <v>584</v>
      </c>
      <c r="AN202" s="56" t="s">
        <v>152</v>
      </c>
      <c r="AO202" s="23" t="s">
        <v>146</v>
      </c>
      <c r="AP202" s="11"/>
      <c r="AQ202" s="88" t="s">
        <v>641</v>
      </c>
      <c r="AR202" s="57" t="s">
        <v>161</v>
      </c>
      <c r="AS202" s="46">
        <v>41843.356180555558</v>
      </c>
      <c r="AT202" s="3">
        <f t="shared" si="2"/>
        <v>171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42992.404930555553</v>
      </c>
      <c r="I203" s="43">
        <v>41653.65</v>
      </c>
      <c r="J203" s="42">
        <v>41802.472048611111</v>
      </c>
      <c r="K203" s="81" t="s">
        <v>49</v>
      </c>
      <c r="L203" t="s">
        <v>49</v>
      </c>
      <c r="M203" t="s">
        <v>336</v>
      </c>
      <c r="N203" s="1" t="s">
        <v>336</v>
      </c>
      <c r="O203" s="1" t="s">
        <v>337</v>
      </c>
      <c r="P203" t="s">
        <v>337</v>
      </c>
      <c r="Q203" s="9" t="s">
        <v>45</v>
      </c>
      <c r="R203" s="82" t="s">
        <v>45</v>
      </c>
      <c r="S203" s="44" t="s">
        <v>173</v>
      </c>
      <c r="T203" s="3" t="s">
        <v>61</v>
      </c>
      <c r="U203" s="2" t="s">
        <v>29</v>
      </c>
      <c r="V203" s="3" t="s">
        <v>29</v>
      </c>
      <c r="W203" s="11" t="s">
        <v>153</v>
      </c>
      <c r="X203" s="3" t="s">
        <v>153</v>
      </c>
      <c r="Y203" s="77" t="s">
        <v>48</v>
      </c>
      <c r="Z203" s="84" t="s">
        <v>1272</v>
      </c>
      <c r="AA203" s="89" t="s">
        <v>28</v>
      </c>
      <c r="AB203" s="90" t="str">
        <f>HYPERLINK(CONCATENATE("https://www.ejacket.nsf.gov/ej/showProposal.do?ID=",SUBSTITUTE(SplitQueryTableRecent[[#This Row],[prop_id]],CHAR(160),"")),"eJ")</f>
        <v>eJ</v>
      </c>
      <c r="AC203" s="89" t="s">
        <v>1272</v>
      </c>
      <c r="AD203" s="3" t="s">
        <v>1272</v>
      </c>
      <c r="AE203" s="91">
        <v>2014</v>
      </c>
      <c r="AF203" s="13" t="s">
        <v>43</v>
      </c>
      <c r="AG203" s="13">
        <v>264628</v>
      </c>
      <c r="AH203" s="45">
        <v>175873</v>
      </c>
      <c r="AI203" s="44" t="s">
        <v>487</v>
      </c>
      <c r="AJ203" s="2" t="s">
        <v>488</v>
      </c>
      <c r="AK203" s="46" t="s">
        <v>301</v>
      </c>
      <c r="AL203" s="55" t="s">
        <v>584</v>
      </c>
      <c r="AM203" s="45" t="s">
        <v>584</v>
      </c>
      <c r="AN203" s="56" t="s">
        <v>152</v>
      </c>
      <c r="AO203" s="23" t="s">
        <v>146</v>
      </c>
      <c r="AP203" s="11"/>
      <c r="AQ203" s="88" t="s">
        <v>1273</v>
      </c>
      <c r="AR203" s="57" t="s">
        <v>164</v>
      </c>
      <c r="AS203" s="46">
        <v>41815.262685185182</v>
      </c>
      <c r="AT203" s="3">
        <f t="shared" si="2"/>
        <v>172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42992.404930555553</v>
      </c>
      <c r="I204" s="43">
        <v>42326.625694444447</v>
      </c>
      <c r="J204" s="42">
        <v>42508.638194444444</v>
      </c>
      <c r="K204" s="81" t="s">
        <v>49</v>
      </c>
      <c r="L204" t="s">
        <v>49</v>
      </c>
      <c r="M204" t="s">
        <v>336</v>
      </c>
      <c r="N204" s="1" t="s">
        <v>336</v>
      </c>
      <c r="O204" s="1" t="s">
        <v>230</v>
      </c>
      <c r="P204" t="s">
        <v>230</v>
      </c>
      <c r="Q204" s="9" t="s">
        <v>45</v>
      </c>
      <c r="R204" s="82" t="s">
        <v>45</v>
      </c>
      <c r="S204" s="44" t="s">
        <v>196</v>
      </c>
      <c r="T204" s="3" t="s">
        <v>61</v>
      </c>
      <c r="U204" s="2" t="s">
        <v>29</v>
      </c>
      <c r="V204" s="3" t="s">
        <v>29</v>
      </c>
      <c r="W204" s="11" t="s">
        <v>153</v>
      </c>
      <c r="X204" s="3" t="s">
        <v>153</v>
      </c>
      <c r="Y204" s="77" t="s">
        <v>48</v>
      </c>
      <c r="Z204" s="84" t="s">
        <v>966</v>
      </c>
      <c r="AA204" s="89" t="s">
        <v>62</v>
      </c>
      <c r="AB204" s="90" t="str">
        <f>HYPERLINK(CONCATENATE("https://www.ejacket.nsf.gov/ej/showProposal.do?ID=",SUBSTITUTE(SplitQueryTableRecent[[#This Row],[prop_id]],CHAR(160),"")),"eJ")</f>
        <v>eJ</v>
      </c>
      <c r="AC204" s="89" t="s">
        <v>1274</v>
      </c>
      <c r="AD204" s="3" t="s">
        <v>1274</v>
      </c>
      <c r="AE204" s="91">
        <v>2016</v>
      </c>
      <c r="AF204" s="13" t="s">
        <v>43</v>
      </c>
      <c r="AG204" s="13">
        <v>249996</v>
      </c>
      <c r="AH204" s="45">
        <v>249996</v>
      </c>
      <c r="AI204" s="44" t="s">
        <v>1275</v>
      </c>
      <c r="AJ204" s="2" t="s">
        <v>1276</v>
      </c>
      <c r="AK204" s="46" t="s">
        <v>1721</v>
      </c>
      <c r="AL204" s="55" t="s">
        <v>369</v>
      </c>
      <c r="AM204" s="45" t="s">
        <v>369</v>
      </c>
      <c r="AN204" s="56" t="s">
        <v>152</v>
      </c>
      <c r="AO204" s="23" t="s">
        <v>146</v>
      </c>
      <c r="AP204" s="11"/>
      <c r="AQ204" s="88" t="s">
        <v>967</v>
      </c>
      <c r="AR204" s="57" t="s">
        <v>164</v>
      </c>
      <c r="AS204" s="46">
        <v>42548.68037037037</v>
      </c>
      <c r="AT204" s="3">
        <f t="shared" si="2"/>
        <v>173</v>
      </c>
    </row>
    <row r="205" spans="8:88" x14ac:dyDescent="0.4">
      <c r="H205" s="59">
        <v>42992.404930555553</v>
      </c>
      <c r="I205" s="43">
        <v>42690.701388888891</v>
      </c>
      <c r="J205" s="42">
        <v>42905.69431712963</v>
      </c>
      <c r="K205" s="81" t="s">
        <v>49</v>
      </c>
      <c r="L205" t="s">
        <v>49</v>
      </c>
      <c r="M205" t="s">
        <v>336</v>
      </c>
      <c r="N205" s="1" t="s">
        <v>336</v>
      </c>
      <c r="O205" s="1" t="s">
        <v>337</v>
      </c>
      <c r="P205" t="s">
        <v>337</v>
      </c>
      <c r="Q205" s="9" t="s">
        <v>45</v>
      </c>
      <c r="R205" s="82" t="s">
        <v>45</v>
      </c>
      <c r="S205" s="44" t="s">
        <v>192</v>
      </c>
      <c r="T205" s="3" t="s">
        <v>61</v>
      </c>
      <c r="U205" s="2" t="s">
        <v>29</v>
      </c>
      <c r="V205" s="3" t="s">
        <v>29</v>
      </c>
      <c r="W205" s="11" t="s">
        <v>153</v>
      </c>
      <c r="X205" s="3" t="s">
        <v>153</v>
      </c>
      <c r="Y205" s="77" t="s">
        <v>48</v>
      </c>
      <c r="Z205" s="84" t="s">
        <v>1245</v>
      </c>
      <c r="AA205" s="89" t="s">
        <v>62</v>
      </c>
      <c r="AB205" s="90" t="str">
        <f>HYPERLINK(CONCATENATE("https://www.ejacket.nsf.gov/ej/showProposal.do?ID=",SUBSTITUTE(SplitQueryTableRecent[[#This Row],[prop_id]],CHAR(160),"")),"eJ")</f>
        <v>eJ</v>
      </c>
      <c r="AC205" s="89" t="s">
        <v>1279</v>
      </c>
      <c r="AD205" s="3" t="s">
        <v>1279</v>
      </c>
      <c r="AE205" s="91">
        <v>2017</v>
      </c>
      <c r="AF205" s="13" t="s">
        <v>43</v>
      </c>
      <c r="AG205" s="13">
        <v>200000</v>
      </c>
      <c r="AH205" s="45">
        <v>200000</v>
      </c>
      <c r="AI205" s="44" t="s">
        <v>1280</v>
      </c>
      <c r="AJ205" s="2" t="s">
        <v>329</v>
      </c>
      <c r="AK205" s="46" t="s">
        <v>1743</v>
      </c>
      <c r="AL205" s="55" t="s">
        <v>369</v>
      </c>
      <c r="AM205" s="45" t="s">
        <v>369</v>
      </c>
      <c r="AN205" s="56" t="s">
        <v>152</v>
      </c>
      <c r="AO205" s="23" t="s">
        <v>146</v>
      </c>
      <c r="AP205" s="11"/>
      <c r="AQ205" s="88" t="s">
        <v>1246</v>
      </c>
      <c r="AR205" s="57" t="s">
        <v>188</v>
      </c>
      <c r="AS205" s="46">
        <v>42914.569722222222</v>
      </c>
      <c r="AT205" s="3">
        <f t="shared" si="2"/>
        <v>174</v>
      </c>
    </row>
    <row r="206" spans="8:88" x14ac:dyDescent="0.4">
      <c r="H206" s="59">
        <v>42992.404930555553</v>
      </c>
      <c r="I206" s="43">
        <v>42018.68472222222</v>
      </c>
      <c r="J206" s="42">
        <v>42213.472534722219</v>
      </c>
      <c r="K206" s="81" t="s">
        <v>49</v>
      </c>
      <c r="L206" t="s">
        <v>49</v>
      </c>
      <c r="M206" t="s">
        <v>336</v>
      </c>
      <c r="N206" s="1" t="s">
        <v>336</v>
      </c>
      <c r="O206" s="1" t="s">
        <v>245</v>
      </c>
      <c r="P206" t="s">
        <v>245</v>
      </c>
      <c r="Q206" s="9" t="s">
        <v>45</v>
      </c>
      <c r="R206" s="82" t="s">
        <v>45</v>
      </c>
      <c r="S206" s="44" t="s">
        <v>184</v>
      </c>
      <c r="T206" s="3" t="s">
        <v>61</v>
      </c>
      <c r="U206" s="2" t="s">
        <v>29</v>
      </c>
      <c r="V206" s="3" t="s">
        <v>29</v>
      </c>
      <c r="W206" s="11" t="s">
        <v>153</v>
      </c>
      <c r="X206" s="3" t="s">
        <v>153</v>
      </c>
      <c r="Y206" s="77" t="s">
        <v>48</v>
      </c>
      <c r="Z206" s="84" t="s">
        <v>1050</v>
      </c>
      <c r="AA206" s="89" t="s">
        <v>174</v>
      </c>
      <c r="AB206" s="90" t="str">
        <f>HYPERLINK(CONCATENATE("https://www.ejacket.nsf.gov/ej/showProposal.do?ID=",SUBSTITUTE(SplitQueryTableRecent[[#This Row],[prop_id]],CHAR(160),"")),"eJ")</f>
        <v>eJ</v>
      </c>
      <c r="AC206" s="89" t="s">
        <v>1050</v>
      </c>
      <c r="AD206" s="3" t="s">
        <v>1050</v>
      </c>
      <c r="AE206" s="91">
        <v>2015</v>
      </c>
      <c r="AF206" s="13" t="s">
        <v>43</v>
      </c>
      <c r="AG206" s="13">
        <v>200000</v>
      </c>
      <c r="AH206" s="45">
        <v>250000</v>
      </c>
      <c r="AI206" s="44" t="s">
        <v>1281</v>
      </c>
      <c r="AJ206" s="2" t="s">
        <v>1282</v>
      </c>
      <c r="AK206" s="46" t="s">
        <v>1717</v>
      </c>
      <c r="AL206" s="55" t="s">
        <v>369</v>
      </c>
      <c r="AM206" s="45" t="s">
        <v>572</v>
      </c>
      <c r="AN206" s="56" t="s">
        <v>152</v>
      </c>
      <c r="AO206" s="23" t="s">
        <v>146</v>
      </c>
      <c r="AP206" s="11"/>
      <c r="AQ206" s="88" t="s">
        <v>1051</v>
      </c>
      <c r="AR206" s="57" t="s">
        <v>164</v>
      </c>
      <c r="AS206" s="46">
        <v>42243.642291666663</v>
      </c>
      <c r="AT206" s="3">
        <f t="shared" si="2"/>
        <v>175</v>
      </c>
    </row>
    <row r="207" spans="8:88" x14ac:dyDescent="0.4">
      <c r="H207" s="59">
        <v>42992.404930555553</v>
      </c>
      <c r="I207" s="43">
        <v>42689.598611111112</v>
      </c>
      <c r="J207" s="42">
        <v>42935.697002314817</v>
      </c>
      <c r="K207" s="81" t="s">
        <v>137</v>
      </c>
      <c r="L207" t="s">
        <v>49</v>
      </c>
      <c r="M207" t="s">
        <v>344</v>
      </c>
      <c r="N207" s="1" t="s">
        <v>336</v>
      </c>
      <c r="O207" s="1" t="s">
        <v>1097</v>
      </c>
      <c r="P207" t="s">
        <v>245</v>
      </c>
      <c r="Q207" s="9" t="s">
        <v>45</v>
      </c>
      <c r="R207" s="82" t="s">
        <v>45</v>
      </c>
      <c r="S207" s="44" t="s">
        <v>361</v>
      </c>
      <c r="T207" s="3" t="s">
        <v>61</v>
      </c>
      <c r="U207" s="2" t="s">
        <v>29</v>
      </c>
      <c r="V207" s="3" t="s">
        <v>29</v>
      </c>
      <c r="W207" s="11" t="s">
        <v>153</v>
      </c>
      <c r="X207" s="3" t="s">
        <v>153</v>
      </c>
      <c r="Y207" s="77" t="s">
        <v>334</v>
      </c>
      <c r="Z207" s="84" t="s">
        <v>1291</v>
      </c>
      <c r="AA207" s="89" t="s">
        <v>28</v>
      </c>
      <c r="AB207" s="90" t="str">
        <f>HYPERLINK(CONCATENATE("https://www.ejacket.nsf.gov/ej/showProposal.do?ID=",SUBSTITUTE(SplitQueryTableRecent[[#This Row],[prop_id]],CHAR(160),"")),"eJ")</f>
        <v>eJ</v>
      </c>
      <c r="AC207" s="89" t="s">
        <v>1291</v>
      </c>
      <c r="AD207" s="3" t="s">
        <v>1291</v>
      </c>
      <c r="AE207" s="91">
        <v>2017</v>
      </c>
      <c r="AF207" s="13" t="s">
        <v>44</v>
      </c>
      <c r="AG207" s="13">
        <v>125000</v>
      </c>
      <c r="AH207" s="45">
        <v>500000</v>
      </c>
      <c r="AI207" s="44" t="s">
        <v>1290</v>
      </c>
      <c r="AJ207" s="2" t="s">
        <v>520</v>
      </c>
      <c r="AK207" s="46" t="s">
        <v>1746</v>
      </c>
      <c r="AL207" s="55" t="s">
        <v>676</v>
      </c>
      <c r="AM207" s="45" t="s">
        <v>369</v>
      </c>
      <c r="AN207" s="56" t="s">
        <v>152</v>
      </c>
      <c r="AO207" s="23" t="s">
        <v>146</v>
      </c>
      <c r="AP207" s="11"/>
      <c r="AQ207" s="88" t="s">
        <v>1292</v>
      </c>
      <c r="AR207" s="57" t="s">
        <v>362</v>
      </c>
      <c r="AS207" s="46">
        <v>42976.561574074076</v>
      </c>
      <c r="AT207" s="3">
        <f t="shared" si="2"/>
        <v>176</v>
      </c>
    </row>
    <row r="208" spans="8:88" x14ac:dyDescent="0.4">
      <c r="H208" s="59">
        <v>42992.404930555553</v>
      </c>
      <c r="I208" s="43">
        <v>41653.613194444442</v>
      </c>
      <c r="J208" s="42">
        <v>41829.359803240739</v>
      </c>
      <c r="K208" s="81" t="s">
        <v>49</v>
      </c>
      <c r="L208" t="s">
        <v>49</v>
      </c>
      <c r="M208" t="s">
        <v>336</v>
      </c>
      <c r="N208" s="1" t="s">
        <v>336</v>
      </c>
      <c r="O208" s="1" t="s">
        <v>245</v>
      </c>
      <c r="P208" t="s">
        <v>245</v>
      </c>
      <c r="Q208" s="9" t="s">
        <v>45</v>
      </c>
      <c r="R208" s="82" t="s">
        <v>45</v>
      </c>
      <c r="S208" s="44" t="s">
        <v>173</v>
      </c>
      <c r="T208" s="3" t="s">
        <v>61</v>
      </c>
      <c r="U208" s="2" t="s">
        <v>29</v>
      </c>
      <c r="V208" s="3" t="s">
        <v>29</v>
      </c>
      <c r="W208" s="11" t="s">
        <v>153</v>
      </c>
      <c r="X208" s="3" t="s">
        <v>153</v>
      </c>
      <c r="Y208" s="77" t="s">
        <v>48</v>
      </c>
      <c r="Z208" s="84" t="s">
        <v>1293</v>
      </c>
      <c r="AA208" s="89" t="s">
        <v>28</v>
      </c>
      <c r="AB208" s="90" t="str">
        <f>HYPERLINK(CONCATENATE("https://www.ejacket.nsf.gov/ej/showProposal.do?ID=",SUBSTITUTE(SplitQueryTableRecent[[#This Row],[prop_id]],CHAR(160),"")),"eJ")</f>
        <v>eJ</v>
      </c>
      <c r="AC208" s="89" t="s">
        <v>1293</v>
      </c>
      <c r="AD208" s="3" t="s">
        <v>1293</v>
      </c>
      <c r="AE208" s="91">
        <v>2014</v>
      </c>
      <c r="AF208" s="13" t="s">
        <v>43</v>
      </c>
      <c r="AG208" s="13">
        <v>249107</v>
      </c>
      <c r="AH208" s="45">
        <v>498213</v>
      </c>
      <c r="AI208" s="44" t="s">
        <v>1295</v>
      </c>
      <c r="AJ208" s="2" t="s">
        <v>816</v>
      </c>
      <c r="AK208" s="46" t="s">
        <v>313</v>
      </c>
      <c r="AL208" s="55" t="s">
        <v>778</v>
      </c>
      <c r="AM208" s="45" t="s">
        <v>369</v>
      </c>
      <c r="AN208" s="56" t="s">
        <v>152</v>
      </c>
      <c r="AO208" s="23" t="s">
        <v>146</v>
      </c>
      <c r="AP208" s="11"/>
      <c r="AQ208" s="88" t="s">
        <v>1294</v>
      </c>
      <c r="AR208" s="57" t="s">
        <v>164</v>
      </c>
      <c r="AS208" s="46">
        <v>41838.370300925926</v>
      </c>
      <c r="AT208" s="3">
        <f t="shared" si="2"/>
        <v>177</v>
      </c>
    </row>
    <row r="209" spans="8:46" x14ac:dyDescent="0.4">
      <c r="H209" s="59">
        <v>42992.404930555553</v>
      </c>
      <c r="I209" s="43">
        <v>41649.466666666667</v>
      </c>
      <c r="J209" s="42">
        <v>41800.51054398148</v>
      </c>
      <c r="K209" s="81" t="s">
        <v>49</v>
      </c>
      <c r="L209" t="s">
        <v>49</v>
      </c>
      <c r="M209" t="s">
        <v>336</v>
      </c>
      <c r="N209" s="1" t="s">
        <v>336</v>
      </c>
      <c r="O209" s="1" t="s">
        <v>337</v>
      </c>
      <c r="P209" t="s">
        <v>337</v>
      </c>
      <c r="Q209" s="9" t="s">
        <v>45</v>
      </c>
      <c r="R209" s="82" t="s">
        <v>45</v>
      </c>
      <c r="S209" s="44" t="s">
        <v>173</v>
      </c>
      <c r="T209" s="3" t="s">
        <v>61</v>
      </c>
      <c r="U209" s="2" t="s">
        <v>29</v>
      </c>
      <c r="V209" s="3" t="s">
        <v>29</v>
      </c>
      <c r="W209" s="11" t="s">
        <v>153</v>
      </c>
      <c r="X209" s="3" t="s">
        <v>153</v>
      </c>
      <c r="Y209" s="77" t="s">
        <v>48</v>
      </c>
      <c r="Z209" s="84" t="s">
        <v>597</v>
      </c>
      <c r="AA209" s="89" t="s">
        <v>62</v>
      </c>
      <c r="AB209" s="90" t="str">
        <f>HYPERLINK(CONCATENATE("https://www.ejacket.nsf.gov/ej/showProposal.do?ID=",SUBSTITUTE(SplitQueryTableRecent[[#This Row],[prop_id]],CHAR(160),"")),"eJ")</f>
        <v>eJ</v>
      </c>
      <c r="AC209" s="89" t="s">
        <v>1296</v>
      </c>
      <c r="AD209" s="3" t="s">
        <v>1296</v>
      </c>
      <c r="AE209" s="91">
        <v>2014</v>
      </c>
      <c r="AF209" s="13" t="s">
        <v>43</v>
      </c>
      <c r="AG209" s="13">
        <v>248934</v>
      </c>
      <c r="AH209" s="45">
        <v>238191</v>
      </c>
      <c r="AI209" s="44" t="s">
        <v>1297</v>
      </c>
      <c r="AJ209" s="2" t="s">
        <v>1298</v>
      </c>
      <c r="AK209" s="46" t="s">
        <v>160</v>
      </c>
      <c r="AL209" s="55" t="s">
        <v>584</v>
      </c>
      <c r="AM209" s="45" t="s">
        <v>584</v>
      </c>
      <c r="AN209" s="56" t="s">
        <v>152</v>
      </c>
      <c r="AO209" s="23" t="s">
        <v>146</v>
      </c>
      <c r="AP209" s="11"/>
      <c r="AQ209" s="88" t="s">
        <v>598</v>
      </c>
      <c r="AR209" s="57" t="s">
        <v>164</v>
      </c>
      <c r="AS209" s="46">
        <v>41809.374837962961</v>
      </c>
      <c r="AT209" s="3">
        <f t="shared" si="2"/>
        <v>178</v>
      </c>
    </row>
    <row r="210" spans="8:46" x14ac:dyDescent="0.4">
      <c r="H210" s="59">
        <v>42992.404930555553</v>
      </c>
      <c r="I210" s="43">
        <v>42018.440972222219</v>
      </c>
      <c r="J210" s="42">
        <v>42208.549618055556</v>
      </c>
      <c r="K210" s="81" t="s">
        <v>49</v>
      </c>
      <c r="L210" t="s">
        <v>49</v>
      </c>
      <c r="M210" t="s">
        <v>336</v>
      </c>
      <c r="N210" s="1" t="s">
        <v>336</v>
      </c>
      <c r="O210" s="1" t="s">
        <v>245</v>
      </c>
      <c r="P210" t="s">
        <v>245</v>
      </c>
      <c r="Q210" s="9" t="s">
        <v>45</v>
      </c>
      <c r="R210" s="82" t="s">
        <v>45</v>
      </c>
      <c r="S210" s="44" t="s">
        <v>184</v>
      </c>
      <c r="T210" s="3" t="s">
        <v>61</v>
      </c>
      <c r="U210" s="2" t="s">
        <v>29</v>
      </c>
      <c r="V210" s="3" t="s">
        <v>29</v>
      </c>
      <c r="W210" s="11" t="s">
        <v>153</v>
      </c>
      <c r="X210" s="3" t="s">
        <v>153</v>
      </c>
      <c r="Y210" s="77" t="s">
        <v>48</v>
      </c>
      <c r="Z210" s="84" t="s">
        <v>926</v>
      </c>
      <c r="AA210" s="89" t="s">
        <v>174</v>
      </c>
      <c r="AB210" s="90" t="str">
        <f>HYPERLINK(CONCATENATE("https://www.ejacket.nsf.gov/ej/showProposal.do?ID=",SUBSTITUTE(SplitQueryTableRecent[[#This Row],[prop_id]],CHAR(160),"")),"eJ")</f>
        <v>eJ</v>
      </c>
      <c r="AC210" s="89" t="s">
        <v>926</v>
      </c>
      <c r="AD210" s="3" t="s">
        <v>926</v>
      </c>
      <c r="AE210" s="91">
        <v>2015</v>
      </c>
      <c r="AF210" s="13" t="s">
        <v>43</v>
      </c>
      <c r="AG210" s="13">
        <v>90001</v>
      </c>
      <c r="AH210" s="45">
        <v>180001</v>
      </c>
      <c r="AI210" s="44" t="s">
        <v>315</v>
      </c>
      <c r="AJ210" s="2" t="s">
        <v>1299</v>
      </c>
      <c r="AK210" s="46" t="s">
        <v>392</v>
      </c>
      <c r="AL210" s="55" t="s">
        <v>601</v>
      </c>
      <c r="AM210" s="45" t="s">
        <v>601</v>
      </c>
      <c r="AN210" s="56" t="s">
        <v>152</v>
      </c>
      <c r="AO210" s="23" t="s">
        <v>146</v>
      </c>
      <c r="AP210" s="11"/>
      <c r="AQ210" s="88" t="s">
        <v>927</v>
      </c>
      <c r="AR210" s="57" t="s">
        <v>164</v>
      </c>
      <c r="AS210" s="46">
        <v>42242.494583333333</v>
      </c>
      <c r="AT210" s="3">
        <f t="shared" si="2"/>
        <v>179</v>
      </c>
    </row>
    <row r="211" spans="8:46" x14ac:dyDescent="0.4">
      <c r="H211" s="59">
        <v>42992.404930555553</v>
      </c>
      <c r="I211" s="43">
        <v>42325.622916666667</v>
      </c>
      <c r="J211" s="42">
        <v>42529.625532407408</v>
      </c>
      <c r="K211" s="81" t="s">
        <v>49</v>
      </c>
      <c r="L211" t="s">
        <v>49</v>
      </c>
      <c r="M211" t="s">
        <v>336</v>
      </c>
      <c r="N211" s="1" t="s">
        <v>336</v>
      </c>
      <c r="O211" s="1" t="s">
        <v>230</v>
      </c>
      <c r="P211" t="s">
        <v>230</v>
      </c>
      <c r="Q211" s="9" t="s">
        <v>45</v>
      </c>
      <c r="R211" s="82" t="s">
        <v>45</v>
      </c>
      <c r="S211" s="44" t="s">
        <v>196</v>
      </c>
      <c r="T211" s="3" t="s">
        <v>61</v>
      </c>
      <c r="U211" s="2" t="s">
        <v>29</v>
      </c>
      <c r="V211" s="3" t="s">
        <v>29</v>
      </c>
      <c r="W211" s="11" t="s">
        <v>153</v>
      </c>
      <c r="X211" s="3" t="s">
        <v>153</v>
      </c>
      <c r="Y211" s="77" t="s">
        <v>48</v>
      </c>
      <c r="Z211" s="84" t="s">
        <v>1078</v>
      </c>
      <c r="AA211" s="89" t="s">
        <v>62</v>
      </c>
      <c r="AB211" s="90" t="str">
        <f>HYPERLINK(CONCATENATE("https://www.ejacket.nsf.gov/ej/showProposal.do?ID=",SUBSTITUTE(SplitQueryTableRecent[[#This Row],[prop_id]],CHAR(160),"")),"eJ")</f>
        <v>eJ</v>
      </c>
      <c r="AC211" s="89" t="s">
        <v>1304</v>
      </c>
      <c r="AD211" s="3" t="s">
        <v>1304</v>
      </c>
      <c r="AE211" s="91">
        <v>2016</v>
      </c>
      <c r="AF211" s="13" t="s">
        <v>43</v>
      </c>
      <c r="AG211" s="13">
        <v>250000</v>
      </c>
      <c r="AH211" s="45">
        <v>250000</v>
      </c>
      <c r="AI211" s="44" t="s">
        <v>1305</v>
      </c>
      <c r="AJ211" s="2" t="s">
        <v>1306</v>
      </c>
      <c r="AK211" s="46" t="s">
        <v>212</v>
      </c>
      <c r="AL211" s="55" t="s">
        <v>368</v>
      </c>
      <c r="AM211" s="45" t="s">
        <v>369</v>
      </c>
      <c r="AN211" s="56" t="s">
        <v>152</v>
      </c>
      <c r="AO211" s="23" t="s">
        <v>146</v>
      </c>
      <c r="AP211" s="11"/>
      <c r="AQ211" s="88" t="s">
        <v>1079</v>
      </c>
      <c r="AR211" s="57" t="s">
        <v>164</v>
      </c>
      <c r="AS211" s="46">
        <v>42549.674143518518</v>
      </c>
      <c r="AT211" s="3">
        <f t="shared" si="2"/>
        <v>180</v>
      </c>
    </row>
    <row r="212" spans="8:46" x14ac:dyDescent="0.4">
      <c r="H212" s="59">
        <v>42992.404930555553</v>
      </c>
      <c r="I212" s="43">
        <v>42018.598611111112</v>
      </c>
      <c r="J212" s="42">
        <v>42200.583136574074</v>
      </c>
      <c r="K212" s="81" t="s">
        <v>49</v>
      </c>
      <c r="L212" t="s">
        <v>49</v>
      </c>
      <c r="M212" t="s">
        <v>336</v>
      </c>
      <c r="N212" s="1" t="s">
        <v>336</v>
      </c>
      <c r="O212" s="1" t="s">
        <v>245</v>
      </c>
      <c r="P212" t="s">
        <v>245</v>
      </c>
      <c r="Q212" s="9" t="s">
        <v>45</v>
      </c>
      <c r="R212" s="82" t="s">
        <v>45</v>
      </c>
      <c r="S212" s="44" t="s">
        <v>184</v>
      </c>
      <c r="T212" s="3" t="s">
        <v>61</v>
      </c>
      <c r="U212" s="2" t="s">
        <v>29</v>
      </c>
      <c r="V212" s="3" t="s">
        <v>29</v>
      </c>
      <c r="W212" s="11" t="s">
        <v>153</v>
      </c>
      <c r="X212" s="3" t="s">
        <v>153</v>
      </c>
      <c r="Y212" s="77" t="s">
        <v>48</v>
      </c>
      <c r="Z212" s="84" t="s">
        <v>755</v>
      </c>
      <c r="AA212" s="89" t="s">
        <v>174</v>
      </c>
      <c r="AB212" s="90" t="str">
        <f>HYPERLINK(CONCATENATE("https://www.ejacket.nsf.gov/ej/showProposal.do?ID=",SUBSTITUTE(SplitQueryTableRecent[[#This Row],[prop_id]],CHAR(160),"")),"eJ")</f>
        <v>eJ</v>
      </c>
      <c r="AC212" s="89" t="s">
        <v>755</v>
      </c>
      <c r="AD212" s="3" t="s">
        <v>755</v>
      </c>
      <c r="AE212" s="91">
        <v>2015</v>
      </c>
      <c r="AF212" s="13" t="s">
        <v>43</v>
      </c>
      <c r="AG212" s="13">
        <v>249956</v>
      </c>
      <c r="AH212" s="45">
        <v>249956</v>
      </c>
      <c r="AI212" s="44" t="s">
        <v>1307</v>
      </c>
      <c r="AJ212" s="2" t="s">
        <v>296</v>
      </c>
      <c r="AK212" s="46" t="s">
        <v>1743</v>
      </c>
      <c r="AL212" s="55" t="s">
        <v>369</v>
      </c>
      <c r="AM212" s="45" t="s">
        <v>369</v>
      </c>
      <c r="AN212" s="56" t="s">
        <v>152</v>
      </c>
      <c r="AO212" s="23" t="s">
        <v>146</v>
      </c>
      <c r="AP212" s="11"/>
      <c r="AQ212" s="88" t="s">
        <v>756</v>
      </c>
      <c r="AR212" s="57" t="s">
        <v>164</v>
      </c>
      <c r="AS212" s="46">
        <v>42233.595057870371</v>
      </c>
      <c r="AT212" s="3">
        <f t="shared" si="2"/>
        <v>181</v>
      </c>
    </row>
    <row r="213" spans="8:46" x14ac:dyDescent="0.4">
      <c r="H213" s="59">
        <v>42992.404930555553</v>
      </c>
      <c r="I213" s="43">
        <v>41653.563194444447</v>
      </c>
      <c r="J213" s="42">
        <v>41799.523564814815</v>
      </c>
      <c r="K213" s="81" t="s">
        <v>49</v>
      </c>
      <c r="L213" t="s">
        <v>49</v>
      </c>
      <c r="M213" t="s">
        <v>336</v>
      </c>
      <c r="N213" s="1" t="s">
        <v>336</v>
      </c>
      <c r="O213" s="1" t="s">
        <v>337</v>
      </c>
      <c r="P213" t="s">
        <v>337</v>
      </c>
      <c r="Q213" s="9" t="s">
        <v>45</v>
      </c>
      <c r="R213" s="82" t="s">
        <v>45</v>
      </c>
      <c r="S213" s="44" t="s">
        <v>173</v>
      </c>
      <c r="T213" s="3" t="s">
        <v>61</v>
      </c>
      <c r="U213" s="2" t="s">
        <v>29</v>
      </c>
      <c r="V213" s="3" t="s">
        <v>29</v>
      </c>
      <c r="W213" s="11" t="s">
        <v>153</v>
      </c>
      <c r="X213" s="3" t="s">
        <v>153</v>
      </c>
      <c r="Y213" s="77" t="s">
        <v>48</v>
      </c>
      <c r="Z213" s="84" t="s">
        <v>1311</v>
      </c>
      <c r="AA213" s="89" t="s">
        <v>28</v>
      </c>
      <c r="AB213" s="90" t="str">
        <f>HYPERLINK(CONCATENATE("https://www.ejacket.nsf.gov/ej/showProposal.do?ID=",SUBSTITUTE(SplitQueryTableRecent[[#This Row],[prop_id]],CHAR(160),"")),"eJ")</f>
        <v>eJ</v>
      </c>
      <c r="AC213" s="89" t="s">
        <v>1311</v>
      </c>
      <c r="AD213" s="3" t="s">
        <v>1311</v>
      </c>
      <c r="AE213" s="91">
        <v>2014</v>
      </c>
      <c r="AF213" s="13" t="s">
        <v>43</v>
      </c>
      <c r="AG213" s="13">
        <v>465189</v>
      </c>
      <c r="AH213" s="45">
        <v>465189</v>
      </c>
      <c r="AI213" s="44" t="s">
        <v>1313</v>
      </c>
      <c r="AJ213" s="2" t="s">
        <v>912</v>
      </c>
      <c r="AK213" s="46" t="s">
        <v>1735</v>
      </c>
      <c r="AL213" s="55" t="s">
        <v>584</v>
      </c>
      <c r="AM213" s="45" t="s">
        <v>584</v>
      </c>
      <c r="AN213" s="56" t="s">
        <v>152</v>
      </c>
      <c r="AO213" s="23" t="s">
        <v>146</v>
      </c>
      <c r="AP213" s="11"/>
      <c r="AQ213" s="88" t="s">
        <v>1312</v>
      </c>
      <c r="AR213" s="57" t="s">
        <v>164</v>
      </c>
      <c r="AS213" s="46">
        <v>41803.599097222221</v>
      </c>
      <c r="AT213" s="3">
        <f t="shared" si="2"/>
        <v>182</v>
      </c>
    </row>
    <row r="214" spans="8:46" x14ac:dyDescent="0.4">
      <c r="H214" s="59">
        <v>42992.404930555553</v>
      </c>
      <c r="I214" s="43">
        <v>41653.584722222222</v>
      </c>
      <c r="J214" s="42">
        <v>41841.467719907407</v>
      </c>
      <c r="K214" s="81" t="s">
        <v>49</v>
      </c>
      <c r="L214" t="s">
        <v>49</v>
      </c>
      <c r="M214" t="s">
        <v>336</v>
      </c>
      <c r="N214" s="1" t="s">
        <v>336</v>
      </c>
      <c r="O214" s="1" t="s">
        <v>245</v>
      </c>
      <c r="P214" t="s">
        <v>245</v>
      </c>
      <c r="Q214" s="9" t="s">
        <v>45</v>
      </c>
      <c r="R214" s="82" t="s">
        <v>45</v>
      </c>
      <c r="S214" s="44" t="s">
        <v>636</v>
      </c>
      <c r="T214" s="3" t="s">
        <v>61</v>
      </c>
      <c r="U214" s="2" t="s">
        <v>29</v>
      </c>
      <c r="V214" s="3" t="s">
        <v>29</v>
      </c>
      <c r="W214" s="11" t="s">
        <v>153</v>
      </c>
      <c r="X214" s="3" t="s">
        <v>153</v>
      </c>
      <c r="Y214" s="77" t="s">
        <v>48</v>
      </c>
      <c r="Z214" s="84" t="s">
        <v>1314</v>
      </c>
      <c r="AA214" s="89" t="s">
        <v>28</v>
      </c>
      <c r="AB214" s="90" t="str">
        <f>HYPERLINK(CONCATENATE("https://www.ejacket.nsf.gov/ej/showProposal.do?ID=",SUBSTITUTE(SplitQueryTableRecent[[#This Row],[prop_id]],CHAR(160),"")),"eJ")</f>
        <v>eJ</v>
      </c>
      <c r="AC214" s="89" t="s">
        <v>1314</v>
      </c>
      <c r="AD214" s="3" t="s">
        <v>1314</v>
      </c>
      <c r="AE214" s="91">
        <v>2014</v>
      </c>
      <c r="AF214" s="13" t="s">
        <v>43</v>
      </c>
      <c r="AG214" s="13">
        <v>451000</v>
      </c>
      <c r="AH214" s="45">
        <v>499291</v>
      </c>
      <c r="AI214" s="44" t="s">
        <v>1316</v>
      </c>
      <c r="AJ214" s="2" t="s">
        <v>1317</v>
      </c>
      <c r="AK214" s="46" t="s">
        <v>1726</v>
      </c>
      <c r="AL214" s="55" t="s">
        <v>369</v>
      </c>
      <c r="AM214" s="45" t="s">
        <v>369</v>
      </c>
      <c r="AN214" s="56" t="s">
        <v>152</v>
      </c>
      <c r="AO214" s="23" t="s">
        <v>146</v>
      </c>
      <c r="AP214" s="11"/>
      <c r="AQ214" s="88" t="s">
        <v>1315</v>
      </c>
      <c r="AR214" s="57" t="s">
        <v>164</v>
      </c>
      <c r="AS214" s="46">
        <v>41857.288877314815</v>
      </c>
      <c r="AT214" s="3">
        <f t="shared" si="2"/>
        <v>183</v>
      </c>
    </row>
    <row r="215" spans="8:46" x14ac:dyDescent="0.4">
      <c r="H215" s="59">
        <v>42992.404930555553</v>
      </c>
      <c r="I215" s="43">
        <v>42326.495833333334</v>
      </c>
      <c r="J215" s="42">
        <v>42534.589583333334</v>
      </c>
      <c r="K215" s="81" t="s">
        <v>49</v>
      </c>
      <c r="L215" t="s">
        <v>49</v>
      </c>
      <c r="M215" t="s">
        <v>336</v>
      </c>
      <c r="N215" s="1" t="s">
        <v>336</v>
      </c>
      <c r="O215" s="1" t="s">
        <v>337</v>
      </c>
      <c r="P215" t="s">
        <v>337</v>
      </c>
      <c r="Q215" s="9" t="s">
        <v>45</v>
      </c>
      <c r="R215" s="82" t="s">
        <v>45</v>
      </c>
      <c r="S215" s="44" t="s">
        <v>196</v>
      </c>
      <c r="T215" s="3" t="s">
        <v>61</v>
      </c>
      <c r="U215" s="2" t="s">
        <v>29</v>
      </c>
      <c r="V215" s="3" t="s">
        <v>29</v>
      </c>
      <c r="W215" s="11" t="s">
        <v>153</v>
      </c>
      <c r="X215" s="3" t="s">
        <v>153</v>
      </c>
      <c r="Y215" s="77" t="s">
        <v>48</v>
      </c>
      <c r="Z215" s="84" t="s">
        <v>1318</v>
      </c>
      <c r="AA215" s="89" t="s">
        <v>28</v>
      </c>
      <c r="AB215" s="90" t="str">
        <f>HYPERLINK(CONCATENATE("https://www.ejacket.nsf.gov/ej/showProposal.do?ID=",SUBSTITUTE(SplitQueryTableRecent[[#This Row],[prop_id]],CHAR(160),"")),"eJ")</f>
        <v>eJ</v>
      </c>
      <c r="AC215" s="89" t="s">
        <v>1318</v>
      </c>
      <c r="AD215" s="3" t="s">
        <v>1318</v>
      </c>
      <c r="AE215" s="91">
        <v>2016</v>
      </c>
      <c r="AF215" s="13" t="s">
        <v>43</v>
      </c>
      <c r="AG215" s="13">
        <v>500000</v>
      </c>
      <c r="AH215" s="45">
        <v>500000</v>
      </c>
      <c r="AI215" s="44" t="s">
        <v>1316</v>
      </c>
      <c r="AJ215" s="2" t="s">
        <v>1317</v>
      </c>
      <c r="AK215" s="46" t="s">
        <v>1726</v>
      </c>
      <c r="AL215" s="55" t="s">
        <v>584</v>
      </c>
      <c r="AM215" s="45" t="s">
        <v>584</v>
      </c>
      <c r="AN215" s="56" t="s">
        <v>152</v>
      </c>
      <c r="AO215" s="23" t="s">
        <v>146</v>
      </c>
      <c r="AP215" s="11"/>
      <c r="AQ215" s="88" t="s">
        <v>1319</v>
      </c>
      <c r="AR215" s="57" t="s">
        <v>164</v>
      </c>
      <c r="AS215" s="46">
        <v>42551.447453703702</v>
      </c>
      <c r="AT215" s="3">
        <f t="shared" si="2"/>
        <v>184</v>
      </c>
    </row>
    <row r="216" spans="8:46" x14ac:dyDescent="0.4">
      <c r="H216" s="59">
        <v>42992.404930555553</v>
      </c>
      <c r="I216" s="43">
        <v>42018.62222222222</v>
      </c>
      <c r="J216" s="42">
        <v>42159.37060185185</v>
      </c>
      <c r="K216" s="81" t="s">
        <v>49</v>
      </c>
      <c r="L216" t="s">
        <v>49</v>
      </c>
      <c r="M216" t="s">
        <v>336</v>
      </c>
      <c r="N216" s="1" t="s">
        <v>336</v>
      </c>
      <c r="O216" s="1" t="s">
        <v>245</v>
      </c>
      <c r="P216" t="s">
        <v>245</v>
      </c>
      <c r="Q216" s="9" t="s">
        <v>45</v>
      </c>
      <c r="R216" s="82" t="s">
        <v>45</v>
      </c>
      <c r="S216" s="44" t="s">
        <v>184</v>
      </c>
      <c r="T216" s="3" t="s">
        <v>61</v>
      </c>
      <c r="U216" s="2" t="s">
        <v>29</v>
      </c>
      <c r="V216" s="3" t="s">
        <v>29</v>
      </c>
      <c r="W216" s="11" t="s">
        <v>153</v>
      </c>
      <c r="X216" s="3" t="s">
        <v>153</v>
      </c>
      <c r="Y216" s="77" t="s">
        <v>48</v>
      </c>
      <c r="Z216" s="84" t="s">
        <v>946</v>
      </c>
      <c r="AA216" s="89" t="s">
        <v>62</v>
      </c>
      <c r="AB216" s="90" t="str">
        <f>HYPERLINK(CONCATENATE("https://www.ejacket.nsf.gov/ej/showProposal.do?ID=",SUBSTITUTE(SplitQueryTableRecent[[#This Row],[prop_id]],CHAR(160),"")),"eJ")</f>
        <v>eJ</v>
      </c>
      <c r="AC216" s="89" t="s">
        <v>1320</v>
      </c>
      <c r="AD216" s="3" t="s">
        <v>1320</v>
      </c>
      <c r="AE216" s="91">
        <v>2015</v>
      </c>
      <c r="AF216" s="13" t="s">
        <v>43</v>
      </c>
      <c r="AG216" s="13">
        <v>200000</v>
      </c>
      <c r="AH216" s="45">
        <v>200000</v>
      </c>
      <c r="AI216" s="44" t="s">
        <v>1321</v>
      </c>
      <c r="AJ216" s="2" t="s">
        <v>1322</v>
      </c>
      <c r="AK216" s="46" t="s">
        <v>1747</v>
      </c>
      <c r="AL216" s="55" t="s">
        <v>369</v>
      </c>
      <c r="AM216" s="45" t="s">
        <v>369</v>
      </c>
      <c r="AN216" s="56" t="s">
        <v>152</v>
      </c>
      <c r="AO216" s="23" t="s">
        <v>146</v>
      </c>
      <c r="AP216" s="11"/>
      <c r="AQ216" s="88" t="s">
        <v>947</v>
      </c>
      <c r="AR216" s="57" t="s">
        <v>164</v>
      </c>
      <c r="AS216" s="46">
        <v>42184.405300925922</v>
      </c>
      <c r="AT216" s="3">
        <f t="shared" si="2"/>
        <v>185</v>
      </c>
    </row>
    <row r="217" spans="8:46" x14ac:dyDescent="0.4">
      <c r="H217" s="59">
        <v>42992.404930555553</v>
      </c>
      <c r="I217" s="43">
        <v>42018.745833333334</v>
      </c>
      <c r="J217" s="42">
        <v>42206.449525462966</v>
      </c>
      <c r="K217" s="81" t="s">
        <v>49</v>
      </c>
      <c r="L217" t="s">
        <v>49</v>
      </c>
      <c r="M217" t="s">
        <v>336</v>
      </c>
      <c r="N217" s="1" t="s">
        <v>336</v>
      </c>
      <c r="O217" s="1" t="s">
        <v>245</v>
      </c>
      <c r="P217" t="s">
        <v>245</v>
      </c>
      <c r="Q217" s="9" t="s">
        <v>45</v>
      </c>
      <c r="R217" s="82" t="s">
        <v>45</v>
      </c>
      <c r="S217" s="44" t="s">
        <v>184</v>
      </c>
      <c r="T217" s="3" t="s">
        <v>61</v>
      </c>
      <c r="U217" s="2" t="s">
        <v>29</v>
      </c>
      <c r="V217" s="3" t="s">
        <v>29</v>
      </c>
      <c r="W217" s="11" t="s">
        <v>153</v>
      </c>
      <c r="X217" s="3" t="s">
        <v>153</v>
      </c>
      <c r="Y217" s="77" t="s">
        <v>48</v>
      </c>
      <c r="Z217" s="84" t="s">
        <v>1327</v>
      </c>
      <c r="AA217" s="89" t="s">
        <v>28</v>
      </c>
      <c r="AB217" s="90" t="str">
        <f>HYPERLINK(CONCATENATE("https://www.ejacket.nsf.gov/ej/showProposal.do?ID=",SUBSTITUTE(SplitQueryTableRecent[[#This Row],[prop_id]],CHAR(160),"")),"eJ")</f>
        <v>eJ</v>
      </c>
      <c r="AC217" s="89" t="s">
        <v>1327</v>
      </c>
      <c r="AD217" s="3" t="s">
        <v>1327</v>
      </c>
      <c r="AE217" s="91">
        <v>2015</v>
      </c>
      <c r="AF217" s="13" t="s">
        <v>43</v>
      </c>
      <c r="AG217" s="13">
        <v>110584</v>
      </c>
      <c r="AH217" s="45">
        <v>221167</v>
      </c>
      <c r="AI217" s="44" t="s">
        <v>1329</v>
      </c>
      <c r="AJ217" s="2" t="s">
        <v>236</v>
      </c>
      <c r="AK217" s="46" t="s">
        <v>1748</v>
      </c>
      <c r="AL217" s="55" t="s">
        <v>601</v>
      </c>
      <c r="AM217" s="45" t="s">
        <v>601</v>
      </c>
      <c r="AN217" s="56" t="s">
        <v>152</v>
      </c>
      <c r="AO217" s="23" t="s">
        <v>146</v>
      </c>
      <c r="AP217" s="11"/>
      <c r="AQ217" s="88" t="s">
        <v>1328</v>
      </c>
      <c r="AR217" s="57" t="s">
        <v>164</v>
      </c>
      <c r="AS217" s="46">
        <v>42242.330821759257</v>
      </c>
      <c r="AT217" s="3">
        <f t="shared" si="2"/>
        <v>186</v>
      </c>
    </row>
    <row r="218" spans="8:46" x14ac:dyDescent="0.4">
      <c r="H218" s="59">
        <v>42992.404930555553</v>
      </c>
      <c r="I218" s="43">
        <v>42018.679861111108</v>
      </c>
      <c r="J218" s="42">
        <v>42167.611504629633</v>
      </c>
      <c r="K218" s="81" t="s">
        <v>49</v>
      </c>
      <c r="L218" t="s">
        <v>49</v>
      </c>
      <c r="M218" t="s">
        <v>336</v>
      </c>
      <c r="N218" s="1" t="s">
        <v>336</v>
      </c>
      <c r="O218" s="1" t="s">
        <v>337</v>
      </c>
      <c r="P218" t="s">
        <v>337</v>
      </c>
      <c r="Q218" s="9" t="s">
        <v>45</v>
      </c>
      <c r="R218" s="82" t="s">
        <v>45</v>
      </c>
      <c r="S218" s="44" t="s">
        <v>184</v>
      </c>
      <c r="T218" s="3" t="s">
        <v>61</v>
      </c>
      <c r="U218" s="2" t="s">
        <v>29</v>
      </c>
      <c r="V218" s="3" t="s">
        <v>29</v>
      </c>
      <c r="W218" s="11" t="s">
        <v>153</v>
      </c>
      <c r="X218" s="3" t="s">
        <v>153</v>
      </c>
      <c r="Y218" s="77" t="s">
        <v>48</v>
      </c>
      <c r="Z218" s="84" t="s">
        <v>760</v>
      </c>
      <c r="AA218" s="89" t="s">
        <v>62</v>
      </c>
      <c r="AB218" s="90" t="str">
        <f>HYPERLINK(CONCATENATE("https://www.ejacket.nsf.gov/ej/showProposal.do?ID=",SUBSTITUTE(SplitQueryTableRecent[[#This Row],[prop_id]],CHAR(160),"")),"eJ")</f>
        <v>eJ</v>
      </c>
      <c r="AC218" s="89" t="s">
        <v>1330</v>
      </c>
      <c r="AD218" s="3" t="s">
        <v>1330</v>
      </c>
      <c r="AE218" s="91">
        <v>2015</v>
      </c>
      <c r="AF218" s="13" t="s">
        <v>43</v>
      </c>
      <c r="AG218" s="13">
        <v>229504</v>
      </c>
      <c r="AH218" s="45">
        <v>229504</v>
      </c>
      <c r="AI218" s="44" t="s">
        <v>270</v>
      </c>
      <c r="AJ218" s="2" t="s">
        <v>1331</v>
      </c>
      <c r="AK218" s="46" t="s">
        <v>246</v>
      </c>
      <c r="AL218" s="55" t="s">
        <v>584</v>
      </c>
      <c r="AM218" s="45" t="s">
        <v>584</v>
      </c>
      <c r="AN218" s="56" t="s">
        <v>152</v>
      </c>
      <c r="AO218" s="23" t="s">
        <v>146</v>
      </c>
      <c r="AP218" s="11"/>
      <c r="AQ218" s="88" t="s">
        <v>761</v>
      </c>
      <c r="AR218" s="57" t="s">
        <v>164</v>
      </c>
      <c r="AS218" s="46">
        <v>42200.448611111111</v>
      </c>
      <c r="AT218" s="3">
        <f t="shared" ref="AT218:AT281" si="3">IF(AD218=AD217,AT217,AT217+1)</f>
        <v>187</v>
      </c>
    </row>
    <row r="219" spans="8:46" x14ac:dyDescent="0.4">
      <c r="H219" s="59">
        <v>42992.404930555553</v>
      </c>
      <c r="I219" s="43">
        <v>42018.782638888886</v>
      </c>
      <c r="J219" s="42">
        <v>42202.505532407406</v>
      </c>
      <c r="K219" s="81" t="s">
        <v>49</v>
      </c>
      <c r="L219" t="s">
        <v>49</v>
      </c>
      <c r="M219" t="s">
        <v>336</v>
      </c>
      <c r="N219" s="1" t="s">
        <v>336</v>
      </c>
      <c r="O219" s="1" t="s">
        <v>245</v>
      </c>
      <c r="P219" t="s">
        <v>245</v>
      </c>
      <c r="Q219" s="9" t="s">
        <v>45</v>
      </c>
      <c r="R219" s="82" t="s">
        <v>45</v>
      </c>
      <c r="S219" s="44" t="s">
        <v>184</v>
      </c>
      <c r="T219" s="3" t="s">
        <v>61</v>
      </c>
      <c r="U219" s="2" t="s">
        <v>29</v>
      </c>
      <c r="V219" s="3" t="s">
        <v>29</v>
      </c>
      <c r="W219" s="11" t="s">
        <v>153</v>
      </c>
      <c r="X219" s="3" t="s">
        <v>153</v>
      </c>
      <c r="Y219" s="77" t="s">
        <v>48</v>
      </c>
      <c r="Z219" s="84" t="s">
        <v>1332</v>
      </c>
      <c r="AA219" s="89" t="s">
        <v>28</v>
      </c>
      <c r="AB219" s="90" t="str">
        <f>HYPERLINK(CONCATENATE("https://www.ejacket.nsf.gov/ej/showProposal.do?ID=",SUBSTITUTE(SplitQueryTableRecent[[#This Row],[prop_id]],CHAR(160),"")),"eJ")</f>
        <v>eJ</v>
      </c>
      <c r="AC219" s="89" t="s">
        <v>1332</v>
      </c>
      <c r="AD219" s="3" t="s">
        <v>1332</v>
      </c>
      <c r="AE219" s="91">
        <v>2015</v>
      </c>
      <c r="AF219" s="13" t="s">
        <v>43</v>
      </c>
      <c r="AG219" s="13">
        <v>160000</v>
      </c>
      <c r="AH219" s="45">
        <v>464731</v>
      </c>
      <c r="AI219" s="44" t="s">
        <v>1334</v>
      </c>
      <c r="AJ219" s="2" t="s">
        <v>1335</v>
      </c>
      <c r="AK219" s="46" t="s">
        <v>1710</v>
      </c>
      <c r="AL219" s="55" t="s">
        <v>369</v>
      </c>
      <c r="AM219" s="45" t="s">
        <v>369</v>
      </c>
      <c r="AN219" s="56" t="s">
        <v>152</v>
      </c>
      <c r="AO219" s="23" t="s">
        <v>146</v>
      </c>
      <c r="AP219" s="11"/>
      <c r="AQ219" s="88" t="s">
        <v>1333</v>
      </c>
      <c r="AR219" s="57" t="s">
        <v>164</v>
      </c>
      <c r="AS219" s="46">
        <v>42241.316863425927</v>
      </c>
      <c r="AT219" s="3">
        <f t="shared" si="3"/>
        <v>188</v>
      </c>
    </row>
    <row r="220" spans="8:46" x14ac:dyDescent="0.4">
      <c r="H220" s="59">
        <v>42992.404930555553</v>
      </c>
      <c r="I220" s="43">
        <v>42018.782638888886</v>
      </c>
      <c r="J220" s="42">
        <v>42202.505532407406</v>
      </c>
      <c r="K220" s="81" t="s">
        <v>49</v>
      </c>
      <c r="L220" t="s">
        <v>49</v>
      </c>
      <c r="M220" t="s">
        <v>336</v>
      </c>
      <c r="N220" s="1" t="s">
        <v>336</v>
      </c>
      <c r="O220" s="1" t="s">
        <v>245</v>
      </c>
      <c r="P220" t="s">
        <v>245</v>
      </c>
      <c r="Q220" s="9" t="s">
        <v>45</v>
      </c>
      <c r="R220" s="82" t="s">
        <v>45</v>
      </c>
      <c r="S220" s="44" t="s">
        <v>184</v>
      </c>
      <c r="T220" s="3" t="s">
        <v>61</v>
      </c>
      <c r="U220" s="2" t="s">
        <v>29</v>
      </c>
      <c r="V220" s="3" t="s">
        <v>29</v>
      </c>
      <c r="W220" s="11" t="s">
        <v>153</v>
      </c>
      <c r="X220" s="3" t="s">
        <v>153</v>
      </c>
      <c r="Y220" s="77" t="s">
        <v>48</v>
      </c>
      <c r="Z220" s="84" t="s">
        <v>1332</v>
      </c>
      <c r="AA220" s="89" t="s">
        <v>28</v>
      </c>
      <c r="AB220" s="90" t="str">
        <f>HYPERLINK(CONCATENATE("https://www.ejacket.nsf.gov/ej/showProposal.do?ID=",SUBSTITUTE(SplitQueryTableRecent[[#This Row],[prop_id]],CHAR(160),"")),"eJ")</f>
        <v>eJ</v>
      </c>
      <c r="AC220" s="89" t="s">
        <v>1332</v>
      </c>
      <c r="AD220" s="3" t="s">
        <v>1332</v>
      </c>
      <c r="AE220" s="91">
        <v>2015</v>
      </c>
      <c r="AF220" s="13" t="s">
        <v>44</v>
      </c>
      <c r="AG220" s="13">
        <v>5000</v>
      </c>
      <c r="AH220" s="45">
        <v>464731</v>
      </c>
      <c r="AI220" s="44" t="s">
        <v>1334</v>
      </c>
      <c r="AJ220" s="2" t="s">
        <v>1335</v>
      </c>
      <c r="AK220" s="46" t="s">
        <v>1710</v>
      </c>
      <c r="AL220" s="55" t="s">
        <v>369</v>
      </c>
      <c r="AM220" s="45" t="s">
        <v>779</v>
      </c>
      <c r="AN220" s="56" t="s">
        <v>152</v>
      </c>
      <c r="AO220" s="23" t="s">
        <v>146</v>
      </c>
      <c r="AP220" s="11"/>
      <c r="AQ220" s="88" t="s">
        <v>1333</v>
      </c>
      <c r="AR220" s="57" t="s">
        <v>164</v>
      </c>
      <c r="AS220" s="46">
        <v>42241.316863425927</v>
      </c>
      <c r="AT220" s="3">
        <f t="shared" si="3"/>
        <v>188</v>
      </c>
    </row>
    <row r="221" spans="8:46" x14ac:dyDescent="0.4">
      <c r="H221" s="59">
        <v>42992.404930555553</v>
      </c>
      <c r="I221" s="43">
        <v>42662.706944444442</v>
      </c>
      <c r="J221" s="42">
        <v>42902.542407407411</v>
      </c>
      <c r="K221" s="81" t="s">
        <v>49</v>
      </c>
      <c r="L221" t="s">
        <v>49</v>
      </c>
      <c r="M221" t="s">
        <v>336</v>
      </c>
      <c r="N221" s="1" t="s">
        <v>336</v>
      </c>
      <c r="O221" s="1" t="s">
        <v>230</v>
      </c>
      <c r="P221" t="s">
        <v>230</v>
      </c>
      <c r="Q221" s="9" t="s">
        <v>45</v>
      </c>
      <c r="R221" s="82" t="s">
        <v>45</v>
      </c>
      <c r="S221" s="44" t="s">
        <v>192</v>
      </c>
      <c r="T221" s="3" t="s">
        <v>61</v>
      </c>
      <c r="U221" s="2" t="s">
        <v>29</v>
      </c>
      <c r="V221" s="3" t="s">
        <v>29</v>
      </c>
      <c r="W221" s="11" t="s">
        <v>153</v>
      </c>
      <c r="X221" s="3" t="s">
        <v>153</v>
      </c>
      <c r="Y221" s="77" t="s">
        <v>48</v>
      </c>
      <c r="Z221" s="84" t="s">
        <v>1243</v>
      </c>
      <c r="AA221" s="89" t="s">
        <v>174</v>
      </c>
      <c r="AB221" s="90" t="str">
        <f>HYPERLINK(CONCATENATE("https://www.ejacket.nsf.gov/ej/showProposal.do?ID=",SUBSTITUTE(SplitQueryTableRecent[[#This Row],[prop_id]],CHAR(160),"")),"eJ")</f>
        <v>eJ</v>
      </c>
      <c r="AC221" s="89" t="s">
        <v>1243</v>
      </c>
      <c r="AD221" s="3" t="s">
        <v>1243</v>
      </c>
      <c r="AE221" s="91">
        <v>2017</v>
      </c>
      <c r="AF221" s="13" t="s">
        <v>43</v>
      </c>
      <c r="AG221" s="13">
        <v>451330</v>
      </c>
      <c r="AH221" s="45">
        <v>600000</v>
      </c>
      <c r="AI221" s="44" t="s">
        <v>1334</v>
      </c>
      <c r="AJ221" s="2" t="s">
        <v>1335</v>
      </c>
      <c r="AK221" s="46" t="s">
        <v>1710</v>
      </c>
      <c r="AL221" s="55" t="s">
        <v>353</v>
      </c>
      <c r="AM221" s="45" t="s">
        <v>353</v>
      </c>
      <c r="AN221" s="56" t="s">
        <v>152</v>
      </c>
      <c r="AO221" s="23" t="s">
        <v>146</v>
      </c>
      <c r="AP221" s="11"/>
      <c r="AQ221" s="88" t="s">
        <v>1244</v>
      </c>
      <c r="AR221" s="57" t="s">
        <v>188</v>
      </c>
      <c r="AS221" s="46">
        <v>42908.673935185187</v>
      </c>
      <c r="AT221" s="3">
        <f t="shared" si="3"/>
        <v>189</v>
      </c>
    </row>
    <row r="222" spans="8:46" x14ac:dyDescent="0.4">
      <c r="H222" s="59">
        <v>42992.404930555553</v>
      </c>
      <c r="I222" s="43">
        <v>42360.439583333333</v>
      </c>
      <c r="J222" s="42">
        <v>42388.421087962961</v>
      </c>
      <c r="K222" s="81" t="s">
        <v>49</v>
      </c>
      <c r="L222" t="s">
        <v>49</v>
      </c>
      <c r="M222" t="s">
        <v>336</v>
      </c>
      <c r="N222" s="1" t="s">
        <v>336</v>
      </c>
      <c r="O222" s="1" t="s">
        <v>245</v>
      </c>
      <c r="P222" t="s">
        <v>245</v>
      </c>
      <c r="Q222" s="9" t="s">
        <v>45</v>
      </c>
      <c r="R222" s="82" t="s">
        <v>45</v>
      </c>
      <c r="S222" s="44" t="s">
        <v>186</v>
      </c>
      <c r="T222" s="3" t="s">
        <v>61</v>
      </c>
      <c r="U222" s="2" t="s">
        <v>29</v>
      </c>
      <c r="V222" s="3" t="s">
        <v>29</v>
      </c>
      <c r="W222" s="11" t="s">
        <v>153</v>
      </c>
      <c r="X222" s="3" t="s">
        <v>153</v>
      </c>
      <c r="Y222" s="77" t="s">
        <v>48</v>
      </c>
      <c r="Z222" s="84" t="s">
        <v>1336</v>
      </c>
      <c r="AA222" s="89" t="s">
        <v>28</v>
      </c>
      <c r="AB222" s="90" t="str">
        <f>HYPERLINK(CONCATENATE("https://www.ejacket.nsf.gov/ej/showProposal.do?ID=",SUBSTITUTE(SplitQueryTableRecent[[#This Row],[prop_id]],CHAR(160),"")),"eJ")</f>
        <v>eJ</v>
      </c>
      <c r="AC222" s="89" t="s">
        <v>1336</v>
      </c>
      <c r="AD222" s="3" t="s">
        <v>1336</v>
      </c>
      <c r="AE222" s="91">
        <v>2016</v>
      </c>
      <c r="AF222" s="13" t="s">
        <v>43</v>
      </c>
      <c r="AG222" s="13">
        <v>175000</v>
      </c>
      <c r="AH222" s="45">
        <v>175000</v>
      </c>
      <c r="AI222" s="44" t="s">
        <v>1338</v>
      </c>
      <c r="AJ222" s="2" t="s">
        <v>1339</v>
      </c>
      <c r="AK222" s="46" t="s">
        <v>1720</v>
      </c>
      <c r="AL222" s="55" t="s">
        <v>627</v>
      </c>
      <c r="AM222" s="45" t="s">
        <v>627</v>
      </c>
      <c r="AN222" s="56" t="s">
        <v>152</v>
      </c>
      <c r="AO222" s="23" t="s">
        <v>146</v>
      </c>
      <c r="AP222" s="11"/>
      <c r="AQ222" s="88" t="s">
        <v>1337</v>
      </c>
      <c r="AR222" s="57" t="s">
        <v>164</v>
      </c>
      <c r="AS222" s="46">
        <v>42403.476041666669</v>
      </c>
      <c r="AT222" s="3">
        <f t="shared" si="3"/>
        <v>190</v>
      </c>
    </row>
    <row r="223" spans="8:46" x14ac:dyDescent="0.4">
      <c r="H223" s="59">
        <v>42992.404930555553</v>
      </c>
      <c r="I223" s="43">
        <v>42690.540972222225</v>
      </c>
      <c r="J223" s="42">
        <v>42905.669895833336</v>
      </c>
      <c r="K223" s="81" t="s">
        <v>49</v>
      </c>
      <c r="L223" t="s">
        <v>49</v>
      </c>
      <c r="M223" t="s">
        <v>336</v>
      </c>
      <c r="N223" s="1" t="s">
        <v>336</v>
      </c>
      <c r="O223" s="1" t="s">
        <v>337</v>
      </c>
      <c r="P223" t="s">
        <v>337</v>
      </c>
      <c r="Q223" s="9" t="s">
        <v>45</v>
      </c>
      <c r="R223" s="82" t="s">
        <v>45</v>
      </c>
      <c r="S223" s="44" t="s">
        <v>192</v>
      </c>
      <c r="T223" s="3" t="s">
        <v>61</v>
      </c>
      <c r="U223" s="2" t="s">
        <v>29</v>
      </c>
      <c r="V223" s="3" t="s">
        <v>29</v>
      </c>
      <c r="W223" s="11" t="s">
        <v>153</v>
      </c>
      <c r="X223" s="3" t="s">
        <v>153</v>
      </c>
      <c r="Y223" s="77" t="s">
        <v>48</v>
      </c>
      <c r="Z223" s="84" t="s">
        <v>1340</v>
      </c>
      <c r="AA223" s="89" t="s">
        <v>28</v>
      </c>
      <c r="AB223" s="90" t="str">
        <f>HYPERLINK(CONCATENATE("https://www.ejacket.nsf.gov/ej/showProposal.do?ID=",SUBSTITUTE(SplitQueryTableRecent[[#This Row],[prop_id]],CHAR(160),"")),"eJ")</f>
        <v>eJ</v>
      </c>
      <c r="AC223" s="89" t="s">
        <v>1340</v>
      </c>
      <c r="AD223" s="3" t="s">
        <v>1340</v>
      </c>
      <c r="AE223" s="91">
        <v>2017</v>
      </c>
      <c r="AF223" s="13" t="s">
        <v>43</v>
      </c>
      <c r="AG223" s="13">
        <v>405455</v>
      </c>
      <c r="AH223" s="45">
        <v>405455</v>
      </c>
      <c r="AI223" s="44" t="s">
        <v>1338</v>
      </c>
      <c r="AJ223" s="2" t="s">
        <v>1339</v>
      </c>
      <c r="AK223" s="46" t="s">
        <v>1720</v>
      </c>
      <c r="AL223" s="55" t="s">
        <v>584</v>
      </c>
      <c r="AM223" s="45" t="s">
        <v>584</v>
      </c>
      <c r="AN223" s="56" t="s">
        <v>152</v>
      </c>
      <c r="AO223" s="23" t="s">
        <v>146</v>
      </c>
      <c r="AP223" s="11"/>
      <c r="AQ223" s="88" t="s">
        <v>1341</v>
      </c>
      <c r="AR223" s="57" t="s">
        <v>188</v>
      </c>
      <c r="AS223" s="46">
        <v>42914.593113425923</v>
      </c>
      <c r="AT223" s="3">
        <f t="shared" si="3"/>
        <v>191</v>
      </c>
    </row>
    <row r="224" spans="8:46" x14ac:dyDescent="0.4">
      <c r="H224" s="59">
        <v>42992.404930555553</v>
      </c>
      <c r="I224" s="43">
        <v>42326.652777777781</v>
      </c>
      <c r="J224" s="42">
        <v>42531.70412037037</v>
      </c>
      <c r="K224" s="81" t="s">
        <v>49</v>
      </c>
      <c r="L224" t="s">
        <v>49</v>
      </c>
      <c r="M224" t="s">
        <v>336</v>
      </c>
      <c r="N224" s="1" t="s">
        <v>336</v>
      </c>
      <c r="O224" s="1" t="s">
        <v>337</v>
      </c>
      <c r="P224" t="s">
        <v>337</v>
      </c>
      <c r="Q224" s="9" t="s">
        <v>45</v>
      </c>
      <c r="R224" s="82" t="s">
        <v>45</v>
      </c>
      <c r="S224" s="44" t="s">
        <v>196</v>
      </c>
      <c r="T224" s="3" t="s">
        <v>61</v>
      </c>
      <c r="U224" s="2" t="s">
        <v>29</v>
      </c>
      <c r="V224" s="3" t="s">
        <v>29</v>
      </c>
      <c r="W224" s="11" t="s">
        <v>153</v>
      </c>
      <c r="X224" s="3" t="s">
        <v>153</v>
      </c>
      <c r="Y224" s="77" t="s">
        <v>48</v>
      </c>
      <c r="Z224" s="84" t="s">
        <v>973</v>
      </c>
      <c r="AA224" s="89" t="s">
        <v>174</v>
      </c>
      <c r="AB224" s="90" t="str">
        <f>HYPERLINK(CONCATENATE("https://www.ejacket.nsf.gov/ej/showProposal.do?ID=",SUBSTITUTE(SplitQueryTableRecent[[#This Row],[prop_id]],CHAR(160),"")),"eJ")</f>
        <v>eJ</v>
      </c>
      <c r="AC224" s="89" t="s">
        <v>973</v>
      </c>
      <c r="AD224" s="3" t="s">
        <v>973</v>
      </c>
      <c r="AE224" s="91">
        <v>2016</v>
      </c>
      <c r="AF224" s="13" t="s">
        <v>43</v>
      </c>
      <c r="AG224" s="13">
        <v>249152</v>
      </c>
      <c r="AH224" s="45">
        <v>249152</v>
      </c>
      <c r="AI224" s="44" t="s">
        <v>1342</v>
      </c>
      <c r="AJ224" s="2" t="s">
        <v>1343</v>
      </c>
      <c r="AK224" s="46" t="s">
        <v>1714</v>
      </c>
      <c r="AL224" s="55" t="s">
        <v>584</v>
      </c>
      <c r="AM224" s="45" t="s">
        <v>584</v>
      </c>
      <c r="AN224" s="56" t="s">
        <v>152</v>
      </c>
      <c r="AO224" s="23" t="s">
        <v>146</v>
      </c>
      <c r="AP224" s="11"/>
      <c r="AQ224" s="88" t="s">
        <v>974</v>
      </c>
      <c r="AR224" s="57" t="s">
        <v>164</v>
      </c>
      <c r="AS224" s="46">
        <v>42551.30028935185</v>
      </c>
      <c r="AT224" s="3">
        <f t="shared" si="3"/>
        <v>192</v>
      </c>
    </row>
    <row r="225" spans="8:46" x14ac:dyDescent="0.4">
      <c r="H225" s="59">
        <v>42992.404930555553</v>
      </c>
      <c r="I225" s="43">
        <v>41906.663194444445</v>
      </c>
      <c r="J225" s="42">
        <v>42019.361701388887</v>
      </c>
      <c r="K225" s="81" t="s">
        <v>49</v>
      </c>
      <c r="L225" t="s">
        <v>49</v>
      </c>
      <c r="M225" t="s">
        <v>336</v>
      </c>
      <c r="N225" s="1" t="s">
        <v>336</v>
      </c>
      <c r="O225" s="1" t="s">
        <v>245</v>
      </c>
      <c r="P225" t="s">
        <v>245</v>
      </c>
      <c r="Q225" s="9" t="s">
        <v>45</v>
      </c>
      <c r="R225" s="82" t="s">
        <v>45</v>
      </c>
      <c r="S225" s="44" t="s">
        <v>1186</v>
      </c>
      <c r="T225" s="3" t="s">
        <v>61</v>
      </c>
      <c r="U225" s="2" t="s">
        <v>29</v>
      </c>
      <c r="V225" s="3" t="s">
        <v>29</v>
      </c>
      <c r="W225" s="11" t="s">
        <v>153</v>
      </c>
      <c r="X225" s="3" t="s">
        <v>153</v>
      </c>
      <c r="Y225" s="77" t="s">
        <v>48</v>
      </c>
      <c r="Z225" s="84" t="s">
        <v>1346</v>
      </c>
      <c r="AA225" s="89" t="s">
        <v>28</v>
      </c>
      <c r="AB225" s="90" t="str">
        <f>HYPERLINK(CONCATENATE("https://www.ejacket.nsf.gov/ej/showProposal.do?ID=",SUBSTITUTE(SplitQueryTableRecent[[#This Row],[prop_id]],CHAR(160),"")),"eJ")</f>
        <v>eJ</v>
      </c>
      <c r="AC225" s="89" t="s">
        <v>1346</v>
      </c>
      <c r="AD225" s="3" t="s">
        <v>1346</v>
      </c>
      <c r="AE225" s="91">
        <v>2015</v>
      </c>
      <c r="AF225" s="13" t="s">
        <v>43</v>
      </c>
      <c r="AG225" s="13">
        <v>174371</v>
      </c>
      <c r="AH225" s="45">
        <v>174371</v>
      </c>
      <c r="AI225" s="44" t="s">
        <v>518</v>
      </c>
      <c r="AJ225" s="2" t="s">
        <v>519</v>
      </c>
      <c r="AK225" s="46" t="s">
        <v>1725</v>
      </c>
      <c r="AL225" s="55" t="s">
        <v>1348</v>
      </c>
      <c r="AM225" s="45" t="s">
        <v>1349</v>
      </c>
      <c r="AN225" s="56" t="s">
        <v>152</v>
      </c>
      <c r="AO225" s="23" t="s">
        <v>146</v>
      </c>
      <c r="AP225" s="11"/>
      <c r="AQ225" s="88" t="s">
        <v>1347</v>
      </c>
      <c r="AR225" s="57" t="s">
        <v>161</v>
      </c>
      <c r="AS225" s="46">
        <v>42027.602523148147</v>
      </c>
      <c r="AT225" s="3">
        <f t="shared" si="3"/>
        <v>193</v>
      </c>
    </row>
    <row r="226" spans="8:46" x14ac:dyDescent="0.4">
      <c r="H226" s="59">
        <v>42992.404930555553</v>
      </c>
      <c r="I226" s="43">
        <v>42018.446527777778</v>
      </c>
      <c r="J226" s="42">
        <v>42194.4375</v>
      </c>
      <c r="K226" s="81" t="s">
        <v>49</v>
      </c>
      <c r="L226" t="s">
        <v>49</v>
      </c>
      <c r="M226" t="s">
        <v>336</v>
      </c>
      <c r="N226" s="1" t="s">
        <v>336</v>
      </c>
      <c r="O226" s="1" t="s">
        <v>245</v>
      </c>
      <c r="P226" t="s">
        <v>245</v>
      </c>
      <c r="Q226" s="9" t="s">
        <v>45</v>
      </c>
      <c r="R226" s="82" t="s">
        <v>45</v>
      </c>
      <c r="S226" s="44" t="s">
        <v>184</v>
      </c>
      <c r="T226" s="3" t="s">
        <v>61</v>
      </c>
      <c r="U226" s="2" t="s">
        <v>29</v>
      </c>
      <c r="V226" s="3" t="s">
        <v>29</v>
      </c>
      <c r="W226" s="11" t="s">
        <v>153</v>
      </c>
      <c r="X226" s="3" t="s">
        <v>153</v>
      </c>
      <c r="Y226" s="77" t="s">
        <v>48</v>
      </c>
      <c r="Z226" s="84" t="s">
        <v>1116</v>
      </c>
      <c r="AA226" s="89" t="s">
        <v>174</v>
      </c>
      <c r="AB226" s="90" t="str">
        <f>HYPERLINK(CONCATENATE("https://www.ejacket.nsf.gov/ej/showProposal.do?ID=",SUBSTITUTE(SplitQueryTableRecent[[#This Row],[prop_id]],CHAR(160),"")),"eJ")</f>
        <v>eJ</v>
      </c>
      <c r="AC226" s="89" t="s">
        <v>1116</v>
      </c>
      <c r="AD226" s="3" t="s">
        <v>1116</v>
      </c>
      <c r="AE226" s="91">
        <v>2015</v>
      </c>
      <c r="AF226" s="13" t="s">
        <v>43</v>
      </c>
      <c r="AG226" s="13">
        <v>368354</v>
      </c>
      <c r="AH226" s="45">
        <v>368354</v>
      </c>
      <c r="AI226" s="44" t="s">
        <v>233</v>
      </c>
      <c r="AJ226" s="2" t="s">
        <v>264</v>
      </c>
      <c r="AK226" s="46" t="s">
        <v>1749</v>
      </c>
      <c r="AL226" s="55" t="s">
        <v>601</v>
      </c>
      <c r="AM226" s="45" t="s">
        <v>601</v>
      </c>
      <c r="AN226" s="56" t="s">
        <v>152</v>
      </c>
      <c r="AO226" s="23" t="s">
        <v>146</v>
      </c>
      <c r="AP226" s="11"/>
      <c r="AQ226" s="88" t="s">
        <v>1117</v>
      </c>
      <c r="AR226" s="57" t="s">
        <v>164</v>
      </c>
      <c r="AS226" s="46">
        <v>42222.656689814816</v>
      </c>
      <c r="AT226" s="3">
        <f t="shared" si="3"/>
        <v>194</v>
      </c>
    </row>
    <row r="227" spans="8:46" x14ac:dyDescent="0.4">
      <c r="H227" s="59">
        <v>42992.404930555553</v>
      </c>
      <c r="I227" s="43">
        <v>42690.620833333334</v>
      </c>
      <c r="J227" s="42">
        <v>42905.712581018517</v>
      </c>
      <c r="K227" s="81" t="s">
        <v>49</v>
      </c>
      <c r="L227" t="s">
        <v>49</v>
      </c>
      <c r="M227" t="s">
        <v>336</v>
      </c>
      <c r="N227" s="1" t="s">
        <v>336</v>
      </c>
      <c r="O227" s="1" t="s">
        <v>337</v>
      </c>
      <c r="P227" t="s">
        <v>337</v>
      </c>
      <c r="Q227" s="9" t="s">
        <v>45</v>
      </c>
      <c r="R227" s="82" t="s">
        <v>45</v>
      </c>
      <c r="S227" s="44" t="s">
        <v>192</v>
      </c>
      <c r="T227" s="3" t="s">
        <v>61</v>
      </c>
      <c r="U227" s="2" t="s">
        <v>29</v>
      </c>
      <c r="V227" s="3" t="s">
        <v>29</v>
      </c>
      <c r="W227" s="11" t="s">
        <v>153</v>
      </c>
      <c r="X227" s="3" t="s">
        <v>153</v>
      </c>
      <c r="Y227" s="77" t="s">
        <v>48</v>
      </c>
      <c r="Z227" s="84" t="s">
        <v>1350</v>
      </c>
      <c r="AA227" s="89" t="s">
        <v>28</v>
      </c>
      <c r="AB227" s="90" t="str">
        <f>HYPERLINK(CONCATENATE("https://www.ejacket.nsf.gov/ej/showProposal.do?ID=",SUBSTITUTE(SplitQueryTableRecent[[#This Row],[prop_id]],CHAR(160),"")),"eJ")</f>
        <v>eJ</v>
      </c>
      <c r="AC227" s="89" t="s">
        <v>1350</v>
      </c>
      <c r="AD227" s="3" t="s">
        <v>1350</v>
      </c>
      <c r="AE227" s="91">
        <v>2017</v>
      </c>
      <c r="AF227" s="13" t="s">
        <v>43</v>
      </c>
      <c r="AG227" s="13">
        <v>480947</v>
      </c>
      <c r="AH227" s="45">
        <v>480947</v>
      </c>
      <c r="AI227" s="44" t="s">
        <v>1352</v>
      </c>
      <c r="AJ227" s="2" t="s">
        <v>1353</v>
      </c>
      <c r="AK227" s="46" t="s">
        <v>246</v>
      </c>
      <c r="AL227" s="55" t="s">
        <v>610</v>
      </c>
      <c r="AM227" s="45" t="s">
        <v>369</v>
      </c>
      <c r="AN227" s="56" t="s">
        <v>152</v>
      </c>
      <c r="AO227" s="23" t="s">
        <v>146</v>
      </c>
      <c r="AP227" s="11"/>
      <c r="AQ227" s="88" t="s">
        <v>1351</v>
      </c>
      <c r="AR227" s="57" t="s">
        <v>188</v>
      </c>
      <c r="AS227" s="46">
        <v>42914.604560185187</v>
      </c>
      <c r="AT227" s="3">
        <f t="shared" si="3"/>
        <v>195</v>
      </c>
    </row>
    <row r="228" spans="8:46" x14ac:dyDescent="0.4">
      <c r="H228" s="59">
        <v>42992.404930555553</v>
      </c>
      <c r="I228" s="43">
        <v>41906.627083333333</v>
      </c>
      <c r="J228" s="42">
        <v>42033.694224537037</v>
      </c>
      <c r="K228" s="81" t="s">
        <v>49</v>
      </c>
      <c r="L228" t="s">
        <v>49</v>
      </c>
      <c r="M228" t="s">
        <v>336</v>
      </c>
      <c r="N228" s="1" t="s">
        <v>336</v>
      </c>
      <c r="O228" s="1" t="s">
        <v>245</v>
      </c>
      <c r="P228" t="s">
        <v>245</v>
      </c>
      <c r="Q228" s="9" t="s">
        <v>45</v>
      </c>
      <c r="R228" s="82" t="s">
        <v>45</v>
      </c>
      <c r="S228" s="44" t="s">
        <v>1186</v>
      </c>
      <c r="T228" s="3" t="s">
        <v>61</v>
      </c>
      <c r="U228" s="2" t="s">
        <v>29</v>
      </c>
      <c r="V228" s="3" t="s">
        <v>29</v>
      </c>
      <c r="W228" s="11" t="s">
        <v>153</v>
      </c>
      <c r="X228" s="3" t="s">
        <v>153</v>
      </c>
      <c r="Y228" s="77" t="s">
        <v>48</v>
      </c>
      <c r="Z228" s="84" t="s">
        <v>1354</v>
      </c>
      <c r="AA228" s="89" t="s">
        <v>28</v>
      </c>
      <c r="AB228" s="90" t="str">
        <f>HYPERLINK(CONCATENATE("https://www.ejacket.nsf.gov/ej/showProposal.do?ID=",SUBSTITUTE(SplitQueryTableRecent[[#This Row],[prop_id]],CHAR(160),"")),"eJ")</f>
        <v>eJ</v>
      </c>
      <c r="AC228" s="89" t="s">
        <v>1354</v>
      </c>
      <c r="AD228" s="3" t="s">
        <v>1354</v>
      </c>
      <c r="AE228" s="91">
        <v>2015</v>
      </c>
      <c r="AF228" s="13" t="s">
        <v>43</v>
      </c>
      <c r="AG228" s="13">
        <v>174890</v>
      </c>
      <c r="AH228" s="45">
        <v>174890</v>
      </c>
      <c r="AI228" s="44" t="s">
        <v>804</v>
      </c>
      <c r="AJ228" s="2" t="s">
        <v>1356</v>
      </c>
      <c r="AK228" s="46" t="s">
        <v>1745</v>
      </c>
      <c r="AL228" s="55" t="s">
        <v>1349</v>
      </c>
      <c r="AM228" s="45" t="s">
        <v>1349</v>
      </c>
      <c r="AN228" s="56" t="s">
        <v>152</v>
      </c>
      <c r="AO228" s="23" t="s">
        <v>146</v>
      </c>
      <c r="AP228" s="11"/>
      <c r="AQ228" s="88" t="s">
        <v>1355</v>
      </c>
      <c r="AR228" s="57" t="s">
        <v>161</v>
      </c>
      <c r="AS228" s="46">
        <v>42039.646527777775</v>
      </c>
      <c r="AT228" s="3">
        <f t="shared" si="3"/>
        <v>196</v>
      </c>
    </row>
    <row r="229" spans="8:46" x14ac:dyDescent="0.4">
      <c r="H229" s="59">
        <v>42992.404930555553</v>
      </c>
      <c r="I229" s="43">
        <v>42326.482638888891</v>
      </c>
      <c r="J229" s="42">
        <v>42507.4059837963</v>
      </c>
      <c r="K229" s="81" t="s">
        <v>49</v>
      </c>
      <c r="L229" t="s">
        <v>49</v>
      </c>
      <c r="M229" t="s">
        <v>336</v>
      </c>
      <c r="N229" s="1" t="s">
        <v>336</v>
      </c>
      <c r="O229" s="1" t="s">
        <v>230</v>
      </c>
      <c r="P229" t="s">
        <v>230</v>
      </c>
      <c r="Q229" s="9" t="s">
        <v>45</v>
      </c>
      <c r="R229" s="82" t="s">
        <v>45</v>
      </c>
      <c r="S229" s="44" t="s">
        <v>196</v>
      </c>
      <c r="T229" s="3" t="s">
        <v>61</v>
      </c>
      <c r="U229" s="2" t="s">
        <v>29</v>
      </c>
      <c r="V229" s="3" t="s">
        <v>29</v>
      </c>
      <c r="W229" s="11" t="s">
        <v>153</v>
      </c>
      <c r="X229" s="3" t="s">
        <v>153</v>
      </c>
      <c r="Y229" s="77" t="s">
        <v>48</v>
      </c>
      <c r="Z229" s="84" t="s">
        <v>1357</v>
      </c>
      <c r="AA229" s="89" t="s">
        <v>28</v>
      </c>
      <c r="AB229" s="90" t="str">
        <f>HYPERLINK(CONCATENATE("https://www.ejacket.nsf.gov/ej/showProposal.do?ID=",SUBSTITUTE(SplitQueryTableRecent[[#This Row],[prop_id]],CHAR(160),"")),"eJ")</f>
        <v>eJ</v>
      </c>
      <c r="AC229" s="89" t="s">
        <v>1357</v>
      </c>
      <c r="AD229" s="3" t="s">
        <v>1357</v>
      </c>
      <c r="AE229" s="91">
        <v>2016</v>
      </c>
      <c r="AF229" s="13" t="s">
        <v>43</v>
      </c>
      <c r="AG229" s="13">
        <v>499618</v>
      </c>
      <c r="AH229" s="45">
        <v>499618</v>
      </c>
      <c r="AI229" s="44" t="s">
        <v>1359</v>
      </c>
      <c r="AJ229" s="2" t="s">
        <v>1032</v>
      </c>
      <c r="AK229" s="46" t="s">
        <v>1711</v>
      </c>
      <c r="AL229" s="55" t="s">
        <v>369</v>
      </c>
      <c r="AM229" s="45" t="s">
        <v>369</v>
      </c>
      <c r="AN229" s="56" t="s">
        <v>152</v>
      </c>
      <c r="AO229" s="23" t="s">
        <v>146</v>
      </c>
      <c r="AP229" s="11"/>
      <c r="AQ229" s="88" t="s">
        <v>1358</v>
      </c>
      <c r="AR229" s="57" t="s">
        <v>164</v>
      </c>
      <c r="AS229" s="46">
        <v>42531.371354166666</v>
      </c>
      <c r="AT229" s="3">
        <f t="shared" si="3"/>
        <v>197</v>
      </c>
    </row>
    <row r="230" spans="8:46" x14ac:dyDescent="0.4">
      <c r="H230" s="59">
        <v>42992.404930555553</v>
      </c>
      <c r="I230" s="43">
        <v>42326.42291666667</v>
      </c>
      <c r="J230" s="42">
        <v>42529.678912037038</v>
      </c>
      <c r="K230" s="81" t="s">
        <v>49</v>
      </c>
      <c r="L230" t="s">
        <v>49</v>
      </c>
      <c r="M230" t="s">
        <v>336</v>
      </c>
      <c r="N230" s="1" t="s">
        <v>336</v>
      </c>
      <c r="O230" s="1" t="s">
        <v>337</v>
      </c>
      <c r="P230" t="s">
        <v>337</v>
      </c>
      <c r="Q230" s="9" t="s">
        <v>45</v>
      </c>
      <c r="R230" s="82" t="s">
        <v>45</v>
      </c>
      <c r="S230" s="44" t="s">
        <v>196</v>
      </c>
      <c r="T230" s="3" t="s">
        <v>61</v>
      </c>
      <c r="U230" s="2" t="s">
        <v>29</v>
      </c>
      <c r="V230" s="3" t="s">
        <v>29</v>
      </c>
      <c r="W230" s="11" t="s">
        <v>153</v>
      </c>
      <c r="X230" s="3" t="s">
        <v>153</v>
      </c>
      <c r="Y230" s="77" t="s">
        <v>48</v>
      </c>
      <c r="Z230" s="84" t="s">
        <v>1360</v>
      </c>
      <c r="AA230" s="89" t="s">
        <v>28</v>
      </c>
      <c r="AB230" s="90" t="str">
        <f>HYPERLINK(CONCATENATE("https://www.ejacket.nsf.gov/ej/showProposal.do?ID=",SUBSTITUTE(SplitQueryTableRecent[[#This Row],[prop_id]],CHAR(160),"")),"eJ")</f>
        <v>eJ</v>
      </c>
      <c r="AC230" s="89" t="s">
        <v>1360</v>
      </c>
      <c r="AD230" s="3" t="s">
        <v>1360</v>
      </c>
      <c r="AE230" s="91">
        <v>2016</v>
      </c>
      <c r="AF230" s="13" t="s">
        <v>43</v>
      </c>
      <c r="AG230" s="13">
        <v>414215</v>
      </c>
      <c r="AH230" s="45">
        <v>417350</v>
      </c>
      <c r="AI230" s="44" t="s">
        <v>220</v>
      </c>
      <c r="AJ230" s="2" t="s">
        <v>225</v>
      </c>
      <c r="AK230" s="46" t="s">
        <v>683</v>
      </c>
      <c r="AL230" s="55" t="s">
        <v>584</v>
      </c>
      <c r="AM230" s="45" t="s">
        <v>584</v>
      </c>
      <c r="AN230" s="56" t="s">
        <v>152</v>
      </c>
      <c r="AO230" s="23" t="s">
        <v>146</v>
      </c>
      <c r="AP230" s="11"/>
      <c r="AQ230" s="88" t="s">
        <v>1361</v>
      </c>
      <c r="AR230" s="57" t="s">
        <v>164</v>
      </c>
      <c r="AS230" s="46">
        <v>42549.675729166665</v>
      </c>
      <c r="AT230" s="3">
        <f t="shared" si="3"/>
        <v>198</v>
      </c>
    </row>
    <row r="231" spans="8:46" x14ac:dyDescent="0.4">
      <c r="H231" s="59">
        <v>42992.404930555553</v>
      </c>
      <c r="I231" s="43">
        <v>42326.591666666667</v>
      </c>
      <c r="J231" s="42">
        <v>42529.554872685185</v>
      </c>
      <c r="K231" s="81" t="s">
        <v>49</v>
      </c>
      <c r="L231" t="s">
        <v>49</v>
      </c>
      <c r="M231" t="s">
        <v>336</v>
      </c>
      <c r="N231" s="1" t="s">
        <v>336</v>
      </c>
      <c r="O231" s="1" t="s">
        <v>230</v>
      </c>
      <c r="P231" t="s">
        <v>230</v>
      </c>
      <c r="Q231" s="9" t="s">
        <v>45</v>
      </c>
      <c r="R231" s="82" t="s">
        <v>45</v>
      </c>
      <c r="S231" s="44" t="s">
        <v>196</v>
      </c>
      <c r="T231" s="3" t="s">
        <v>61</v>
      </c>
      <c r="U231" s="2" t="s">
        <v>29</v>
      </c>
      <c r="V231" s="3" t="s">
        <v>29</v>
      </c>
      <c r="W231" s="11" t="s">
        <v>153</v>
      </c>
      <c r="X231" s="3" t="s">
        <v>153</v>
      </c>
      <c r="Y231" s="77" t="s">
        <v>48</v>
      </c>
      <c r="Z231" s="84" t="s">
        <v>1362</v>
      </c>
      <c r="AA231" s="89" t="s">
        <v>28</v>
      </c>
      <c r="AB231" s="90" t="str">
        <f>HYPERLINK(CONCATENATE("https://www.ejacket.nsf.gov/ej/showProposal.do?ID=",SUBSTITUTE(SplitQueryTableRecent[[#This Row],[prop_id]],CHAR(160),"")),"eJ")</f>
        <v>eJ</v>
      </c>
      <c r="AC231" s="89" t="s">
        <v>1362</v>
      </c>
      <c r="AD231" s="3" t="s">
        <v>1362</v>
      </c>
      <c r="AE231" s="91">
        <v>2016</v>
      </c>
      <c r="AF231" s="13" t="s">
        <v>43</v>
      </c>
      <c r="AG231" s="13">
        <v>317896</v>
      </c>
      <c r="AH231" s="45">
        <v>399986</v>
      </c>
      <c r="AI231" s="44" t="s">
        <v>216</v>
      </c>
      <c r="AJ231" s="2" t="s">
        <v>265</v>
      </c>
      <c r="AK231" s="46" t="s">
        <v>301</v>
      </c>
      <c r="AL231" s="55" t="s">
        <v>368</v>
      </c>
      <c r="AM231" s="45" t="s">
        <v>368</v>
      </c>
      <c r="AN231" s="56" t="s">
        <v>152</v>
      </c>
      <c r="AO231" s="23" t="s">
        <v>146</v>
      </c>
      <c r="AP231" s="11"/>
      <c r="AQ231" s="88" t="s">
        <v>540</v>
      </c>
      <c r="AR231" s="57" t="s">
        <v>164</v>
      </c>
      <c r="AS231" s="46">
        <v>42549.642881944441</v>
      </c>
      <c r="AT231" s="3">
        <f t="shared" si="3"/>
        <v>199</v>
      </c>
    </row>
    <row r="232" spans="8:46" x14ac:dyDescent="0.4">
      <c r="H232" s="59">
        <v>42992.404930555553</v>
      </c>
      <c r="I232" s="43">
        <v>42690.482638888891</v>
      </c>
      <c r="J232" s="42">
        <v>42916.508148148147</v>
      </c>
      <c r="K232" s="81" t="s">
        <v>49</v>
      </c>
      <c r="L232" t="s">
        <v>49</v>
      </c>
      <c r="M232" t="s">
        <v>336</v>
      </c>
      <c r="N232" s="1" t="s">
        <v>336</v>
      </c>
      <c r="O232" s="1" t="s">
        <v>245</v>
      </c>
      <c r="P232" t="s">
        <v>245</v>
      </c>
      <c r="Q232" s="9" t="s">
        <v>45</v>
      </c>
      <c r="R232" s="82" t="s">
        <v>45</v>
      </c>
      <c r="S232" s="44" t="s">
        <v>192</v>
      </c>
      <c r="T232" s="3" t="s">
        <v>61</v>
      </c>
      <c r="U232" s="2" t="s">
        <v>29</v>
      </c>
      <c r="V232" s="3" t="s">
        <v>29</v>
      </c>
      <c r="W232" s="11" t="s">
        <v>153</v>
      </c>
      <c r="X232" s="3" t="s">
        <v>153</v>
      </c>
      <c r="Y232" s="77" t="s">
        <v>48</v>
      </c>
      <c r="Z232" s="84" t="s">
        <v>1021</v>
      </c>
      <c r="AA232" s="89" t="s">
        <v>174</v>
      </c>
      <c r="AB232" s="90" t="str">
        <f>HYPERLINK(CONCATENATE("https://www.ejacket.nsf.gov/ej/showProposal.do?ID=",SUBSTITUTE(SplitQueryTableRecent[[#This Row],[prop_id]],CHAR(160),"")),"eJ")</f>
        <v>eJ</v>
      </c>
      <c r="AC232" s="89" t="s">
        <v>1021</v>
      </c>
      <c r="AD232" s="3" t="s">
        <v>1021</v>
      </c>
      <c r="AE232" s="91">
        <v>2017</v>
      </c>
      <c r="AF232" s="13" t="s">
        <v>43</v>
      </c>
      <c r="AG232" s="13">
        <v>309236</v>
      </c>
      <c r="AH232" s="45">
        <v>309236</v>
      </c>
      <c r="AI232" s="44" t="s">
        <v>1366</v>
      </c>
      <c r="AJ232" s="2" t="s">
        <v>497</v>
      </c>
      <c r="AK232" s="46" t="s">
        <v>1714</v>
      </c>
      <c r="AL232" s="55" t="s">
        <v>1365</v>
      </c>
      <c r="AM232" s="45" t="s">
        <v>369</v>
      </c>
      <c r="AN232" s="56" t="s">
        <v>152</v>
      </c>
      <c r="AO232" s="23" t="s">
        <v>146</v>
      </c>
      <c r="AP232" s="11"/>
      <c r="AQ232" s="88" t="s">
        <v>1022</v>
      </c>
      <c r="AR232" s="57" t="s">
        <v>188</v>
      </c>
      <c r="AS232" s="46">
        <v>42934.467453703706</v>
      </c>
      <c r="AT232" s="3">
        <f t="shared" si="3"/>
        <v>200</v>
      </c>
    </row>
    <row r="233" spans="8:46" x14ac:dyDescent="0.4">
      <c r="H233" s="59">
        <v>42992.404930555553</v>
      </c>
      <c r="I233" s="43">
        <v>42524.579861111109</v>
      </c>
      <c r="J233" s="42">
        <v>42565.512442129628</v>
      </c>
      <c r="K233" s="81" t="s">
        <v>49</v>
      </c>
      <c r="L233" t="s">
        <v>49</v>
      </c>
      <c r="M233" t="s">
        <v>336</v>
      </c>
      <c r="N233" s="1" t="s">
        <v>336</v>
      </c>
      <c r="O233" s="1" t="s">
        <v>337</v>
      </c>
      <c r="P233" t="s">
        <v>337</v>
      </c>
      <c r="Q233" s="9" t="s">
        <v>45</v>
      </c>
      <c r="R233" s="82" t="s">
        <v>45</v>
      </c>
      <c r="S233" s="44" t="s">
        <v>60</v>
      </c>
      <c r="T233" s="3" t="s">
        <v>61</v>
      </c>
      <c r="U233" s="2" t="s">
        <v>29</v>
      </c>
      <c r="V233" s="3" t="s">
        <v>29</v>
      </c>
      <c r="W233" s="11" t="s">
        <v>153</v>
      </c>
      <c r="X233" s="3" t="s">
        <v>153</v>
      </c>
      <c r="Y233" s="77" t="s">
        <v>48</v>
      </c>
      <c r="Z233" s="84" t="s">
        <v>1367</v>
      </c>
      <c r="AA233" s="89" t="s">
        <v>28</v>
      </c>
      <c r="AB233" s="90" t="str">
        <f>HYPERLINK(CONCATENATE("https://www.ejacket.nsf.gov/ej/showProposal.do?ID=",SUBSTITUTE(SplitQueryTableRecent[[#This Row],[prop_id]],CHAR(160),"")),"eJ")</f>
        <v>eJ</v>
      </c>
      <c r="AC233" s="89" t="s">
        <v>1367</v>
      </c>
      <c r="AD233" s="3" t="s">
        <v>1367</v>
      </c>
      <c r="AE233" s="91">
        <v>2016</v>
      </c>
      <c r="AF233" s="13" t="s">
        <v>43</v>
      </c>
      <c r="AG233" s="13">
        <v>8000</v>
      </c>
      <c r="AH233" s="45">
        <v>16000</v>
      </c>
      <c r="AI233" s="44" t="s">
        <v>1048</v>
      </c>
      <c r="AJ233" s="2" t="s">
        <v>573</v>
      </c>
      <c r="AK233" s="46" t="s">
        <v>228</v>
      </c>
      <c r="AL233" s="55" t="s">
        <v>751</v>
      </c>
      <c r="AM233" s="45" t="s">
        <v>751</v>
      </c>
      <c r="AN233" s="56" t="s">
        <v>152</v>
      </c>
      <c r="AO233" s="23" t="s">
        <v>146</v>
      </c>
      <c r="AP233" s="11"/>
      <c r="AQ233" s="88" t="s">
        <v>1368</v>
      </c>
      <c r="AR233" s="57" t="s">
        <v>164</v>
      </c>
      <c r="AS233" s="46">
        <v>42592.572094907409</v>
      </c>
      <c r="AT233" s="3">
        <f t="shared" si="3"/>
        <v>201</v>
      </c>
    </row>
    <row r="234" spans="8:46" x14ac:dyDescent="0.4">
      <c r="H234" s="59">
        <v>42992.404930555553</v>
      </c>
      <c r="I234" s="43">
        <v>42685.56527777778</v>
      </c>
      <c r="J234" s="42">
        <v>42912.633634259262</v>
      </c>
      <c r="K234" s="81" t="s">
        <v>49</v>
      </c>
      <c r="L234" t="s">
        <v>49</v>
      </c>
      <c r="M234" t="s">
        <v>336</v>
      </c>
      <c r="N234" s="1" t="s">
        <v>336</v>
      </c>
      <c r="O234" s="1" t="s">
        <v>337</v>
      </c>
      <c r="P234" t="s">
        <v>337</v>
      </c>
      <c r="Q234" s="9" t="s">
        <v>45</v>
      </c>
      <c r="R234" s="82" t="s">
        <v>45</v>
      </c>
      <c r="S234" s="44" t="s">
        <v>192</v>
      </c>
      <c r="T234" s="3" t="s">
        <v>61</v>
      </c>
      <c r="U234" s="2" t="s">
        <v>29</v>
      </c>
      <c r="V234" s="3" t="s">
        <v>29</v>
      </c>
      <c r="W234" s="11" t="s">
        <v>153</v>
      </c>
      <c r="X234" s="3" t="s">
        <v>153</v>
      </c>
      <c r="Y234" s="77" t="s">
        <v>48</v>
      </c>
      <c r="Z234" s="84" t="s">
        <v>1369</v>
      </c>
      <c r="AA234" s="89" t="s">
        <v>28</v>
      </c>
      <c r="AB234" s="90" t="str">
        <f>HYPERLINK(CONCATENATE("https://www.ejacket.nsf.gov/ej/showProposal.do?ID=",SUBSTITUTE(SplitQueryTableRecent[[#This Row],[prop_id]],CHAR(160),"")),"eJ")</f>
        <v>eJ</v>
      </c>
      <c r="AC234" s="89" t="s">
        <v>1369</v>
      </c>
      <c r="AD234" s="3" t="s">
        <v>1369</v>
      </c>
      <c r="AE234" s="91">
        <v>2017</v>
      </c>
      <c r="AF234" s="13" t="s">
        <v>43</v>
      </c>
      <c r="AG234" s="13">
        <v>421391</v>
      </c>
      <c r="AH234" s="45">
        <v>421391</v>
      </c>
      <c r="AI234" s="44" t="s">
        <v>1371</v>
      </c>
      <c r="AJ234" s="2" t="s">
        <v>764</v>
      </c>
      <c r="AK234" s="46" t="s">
        <v>228</v>
      </c>
      <c r="AL234" s="55" t="s">
        <v>584</v>
      </c>
      <c r="AM234" s="45" t="s">
        <v>584</v>
      </c>
      <c r="AN234" s="56" t="s">
        <v>152</v>
      </c>
      <c r="AO234" s="23" t="s">
        <v>146</v>
      </c>
      <c r="AP234" s="11"/>
      <c r="AQ234" s="88" t="s">
        <v>1370</v>
      </c>
      <c r="AR234" s="57" t="s">
        <v>188</v>
      </c>
      <c r="AS234" s="46">
        <v>42923.652708333335</v>
      </c>
      <c r="AT234" s="3">
        <f t="shared" si="3"/>
        <v>202</v>
      </c>
    </row>
    <row r="235" spans="8:46" x14ac:dyDescent="0.4">
      <c r="H235" s="59">
        <v>42992.404930555553</v>
      </c>
      <c r="I235" s="43">
        <v>42689.545138888891</v>
      </c>
      <c r="J235" s="42">
        <v>42905.709814814814</v>
      </c>
      <c r="K235" s="81" t="s">
        <v>49</v>
      </c>
      <c r="L235" t="s">
        <v>49</v>
      </c>
      <c r="M235" t="s">
        <v>336</v>
      </c>
      <c r="N235" s="1" t="s">
        <v>336</v>
      </c>
      <c r="O235" s="1" t="s">
        <v>337</v>
      </c>
      <c r="P235" t="s">
        <v>337</v>
      </c>
      <c r="Q235" s="9" t="s">
        <v>45</v>
      </c>
      <c r="R235" s="82" t="s">
        <v>45</v>
      </c>
      <c r="S235" s="44" t="s">
        <v>192</v>
      </c>
      <c r="T235" s="3" t="s">
        <v>61</v>
      </c>
      <c r="U235" s="2" t="s">
        <v>29</v>
      </c>
      <c r="V235" s="3" t="s">
        <v>29</v>
      </c>
      <c r="W235" s="11" t="s">
        <v>153</v>
      </c>
      <c r="X235" s="3" t="s">
        <v>153</v>
      </c>
      <c r="Y235" s="77" t="s">
        <v>48</v>
      </c>
      <c r="Z235" s="84" t="s">
        <v>1372</v>
      </c>
      <c r="AA235" s="89" t="s">
        <v>28</v>
      </c>
      <c r="AB235" s="90" t="str">
        <f>HYPERLINK(CONCATENATE("https://www.ejacket.nsf.gov/ej/showProposal.do?ID=",SUBSTITUTE(SplitQueryTableRecent[[#This Row],[prop_id]],CHAR(160),"")),"eJ")</f>
        <v>eJ</v>
      </c>
      <c r="AC235" s="89" t="s">
        <v>1372</v>
      </c>
      <c r="AD235" s="3" t="s">
        <v>1372</v>
      </c>
      <c r="AE235" s="91">
        <v>2017</v>
      </c>
      <c r="AF235" s="13" t="s">
        <v>43</v>
      </c>
      <c r="AG235" s="13">
        <v>362067</v>
      </c>
      <c r="AH235" s="45">
        <v>362067</v>
      </c>
      <c r="AI235" s="44" t="s">
        <v>1374</v>
      </c>
      <c r="AJ235" s="2" t="s">
        <v>397</v>
      </c>
      <c r="AK235" s="46" t="s">
        <v>1750</v>
      </c>
      <c r="AL235" s="55" t="s">
        <v>369</v>
      </c>
      <c r="AM235" s="45" t="s">
        <v>369</v>
      </c>
      <c r="AN235" s="56" t="s">
        <v>152</v>
      </c>
      <c r="AO235" s="23" t="s">
        <v>146</v>
      </c>
      <c r="AP235" s="11"/>
      <c r="AQ235" s="88" t="s">
        <v>1373</v>
      </c>
      <c r="AR235" s="57" t="s">
        <v>188</v>
      </c>
      <c r="AS235" s="46">
        <v>42914.624328703707</v>
      </c>
      <c r="AT235" s="3">
        <f t="shared" si="3"/>
        <v>203</v>
      </c>
    </row>
    <row r="236" spans="8:46" x14ac:dyDescent="0.4">
      <c r="H236" s="59">
        <v>42992.404930555553</v>
      </c>
      <c r="I236" s="43">
        <v>42494</v>
      </c>
      <c r="J236" s="42">
        <v>42529.558634259258</v>
      </c>
      <c r="K236" s="81" t="s">
        <v>49</v>
      </c>
      <c r="L236" t="s">
        <v>49</v>
      </c>
      <c r="M236" t="s">
        <v>336</v>
      </c>
      <c r="N236" s="1" t="s">
        <v>336</v>
      </c>
      <c r="O236" s="1" t="s">
        <v>230</v>
      </c>
      <c r="P236" t="s">
        <v>230</v>
      </c>
      <c r="Q236" s="9" t="s">
        <v>45</v>
      </c>
      <c r="R236" s="82" t="s">
        <v>45</v>
      </c>
      <c r="S236" s="44" t="s">
        <v>186</v>
      </c>
      <c r="T236" s="3" t="s">
        <v>136</v>
      </c>
      <c r="U236" s="2" t="s">
        <v>29</v>
      </c>
      <c r="V236" s="3" t="s">
        <v>29</v>
      </c>
      <c r="W236" s="11" t="s">
        <v>153</v>
      </c>
      <c r="X236" s="3" t="s">
        <v>153</v>
      </c>
      <c r="Y236" s="77" t="s">
        <v>48</v>
      </c>
      <c r="Z236" s="84" t="s">
        <v>1375</v>
      </c>
      <c r="AA236" s="89" t="s">
        <v>28</v>
      </c>
      <c r="AB236" s="90" t="str">
        <f>HYPERLINK(CONCATENATE("https://www.ejacket.nsf.gov/ej/showProposal.do?ID=",SUBSTITUTE(SplitQueryTableRecent[[#This Row],[prop_id]],CHAR(160),"")),"eJ")</f>
        <v>eJ</v>
      </c>
      <c r="AC236" s="89" t="s">
        <v>710</v>
      </c>
      <c r="AD236" s="3" t="s">
        <v>1375</v>
      </c>
      <c r="AE236" s="91">
        <v>2016</v>
      </c>
      <c r="AF236" s="13" t="s">
        <v>43</v>
      </c>
      <c r="AG236" s="13">
        <v>14000</v>
      </c>
      <c r="AH236" s="45">
        <v>14000</v>
      </c>
      <c r="AI236" s="44" t="s">
        <v>712</v>
      </c>
      <c r="AJ236" s="2" t="s">
        <v>217</v>
      </c>
      <c r="AK236" s="46" t="s">
        <v>1717</v>
      </c>
      <c r="AL236" s="55" t="s">
        <v>854</v>
      </c>
      <c r="AM236" s="45" t="s">
        <v>854</v>
      </c>
      <c r="AN236" s="56" t="s">
        <v>152</v>
      </c>
      <c r="AO236" s="23" t="s">
        <v>146</v>
      </c>
      <c r="AP236" s="11"/>
      <c r="AQ236" s="88" t="s">
        <v>711</v>
      </c>
      <c r="AR236" s="57" t="s">
        <v>188</v>
      </c>
      <c r="AS236" s="46">
        <v>42530.747812499998</v>
      </c>
      <c r="AT236" s="3">
        <f t="shared" si="3"/>
        <v>204</v>
      </c>
    </row>
    <row r="237" spans="8:46" x14ac:dyDescent="0.4">
      <c r="H237" s="59">
        <v>42992.404930555553</v>
      </c>
      <c r="I237" s="43">
        <v>42506</v>
      </c>
      <c r="J237" s="42">
        <v>42534.551678240743</v>
      </c>
      <c r="K237" s="81" t="s">
        <v>49</v>
      </c>
      <c r="L237" t="s">
        <v>49</v>
      </c>
      <c r="M237" t="s">
        <v>336</v>
      </c>
      <c r="N237" s="1" t="s">
        <v>336</v>
      </c>
      <c r="O237" s="1" t="s">
        <v>337</v>
      </c>
      <c r="P237" t="s">
        <v>337</v>
      </c>
      <c r="Q237" s="9" t="s">
        <v>45</v>
      </c>
      <c r="R237" s="82" t="s">
        <v>45</v>
      </c>
      <c r="S237" s="44" t="s">
        <v>186</v>
      </c>
      <c r="T237" s="3" t="s">
        <v>136</v>
      </c>
      <c r="U237" s="2" t="s">
        <v>29</v>
      </c>
      <c r="V237" s="3" t="s">
        <v>29</v>
      </c>
      <c r="W237" s="11" t="s">
        <v>153</v>
      </c>
      <c r="X237" s="3" t="s">
        <v>153</v>
      </c>
      <c r="Y237" s="77" t="s">
        <v>48</v>
      </c>
      <c r="Z237" s="84" t="s">
        <v>1376</v>
      </c>
      <c r="AA237" s="89" t="s">
        <v>28</v>
      </c>
      <c r="AB237" s="90" t="str">
        <f>HYPERLINK(CONCATENATE("https://www.ejacket.nsf.gov/ej/showProposal.do?ID=",SUBSTITUTE(SplitQueryTableRecent[[#This Row],[prop_id]],CHAR(160),"")),"eJ")</f>
        <v>eJ</v>
      </c>
      <c r="AC237" s="89" t="s">
        <v>723</v>
      </c>
      <c r="AD237" s="3" t="s">
        <v>1376</v>
      </c>
      <c r="AE237" s="91">
        <v>2016</v>
      </c>
      <c r="AF237" s="13" t="s">
        <v>43</v>
      </c>
      <c r="AG237" s="13">
        <v>16000</v>
      </c>
      <c r="AH237" s="45">
        <v>16000</v>
      </c>
      <c r="AI237" s="44" t="s">
        <v>354</v>
      </c>
      <c r="AJ237" s="2" t="s">
        <v>355</v>
      </c>
      <c r="AK237" s="46" t="s">
        <v>1710</v>
      </c>
      <c r="AL237" s="55" t="s">
        <v>1031</v>
      </c>
      <c r="AM237" s="45" t="s">
        <v>1031</v>
      </c>
      <c r="AN237" s="56" t="s">
        <v>152</v>
      </c>
      <c r="AO237" s="23" t="s">
        <v>146</v>
      </c>
      <c r="AP237" s="11"/>
      <c r="AQ237" s="88" t="s">
        <v>724</v>
      </c>
      <c r="AR237" s="57" t="s">
        <v>40</v>
      </c>
      <c r="AS237" s="46">
        <v>42557.433553240742</v>
      </c>
      <c r="AT237" s="3">
        <f t="shared" si="3"/>
        <v>205</v>
      </c>
    </row>
    <row r="238" spans="8:46" x14ac:dyDescent="0.4">
      <c r="H238" s="59">
        <v>42992.404930555553</v>
      </c>
      <c r="I238" s="43">
        <v>42352</v>
      </c>
      <c r="J238" s="42">
        <v>42508.448125000003</v>
      </c>
      <c r="K238" s="81" t="s">
        <v>49</v>
      </c>
      <c r="L238" t="s">
        <v>49</v>
      </c>
      <c r="M238" t="s">
        <v>336</v>
      </c>
      <c r="N238" s="1" t="s">
        <v>336</v>
      </c>
      <c r="O238" s="1" t="s">
        <v>337</v>
      </c>
      <c r="P238" t="s">
        <v>337</v>
      </c>
      <c r="Q238" s="9" t="s">
        <v>45</v>
      </c>
      <c r="R238" s="82" t="s">
        <v>45</v>
      </c>
      <c r="S238" s="44" t="s">
        <v>186</v>
      </c>
      <c r="T238" s="3" t="s">
        <v>136</v>
      </c>
      <c r="U238" s="2" t="s">
        <v>29</v>
      </c>
      <c r="V238" s="3" t="s">
        <v>29</v>
      </c>
      <c r="W238" s="11" t="s">
        <v>153</v>
      </c>
      <c r="X238" s="3" t="s">
        <v>153</v>
      </c>
      <c r="Y238" s="77" t="s">
        <v>48</v>
      </c>
      <c r="Z238" s="84" t="s">
        <v>1377</v>
      </c>
      <c r="AA238" s="89" t="s">
        <v>28</v>
      </c>
      <c r="AB238" s="90" t="str">
        <f>HYPERLINK(CONCATENATE("https://www.ejacket.nsf.gov/ej/showProposal.do?ID=",SUBSTITUTE(SplitQueryTableRecent[[#This Row],[prop_id]],CHAR(160),"")),"eJ")</f>
        <v>eJ</v>
      </c>
      <c r="AC238" s="89" t="s">
        <v>726</v>
      </c>
      <c r="AD238" s="3" t="s">
        <v>1377</v>
      </c>
      <c r="AE238" s="91">
        <v>2016</v>
      </c>
      <c r="AF238" s="13" t="s">
        <v>43</v>
      </c>
      <c r="AG238" s="13">
        <v>16000</v>
      </c>
      <c r="AH238" s="45">
        <v>16000</v>
      </c>
      <c r="AI238" s="44" t="s">
        <v>728</v>
      </c>
      <c r="AJ238" s="2" t="s">
        <v>208</v>
      </c>
      <c r="AK238" s="46" t="s">
        <v>1719</v>
      </c>
      <c r="AL238" s="55" t="s">
        <v>1031</v>
      </c>
      <c r="AM238" s="45" t="s">
        <v>1031</v>
      </c>
      <c r="AN238" s="56" t="s">
        <v>152</v>
      </c>
      <c r="AO238" s="23" t="s">
        <v>146</v>
      </c>
      <c r="AP238" s="11"/>
      <c r="AQ238" s="88" t="s">
        <v>727</v>
      </c>
      <c r="AR238" s="57" t="s">
        <v>188</v>
      </c>
      <c r="AS238" s="46">
        <v>42522.668668981481</v>
      </c>
      <c r="AT238" s="3">
        <f t="shared" si="3"/>
        <v>206</v>
      </c>
    </row>
    <row r="239" spans="8:46" x14ac:dyDescent="0.4">
      <c r="H239" s="59">
        <v>42992.404930555553</v>
      </c>
      <c r="I239" s="43">
        <v>42451</v>
      </c>
      <c r="J239" s="42">
        <v>42536.453020833331</v>
      </c>
      <c r="K239" s="81" t="s">
        <v>49</v>
      </c>
      <c r="L239" t="s">
        <v>49</v>
      </c>
      <c r="M239" t="s">
        <v>336</v>
      </c>
      <c r="N239" s="1" t="s">
        <v>336</v>
      </c>
      <c r="O239" s="1" t="s">
        <v>337</v>
      </c>
      <c r="P239" t="s">
        <v>337</v>
      </c>
      <c r="Q239" s="9" t="s">
        <v>45</v>
      </c>
      <c r="R239" s="82" t="s">
        <v>45</v>
      </c>
      <c r="S239" s="44" t="s">
        <v>186</v>
      </c>
      <c r="T239" s="3" t="s">
        <v>136</v>
      </c>
      <c r="U239" s="2" t="s">
        <v>29</v>
      </c>
      <c r="V239" s="3" t="s">
        <v>29</v>
      </c>
      <c r="W239" s="11" t="s">
        <v>153</v>
      </c>
      <c r="X239" s="3" t="s">
        <v>153</v>
      </c>
      <c r="Y239" s="77" t="s">
        <v>48</v>
      </c>
      <c r="Z239" s="84" t="s">
        <v>1378</v>
      </c>
      <c r="AA239" s="89" t="s">
        <v>28</v>
      </c>
      <c r="AB239" s="90" t="str">
        <f>HYPERLINK(CONCATENATE("https://www.ejacket.nsf.gov/ej/showProposal.do?ID=",SUBSTITUTE(SplitQueryTableRecent[[#This Row],[prop_id]],CHAR(160),"")),"eJ")</f>
        <v>eJ</v>
      </c>
      <c r="AC239" s="89" t="s">
        <v>726</v>
      </c>
      <c r="AD239" s="3" t="s">
        <v>1378</v>
      </c>
      <c r="AE239" s="91">
        <v>2016</v>
      </c>
      <c r="AF239" s="13" t="s">
        <v>43</v>
      </c>
      <c r="AG239" s="13">
        <v>16000</v>
      </c>
      <c r="AH239" s="45">
        <v>16000</v>
      </c>
      <c r="AI239" s="44" t="s">
        <v>728</v>
      </c>
      <c r="AJ239" s="2" t="s">
        <v>208</v>
      </c>
      <c r="AK239" s="46" t="s">
        <v>1719</v>
      </c>
      <c r="AL239" s="55" t="s">
        <v>138</v>
      </c>
      <c r="AM239" s="45" t="s">
        <v>138</v>
      </c>
      <c r="AN239" s="56" t="s">
        <v>152</v>
      </c>
      <c r="AO239" s="23" t="s">
        <v>146</v>
      </c>
      <c r="AP239" s="11"/>
      <c r="AQ239" s="88" t="s">
        <v>727</v>
      </c>
      <c r="AR239" s="57" t="s">
        <v>40</v>
      </c>
      <c r="AS239" s="46">
        <v>42557.451793981483</v>
      </c>
      <c r="AT239" s="3">
        <f t="shared" si="3"/>
        <v>207</v>
      </c>
    </row>
    <row r="240" spans="8:46" x14ac:dyDescent="0.4">
      <c r="H240" s="59">
        <v>42992.404930555553</v>
      </c>
      <c r="I240" s="43">
        <v>42828</v>
      </c>
      <c r="J240" s="42">
        <v>42869.798506944448</v>
      </c>
      <c r="K240" s="81" t="s">
        <v>49</v>
      </c>
      <c r="L240" t="s">
        <v>49</v>
      </c>
      <c r="M240" t="s">
        <v>336</v>
      </c>
      <c r="N240" s="1" t="s">
        <v>336</v>
      </c>
      <c r="O240" s="1" t="s">
        <v>337</v>
      </c>
      <c r="P240" t="s">
        <v>337</v>
      </c>
      <c r="Q240" s="9" t="s">
        <v>45</v>
      </c>
      <c r="R240" s="82" t="s">
        <v>45</v>
      </c>
      <c r="S240" s="44" t="s">
        <v>52</v>
      </c>
      <c r="T240" s="3" t="s">
        <v>136</v>
      </c>
      <c r="U240" s="2" t="s">
        <v>29</v>
      </c>
      <c r="V240" s="3" t="s">
        <v>29</v>
      </c>
      <c r="W240" s="11" t="s">
        <v>153</v>
      </c>
      <c r="X240" s="3" t="s">
        <v>153</v>
      </c>
      <c r="Y240" s="77" t="s">
        <v>48</v>
      </c>
      <c r="Z240" s="84" t="s">
        <v>1379</v>
      </c>
      <c r="AA240" s="89" t="s">
        <v>28</v>
      </c>
      <c r="AB240" s="90" t="str">
        <f>HYPERLINK(CONCATENATE("https://www.ejacket.nsf.gov/ej/showProposal.do?ID=",SUBSTITUTE(SplitQueryTableRecent[[#This Row],[prop_id]],CHAR(160),"")),"eJ")</f>
        <v>eJ</v>
      </c>
      <c r="AC240" s="89" t="s">
        <v>726</v>
      </c>
      <c r="AD240" s="3" t="s">
        <v>1379</v>
      </c>
      <c r="AE240" s="91">
        <v>2017</v>
      </c>
      <c r="AF240" s="13" t="s">
        <v>43</v>
      </c>
      <c r="AG240" s="13">
        <v>16000</v>
      </c>
      <c r="AH240" s="45">
        <v>16000</v>
      </c>
      <c r="AI240" s="44" t="s">
        <v>728</v>
      </c>
      <c r="AJ240" s="2" t="s">
        <v>208</v>
      </c>
      <c r="AK240" s="46" t="s">
        <v>1719</v>
      </c>
      <c r="AL240" s="55" t="s">
        <v>1031</v>
      </c>
      <c r="AM240" s="45" t="s">
        <v>559</v>
      </c>
      <c r="AN240" s="56" t="s">
        <v>152</v>
      </c>
      <c r="AO240" s="23" t="s">
        <v>146</v>
      </c>
      <c r="AP240" s="11"/>
      <c r="AQ240" s="88" t="s">
        <v>727</v>
      </c>
      <c r="AR240" s="57" t="s">
        <v>40</v>
      </c>
      <c r="AS240" s="46">
        <v>42870.622013888889</v>
      </c>
      <c r="AT240" s="3">
        <f t="shared" si="3"/>
        <v>208</v>
      </c>
    </row>
    <row r="241" spans="8:46" x14ac:dyDescent="0.4">
      <c r="H241" s="59">
        <v>42992.404930555553</v>
      </c>
      <c r="I241" s="43">
        <v>41544</v>
      </c>
      <c r="J241" s="42">
        <v>41681.394247685188</v>
      </c>
      <c r="K241" s="81" t="s">
        <v>49</v>
      </c>
      <c r="L241" t="s">
        <v>49</v>
      </c>
      <c r="M241" t="s">
        <v>336</v>
      </c>
      <c r="N241" s="1" t="s">
        <v>336</v>
      </c>
      <c r="O241" s="1" t="s">
        <v>337</v>
      </c>
      <c r="P241" t="s">
        <v>337</v>
      </c>
      <c r="Q241" s="9" t="s">
        <v>45</v>
      </c>
      <c r="R241" s="82" t="s">
        <v>45</v>
      </c>
      <c r="S241" s="44" t="s">
        <v>52</v>
      </c>
      <c r="T241" s="3" t="s">
        <v>136</v>
      </c>
      <c r="U241" s="2" t="s">
        <v>29</v>
      </c>
      <c r="V241" s="3" t="s">
        <v>29</v>
      </c>
      <c r="W241" s="11" t="s">
        <v>153</v>
      </c>
      <c r="X241" s="3" t="s">
        <v>153</v>
      </c>
      <c r="Y241" s="77" t="s">
        <v>48</v>
      </c>
      <c r="Z241" s="84" t="s">
        <v>1380</v>
      </c>
      <c r="AA241" s="89" t="s">
        <v>28</v>
      </c>
      <c r="AB241" s="90" t="str">
        <f>HYPERLINK(CONCATENATE("https://www.ejacket.nsf.gov/ej/showProposal.do?ID=",SUBSTITUTE(SplitQueryTableRecent[[#This Row],[prop_id]],CHAR(160),"")),"eJ")</f>
        <v>eJ</v>
      </c>
      <c r="AC241" s="89" t="s">
        <v>1381</v>
      </c>
      <c r="AD241" s="3" t="s">
        <v>1380</v>
      </c>
      <c r="AE241" s="91">
        <v>2014</v>
      </c>
      <c r="AF241" s="13" t="s">
        <v>43</v>
      </c>
      <c r="AG241" s="13">
        <v>5000</v>
      </c>
      <c r="AH241" s="45">
        <v>5000</v>
      </c>
      <c r="AI241" s="44" t="s">
        <v>738</v>
      </c>
      <c r="AJ241" s="2" t="s">
        <v>260</v>
      </c>
      <c r="AK241" s="46" t="s">
        <v>1720</v>
      </c>
      <c r="AL241" s="55" t="s">
        <v>1031</v>
      </c>
      <c r="AM241" s="45" t="s">
        <v>1031</v>
      </c>
      <c r="AN241" s="56" t="s">
        <v>152</v>
      </c>
      <c r="AO241" s="23" t="s">
        <v>146</v>
      </c>
      <c r="AP241" s="11"/>
      <c r="AQ241" s="88" t="s">
        <v>1382</v>
      </c>
      <c r="AR241" s="57" t="s">
        <v>167</v>
      </c>
      <c r="AS241" s="46">
        <v>41682.404479166667</v>
      </c>
      <c r="AT241" s="3">
        <f t="shared" si="3"/>
        <v>209</v>
      </c>
    </row>
    <row r="242" spans="8:46" x14ac:dyDescent="0.4">
      <c r="H242" s="59">
        <v>42992.404930555553</v>
      </c>
      <c r="I242" s="43">
        <v>41843</v>
      </c>
      <c r="J242" s="42">
        <v>41848.485324074078</v>
      </c>
      <c r="K242" s="81" t="s">
        <v>49</v>
      </c>
      <c r="L242" t="s">
        <v>49</v>
      </c>
      <c r="M242" t="s">
        <v>336</v>
      </c>
      <c r="N242" s="1" t="s">
        <v>336</v>
      </c>
      <c r="O242" s="1" t="s">
        <v>337</v>
      </c>
      <c r="P242" t="s">
        <v>337</v>
      </c>
      <c r="Q242" s="9" t="s">
        <v>45</v>
      </c>
      <c r="R242" s="82" t="s">
        <v>45</v>
      </c>
      <c r="S242" s="44" t="s">
        <v>52</v>
      </c>
      <c r="T242" s="3" t="s">
        <v>136</v>
      </c>
      <c r="U242" s="2" t="s">
        <v>29</v>
      </c>
      <c r="V242" s="3" t="s">
        <v>29</v>
      </c>
      <c r="W242" s="11" t="s">
        <v>153</v>
      </c>
      <c r="X242" s="3" t="s">
        <v>153</v>
      </c>
      <c r="Y242" s="77" t="s">
        <v>48</v>
      </c>
      <c r="Z242" s="84" t="s">
        <v>1383</v>
      </c>
      <c r="AA242" s="89" t="s">
        <v>28</v>
      </c>
      <c r="AB242" s="90" t="str">
        <f>HYPERLINK(CONCATENATE("https://www.ejacket.nsf.gov/ej/showProposal.do?ID=",SUBSTITUTE(SplitQueryTableRecent[[#This Row],[prop_id]],CHAR(160),"")),"eJ")</f>
        <v>eJ</v>
      </c>
      <c r="AC242" s="89" t="s">
        <v>1381</v>
      </c>
      <c r="AD242" s="3" t="s">
        <v>1383</v>
      </c>
      <c r="AE242" s="91">
        <v>2014</v>
      </c>
      <c r="AF242" s="13" t="s">
        <v>43</v>
      </c>
      <c r="AG242" s="13">
        <v>16000</v>
      </c>
      <c r="AH242" s="45">
        <v>16000</v>
      </c>
      <c r="AI242" s="44" t="s">
        <v>738</v>
      </c>
      <c r="AJ242" s="2" t="s">
        <v>260</v>
      </c>
      <c r="AK242" s="46" t="s">
        <v>1720</v>
      </c>
      <c r="AL242" s="55" t="s">
        <v>138</v>
      </c>
      <c r="AM242" s="45" t="s">
        <v>138</v>
      </c>
      <c r="AN242" s="56" t="s">
        <v>152</v>
      </c>
      <c r="AO242" s="23" t="s">
        <v>146</v>
      </c>
      <c r="AP242" s="11"/>
      <c r="AQ242" s="88" t="s">
        <v>1382</v>
      </c>
      <c r="AR242" s="57" t="s">
        <v>167</v>
      </c>
      <c r="AS242" s="46">
        <v>41848.575428240743</v>
      </c>
      <c r="AT242" s="3">
        <f t="shared" si="3"/>
        <v>210</v>
      </c>
    </row>
    <row r="243" spans="8:46" x14ac:dyDescent="0.4">
      <c r="H243" s="59">
        <v>42992.404930555553</v>
      </c>
      <c r="I243" s="43">
        <v>41759</v>
      </c>
      <c r="J243" s="42">
        <v>41789.390486111108</v>
      </c>
      <c r="K243" s="81" t="s">
        <v>49</v>
      </c>
      <c r="L243" t="s">
        <v>49</v>
      </c>
      <c r="M243" t="s">
        <v>581</v>
      </c>
      <c r="N243" s="1" t="s">
        <v>336</v>
      </c>
      <c r="O243" s="1" t="s">
        <v>245</v>
      </c>
      <c r="P243" t="s">
        <v>245</v>
      </c>
      <c r="Q243" s="9" t="s">
        <v>45</v>
      </c>
      <c r="R243" s="82" t="s">
        <v>45</v>
      </c>
      <c r="S243" s="44" t="s">
        <v>52</v>
      </c>
      <c r="T243" s="3" t="s">
        <v>136</v>
      </c>
      <c r="U243" s="2" t="s">
        <v>29</v>
      </c>
      <c r="V243" s="3" t="s">
        <v>29</v>
      </c>
      <c r="W243" s="11" t="s">
        <v>153</v>
      </c>
      <c r="X243" s="3" t="s">
        <v>153</v>
      </c>
      <c r="Y243" s="77" t="s">
        <v>48</v>
      </c>
      <c r="Z243" s="84" t="s">
        <v>1384</v>
      </c>
      <c r="AA243" s="89" t="s">
        <v>28</v>
      </c>
      <c r="AB243" s="90" t="str">
        <f>HYPERLINK(CONCATENATE("https://www.ejacket.nsf.gov/ej/showProposal.do?ID=",SUBSTITUTE(SplitQueryTableRecent[[#This Row],[prop_id]],CHAR(160),"")),"eJ")</f>
        <v>eJ</v>
      </c>
      <c r="AC243" s="89" t="s">
        <v>743</v>
      </c>
      <c r="AD243" s="3" t="s">
        <v>1384</v>
      </c>
      <c r="AE243" s="91">
        <v>2014</v>
      </c>
      <c r="AF243" s="13" t="s">
        <v>43</v>
      </c>
      <c r="AG243" s="13">
        <v>16000</v>
      </c>
      <c r="AH243" s="45">
        <v>16000</v>
      </c>
      <c r="AI243" s="44" t="s">
        <v>745</v>
      </c>
      <c r="AJ243" s="2" t="s">
        <v>249</v>
      </c>
      <c r="AK243" s="46" t="s">
        <v>1736</v>
      </c>
      <c r="AL243" s="55" t="s">
        <v>138</v>
      </c>
      <c r="AM243" s="45" t="s">
        <v>138</v>
      </c>
      <c r="AN243" s="56" t="s">
        <v>152</v>
      </c>
      <c r="AO243" s="23" t="s">
        <v>146</v>
      </c>
      <c r="AP243" s="11"/>
      <c r="AQ243" s="88" t="s">
        <v>744</v>
      </c>
      <c r="AR243" s="57" t="s">
        <v>167</v>
      </c>
      <c r="AS243" s="46">
        <v>41795.437268518515</v>
      </c>
      <c r="AT243" s="3">
        <f t="shared" si="3"/>
        <v>211</v>
      </c>
    </row>
    <row r="244" spans="8:46" x14ac:dyDescent="0.4">
      <c r="H244" s="59">
        <v>42992.404930555553</v>
      </c>
      <c r="I244" s="43">
        <v>42445</v>
      </c>
      <c r="J244" s="42">
        <v>42507.428194444445</v>
      </c>
      <c r="K244" s="81" t="s">
        <v>49</v>
      </c>
      <c r="L244" t="s">
        <v>49</v>
      </c>
      <c r="M244" t="s">
        <v>336</v>
      </c>
      <c r="N244" s="1" t="s">
        <v>336</v>
      </c>
      <c r="O244" s="1" t="s">
        <v>403</v>
      </c>
      <c r="P244" t="s">
        <v>403</v>
      </c>
      <c r="Q244" s="9" t="s">
        <v>45</v>
      </c>
      <c r="R244" s="82" t="s">
        <v>45</v>
      </c>
      <c r="S244" s="44" t="s">
        <v>60</v>
      </c>
      <c r="T244" s="3" t="s">
        <v>136</v>
      </c>
      <c r="U244" s="2" t="s">
        <v>29</v>
      </c>
      <c r="V244" s="3" t="s">
        <v>29</v>
      </c>
      <c r="W244" s="11" t="s">
        <v>153</v>
      </c>
      <c r="X244" s="3" t="s">
        <v>153</v>
      </c>
      <c r="Y244" s="77" t="s">
        <v>48</v>
      </c>
      <c r="Z244" s="84" t="s">
        <v>1385</v>
      </c>
      <c r="AA244" s="89" t="s">
        <v>28</v>
      </c>
      <c r="AB244" s="90" t="str">
        <f>HYPERLINK(CONCATENATE("https://www.ejacket.nsf.gov/ej/showProposal.do?ID=",SUBSTITUTE(SplitQueryTableRecent[[#This Row],[prop_id]],CHAR(160),"")),"eJ")</f>
        <v>eJ</v>
      </c>
      <c r="AC244" s="89" t="s">
        <v>843</v>
      </c>
      <c r="AD244" s="3" t="s">
        <v>1385</v>
      </c>
      <c r="AE244" s="91">
        <v>2016</v>
      </c>
      <c r="AF244" s="13" t="s">
        <v>43</v>
      </c>
      <c r="AG244" s="13">
        <v>16000</v>
      </c>
      <c r="AH244" s="45">
        <v>16000</v>
      </c>
      <c r="AI244" s="44" t="s">
        <v>1387</v>
      </c>
      <c r="AJ244" s="2" t="s">
        <v>191</v>
      </c>
      <c r="AK244" s="46" t="s">
        <v>1751</v>
      </c>
      <c r="AL244" s="55" t="s">
        <v>1386</v>
      </c>
      <c r="AM244" s="45" t="s">
        <v>1386</v>
      </c>
      <c r="AN244" s="56" t="s">
        <v>152</v>
      </c>
      <c r="AO244" s="23" t="s">
        <v>146</v>
      </c>
      <c r="AP244" s="11"/>
      <c r="AQ244" s="88" t="s">
        <v>844</v>
      </c>
      <c r="AR244" s="57" t="s">
        <v>188</v>
      </c>
      <c r="AS244" s="46">
        <v>42515.572777777779</v>
      </c>
      <c r="AT244" s="3">
        <f t="shared" si="3"/>
        <v>212</v>
      </c>
    </row>
    <row r="245" spans="8:46" x14ac:dyDescent="0.4">
      <c r="H245" s="59">
        <v>42992.404930555553</v>
      </c>
      <c r="I245" s="43">
        <v>41850</v>
      </c>
      <c r="J245" s="42">
        <v>41851.445115740738</v>
      </c>
      <c r="K245" s="81" t="s">
        <v>49</v>
      </c>
      <c r="L245" t="s">
        <v>49</v>
      </c>
      <c r="M245" t="s">
        <v>336</v>
      </c>
      <c r="N245" s="1" t="s">
        <v>336</v>
      </c>
      <c r="O245" s="1" t="s">
        <v>337</v>
      </c>
      <c r="P245" t="s">
        <v>337</v>
      </c>
      <c r="Q245" s="9" t="s">
        <v>45</v>
      </c>
      <c r="R245" s="82" t="s">
        <v>45</v>
      </c>
      <c r="S245" s="44" t="s">
        <v>52</v>
      </c>
      <c r="T245" s="3" t="s">
        <v>136</v>
      </c>
      <c r="U245" s="2" t="s">
        <v>29</v>
      </c>
      <c r="V245" s="3" t="s">
        <v>29</v>
      </c>
      <c r="W245" s="11" t="s">
        <v>153</v>
      </c>
      <c r="X245" s="3" t="s">
        <v>153</v>
      </c>
      <c r="Y245" s="77" t="s">
        <v>48</v>
      </c>
      <c r="Z245" s="84" t="s">
        <v>1388</v>
      </c>
      <c r="AA245" s="89" t="s">
        <v>28</v>
      </c>
      <c r="AB245" s="90" t="str">
        <f>HYPERLINK(CONCATENATE("https://www.ejacket.nsf.gov/ej/showProposal.do?ID=",SUBSTITUTE(SplitQueryTableRecent[[#This Row],[prop_id]],CHAR(160),"")),"eJ")</f>
        <v>eJ</v>
      </c>
      <c r="AC245" s="89" t="s">
        <v>1389</v>
      </c>
      <c r="AD245" s="3" t="s">
        <v>1388</v>
      </c>
      <c r="AE245" s="91">
        <v>2014</v>
      </c>
      <c r="AF245" s="13" t="s">
        <v>43</v>
      </c>
      <c r="AG245" s="13">
        <v>8000</v>
      </c>
      <c r="AH245" s="45">
        <v>8000</v>
      </c>
      <c r="AI245" s="44" t="s">
        <v>560</v>
      </c>
      <c r="AJ245" s="2" t="s">
        <v>263</v>
      </c>
      <c r="AK245" s="46" t="s">
        <v>1752</v>
      </c>
      <c r="AL245" s="55" t="s">
        <v>138</v>
      </c>
      <c r="AM245" s="45" t="s">
        <v>138</v>
      </c>
      <c r="AN245" s="56" t="s">
        <v>152</v>
      </c>
      <c r="AO245" s="23" t="s">
        <v>146</v>
      </c>
      <c r="AP245" s="11"/>
      <c r="AQ245" s="88" t="s">
        <v>558</v>
      </c>
      <c r="AR245" s="57" t="s">
        <v>161</v>
      </c>
      <c r="AS245" s="46">
        <v>41871.359166666669</v>
      </c>
      <c r="AT245" s="3">
        <f t="shared" si="3"/>
        <v>213</v>
      </c>
    </row>
    <row r="246" spans="8:46" x14ac:dyDescent="0.4">
      <c r="H246" s="59">
        <v>42992.404930555553</v>
      </c>
      <c r="I246" s="43">
        <v>42818</v>
      </c>
      <c r="J246" s="42">
        <v>42845.935937499999</v>
      </c>
      <c r="K246" s="81" t="s">
        <v>49</v>
      </c>
      <c r="L246" t="s">
        <v>49</v>
      </c>
      <c r="M246" t="s">
        <v>336</v>
      </c>
      <c r="N246" s="1" t="s">
        <v>336</v>
      </c>
      <c r="O246" s="1" t="s">
        <v>230</v>
      </c>
      <c r="P246" t="s">
        <v>230</v>
      </c>
      <c r="Q246" s="9" t="s">
        <v>45</v>
      </c>
      <c r="R246" s="82" t="s">
        <v>45</v>
      </c>
      <c r="S246" s="44" t="s">
        <v>60</v>
      </c>
      <c r="T246" s="3" t="s">
        <v>136</v>
      </c>
      <c r="U246" s="2" t="s">
        <v>29</v>
      </c>
      <c r="V246" s="3" t="s">
        <v>29</v>
      </c>
      <c r="W246" s="11" t="s">
        <v>153</v>
      </c>
      <c r="X246" s="3" t="s">
        <v>153</v>
      </c>
      <c r="Y246" s="77" t="s">
        <v>48</v>
      </c>
      <c r="Z246" s="84" t="s">
        <v>1394</v>
      </c>
      <c r="AA246" s="89" t="s">
        <v>28</v>
      </c>
      <c r="AB246" s="90" t="str">
        <f>HYPERLINK(CONCATENATE("https://www.ejacket.nsf.gov/ej/showProposal.do?ID=",SUBSTITUTE(SplitQueryTableRecent[[#This Row],[prop_id]],CHAR(160),"")),"eJ")</f>
        <v>eJ</v>
      </c>
      <c r="AC246" s="89" t="s">
        <v>765</v>
      </c>
      <c r="AD246" s="3" t="s">
        <v>1394</v>
      </c>
      <c r="AE246" s="91">
        <v>2017</v>
      </c>
      <c r="AF246" s="13" t="s">
        <v>43</v>
      </c>
      <c r="AG246" s="13">
        <v>10000</v>
      </c>
      <c r="AH246" s="45">
        <v>10000</v>
      </c>
      <c r="AI246" s="44" t="s">
        <v>767</v>
      </c>
      <c r="AJ246" s="2" t="s">
        <v>208</v>
      </c>
      <c r="AK246" s="46" t="s">
        <v>1717</v>
      </c>
      <c r="AL246" s="55" t="s">
        <v>854</v>
      </c>
      <c r="AM246" s="45" t="s">
        <v>854</v>
      </c>
      <c r="AN246" s="56" t="s">
        <v>152</v>
      </c>
      <c r="AO246" s="23" t="s">
        <v>146</v>
      </c>
      <c r="AP246" s="11"/>
      <c r="AQ246" s="88" t="s">
        <v>1395</v>
      </c>
      <c r="AR246" s="57" t="s">
        <v>40</v>
      </c>
      <c r="AS246" s="46">
        <v>42849.386030092595</v>
      </c>
      <c r="AT246" s="3">
        <f t="shared" si="3"/>
        <v>214</v>
      </c>
    </row>
    <row r="247" spans="8:46" x14ac:dyDescent="0.4">
      <c r="H247" s="59">
        <v>42992.404930555553</v>
      </c>
      <c r="I247" s="43">
        <v>42762</v>
      </c>
      <c r="J247" s="42">
        <v>42772.497627314813</v>
      </c>
      <c r="K247" s="81" t="s">
        <v>49</v>
      </c>
      <c r="L247" t="s">
        <v>49</v>
      </c>
      <c r="M247" t="s">
        <v>336</v>
      </c>
      <c r="N247" s="1" t="s">
        <v>336</v>
      </c>
      <c r="O247" s="1" t="s">
        <v>230</v>
      </c>
      <c r="P247" t="s">
        <v>230</v>
      </c>
      <c r="Q247" s="9" t="s">
        <v>45</v>
      </c>
      <c r="R247" s="82" t="s">
        <v>45</v>
      </c>
      <c r="S247" s="44" t="s">
        <v>1396</v>
      </c>
      <c r="T247" s="3" t="s">
        <v>136</v>
      </c>
      <c r="U247" s="2" t="s">
        <v>29</v>
      </c>
      <c r="V247" s="3" t="s">
        <v>29</v>
      </c>
      <c r="W247" s="11" t="s">
        <v>153</v>
      </c>
      <c r="X247" s="3" t="s">
        <v>153</v>
      </c>
      <c r="Y247" s="77" t="s">
        <v>48</v>
      </c>
      <c r="Z247" s="84" t="s">
        <v>1397</v>
      </c>
      <c r="AA247" s="89" t="s">
        <v>28</v>
      </c>
      <c r="AB247" s="90" t="str">
        <f>HYPERLINK(CONCATENATE("https://www.ejacket.nsf.gov/ej/showProposal.do?ID=",SUBSTITUTE(SplitQueryTableRecent[[#This Row],[prop_id]],CHAR(160),"")),"eJ")</f>
        <v>eJ</v>
      </c>
      <c r="AC247" s="89" t="s">
        <v>774</v>
      </c>
      <c r="AD247" s="3" t="s">
        <v>1397</v>
      </c>
      <c r="AE247" s="91">
        <v>2017</v>
      </c>
      <c r="AF247" s="13" t="s">
        <v>43</v>
      </c>
      <c r="AG247" s="13">
        <v>14000</v>
      </c>
      <c r="AH247" s="45">
        <v>14000</v>
      </c>
      <c r="AI247" s="44" t="s">
        <v>776</v>
      </c>
      <c r="AJ247" s="2" t="s">
        <v>777</v>
      </c>
      <c r="AK247" s="46" t="s">
        <v>1721</v>
      </c>
      <c r="AL247" s="55" t="s">
        <v>854</v>
      </c>
      <c r="AM247" s="45" t="s">
        <v>854</v>
      </c>
      <c r="AN247" s="56" t="s">
        <v>152</v>
      </c>
      <c r="AO247" s="23" t="s">
        <v>146</v>
      </c>
      <c r="AP247" s="11"/>
      <c r="AQ247" s="88" t="s">
        <v>775</v>
      </c>
      <c r="AR247" s="57" t="s">
        <v>40</v>
      </c>
      <c r="AS247" s="46">
        <v>42775.448680555557</v>
      </c>
      <c r="AT247" s="3">
        <f t="shared" si="3"/>
        <v>215</v>
      </c>
    </row>
    <row r="248" spans="8:46" x14ac:dyDescent="0.4">
      <c r="H248" s="59">
        <v>42992.404930555553</v>
      </c>
      <c r="I248" s="43">
        <v>42074</v>
      </c>
      <c r="J248" s="42">
        <v>42103.589942129627</v>
      </c>
      <c r="K248" s="81" t="s">
        <v>49</v>
      </c>
      <c r="L248" t="s">
        <v>49</v>
      </c>
      <c r="M248" t="s">
        <v>336</v>
      </c>
      <c r="N248" s="1" t="s">
        <v>336</v>
      </c>
      <c r="O248" s="1" t="s">
        <v>245</v>
      </c>
      <c r="P248" t="s">
        <v>245</v>
      </c>
      <c r="Q248" s="9" t="s">
        <v>45</v>
      </c>
      <c r="R248" s="82" t="s">
        <v>45</v>
      </c>
      <c r="S248" s="44" t="s">
        <v>52</v>
      </c>
      <c r="T248" s="3" t="s">
        <v>136</v>
      </c>
      <c r="U248" s="2" t="s">
        <v>29</v>
      </c>
      <c r="V248" s="3" t="s">
        <v>29</v>
      </c>
      <c r="W248" s="11" t="s">
        <v>153</v>
      </c>
      <c r="X248" s="3" t="s">
        <v>153</v>
      </c>
      <c r="Y248" s="77" t="s">
        <v>48</v>
      </c>
      <c r="Z248" s="84" t="s">
        <v>1398</v>
      </c>
      <c r="AA248" s="89" t="s">
        <v>28</v>
      </c>
      <c r="AB248" s="90" t="str">
        <f>HYPERLINK(CONCATENATE("https://www.ejacket.nsf.gov/ej/showProposal.do?ID=",SUBSTITUTE(SplitQueryTableRecent[[#This Row],[prop_id]],CHAR(160),"")),"eJ")</f>
        <v>eJ</v>
      </c>
      <c r="AC248" s="89" t="s">
        <v>1399</v>
      </c>
      <c r="AD248" s="3" t="s">
        <v>1398</v>
      </c>
      <c r="AE248" s="91">
        <v>2015</v>
      </c>
      <c r="AF248" s="13" t="s">
        <v>43</v>
      </c>
      <c r="AG248" s="13">
        <v>8000</v>
      </c>
      <c r="AH248" s="45">
        <v>30000</v>
      </c>
      <c r="AI248" s="44" t="s">
        <v>1401</v>
      </c>
      <c r="AJ248" s="2" t="s">
        <v>249</v>
      </c>
      <c r="AK248" s="46" t="s">
        <v>504</v>
      </c>
      <c r="AL248" s="55" t="s">
        <v>138</v>
      </c>
      <c r="AM248" s="45" t="s">
        <v>854</v>
      </c>
      <c r="AN248" s="56" t="s">
        <v>152</v>
      </c>
      <c r="AO248" s="23" t="s">
        <v>146</v>
      </c>
      <c r="AP248" s="11"/>
      <c r="AQ248" s="88" t="s">
        <v>1400</v>
      </c>
      <c r="AR248" s="57" t="s">
        <v>40</v>
      </c>
      <c r="AS248" s="46">
        <v>42104.560763888891</v>
      </c>
      <c r="AT248" s="3">
        <f t="shared" si="3"/>
        <v>216</v>
      </c>
    </row>
    <row r="249" spans="8:46" x14ac:dyDescent="0.4">
      <c r="H249" s="59">
        <v>42992.404930555553</v>
      </c>
      <c r="I249" s="43">
        <v>41691</v>
      </c>
      <c r="J249" s="42">
        <v>41760.539675925924</v>
      </c>
      <c r="K249" s="81" t="s">
        <v>49</v>
      </c>
      <c r="L249" t="s">
        <v>49</v>
      </c>
      <c r="M249" t="s">
        <v>336</v>
      </c>
      <c r="N249" s="1" t="s">
        <v>336</v>
      </c>
      <c r="O249" s="1" t="s">
        <v>245</v>
      </c>
      <c r="P249" t="s">
        <v>245</v>
      </c>
      <c r="Q249" s="9" t="s">
        <v>45</v>
      </c>
      <c r="R249" s="82" t="s">
        <v>45</v>
      </c>
      <c r="S249" s="44" t="s">
        <v>52</v>
      </c>
      <c r="T249" s="3" t="s">
        <v>136</v>
      </c>
      <c r="U249" s="2" t="s">
        <v>29</v>
      </c>
      <c r="V249" s="3" t="s">
        <v>29</v>
      </c>
      <c r="W249" s="11" t="s">
        <v>153</v>
      </c>
      <c r="X249" s="3" t="s">
        <v>153</v>
      </c>
      <c r="Y249" s="77" t="s">
        <v>48</v>
      </c>
      <c r="Z249" s="84" t="s">
        <v>1402</v>
      </c>
      <c r="AA249" s="89" t="s">
        <v>28</v>
      </c>
      <c r="AB249" s="90" t="str">
        <f>HYPERLINK(CONCATENATE("https://www.ejacket.nsf.gov/ej/showProposal.do?ID=",SUBSTITUTE(SplitQueryTableRecent[[#This Row],[prop_id]],CHAR(160),"")),"eJ")</f>
        <v>eJ</v>
      </c>
      <c r="AC249" s="89" t="s">
        <v>843</v>
      </c>
      <c r="AD249" s="3" t="s">
        <v>1402</v>
      </c>
      <c r="AE249" s="91">
        <v>2014</v>
      </c>
      <c r="AF249" s="13" t="s">
        <v>43</v>
      </c>
      <c r="AG249" s="13">
        <v>20250</v>
      </c>
      <c r="AH249" s="45">
        <v>14580</v>
      </c>
      <c r="AI249" s="44" t="s">
        <v>177</v>
      </c>
      <c r="AJ249" s="2" t="s">
        <v>284</v>
      </c>
      <c r="AK249" s="46" t="s">
        <v>1751</v>
      </c>
      <c r="AL249" s="55" t="s">
        <v>138</v>
      </c>
      <c r="AM249" s="45"/>
      <c r="AN249" s="56" t="s">
        <v>152</v>
      </c>
      <c r="AO249" s="23" t="s">
        <v>146</v>
      </c>
      <c r="AP249" s="11"/>
      <c r="AQ249" s="88" t="s">
        <v>844</v>
      </c>
      <c r="AR249" s="57" t="s">
        <v>167</v>
      </c>
      <c r="AS249" s="46">
        <v>41764.366006944445</v>
      </c>
      <c r="AT249" s="3">
        <f t="shared" si="3"/>
        <v>217</v>
      </c>
    </row>
    <row r="250" spans="8:46" x14ac:dyDescent="0.4">
      <c r="H250" s="59">
        <v>42992.404930555553</v>
      </c>
      <c r="I250" s="43">
        <v>42094</v>
      </c>
      <c r="J250" s="42">
        <v>42144.4925</v>
      </c>
      <c r="K250" s="81" t="s">
        <v>49</v>
      </c>
      <c r="L250" t="s">
        <v>49</v>
      </c>
      <c r="M250" t="s">
        <v>336</v>
      </c>
      <c r="N250" s="1" t="s">
        <v>336</v>
      </c>
      <c r="O250" s="1" t="s">
        <v>245</v>
      </c>
      <c r="P250" t="s">
        <v>245</v>
      </c>
      <c r="Q250" s="9" t="s">
        <v>45</v>
      </c>
      <c r="R250" s="82" t="s">
        <v>45</v>
      </c>
      <c r="S250" s="44" t="s">
        <v>52</v>
      </c>
      <c r="T250" s="3" t="s">
        <v>136</v>
      </c>
      <c r="U250" s="2" t="s">
        <v>29</v>
      </c>
      <c r="V250" s="3" t="s">
        <v>29</v>
      </c>
      <c r="W250" s="11" t="s">
        <v>153</v>
      </c>
      <c r="X250" s="3" t="s">
        <v>153</v>
      </c>
      <c r="Y250" s="77" t="s">
        <v>48</v>
      </c>
      <c r="Z250" s="84" t="s">
        <v>1403</v>
      </c>
      <c r="AA250" s="89" t="s">
        <v>28</v>
      </c>
      <c r="AB250" s="90" t="str">
        <f>HYPERLINK(CONCATENATE("https://www.ejacket.nsf.gov/ej/showProposal.do?ID=",SUBSTITUTE(SplitQueryTableRecent[[#This Row],[prop_id]],CHAR(160),"")),"eJ")</f>
        <v>eJ</v>
      </c>
      <c r="AC250" s="89" t="s">
        <v>843</v>
      </c>
      <c r="AD250" s="3" t="s">
        <v>1403</v>
      </c>
      <c r="AE250" s="91">
        <v>2015</v>
      </c>
      <c r="AF250" s="13" t="s">
        <v>43</v>
      </c>
      <c r="AG250" s="13">
        <v>16000</v>
      </c>
      <c r="AH250" s="45">
        <v>16000</v>
      </c>
      <c r="AI250" s="44" t="s">
        <v>177</v>
      </c>
      <c r="AJ250" s="2" t="s">
        <v>284</v>
      </c>
      <c r="AK250" s="46" t="s">
        <v>1751</v>
      </c>
      <c r="AL250" s="55" t="s">
        <v>138</v>
      </c>
      <c r="AM250" s="45" t="s">
        <v>138</v>
      </c>
      <c r="AN250" s="56" t="s">
        <v>152</v>
      </c>
      <c r="AO250" s="23" t="s">
        <v>146</v>
      </c>
      <c r="AP250" s="11"/>
      <c r="AQ250" s="88" t="s">
        <v>844</v>
      </c>
      <c r="AR250" s="57" t="s">
        <v>40</v>
      </c>
      <c r="AS250" s="46">
        <v>42150.756435185183</v>
      </c>
      <c r="AT250" s="3">
        <f t="shared" si="3"/>
        <v>218</v>
      </c>
    </row>
    <row r="251" spans="8:46" x14ac:dyDescent="0.4">
      <c r="H251" s="59">
        <v>42992.404930555553</v>
      </c>
      <c r="I251" s="43">
        <v>42662</v>
      </c>
      <c r="J251" s="42">
        <v>42741.651180555556</v>
      </c>
      <c r="K251" s="81" t="s">
        <v>49</v>
      </c>
      <c r="L251" t="s">
        <v>49</v>
      </c>
      <c r="M251" t="s">
        <v>336</v>
      </c>
      <c r="N251" s="1" t="s">
        <v>336</v>
      </c>
      <c r="O251" s="1" t="s">
        <v>230</v>
      </c>
      <c r="P251" t="s">
        <v>230</v>
      </c>
      <c r="Q251" s="9" t="s">
        <v>45</v>
      </c>
      <c r="R251" s="82" t="s">
        <v>45</v>
      </c>
      <c r="S251" s="44" t="s">
        <v>52</v>
      </c>
      <c r="T251" s="3" t="s">
        <v>136</v>
      </c>
      <c r="U251" s="2" t="s">
        <v>29</v>
      </c>
      <c r="V251" s="3" t="s">
        <v>29</v>
      </c>
      <c r="W251" s="11" t="s">
        <v>153</v>
      </c>
      <c r="X251" s="3" t="s">
        <v>153</v>
      </c>
      <c r="Y251" s="77" t="s">
        <v>48</v>
      </c>
      <c r="Z251" s="84" t="s">
        <v>1412</v>
      </c>
      <c r="AA251" s="89" t="s">
        <v>28</v>
      </c>
      <c r="AB251" s="90" t="str">
        <f>HYPERLINK(CONCATENATE("https://www.ejacket.nsf.gov/ej/showProposal.do?ID=",SUBSTITUTE(SplitQueryTableRecent[[#This Row],[prop_id]],CHAR(160),"")),"eJ")</f>
        <v>eJ</v>
      </c>
      <c r="AC251" s="89" t="s">
        <v>871</v>
      </c>
      <c r="AD251" s="3" t="s">
        <v>1412</v>
      </c>
      <c r="AE251" s="91">
        <v>2017</v>
      </c>
      <c r="AF251" s="13" t="s">
        <v>43</v>
      </c>
      <c r="AG251" s="13">
        <v>53120</v>
      </c>
      <c r="AH251" s="45">
        <v>53120</v>
      </c>
      <c r="AI251" s="44" t="s">
        <v>873</v>
      </c>
      <c r="AJ251" s="2" t="s">
        <v>298</v>
      </c>
      <c r="AK251" s="46" t="s">
        <v>1727</v>
      </c>
      <c r="AL251" s="55" t="s">
        <v>1414</v>
      </c>
      <c r="AM251" s="45" t="s">
        <v>1414</v>
      </c>
      <c r="AN251" s="56" t="s">
        <v>152</v>
      </c>
      <c r="AO251" s="23" t="s">
        <v>146</v>
      </c>
      <c r="AP251" s="11"/>
      <c r="AQ251" s="88" t="s">
        <v>1413</v>
      </c>
      <c r="AR251" s="57" t="s">
        <v>188</v>
      </c>
      <c r="AS251" s="46">
        <v>42760.638668981483</v>
      </c>
      <c r="AT251" s="3">
        <f t="shared" si="3"/>
        <v>219</v>
      </c>
    </row>
    <row r="252" spans="8:46" x14ac:dyDescent="0.4">
      <c r="H252" s="59">
        <v>42992.404930555553</v>
      </c>
      <c r="I252" s="43">
        <v>42152</v>
      </c>
      <c r="J252" s="42">
        <v>42198.386342592596</v>
      </c>
      <c r="K252" s="81" t="s">
        <v>49</v>
      </c>
      <c r="L252" t="s">
        <v>49</v>
      </c>
      <c r="M252" t="s">
        <v>336</v>
      </c>
      <c r="N252" s="1" t="s">
        <v>336</v>
      </c>
      <c r="O252" s="1" t="s">
        <v>245</v>
      </c>
      <c r="P252" t="s">
        <v>245</v>
      </c>
      <c r="Q252" s="9" t="s">
        <v>45</v>
      </c>
      <c r="R252" s="82" t="s">
        <v>45</v>
      </c>
      <c r="S252" s="44" t="s">
        <v>52</v>
      </c>
      <c r="T252" s="3" t="s">
        <v>136</v>
      </c>
      <c r="U252" s="2" t="s">
        <v>29</v>
      </c>
      <c r="V252" s="3" t="s">
        <v>29</v>
      </c>
      <c r="W252" s="11" t="s">
        <v>153</v>
      </c>
      <c r="X252" s="3" t="s">
        <v>153</v>
      </c>
      <c r="Y252" s="77" t="s">
        <v>48</v>
      </c>
      <c r="Z252" s="84" t="s">
        <v>1415</v>
      </c>
      <c r="AA252" s="89" t="s">
        <v>28</v>
      </c>
      <c r="AB252" s="90" t="str">
        <f>HYPERLINK(CONCATENATE("https://www.ejacket.nsf.gov/ej/showProposal.do?ID=",SUBSTITUTE(SplitQueryTableRecent[[#This Row],[prop_id]],CHAR(160),"")),"eJ")</f>
        <v>eJ</v>
      </c>
      <c r="AC252" s="89" t="s">
        <v>890</v>
      </c>
      <c r="AD252" s="3" t="s">
        <v>1415</v>
      </c>
      <c r="AE252" s="91">
        <v>2015</v>
      </c>
      <c r="AF252" s="13" t="s">
        <v>43</v>
      </c>
      <c r="AG252" s="13">
        <v>11250</v>
      </c>
      <c r="AH252" s="45">
        <v>22500</v>
      </c>
      <c r="AI252" s="44" t="s">
        <v>892</v>
      </c>
      <c r="AJ252" s="2" t="s">
        <v>893</v>
      </c>
      <c r="AK252" s="46" t="s">
        <v>521</v>
      </c>
      <c r="AL252" s="55"/>
      <c r="AM252" s="45"/>
      <c r="AN252" s="56" t="s">
        <v>152</v>
      </c>
      <c r="AO252" s="23" t="s">
        <v>146</v>
      </c>
      <c r="AP252" s="11"/>
      <c r="AQ252" s="88" t="s">
        <v>891</v>
      </c>
      <c r="AR252" s="57" t="s">
        <v>164</v>
      </c>
      <c r="AS252" s="46">
        <v>42206.518935185188</v>
      </c>
      <c r="AT252" s="3">
        <f t="shared" si="3"/>
        <v>220</v>
      </c>
    </row>
    <row r="253" spans="8:46" x14ac:dyDescent="0.4">
      <c r="H253" s="59">
        <v>42992.404930555553</v>
      </c>
      <c r="I253" s="43">
        <v>42509</v>
      </c>
      <c r="J253" s="42">
        <v>42529.58761574074</v>
      </c>
      <c r="K253" s="81" t="s">
        <v>49</v>
      </c>
      <c r="L253" t="s">
        <v>49</v>
      </c>
      <c r="M253" t="s">
        <v>336</v>
      </c>
      <c r="N253" s="1" t="s">
        <v>336</v>
      </c>
      <c r="O253" s="1" t="s">
        <v>230</v>
      </c>
      <c r="P253" t="s">
        <v>230</v>
      </c>
      <c r="Q253" s="9" t="s">
        <v>45</v>
      </c>
      <c r="R253" s="82" t="s">
        <v>45</v>
      </c>
      <c r="S253" s="44" t="s">
        <v>186</v>
      </c>
      <c r="T253" s="3" t="s">
        <v>136</v>
      </c>
      <c r="U253" s="2" t="s">
        <v>29</v>
      </c>
      <c r="V253" s="3" t="s">
        <v>29</v>
      </c>
      <c r="W253" s="11" t="s">
        <v>153</v>
      </c>
      <c r="X253" s="3" t="s">
        <v>153</v>
      </c>
      <c r="Y253" s="77" t="s">
        <v>48</v>
      </c>
      <c r="Z253" s="84" t="s">
        <v>1416</v>
      </c>
      <c r="AA253" s="89" t="s">
        <v>28</v>
      </c>
      <c r="AB253" s="90" t="str">
        <f>HYPERLINK(CONCATENATE("https://www.ejacket.nsf.gov/ej/showProposal.do?ID=",SUBSTITUTE(SplitQueryTableRecent[[#This Row],[prop_id]],CHAR(160),"")),"eJ")</f>
        <v>eJ</v>
      </c>
      <c r="AC253" s="89" t="s">
        <v>934</v>
      </c>
      <c r="AD253" s="3" t="s">
        <v>1416</v>
      </c>
      <c r="AE253" s="91">
        <v>2016</v>
      </c>
      <c r="AF253" s="13" t="s">
        <v>43</v>
      </c>
      <c r="AG253" s="13">
        <v>20000</v>
      </c>
      <c r="AH253" s="45">
        <v>20000</v>
      </c>
      <c r="AI253" s="44" t="s">
        <v>935</v>
      </c>
      <c r="AJ253" s="2" t="s">
        <v>503</v>
      </c>
      <c r="AK253" s="46" t="s">
        <v>1753</v>
      </c>
      <c r="AL253" s="55" t="s">
        <v>854</v>
      </c>
      <c r="AM253" s="45" t="s">
        <v>854</v>
      </c>
      <c r="AN253" s="56" t="s">
        <v>152</v>
      </c>
      <c r="AO253" s="23" t="s">
        <v>146</v>
      </c>
      <c r="AP253" s="11"/>
      <c r="AQ253" s="88" t="s">
        <v>1417</v>
      </c>
      <c r="AR253" s="57" t="s">
        <v>188</v>
      </c>
      <c r="AS253" s="46">
        <v>42530.748576388891</v>
      </c>
      <c r="AT253" s="3">
        <f t="shared" si="3"/>
        <v>221</v>
      </c>
    </row>
    <row r="254" spans="8:46" x14ac:dyDescent="0.4">
      <c r="H254" s="59">
        <v>42992.404930555553</v>
      </c>
      <c r="I254" s="43">
        <v>42069</v>
      </c>
      <c r="J254" s="42">
        <v>42082.662106481483</v>
      </c>
      <c r="K254" s="81" t="s">
        <v>49</v>
      </c>
      <c r="L254" t="s">
        <v>49</v>
      </c>
      <c r="M254" t="s">
        <v>336</v>
      </c>
      <c r="N254" s="1" t="s">
        <v>336</v>
      </c>
      <c r="O254" s="1" t="s">
        <v>245</v>
      </c>
      <c r="P254" t="s">
        <v>245</v>
      </c>
      <c r="Q254" s="9" t="s">
        <v>45</v>
      </c>
      <c r="R254" s="82" t="s">
        <v>45</v>
      </c>
      <c r="S254" s="44" t="s">
        <v>52</v>
      </c>
      <c r="T254" s="3" t="s">
        <v>136</v>
      </c>
      <c r="U254" s="2" t="s">
        <v>29</v>
      </c>
      <c r="V254" s="3" t="s">
        <v>29</v>
      </c>
      <c r="W254" s="11" t="s">
        <v>153</v>
      </c>
      <c r="X254" s="3" t="s">
        <v>153</v>
      </c>
      <c r="Y254" s="77" t="s">
        <v>48</v>
      </c>
      <c r="Z254" s="84" t="s">
        <v>1419</v>
      </c>
      <c r="AA254" s="89" t="s">
        <v>28</v>
      </c>
      <c r="AB254" s="90" t="str">
        <f>HYPERLINK(CONCATENATE("https://www.ejacket.nsf.gov/ej/showProposal.do?ID=",SUBSTITUTE(SplitQueryTableRecent[[#This Row],[prop_id]],CHAR(160),"")),"eJ")</f>
        <v>eJ</v>
      </c>
      <c r="AC254" s="89" t="s">
        <v>953</v>
      </c>
      <c r="AD254" s="3" t="s">
        <v>1419</v>
      </c>
      <c r="AE254" s="91">
        <v>2015</v>
      </c>
      <c r="AF254" s="13" t="s">
        <v>43</v>
      </c>
      <c r="AG254" s="13">
        <v>16000</v>
      </c>
      <c r="AH254" s="45">
        <v>16000</v>
      </c>
      <c r="AI254" s="44" t="s">
        <v>385</v>
      </c>
      <c r="AJ254" s="2" t="s">
        <v>386</v>
      </c>
      <c r="AK254" s="46" t="s">
        <v>1726</v>
      </c>
      <c r="AL254" s="55" t="s">
        <v>854</v>
      </c>
      <c r="AM254" s="45" t="s">
        <v>854</v>
      </c>
      <c r="AN254" s="56" t="s">
        <v>152</v>
      </c>
      <c r="AO254" s="23" t="s">
        <v>146</v>
      </c>
      <c r="AP254" s="11"/>
      <c r="AQ254" s="88" t="s">
        <v>954</v>
      </c>
      <c r="AR254" s="57" t="s">
        <v>200</v>
      </c>
      <c r="AS254" s="46">
        <v>42083.594930555555</v>
      </c>
      <c r="AT254" s="3">
        <f t="shared" si="3"/>
        <v>222</v>
      </c>
    </row>
    <row r="255" spans="8:46" x14ac:dyDescent="0.4">
      <c r="H255" s="59">
        <v>42992.404930555553</v>
      </c>
      <c r="I255" s="43">
        <v>42048</v>
      </c>
      <c r="J255" s="42">
        <v>42094.397719907407</v>
      </c>
      <c r="K255" s="81" t="s">
        <v>49</v>
      </c>
      <c r="L255" t="s">
        <v>49</v>
      </c>
      <c r="M255" t="s">
        <v>581</v>
      </c>
      <c r="N255" s="1" t="s">
        <v>336</v>
      </c>
      <c r="O255" s="1" t="s">
        <v>1083</v>
      </c>
      <c r="P255" t="s">
        <v>245</v>
      </c>
      <c r="Q255" s="9" t="s">
        <v>45</v>
      </c>
      <c r="R255" s="82" t="s">
        <v>45</v>
      </c>
      <c r="S255" s="44" t="s">
        <v>52</v>
      </c>
      <c r="T255" s="3" t="s">
        <v>136</v>
      </c>
      <c r="U255" s="2" t="s">
        <v>29</v>
      </c>
      <c r="V255" s="3" t="s">
        <v>29</v>
      </c>
      <c r="W255" s="11" t="s">
        <v>153</v>
      </c>
      <c r="X255" s="3" t="s">
        <v>153</v>
      </c>
      <c r="Y255" s="77" t="s">
        <v>48</v>
      </c>
      <c r="Z255" s="84" t="s">
        <v>1429</v>
      </c>
      <c r="AA255" s="89" t="s">
        <v>28</v>
      </c>
      <c r="AB255" s="90" t="str">
        <f>HYPERLINK(CONCATENATE("https://www.ejacket.nsf.gov/ej/showProposal.do?ID=",SUBSTITUTE(SplitQueryTableRecent[[#This Row],[prop_id]],CHAR(160),"")),"eJ")</f>
        <v>eJ</v>
      </c>
      <c r="AC255" s="89" t="s">
        <v>1084</v>
      </c>
      <c r="AD255" s="3" t="s">
        <v>1429</v>
      </c>
      <c r="AE255" s="91">
        <v>2015</v>
      </c>
      <c r="AF255" s="13" t="s">
        <v>43</v>
      </c>
      <c r="AG255" s="13">
        <v>16000</v>
      </c>
      <c r="AH255" s="45">
        <v>0</v>
      </c>
      <c r="AI255" s="44" t="s">
        <v>1086</v>
      </c>
      <c r="AJ255" s="2" t="s">
        <v>963</v>
      </c>
      <c r="AK255" s="46" t="s">
        <v>1712</v>
      </c>
      <c r="AL255" s="55" t="s">
        <v>1430</v>
      </c>
      <c r="AM255" s="45" t="s">
        <v>1430</v>
      </c>
      <c r="AN255" s="56" t="s">
        <v>152</v>
      </c>
      <c r="AO255" s="23" t="s">
        <v>146</v>
      </c>
      <c r="AP255" s="11"/>
      <c r="AQ255" s="88" t="s">
        <v>1085</v>
      </c>
      <c r="AR255" s="57" t="s">
        <v>200</v>
      </c>
      <c r="AS255" s="46">
        <v>42102.301678240743</v>
      </c>
      <c r="AT255" s="3">
        <f t="shared" si="3"/>
        <v>223</v>
      </c>
    </row>
    <row r="256" spans="8:46" x14ac:dyDescent="0.4">
      <c r="H256" s="59">
        <v>42992.404930555553</v>
      </c>
      <c r="I256" s="43">
        <v>41738</v>
      </c>
      <c r="J256" s="42">
        <v>41760.543368055558</v>
      </c>
      <c r="K256" s="81" t="s">
        <v>49</v>
      </c>
      <c r="L256" t="s">
        <v>49</v>
      </c>
      <c r="M256" t="s">
        <v>336</v>
      </c>
      <c r="N256" s="1" t="s">
        <v>336</v>
      </c>
      <c r="O256" s="1" t="s">
        <v>337</v>
      </c>
      <c r="P256" t="s">
        <v>337</v>
      </c>
      <c r="Q256" s="9" t="s">
        <v>45</v>
      </c>
      <c r="R256" s="82" t="s">
        <v>45</v>
      </c>
      <c r="S256" s="44" t="s">
        <v>52</v>
      </c>
      <c r="T256" s="3" t="s">
        <v>136</v>
      </c>
      <c r="U256" s="2" t="s">
        <v>29</v>
      </c>
      <c r="V256" s="3" t="s">
        <v>29</v>
      </c>
      <c r="W256" s="11" t="s">
        <v>153</v>
      </c>
      <c r="X256" s="3" t="s">
        <v>153</v>
      </c>
      <c r="Y256" s="77" t="s">
        <v>48</v>
      </c>
      <c r="Z256" s="84" t="s">
        <v>1434</v>
      </c>
      <c r="AA256" s="89" t="s">
        <v>28</v>
      </c>
      <c r="AB256" s="90" t="str">
        <f>HYPERLINK(CONCATENATE("https://www.ejacket.nsf.gov/ej/showProposal.do?ID=",SUBSTITUTE(SplitQueryTableRecent[[#This Row],[prop_id]],CHAR(160),"")),"eJ")</f>
        <v>eJ</v>
      </c>
      <c r="AC256" s="89" t="s">
        <v>1209</v>
      </c>
      <c r="AD256" s="3" t="s">
        <v>1434</v>
      </c>
      <c r="AE256" s="91">
        <v>2014</v>
      </c>
      <c r="AF256" s="13" t="s">
        <v>43</v>
      </c>
      <c r="AG256" s="13">
        <v>10400</v>
      </c>
      <c r="AH256" s="45">
        <v>10400</v>
      </c>
      <c r="AI256" s="44" t="s">
        <v>460</v>
      </c>
      <c r="AJ256" s="2" t="s">
        <v>461</v>
      </c>
      <c r="AK256" s="46" t="s">
        <v>457</v>
      </c>
      <c r="AL256" s="55" t="s">
        <v>138</v>
      </c>
      <c r="AM256" s="45" t="s">
        <v>138</v>
      </c>
      <c r="AN256" s="56" t="s">
        <v>152</v>
      </c>
      <c r="AO256" s="23" t="s">
        <v>146</v>
      </c>
      <c r="AP256" s="11"/>
      <c r="AQ256" s="88" t="s">
        <v>1210</v>
      </c>
      <c r="AR256" s="57" t="s">
        <v>167</v>
      </c>
      <c r="AS256" s="46">
        <v>41764.371666666666</v>
      </c>
      <c r="AT256" s="3">
        <f t="shared" si="3"/>
        <v>224</v>
      </c>
    </row>
    <row r="257" spans="8:46" x14ac:dyDescent="0.4">
      <c r="H257" s="59">
        <v>42992.404930555553</v>
      </c>
      <c r="I257" s="43">
        <v>41848</v>
      </c>
      <c r="J257" s="42">
        <v>41850.424120370371</v>
      </c>
      <c r="K257" s="81" t="s">
        <v>49</v>
      </c>
      <c r="L257" t="s">
        <v>49</v>
      </c>
      <c r="M257" t="s">
        <v>336</v>
      </c>
      <c r="N257" s="1" t="s">
        <v>336</v>
      </c>
      <c r="O257" s="1" t="s">
        <v>337</v>
      </c>
      <c r="P257" t="s">
        <v>337</v>
      </c>
      <c r="Q257" s="9" t="s">
        <v>45</v>
      </c>
      <c r="R257" s="82" t="s">
        <v>45</v>
      </c>
      <c r="S257" s="44" t="s">
        <v>52</v>
      </c>
      <c r="T257" s="3" t="s">
        <v>136</v>
      </c>
      <c r="U257" s="2" t="s">
        <v>29</v>
      </c>
      <c r="V257" s="3" t="s">
        <v>29</v>
      </c>
      <c r="W257" s="11" t="s">
        <v>153</v>
      </c>
      <c r="X257" s="3" t="s">
        <v>153</v>
      </c>
      <c r="Y257" s="77" t="s">
        <v>48</v>
      </c>
      <c r="Z257" s="84" t="s">
        <v>1435</v>
      </c>
      <c r="AA257" s="89" t="s">
        <v>28</v>
      </c>
      <c r="AB257" s="90" t="str">
        <f>HYPERLINK(CONCATENATE("https://www.ejacket.nsf.gov/ej/showProposal.do?ID=",SUBSTITUTE(SplitQueryTableRecent[[#This Row],[prop_id]],CHAR(160),"")),"eJ")</f>
        <v>eJ</v>
      </c>
      <c r="AC257" s="89" t="s">
        <v>1209</v>
      </c>
      <c r="AD257" s="3" t="s">
        <v>1435</v>
      </c>
      <c r="AE257" s="91">
        <v>2014</v>
      </c>
      <c r="AF257" s="13" t="s">
        <v>43</v>
      </c>
      <c r="AG257" s="13">
        <v>15500</v>
      </c>
      <c r="AH257" s="45">
        <v>0</v>
      </c>
      <c r="AI257" s="44" t="s">
        <v>460</v>
      </c>
      <c r="AJ257" s="2" t="s">
        <v>461</v>
      </c>
      <c r="AK257" s="46" t="s">
        <v>457</v>
      </c>
      <c r="AL257" s="55" t="s">
        <v>138</v>
      </c>
      <c r="AM257" s="45" t="s">
        <v>138</v>
      </c>
      <c r="AN257" s="56" t="s">
        <v>152</v>
      </c>
      <c r="AO257" s="23" t="s">
        <v>146</v>
      </c>
      <c r="AP257" s="11"/>
      <c r="AQ257" s="88" t="s">
        <v>1210</v>
      </c>
      <c r="AR257" s="57" t="s">
        <v>167</v>
      </c>
      <c r="AS257" s="46">
        <v>41851.425173611111</v>
      </c>
      <c r="AT257" s="3">
        <f t="shared" si="3"/>
        <v>225</v>
      </c>
    </row>
    <row r="258" spans="8:46" x14ac:dyDescent="0.4">
      <c r="H258" s="59">
        <v>42992.404930555553</v>
      </c>
      <c r="I258" s="43">
        <v>42404</v>
      </c>
      <c r="J258" s="42">
        <v>42472.44394675926</v>
      </c>
      <c r="K258" s="81" t="s">
        <v>49</v>
      </c>
      <c r="L258" t="s">
        <v>49</v>
      </c>
      <c r="M258" t="s">
        <v>336</v>
      </c>
      <c r="N258" s="1" t="s">
        <v>336</v>
      </c>
      <c r="O258" s="1" t="s">
        <v>337</v>
      </c>
      <c r="P258" t="s">
        <v>337</v>
      </c>
      <c r="Q258" s="9" t="s">
        <v>45</v>
      </c>
      <c r="R258" s="82" t="s">
        <v>45</v>
      </c>
      <c r="S258" s="44" t="s">
        <v>1436</v>
      </c>
      <c r="T258" s="3" t="s">
        <v>136</v>
      </c>
      <c r="U258" s="2" t="s">
        <v>29</v>
      </c>
      <c r="V258" s="3" t="s">
        <v>29</v>
      </c>
      <c r="W258" s="11" t="s">
        <v>153</v>
      </c>
      <c r="X258" s="3" t="s">
        <v>153</v>
      </c>
      <c r="Y258" s="77" t="s">
        <v>48</v>
      </c>
      <c r="Z258" s="84" t="s">
        <v>1437</v>
      </c>
      <c r="AA258" s="89" t="s">
        <v>28</v>
      </c>
      <c r="AB258" s="90" t="str">
        <f>HYPERLINK(CONCATENATE("https://www.ejacket.nsf.gov/ej/showProposal.do?ID=",SUBSTITUTE(SplitQueryTableRecent[[#This Row],[prop_id]],CHAR(160),"")),"eJ")</f>
        <v>eJ</v>
      </c>
      <c r="AC258" s="89" t="s">
        <v>1216</v>
      </c>
      <c r="AD258" s="3" t="s">
        <v>1437</v>
      </c>
      <c r="AE258" s="91">
        <v>2016</v>
      </c>
      <c r="AF258" s="13" t="s">
        <v>43</v>
      </c>
      <c r="AG258" s="13">
        <v>8000</v>
      </c>
      <c r="AH258" s="45">
        <v>8000</v>
      </c>
      <c r="AI258" s="44" t="s">
        <v>1219</v>
      </c>
      <c r="AJ258" s="2" t="s">
        <v>661</v>
      </c>
      <c r="AK258" s="46" t="s">
        <v>306</v>
      </c>
      <c r="AL258" s="55" t="s">
        <v>1031</v>
      </c>
      <c r="AM258" s="45" t="s">
        <v>1031</v>
      </c>
      <c r="AN258" s="56" t="s">
        <v>152</v>
      </c>
      <c r="AO258" s="23" t="s">
        <v>146</v>
      </c>
      <c r="AP258" s="11"/>
      <c r="AQ258" s="88" t="s">
        <v>1217</v>
      </c>
      <c r="AR258" s="57" t="s">
        <v>193</v>
      </c>
      <c r="AS258" s="46">
        <v>42492.553113425929</v>
      </c>
      <c r="AT258" s="3">
        <f t="shared" si="3"/>
        <v>226</v>
      </c>
    </row>
    <row r="259" spans="8:46" x14ac:dyDescent="0.4">
      <c r="H259" s="59">
        <v>42992.404930555553</v>
      </c>
      <c r="I259" s="43">
        <v>42851</v>
      </c>
      <c r="J259" s="42">
        <v>42855.453645833331</v>
      </c>
      <c r="K259" s="81" t="s">
        <v>49</v>
      </c>
      <c r="L259" t="s">
        <v>49</v>
      </c>
      <c r="M259" t="s">
        <v>336</v>
      </c>
      <c r="N259" s="1" t="s">
        <v>336</v>
      </c>
      <c r="O259" s="1" t="s">
        <v>230</v>
      </c>
      <c r="P259" t="s">
        <v>230</v>
      </c>
      <c r="Q259" s="9" t="s">
        <v>45</v>
      </c>
      <c r="R259" s="82" t="s">
        <v>45</v>
      </c>
      <c r="S259" s="44" t="s">
        <v>60</v>
      </c>
      <c r="T259" s="3" t="s">
        <v>136</v>
      </c>
      <c r="U259" s="2" t="s">
        <v>29</v>
      </c>
      <c r="V259" s="3" t="s">
        <v>29</v>
      </c>
      <c r="W259" s="11" t="s">
        <v>153</v>
      </c>
      <c r="X259" s="3" t="s">
        <v>153</v>
      </c>
      <c r="Y259" s="77" t="s">
        <v>48</v>
      </c>
      <c r="Z259" s="84" t="s">
        <v>1438</v>
      </c>
      <c r="AA259" s="89" t="s">
        <v>28</v>
      </c>
      <c r="AB259" s="90" t="str">
        <f>HYPERLINK(CONCATENATE("https://www.ejacket.nsf.gov/ej/showProposal.do?ID=",SUBSTITUTE(SplitQueryTableRecent[[#This Row],[prop_id]],CHAR(160),"")),"eJ")</f>
        <v>eJ</v>
      </c>
      <c r="AC259" s="89" t="s">
        <v>1222</v>
      </c>
      <c r="AD259" s="3" t="s">
        <v>1438</v>
      </c>
      <c r="AE259" s="91">
        <v>2017</v>
      </c>
      <c r="AF259" s="13" t="s">
        <v>43</v>
      </c>
      <c r="AG259" s="13">
        <v>11500</v>
      </c>
      <c r="AH259" s="45">
        <v>11500</v>
      </c>
      <c r="AI259" s="44" t="s">
        <v>1220</v>
      </c>
      <c r="AJ259" s="2" t="s">
        <v>1221</v>
      </c>
      <c r="AK259" s="46" t="s">
        <v>1735</v>
      </c>
      <c r="AL259" s="55" t="s">
        <v>854</v>
      </c>
      <c r="AM259" s="45" t="s">
        <v>854</v>
      </c>
      <c r="AN259" s="56" t="s">
        <v>152</v>
      </c>
      <c r="AO259" s="23" t="s">
        <v>146</v>
      </c>
      <c r="AP259" s="11"/>
      <c r="AQ259" s="88" t="s">
        <v>1223</v>
      </c>
      <c r="AR259" s="57" t="s">
        <v>40</v>
      </c>
      <c r="AS259" s="46">
        <v>42862.789780092593</v>
      </c>
      <c r="AT259" s="3">
        <f t="shared" si="3"/>
        <v>227</v>
      </c>
    </row>
    <row r="260" spans="8:46" x14ac:dyDescent="0.4">
      <c r="H260" s="59">
        <v>42992.404930555553</v>
      </c>
      <c r="I260" s="43">
        <v>42774</v>
      </c>
      <c r="J260" s="42">
        <v>42853.627430555556</v>
      </c>
      <c r="K260" s="81" t="s">
        <v>137</v>
      </c>
      <c r="L260" t="s">
        <v>49</v>
      </c>
      <c r="M260" t="s">
        <v>556</v>
      </c>
      <c r="N260" s="1" t="s">
        <v>336</v>
      </c>
      <c r="O260" s="1" t="s">
        <v>230</v>
      </c>
      <c r="P260" t="s">
        <v>230</v>
      </c>
      <c r="Q260" s="9" t="s">
        <v>45</v>
      </c>
      <c r="R260" s="82" t="s">
        <v>45</v>
      </c>
      <c r="S260" s="44" t="s">
        <v>1396</v>
      </c>
      <c r="T260" s="3" t="s">
        <v>136</v>
      </c>
      <c r="U260" s="2" t="s">
        <v>29</v>
      </c>
      <c r="V260" s="3" t="s">
        <v>29</v>
      </c>
      <c r="W260" s="11" t="s">
        <v>153</v>
      </c>
      <c r="X260" s="3" t="s">
        <v>153</v>
      </c>
      <c r="Y260" s="77" t="s">
        <v>334</v>
      </c>
      <c r="Z260" s="84" t="s">
        <v>1439</v>
      </c>
      <c r="AA260" s="89" t="s">
        <v>28</v>
      </c>
      <c r="AB260" s="90" t="str">
        <f>HYPERLINK(CONCATENATE("https://www.ejacket.nsf.gov/ej/showProposal.do?ID=",SUBSTITUTE(SplitQueryTableRecent[[#This Row],[prop_id]],CHAR(160),"")),"eJ")</f>
        <v>eJ</v>
      </c>
      <c r="AC260" s="89" t="s">
        <v>1233</v>
      </c>
      <c r="AD260" s="3" t="s">
        <v>1439</v>
      </c>
      <c r="AE260" s="91">
        <v>2017</v>
      </c>
      <c r="AF260" s="13" t="s">
        <v>43</v>
      </c>
      <c r="AG260" s="13">
        <v>16000</v>
      </c>
      <c r="AH260" s="45">
        <v>16000</v>
      </c>
      <c r="AI260" s="44" t="s">
        <v>1235</v>
      </c>
      <c r="AJ260" s="2" t="s">
        <v>1236</v>
      </c>
      <c r="AK260" s="46" t="s">
        <v>293</v>
      </c>
      <c r="AL260" s="55" t="s">
        <v>138</v>
      </c>
      <c r="AM260" s="45" t="s">
        <v>138</v>
      </c>
      <c r="AN260" s="56" t="s">
        <v>152</v>
      </c>
      <c r="AO260" s="23" t="s">
        <v>146</v>
      </c>
      <c r="AP260" s="11"/>
      <c r="AQ260" s="88" t="s">
        <v>1234</v>
      </c>
      <c r="AR260" s="57" t="s">
        <v>40</v>
      </c>
      <c r="AS260" s="46">
        <v>42860.556909722225</v>
      </c>
      <c r="AT260" s="3">
        <f t="shared" si="3"/>
        <v>228</v>
      </c>
    </row>
    <row r="261" spans="8:46" x14ac:dyDescent="0.4">
      <c r="H261" s="59">
        <v>42992.404930555553</v>
      </c>
      <c r="I261" s="43">
        <v>41768</v>
      </c>
      <c r="J261" s="42">
        <v>41789.454814814817</v>
      </c>
      <c r="K261" s="81" t="s">
        <v>49</v>
      </c>
      <c r="L261" t="s">
        <v>49</v>
      </c>
      <c r="M261" t="s">
        <v>336</v>
      </c>
      <c r="N261" s="1" t="s">
        <v>336</v>
      </c>
      <c r="O261" s="1" t="s">
        <v>245</v>
      </c>
      <c r="P261" t="s">
        <v>245</v>
      </c>
      <c r="Q261" s="9" t="s">
        <v>45</v>
      </c>
      <c r="R261" s="82" t="s">
        <v>45</v>
      </c>
      <c r="S261" s="44" t="s">
        <v>52</v>
      </c>
      <c r="T261" s="3" t="s">
        <v>136</v>
      </c>
      <c r="U261" s="2" t="s">
        <v>29</v>
      </c>
      <c r="V261" s="3" t="s">
        <v>29</v>
      </c>
      <c r="W261" s="11" t="s">
        <v>153</v>
      </c>
      <c r="X261" s="3" t="s">
        <v>153</v>
      </c>
      <c r="Y261" s="77" t="s">
        <v>48</v>
      </c>
      <c r="Z261" s="84" t="s">
        <v>1441</v>
      </c>
      <c r="AA261" s="89" t="s">
        <v>28</v>
      </c>
      <c r="AB261" s="90" t="str">
        <f>HYPERLINK(CONCATENATE("https://www.ejacket.nsf.gov/ej/showProposal.do?ID=",SUBSTITUTE(SplitQueryTableRecent[[#This Row],[prop_id]],CHAR(160),"")),"eJ")</f>
        <v>eJ</v>
      </c>
      <c r="AC261" s="89" t="s">
        <v>1442</v>
      </c>
      <c r="AD261" s="3" t="s">
        <v>1441</v>
      </c>
      <c r="AE261" s="91">
        <v>2014</v>
      </c>
      <c r="AF261" s="13" t="s">
        <v>43</v>
      </c>
      <c r="AG261" s="13">
        <v>6500</v>
      </c>
      <c r="AH261" s="45">
        <v>6500</v>
      </c>
      <c r="AI261" s="44" t="s">
        <v>1444</v>
      </c>
      <c r="AJ261" s="2" t="s">
        <v>277</v>
      </c>
      <c r="AK261" s="46" t="s">
        <v>1714</v>
      </c>
      <c r="AL261" s="55" t="s">
        <v>138</v>
      </c>
      <c r="AM261" s="45" t="s">
        <v>1393</v>
      </c>
      <c r="AN261" s="56" t="s">
        <v>152</v>
      </c>
      <c r="AO261" s="23" t="s">
        <v>146</v>
      </c>
      <c r="AP261" s="11"/>
      <c r="AQ261" s="88" t="s">
        <v>1443</v>
      </c>
      <c r="AR261" s="57" t="s">
        <v>167</v>
      </c>
      <c r="AS261" s="46">
        <v>41795.453101851854</v>
      </c>
      <c r="AT261" s="3">
        <f t="shared" si="3"/>
        <v>229</v>
      </c>
    </row>
    <row r="262" spans="8:46" x14ac:dyDescent="0.4">
      <c r="H262" s="59">
        <v>42992.404930555553</v>
      </c>
      <c r="I262" s="43">
        <v>42039</v>
      </c>
      <c r="J262" s="42">
        <v>42044.640034722222</v>
      </c>
      <c r="K262" s="81" t="s">
        <v>49</v>
      </c>
      <c r="L262" t="s">
        <v>49</v>
      </c>
      <c r="M262" t="s">
        <v>336</v>
      </c>
      <c r="N262" s="1" t="s">
        <v>336</v>
      </c>
      <c r="O262" s="1" t="s">
        <v>245</v>
      </c>
      <c r="P262" t="s">
        <v>245</v>
      </c>
      <c r="Q262" s="9" t="s">
        <v>45</v>
      </c>
      <c r="R262" s="82" t="s">
        <v>45</v>
      </c>
      <c r="S262" s="44" t="s">
        <v>52</v>
      </c>
      <c r="T262" s="3" t="s">
        <v>136</v>
      </c>
      <c r="U262" s="2" t="s">
        <v>29</v>
      </c>
      <c r="V262" s="3" t="s">
        <v>29</v>
      </c>
      <c r="W262" s="11" t="s">
        <v>153</v>
      </c>
      <c r="X262" s="3" t="s">
        <v>153</v>
      </c>
      <c r="Y262" s="77" t="s">
        <v>48</v>
      </c>
      <c r="Z262" s="84" t="s">
        <v>1445</v>
      </c>
      <c r="AA262" s="89" t="s">
        <v>28</v>
      </c>
      <c r="AB262" s="90" t="str">
        <f>HYPERLINK(CONCATENATE("https://www.ejacket.nsf.gov/ej/showProposal.do?ID=",SUBSTITUTE(SplitQueryTableRecent[[#This Row],[prop_id]],CHAR(160),"")),"eJ")</f>
        <v>eJ</v>
      </c>
      <c r="AC262" s="89" t="s">
        <v>1277</v>
      </c>
      <c r="AD262" s="3" t="s">
        <v>1445</v>
      </c>
      <c r="AE262" s="91">
        <v>2015</v>
      </c>
      <c r="AF262" s="13" t="s">
        <v>43</v>
      </c>
      <c r="AG262" s="13">
        <v>7975</v>
      </c>
      <c r="AH262" s="45">
        <v>7975</v>
      </c>
      <c r="AI262" s="44" t="s">
        <v>1275</v>
      </c>
      <c r="AJ262" s="2" t="s">
        <v>1276</v>
      </c>
      <c r="AK262" s="46" t="s">
        <v>1711</v>
      </c>
      <c r="AL262" s="55" t="s">
        <v>854</v>
      </c>
      <c r="AM262" s="45" t="s">
        <v>854</v>
      </c>
      <c r="AN262" s="56" t="s">
        <v>152</v>
      </c>
      <c r="AO262" s="23" t="s">
        <v>146</v>
      </c>
      <c r="AP262" s="11"/>
      <c r="AQ262" s="88" t="s">
        <v>1255</v>
      </c>
      <c r="AR262" s="57" t="s">
        <v>200</v>
      </c>
      <c r="AS262" s="46">
        <v>42053.383055555554</v>
      </c>
      <c r="AT262" s="3">
        <f t="shared" si="3"/>
        <v>230</v>
      </c>
    </row>
    <row r="263" spans="8:46" x14ac:dyDescent="0.4">
      <c r="H263" s="59">
        <v>42992.404930555553</v>
      </c>
      <c r="I263" s="43">
        <v>42496</v>
      </c>
      <c r="J263" s="42">
        <v>42529.559317129628</v>
      </c>
      <c r="K263" s="81" t="s">
        <v>49</v>
      </c>
      <c r="L263" t="s">
        <v>49</v>
      </c>
      <c r="M263" t="s">
        <v>336</v>
      </c>
      <c r="N263" s="1" t="s">
        <v>336</v>
      </c>
      <c r="O263" s="1" t="s">
        <v>230</v>
      </c>
      <c r="P263" t="s">
        <v>230</v>
      </c>
      <c r="Q263" s="9" t="s">
        <v>45</v>
      </c>
      <c r="R263" s="82" t="s">
        <v>45</v>
      </c>
      <c r="S263" s="44" t="s">
        <v>1436</v>
      </c>
      <c r="T263" s="3" t="s">
        <v>136</v>
      </c>
      <c r="U263" s="2" t="s">
        <v>29</v>
      </c>
      <c r="V263" s="3" t="s">
        <v>29</v>
      </c>
      <c r="W263" s="11" t="s">
        <v>153</v>
      </c>
      <c r="X263" s="3" t="s">
        <v>153</v>
      </c>
      <c r="Y263" s="77" t="s">
        <v>48</v>
      </c>
      <c r="Z263" s="84" t="s">
        <v>1446</v>
      </c>
      <c r="AA263" s="89" t="s">
        <v>28</v>
      </c>
      <c r="AB263" s="90" t="str">
        <f>HYPERLINK(CONCATENATE("https://www.ejacket.nsf.gov/ej/showProposal.do?ID=",SUBSTITUTE(SplitQueryTableRecent[[#This Row],[prop_id]],CHAR(160),"")),"eJ")</f>
        <v>eJ</v>
      </c>
      <c r="AC263" s="89" t="s">
        <v>1050</v>
      </c>
      <c r="AD263" s="3" t="s">
        <v>1446</v>
      </c>
      <c r="AE263" s="91">
        <v>2016</v>
      </c>
      <c r="AF263" s="13" t="s">
        <v>43</v>
      </c>
      <c r="AG263" s="13">
        <v>16000</v>
      </c>
      <c r="AH263" s="45">
        <v>16000</v>
      </c>
      <c r="AI263" s="44" t="s">
        <v>1281</v>
      </c>
      <c r="AJ263" s="2" t="s">
        <v>1282</v>
      </c>
      <c r="AK263" s="46" t="s">
        <v>1717</v>
      </c>
      <c r="AL263" s="55" t="s">
        <v>854</v>
      </c>
      <c r="AM263" s="45" t="s">
        <v>854</v>
      </c>
      <c r="AN263" s="56" t="s">
        <v>152</v>
      </c>
      <c r="AO263" s="23" t="s">
        <v>146</v>
      </c>
      <c r="AP263" s="11"/>
      <c r="AQ263" s="88" t="s">
        <v>1051</v>
      </c>
      <c r="AR263" s="57" t="s">
        <v>164</v>
      </c>
      <c r="AS263" s="46">
        <v>42549.539571759262</v>
      </c>
      <c r="AT263" s="3">
        <f t="shared" si="3"/>
        <v>231</v>
      </c>
    </row>
    <row r="264" spans="8:46" x14ac:dyDescent="0.4">
      <c r="H264" s="59">
        <v>42992.404930555553</v>
      </c>
      <c r="I264" s="43">
        <v>42760</v>
      </c>
      <c r="J264" s="42">
        <v>42814.435763888891</v>
      </c>
      <c r="K264" s="81" t="s">
        <v>49</v>
      </c>
      <c r="L264" t="s">
        <v>49</v>
      </c>
      <c r="M264" t="s">
        <v>336</v>
      </c>
      <c r="N264" s="1" t="s">
        <v>336</v>
      </c>
      <c r="O264" s="1" t="s">
        <v>230</v>
      </c>
      <c r="P264" t="s">
        <v>230</v>
      </c>
      <c r="Q264" s="9" t="s">
        <v>45</v>
      </c>
      <c r="R264" s="82" t="s">
        <v>45</v>
      </c>
      <c r="S264" s="44" t="s">
        <v>60</v>
      </c>
      <c r="T264" s="3" t="s">
        <v>136</v>
      </c>
      <c r="U264" s="2" t="s">
        <v>29</v>
      </c>
      <c r="V264" s="3" t="s">
        <v>29</v>
      </c>
      <c r="W264" s="11" t="s">
        <v>153</v>
      </c>
      <c r="X264" s="3" t="s">
        <v>153</v>
      </c>
      <c r="Y264" s="77" t="s">
        <v>48</v>
      </c>
      <c r="Z264" s="84" t="s">
        <v>1447</v>
      </c>
      <c r="AA264" s="89" t="s">
        <v>28</v>
      </c>
      <c r="AB264" s="90" t="str">
        <f>HYPERLINK(CONCATENATE("https://www.ejacket.nsf.gov/ej/showProposal.do?ID=",SUBSTITUTE(SplitQueryTableRecent[[#This Row],[prop_id]],CHAR(160),"")),"eJ")</f>
        <v>eJ</v>
      </c>
      <c r="AC264" s="89" t="s">
        <v>1314</v>
      </c>
      <c r="AD264" s="3" t="s">
        <v>1447</v>
      </c>
      <c r="AE264" s="91">
        <v>2017</v>
      </c>
      <c r="AF264" s="13" t="s">
        <v>43</v>
      </c>
      <c r="AG264" s="13">
        <v>16000</v>
      </c>
      <c r="AH264" s="45">
        <v>16000</v>
      </c>
      <c r="AI264" s="44" t="s">
        <v>1316</v>
      </c>
      <c r="AJ264" s="2" t="s">
        <v>1317</v>
      </c>
      <c r="AK264" s="46" t="s">
        <v>1726</v>
      </c>
      <c r="AL264" s="55" t="s">
        <v>854</v>
      </c>
      <c r="AM264" s="45" t="s">
        <v>854</v>
      </c>
      <c r="AN264" s="56" t="s">
        <v>152</v>
      </c>
      <c r="AO264" s="23" t="s">
        <v>146</v>
      </c>
      <c r="AP264" s="11"/>
      <c r="AQ264" s="88" t="s">
        <v>1315</v>
      </c>
      <c r="AR264" s="57" t="s">
        <v>40</v>
      </c>
      <c r="AS264" s="46">
        <v>42825.482002314813</v>
      </c>
      <c r="AT264" s="3">
        <f t="shared" si="3"/>
        <v>232</v>
      </c>
    </row>
    <row r="265" spans="8:46" x14ac:dyDescent="0.4">
      <c r="H265" s="59">
        <v>42992.404930555553</v>
      </c>
      <c r="I265" s="43">
        <v>42794</v>
      </c>
      <c r="J265" s="42">
        <v>42816.523229166669</v>
      </c>
      <c r="K265" s="81" t="s">
        <v>49</v>
      </c>
      <c r="L265" t="s">
        <v>49</v>
      </c>
      <c r="M265" t="s">
        <v>336</v>
      </c>
      <c r="N265" s="1" t="s">
        <v>336</v>
      </c>
      <c r="O265" s="1" t="s">
        <v>230</v>
      </c>
      <c r="P265" t="s">
        <v>230</v>
      </c>
      <c r="Q265" s="9" t="s">
        <v>45</v>
      </c>
      <c r="R265" s="82" t="s">
        <v>45</v>
      </c>
      <c r="S265" s="44" t="s">
        <v>60</v>
      </c>
      <c r="T265" s="3" t="s">
        <v>136</v>
      </c>
      <c r="U265" s="2" t="s">
        <v>29</v>
      </c>
      <c r="V265" s="3" t="s">
        <v>29</v>
      </c>
      <c r="W265" s="11" t="s">
        <v>153</v>
      </c>
      <c r="X265" s="3" t="s">
        <v>153</v>
      </c>
      <c r="Y265" s="77" t="s">
        <v>48</v>
      </c>
      <c r="Z265" s="84" t="s">
        <v>1448</v>
      </c>
      <c r="AA265" s="89" t="s">
        <v>28</v>
      </c>
      <c r="AB265" s="90" t="str">
        <f>HYPERLINK(CONCATENATE("https://www.ejacket.nsf.gov/ej/showProposal.do?ID=",SUBSTITUTE(SplitQueryTableRecent[[#This Row],[prop_id]],CHAR(160),"")),"eJ")</f>
        <v>eJ</v>
      </c>
      <c r="AC265" s="89" t="s">
        <v>1320</v>
      </c>
      <c r="AD265" s="3" t="s">
        <v>1448</v>
      </c>
      <c r="AE265" s="91">
        <v>2017</v>
      </c>
      <c r="AF265" s="13" t="s">
        <v>43</v>
      </c>
      <c r="AG265" s="13">
        <v>8000</v>
      </c>
      <c r="AH265" s="45">
        <v>8000</v>
      </c>
      <c r="AI265" s="44" t="s">
        <v>1321</v>
      </c>
      <c r="AJ265" s="2" t="s">
        <v>1322</v>
      </c>
      <c r="AK265" s="46" t="s">
        <v>1747</v>
      </c>
      <c r="AL265" s="55" t="s">
        <v>854</v>
      </c>
      <c r="AM265" s="45" t="s">
        <v>854</v>
      </c>
      <c r="AN265" s="56" t="s">
        <v>152</v>
      </c>
      <c r="AO265" s="23" t="s">
        <v>146</v>
      </c>
      <c r="AP265" s="11"/>
      <c r="AQ265" s="88" t="s">
        <v>947</v>
      </c>
      <c r="AR265" s="57" t="s">
        <v>40</v>
      </c>
      <c r="AS265" s="46">
        <v>42828.546006944445</v>
      </c>
      <c r="AT265" s="3">
        <f t="shared" si="3"/>
        <v>233</v>
      </c>
    </row>
    <row r="266" spans="8:46" x14ac:dyDescent="0.4">
      <c r="H266" s="59">
        <v>42992.404930555553</v>
      </c>
      <c r="I266" s="43">
        <v>42800</v>
      </c>
      <c r="J266" s="42">
        <v>42816.525648148148</v>
      </c>
      <c r="K266" s="81" t="s">
        <v>49</v>
      </c>
      <c r="L266" t="s">
        <v>49</v>
      </c>
      <c r="M266" t="s">
        <v>336</v>
      </c>
      <c r="N266" s="1" t="s">
        <v>336</v>
      </c>
      <c r="O266" s="1" t="s">
        <v>230</v>
      </c>
      <c r="P266" t="s">
        <v>230</v>
      </c>
      <c r="Q266" s="9" t="s">
        <v>45</v>
      </c>
      <c r="R266" s="82" t="s">
        <v>45</v>
      </c>
      <c r="S266" s="44" t="s">
        <v>60</v>
      </c>
      <c r="T266" s="3" t="s">
        <v>136</v>
      </c>
      <c r="U266" s="2" t="s">
        <v>29</v>
      </c>
      <c r="V266" s="3" t="s">
        <v>29</v>
      </c>
      <c r="W266" s="11" t="s">
        <v>153</v>
      </c>
      <c r="X266" s="3" t="s">
        <v>153</v>
      </c>
      <c r="Y266" s="77" t="s">
        <v>48</v>
      </c>
      <c r="Z266" s="84" t="s">
        <v>1449</v>
      </c>
      <c r="AA266" s="89" t="s">
        <v>28</v>
      </c>
      <c r="AB266" s="90" t="str">
        <f>HYPERLINK(CONCATENATE("https://www.ejacket.nsf.gov/ej/showProposal.do?ID=",SUBSTITUTE(SplitQueryTableRecent[[#This Row],[prop_id]],CHAR(160),"")),"eJ")</f>
        <v>eJ</v>
      </c>
      <c r="AC266" s="89" t="s">
        <v>1327</v>
      </c>
      <c r="AD266" s="3" t="s">
        <v>1449</v>
      </c>
      <c r="AE266" s="91">
        <v>2017</v>
      </c>
      <c r="AF266" s="13" t="s">
        <v>43</v>
      </c>
      <c r="AG266" s="13">
        <v>19000</v>
      </c>
      <c r="AH266" s="45">
        <v>19000</v>
      </c>
      <c r="AI266" s="44" t="s">
        <v>1329</v>
      </c>
      <c r="AJ266" s="2" t="s">
        <v>236</v>
      </c>
      <c r="AK266" s="46" t="s">
        <v>1748</v>
      </c>
      <c r="AL266" s="55" t="s">
        <v>854</v>
      </c>
      <c r="AM266" s="45" t="s">
        <v>854</v>
      </c>
      <c r="AN266" s="56" t="s">
        <v>152</v>
      </c>
      <c r="AO266" s="23" t="s">
        <v>146</v>
      </c>
      <c r="AP266" s="11"/>
      <c r="AQ266" s="88" t="s">
        <v>1328</v>
      </c>
      <c r="AR266" s="57" t="s">
        <v>40</v>
      </c>
      <c r="AS266" s="46">
        <v>42825.604618055557</v>
      </c>
      <c r="AT266" s="3">
        <f t="shared" si="3"/>
        <v>234</v>
      </c>
    </row>
    <row r="267" spans="8:46" x14ac:dyDescent="0.4">
      <c r="H267" s="59">
        <v>42992.404930555553</v>
      </c>
      <c r="I267" s="43">
        <v>42906</v>
      </c>
      <c r="J267" s="42">
        <v>42934.715451388889</v>
      </c>
      <c r="K267" s="81" t="s">
        <v>49</v>
      </c>
      <c r="L267" t="s">
        <v>49</v>
      </c>
      <c r="M267" t="s">
        <v>336</v>
      </c>
      <c r="N267" s="1" t="s">
        <v>336</v>
      </c>
      <c r="O267" s="1" t="s">
        <v>337</v>
      </c>
      <c r="P267" t="s">
        <v>337</v>
      </c>
      <c r="Q267" s="9" t="s">
        <v>45</v>
      </c>
      <c r="R267" s="82" t="s">
        <v>45</v>
      </c>
      <c r="S267" s="44" t="s">
        <v>52</v>
      </c>
      <c r="T267" s="3" t="s">
        <v>136</v>
      </c>
      <c r="U267" s="2" t="s">
        <v>29</v>
      </c>
      <c r="V267" s="3" t="s">
        <v>29</v>
      </c>
      <c r="W267" s="11" t="s">
        <v>153</v>
      </c>
      <c r="X267" s="3" t="s">
        <v>153</v>
      </c>
      <c r="Y267" s="77" t="s">
        <v>48</v>
      </c>
      <c r="Z267" s="84" t="s">
        <v>1450</v>
      </c>
      <c r="AA267" s="89" t="s">
        <v>28</v>
      </c>
      <c r="AB267" s="90" t="str">
        <f>HYPERLINK(CONCATENATE("https://www.ejacket.nsf.gov/ej/showProposal.do?ID=",SUBSTITUTE(SplitQueryTableRecent[[#This Row],[prop_id]],CHAR(160),"")),"eJ")</f>
        <v>eJ</v>
      </c>
      <c r="AC267" s="89" t="s">
        <v>1330</v>
      </c>
      <c r="AD267" s="3" t="s">
        <v>1450</v>
      </c>
      <c r="AE267" s="91">
        <v>2017</v>
      </c>
      <c r="AF267" s="13" t="s">
        <v>43</v>
      </c>
      <c r="AG267" s="13">
        <v>7800</v>
      </c>
      <c r="AH267" s="45">
        <v>7800</v>
      </c>
      <c r="AI267" s="44" t="s">
        <v>270</v>
      </c>
      <c r="AJ267" s="2" t="s">
        <v>1331</v>
      </c>
      <c r="AK267" s="46" t="s">
        <v>246</v>
      </c>
      <c r="AL267" s="55" t="s">
        <v>1031</v>
      </c>
      <c r="AM267" s="45" t="s">
        <v>1031</v>
      </c>
      <c r="AN267" s="56" t="s">
        <v>152</v>
      </c>
      <c r="AO267" s="23" t="s">
        <v>146</v>
      </c>
      <c r="AP267" s="11"/>
      <c r="AQ267" s="88" t="s">
        <v>1451</v>
      </c>
      <c r="AR267" s="57" t="s">
        <v>40</v>
      </c>
      <c r="AS267" s="46">
        <v>42940.468136574076</v>
      </c>
      <c r="AT267" s="3">
        <f t="shared" si="3"/>
        <v>235</v>
      </c>
    </row>
    <row r="268" spans="8:46" x14ac:dyDescent="0.4">
      <c r="H268" s="59">
        <v>42992.404930555553</v>
      </c>
      <c r="I268" s="43">
        <v>41893</v>
      </c>
      <c r="J268" s="42">
        <v>1</v>
      </c>
      <c r="K268" s="81" t="s">
        <v>49</v>
      </c>
      <c r="L268" t="s">
        <v>49</v>
      </c>
      <c r="M268" t="s">
        <v>336</v>
      </c>
      <c r="N268" s="1" t="s">
        <v>336</v>
      </c>
      <c r="O268" s="1" t="s">
        <v>245</v>
      </c>
      <c r="P268" t="s">
        <v>245</v>
      </c>
      <c r="Q268" s="9" t="s">
        <v>45</v>
      </c>
      <c r="R268" s="82" t="s">
        <v>45</v>
      </c>
      <c r="S268" s="44" t="s">
        <v>542</v>
      </c>
      <c r="T268" s="3" t="s">
        <v>71</v>
      </c>
      <c r="U268" s="2" t="s">
        <v>29</v>
      </c>
      <c r="V268" s="3" t="s">
        <v>29</v>
      </c>
      <c r="W268" s="11" t="s">
        <v>153</v>
      </c>
      <c r="X268" s="3" t="s">
        <v>153</v>
      </c>
      <c r="Y268" s="77" t="s">
        <v>48</v>
      </c>
      <c r="Z268" s="84" t="s">
        <v>1453</v>
      </c>
      <c r="AA268" s="89" t="s">
        <v>28</v>
      </c>
      <c r="AB268" s="90" t="str">
        <f>HYPERLINK(CONCATENATE("https://www.ejacket.nsf.gov/ej/showProposal.do?ID=",SUBSTITUTE(SplitQueryTableRecent[[#This Row],[prop_id]],CHAR(160),"")),"eJ")</f>
        <v>eJ</v>
      </c>
      <c r="AC268" s="89" t="s">
        <v>1453</v>
      </c>
      <c r="AD268" s="3" t="s">
        <v>1453</v>
      </c>
      <c r="AE268" s="91">
        <v>2012</v>
      </c>
      <c r="AF268" s="13" t="s">
        <v>43</v>
      </c>
      <c r="AG268" s="13">
        <v>456745</v>
      </c>
      <c r="AH268" s="45">
        <v>456745</v>
      </c>
      <c r="AI268" s="44" t="s">
        <v>360</v>
      </c>
      <c r="AJ268" s="2" t="s">
        <v>331</v>
      </c>
      <c r="AK268" s="46" t="s">
        <v>195</v>
      </c>
      <c r="AL268" s="55" t="s">
        <v>369</v>
      </c>
      <c r="AM268" s="45" t="s">
        <v>369</v>
      </c>
      <c r="AN268" s="56" t="s">
        <v>152</v>
      </c>
      <c r="AO268" s="23" t="s">
        <v>146</v>
      </c>
      <c r="AP268" s="11"/>
      <c r="AQ268" s="88" t="s">
        <v>1454</v>
      </c>
      <c r="AR268" s="57" t="s">
        <v>161</v>
      </c>
      <c r="AS268" s="46">
        <v>41897.408125000002</v>
      </c>
      <c r="AT268" s="3">
        <f t="shared" si="3"/>
        <v>236</v>
      </c>
    </row>
    <row r="269" spans="8:46" x14ac:dyDescent="0.4">
      <c r="H269" s="59">
        <v>42992.404930555553</v>
      </c>
      <c r="I269" s="43">
        <v>42663</v>
      </c>
      <c r="J269" s="42">
        <v>1</v>
      </c>
      <c r="K269" s="81" t="s">
        <v>49</v>
      </c>
      <c r="L269" t="s">
        <v>49</v>
      </c>
      <c r="M269" t="s">
        <v>336</v>
      </c>
      <c r="N269" s="1" t="s">
        <v>336</v>
      </c>
      <c r="O269" s="1" t="s">
        <v>337</v>
      </c>
      <c r="P269" t="s">
        <v>337</v>
      </c>
      <c r="Q269" s="9" t="s">
        <v>45</v>
      </c>
      <c r="R269" s="82" t="s">
        <v>45</v>
      </c>
      <c r="S269" s="44" t="s">
        <v>173</v>
      </c>
      <c r="T269" s="3" t="s">
        <v>71</v>
      </c>
      <c r="U269" s="2" t="s">
        <v>29</v>
      </c>
      <c r="V269" s="3" t="s">
        <v>29</v>
      </c>
      <c r="W269" s="11" t="s">
        <v>153</v>
      </c>
      <c r="X269" s="3" t="s">
        <v>153</v>
      </c>
      <c r="Y269" s="77" t="s">
        <v>48</v>
      </c>
      <c r="Z269" s="84" t="s">
        <v>1459</v>
      </c>
      <c r="AA269" s="89" t="s">
        <v>28</v>
      </c>
      <c r="AB269" s="90" t="str">
        <f>HYPERLINK(CONCATENATE("https://www.ejacket.nsf.gov/ej/showProposal.do?ID=",SUBSTITUTE(SplitQueryTableRecent[[#This Row],[prop_id]],CHAR(160),"")),"eJ")</f>
        <v>eJ</v>
      </c>
      <c r="AC269" s="89" t="s">
        <v>1459</v>
      </c>
      <c r="AD269" s="3" t="s">
        <v>1459</v>
      </c>
      <c r="AE269" s="91">
        <v>2014</v>
      </c>
      <c r="AF269" s="13" t="s">
        <v>43</v>
      </c>
      <c r="AG269" s="13">
        <v>277808</v>
      </c>
      <c r="AH269" s="45">
        <v>277808</v>
      </c>
      <c r="AI269" s="44" t="s">
        <v>1090</v>
      </c>
      <c r="AJ269" s="2" t="s">
        <v>1091</v>
      </c>
      <c r="AK269" s="46" t="s">
        <v>1718</v>
      </c>
      <c r="AL269" s="55"/>
      <c r="AM269" s="45" t="s">
        <v>584</v>
      </c>
      <c r="AN269" s="56" t="s">
        <v>152</v>
      </c>
      <c r="AO269" s="23" t="s">
        <v>146</v>
      </c>
      <c r="AP269" s="11"/>
      <c r="AQ269" s="88" t="s">
        <v>1089</v>
      </c>
      <c r="AR269" s="57" t="s">
        <v>188</v>
      </c>
      <c r="AS269" s="46">
        <v>42774.576817129629</v>
      </c>
      <c r="AT269" s="3">
        <f t="shared" si="3"/>
        <v>237</v>
      </c>
    </row>
    <row r="270" spans="8:46" x14ac:dyDescent="0.4">
      <c r="H270" s="59">
        <v>42992.404930555553</v>
      </c>
      <c r="I270" s="43">
        <v>42523</v>
      </c>
      <c r="J270" s="42">
        <v>1</v>
      </c>
      <c r="K270" s="81" t="s">
        <v>49</v>
      </c>
      <c r="L270" t="s">
        <v>49</v>
      </c>
      <c r="M270" t="s">
        <v>50</v>
      </c>
      <c r="N270" s="1" t="s">
        <v>336</v>
      </c>
      <c r="O270" s="1" t="s">
        <v>347</v>
      </c>
      <c r="P270" t="s">
        <v>347</v>
      </c>
      <c r="Q270" s="9" t="s">
        <v>45</v>
      </c>
      <c r="R270" s="82" t="s">
        <v>45</v>
      </c>
      <c r="S270" s="44" t="s">
        <v>184</v>
      </c>
      <c r="T270" s="3" t="s">
        <v>71</v>
      </c>
      <c r="U270" s="2" t="s">
        <v>29</v>
      </c>
      <c r="V270" s="3" t="s">
        <v>29</v>
      </c>
      <c r="W270" s="11" t="s">
        <v>153</v>
      </c>
      <c r="X270" s="3" t="s">
        <v>153</v>
      </c>
      <c r="Y270" s="77" t="s">
        <v>48</v>
      </c>
      <c r="Z270" s="84" t="s">
        <v>1469</v>
      </c>
      <c r="AA270" s="89" t="s">
        <v>28</v>
      </c>
      <c r="AB270" s="90" t="str">
        <f>HYPERLINK(CONCATENATE("https://www.ejacket.nsf.gov/ej/showProposal.do?ID=",SUBSTITUTE(SplitQueryTableRecent[[#This Row],[prop_id]],CHAR(160),"")),"eJ")</f>
        <v>eJ</v>
      </c>
      <c r="AC270" s="89" t="s">
        <v>1469</v>
      </c>
      <c r="AD270" s="3" t="s">
        <v>1469</v>
      </c>
      <c r="AE270" s="91">
        <v>2015</v>
      </c>
      <c r="AF270" s="13" t="s">
        <v>44</v>
      </c>
      <c r="AG270" s="13">
        <v>409690</v>
      </c>
      <c r="AH270" s="45">
        <v>419154</v>
      </c>
      <c r="AI270" s="44" t="s">
        <v>1163</v>
      </c>
      <c r="AJ270" s="2" t="s">
        <v>1164</v>
      </c>
      <c r="AK270" s="46" t="s">
        <v>1713</v>
      </c>
      <c r="AL270" s="55"/>
      <c r="AM270" s="45" t="s">
        <v>398</v>
      </c>
      <c r="AN270" s="56" t="s">
        <v>152</v>
      </c>
      <c r="AO270" s="23" t="s">
        <v>146</v>
      </c>
      <c r="AP270" s="11"/>
      <c r="AQ270" s="88" t="s">
        <v>1470</v>
      </c>
      <c r="AR270" s="57" t="s">
        <v>164</v>
      </c>
      <c r="AS270" s="46">
        <v>42550.65357638889</v>
      </c>
      <c r="AT270" s="3">
        <f t="shared" si="3"/>
        <v>238</v>
      </c>
    </row>
    <row r="271" spans="8:46" x14ac:dyDescent="0.4">
      <c r="H271" s="59">
        <v>42992.404930555553</v>
      </c>
      <c r="I271" s="43">
        <v>41708</v>
      </c>
      <c r="J271" s="42">
        <v>1</v>
      </c>
      <c r="K271" s="81" t="s">
        <v>49</v>
      </c>
      <c r="L271" t="s">
        <v>49</v>
      </c>
      <c r="M271" t="s">
        <v>336</v>
      </c>
      <c r="N271" s="1" t="s">
        <v>336</v>
      </c>
      <c r="O271" s="1" t="s">
        <v>245</v>
      </c>
      <c r="P271" t="s">
        <v>245</v>
      </c>
      <c r="Q271" s="9" t="s">
        <v>45</v>
      </c>
      <c r="R271" s="82" t="s">
        <v>45</v>
      </c>
      <c r="S271" s="44" t="s">
        <v>542</v>
      </c>
      <c r="T271" s="3" t="s">
        <v>71</v>
      </c>
      <c r="U271" s="2" t="s">
        <v>29</v>
      </c>
      <c r="V271" s="3" t="s">
        <v>29</v>
      </c>
      <c r="W271" s="11" t="s">
        <v>153</v>
      </c>
      <c r="X271" s="3" t="s">
        <v>153</v>
      </c>
      <c r="Y271" s="77" t="s">
        <v>48</v>
      </c>
      <c r="Z271" s="84" t="s">
        <v>1442</v>
      </c>
      <c r="AA271" s="89" t="s">
        <v>28</v>
      </c>
      <c r="AB271" s="90" t="str">
        <f>HYPERLINK(CONCATENATE("https://www.ejacket.nsf.gov/ej/showProposal.do?ID=",SUBSTITUTE(SplitQueryTableRecent[[#This Row],[prop_id]],CHAR(160),"")),"eJ")</f>
        <v>eJ</v>
      </c>
      <c r="AC271" s="89" t="s">
        <v>1442</v>
      </c>
      <c r="AD271" s="3" t="s">
        <v>1442</v>
      </c>
      <c r="AE271" s="91">
        <v>2012</v>
      </c>
      <c r="AF271" s="13" t="s">
        <v>43</v>
      </c>
      <c r="AG271" s="13">
        <v>175762</v>
      </c>
      <c r="AH271" s="45">
        <v>175762</v>
      </c>
      <c r="AI271" s="44" t="s">
        <v>1444</v>
      </c>
      <c r="AJ271" s="2" t="s">
        <v>277</v>
      </c>
      <c r="AK271" s="46" t="s">
        <v>1714</v>
      </c>
      <c r="AL271" s="55"/>
      <c r="AM271" s="45" t="s">
        <v>369</v>
      </c>
      <c r="AN271" s="56" t="s">
        <v>152</v>
      </c>
      <c r="AO271" s="23" t="s">
        <v>146</v>
      </c>
      <c r="AP271" s="11"/>
      <c r="AQ271" s="88" t="s">
        <v>1443</v>
      </c>
      <c r="AR271" s="57" t="s">
        <v>161</v>
      </c>
      <c r="AS271" s="46">
        <v>41717.425104166665</v>
      </c>
      <c r="AT271" s="3">
        <f t="shared" si="3"/>
        <v>239</v>
      </c>
    </row>
    <row r="272" spans="8:46" x14ac:dyDescent="0.4">
      <c r="H272" s="59">
        <v>42992.404930555553</v>
      </c>
      <c r="I272" s="43">
        <v>42263</v>
      </c>
      <c r="J272" s="42">
        <v>1</v>
      </c>
      <c r="K272" s="81" t="s">
        <v>49</v>
      </c>
      <c r="L272" t="s">
        <v>49</v>
      </c>
      <c r="M272" t="s">
        <v>336</v>
      </c>
      <c r="N272" s="1" t="s">
        <v>336</v>
      </c>
      <c r="O272" s="1" t="s">
        <v>245</v>
      </c>
      <c r="P272" t="s">
        <v>245</v>
      </c>
      <c r="Q272" s="9" t="s">
        <v>45</v>
      </c>
      <c r="R272" s="82" t="s">
        <v>45</v>
      </c>
      <c r="S272" s="44" t="s">
        <v>184</v>
      </c>
      <c r="T272" s="3" t="s">
        <v>71</v>
      </c>
      <c r="U272" s="2" t="s">
        <v>29</v>
      </c>
      <c r="V272" s="3" t="s">
        <v>29</v>
      </c>
      <c r="W272" s="11" t="s">
        <v>153</v>
      </c>
      <c r="X272" s="3" t="s">
        <v>153</v>
      </c>
      <c r="Y272" s="77" t="s">
        <v>48</v>
      </c>
      <c r="Z272" s="84" t="s">
        <v>1471</v>
      </c>
      <c r="AA272" s="89" t="s">
        <v>28</v>
      </c>
      <c r="AB272" s="90" t="str">
        <f>HYPERLINK(CONCATENATE("https://www.ejacket.nsf.gov/ej/showProposal.do?ID=",SUBSTITUTE(SplitQueryTableRecent[[#This Row],[prop_id]],CHAR(160),"")),"eJ")</f>
        <v>eJ</v>
      </c>
      <c r="AC272" s="89" t="s">
        <v>1471</v>
      </c>
      <c r="AD272" s="3" t="s">
        <v>1471</v>
      </c>
      <c r="AE272" s="91">
        <v>2015</v>
      </c>
      <c r="AF272" s="13" t="s">
        <v>43</v>
      </c>
      <c r="AG272" s="13">
        <v>224829</v>
      </c>
      <c r="AH272" s="45">
        <v>224829</v>
      </c>
      <c r="AI272" s="44" t="s">
        <v>554</v>
      </c>
      <c r="AJ272" s="2" t="s">
        <v>555</v>
      </c>
      <c r="AK272" s="46" t="s">
        <v>246</v>
      </c>
      <c r="AL272" s="55" t="s">
        <v>369</v>
      </c>
      <c r="AM272" s="45" t="s">
        <v>369</v>
      </c>
      <c r="AN272" s="56" t="s">
        <v>152</v>
      </c>
      <c r="AO272" s="23" t="s">
        <v>146</v>
      </c>
      <c r="AP272" s="11"/>
      <c r="AQ272" s="88" t="s">
        <v>1107</v>
      </c>
      <c r="AR272" s="57" t="s">
        <v>40</v>
      </c>
      <c r="AS272" s="46">
        <v>42264.667696759258</v>
      </c>
      <c r="AT272" s="3">
        <f t="shared" si="3"/>
        <v>240</v>
      </c>
    </row>
    <row r="273" spans="8:46" x14ac:dyDescent="0.4">
      <c r="H273" s="59">
        <v>42992.404930555553</v>
      </c>
      <c r="I273" s="43">
        <v>42402</v>
      </c>
      <c r="J273" s="42">
        <v>1</v>
      </c>
      <c r="K273" s="81" t="s">
        <v>49</v>
      </c>
      <c r="L273" t="s">
        <v>49</v>
      </c>
      <c r="M273" t="s">
        <v>336</v>
      </c>
      <c r="N273" s="1" t="s">
        <v>336</v>
      </c>
      <c r="O273" s="1" t="s">
        <v>337</v>
      </c>
      <c r="P273" t="s">
        <v>337</v>
      </c>
      <c r="Q273" s="9" t="s">
        <v>45</v>
      </c>
      <c r="R273" s="82" t="s">
        <v>45</v>
      </c>
      <c r="S273" s="44" t="s">
        <v>184</v>
      </c>
      <c r="T273" s="3" t="s">
        <v>71</v>
      </c>
      <c r="U273" s="2" t="s">
        <v>29</v>
      </c>
      <c r="V273" s="3" t="s">
        <v>29</v>
      </c>
      <c r="W273" s="11" t="s">
        <v>153</v>
      </c>
      <c r="X273" s="3" t="s">
        <v>153</v>
      </c>
      <c r="Y273" s="77" t="s">
        <v>48</v>
      </c>
      <c r="Z273" s="84" t="s">
        <v>1472</v>
      </c>
      <c r="AA273" s="89" t="s">
        <v>28</v>
      </c>
      <c r="AB273" s="90" t="str">
        <f>HYPERLINK(CONCATENATE("https://www.ejacket.nsf.gov/ej/showProposal.do?ID=",SUBSTITUTE(SplitQueryTableRecent[[#This Row],[prop_id]],CHAR(160),"")),"eJ")</f>
        <v>eJ</v>
      </c>
      <c r="AC273" s="89" t="s">
        <v>1472</v>
      </c>
      <c r="AD273" s="3" t="s">
        <v>1472</v>
      </c>
      <c r="AE273" s="91">
        <v>2015</v>
      </c>
      <c r="AF273" s="13" t="s">
        <v>43</v>
      </c>
      <c r="AG273" s="13">
        <v>121438</v>
      </c>
      <c r="AH273" s="45">
        <v>121438</v>
      </c>
      <c r="AI273" s="44" t="s">
        <v>554</v>
      </c>
      <c r="AJ273" s="2" t="s">
        <v>555</v>
      </c>
      <c r="AK273" s="46" t="s">
        <v>246</v>
      </c>
      <c r="AL273" s="55"/>
      <c r="AM273" s="45" t="s">
        <v>341</v>
      </c>
      <c r="AN273" s="56" t="s">
        <v>152</v>
      </c>
      <c r="AO273" s="23" t="s">
        <v>146</v>
      </c>
      <c r="AP273" s="11"/>
      <c r="AQ273" s="88" t="s">
        <v>1473</v>
      </c>
      <c r="AR273" s="57" t="s">
        <v>40</v>
      </c>
      <c r="AS273" s="46">
        <v>42438.366018518522</v>
      </c>
      <c r="AT273" s="3">
        <f t="shared" si="3"/>
        <v>241</v>
      </c>
    </row>
    <row r="274" spans="8:46" x14ac:dyDescent="0.4">
      <c r="H274" s="59">
        <v>42992.404930555553</v>
      </c>
      <c r="I274" s="43">
        <v>42489</v>
      </c>
      <c r="J274" s="42">
        <v>1</v>
      </c>
      <c r="K274" s="81" t="s">
        <v>562</v>
      </c>
      <c r="L274" t="s">
        <v>49</v>
      </c>
      <c r="M274" t="s">
        <v>1249</v>
      </c>
      <c r="N274" s="1" t="s">
        <v>336</v>
      </c>
      <c r="O274" s="1" t="s">
        <v>1474</v>
      </c>
      <c r="P274" t="s">
        <v>1474</v>
      </c>
      <c r="Q274" s="9" t="s">
        <v>65</v>
      </c>
      <c r="R274" s="82" t="s">
        <v>65</v>
      </c>
      <c r="S274" s="44" t="s">
        <v>566</v>
      </c>
      <c r="T274" s="3" t="s">
        <v>71</v>
      </c>
      <c r="U274" s="2" t="s">
        <v>29</v>
      </c>
      <c r="V274" s="3" t="s">
        <v>29</v>
      </c>
      <c r="W274" s="11" t="s">
        <v>153</v>
      </c>
      <c r="X274" s="3" t="s">
        <v>153</v>
      </c>
      <c r="Y274" s="77" t="s">
        <v>563</v>
      </c>
      <c r="Z274" s="84" t="s">
        <v>1475</v>
      </c>
      <c r="AA274" s="89" t="s">
        <v>28</v>
      </c>
      <c r="AB274" s="90" t="str">
        <f>HYPERLINK(CONCATENATE("https://www.ejacket.nsf.gov/ej/showProposal.do?ID=",SUBSTITUTE(SplitQueryTableRecent[[#This Row],[prop_id]],CHAR(160),"")),"eJ")</f>
        <v>eJ</v>
      </c>
      <c r="AC274" s="89" t="s">
        <v>1475</v>
      </c>
      <c r="AD274" s="3" t="s">
        <v>1475</v>
      </c>
      <c r="AE274" s="91">
        <v>2014</v>
      </c>
      <c r="AF274" s="13" t="s">
        <v>44</v>
      </c>
      <c r="AG274" s="13">
        <v>6190</v>
      </c>
      <c r="AH274" s="45">
        <v>24711</v>
      </c>
      <c r="AI274" s="44" t="s">
        <v>1253</v>
      </c>
      <c r="AJ274" s="2" t="s">
        <v>1254</v>
      </c>
      <c r="AK274" s="46" t="s">
        <v>1725</v>
      </c>
      <c r="AL274" s="55"/>
      <c r="AM274" s="45" t="s">
        <v>155</v>
      </c>
      <c r="AN274" s="56" t="s">
        <v>152</v>
      </c>
      <c r="AO274" s="23" t="s">
        <v>146</v>
      </c>
      <c r="AP274" s="11"/>
      <c r="AQ274" s="88" t="s">
        <v>1476</v>
      </c>
      <c r="AR274" s="57" t="s">
        <v>40</v>
      </c>
      <c r="AS274" s="46">
        <v>42523.432789351849</v>
      </c>
      <c r="AT274" s="3">
        <f t="shared" si="3"/>
        <v>242</v>
      </c>
    </row>
    <row r="275" spans="8:46" x14ac:dyDescent="0.4">
      <c r="H275" s="59">
        <v>42992.404930555553</v>
      </c>
      <c r="I275" s="43">
        <v>42488</v>
      </c>
      <c r="J275" s="42">
        <v>1</v>
      </c>
      <c r="K275" s="81" t="s">
        <v>49</v>
      </c>
      <c r="L275" t="s">
        <v>49</v>
      </c>
      <c r="M275" t="s">
        <v>336</v>
      </c>
      <c r="N275" s="1" t="s">
        <v>336</v>
      </c>
      <c r="O275" s="1" t="s">
        <v>230</v>
      </c>
      <c r="P275" t="s">
        <v>230</v>
      </c>
      <c r="Q275" s="9" t="s">
        <v>45</v>
      </c>
      <c r="R275" s="82" t="s">
        <v>45</v>
      </c>
      <c r="S275" s="44" t="s">
        <v>184</v>
      </c>
      <c r="T275" s="3" t="s">
        <v>71</v>
      </c>
      <c r="U275" s="2" t="s">
        <v>29</v>
      </c>
      <c r="V275" s="3" t="s">
        <v>29</v>
      </c>
      <c r="W275" s="11" t="s">
        <v>153</v>
      </c>
      <c r="X275" s="3" t="s">
        <v>153</v>
      </c>
      <c r="Y275" s="77" t="s">
        <v>48</v>
      </c>
      <c r="Z275" s="84" t="s">
        <v>1477</v>
      </c>
      <c r="AA275" s="89" t="s">
        <v>28</v>
      </c>
      <c r="AB275" s="90" t="str">
        <f>HYPERLINK(CONCATENATE("https://www.ejacket.nsf.gov/ej/showProposal.do?ID=",SUBSTITUTE(SplitQueryTableRecent[[#This Row],[prop_id]],CHAR(160),"")),"eJ")</f>
        <v>eJ</v>
      </c>
      <c r="AC275" s="89" t="s">
        <v>1477</v>
      </c>
      <c r="AD275" s="3" t="s">
        <v>1477</v>
      </c>
      <c r="AE275" s="91">
        <v>2015</v>
      </c>
      <c r="AF275" s="13" t="s">
        <v>43</v>
      </c>
      <c r="AG275" s="13">
        <v>246331</v>
      </c>
      <c r="AH275" s="45">
        <v>246331</v>
      </c>
      <c r="AI275" s="44" t="s">
        <v>1275</v>
      </c>
      <c r="AJ275" s="2" t="s">
        <v>1276</v>
      </c>
      <c r="AK275" s="46" t="s">
        <v>1721</v>
      </c>
      <c r="AL275" s="55"/>
      <c r="AM275" s="45" t="s">
        <v>369</v>
      </c>
      <c r="AN275" s="56" t="s">
        <v>152</v>
      </c>
      <c r="AO275" s="23" t="s">
        <v>146</v>
      </c>
      <c r="AP275" s="11"/>
      <c r="AQ275" s="88" t="s">
        <v>950</v>
      </c>
      <c r="AR275" s="57" t="s">
        <v>164</v>
      </c>
      <c r="AS275" s="46">
        <v>42510.412442129629</v>
      </c>
      <c r="AT275" s="3">
        <f t="shared" si="3"/>
        <v>243</v>
      </c>
    </row>
    <row r="276" spans="8:46" x14ac:dyDescent="0.4">
      <c r="H276" s="59">
        <v>42992.404930555553</v>
      </c>
      <c r="I276" s="43">
        <v>42240</v>
      </c>
      <c r="J276" s="42">
        <v>1</v>
      </c>
      <c r="K276" s="81" t="s">
        <v>49</v>
      </c>
      <c r="L276" t="s">
        <v>49</v>
      </c>
      <c r="M276" t="s">
        <v>336</v>
      </c>
      <c r="N276" s="1" t="s">
        <v>336</v>
      </c>
      <c r="O276" s="1" t="s">
        <v>245</v>
      </c>
      <c r="P276" t="s">
        <v>245</v>
      </c>
      <c r="Q276" s="9" t="s">
        <v>45</v>
      </c>
      <c r="R276" s="82" t="s">
        <v>45</v>
      </c>
      <c r="S276" s="44" t="s">
        <v>173</v>
      </c>
      <c r="T276" s="3" t="s">
        <v>71</v>
      </c>
      <c r="U276" s="2" t="s">
        <v>29</v>
      </c>
      <c r="V276" s="3" t="s">
        <v>29</v>
      </c>
      <c r="W276" s="11" t="s">
        <v>153</v>
      </c>
      <c r="X276" s="3" t="s">
        <v>153</v>
      </c>
      <c r="Y276" s="77" t="s">
        <v>48</v>
      </c>
      <c r="Z276" s="84" t="s">
        <v>1478</v>
      </c>
      <c r="AA276" s="89" t="s">
        <v>28</v>
      </c>
      <c r="AB276" s="90" t="str">
        <f>HYPERLINK(CONCATENATE("https://www.ejacket.nsf.gov/ej/showProposal.do?ID=",SUBSTITUTE(SplitQueryTableRecent[[#This Row],[prop_id]],CHAR(160),"")),"eJ")</f>
        <v>eJ</v>
      </c>
      <c r="AC276" s="89" t="s">
        <v>1478</v>
      </c>
      <c r="AD276" s="3" t="s">
        <v>1478</v>
      </c>
      <c r="AE276" s="91">
        <v>2014</v>
      </c>
      <c r="AF276" s="13" t="s">
        <v>43</v>
      </c>
      <c r="AG276" s="13">
        <v>120000</v>
      </c>
      <c r="AH276" s="45">
        <v>122185</v>
      </c>
      <c r="AI276" s="44" t="s">
        <v>1290</v>
      </c>
      <c r="AJ276" s="2" t="s">
        <v>520</v>
      </c>
      <c r="AK276" s="46" t="s">
        <v>1746</v>
      </c>
      <c r="AL276" s="55"/>
      <c r="AM276" s="45" t="s">
        <v>369</v>
      </c>
      <c r="AN276" s="56" t="s">
        <v>152</v>
      </c>
      <c r="AO276" s="23" t="s">
        <v>146</v>
      </c>
      <c r="AP276" s="11"/>
      <c r="AQ276" s="88" t="s">
        <v>883</v>
      </c>
      <c r="AR276" s="57" t="s">
        <v>164</v>
      </c>
      <c r="AS276" s="46">
        <v>42255.601747685185</v>
      </c>
      <c r="AT276" s="3">
        <f t="shared" si="3"/>
        <v>244</v>
      </c>
    </row>
    <row r="277" spans="8:46" x14ac:dyDescent="0.4">
      <c r="H277" s="59">
        <v>42992.404930555553</v>
      </c>
      <c r="I277" s="43">
        <v>42930</v>
      </c>
      <c r="J277" s="42">
        <v>1</v>
      </c>
      <c r="K277" s="81" t="s">
        <v>49</v>
      </c>
      <c r="L277" t="s">
        <v>49</v>
      </c>
      <c r="M277" t="s">
        <v>336</v>
      </c>
      <c r="N277" s="1" t="s">
        <v>336</v>
      </c>
      <c r="O277" s="1" t="s">
        <v>230</v>
      </c>
      <c r="P277" t="s">
        <v>230</v>
      </c>
      <c r="Q277" s="9" t="s">
        <v>45</v>
      </c>
      <c r="R277" s="82" t="s">
        <v>45</v>
      </c>
      <c r="S277" s="44" t="s">
        <v>184</v>
      </c>
      <c r="T277" s="3" t="s">
        <v>71</v>
      </c>
      <c r="U277" s="2" t="s">
        <v>29</v>
      </c>
      <c r="V277" s="3" t="s">
        <v>29</v>
      </c>
      <c r="W277" s="11" t="s">
        <v>153</v>
      </c>
      <c r="X277" s="3" t="s">
        <v>153</v>
      </c>
      <c r="Y277" s="77" t="s">
        <v>48</v>
      </c>
      <c r="Z277" s="84" t="s">
        <v>1479</v>
      </c>
      <c r="AA277" s="89" t="s">
        <v>28</v>
      </c>
      <c r="AB277" s="90" t="str">
        <f>HYPERLINK(CONCATENATE("https://www.ejacket.nsf.gov/ej/showProposal.do?ID=",SUBSTITUTE(SplitQueryTableRecent[[#This Row],[prop_id]],CHAR(160),"")),"eJ")</f>
        <v>eJ</v>
      </c>
      <c r="AC277" s="89" t="s">
        <v>1479</v>
      </c>
      <c r="AD277" s="3" t="s">
        <v>1479</v>
      </c>
      <c r="AE277" s="91">
        <v>2015</v>
      </c>
      <c r="AF277" s="13" t="s">
        <v>43</v>
      </c>
      <c r="AG277" s="13">
        <v>206012</v>
      </c>
      <c r="AH277" s="45">
        <v>206012</v>
      </c>
      <c r="AI277" s="44" t="s">
        <v>218</v>
      </c>
      <c r="AJ277" s="2" t="s">
        <v>1301</v>
      </c>
      <c r="AK277" s="46" t="s">
        <v>504</v>
      </c>
      <c r="AL277" s="55" t="s">
        <v>572</v>
      </c>
      <c r="AM277" s="45" t="s">
        <v>369</v>
      </c>
      <c r="AN277" s="56" t="s">
        <v>152</v>
      </c>
      <c r="AO277" s="23" t="s">
        <v>146</v>
      </c>
      <c r="AP277" s="11"/>
      <c r="AQ277" s="88" t="s">
        <v>1303</v>
      </c>
      <c r="AR277" s="57" t="s">
        <v>188</v>
      </c>
      <c r="AS277" s="46">
        <v>42978.632430555554</v>
      </c>
      <c r="AT277" s="3">
        <f t="shared" si="3"/>
        <v>245</v>
      </c>
    </row>
    <row r="278" spans="8:46" x14ac:dyDescent="0.4">
      <c r="H278" s="59">
        <v>42992.404930555553</v>
      </c>
      <c r="I278" s="43">
        <v>42923</v>
      </c>
      <c r="J278" s="42">
        <v>1</v>
      </c>
      <c r="K278" s="81" t="s">
        <v>137</v>
      </c>
      <c r="L278" t="s">
        <v>49</v>
      </c>
      <c r="M278" t="s">
        <v>344</v>
      </c>
      <c r="N278" s="1" t="s">
        <v>336</v>
      </c>
      <c r="O278" s="1" t="s">
        <v>1097</v>
      </c>
      <c r="P278" t="s">
        <v>1097</v>
      </c>
      <c r="Q278" s="9" t="s">
        <v>45</v>
      </c>
      <c r="R278" s="82" t="s">
        <v>45</v>
      </c>
      <c r="S278" s="44" t="s">
        <v>375</v>
      </c>
      <c r="T278" s="3" t="s">
        <v>71</v>
      </c>
      <c r="U278" s="2" t="s">
        <v>29</v>
      </c>
      <c r="V278" s="3" t="s">
        <v>29</v>
      </c>
      <c r="W278" s="11" t="s">
        <v>153</v>
      </c>
      <c r="X278" s="3" t="s">
        <v>153</v>
      </c>
      <c r="Y278" s="77" t="s">
        <v>334</v>
      </c>
      <c r="Z278" s="84" t="s">
        <v>1480</v>
      </c>
      <c r="AA278" s="89" t="s">
        <v>28</v>
      </c>
      <c r="AB278" s="90" t="str">
        <f>HYPERLINK(CONCATENATE("https://www.ejacket.nsf.gov/ej/showProposal.do?ID=",SUBSTITUTE(SplitQueryTableRecent[[#This Row],[prop_id]],CHAR(160),"")),"eJ")</f>
        <v>eJ</v>
      </c>
      <c r="AC278" s="89" t="s">
        <v>1480</v>
      </c>
      <c r="AD278" s="3" t="s">
        <v>1480</v>
      </c>
      <c r="AE278" s="91">
        <v>2016</v>
      </c>
      <c r="AF278" s="13" t="s">
        <v>44</v>
      </c>
      <c r="AG278" s="13">
        <v>169092</v>
      </c>
      <c r="AH278" s="45">
        <v>338185</v>
      </c>
      <c r="AI278" s="44" t="s">
        <v>506</v>
      </c>
      <c r="AJ278" s="2" t="s">
        <v>507</v>
      </c>
      <c r="AK278" s="46" t="s">
        <v>1710</v>
      </c>
      <c r="AL278" s="55" t="s">
        <v>544</v>
      </c>
      <c r="AM278" s="45" t="s">
        <v>1310</v>
      </c>
      <c r="AN278" s="56" t="s">
        <v>152</v>
      </c>
      <c r="AO278" s="23" t="s">
        <v>146</v>
      </c>
      <c r="AP278" s="11"/>
      <c r="AQ278" s="88" t="s">
        <v>1309</v>
      </c>
      <c r="AR278" s="57" t="s">
        <v>362</v>
      </c>
      <c r="AS278" s="46">
        <v>42990.38380787037</v>
      </c>
      <c r="AT278" s="3">
        <f t="shared" si="3"/>
        <v>246</v>
      </c>
    </row>
    <row r="279" spans="8:46" x14ac:dyDescent="0.4">
      <c r="H279" s="59">
        <v>42992.404930555553</v>
      </c>
      <c r="I279" s="43">
        <v>41831</v>
      </c>
      <c r="J279" s="42">
        <v>41838.586655092593</v>
      </c>
      <c r="K279" s="81" t="s">
        <v>49</v>
      </c>
      <c r="L279" t="s">
        <v>49</v>
      </c>
      <c r="M279" t="s">
        <v>336</v>
      </c>
      <c r="N279" s="1" t="s">
        <v>336</v>
      </c>
      <c r="O279" s="1" t="s">
        <v>337</v>
      </c>
      <c r="P279" t="s">
        <v>337</v>
      </c>
      <c r="Q279" s="9" t="s">
        <v>45</v>
      </c>
      <c r="R279" s="82" t="s">
        <v>45</v>
      </c>
      <c r="S279" s="44" t="s">
        <v>52</v>
      </c>
      <c r="T279" s="3" t="s">
        <v>1481</v>
      </c>
      <c r="U279" s="2" t="s">
        <v>29</v>
      </c>
      <c r="V279" s="3" t="s">
        <v>29</v>
      </c>
      <c r="W279" s="11" t="s">
        <v>153</v>
      </c>
      <c r="X279" s="3" t="s">
        <v>153</v>
      </c>
      <c r="Y279" s="77" t="s">
        <v>48</v>
      </c>
      <c r="Z279" s="84" t="s">
        <v>1482</v>
      </c>
      <c r="AA279" s="89" t="s">
        <v>28</v>
      </c>
      <c r="AB279" s="90" t="str">
        <f>HYPERLINK(CONCATENATE("https://www.ejacket.nsf.gov/ej/showProposal.do?ID=",SUBSTITUTE(SplitQueryTableRecent[[#This Row],[prop_id]],CHAR(160),"")),"eJ")</f>
        <v>eJ</v>
      </c>
      <c r="AC279" s="89" t="s">
        <v>1483</v>
      </c>
      <c r="AD279" s="3" t="s">
        <v>1482</v>
      </c>
      <c r="AE279" s="91">
        <v>2014</v>
      </c>
      <c r="AF279" s="13" t="s">
        <v>43</v>
      </c>
      <c r="AG279" s="13">
        <v>417034</v>
      </c>
      <c r="AH279" s="45">
        <v>417034</v>
      </c>
      <c r="AI279" s="44" t="s">
        <v>657</v>
      </c>
      <c r="AJ279" s="2" t="s">
        <v>1486</v>
      </c>
      <c r="AK279" s="46" t="s">
        <v>1718</v>
      </c>
      <c r="AL279" s="55" t="s">
        <v>341</v>
      </c>
      <c r="AM279" s="45" t="s">
        <v>1485</v>
      </c>
      <c r="AN279" s="56" t="s">
        <v>152</v>
      </c>
      <c r="AO279" s="23" t="s">
        <v>146</v>
      </c>
      <c r="AP279" s="11"/>
      <c r="AQ279" s="88" t="s">
        <v>1484</v>
      </c>
      <c r="AR279" s="57" t="s">
        <v>164</v>
      </c>
      <c r="AS279" s="46">
        <v>41869.502766203703</v>
      </c>
      <c r="AT279" s="3">
        <f t="shared" si="3"/>
        <v>247</v>
      </c>
    </row>
    <row r="280" spans="8:46" x14ac:dyDescent="0.4">
      <c r="H280" s="59">
        <v>42992.404930555553</v>
      </c>
      <c r="I280" s="43">
        <v>41191.64166666667</v>
      </c>
      <c r="J280" s="42">
        <v>41322.729386574072</v>
      </c>
      <c r="K280" s="81" t="s">
        <v>49</v>
      </c>
      <c r="L280" t="s">
        <v>49</v>
      </c>
      <c r="M280" t="s">
        <v>336</v>
      </c>
      <c r="N280" s="1" t="s">
        <v>336</v>
      </c>
      <c r="O280" s="1" t="s">
        <v>245</v>
      </c>
      <c r="P280" t="s">
        <v>245</v>
      </c>
      <c r="Q280" s="9" t="s">
        <v>45</v>
      </c>
      <c r="R280" s="82" t="s">
        <v>45</v>
      </c>
      <c r="S280" s="44" t="s">
        <v>165</v>
      </c>
      <c r="T280" s="3" t="s">
        <v>61</v>
      </c>
      <c r="U280" s="2" t="s">
        <v>29</v>
      </c>
      <c r="V280" s="3" t="s">
        <v>29</v>
      </c>
      <c r="W280" s="11" t="s">
        <v>143</v>
      </c>
      <c r="X280" s="3" t="s">
        <v>143</v>
      </c>
      <c r="Y280" s="77" t="s">
        <v>48</v>
      </c>
      <c r="Z280" s="84" t="s">
        <v>1488</v>
      </c>
      <c r="AA280" s="89" t="s">
        <v>174</v>
      </c>
      <c r="AB280" s="90" t="str">
        <f>HYPERLINK(CONCATENATE("https://www.ejacket.nsf.gov/ej/showProposal.do?ID=",SUBSTITUTE(SplitQueryTableRecent[[#This Row],[prop_id]],CHAR(160),"")),"eJ")</f>
        <v>eJ</v>
      </c>
      <c r="AC280" s="89" t="s">
        <v>1488</v>
      </c>
      <c r="AD280" s="3" t="s">
        <v>1488</v>
      </c>
      <c r="AE280" s="91">
        <v>2015</v>
      </c>
      <c r="AF280" s="13" t="s">
        <v>43</v>
      </c>
      <c r="AG280" s="13">
        <v>185806</v>
      </c>
      <c r="AH280" s="45">
        <v>516902</v>
      </c>
      <c r="AI280" s="44" t="s">
        <v>1492</v>
      </c>
      <c r="AJ280" s="2" t="s">
        <v>1493</v>
      </c>
      <c r="AK280" s="46" t="s">
        <v>303</v>
      </c>
      <c r="AL280" s="55" t="s">
        <v>1490</v>
      </c>
      <c r="AM280" s="45" t="s">
        <v>1491</v>
      </c>
      <c r="AN280" s="56" t="s">
        <v>142</v>
      </c>
      <c r="AO280" s="23" t="s">
        <v>146</v>
      </c>
      <c r="AP280" s="11" t="s">
        <v>382</v>
      </c>
      <c r="AQ280" s="88" t="s">
        <v>1489</v>
      </c>
      <c r="AR280" s="57" t="s">
        <v>1494</v>
      </c>
      <c r="AS280" s="46">
        <v>41470.459479166668</v>
      </c>
      <c r="AT280" s="3">
        <f t="shared" si="3"/>
        <v>248</v>
      </c>
    </row>
    <row r="281" spans="8:46" x14ac:dyDescent="0.4">
      <c r="H281" s="59">
        <v>42992.404930555553</v>
      </c>
      <c r="I281" s="43">
        <v>42018.533333333333</v>
      </c>
      <c r="J281" s="42">
        <v>42209.398946759262</v>
      </c>
      <c r="K281" s="81" t="s">
        <v>222</v>
      </c>
      <c r="L281" t="s">
        <v>49</v>
      </c>
      <c r="M281" t="s">
        <v>945</v>
      </c>
      <c r="N281" s="1" t="s">
        <v>336</v>
      </c>
      <c r="O281" s="1" t="s">
        <v>637</v>
      </c>
      <c r="P281" t="s">
        <v>337</v>
      </c>
      <c r="Q281" s="9" t="s">
        <v>45</v>
      </c>
      <c r="R281" s="82" t="s">
        <v>1496</v>
      </c>
      <c r="S281" s="44" t="s">
        <v>1248</v>
      </c>
      <c r="T281" s="3" t="s">
        <v>61</v>
      </c>
      <c r="U281" s="2" t="s">
        <v>29</v>
      </c>
      <c r="V281" s="3" t="s">
        <v>29</v>
      </c>
      <c r="W281" s="11" t="s">
        <v>143</v>
      </c>
      <c r="X281" s="3" t="s">
        <v>143</v>
      </c>
      <c r="Y281" s="77" t="s">
        <v>548</v>
      </c>
      <c r="Z281" s="84" t="s">
        <v>1497</v>
      </c>
      <c r="AA281" s="89" t="s">
        <v>28</v>
      </c>
      <c r="AB281" s="90" t="str">
        <f>HYPERLINK(CONCATENATE("https://www.ejacket.nsf.gov/ej/showProposal.do?ID=",SUBSTITUTE(SplitQueryTableRecent[[#This Row],[prop_id]],CHAR(160),"")),"eJ")</f>
        <v>eJ</v>
      </c>
      <c r="AC281" s="89" t="s">
        <v>1497</v>
      </c>
      <c r="AD281" s="3" t="s">
        <v>1497</v>
      </c>
      <c r="AE281" s="91">
        <v>2015</v>
      </c>
      <c r="AF281" s="13" t="s">
        <v>43</v>
      </c>
      <c r="AG281" s="13">
        <v>150000</v>
      </c>
      <c r="AH281" s="45">
        <v>441933</v>
      </c>
      <c r="AI281" s="44" t="s">
        <v>1500</v>
      </c>
      <c r="AJ281" s="2" t="s">
        <v>613</v>
      </c>
      <c r="AK281" s="46" t="s">
        <v>1731</v>
      </c>
      <c r="AL281" s="55" t="s">
        <v>1499</v>
      </c>
      <c r="AM281" s="45" t="s">
        <v>559</v>
      </c>
      <c r="AN281" s="56" t="s">
        <v>142</v>
      </c>
      <c r="AO281" s="23" t="s">
        <v>146</v>
      </c>
      <c r="AP281" s="11"/>
      <c r="AQ281" s="88" t="s">
        <v>1498</v>
      </c>
      <c r="AR281" s="57" t="s">
        <v>164</v>
      </c>
      <c r="AS281" s="46">
        <v>42241.632638888892</v>
      </c>
      <c r="AT281" s="3">
        <f t="shared" si="3"/>
        <v>249</v>
      </c>
    </row>
    <row r="282" spans="8:46" x14ac:dyDescent="0.4">
      <c r="H282" s="59">
        <v>42992.404930555553</v>
      </c>
      <c r="I282" s="43">
        <v>41953.552083333336</v>
      </c>
      <c r="J282" s="42">
        <v>42116.371076388888</v>
      </c>
      <c r="K282" s="81" t="s">
        <v>49</v>
      </c>
      <c r="L282" t="s">
        <v>49</v>
      </c>
      <c r="M282" t="s">
        <v>336</v>
      </c>
      <c r="N282" s="1" t="s">
        <v>336</v>
      </c>
      <c r="O282" s="1" t="s">
        <v>245</v>
      </c>
      <c r="P282" t="s">
        <v>245</v>
      </c>
      <c r="Q282" s="9" t="s">
        <v>45</v>
      </c>
      <c r="R282" s="82" t="s">
        <v>45</v>
      </c>
      <c r="S282" s="44" t="s">
        <v>184</v>
      </c>
      <c r="T282" s="3" t="s">
        <v>61</v>
      </c>
      <c r="U282" s="2" t="s">
        <v>29</v>
      </c>
      <c r="V282" s="3" t="s">
        <v>29</v>
      </c>
      <c r="W282" s="11" t="s">
        <v>143</v>
      </c>
      <c r="X282" s="3" t="s">
        <v>143</v>
      </c>
      <c r="Y282" s="77" t="s">
        <v>48</v>
      </c>
      <c r="Z282" s="84" t="s">
        <v>1502</v>
      </c>
      <c r="AA282" s="89" t="s">
        <v>62</v>
      </c>
      <c r="AB282" s="90" t="str">
        <f>HYPERLINK(CONCATENATE("https://www.ejacket.nsf.gov/ej/showProposal.do?ID=",SUBSTITUTE(SplitQueryTableRecent[[#This Row],[prop_id]],CHAR(160),"")),"eJ")</f>
        <v>eJ</v>
      </c>
      <c r="AC282" s="89" t="s">
        <v>1501</v>
      </c>
      <c r="AD282" s="3" t="s">
        <v>1501</v>
      </c>
      <c r="AE282" s="91">
        <v>2015</v>
      </c>
      <c r="AF282" s="13" t="s">
        <v>43</v>
      </c>
      <c r="AG282" s="13">
        <v>191500</v>
      </c>
      <c r="AH282" s="45">
        <v>400000</v>
      </c>
      <c r="AI282" s="44" t="s">
        <v>614</v>
      </c>
      <c r="AJ282" s="2" t="s">
        <v>322</v>
      </c>
      <c r="AK282" s="46" t="s">
        <v>212</v>
      </c>
      <c r="AL282" s="55" t="s">
        <v>353</v>
      </c>
      <c r="AM282" s="45" t="s">
        <v>353</v>
      </c>
      <c r="AN282" s="56" t="s">
        <v>142</v>
      </c>
      <c r="AO282" s="23" t="s">
        <v>146</v>
      </c>
      <c r="AP282" s="11"/>
      <c r="AQ282" s="88" t="s">
        <v>1503</v>
      </c>
      <c r="AR282" s="57" t="s">
        <v>164</v>
      </c>
      <c r="AS282" s="46">
        <v>42152.584467592591</v>
      </c>
      <c r="AT282" s="3">
        <f t="shared" ref="AT282:AT345" si="4">IF(AD282=AD281,AT281,AT281+1)</f>
        <v>250</v>
      </c>
    </row>
    <row r="283" spans="8:46" x14ac:dyDescent="0.4">
      <c r="H283" s="59">
        <v>42992.404930555553</v>
      </c>
      <c r="I283" s="43">
        <v>41953.552083333336</v>
      </c>
      <c r="J283" s="42">
        <v>42116.371076388888</v>
      </c>
      <c r="K283" s="81" t="s">
        <v>49</v>
      </c>
      <c r="L283" t="s">
        <v>49</v>
      </c>
      <c r="M283" t="s">
        <v>336</v>
      </c>
      <c r="N283" s="1" t="s">
        <v>336</v>
      </c>
      <c r="O283" s="1" t="s">
        <v>245</v>
      </c>
      <c r="P283" t="s">
        <v>245</v>
      </c>
      <c r="Q283" s="9" t="s">
        <v>45</v>
      </c>
      <c r="R283" s="82" t="s">
        <v>45</v>
      </c>
      <c r="S283" s="44" t="s">
        <v>184</v>
      </c>
      <c r="T283" s="3" t="s">
        <v>61</v>
      </c>
      <c r="U283" s="2" t="s">
        <v>29</v>
      </c>
      <c r="V283" s="3" t="s">
        <v>29</v>
      </c>
      <c r="W283" s="11" t="s">
        <v>143</v>
      </c>
      <c r="X283" s="3" t="s">
        <v>143</v>
      </c>
      <c r="Y283" s="77" t="s">
        <v>48</v>
      </c>
      <c r="Z283" s="84" t="s">
        <v>1502</v>
      </c>
      <c r="AA283" s="89" t="s">
        <v>62</v>
      </c>
      <c r="AB283" s="90" t="str">
        <f>HYPERLINK(CONCATENATE("https://www.ejacket.nsf.gov/ej/showProposal.do?ID=",SUBSTITUTE(SplitQueryTableRecent[[#This Row],[prop_id]],CHAR(160),"")),"eJ")</f>
        <v>eJ</v>
      </c>
      <c r="AC283" s="89" t="s">
        <v>1501</v>
      </c>
      <c r="AD283" s="3" t="s">
        <v>1501</v>
      </c>
      <c r="AE283" s="91">
        <v>2017</v>
      </c>
      <c r="AF283" s="13" t="s">
        <v>43</v>
      </c>
      <c r="AG283" s="13">
        <v>208500</v>
      </c>
      <c r="AH283" s="45">
        <v>400000</v>
      </c>
      <c r="AI283" s="44" t="s">
        <v>614</v>
      </c>
      <c r="AJ283" s="2" t="s">
        <v>322</v>
      </c>
      <c r="AK283" s="46" t="s">
        <v>212</v>
      </c>
      <c r="AL283" s="55" t="s">
        <v>353</v>
      </c>
      <c r="AM283" s="45" t="s">
        <v>353</v>
      </c>
      <c r="AN283" s="56" t="s">
        <v>142</v>
      </c>
      <c r="AO283" s="23" t="s">
        <v>146</v>
      </c>
      <c r="AP283" s="11" t="s">
        <v>172</v>
      </c>
      <c r="AQ283" s="88" t="s">
        <v>1503</v>
      </c>
      <c r="AR283" s="57" t="s">
        <v>1504</v>
      </c>
      <c r="AS283" s="46">
        <v>42983.612175925926</v>
      </c>
      <c r="AT283" s="3">
        <f t="shared" si="4"/>
        <v>250</v>
      </c>
    </row>
    <row r="284" spans="8:46" x14ac:dyDescent="0.4">
      <c r="H284" s="59">
        <v>42992.404930555553</v>
      </c>
      <c r="I284" s="43">
        <v>41953.56527777778</v>
      </c>
      <c r="J284" s="42">
        <v>42163.373356481483</v>
      </c>
      <c r="K284" s="81" t="s">
        <v>49</v>
      </c>
      <c r="L284" t="s">
        <v>49</v>
      </c>
      <c r="M284" t="s">
        <v>336</v>
      </c>
      <c r="N284" s="1" t="s">
        <v>336</v>
      </c>
      <c r="O284" s="1" t="s">
        <v>337</v>
      </c>
      <c r="P284" t="s">
        <v>337</v>
      </c>
      <c r="Q284" s="9" t="s">
        <v>45</v>
      </c>
      <c r="R284" s="82" t="s">
        <v>45</v>
      </c>
      <c r="S284" s="44" t="s">
        <v>184</v>
      </c>
      <c r="T284" s="3" t="s">
        <v>61</v>
      </c>
      <c r="U284" s="2" t="s">
        <v>29</v>
      </c>
      <c r="V284" s="3" t="s">
        <v>29</v>
      </c>
      <c r="W284" s="11" t="s">
        <v>143</v>
      </c>
      <c r="X284" s="3" t="s">
        <v>143</v>
      </c>
      <c r="Y284" s="77" t="s">
        <v>48</v>
      </c>
      <c r="Z284" s="84" t="s">
        <v>1505</v>
      </c>
      <c r="AA284" s="89" t="s">
        <v>28</v>
      </c>
      <c r="AB284" s="90" t="str">
        <f>HYPERLINK(CONCATENATE("https://www.ejacket.nsf.gov/ej/showProposal.do?ID=",SUBSTITUTE(SplitQueryTableRecent[[#This Row],[prop_id]],CHAR(160),"")),"eJ")</f>
        <v>eJ</v>
      </c>
      <c r="AC284" s="89" t="s">
        <v>1505</v>
      </c>
      <c r="AD284" s="3" t="s">
        <v>1505</v>
      </c>
      <c r="AE284" s="91">
        <v>2015</v>
      </c>
      <c r="AF284" s="13" t="s">
        <v>43</v>
      </c>
      <c r="AG284" s="13">
        <v>589412</v>
      </c>
      <c r="AH284" s="45">
        <v>1200000</v>
      </c>
      <c r="AI284" s="44" t="s">
        <v>1507</v>
      </c>
      <c r="AJ284" s="2" t="s">
        <v>622</v>
      </c>
      <c r="AK284" s="46" t="s">
        <v>1726</v>
      </c>
      <c r="AL284" s="55" t="s">
        <v>341</v>
      </c>
      <c r="AM284" s="45" t="s">
        <v>341</v>
      </c>
      <c r="AN284" s="56" t="s">
        <v>142</v>
      </c>
      <c r="AO284" s="23" t="s">
        <v>146</v>
      </c>
      <c r="AP284" s="11"/>
      <c r="AQ284" s="88" t="s">
        <v>1506</v>
      </c>
      <c r="AR284" s="57" t="s">
        <v>164</v>
      </c>
      <c r="AS284" s="46">
        <v>42184.516944444447</v>
      </c>
      <c r="AT284" s="3">
        <f t="shared" si="4"/>
        <v>251</v>
      </c>
    </row>
    <row r="285" spans="8:46" x14ac:dyDescent="0.4">
      <c r="H285" s="59">
        <v>42992.404930555553</v>
      </c>
      <c r="I285" s="43">
        <v>41953.56527777778</v>
      </c>
      <c r="J285" s="42">
        <v>42163.373356481483</v>
      </c>
      <c r="K285" s="81" t="s">
        <v>49</v>
      </c>
      <c r="L285" t="s">
        <v>49</v>
      </c>
      <c r="M285" t="s">
        <v>336</v>
      </c>
      <c r="N285" s="1" t="s">
        <v>336</v>
      </c>
      <c r="O285" s="1" t="s">
        <v>337</v>
      </c>
      <c r="P285" t="s">
        <v>337</v>
      </c>
      <c r="Q285" s="9" t="s">
        <v>45</v>
      </c>
      <c r="R285" s="82" t="s">
        <v>45</v>
      </c>
      <c r="S285" s="44" t="s">
        <v>184</v>
      </c>
      <c r="T285" s="3" t="s">
        <v>61</v>
      </c>
      <c r="U285" s="2" t="s">
        <v>29</v>
      </c>
      <c r="V285" s="3" t="s">
        <v>29</v>
      </c>
      <c r="W285" s="11" t="s">
        <v>143</v>
      </c>
      <c r="X285" s="3" t="s">
        <v>143</v>
      </c>
      <c r="Y285" s="77" t="s">
        <v>48</v>
      </c>
      <c r="Z285" s="84" t="s">
        <v>1505</v>
      </c>
      <c r="AA285" s="89" t="s">
        <v>28</v>
      </c>
      <c r="AB285" s="90" t="str">
        <f>HYPERLINK(CONCATENATE("https://www.ejacket.nsf.gov/ej/showProposal.do?ID=",SUBSTITUTE(SplitQueryTableRecent[[#This Row],[prop_id]],CHAR(160),"")),"eJ")</f>
        <v>eJ</v>
      </c>
      <c r="AC285" s="89" t="s">
        <v>1505</v>
      </c>
      <c r="AD285" s="3" t="s">
        <v>1505</v>
      </c>
      <c r="AE285" s="91">
        <v>2017</v>
      </c>
      <c r="AF285" s="13" t="s">
        <v>43</v>
      </c>
      <c r="AG285" s="13">
        <v>600000</v>
      </c>
      <c r="AH285" s="45">
        <v>1200000</v>
      </c>
      <c r="AI285" s="44" t="s">
        <v>1507</v>
      </c>
      <c r="AJ285" s="2" t="s">
        <v>622</v>
      </c>
      <c r="AK285" s="46" t="s">
        <v>1726</v>
      </c>
      <c r="AL285" s="55" t="s">
        <v>341</v>
      </c>
      <c r="AM285" s="45" t="s">
        <v>341</v>
      </c>
      <c r="AN285" s="56" t="s">
        <v>142</v>
      </c>
      <c r="AO285" s="23" t="s">
        <v>146</v>
      </c>
      <c r="AP285" s="11" t="s">
        <v>1508</v>
      </c>
      <c r="AQ285" s="88" t="s">
        <v>1506</v>
      </c>
      <c r="AR285" s="57" t="s">
        <v>164</v>
      </c>
      <c r="AS285" s="46">
        <v>42184.516944444447</v>
      </c>
      <c r="AT285" s="3">
        <f t="shared" si="4"/>
        <v>251</v>
      </c>
    </row>
    <row r="286" spans="8:46" x14ac:dyDescent="0.4">
      <c r="H286" s="59">
        <v>42992.404930555553</v>
      </c>
      <c r="I286" s="43">
        <v>41191.702777777777</v>
      </c>
      <c r="J286" s="42">
        <v>41419.627974537034</v>
      </c>
      <c r="K286" s="81" t="s">
        <v>49</v>
      </c>
      <c r="L286" t="s">
        <v>49</v>
      </c>
      <c r="M286" t="s">
        <v>336</v>
      </c>
      <c r="N286" s="1" t="s">
        <v>336</v>
      </c>
      <c r="O286" s="1" t="s">
        <v>245</v>
      </c>
      <c r="P286" t="s">
        <v>245</v>
      </c>
      <c r="Q286" s="9" t="s">
        <v>45</v>
      </c>
      <c r="R286" s="82" t="s">
        <v>45</v>
      </c>
      <c r="S286" s="44" t="s">
        <v>165</v>
      </c>
      <c r="T286" s="3" t="s">
        <v>61</v>
      </c>
      <c r="U286" s="2" t="s">
        <v>29</v>
      </c>
      <c r="V286" s="3" t="s">
        <v>29</v>
      </c>
      <c r="W286" s="11" t="s">
        <v>143</v>
      </c>
      <c r="X286" s="3" t="s">
        <v>143</v>
      </c>
      <c r="Y286" s="77" t="s">
        <v>48</v>
      </c>
      <c r="Z286" s="84" t="s">
        <v>1510</v>
      </c>
      <c r="AA286" s="89" t="s">
        <v>62</v>
      </c>
      <c r="AB286" s="90" t="str">
        <f>HYPERLINK(CONCATENATE("https://www.ejacket.nsf.gov/ej/showProposal.do?ID=",SUBSTITUTE(SplitQueryTableRecent[[#This Row],[prop_id]],CHAR(160),"")),"eJ")</f>
        <v>eJ</v>
      </c>
      <c r="AC286" s="89" t="s">
        <v>1509</v>
      </c>
      <c r="AD286" s="3" t="s">
        <v>1509</v>
      </c>
      <c r="AE286" s="91">
        <v>2014</v>
      </c>
      <c r="AF286" s="13" t="s">
        <v>43</v>
      </c>
      <c r="AG286" s="13">
        <v>97119</v>
      </c>
      <c r="AH286" s="45">
        <v>395376</v>
      </c>
      <c r="AI286" s="44" t="s">
        <v>1512</v>
      </c>
      <c r="AJ286" s="2" t="s">
        <v>1513</v>
      </c>
      <c r="AK286" s="46" t="s">
        <v>1719</v>
      </c>
      <c r="AL286" s="55" t="s">
        <v>353</v>
      </c>
      <c r="AM286" s="45" t="s">
        <v>353</v>
      </c>
      <c r="AN286" s="56" t="s">
        <v>142</v>
      </c>
      <c r="AO286" s="23" t="s">
        <v>146</v>
      </c>
      <c r="AP286" s="11" t="s">
        <v>172</v>
      </c>
      <c r="AQ286" s="88" t="s">
        <v>1511</v>
      </c>
      <c r="AR286" s="57" t="s">
        <v>1514</v>
      </c>
      <c r="AS286" s="46">
        <v>41800.598124999997</v>
      </c>
      <c r="AT286" s="3">
        <f t="shared" si="4"/>
        <v>252</v>
      </c>
    </row>
    <row r="287" spans="8:46" x14ac:dyDescent="0.4">
      <c r="H287" s="59">
        <v>42992.404930555553</v>
      </c>
      <c r="I287" s="43">
        <v>41191.702777777777</v>
      </c>
      <c r="J287" s="42">
        <v>41419.627974537034</v>
      </c>
      <c r="K287" s="81" t="s">
        <v>49</v>
      </c>
      <c r="L287" t="s">
        <v>49</v>
      </c>
      <c r="M287" t="s">
        <v>336</v>
      </c>
      <c r="N287" s="1" t="s">
        <v>336</v>
      </c>
      <c r="O287" s="1" t="s">
        <v>245</v>
      </c>
      <c r="P287" t="s">
        <v>245</v>
      </c>
      <c r="Q287" s="9" t="s">
        <v>45</v>
      </c>
      <c r="R287" s="82" t="s">
        <v>45</v>
      </c>
      <c r="S287" s="44" t="s">
        <v>165</v>
      </c>
      <c r="T287" s="3" t="s">
        <v>61</v>
      </c>
      <c r="U287" s="2" t="s">
        <v>29</v>
      </c>
      <c r="V287" s="3" t="s">
        <v>29</v>
      </c>
      <c r="W287" s="11" t="s">
        <v>143</v>
      </c>
      <c r="X287" s="3" t="s">
        <v>143</v>
      </c>
      <c r="Y287" s="77" t="s">
        <v>48</v>
      </c>
      <c r="Z287" s="84" t="s">
        <v>1510</v>
      </c>
      <c r="AA287" s="89" t="s">
        <v>62</v>
      </c>
      <c r="AB287" s="90" t="str">
        <f>HYPERLINK(CONCATENATE("https://www.ejacket.nsf.gov/ej/showProposal.do?ID=",SUBSTITUTE(SplitQueryTableRecent[[#This Row],[prop_id]],CHAR(160),"")),"eJ")</f>
        <v>eJ</v>
      </c>
      <c r="AC287" s="89" t="s">
        <v>1509</v>
      </c>
      <c r="AD287" s="3" t="s">
        <v>1509</v>
      </c>
      <c r="AE287" s="91">
        <v>2015</v>
      </c>
      <c r="AF287" s="13" t="s">
        <v>43</v>
      </c>
      <c r="AG287" s="13">
        <v>194238</v>
      </c>
      <c r="AH287" s="45">
        <v>395376</v>
      </c>
      <c r="AI287" s="44" t="s">
        <v>1512</v>
      </c>
      <c r="AJ287" s="2" t="s">
        <v>1513</v>
      </c>
      <c r="AK287" s="46" t="s">
        <v>1719</v>
      </c>
      <c r="AL287" s="55" t="s">
        <v>353</v>
      </c>
      <c r="AM287" s="45" t="s">
        <v>353</v>
      </c>
      <c r="AN287" s="56" t="s">
        <v>142</v>
      </c>
      <c r="AO287" s="23" t="s">
        <v>146</v>
      </c>
      <c r="AP287" s="11" t="s">
        <v>172</v>
      </c>
      <c r="AQ287" s="88" t="s">
        <v>1511</v>
      </c>
      <c r="AR287" s="57" t="s">
        <v>1514</v>
      </c>
      <c r="AS287" s="46">
        <v>42156.662094907406</v>
      </c>
      <c r="AT287" s="3">
        <f t="shared" si="4"/>
        <v>252</v>
      </c>
    </row>
    <row r="288" spans="8:46" x14ac:dyDescent="0.4">
      <c r="H288" s="59">
        <v>42992.404930555553</v>
      </c>
      <c r="I288" s="43">
        <v>42661.745138888888</v>
      </c>
      <c r="J288" s="42">
        <v>42833.476238425923</v>
      </c>
      <c r="K288" s="81" t="s">
        <v>49</v>
      </c>
      <c r="L288" t="s">
        <v>49</v>
      </c>
      <c r="M288" t="s">
        <v>336</v>
      </c>
      <c r="N288" s="1" t="s">
        <v>336</v>
      </c>
      <c r="O288" s="1" t="s">
        <v>337</v>
      </c>
      <c r="P288" t="s">
        <v>337</v>
      </c>
      <c r="Q288" s="9" t="s">
        <v>45</v>
      </c>
      <c r="R288" s="82" t="s">
        <v>45</v>
      </c>
      <c r="S288" s="44" t="s">
        <v>192</v>
      </c>
      <c r="T288" s="3" t="s">
        <v>61</v>
      </c>
      <c r="U288" s="2" t="s">
        <v>29</v>
      </c>
      <c r="V288" s="3" t="s">
        <v>29</v>
      </c>
      <c r="W288" s="11" t="s">
        <v>143</v>
      </c>
      <c r="X288" s="3" t="s">
        <v>143</v>
      </c>
      <c r="Y288" s="77" t="s">
        <v>48</v>
      </c>
      <c r="Z288" s="84" t="s">
        <v>339</v>
      </c>
      <c r="AA288" s="89" t="s">
        <v>62</v>
      </c>
      <c r="AB288" s="90" t="str">
        <f>HYPERLINK(CONCATENATE("https://www.ejacket.nsf.gov/ej/showProposal.do?ID=",SUBSTITUTE(SplitQueryTableRecent[[#This Row],[prop_id]],CHAR(160),"")),"eJ")</f>
        <v>eJ</v>
      </c>
      <c r="AC288" s="89" t="s">
        <v>338</v>
      </c>
      <c r="AD288" s="3" t="s">
        <v>338</v>
      </c>
      <c r="AE288" s="91">
        <v>2017</v>
      </c>
      <c r="AF288" s="13" t="s">
        <v>43</v>
      </c>
      <c r="AG288" s="13">
        <v>95826</v>
      </c>
      <c r="AH288" s="45">
        <v>399888</v>
      </c>
      <c r="AI288" s="44" t="s">
        <v>342</v>
      </c>
      <c r="AJ288" s="2" t="s">
        <v>343</v>
      </c>
      <c r="AK288" s="46" t="s">
        <v>1727</v>
      </c>
      <c r="AL288" s="55" t="s">
        <v>341</v>
      </c>
      <c r="AM288" s="45" t="s">
        <v>341</v>
      </c>
      <c r="AN288" s="56" t="s">
        <v>142</v>
      </c>
      <c r="AO288" s="23" t="s">
        <v>146</v>
      </c>
      <c r="AP288" s="11"/>
      <c r="AQ288" s="88" t="s">
        <v>340</v>
      </c>
      <c r="AR288" s="57" t="s">
        <v>188</v>
      </c>
      <c r="AS288" s="46">
        <v>42870.67863425926</v>
      </c>
      <c r="AT288" s="3">
        <f t="shared" si="4"/>
        <v>253</v>
      </c>
    </row>
    <row r="289" spans="8:46" x14ac:dyDescent="0.4">
      <c r="H289" s="59">
        <v>42992.404930555553</v>
      </c>
      <c r="I289" s="43">
        <v>42661.745138888888</v>
      </c>
      <c r="J289" s="42">
        <v>42833.476238425923</v>
      </c>
      <c r="K289" s="81" t="s">
        <v>49</v>
      </c>
      <c r="L289" t="s">
        <v>49</v>
      </c>
      <c r="M289" t="s">
        <v>336</v>
      </c>
      <c r="N289" s="1" t="s">
        <v>336</v>
      </c>
      <c r="O289" s="1" t="s">
        <v>337</v>
      </c>
      <c r="P289" t="s">
        <v>337</v>
      </c>
      <c r="Q289" s="9" t="s">
        <v>45</v>
      </c>
      <c r="R289" s="82" t="s">
        <v>45</v>
      </c>
      <c r="S289" s="44" t="s">
        <v>192</v>
      </c>
      <c r="T289" s="3" t="s">
        <v>61</v>
      </c>
      <c r="U289" s="2" t="s">
        <v>29</v>
      </c>
      <c r="V289" s="3" t="s">
        <v>29</v>
      </c>
      <c r="W289" s="11" t="s">
        <v>143</v>
      </c>
      <c r="X289" s="3" t="s">
        <v>143</v>
      </c>
      <c r="Y289" s="77" t="s">
        <v>48</v>
      </c>
      <c r="Z289" s="84" t="s">
        <v>339</v>
      </c>
      <c r="AA289" s="89" t="s">
        <v>62</v>
      </c>
      <c r="AB289" s="90" t="str">
        <f>HYPERLINK(CONCATENATE("https://www.ejacket.nsf.gov/ej/showProposal.do?ID=",SUBSTITUTE(SplitQueryTableRecent[[#This Row],[prop_id]],CHAR(160),"")),"eJ")</f>
        <v>eJ</v>
      </c>
      <c r="AC289" s="89" t="s">
        <v>338</v>
      </c>
      <c r="AD289" s="3" t="s">
        <v>338</v>
      </c>
      <c r="AE289" s="91">
        <v>2018</v>
      </c>
      <c r="AF289" s="13" t="s">
        <v>43</v>
      </c>
      <c r="AG289" s="13">
        <v>98523</v>
      </c>
      <c r="AH289" s="45">
        <v>399888</v>
      </c>
      <c r="AI289" s="44" t="s">
        <v>342</v>
      </c>
      <c r="AJ289" s="2" t="s">
        <v>343</v>
      </c>
      <c r="AK289" s="46" t="s">
        <v>1727</v>
      </c>
      <c r="AL289" s="55" t="s">
        <v>341</v>
      </c>
      <c r="AM289" s="45" t="s">
        <v>341</v>
      </c>
      <c r="AN289" s="56" t="s">
        <v>142</v>
      </c>
      <c r="AO289" s="23" t="s">
        <v>146</v>
      </c>
      <c r="AP289" s="11" t="s">
        <v>205</v>
      </c>
      <c r="AQ289" s="88" t="s">
        <v>340</v>
      </c>
      <c r="AR289" s="57" t="s">
        <v>188</v>
      </c>
      <c r="AS289" s="46">
        <v>42870.67863425926</v>
      </c>
      <c r="AT289" s="3">
        <f t="shared" si="4"/>
        <v>253</v>
      </c>
    </row>
    <row r="290" spans="8:46" x14ac:dyDescent="0.4">
      <c r="H290" s="59">
        <v>42992.404930555553</v>
      </c>
      <c r="I290" s="43">
        <v>42661.745138888888</v>
      </c>
      <c r="J290" s="42">
        <v>42833.476238425923</v>
      </c>
      <c r="K290" s="81" t="s">
        <v>49</v>
      </c>
      <c r="L290" t="s">
        <v>49</v>
      </c>
      <c r="M290" t="s">
        <v>336</v>
      </c>
      <c r="N290" s="1" t="s">
        <v>336</v>
      </c>
      <c r="O290" s="1" t="s">
        <v>337</v>
      </c>
      <c r="P290" t="s">
        <v>337</v>
      </c>
      <c r="Q290" s="9" t="s">
        <v>45</v>
      </c>
      <c r="R290" s="82" t="s">
        <v>45</v>
      </c>
      <c r="S290" s="44" t="s">
        <v>192</v>
      </c>
      <c r="T290" s="3" t="s">
        <v>61</v>
      </c>
      <c r="U290" s="2" t="s">
        <v>29</v>
      </c>
      <c r="V290" s="3" t="s">
        <v>29</v>
      </c>
      <c r="W290" s="11" t="s">
        <v>143</v>
      </c>
      <c r="X290" s="3" t="s">
        <v>143</v>
      </c>
      <c r="Y290" s="77" t="s">
        <v>48</v>
      </c>
      <c r="Z290" s="84" t="s">
        <v>339</v>
      </c>
      <c r="AA290" s="89" t="s">
        <v>62</v>
      </c>
      <c r="AB290" s="90" t="str">
        <f>HYPERLINK(CONCATENATE("https://www.ejacket.nsf.gov/ej/showProposal.do?ID=",SUBSTITUTE(SplitQueryTableRecent[[#This Row],[prop_id]],CHAR(160),"")),"eJ")</f>
        <v>eJ</v>
      </c>
      <c r="AC290" s="89" t="s">
        <v>338</v>
      </c>
      <c r="AD290" s="3" t="s">
        <v>338</v>
      </c>
      <c r="AE290" s="91">
        <v>2019</v>
      </c>
      <c r="AF290" s="13" t="s">
        <v>44</v>
      </c>
      <c r="AG290" s="13">
        <v>101320</v>
      </c>
      <c r="AH290" s="45">
        <v>399888</v>
      </c>
      <c r="AI290" s="44" t="s">
        <v>342</v>
      </c>
      <c r="AJ290" s="2" t="s">
        <v>343</v>
      </c>
      <c r="AK290" s="46" t="s">
        <v>1727</v>
      </c>
      <c r="AL290" s="55" t="s">
        <v>341</v>
      </c>
      <c r="AM290" s="45" t="s">
        <v>341</v>
      </c>
      <c r="AN290" s="56" t="s">
        <v>142</v>
      </c>
      <c r="AO290" s="23" t="s">
        <v>146</v>
      </c>
      <c r="AP290" s="11" t="s">
        <v>205</v>
      </c>
      <c r="AQ290" s="88" t="s">
        <v>340</v>
      </c>
      <c r="AR290" s="57" t="s">
        <v>188</v>
      </c>
      <c r="AS290" s="46">
        <v>42870.67863425926</v>
      </c>
      <c r="AT290" s="3">
        <f t="shared" si="4"/>
        <v>253</v>
      </c>
    </row>
    <row r="291" spans="8:46" x14ac:dyDescent="0.4">
      <c r="H291" s="59">
        <v>42992.404930555553</v>
      </c>
      <c r="I291" s="43">
        <v>42661.745138888888</v>
      </c>
      <c r="J291" s="42">
        <v>42833.476238425923</v>
      </c>
      <c r="K291" s="81" t="s">
        <v>49</v>
      </c>
      <c r="L291" t="s">
        <v>49</v>
      </c>
      <c r="M291" t="s">
        <v>336</v>
      </c>
      <c r="N291" s="1" t="s">
        <v>336</v>
      </c>
      <c r="O291" s="1" t="s">
        <v>337</v>
      </c>
      <c r="P291" t="s">
        <v>337</v>
      </c>
      <c r="Q291" s="9" t="s">
        <v>45</v>
      </c>
      <c r="R291" s="82" t="s">
        <v>45</v>
      </c>
      <c r="S291" s="44" t="s">
        <v>192</v>
      </c>
      <c r="T291" s="3" t="s">
        <v>61</v>
      </c>
      <c r="U291" s="2" t="s">
        <v>29</v>
      </c>
      <c r="V291" s="3" t="s">
        <v>29</v>
      </c>
      <c r="W291" s="11" t="s">
        <v>143</v>
      </c>
      <c r="X291" s="3" t="s">
        <v>143</v>
      </c>
      <c r="Y291" s="77" t="s">
        <v>48</v>
      </c>
      <c r="Z291" s="84" t="s">
        <v>339</v>
      </c>
      <c r="AA291" s="89" t="s">
        <v>62</v>
      </c>
      <c r="AB291" s="90" t="str">
        <f>HYPERLINK(CONCATENATE("https://www.ejacket.nsf.gov/ej/showProposal.do?ID=",SUBSTITUTE(SplitQueryTableRecent[[#This Row],[prop_id]],CHAR(160),"")),"eJ")</f>
        <v>eJ</v>
      </c>
      <c r="AC291" s="89" t="s">
        <v>338</v>
      </c>
      <c r="AD291" s="3" t="s">
        <v>338</v>
      </c>
      <c r="AE291" s="91">
        <v>2020</v>
      </c>
      <c r="AF291" s="13" t="s">
        <v>44</v>
      </c>
      <c r="AG291" s="13">
        <v>104219</v>
      </c>
      <c r="AH291" s="45">
        <v>399888</v>
      </c>
      <c r="AI291" s="44" t="s">
        <v>342</v>
      </c>
      <c r="AJ291" s="2" t="s">
        <v>343</v>
      </c>
      <c r="AK291" s="46" t="s">
        <v>1727</v>
      </c>
      <c r="AL291" s="55" t="s">
        <v>341</v>
      </c>
      <c r="AM291" s="45" t="s">
        <v>341</v>
      </c>
      <c r="AN291" s="56" t="s">
        <v>142</v>
      </c>
      <c r="AO291" s="23" t="s">
        <v>146</v>
      </c>
      <c r="AP291" s="11" t="s">
        <v>205</v>
      </c>
      <c r="AQ291" s="88" t="s">
        <v>340</v>
      </c>
      <c r="AR291" s="57" t="s">
        <v>188</v>
      </c>
      <c r="AS291" s="46">
        <v>42870.67863425926</v>
      </c>
      <c r="AT291" s="3">
        <f t="shared" si="4"/>
        <v>253</v>
      </c>
    </row>
    <row r="292" spans="8:46" x14ac:dyDescent="0.4">
      <c r="H292" s="59">
        <v>42992.404930555553</v>
      </c>
      <c r="I292" s="43">
        <v>42662.574999999997</v>
      </c>
      <c r="J292" s="42">
        <v>42833.475787037038</v>
      </c>
      <c r="K292" s="81" t="s">
        <v>49</v>
      </c>
      <c r="L292" t="s">
        <v>49</v>
      </c>
      <c r="M292" t="s">
        <v>336</v>
      </c>
      <c r="N292" s="1" t="s">
        <v>336</v>
      </c>
      <c r="O292" s="1" t="s">
        <v>337</v>
      </c>
      <c r="P292" t="s">
        <v>337</v>
      </c>
      <c r="Q292" s="9" t="s">
        <v>45</v>
      </c>
      <c r="R292" s="82" t="s">
        <v>45</v>
      </c>
      <c r="S292" s="44" t="s">
        <v>192</v>
      </c>
      <c r="T292" s="3" t="s">
        <v>61</v>
      </c>
      <c r="U292" s="2" t="s">
        <v>29</v>
      </c>
      <c r="V292" s="3" t="s">
        <v>29</v>
      </c>
      <c r="W292" s="11" t="s">
        <v>143</v>
      </c>
      <c r="X292" s="3" t="s">
        <v>143</v>
      </c>
      <c r="Y292" s="77" t="s">
        <v>48</v>
      </c>
      <c r="Z292" s="84" t="s">
        <v>339</v>
      </c>
      <c r="AA292" s="89" t="s">
        <v>174</v>
      </c>
      <c r="AB292" s="90" t="str">
        <f>HYPERLINK(CONCATENATE("https://www.ejacket.nsf.gov/ej/showProposal.do?ID=",SUBSTITUTE(SplitQueryTableRecent[[#This Row],[prop_id]],CHAR(160),"")),"eJ")</f>
        <v>eJ</v>
      </c>
      <c r="AC292" s="89" t="s">
        <v>339</v>
      </c>
      <c r="AD292" s="3" t="s">
        <v>339</v>
      </c>
      <c r="AE292" s="91">
        <v>2017</v>
      </c>
      <c r="AF292" s="13" t="s">
        <v>43</v>
      </c>
      <c r="AG292" s="13">
        <v>92922</v>
      </c>
      <c r="AH292" s="45">
        <v>400000</v>
      </c>
      <c r="AI292" s="44" t="s">
        <v>234</v>
      </c>
      <c r="AJ292" s="2" t="s">
        <v>235</v>
      </c>
      <c r="AK292" s="46" t="s">
        <v>346</v>
      </c>
      <c r="AL292" s="55" t="s">
        <v>341</v>
      </c>
      <c r="AM292" s="45" t="s">
        <v>341</v>
      </c>
      <c r="AN292" s="56" t="s">
        <v>142</v>
      </c>
      <c r="AO292" s="23" t="s">
        <v>146</v>
      </c>
      <c r="AP292" s="11"/>
      <c r="AQ292" s="88" t="s">
        <v>345</v>
      </c>
      <c r="AR292" s="57" t="s">
        <v>188</v>
      </c>
      <c r="AS292" s="46">
        <v>42870.680023148147</v>
      </c>
      <c r="AT292" s="3">
        <f t="shared" si="4"/>
        <v>254</v>
      </c>
    </row>
    <row r="293" spans="8:46" x14ac:dyDescent="0.4">
      <c r="H293" s="59">
        <v>42992.404930555553</v>
      </c>
      <c r="I293" s="43">
        <v>42662.574999999997</v>
      </c>
      <c r="J293" s="42">
        <v>42833.475787037038</v>
      </c>
      <c r="K293" s="81" t="s">
        <v>49</v>
      </c>
      <c r="L293" t="s">
        <v>49</v>
      </c>
      <c r="M293" t="s">
        <v>336</v>
      </c>
      <c r="N293" s="1" t="s">
        <v>336</v>
      </c>
      <c r="O293" s="1" t="s">
        <v>337</v>
      </c>
      <c r="P293" t="s">
        <v>337</v>
      </c>
      <c r="Q293" s="9" t="s">
        <v>45</v>
      </c>
      <c r="R293" s="82" t="s">
        <v>45</v>
      </c>
      <c r="S293" s="44" t="s">
        <v>192</v>
      </c>
      <c r="T293" s="3" t="s">
        <v>61</v>
      </c>
      <c r="U293" s="2" t="s">
        <v>29</v>
      </c>
      <c r="V293" s="3" t="s">
        <v>29</v>
      </c>
      <c r="W293" s="11" t="s">
        <v>143</v>
      </c>
      <c r="X293" s="3" t="s">
        <v>143</v>
      </c>
      <c r="Y293" s="77" t="s">
        <v>48</v>
      </c>
      <c r="Z293" s="84" t="s">
        <v>339</v>
      </c>
      <c r="AA293" s="89" t="s">
        <v>174</v>
      </c>
      <c r="AB293" s="90" t="str">
        <f>HYPERLINK(CONCATENATE("https://www.ejacket.nsf.gov/ej/showProposal.do?ID=",SUBSTITUTE(SplitQueryTableRecent[[#This Row],[prop_id]],CHAR(160),"")),"eJ")</f>
        <v>eJ</v>
      </c>
      <c r="AC293" s="89" t="s">
        <v>339</v>
      </c>
      <c r="AD293" s="3" t="s">
        <v>339</v>
      </c>
      <c r="AE293" s="91">
        <v>2018</v>
      </c>
      <c r="AF293" s="13" t="s">
        <v>43</v>
      </c>
      <c r="AG293" s="13">
        <v>100788</v>
      </c>
      <c r="AH293" s="45">
        <v>400000</v>
      </c>
      <c r="AI293" s="44" t="s">
        <v>234</v>
      </c>
      <c r="AJ293" s="2" t="s">
        <v>235</v>
      </c>
      <c r="AK293" s="46" t="s">
        <v>346</v>
      </c>
      <c r="AL293" s="55" t="s">
        <v>341</v>
      </c>
      <c r="AM293" s="45" t="s">
        <v>341</v>
      </c>
      <c r="AN293" s="56" t="s">
        <v>142</v>
      </c>
      <c r="AO293" s="23" t="s">
        <v>146</v>
      </c>
      <c r="AP293" s="11" t="s">
        <v>205</v>
      </c>
      <c r="AQ293" s="88" t="s">
        <v>345</v>
      </c>
      <c r="AR293" s="57" t="s">
        <v>188</v>
      </c>
      <c r="AS293" s="46">
        <v>42870.680023148147</v>
      </c>
      <c r="AT293" s="3">
        <f t="shared" si="4"/>
        <v>254</v>
      </c>
    </row>
    <row r="294" spans="8:46" x14ac:dyDescent="0.4">
      <c r="H294" s="59">
        <v>42992.404930555553</v>
      </c>
      <c r="I294" s="43">
        <v>42662.574999999997</v>
      </c>
      <c r="J294" s="42">
        <v>42833.475787037038</v>
      </c>
      <c r="K294" s="81" t="s">
        <v>49</v>
      </c>
      <c r="L294" t="s">
        <v>49</v>
      </c>
      <c r="M294" t="s">
        <v>336</v>
      </c>
      <c r="N294" s="1" t="s">
        <v>336</v>
      </c>
      <c r="O294" s="1" t="s">
        <v>337</v>
      </c>
      <c r="P294" t="s">
        <v>337</v>
      </c>
      <c r="Q294" s="9" t="s">
        <v>45</v>
      </c>
      <c r="R294" s="82" t="s">
        <v>45</v>
      </c>
      <c r="S294" s="44" t="s">
        <v>192</v>
      </c>
      <c r="T294" s="3" t="s">
        <v>61</v>
      </c>
      <c r="U294" s="2" t="s">
        <v>29</v>
      </c>
      <c r="V294" s="3" t="s">
        <v>29</v>
      </c>
      <c r="W294" s="11" t="s">
        <v>143</v>
      </c>
      <c r="X294" s="3" t="s">
        <v>143</v>
      </c>
      <c r="Y294" s="77" t="s">
        <v>48</v>
      </c>
      <c r="Z294" s="84" t="s">
        <v>339</v>
      </c>
      <c r="AA294" s="89" t="s">
        <v>174</v>
      </c>
      <c r="AB294" s="90" t="str">
        <f>HYPERLINK(CONCATENATE("https://www.ejacket.nsf.gov/ej/showProposal.do?ID=",SUBSTITUTE(SplitQueryTableRecent[[#This Row],[prop_id]],CHAR(160),"")),"eJ")</f>
        <v>eJ</v>
      </c>
      <c r="AC294" s="89" t="s">
        <v>339</v>
      </c>
      <c r="AD294" s="3" t="s">
        <v>339</v>
      </c>
      <c r="AE294" s="91">
        <v>2019</v>
      </c>
      <c r="AF294" s="13" t="s">
        <v>44</v>
      </c>
      <c r="AG294" s="13">
        <v>99271</v>
      </c>
      <c r="AH294" s="45">
        <v>400000</v>
      </c>
      <c r="AI294" s="44" t="s">
        <v>234</v>
      </c>
      <c r="AJ294" s="2" t="s">
        <v>235</v>
      </c>
      <c r="AK294" s="46" t="s">
        <v>346</v>
      </c>
      <c r="AL294" s="55" t="s">
        <v>341</v>
      </c>
      <c r="AM294" s="45" t="s">
        <v>341</v>
      </c>
      <c r="AN294" s="56" t="s">
        <v>142</v>
      </c>
      <c r="AO294" s="23" t="s">
        <v>146</v>
      </c>
      <c r="AP294" s="11" t="s">
        <v>205</v>
      </c>
      <c r="AQ294" s="88" t="s">
        <v>345</v>
      </c>
      <c r="AR294" s="57" t="s">
        <v>188</v>
      </c>
      <c r="AS294" s="46">
        <v>42870.680023148147</v>
      </c>
      <c r="AT294" s="3">
        <f t="shared" si="4"/>
        <v>254</v>
      </c>
    </row>
    <row r="295" spans="8:46" x14ac:dyDescent="0.4">
      <c r="H295" s="59">
        <v>42992.404930555553</v>
      </c>
      <c r="I295" s="43">
        <v>42662.574999999997</v>
      </c>
      <c r="J295" s="42">
        <v>42833.475787037038</v>
      </c>
      <c r="K295" s="81" t="s">
        <v>49</v>
      </c>
      <c r="L295" t="s">
        <v>49</v>
      </c>
      <c r="M295" t="s">
        <v>336</v>
      </c>
      <c r="N295" s="1" t="s">
        <v>336</v>
      </c>
      <c r="O295" s="1" t="s">
        <v>337</v>
      </c>
      <c r="P295" t="s">
        <v>337</v>
      </c>
      <c r="Q295" s="9" t="s">
        <v>45</v>
      </c>
      <c r="R295" s="82" t="s">
        <v>45</v>
      </c>
      <c r="S295" s="44" t="s">
        <v>192</v>
      </c>
      <c r="T295" s="3" t="s">
        <v>61</v>
      </c>
      <c r="U295" s="2" t="s">
        <v>29</v>
      </c>
      <c r="V295" s="3" t="s">
        <v>29</v>
      </c>
      <c r="W295" s="11" t="s">
        <v>143</v>
      </c>
      <c r="X295" s="3" t="s">
        <v>143</v>
      </c>
      <c r="Y295" s="77" t="s">
        <v>48</v>
      </c>
      <c r="Z295" s="84" t="s">
        <v>339</v>
      </c>
      <c r="AA295" s="89" t="s">
        <v>174</v>
      </c>
      <c r="AB295" s="90" t="str">
        <f>HYPERLINK(CONCATENATE("https://www.ejacket.nsf.gov/ej/showProposal.do?ID=",SUBSTITUTE(SplitQueryTableRecent[[#This Row],[prop_id]],CHAR(160),"")),"eJ")</f>
        <v>eJ</v>
      </c>
      <c r="AC295" s="89" t="s">
        <v>339</v>
      </c>
      <c r="AD295" s="3" t="s">
        <v>339</v>
      </c>
      <c r="AE295" s="91">
        <v>2020</v>
      </c>
      <c r="AF295" s="13" t="s">
        <v>44</v>
      </c>
      <c r="AG295" s="13">
        <v>107019</v>
      </c>
      <c r="AH295" s="45">
        <v>400000</v>
      </c>
      <c r="AI295" s="44" t="s">
        <v>234</v>
      </c>
      <c r="AJ295" s="2" t="s">
        <v>235</v>
      </c>
      <c r="AK295" s="46" t="s">
        <v>346</v>
      </c>
      <c r="AL295" s="55" t="s">
        <v>341</v>
      </c>
      <c r="AM295" s="45" t="s">
        <v>341</v>
      </c>
      <c r="AN295" s="56" t="s">
        <v>142</v>
      </c>
      <c r="AO295" s="23" t="s">
        <v>146</v>
      </c>
      <c r="AP295" s="11" t="s">
        <v>205</v>
      </c>
      <c r="AQ295" s="88" t="s">
        <v>345</v>
      </c>
      <c r="AR295" s="57" t="s">
        <v>188</v>
      </c>
      <c r="AS295" s="46">
        <v>42870.680023148147</v>
      </c>
      <c r="AT295" s="3">
        <f t="shared" si="4"/>
        <v>254</v>
      </c>
    </row>
    <row r="296" spans="8:46" x14ac:dyDescent="0.4">
      <c r="H296" s="59">
        <v>42992.404930555553</v>
      </c>
      <c r="I296" s="43">
        <v>41590.802083333336</v>
      </c>
      <c r="J296" s="42">
        <v>41834.609097222223</v>
      </c>
      <c r="K296" s="81" t="s">
        <v>49</v>
      </c>
      <c r="L296" t="s">
        <v>49</v>
      </c>
      <c r="M296" t="s">
        <v>336</v>
      </c>
      <c r="N296" s="1" t="s">
        <v>336</v>
      </c>
      <c r="O296" s="1" t="s">
        <v>337</v>
      </c>
      <c r="P296" t="s">
        <v>337</v>
      </c>
      <c r="Q296" s="9" t="s">
        <v>45</v>
      </c>
      <c r="R296" s="82" t="s">
        <v>45</v>
      </c>
      <c r="S296" s="44" t="s">
        <v>636</v>
      </c>
      <c r="T296" s="3" t="s">
        <v>61</v>
      </c>
      <c r="U296" s="2" t="s">
        <v>29</v>
      </c>
      <c r="V296" s="3" t="s">
        <v>29</v>
      </c>
      <c r="W296" s="11" t="s">
        <v>143</v>
      </c>
      <c r="X296" s="3" t="s">
        <v>143</v>
      </c>
      <c r="Y296" s="77" t="s">
        <v>48</v>
      </c>
      <c r="Z296" s="84" t="s">
        <v>1515</v>
      </c>
      <c r="AA296" s="89" t="s">
        <v>28</v>
      </c>
      <c r="AB296" s="90" t="str">
        <f>HYPERLINK(CONCATENATE("https://www.ejacket.nsf.gov/ej/showProposal.do?ID=",SUBSTITUTE(SplitQueryTableRecent[[#This Row],[prop_id]],CHAR(160),"")),"eJ")</f>
        <v>eJ</v>
      </c>
      <c r="AC296" s="89" t="s">
        <v>1515</v>
      </c>
      <c r="AD296" s="3" t="s">
        <v>1515</v>
      </c>
      <c r="AE296" s="91">
        <v>2014</v>
      </c>
      <c r="AF296" s="13" t="s">
        <v>43</v>
      </c>
      <c r="AG296" s="13">
        <v>539954</v>
      </c>
      <c r="AH296" s="45">
        <v>825669</v>
      </c>
      <c r="AI296" s="44" t="s">
        <v>402</v>
      </c>
      <c r="AJ296" s="2" t="s">
        <v>708</v>
      </c>
      <c r="AK296" s="46" t="s">
        <v>1709</v>
      </c>
      <c r="AL296" s="55" t="s">
        <v>341</v>
      </c>
      <c r="AM296" s="45" t="s">
        <v>341</v>
      </c>
      <c r="AN296" s="56" t="s">
        <v>142</v>
      </c>
      <c r="AO296" s="23" t="s">
        <v>146</v>
      </c>
      <c r="AP296" s="11"/>
      <c r="AQ296" s="88" t="s">
        <v>1516</v>
      </c>
      <c r="AR296" s="57" t="s">
        <v>164</v>
      </c>
      <c r="AS296" s="46">
        <v>41845.322604166664</v>
      </c>
      <c r="AT296" s="3">
        <f t="shared" si="4"/>
        <v>255</v>
      </c>
    </row>
    <row r="297" spans="8:46" x14ac:dyDescent="0.4">
      <c r="H297" s="59">
        <v>42992.404930555553</v>
      </c>
      <c r="I297" s="43">
        <v>41590.802083333336</v>
      </c>
      <c r="J297" s="42">
        <v>41834.609097222223</v>
      </c>
      <c r="K297" s="81" t="s">
        <v>49</v>
      </c>
      <c r="L297" t="s">
        <v>49</v>
      </c>
      <c r="M297" t="s">
        <v>336</v>
      </c>
      <c r="N297" s="1" t="s">
        <v>336</v>
      </c>
      <c r="O297" s="1" t="s">
        <v>337</v>
      </c>
      <c r="P297" t="s">
        <v>337</v>
      </c>
      <c r="Q297" s="9" t="s">
        <v>45</v>
      </c>
      <c r="R297" s="82" t="s">
        <v>45</v>
      </c>
      <c r="S297" s="44" t="s">
        <v>636</v>
      </c>
      <c r="T297" s="3" t="s">
        <v>61</v>
      </c>
      <c r="U297" s="2" t="s">
        <v>29</v>
      </c>
      <c r="V297" s="3" t="s">
        <v>29</v>
      </c>
      <c r="W297" s="11" t="s">
        <v>143</v>
      </c>
      <c r="X297" s="3" t="s">
        <v>143</v>
      </c>
      <c r="Y297" s="77" t="s">
        <v>48</v>
      </c>
      <c r="Z297" s="84" t="s">
        <v>1515</v>
      </c>
      <c r="AA297" s="89" t="s">
        <v>28</v>
      </c>
      <c r="AB297" s="90" t="str">
        <f>HYPERLINK(CONCATENATE("https://www.ejacket.nsf.gov/ej/showProposal.do?ID=",SUBSTITUTE(SplitQueryTableRecent[[#This Row],[prop_id]],CHAR(160),"")),"eJ")</f>
        <v>eJ</v>
      </c>
      <c r="AC297" s="89" t="s">
        <v>1515</v>
      </c>
      <c r="AD297" s="3" t="s">
        <v>1515</v>
      </c>
      <c r="AE297" s="91">
        <v>2016</v>
      </c>
      <c r="AF297" s="13" t="s">
        <v>43</v>
      </c>
      <c r="AG297" s="13">
        <v>285715</v>
      </c>
      <c r="AH297" s="45">
        <v>825669</v>
      </c>
      <c r="AI297" s="44" t="s">
        <v>402</v>
      </c>
      <c r="AJ297" s="2" t="s">
        <v>708</v>
      </c>
      <c r="AK297" s="46" t="s">
        <v>1709</v>
      </c>
      <c r="AL297" s="55" t="s">
        <v>341</v>
      </c>
      <c r="AM297" s="45" t="s">
        <v>341</v>
      </c>
      <c r="AN297" s="56" t="s">
        <v>142</v>
      </c>
      <c r="AO297" s="23" t="s">
        <v>146</v>
      </c>
      <c r="AP297" s="11" t="s">
        <v>172</v>
      </c>
      <c r="AQ297" s="88" t="s">
        <v>1516</v>
      </c>
      <c r="AR297" s="57" t="s">
        <v>40</v>
      </c>
      <c r="AS297" s="46">
        <v>42632.482766203706</v>
      </c>
      <c r="AT297" s="3">
        <f t="shared" si="4"/>
        <v>255</v>
      </c>
    </row>
    <row r="298" spans="8:46" x14ac:dyDescent="0.4">
      <c r="H298" s="59">
        <v>42992.404930555553</v>
      </c>
      <c r="I298" s="43">
        <v>42661.806250000001</v>
      </c>
      <c r="J298" s="42">
        <v>42814.558819444443</v>
      </c>
      <c r="K298" s="81" t="s">
        <v>49</v>
      </c>
      <c r="L298" t="s">
        <v>49</v>
      </c>
      <c r="M298" t="s">
        <v>336</v>
      </c>
      <c r="N298" s="1" t="s">
        <v>336</v>
      </c>
      <c r="O298" s="1" t="s">
        <v>230</v>
      </c>
      <c r="P298" t="s">
        <v>230</v>
      </c>
      <c r="Q298" s="9" t="s">
        <v>45</v>
      </c>
      <c r="R298" s="82" t="s">
        <v>45</v>
      </c>
      <c r="S298" s="44" t="s">
        <v>192</v>
      </c>
      <c r="T298" s="3" t="s">
        <v>61</v>
      </c>
      <c r="U298" s="2" t="s">
        <v>29</v>
      </c>
      <c r="V298" s="3" t="s">
        <v>29</v>
      </c>
      <c r="W298" s="11" t="s">
        <v>143</v>
      </c>
      <c r="X298" s="3" t="s">
        <v>143</v>
      </c>
      <c r="Y298" s="77" t="s">
        <v>48</v>
      </c>
      <c r="Z298" s="84" t="s">
        <v>351</v>
      </c>
      <c r="AA298" s="89" t="s">
        <v>174</v>
      </c>
      <c r="AB298" s="90" t="str">
        <f>HYPERLINK(CONCATENATE("https://www.ejacket.nsf.gov/ej/showProposal.do?ID=",SUBSTITUTE(SplitQueryTableRecent[[#This Row],[prop_id]],CHAR(160),"")),"eJ")</f>
        <v>eJ</v>
      </c>
      <c r="AC298" s="89" t="s">
        <v>351</v>
      </c>
      <c r="AD298" s="3" t="s">
        <v>351</v>
      </c>
      <c r="AE298" s="91">
        <v>2017</v>
      </c>
      <c r="AF298" s="13" t="s">
        <v>43</v>
      </c>
      <c r="AG298" s="13">
        <v>142255</v>
      </c>
      <c r="AH298" s="45">
        <v>800000</v>
      </c>
      <c r="AI298" s="44" t="s">
        <v>354</v>
      </c>
      <c r="AJ298" s="2" t="s">
        <v>355</v>
      </c>
      <c r="AK298" s="46" t="s">
        <v>1710</v>
      </c>
      <c r="AL298" s="55" t="s">
        <v>353</v>
      </c>
      <c r="AM298" s="45" t="s">
        <v>353</v>
      </c>
      <c r="AN298" s="56" t="s">
        <v>142</v>
      </c>
      <c r="AO298" s="23" t="s">
        <v>146</v>
      </c>
      <c r="AP298" s="11"/>
      <c r="AQ298" s="88" t="s">
        <v>352</v>
      </c>
      <c r="AR298" s="57" t="s">
        <v>188</v>
      </c>
      <c r="AS298" s="46">
        <v>42836.638657407406</v>
      </c>
      <c r="AT298" s="3">
        <f t="shared" si="4"/>
        <v>256</v>
      </c>
    </row>
    <row r="299" spans="8:46" x14ac:dyDescent="0.4">
      <c r="H299" s="59">
        <v>42992.404930555553</v>
      </c>
      <c r="I299" s="43">
        <v>42661.806250000001</v>
      </c>
      <c r="J299" s="42">
        <v>42814.558819444443</v>
      </c>
      <c r="K299" s="81" t="s">
        <v>49</v>
      </c>
      <c r="L299" t="s">
        <v>49</v>
      </c>
      <c r="M299" t="s">
        <v>336</v>
      </c>
      <c r="N299" s="1" t="s">
        <v>336</v>
      </c>
      <c r="O299" s="1" t="s">
        <v>230</v>
      </c>
      <c r="P299" t="s">
        <v>230</v>
      </c>
      <c r="Q299" s="9" t="s">
        <v>45</v>
      </c>
      <c r="R299" s="82" t="s">
        <v>45</v>
      </c>
      <c r="S299" s="44" t="s">
        <v>192</v>
      </c>
      <c r="T299" s="3" t="s">
        <v>61</v>
      </c>
      <c r="U299" s="2" t="s">
        <v>29</v>
      </c>
      <c r="V299" s="3" t="s">
        <v>29</v>
      </c>
      <c r="W299" s="11" t="s">
        <v>143</v>
      </c>
      <c r="X299" s="3" t="s">
        <v>143</v>
      </c>
      <c r="Y299" s="77" t="s">
        <v>48</v>
      </c>
      <c r="Z299" s="84" t="s">
        <v>351</v>
      </c>
      <c r="AA299" s="89" t="s">
        <v>174</v>
      </c>
      <c r="AB299" s="90" t="str">
        <f>HYPERLINK(CONCATENATE("https://www.ejacket.nsf.gov/ej/showProposal.do?ID=",SUBSTITUTE(SplitQueryTableRecent[[#This Row],[prop_id]],CHAR(160),"")),"eJ")</f>
        <v>eJ</v>
      </c>
      <c r="AC299" s="89" t="s">
        <v>351</v>
      </c>
      <c r="AD299" s="3" t="s">
        <v>351</v>
      </c>
      <c r="AE299" s="91">
        <v>2018</v>
      </c>
      <c r="AF299" s="13" t="s">
        <v>43</v>
      </c>
      <c r="AG299" s="13">
        <v>258339</v>
      </c>
      <c r="AH299" s="45">
        <v>800000</v>
      </c>
      <c r="AI299" s="44" t="s">
        <v>354</v>
      </c>
      <c r="AJ299" s="2" t="s">
        <v>355</v>
      </c>
      <c r="AK299" s="46" t="s">
        <v>1710</v>
      </c>
      <c r="AL299" s="55" t="s">
        <v>353</v>
      </c>
      <c r="AM299" s="45" t="s">
        <v>353</v>
      </c>
      <c r="AN299" s="56" t="s">
        <v>142</v>
      </c>
      <c r="AO299" s="23" t="s">
        <v>146</v>
      </c>
      <c r="AP299" s="11" t="s">
        <v>205</v>
      </c>
      <c r="AQ299" s="88" t="s">
        <v>352</v>
      </c>
      <c r="AR299" s="57" t="s">
        <v>188</v>
      </c>
      <c r="AS299" s="46">
        <v>42836.638657407406</v>
      </c>
      <c r="AT299" s="3">
        <f t="shared" si="4"/>
        <v>256</v>
      </c>
    </row>
    <row r="300" spans="8:46" x14ac:dyDescent="0.4">
      <c r="H300" s="59">
        <v>42992.404930555553</v>
      </c>
      <c r="I300" s="43">
        <v>42661.806250000001</v>
      </c>
      <c r="J300" s="42">
        <v>42814.558819444443</v>
      </c>
      <c r="K300" s="81" t="s">
        <v>49</v>
      </c>
      <c r="L300" t="s">
        <v>49</v>
      </c>
      <c r="M300" t="s">
        <v>336</v>
      </c>
      <c r="N300" s="1" t="s">
        <v>336</v>
      </c>
      <c r="O300" s="1" t="s">
        <v>230</v>
      </c>
      <c r="P300" t="s">
        <v>230</v>
      </c>
      <c r="Q300" s="9" t="s">
        <v>45</v>
      </c>
      <c r="R300" s="82" t="s">
        <v>45</v>
      </c>
      <c r="S300" s="44" t="s">
        <v>192</v>
      </c>
      <c r="T300" s="3" t="s">
        <v>61</v>
      </c>
      <c r="U300" s="2" t="s">
        <v>29</v>
      </c>
      <c r="V300" s="3" t="s">
        <v>29</v>
      </c>
      <c r="W300" s="11" t="s">
        <v>143</v>
      </c>
      <c r="X300" s="3" t="s">
        <v>143</v>
      </c>
      <c r="Y300" s="77" t="s">
        <v>48</v>
      </c>
      <c r="Z300" s="84" t="s">
        <v>351</v>
      </c>
      <c r="AA300" s="89" t="s">
        <v>174</v>
      </c>
      <c r="AB300" s="90" t="str">
        <f>HYPERLINK(CONCATENATE("https://www.ejacket.nsf.gov/ej/showProposal.do?ID=",SUBSTITUTE(SplitQueryTableRecent[[#This Row],[prop_id]],CHAR(160),"")),"eJ")</f>
        <v>eJ</v>
      </c>
      <c r="AC300" s="89" t="s">
        <v>351</v>
      </c>
      <c r="AD300" s="3" t="s">
        <v>351</v>
      </c>
      <c r="AE300" s="91">
        <v>2019</v>
      </c>
      <c r="AF300" s="13" t="s">
        <v>43</v>
      </c>
      <c r="AG300" s="13">
        <v>155529</v>
      </c>
      <c r="AH300" s="45">
        <v>800000</v>
      </c>
      <c r="AI300" s="44" t="s">
        <v>354</v>
      </c>
      <c r="AJ300" s="2" t="s">
        <v>355</v>
      </c>
      <c r="AK300" s="46" t="s">
        <v>1710</v>
      </c>
      <c r="AL300" s="55" t="s">
        <v>353</v>
      </c>
      <c r="AM300" s="45" t="s">
        <v>353</v>
      </c>
      <c r="AN300" s="56" t="s">
        <v>142</v>
      </c>
      <c r="AO300" s="23" t="s">
        <v>146</v>
      </c>
      <c r="AP300" s="11" t="s">
        <v>205</v>
      </c>
      <c r="AQ300" s="88" t="s">
        <v>352</v>
      </c>
      <c r="AR300" s="57" t="s">
        <v>188</v>
      </c>
      <c r="AS300" s="46">
        <v>42836.638657407406</v>
      </c>
      <c r="AT300" s="3">
        <f t="shared" si="4"/>
        <v>256</v>
      </c>
    </row>
    <row r="301" spans="8:46" x14ac:dyDescent="0.4">
      <c r="H301" s="59">
        <v>42992.404930555553</v>
      </c>
      <c r="I301" s="43">
        <v>42661.806250000001</v>
      </c>
      <c r="J301" s="42">
        <v>42814.558819444443</v>
      </c>
      <c r="K301" s="81" t="s">
        <v>49</v>
      </c>
      <c r="L301" t="s">
        <v>49</v>
      </c>
      <c r="M301" t="s">
        <v>336</v>
      </c>
      <c r="N301" s="1" t="s">
        <v>336</v>
      </c>
      <c r="O301" s="1" t="s">
        <v>230</v>
      </c>
      <c r="P301" t="s">
        <v>230</v>
      </c>
      <c r="Q301" s="9" t="s">
        <v>45</v>
      </c>
      <c r="R301" s="82" t="s">
        <v>45</v>
      </c>
      <c r="S301" s="44" t="s">
        <v>192</v>
      </c>
      <c r="T301" s="3" t="s">
        <v>61</v>
      </c>
      <c r="U301" s="2" t="s">
        <v>29</v>
      </c>
      <c r="V301" s="3" t="s">
        <v>29</v>
      </c>
      <c r="W301" s="11" t="s">
        <v>143</v>
      </c>
      <c r="X301" s="3" t="s">
        <v>143</v>
      </c>
      <c r="Y301" s="77" t="s">
        <v>48</v>
      </c>
      <c r="Z301" s="84" t="s">
        <v>351</v>
      </c>
      <c r="AA301" s="89" t="s">
        <v>174</v>
      </c>
      <c r="AB301" s="90" t="str">
        <f>HYPERLINK(CONCATENATE("https://www.ejacket.nsf.gov/ej/showProposal.do?ID=",SUBSTITUTE(SplitQueryTableRecent[[#This Row],[prop_id]],CHAR(160),"")),"eJ")</f>
        <v>eJ</v>
      </c>
      <c r="AC301" s="89" t="s">
        <v>351</v>
      </c>
      <c r="AD301" s="3" t="s">
        <v>351</v>
      </c>
      <c r="AE301" s="91">
        <v>2020</v>
      </c>
      <c r="AF301" s="13" t="s">
        <v>43</v>
      </c>
      <c r="AG301" s="13">
        <v>143877</v>
      </c>
      <c r="AH301" s="45">
        <v>800000</v>
      </c>
      <c r="AI301" s="44" t="s">
        <v>354</v>
      </c>
      <c r="AJ301" s="2" t="s">
        <v>355</v>
      </c>
      <c r="AK301" s="46" t="s">
        <v>1710</v>
      </c>
      <c r="AL301" s="55" t="s">
        <v>353</v>
      </c>
      <c r="AM301" s="45" t="s">
        <v>353</v>
      </c>
      <c r="AN301" s="56" t="s">
        <v>142</v>
      </c>
      <c r="AO301" s="23" t="s">
        <v>146</v>
      </c>
      <c r="AP301" s="11" t="s">
        <v>205</v>
      </c>
      <c r="AQ301" s="88" t="s">
        <v>352</v>
      </c>
      <c r="AR301" s="57" t="s">
        <v>188</v>
      </c>
      <c r="AS301" s="46">
        <v>42836.638657407406</v>
      </c>
      <c r="AT301" s="3">
        <f t="shared" si="4"/>
        <v>256</v>
      </c>
    </row>
    <row r="302" spans="8:46" x14ac:dyDescent="0.4">
      <c r="H302" s="59">
        <v>42992.404930555553</v>
      </c>
      <c r="I302" s="43">
        <v>41579.426388888889</v>
      </c>
      <c r="J302" s="42">
        <v>41760.535358796296</v>
      </c>
      <c r="K302" s="81" t="s">
        <v>49</v>
      </c>
      <c r="L302" t="s">
        <v>49</v>
      </c>
      <c r="M302" t="s">
        <v>336</v>
      </c>
      <c r="N302" s="1" t="s">
        <v>336</v>
      </c>
      <c r="O302" s="1" t="s">
        <v>245</v>
      </c>
      <c r="P302" t="s">
        <v>245</v>
      </c>
      <c r="Q302" s="9" t="s">
        <v>45</v>
      </c>
      <c r="R302" s="82" t="s">
        <v>45</v>
      </c>
      <c r="S302" s="44" t="s">
        <v>173</v>
      </c>
      <c r="T302" s="3" t="s">
        <v>61</v>
      </c>
      <c r="U302" s="2" t="s">
        <v>29</v>
      </c>
      <c r="V302" s="3" t="s">
        <v>29</v>
      </c>
      <c r="W302" s="11" t="s">
        <v>143</v>
      </c>
      <c r="X302" s="3" t="s">
        <v>143</v>
      </c>
      <c r="Y302" s="77" t="s">
        <v>48</v>
      </c>
      <c r="Z302" s="84" t="s">
        <v>1517</v>
      </c>
      <c r="AA302" s="89" t="s">
        <v>28</v>
      </c>
      <c r="AB302" s="90" t="str">
        <f>HYPERLINK(CONCATENATE("https://www.ejacket.nsf.gov/ej/showProposal.do?ID=",SUBSTITUTE(SplitQueryTableRecent[[#This Row],[prop_id]],CHAR(160),"")),"eJ")</f>
        <v>eJ</v>
      </c>
      <c r="AC302" s="89" t="s">
        <v>1517</v>
      </c>
      <c r="AD302" s="3" t="s">
        <v>1517</v>
      </c>
      <c r="AE302" s="91">
        <v>2014</v>
      </c>
      <c r="AF302" s="13" t="s">
        <v>43</v>
      </c>
      <c r="AG302" s="13">
        <v>608970</v>
      </c>
      <c r="AH302" s="45">
        <v>1200000</v>
      </c>
      <c r="AI302" s="44" t="s">
        <v>732</v>
      </c>
      <c r="AJ302" s="2" t="s">
        <v>171</v>
      </c>
      <c r="AK302" s="46" t="s">
        <v>1706</v>
      </c>
      <c r="AL302" s="55" t="s">
        <v>353</v>
      </c>
      <c r="AM302" s="45" t="s">
        <v>353</v>
      </c>
      <c r="AN302" s="56" t="s">
        <v>142</v>
      </c>
      <c r="AO302" s="23" t="s">
        <v>146</v>
      </c>
      <c r="AP302" s="11"/>
      <c r="AQ302" s="88" t="s">
        <v>1518</v>
      </c>
      <c r="AR302" s="57" t="s">
        <v>164</v>
      </c>
      <c r="AS302" s="46">
        <v>41773.429780092592</v>
      </c>
      <c r="AT302" s="3">
        <f t="shared" si="4"/>
        <v>257</v>
      </c>
    </row>
    <row r="303" spans="8:46" x14ac:dyDescent="0.4">
      <c r="H303" s="59">
        <v>42992.404930555553</v>
      </c>
      <c r="I303" s="43">
        <v>41579.426388888889</v>
      </c>
      <c r="J303" s="42">
        <v>41760.535358796296</v>
      </c>
      <c r="K303" s="81" t="s">
        <v>49</v>
      </c>
      <c r="L303" t="s">
        <v>49</v>
      </c>
      <c r="M303" t="s">
        <v>336</v>
      </c>
      <c r="N303" s="1" t="s">
        <v>336</v>
      </c>
      <c r="O303" s="1" t="s">
        <v>245</v>
      </c>
      <c r="P303" t="s">
        <v>245</v>
      </c>
      <c r="Q303" s="9" t="s">
        <v>45</v>
      </c>
      <c r="R303" s="82" t="s">
        <v>45</v>
      </c>
      <c r="S303" s="44" t="s">
        <v>173</v>
      </c>
      <c r="T303" s="3" t="s">
        <v>61</v>
      </c>
      <c r="U303" s="2" t="s">
        <v>29</v>
      </c>
      <c r="V303" s="3" t="s">
        <v>29</v>
      </c>
      <c r="W303" s="11" t="s">
        <v>143</v>
      </c>
      <c r="X303" s="3" t="s">
        <v>143</v>
      </c>
      <c r="Y303" s="77" t="s">
        <v>48</v>
      </c>
      <c r="Z303" s="84" t="s">
        <v>1517</v>
      </c>
      <c r="AA303" s="89" t="s">
        <v>28</v>
      </c>
      <c r="AB303" s="90" t="str">
        <f>HYPERLINK(CONCATENATE("https://www.ejacket.nsf.gov/ej/showProposal.do?ID=",SUBSTITUTE(SplitQueryTableRecent[[#This Row],[prop_id]],CHAR(160),"")),"eJ")</f>
        <v>eJ</v>
      </c>
      <c r="AC303" s="89" t="s">
        <v>1517</v>
      </c>
      <c r="AD303" s="3" t="s">
        <v>1517</v>
      </c>
      <c r="AE303" s="91">
        <v>2016</v>
      </c>
      <c r="AF303" s="13" t="s">
        <v>43</v>
      </c>
      <c r="AG303" s="13">
        <v>591030</v>
      </c>
      <c r="AH303" s="45">
        <v>1200000</v>
      </c>
      <c r="AI303" s="44" t="s">
        <v>732</v>
      </c>
      <c r="AJ303" s="2" t="s">
        <v>171</v>
      </c>
      <c r="AK303" s="46" t="s">
        <v>1706</v>
      </c>
      <c r="AL303" s="55" t="s">
        <v>353</v>
      </c>
      <c r="AM303" s="45" t="s">
        <v>353</v>
      </c>
      <c r="AN303" s="56" t="s">
        <v>142</v>
      </c>
      <c r="AO303" s="23" t="s">
        <v>146</v>
      </c>
      <c r="AP303" s="11" t="s">
        <v>172</v>
      </c>
      <c r="AQ303" s="88" t="s">
        <v>1518</v>
      </c>
      <c r="AR303" s="57" t="s">
        <v>40</v>
      </c>
      <c r="AS303" s="46">
        <v>42629.382037037038</v>
      </c>
      <c r="AT303" s="3">
        <f t="shared" si="4"/>
        <v>257</v>
      </c>
    </row>
    <row r="304" spans="8:46" x14ac:dyDescent="0.4">
      <c r="H304" s="59">
        <v>42992.404930555553</v>
      </c>
      <c r="I304" s="43">
        <v>41953.661805555559</v>
      </c>
      <c r="J304" s="42">
        <v>42159.712824074071</v>
      </c>
      <c r="K304" s="81" t="s">
        <v>49</v>
      </c>
      <c r="L304" t="s">
        <v>49</v>
      </c>
      <c r="M304" t="s">
        <v>336</v>
      </c>
      <c r="N304" s="1" t="s">
        <v>336</v>
      </c>
      <c r="O304" s="1" t="s">
        <v>337</v>
      </c>
      <c r="P304" t="s">
        <v>337</v>
      </c>
      <c r="Q304" s="9" t="s">
        <v>45</v>
      </c>
      <c r="R304" s="82" t="s">
        <v>45</v>
      </c>
      <c r="S304" s="44" t="s">
        <v>184</v>
      </c>
      <c r="T304" s="3" t="s">
        <v>61</v>
      </c>
      <c r="U304" s="2" t="s">
        <v>29</v>
      </c>
      <c r="V304" s="3" t="s">
        <v>29</v>
      </c>
      <c r="W304" s="11" t="s">
        <v>143</v>
      </c>
      <c r="X304" s="3" t="s">
        <v>143</v>
      </c>
      <c r="Y304" s="77" t="s">
        <v>48</v>
      </c>
      <c r="Z304" s="84" t="s">
        <v>1519</v>
      </c>
      <c r="AA304" s="89" t="s">
        <v>174</v>
      </c>
      <c r="AB304" s="90" t="str">
        <f>HYPERLINK(CONCATENATE("https://www.ejacket.nsf.gov/ej/showProposal.do?ID=",SUBSTITUTE(SplitQueryTableRecent[[#This Row],[prop_id]],CHAR(160),"")),"eJ")</f>
        <v>eJ</v>
      </c>
      <c r="AC304" s="89" t="s">
        <v>1519</v>
      </c>
      <c r="AD304" s="3" t="s">
        <v>1519</v>
      </c>
      <c r="AE304" s="91">
        <v>2015</v>
      </c>
      <c r="AF304" s="13" t="s">
        <v>43</v>
      </c>
      <c r="AG304" s="13">
        <v>316940</v>
      </c>
      <c r="AH304" s="45">
        <v>700000</v>
      </c>
      <c r="AI304" s="44" t="s">
        <v>738</v>
      </c>
      <c r="AJ304" s="2" t="s">
        <v>260</v>
      </c>
      <c r="AK304" s="46" t="s">
        <v>1720</v>
      </c>
      <c r="AL304" s="55" t="s">
        <v>341</v>
      </c>
      <c r="AM304" s="45" t="s">
        <v>341</v>
      </c>
      <c r="AN304" s="56" t="s">
        <v>142</v>
      </c>
      <c r="AO304" s="23" t="s">
        <v>146</v>
      </c>
      <c r="AP304" s="11"/>
      <c r="AQ304" s="88" t="s">
        <v>1520</v>
      </c>
      <c r="AR304" s="57" t="s">
        <v>164</v>
      </c>
      <c r="AS304" s="46">
        <v>42180.595138888886</v>
      </c>
      <c r="AT304" s="3">
        <f t="shared" si="4"/>
        <v>258</v>
      </c>
    </row>
    <row r="305" spans="8:46" x14ac:dyDescent="0.4">
      <c r="H305" s="59">
        <v>42992.404930555553</v>
      </c>
      <c r="I305" s="43">
        <v>41953.661805555559</v>
      </c>
      <c r="J305" s="42">
        <v>42159.712824074071</v>
      </c>
      <c r="K305" s="81" t="s">
        <v>49</v>
      </c>
      <c r="L305" t="s">
        <v>49</v>
      </c>
      <c r="M305" t="s">
        <v>336</v>
      </c>
      <c r="N305" s="1" t="s">
        <v>336</v>
      </c>
      <c r="O305" s="1" t="s">
        <v>337</v>
      </c>
      <c r="P305" t="s">
        <v>337</v>
      </c>
      <c r="Q305" s="9" t="s">
        <v>45</v>
      </c>
      <c r="R305" s="82" t="s">
        <v>45</v>
      </c>
      <c r="S305" s="44" t="s">
        <v>184</v>
      </c>
      <c r="T305" s="3" t="s">
        <v>61</v>
      </c>
      <c r="U305" s="2" t="s">
        <v>29</v>
      </c>
      <c r="V305" s="3" t="s">
        <v>29</v>
      </c>
      <c r="W305" s="11" t="s">
        <v>143</v>
      </c>
      <c r="X305" s="3" t="s">
        <v>143</v>
      </c>
      <c r="Y305" s="77" t="s">
        <v>48</v>
      </c>
      <c r="Z305" s="84" t="s">
        <v>1519</v>
      </c>
      <c r="AA305" s="89" t="s">
        <v>174</v>
      </c>
      <c r="AB305" s="90" t="str">
        <f>HYPERLINK(CONCATENATE("https://www.ejacket.nsf.gov/ej/showProposal.do?ID=",SUBSTITUTE(SplitQueryTableRecent[[#This Row],[prop_id]],CHAR(160),"")),"eJ")</f>
        <v>eJ</v>
      </c>
      <c r="AC305" s="89" t="s">
        <v>1519</v>
      </c>
      <c r="AD305" s="3" t="s">
        <v>1519</v>
      </c>
      <c r="AE305" s="91">
        <v>2017</v>
      </c>
      <c r="AF305" s="13" t="s">
        <v>43</v>
      </c>
      <c r="AG305" s="13">
        <v>337035</v>
      </c>
      <c r="AH305" s="45">
        <v>700000</v>
      </c>
      <c r="AI305" s="44" t="s">
        <v>738</v>
      </c>
      <c r="AJ305" s="2" t="s">
        <v>260</v>
      </c>
      <c r="AK305" s="46" t="s">
        <v>1720</v>
      </c>
      <c r="AL305" s="55" t="s">
        <v>341</v>
      </c>
      <c r="AM305" s="45" t="s">
        <v>341</v>
      </c>
      <c r="AN305" s="56" t="s">
        <v>142</v>
      </c>
      <c r="AO305" s="23" t="s">
        <v>146</v>
      </c>
      <c r="AP305" s="11" t="s">
        <v>172</v>
      </c>
      <c r="AQ305" s="88" t="s">
        <v>1520</v>
      </c>
      <c r="AR305" s="57" t="s">
        <v>1521</v>
      </c>
      <c r="AS305" s="46">
        <v>42928.566342592596</v>
      </c>
      <c r="AT305" s="3">
        <f t="shared" si="4"/>
        <v>258</v>
      </c>
    </row>
    <row r="306" spans="8:46" x14ac:dyDescent="0.4">
      <c r="H306" s="59">
        <v>42992.404930555553</v>
      </c>
      <c r="I306" s="43">
        <v>41190.714583333334</v>
      </c>
      <c r="J306" s="42">
        <v>41322.729745370372</v>
      </c>
      <c r="K306" s="81" t="s">
        <v>49</v>
      </c>
      <c r="L306" t="s">
        <v>49</v>
      </c>
      <c r="M306" t="s">
        <v>336</v>
      </c>
      <c r="N306" s="1" t="s">
        <v>336</v>
      </c>
      <c r="O306" s="1" t="s">
        <v>245</v>
      </c>
      <c r="P306" t="s">
        <v>245</v>
      </c>
      <c r="Q306" s="9" t="s">
        <v>45</v>
      </c>
      <c r="R306" s="82" t="s">
        <v>45</v>
      </c>
      <c r="S306" s="44" t="s">
        <v>165</v>
      </c>
      <c r="T306" s="3" t="s">
        <v>61</v>
      </c>
      <c r="U306" s="2" t="s">
        <v>29</v>
      </c>
      <c r="V306" s="3" t="s">
        <v>29</v>
      </c>
      <c r="W306" s="11" t="s">
        <v>143</v>
      </c>
      <c r="X306" s="3" t="s">
        <v>143</v>
      </c>
      <c r="Y306" s="77" t="s">
        <v>48</v>
      </c>
      <c r="Z306" s="84" t="s">
        <v>1488</v>
      </c>
      <c r="AA306" s="89" t="s">
        <v>62</v>
      </c>
      <c r="AB306" s="90" t="str">
        <f>HYPERLINK(CONCATENATE("https://www.ejacket.nsf.gov/ej/showProposal.do?ID=",SUBSTITUTE(SplitQueryTableRecent[[#This Row],[prop_id]],CHAR(160),"")),"eJ")</f>
        <v>eJ</v>
      </c>
      <c r="AC306" s="89" t="s">
        <v>1527</v>
      </c>
      <c r="AD306" s="3" t="s">
        <v>1527</v>
      </c>
      <c r="AE306" s="91">
        <v>2015</v>
      </c>
      <c r="AF306" s="13" t="s">
        <v>43</v>
      </c>
      <c r="AG306" s="13">
        <v>0</v>
      </c>
      <c r="AH306" s="45">
        <v>350106</v>
      </c>
      <c r="AI306" s="44" t="s">
        <v>1525</v>
      </c>
      <c r="AJ306" s="2" t="s">
        <v>1526</v>
      </c>
      <c r="AK306" s="46" t="s">
        <v>1754</v>
      </c>
      <c r="AL306" s="55" t="s">
        <v>1528</v>
      </c>
      <c r="AM306" s="45" t="s">
        <v>353</v>
      </c>
      <c r="AN306" s="56" t="s">
        <v>142</v>
      </c>
      <c r="AO306" s="23" t="s">
        <v>146</v>
      </c>
      <c r="AP306" s="11" t="s">
        <v>172</v>
      </c>
      <c r="AQ306" s="88" t="s">
        <v>1489</v>
      </c>
      <c r="AR306" s="57" t="s">
        <v>1495</v>
      </c>
      <c r="AS306" s="46">
        <v>42184.586712962962</v>
      </c>
      <c r="AT306" s="3">
        <f t="shared" si="4"/>
        <v>259</v>
      </c>
    </row>
    <row r="307" spans="8:46" x14ac:dyDescent="0.4">
      <c r="H307" s="59">
        <v>42992.404930555553</v>
      </c>
      <c r="I307" s="43">
        <v>42262.625</v>
      </c>
      <c r="J307" s="42">
        <v>42460.655347222222</v>
      </c>
      <c r="K307" s="81" t="s">
        <v>49</v>
      </c>
      <c r="L307" t="s">
        <v>49</v>
      </c>
      <c r="M307" t="s">
        <v>336</v>
      </c>
      <c r="N307" s="1" t="s">
        <v>336</v>
      </c>
      <c r="O307" s="1" t="s">
        <v>337</v>
      </c>
      <c r="P307" t="s">
        <v>337</v>
      </c>
      <c r="Q307" s="9" t="s">
        <v>45</v>
      </c>
      <c r="R307" s="82" t="s">
        <v>45</v>
      </c>
      <c r="S307" s="44" t="s">
        <v>196</v>
      </c>
      <c r="T307" s="3" t="s">
        <v>61</v>
      </c>
      <c r="U307" s="2" t="s">
        <v>29</v>
      </c>
      <c r="V307" s="3" t="s">
        <v>29</v>
      </c>
      <c r="W307" s="11" t="s">
        <v>143</v>
      </c>
      <c r="X307" s="3" t="s">
        <v>143</v>
      </c>
      <c r="Y307" s="77" t="s">
        <v>48</v>
      </c>
      <c r="Z307" s="84" t="s">
        <v>357</v>
      </c>
      <c r="AA307" s="89" t="s">
        <v>62</v>
      </c>
      <c r="AB307" s="90" t="str">
        <f>HYPERLINK(CONCATENATE("https://www.ejacket.nsf.gov/ej/showProposal.do?ID=",SUBSTITUTE(SplitQueryTableRecent[[#This Row],[prop_id]],CHAR(160),"")),"eJ")</f>
        <v>eJ</v>
      </c>
      <c r="AC307" s="89" t="s">
        <v>356</v>
      </c>
      <c r="AD307" s="3" t="s">
        <v>356</v>
      </c>
      <c r="AE307" s="91">
        <v>2016</v>
      </c>
      <c r="AF307" s="13" t="s">
        <v>43</v>
      </c>
      <c r="AG307" s="13">
        <v>294068</v>
      </c>
      <c r="AH307" s="45">
        <v>599999</v>
      </c>
      <c r="AI307" s="44" t="s">
        <v>360</v>
      </c>
      <c r="AJ307" s="2" t="s">
        <v>331</v>
      </c>
      <c r="AK307" s="46" t="s">
        <v>195</v>
      </c>
      <c r="AL307" s="55" t="s">
        <v>359</v>
      </c>
      <c r="AM307" s="45" t="s">
        <v>359</v>
      </c>
      <c r="AN307" s="56" t="s">
        <v>142</v>
      </c>
      <c r="AO307" s="23" t="s">
        <v>146</v>
      </c>
      <c r="AP307" s="11"/>
      <c r="AQ307" s="88" t="s">
        <v>358</v>
      </c>
      <c r="AR307" s="57" t="s">
        <v>164</v>
      </c>
      <c r="AS307" s="46">
        <v>42550.631412037037</v>
      </c>
      <c r="AT307" s="3">
        <f t="shared" si="4"/>
        <v>260</v>
      </c>
    </row>
    <row r="308" spans="8:46" x14ac:dyDescent="0.4">
      <c r="H308" s="59">
        <v>42992.404930555553</v>
      </c>
      <c r="I308" s="43">
        <v>42262.625</v>
      </c>
      <c r="J308" s="42">
        <v>42460.655347222222</v>
      </c>
      <c r="K308" s="81" t="s">
        <v>49</v>
      </c>
      <c r="L308" t="s">
        <v>49</v>
      </c>
      <c r="M308" t="s">
        <v>336</v>
      </c>
      <c r="N308" s="1" t="s">
        <v>336</v>
      </c>
      <c r="O308" s="1" t="s">
        <v>337</v>
      </c>
      <c r="P308" t="s">
        <v>337</v>
      </c>
      <c r="Q308" s="9" t="s">
        <v>45</v>
      </c>
      <c r="R308" s="82" t="s">
        <v>45</v>
      </c>
      <c r="S308" s="44" t="s">
        <v>196</v>
      </c>
      <c r="T308" s="3" t="s">
        <v>61</v>
      </c>
      <c r="U308" s="2" t="s">
        <v>29</v>
      </c>
      <c r="V308" s="3" t="s">
        <v>29</v>
      </c>
      <c r="W308" s="11" t="s">
        <v>143</v>
      </c>
      <c r="X308" s="3" t="s">
        <v>143</v>
      </c>
      <c r="Y308" s="77" t="s">
        <v>48</v>
      </c>
      <c r="Z308" s="84" t="s">
        <v>357</v>
      </c>
      <c r="AA308" s="89" t="s">
        <v>62</v>
      </c>
      <c r="AB308" s="90" t="str">
        <f>HYPERLINK(CONCATENATE("https://www.ejacket.nsf.gov/ej/showProposal.do?ID=",SUBSTITUTE(SplitQueryTableRecent[[#This Row],[prop_id]],CHAR(160),"")),"eJ")</f>
        <v>eJ</v>
      </c>
      <c r="AC308" s="89" t="s">
        <v>356</v>
      </c>
      <c r="AD308" s="3" t="s">
        <v>356</v>
      </c>
      <c r="AE308" s="91">
        <v>2018</v>
      </c>
      <c r="AF308" s="13" t="s">
        <v>43</v>
      </c>
      <c r="AG308" s="13">
        <v>303561</v>
      </c>
      <c r="AH308" s="45">
        <v>599999</v>
      </c>
      <c r="AI308" s="44" t="s">
        <v>360</v>
      </c>
      <c r="AJ308" s="2" t="s">
        <v>331</v>
      </c>
      <c r="AK308" s="46" t="s">
        <v>195</v>
      </c>
      <c r="AL308" s="55" t="s">
        <v>359</v>
      </c>
      <c r="AM308" s="45" t="s">
        <v>359</v>
      </c>
      <c r="AN308" s="56" t="s">
        <v>142</v>
      </c>
      <c r="AO308" s="23" t="s">
        <v>146</v>
      </c>
      <c r="AP308" s="11" t="s">
        <v>205</v>
      </c>
      <c r="AQ308" s="88" t="s">
        <v>358</v>
      </c>
      <c r="AR308" s="57" t="s">
        <v>164</v>
      </c>
      <c r="AS308" s="46">
        <v>42550.631412037037</v>
      </c>
      <c r="AT308" s="3">
        <f t="shared" si="4"/>
        <v>260</v>
      </c>
    </row>
    <row r="309" spans="8:46" x14ac:dyDescent="0.4">
      <c r="H309" s="59">
        <v>42992.404930555553</v>
      </c>
      <c r="I309" s="43">
        <v>42541.693749999999</v>
      </c>
      <c r="J309" s="42">
        <v>42550.571909722225</v>
      </c>
      <c r="K309" s="81" t="s">
        <v>137</v>
      </c>
      <c r="L309" t="s">
        <v>49</v>
      </c>
      <c r="M309" t="s">
        <v>594</v>
      </c>
      <c r="N309" s="1" t="s">
        <v>336</v>
      </c>
      <c r="O309" s="1" t="s">
        <v>227</v>
      </c>
      <c r="P309" t="s">
        <v>230</v>
      </c>
      <c r="Q309" s="9" t="s">
        <v>45</v>
      </c>
      <c r="R309" s="82" t="s">
        <v>45</v>
      </c>
      <c r="S309" s="44" t="s">
        <v>709</v>
      </c>
      <c r="T309" s="3" t="s">
        <v>61</v>
      </c>
      <c r="U309" s="2" t="s">
        <v>29</v>
      </c>
      <c r="V309" s="3" t="s">
        <v>29</v>
      </c>
      <c r="W309" s="11" t="s">
        <v>143</v>
      </c>
      <c r="X309" s="3" t="s">
        <v>143</v>
      </c>
      <c r="Y309" s="77" t="s">
        <v>334</v>
      </c>
      <c r="Z309" s="84" t="s">
        <v>1529</v>
      </c>
      <c r="AA309" s="89" t="s">
        <v>28</v>
      </c>
      <c r="AB309" s="90" t="str">
        <f>HYPERLINK(CONCATENATE("https://www.ejacket.nsf.gov/ej/showProposal.do?ID=",SUBSTITUTE(SplitQueryTableRecent[[#This Row],[prop_id]],CHAR(160),"")),"eJ")</f>
        <v>eJ</v>
      </c>
      <c r="AC309" s="89" t="s">
        <v>1529</v>
      </c>
      <c r="AD309" s="3" t="s">
        <v>1529</v>
      </c>
      <c r="AE309" s="91">
        <v>2016</v>
      </c>
      <c r="AF309" s="13" t="s">
        <v>182</v>
      </c>
      <c r="AG309" s="13">
        <v>75000</v>
      </c>
      <c r="AH309" s="45">
        <v>300000</v>
      </c>
      <c r="AI309" s="44" t="s">
        <v>784</v>
      </c>
      <c r="AJ309" s="2" t="s">
        <v>785</v>
      </c>
      <c r="AK309" s="46" t="s">
        <v>1752</v>
      </c>
      <c r="AL309" s="55"/>
      <c r="AM309" s="45" t="s">
        <v>572</v>
      </c>
      <c r="AN309" s="56" t="s">
        <v>142</v>
      </c>
      <c r="AO309" s="23" t="s">
        <v>146</v>
      </c>
      <c r="AP309" s="11"/>
      <c r="AQ309" s="88" t="s">
        <v>1530</v>
      </c>
      <c r="AR309" s="57" t="s">
        <v>164</v>
      </c>
      <c r="AS309" s="46">
        <v>42566.295289351852</v>
      </c>
      <c r="AT309" s="3">
        <f t="shared" si="4"/>
        <v>261</v>
      </c>
    </row>
    <row r="310" spans="8:46" x14ac:dyDescent="0.4">
      <c r="H310" s="59">
        <v>42992.404930555553</v>
      </c>
      <c r="I310" s="43">
        <v>42263.82916666667</v>
      </c>
      <c r="J310" s="42">
        <v>42531.402326388888</v>
      </c>
      <c r="K310" s="81" t="s">
        <v>49</v>
      </c>
      <c r="L310" t="s">
        <v>49</v>
      </c>
      <c r="M310" t="s">
        <v>336</v>
      </c>
      <c r="N310" s="1" t="s">
        <v>336</v>
      </c>
      <c r="O310" s="1" t="s">
        <v>337</v>
      </c>
      <c r="P310" t="s">
        <v>337</v>
      </c>
      <c r="Q310" s="9" t="s">
        <v>45</v>
      </c>
      <c r="R310" s="82" t="s">
        <v>45</v>
      </c>
      <c r="S310" s="44" t="s">
        <v>196</v>
      </c>
      <c r="T310" s="3" t="s">
        <v>61</v>
      </c>
      <c r="U310" s="2" t="s">
        <v>29</v>
      </c>
      <c r="V310" s="3" t="s">
        <v>29</v>
      </c>
      <c r="W310" s="11" t="s">
        <v>143</v>
      </c>
      <c r="X310" s="3" t="s">
        <v>143</v>
      </c>
      <c r="Y310" s="77" t="s">
        <v>48</v>
      </c>
      <c r="Z310" s="84" t="s">
        <v>357</v>
      </c>
      <c r="AA310" s="89" t="s">
        <v>174</v>
      </c>
      <c r="AB310" s="90" t="str">
        <f>HYPERLINK(CONCATENATE("https://www.ejacket.nsf.gov/ej/showProposal.do?ID=",SUBSTITUTE(SplitQueryTableRecent[[#This Row],[prop_id]],CHAR(160),"")),"eJ")</f>
        <v>eJ</v>
      </c>
      <c r="AC310" s="89" t="s">
        <v>357</v>
      </c>
      <c r="AD310" s="3" t="s">
        <v>357</v>
      </c>
      <c r="AE310" s="91">
        <v>2016</v>
      </c>
      <c r="AF310" s="13" t="s">
        <v>43</v>
      </c>
      <c r="AG310" s="13">
        <v>297994</v>
      </c>
      <c r="AH310" s="45">
        <v>600000</v>
      </c>
      <c r="AI310" s="44" t="s">
        <v>364</v>
      </c>
      <c r="AJ310" s="2" t="s">
        <v>365</v>
      </c>
      <c r="AK310" s="46" t="s">
        <v>1706</v>
      </c>
      <c r="AL310" s="55" t="s">
        <v>359</v>
      </c>
      <c r="AM310" s="45" t="s">
        <v>359</v>
      </c>
      <c r="AN310" s="56" t="s">
        <v>142</v>
      </c>
      <c r="AO310" s="23" t="s">
        <v>146</v>
      </c>
      <c r="AP310" s="11"/>
      <c r="AQ310" s="88" t="s">
        <v>358</v>
      </c>
      <c r="AR310" s="57" t="s">
        <v>164</v>
      </c>
      <c r="AS310" s="46">
        <v>42550.631469907406</v>
      </c>
      <c r="AT310" s="3">
        <f t="shared" si="4"/>
        <v>262</v>
      </c>
    </row>
    <row r="311" spans="8:46" x14ac:dyDescent="0.4">
      <c r="H311" s="59">
        <v>42992.404930555553</v>
      </c>
      <c r="I311" s="43">
        <v>42263.82916666667</v>
      </c>
      <c r="J311" s="42">
        <v>42531.402326388888</v>
      </c>
      <c r="K311" s="81" t="s">
        <v>49</v>
      </c>
      <c r="L311" t="s">
        <v>49</v>
      </c>
      <c r="M311" t="s">
        <v>336</v>
      </c>
      <c r="N311" s="1" t="s">
        <v>336</v>
      </c>
      <c r="O311" s="1" t="s">
        <v>337</v>
      </c>
      <c r="P311" t="s">
        <v>337</v>
      </c>
      <c r="Q311" s="9" t="s">
        <v>45</v>
      </c>
      <c r="R311" s="82" t="s">
        <v>45</v>
      </c>
      <c r="S311" s="44" t="s">
        <v>196</v>
      </c>
      <c r="T311" s="3" t="s">
        <v>61</v>
      </c>
      <c r="U311" s="2" t="s">
        <v>29</v>
      </c>
      <c r="V311" s="3" t="s">
        <v>29</v>
      </c>
      <c r="W311" s="11" t="s">
        <v>143</v>
      </c>
      <c r="X311" s="3" t="s">
        <v>143</v>
      </c>
      <c r="Y311" s="77" t="s">
        <v>48</v>
      </c>
      <c r="Z311" s="84" t="s">
        <v>357</v>
      </c>
      <c r="AA311" s="89" t="s">
        <v>174</v>
      </c>
      <c r="AB311" s="90" t="str">
        <f>HYPERLINK(CONCATENATE("https://www.ejacket.nsf.gov/ej/showProposal.do?ID=",SUBSTITUTE(SplitQueryTableRecent[[#This Row],[prop_id]],CHAR(160),"")),"eJ")</f>
        <v>eJ</v>
      </c>
      <c r="AC311" s="89" t="s">
        <v>357</v>
      </c>
      <c r="AD311" s="3" t="s">
        <v>357</v>
      </c>
      <c r="AE311" s="91">
        <v>2018</v>
      </c>
      <c r="AF311" s="13" t="s">
        <v>43</v>
      </c>
      <c r="AG311" s="13">
        <v>300457</v>
      </c>
      <c r="AH311" s="45">
        <v>600000</v>
      </c>
      <c r="AI311" s="44" t="s">
        <v>364</v>
      </c>
      <c r="AJ311" s="2" t="s">
        <v>365</v>
      </c>
      <c r="AK311" s="46" t="s">
        <v>1706</v>
      </c>
      <c r="AL311" s="55" t="s">
        <v>359</v>
      </c>
      <c r="AM311" s="45" t="s">
        <v>359</v>
      </c>
      <c r="AN311" s="56" t="s">
        <v>142</v>
      </c>
      <c r="AO311" s="23" t="s">
        <v>146</v>
      </c>
      <c r="AP311" s="11" t="s">
        <v>205</v>
      </c>
      <c r="AQ311" s="88" t="s">
        <v>358</v>
      </c>
      <c r="AR311" s="57" t="s">
        <v>164</v>
      </c>
      <c r="AS311" s="46">
        <v>42550.631469907406</v>
      </c>
      <c r="AT311" s="3">
        <f t="shared" si="4"/>
        <v>262</v>
      </c>
    </row>
    <row r="312" spans="8:46" x14ac:dyDescent="0.4">
      <c r="H312" s="59">
        <v>42992.404930555553</v>
      </c>
      <c r="I312" s="43">
        <v>42326.822916666664</v>
      </c>
      <c r="J312" s="42">
        <v>42556.928888888891</v>
      </c>
      <c r="K312" s="81" t="s">
        <v>49</v>
      </c>
      <c r="L312" t="s">
        <v>49</v>
      </c>
      <c r="M312" t="s">
        <v>336</v>
      </c>
      <c r="N312" s="1" t="s">
        <v>336</v>
      </c>
      <c r="O312" s="1" t="s">
        <v>230</v>
      </c>
      <c r="P312" t="s">
        <v>230</v>
      </c>
      <c r="Q312" s="9" t="s">
        <v>45</v>
      </c>
      <c r="R312" s="82" t="s">
        <v>45</v>
      </c>
      <c r="S312" s="44" t="s">
        <v>196</v>
      </c>
      <c r="T312" s="3" t="s">
        <v>61</v>
      </c>
      <c r="U312" s="2" t="s">
        <v>29</v>
      </c>
      <c r="V312" s="3" t="s">
        <v>29</v>
      </c>
      <c r="W312" s="11" t="s">
        <v>143</v>
      </c>
      <c r="X312" s="3" t="s">
        <v>143</v>
      </c>
      <c r="Y312" s="77" t="s">
        <v>48</v>
      </c>
      <c r="Z312" s="84" t="s">
        <v>366</v>
      </c>
      <c r="AA312" s="89" t="s">
        <v>28</v>
      </c>
      <c r="AB312" s="90" t="str">
        <f>HYPERLINK(CONCATENATE("https://www.ejacket.nsf.gov/ej/showProposal.do?ID=",SUBSTITUTE(SplitQueryTableRecent[[#This Row],[prop_id]],CHAR(160),"")),"eJ")</f>
        <v>eJ</v>
      </c>
      <c r="AC312" s="89" t="s">
        <v>366</v>
      </c>
      <c r="AD312" s="3" t="s">
        <v>366</v>
      </c>
      <c r="AE312" s="91">
        <v>2016</v>
      </c>
      <c r="AF312" s="13" t="s">
        <v>43</v>
      </c>
      <c r="AG312" s="13">
        <v>157703</v>
      </c>
      <c r="AH312" s="45">
        <v>500000</v>
      </c>
      <c r="AI312" s="44" t="s">
        <v>364</v>
      </c>
      <c r="AJ312" s="2" t="s">
        <v>365</v>
      </c>
      <c r="AK312" s="46" t="s">
        <v>1706</v>
      </c>
      <c r="AL312" s="55" t="s">
        <v>368</v>
      </c>
      <c r="AM312" s="45" t="s">
        <v>369</v>
      </c>
      <c r="AN312" s="56" t="s">
        <v>142</v>
      </c>
      <c r="AO312" s="23" t="s">
        <v>146</v>
      </c>
      <c r="AP312" s="11"/>
      <c r="AQ312" s="88" t="s">
        <v>367</v>
      </c>
      <c r="AR312" s="57" t="s">
        <v>164</v>
      </c>
      <c r="AS312" s="46">
        <v>42579.319016203706</v>
      </c>
      <c r="AT312" s="3">
        <f t="shared" si="4"/>
        <v>263</v>
      </c>
    </row>
    <row r="313" spans="8:46" x14ac:dyDescent="0.4">
      <c r="H313" s="59">
        <v>42992.404930555553</v>
      </c>
      <c r="I313" s="43">
        <v>42326.822916666664</v>
      </c>
      <c r="J313" s="42">
        <v>42556.928888888891</v>
      </c>
      <c r="K313" s="81" t="s">
        <v>49</v>
      </c>
      <c r="L313" t="s">
        <v>49</v>
      </c>
      <c r="M313" t="s">
        <v>336</v>
      </c>
      <c r="N313" s="1" t="s">
        <v>336</v>
      </c>
      <c r="O313" s="1" t="s">
        <v>230</v>
      </c>
      <c r="P313" t="s">
        <v>230</v>
      </c>
      <c r="Q313" s="9" t="s">
        <v>45</v>
      </c>
      <c r="R313" s="82" t="s">
        <v>45</v>
      </c>
      <c r="S313" s="44" t="s">
        <v>196</v>
      </c>
      <c r="T313" s="3" t="s">
        <v>61</v>
      </c>
      <c r="U313" s="2" t="s">
        <v>29</v>
      </c>
      <c r="V313" s="3" t="s">
        <v>29</v>
      </c>
      <c r="W313" s="11" t="s">
        <v>143</v>
      </c>
      <c r="X313" s="3" t="s">
        <v>143</v>
      </c>
      <c r="Y313" s="77" t="s">
        <v>48</v>
      </c>
      <c r="Z313" s="84" t="s">
        <v>366</v>
      </c>
      <c r="AA313" s="89" t="s">
        <v>28</v>
      </c>
      <c r="AB313" s="90" t="str">
        <f>HYPERLINK(CONCATENATE("https://www.ejacket.nsf.gov/ej/showProposal.do?ID=",SUBSTITUTE(SplitQueryTableRecent[[#This Row],[prop_id]],CHAR(160),"")),"eJ")</f>
        <v>eJ</v>
      </c>
      <c r="AC313" s="89" t="s">
        <v>366</v>
      </c>
      <c r="AD313" s="3" t="s">
        <v>366</v>
      </c>
      <c r="AE313" s="91">
        <v>2017</v>
      </c>
      <c r="AF313" s="13" t="s">
        <v>43</v>
      </c>
      <c r="AG313" s="13">
        <v>165926</v>
      </c>
      <c r="AH313" s="45">
        <v>500000</v>
      </c>
      <c r="AI313" s="44" t="s">
        <v>364</v>
      </c>
      <c r="AJ313" s="2" t="s">
        <v>365</v>
      </c>
      <c r="AK313" s="46" t="s">
        <v>1706</v>
      </c>
      <c r="AL313" s="55" t="s">
        <v>368</v>
      </c>
      <c r="AM313" s="45" t="s">
        <v>369</v>
      </c>
      <c r="AN313" s="56" t="s">
        <v>142</v>
      </c>
      <c r="AO313" s="23" t="s">
        <v>146</v>
      </c>
      <c r="AP313" s="11" t="s">
        <v>1508</v>
      </c>
      <c r="AQ313" s="88" t="s">
        <v>367</v>
      </c>
      <c r="AR313" s="57" t="s">
        <v>164</v>
      </c>
      <c r="AS313" s="46">
        <v>42579.319016203706</v>
      </c>
      <c r="AT313" s="3">
        <f t="shared" si="4"/>
        <v>263</v>
      </c>
    </row>
    <row r="314" spans="8:46" x14ac:dyDescent="0.4">
      <c r="H314" s="59">
        <v>42992.404930555553</v>
      </c>
      <c r="I314" s="43">
        <v>42326.822916666664</v>
      </c>
      <c r="J314" s="42">
        <v>42556.928888888891</v>
      </c>
      <c r="K314" s="81" t="s">
        <v>49</v>
      </c>
      <c r="L314" t="s">
        <v>49</v>
      </c>
      <c r="M314" t="s">
        <v>336</v>
      </c>
      <c r="N314" s="1" t="s">
        <v>336</v>
      </c>
      <c r="O314" s="1" t="s">
        <v>230</v>
      </c>
      <c r="P314" t="s">
        <v>230</v>
      </c>
      <c r="Q314" s="9" t="s">
        <v>45</v>
      </c>
      <c r="R314" s="82" t="s">
        <v>45</v>
      </c>
      <c r="S314" s="44" t="s">
        <v>196</v>
      </c>
      <c r="T314" s="3" t="s">
        <v>61</v>
      </c>
      <c r="U314" s="2" t="s">
        <v>29</v>
      </c>
      <c r="V314" s="3" t="s">
        <v>29</v>
      </c>
      <c r="W314" s="11" t="s">
        <v>143</v>
      </c>
      <c r="X314" s="3" t="s">
        <v>143</v>
      </c>
      <c r="Y314" s="77" t="s">
        <v>48</v>
      </c>
      <c r="Z314" s="84" t="s">
        <v>366</v>
      </c>
      <c r="AA314" s="89" t="s">
        <v>28</v>
      </c>
      <c r="AB314" s="90" t="str">
        <f>HYPERLINK(CONCATENATE("https://www.ejacket.nsf.gov/ej/showProposal.do?ID=",SUBSTITUTE(SplitQueryTableRecent[[#This Row],[prop_id]],CHAR(160),"")),"eJ")</f>
        <v>eJ</v>
      </c>
      <c r="AC314" s="89" t="s">
        <v>366</v>
      </c>
      <c r="AD314" s="3" t="s">
        <v>366</v>
      </c>
      <c r="AE314" s="91">
        <v>2018</v>
      </c>
      <c r="AF314" s="13" t="s">
        <v>43</v>
      </c>
      <c r="AG314" s="13">
        <v>176371</v>
      </c>
      <c r="AH314" s="45">
        <v>500000</v>
      </c>
      <c r="AI314" s="44" t="s">
        <v>364</v>
      </c>
      <c r="AJ314" s="2" t="s">
        <v>365</v>
      </c>
      <c r="AK314" s="46" t="s">
        <v>1706</v>
      </c>
      <c r="AL314" s="55" t="s">
        <v>368</v>
      </c>
      <c r="AM314" s="45" t="s">
        <v>369</v>
      </c>
      <c r="AN314" s="56" t="s">
        <v>142</v>
      </c>
      <c r="AO314" s="23" t="s">
        <v>146</v>
      </c>
      <c r="AP314" s="11" t="s">
        <v>205</v>
      </c>
      <c r="AQ314" s="88" t="s">
        <v>367</v>
      </c>
      <c r="AR314" s="57" t="s">
        <v>164</v>
      </c>
      <c r="AS314" s="46">
        <v>42579.319016203706</v>
      </c>
      <c r="AT314" s="3">
        <f t="shared" si="4"/>
        <v>263</v>
      </c>
    </row>
    <row r="315" spans="8:46" x14ac:dyDescent="0.4">
      <c r="H315" s="59">
        <v>42992.404930555553</v>
      </c>
      <c r="I315" s="43">
        <v>41191.699305555558</v>
      </c>
      <c r="J315" s="42">
        <v>41419.627129629633</v>
      </c>
      <c r="K315" s="81" t="s">
        <v>49</v>
      </c>
      <c r="L315" t="s">
        <v>49</v>
      </c>
      <c r="M315" t="s">
        <v>336</v>
      </c>
      <c r="N315" s="1" t="s">
        <v>336</v>
      </c>
      <c r="O315" s="1" t="s">
        <v>245</v>
      </c>
      <c r="P315" t="s">
        <v>245</v>
      </c>
      <c r="Q315" s="9" t="s">
        <v>45</v>
      </c>
      <c r="R315" s="82" t="s">
        <v>45</v>
      </c>
      <c r="S315" s="44" t="s">
        <v>165</v>
      </c>
      <c r="T315" s="3" t="s">
        <v>61</v>
      </c>
      <c r="U315" s="2" t="s">
        <v>29</v>
      </c>
      <c r="V315" s="3" t="s">
        <v>29</v>
      </c>
      <c r="W315" s="11" t="s">
        <v>143</v>
      </c>
      <c r="X315" s="3" t="s">
        <v>143</v>
      </c>
      <c r="Y315" s="77" t="s">
        <v>48</v>
      </c>
      <c r="Z315" s="84" t="s">
        <v>1510</v>
      </c>
      <c r="AA315" s="89" t="s">
        <v>62</v>
      </c>
      <c r="AB315" s="90" t="str">
        <f>HYPERLINK(CONCATENATE("https://www.ejacket.nsf.gov/ej/showProposal.do?ID=",SUBSTITUTE(SplitQueryTableRecent[[#This Row],[prop_id]],CHAR(160),"")),"eJ")</f>
        <v>eJ</v>
      </c>
      <c r="AC315" s="89" t="s">
        <v>1531</v>
      </c>
      <c r="AD315" s="3" t="s">
        <v>1531</v>
      </c>
      <c r="AE315" s="91">
        <v>2014</v>
      </c>
      <c r="AF315" s="13" t="s">
        <v>43</v>
      </c>
      <c r="AG315" s="13">
        <v>73807</v>
      </c>
      <c r="AH315" s="45">
        <v>309476</v>
      </c>
      <c r="AI315" s="44" t="s">
        <v>799</v>
      </c>
      <c r="AJ315" s="2" t="s">
        <v>295</v>
      </c>
      <c r="AK315" s="46" t="s">
        <v>1722</v>
      </c>
      <c r="AL315" s="55" t="s">
        <v>353</v>
      </c>
      <c r="AM315" s="45" t="s">
        <v>353</v>
      </c>
      <c r="AN315" s="56" t="s">
        <v>142</v>
      </c>
      <c r="AO315" s="23" t="s">
        <v>146</v>
      </c>
      <c r="AP315" s="11" t="s">
        <v>172</v>
      </c>
      <c r="AQ315" s="88" t="s">
        <v>1511</v>
      </c>
      <c r="AR315" s="57" t="s">
        <v>1514</v>
      </c>
      <c r="AS315" s="46">
        <v>41780.372384259259</v>
      </c>
      <c r="AT315" s="3">
        <f t="shared" si="4"/>
        <v>264</v>
      </c>
    </row>
    <row r="316" spans="8:46" x14ac:dyDescent="0.4">
      <c r="H316" s="59">
        <v>42992.404930555553</v>
      </c>
      <c r="I316" s="43">
        <v>41191.699305555558</v>
      </c>
      <c r="J316" s="42">
        <v>41419.627129629633</v>
      </c>
      <c r="K316" s="81" t="s">
        <v>49</v>
      </c>
      <c r="L316" t="s">
        <v>49</v>
      </c>
      <c r="M316" t="s">
        <v>336</v>
      </c>
      <c r="N316" s="1" t="s">
        <v>336</v>
      </c>
      <c r="O316" s="1" t="s">
        <v>245</v>
      </c>
      <c r="P316" t="s">
        <v>245</v>
      </c>
      <c r="Q316" s="9" t="s">
        <v>45</v>
      </c>
      <c r="R316" s="82" t="s">
        <v>45</v>
      </c>
      <c r="S316" s="44" t="s">
        <v>165</v>
      </c>
      <c r="T316" s="3" t="s">
        <v>61</v>
      </c>
      <c r="U316" s="2" t="s">
        <v>29</v>
      </c>
      <c r="V316" s="3" t="s">
        <v>29</v>
      </c>
      <c r="W316" s="11" t="s">
        <v>143</v>
      </c>
      <c r="X316" s="3" t="s">
        <v>143</v>
      </c>
      <c r="Y316" s="77" t="s">
        <v>48</v>
      </c>
      <c r="Z316" s="84" t="s">
        <v>1510</v>
      </c>
      <c r="AA316" s="89" t="s">
        <v>62</v>
      </c>
      <c r="AB316" s="90" t="str">
        <f>HYPERLINK(CONCATENATE("https://www.ejacket.nsf.gov/ej/showProposal.do?ID=",SUBSTITUTE(SplitQueryTableRecent[[#This Row],[prop_id]],CHAR(160),"")),"eJ")</f>
        <v>eJ</v>
      </c>
      <c r="AC316" s="89" t="s">
        <v>1531</v>
      </c>
      <c r="AD316" s="3" t="s">
        <v>1531</v>
      </c>
      <c r="AE316" s="91">
        <v>2015</v>
      </c>
      <c r="AF316" s="13" t="s">
        <v>43</v>
      </c>
      <c r="AG316" s="13">
        <v>153847</v>
      </c>
      <c r="AH316" s="45">
        <v>309476</v>
      </c>
      <c r="AI316" s="44" t="s">
        <v>799</v>
      </c>
      <c r="AJ316" s="2" t="s">
        <v>295</v>
      </c>
      <c r="AK316" s="46" t="s">
        <v>1722</v>
      </c>
      <c r="AL316" s="55" t="s">
        <v>353</v>
      </c>
      <c r="AM316" s="45" t="s">
        <v>353</v>
      </c>
      <c r="AN316" s="56" t="s">
        <v>142</v>
      </c>
      <c r="AO316" s="23" t="s">
        <v>146</v>
      </c>
      <c r="AP316" s="11" t="s">
        <v>172</v>
      </c>
      <c r="AQ316" s="88" t="s">
        <v>1511</v>
      </c>
      <c r="AR316" s="57" t="s">
        <v>1514</v>
      </c>
      <c r="AS316" s="46">
        <v>42160.349537037036</v>
      </c>
      <c r="AT316" s="3">
        <f t="shared" si="4"/>
        <v>264</v>
      </c>
    </row>
    <row r="317" spans="8:46" x14ac:dyDescent="0.4">
      <c r="H317" s="59">
        <v>42992.404930555553</v>
      </c>
      <c r="I317" s="43">
        <v>42263.412499999999</v>
      </c>
      <c r="J317" s="42">
        <v>42401.374027777776</v>
      </c>
      <c r="K317" s="81" t="s">
        <v>49</v>
      </c>
      <c r="L317" t="s">
        <v>49</v>
      </c>
      <c r="M317" t="s">
        <v>336</v>
      </c>
      <c r="N317" s="1" t="s">
        <v>336</v>
      </c>
      <c r="O317" s="1" t="s">
        <v>245</v>
      </c>
      <c r="P317" t="s">
        <v>245</v>
      </c>
      <c r="Q317" s="9" t="s">
        <v>45</v>
      </c>
      <c r="R317" s="82" t="s">
        <v>45</v>
      </c>
      <c r="S317" s="44" t="s">
        <v>196</v>
      </c>
      <c r="T317" s="3" t="s">
        <v>61</v>
      </c>
      <c r="U317" s="2" t="s">
        <v>29</v>
      </c>
      <c r="V317" s="3" t="s">
        <v>29</v>
      </c>
      <c r="W317" s="11" t="s">
        <v>143</v>
      </c>
      <c r="X317" s="3" t="s">
        <v>143</v>
      </c>
      <c r="Y317" s="77" t="s">
        <v>48</v>
      </c>
      <c r="Z317" s="84" t="s">
        <v>371</v>
      </c>
      <c r="AA317" s="89" t="s">
        <v>62</v>
      </c>
      <c r="AB317" s="90" t="str">
        <f>HYPERLINK(CONCATENATE("https://www.ejacket.nsf.gov/ej/showProposal.do?ID=",SUBSTITUTE(SplitQueryTableRecent[[#This Row],[prop_id]],CHAR(160),"")),"eJ")</f>
        <v>eJ</v>
      </c>
      <c r="AC317" s="89" t="s">
        <v>370</v>
      </c>
      <c r="AD317" s="3" t="s">
        <v>370</v>
      </c>
      <c r="AE317" s="91">
        <v>2016</v>
      </c>
      <c r="AF317" s="13" t="s">
        <v>43</v>
      </c>
      <c r="AG317" s="13">
        <v>183487</v>
      </c>
      <c r="AH317" s="45">
        <v>400000</v>
      </c>
      <c r="AI317" s="44" t="s">
        <v>374</v>
      </c>
      <c r="AJ317" s="2" t="s">
        <v>296</v>
      </c>
      <c r="AK317" s="46" t="s">
        <v>290</v>
      </c>
      <c r="AL317" s="55" t="s">
        <v>353</v>
      </c>
      <c r="AM317" s="45" t="s">
        <v>373</v>
      </c>
      <c r="AN317" s="56" t="s">
        <v>142</v>
      </c>
      <c r="AO317" s="23" t="s">
        <v>146</v>
      </c>
      <c r="AP317" s="11"/>
      <c r="AQ317" s="88" t="s">
        <v>372</v>
      </c>
      <c r="AR317" s="57" t="s">
        <v>164</v>
      </c>
      <c r="AS317" s="46">
        <v>42418.655752314815</v>
      </c>
      <c r="AT317" s="3">
        <f t="shared" si="4"/>
        <v>265</v>
      </c>
    </row>
    <row r="318" spans="8:46" x14ac:dyDescent="0.4">
      <c r="H318" s="59">
        <v>42992.404930555553</v>
      </c>
      <c r="I318" s="43">
        <v>42263.412499999999</v>
      </c>
      <c r="J318" s="42">
        <v>42401.374027777776</v>
      </c>
      <c r="K318" s="81" t="s">
        <v>49</v>
      </c>
      <c r="L318" t="s">
        <v>49</v>
      </c>
      <c r="M318" t="s">
        <v>336</v>
      </c>
      <c r="N318" s="1" t="s">
        <v>336</v>
      </c>
      <c r="O318" s="1" t="s">
        <v>245</v>
      </c>
      <c r="P318" t="s">
        <v>245</v>
      </c>
      <c r="Q318" s="9" t="s">
        <v>45</v>
      </c>
      <c r="R318" s="82" t="s">
        <v>45</v>
      </c>
      <c r="S318" s="44" t="s">
        <v>196</v>
      </c>
      <c r="T318" s="3" t="s">
        <v>61</v>
      </c>
      <c r="U318" s="2" t="s">
        <v>29</v>
      </c>
      <c r="V318" s="3" t="s">
        <v>29</v>
      </c>
      <c r="W318" s="11" t="s">
        <v>143</v>
      </c>
      <c r="X318" s="3" t="s">
        <v>143</v>
      </c>
      <c r="Y318" s="77" t="s">
        <v>48</v>
      </c>
      <c r="Z318" s="84" t="s">
        <v>371</v>
      </c>
      <c r="AA318" s="89" t="s">
        <v>62</v>
      </c>
      <c r="AB318" s="90" t="str">
        <f>HYPERLINK(CONCATENATE("https://www.ejacket.nsf.gov/ej/showProposal.do?ID=",SUBSTITUTE(SplitQueryTableRecent[[#This Row],[prop_id]],CHAR(160),"")),"eJ")</f>
        <v>eJ</v>
      </c>
      <c r="AC318" s="89" t="s">
        <v>370</v>
      </c>
      <c r="AD318" s="3" t="s">
        <v>370</v>
      </c>
      <c r="AE318" s="91">
        <v>2018</v>
      </c>
      <c r="AF318" s="13" t="s">
        <v>43</v>
      </c>
      <c r="AG318" s="13">
        <v>216513</v>
      </c>
      <c r="AH318" s="45">
        <v>400000</v>
      </c>
      <c r="AI318" s="44" t="s">
        <v>374</v>
      </c>
      <c r="AJ318" s="2" t="s">
        <v>296</v>
      </c>
      <c r="AK318" s="46" t="s">
        <v>290</v>
      </c>
      <c r="AL318" s="55" t="s">
        <v>353</v>
      </c>
      <c r="AM318" s="45" t="s">
        <v>373</v>
      </c>
      <c r="AN318" s="56" t="s">
        <v>142</v>
      </c>
      <c r="AO318" s="23" t="s">
        <v>146</v>
      </c>
      <c r="AP318" s="11" t="s">
        <v>205</v>
      </c>
      <c r="AQ318" s="88" t="s">
        <v>372</v>
      </c>
      <c r="AR318" s="57" t="s">
        <v>164</v>
      </c>
      <c r="AS318" s="46">
        <v>42418.655752314815</v>
      </c>
      <c r="AT318" s="3">
        <f t="shared" si="4"/>
        <v>265</v>
      </c>
    </row>
    <row r="319" spans="8:46" x14ac:dyDescent="0.4">
      <c r="H319" s="59">
        <v>42992.404930555553</v>
      </c>
      <c r="I319" s="43">
        <v>41190.697222222225</v>
      </c>
      <c r="J319" s="42">
        <v>41322.730081018519</v>
      </c>
      <c r="K319" s="81" t="s">
        <v>49</v>
      </c>
      <c r="L319" t="s">
        <v>49</v>
      </c>
      <c r="M319" t="s">
        <v>336</v>
      </c>
      <c r="N319" s="1" t="s">
        <v>336</v>
      </c>
      <c r="O319" s="1" t="s">
        <v>245</v>
      </c>
      <c r="P319" t="s">
        <v>245</v>
      </c>
      <c r="Q319" s="9" t="s">
        <v>45</v>
      </c>
      <c r="R319" s="82" t="s">
        <v>45</v>
      </c>
      <c r="S319" s="44" t="s">
        <v>165</v>
      </c>
      <c r="T319" s="3" t="s">
        <v>61</v>
      </c>
      <c r="U319" s="2" t="s">
        <v>29</v>
      </c>
      <c r="V319" s="3" t="s">
        <v>29</v>
      </c>
      <c r="W319" s="11" t="s">
        <v>143</v>
      </c>
      <c r="X319" s="3" t="s">
        <v>143</v>
      </c>
      <c r="Y319" s="77" t="s">
        <v>48</v>
      </c>
      <c r="Z319" s="84" t="s">
        <v>1488</v>
      </c>
      <c r="AA319" s="89" t="s">
        <v>62</v>
      </c>
      <c r="AB319" s="90" t="str">
        <f>HYPERLINK(CONCATENATE("https://www.ejacket.nsf.gov/ej/showProposal.do?ID=",SUBSTITUTE(SplitQueryTableRecent[[#This Row],[prop_id]],CHAR(160),"")),"eJ")</f>
        <v>eJ</v>
      </c>
      <c r="AC319" s="89" t="s">
        <v>1532</v>
      </c>
      <c r="AD319" s="3" t="s">
        <v>1532</v>
      </c>
      <c r="AE319" s="91">
        <v>2015</v>
      </c>
      <c r="AF319" s="13" t="s">
        <v>43</v>
      </c>
      <c r="AG319" s="13">
        <v>0</v>
      </c>
      <c r="AH319" s="45">
        <v>331939</v>
      </c>
      <c r="AI319" s="44" t="s">
        <v>177</v>
      </c>
      <c r="AJ319" s="2" t="s">
        <v>284</v>
      </c>
      <c r="AK319" s="46" t="s">
        <v>1751</v>
      </c>
      <c r="AL319" s="55" t="s">
        <v>1528</v>
      </c>
      <c r="AM319" s="45" t="s">
        <v>353</v>
      </c>
      <c r="AN319" s="56" t="s">
        <v>142</v>
      </c>
      <c r="AO319" s="23" t="s">
        <v>146</v>
      </c>
      <c r="AP319" s="11" t="s">
        <v>172</v>
      </c>
      <c r="AQ319" s="88" t="s">
        <v>1533</v>
      </c>
      <c r="AR319" s="57" t="s">
        <v>1495</v>
      </c>
      <c r="AS319" s="46">
        <v>42184.590266203704</v>
      </c>
      <c r="AT319" s="3">
        <f t="shared" si="4"/>
        <v>266</v>
      </c>
    </row>
    <row r="320" spans="8:46" x14ac:dyDescent="0.4">
      <c r="H320" s="59">
        <v>42992.404930555553</v>
      </c>
      <c r="I320" s="43">
        <v>42263.463194444441</v>
      </c>
      <c r="J320" s="42">
        <v>42401.369259259256</v>
      </c>
      <c r="K320" s="81" t="s">
        <v>49</v>
      </c>
      <c r="L320" t="s">
        <v>49</v>
      </c>
      <c r="M320" t="s">
        <v>336</v>
      </c>
      <c r="N320" s="1" t="s">
        <v>336</v>
      </c>
      <c r="O320" s="1" t="s">
        <v>245</v>
      </c>
      <c r="P320" t="s">
        <v>245</v>
      </c>
      <c r="Q320" s="9" t="s">
        <v>45</v>
      </c>
      <c r="R320" s="82" t="s">
        <v>45</v>
      </c>
      <c r="S320" s="44" t="s">
        <v>196</v>
      </c>
      <c r="T320" s="3" t="s">
        <v>61</v>
      </c>
      <c r="U320" s="2" t="s">
        <v>29</v>
      </c>
      <c r="V320" s="3" t="s">
        <v>29</v>
      </c>
      <c r="W320" s="11" t="s">
        <v>143</v>
      </c>
      <c r="X320" s="3" t="s">
        <v>143</v>
      </c>
      <c r="Y320" s="77" t="s">
        <v>48</v>
      </c>
      <c r="Z320" s="84" t="s">
        <v>371</v>
      </c>
      <c r="AA320" s="89" t="s">
        <v>174</v>
      </c>
      <c r="AB320" s="90" t="str">
        <f>HYPERLINK(CONCATENATE("https://www.ejacket.nsf.gov/ej/showProposal.do?ID=",SUBSTITUTE(SplitQueryTableRecent[[#This Row],[prop_id]],CHAR(160),"")),"eJ")</f>
        <v>eJ</v>
      </c>
      <c r="AC320" s="89" t="s">
        <v>371</v>
      </c>
      <c r="AD320" s="3" t="s">
        <v>371</v>
      </c>
      <c r="AE320" s="91">
        <v>2016</v>
      </c>
      <c r="AF320" s="13" t="s">
        <v>43</v>
      </c>
      <c r="AG320" s="13">
        <v>383513</v>
      </c>
      <c r="AH320" s="45">
        <v>799963</v>
      </c>
      <c r="AI320" s="44" t="s">
        <v>376</v>
      </c>
      <c r="AJ320" s="2" t="s">
        <v>377</v>
      </c>
      <c r="AK320" s="46" t="s">
        <v>1735</v>
      </c>
      <c r="AL320" s="55" t="s">
        <v>353</v>
      </c>
      <c r="AM320" s="45" t="s">
        <v>373</v>
      </c>
      <c r="AN320" s="56" t="s">
        <v>142</v>
      </c>
      <c r="AO320" s="23" t="s">
        <v>146</v>
      </c>
      <c r="AP320" s="11"/>
      <c r="AQ320" s="88" t="s">
        <v>372</v>
      </c>
      <c r="AR320" s="57" t="s">
        <v>164</v>
      </c>
      <c r="AS320" s="46">
        <v>42418.655902777777</v>
      </c>
      <c r="AT320" s="3">
        <f t="shared" si="4"/>
        <v>267</v>
      </c>
    </row>
    <row r="321" spans="8:46" x14ac:dyDescent="0.4">
      <c r="H321" s="59">
        <v>42992.404930555553</v>
      </c>
      <c r="I321" s="43">
        <v>42263.463194444441</v>
      </c>
      <c r="J321" s="42">
        <v>42401.369259259256</v>
      </c>
      <c r="K321" s="81" t="s">
        <v>49</v>
      </c>
      <c r="L321" t="s">
        <v>49</v>
      </c>
      <c r="M321" t="s">
        <v>336</v>
      </c>
      <c r="N321" s="1" t="s">
        <v>336</v>
      </c>
      <c r="O321" s="1" t="s">
        <v>245</v>
      </c>
      <c r="P321" t="s">
        <v>245</v>
      </c>
      <c r="Q321" s="9" t="s">
        <v>45</v>
      </c>
      <c r="R321" s="82" t="s">
        <v>45</v>
      </c>
      <c r="S321" s="44" t="s">
        <v>196</v>
      </c>
      <c r="T321" s="3" t="s">
        <v>61</v>
      </c>
      <c r="U321" s="2" t="s">
        <v>29</v>
      </c>
      <c r="V321" s="3" t="s">
        <v>29</v>
      </c>
      <c r="W321" s="11" t="s">
        <v>143</v>
      </c>
      <c r="X321" s="3" t="s">
        <v>143</v>
      </c>
      <c r="Y321" s="77" t="s">
        <v>48</v>
      </c>
      <c r="Z321" s="84" t="s">
        <v>371</v>
      </c>
      <c r="AA321" s="89" t="s">
        <v>174</v>
      </c>
      <c r="AB321" s="90" t="str">
        <f>HYPERLINK(CONCATENATE("https://www.ejacket.nsf.gov/ej/showProposal.do?ID=",SUBSTITUTE(SplitQueryTableRecent[[#This Row],[prop_id]],CHAR(160),"")),"eJ")</f>
        <v>eJ</v>
      </c>
      <c r="AC321" s="89" t="s">
        <v>371</v>
      </c>
      <c r="AD321" s="3" t="s">
        <v>371</v>
      </c>
      <c r="AE321" s="91">
        <v>2018</v>
      </c>
      <c r="AF321" s="13" t="s">
        <v>43</v>
      </c>
      <c r="AG321" s="13">
        <v>416450</v>
      </c>
      <c r="AH321" s="45">
        <v>799963</v>
      </c>
      <c r="AI321" s="44" t="s">
        <v>376</v>
      </c>
      <c r="AJ321" s="2" t="s">
        <v>377</v>
      </c>
      <c r="AK321" s="46" t="s">
        <v>1735</v>
      </c>
      <c r="AL321" s="55" t="s">
        <v>353</v>
      </c>
      <c r="AM321" s="45" t="s">
        <v>373</v>
      </c>
      <c r="AN321" s="56" t="s">
        <v>142</v>
      </c>
      <c r="AO321" s="23" t="s">
        <v>146</v>
      </c>
      <c r="AP321" s="11" t="s">
        <v>205</v>
      </c>
      <c r="AQ321" s="88" t="s">
        <v>372</v>
      </c>
      <c r="AR321" s="57" t="s">
        <v>164</v>
      </c>
      <c r="AS321" s="46">
        <v>42418.655902777777</v>
      </c>
      <c r="AT321" s="3">
        <f t="shared" si="4"/>
        <v>267</v>
      </c>
    </row>
    <row r="322" spans="8:46" x14ac:dyDescent="0.4">
      <c r="H322" s="59">
        <v>42992.404930555553</v>
      </c>
      <c r="I322" s="43">
        <v>41590.540972222225</v>
      </c>
      <c r="J322" s="42">
        <v>41841.463900462964</v>
      </c>
      <c r="K322" s="81" t="s">
        <v>49</v>
      </c>
      <c r="L322" t="s">
        <v>49</v>
      </c>
      <c r="M322" t="s">
        <v>336</v>
      </c>
      <c r="N322" s="1" t="s">
        <v>336</v>
      </c>
      <c r="O322" s="1" t="s">
        <v>245</v>
      </c>
      <c r="P322" t="s">
        <v>245</v>
      </c>
      <c r="Q322" s="9" t="s">
        <v>45</v>
      </c>
      <c r="R322" s="82" t="s">
        <v>45</v>
      </c>
      <c r="S322" s="44" t="s">
        <v>173</v>
      </c>
      <c r="T322" s="3" t="s">
        <v>61</v>
      </c>
      <c r="U322" s="2" t="s">
        <v>29</v>
      </c>
      <c r="V322" s="3" t="s">
        <v>29</v>
      </c>
      <c r="W322" s="11" t="s">
        <v>143</v>
      </c>
      <c r="X322" s="3" t="s">
        <v>143</v>
      </c>
      <c r="Y322" s="77" t="s">
        <v>48</v>
      </c>
      <c r="Z322" s="84" t="s">
        <v>1535</v>
      </c>
      <c r="AA322" s="89" t="s">
        <v>62</v>
      </c>
      <c r="AB322" s="90" t="str">
        <f>HYPERLINK(CONCATENATE("https://www.ejacket.nsf.gov/ej/showProposal.do?ID=",SUBSTITUTE(SplitQueryTableRecent[[#This Row],[prop_id]],CHAR(160),"")),"eJ")</f>
        <v>eJ</v>
      </c>
      <c r="AC322" s="89" t="s">
        <v>1534</v>
      </c>
      <c r="AD322" s="3" t="s">
        <v>1534</v>
      </c>
      <c r="AE322" s="91">
        <v>2014</v>
      </c>
      <c r="AF322" s="13" t="s">
        <v>43</v>
      </c>
      <c r="AG322" s="13">
        <v>263644</v>
      </c>
      <c r="AH322" s="45">
        <v>595804</v>
      </c>
      <c r="AI322" s="44" t="s">
        <v>888</v>
      </c>
      <c r="AJ322" s="2" t="s">
        <v>889</v>
      </c>
      <c r="AK322" s="46" t="s">
        <v>1708</v>
      </c>
      <c r="AL322" s="55" t="s">
        <v>353</v>
      </c>
      <c r="AM322" s="45" t="s">
        <v>353</v>
      </c>
      <c r="AN322" s="56" t="s">
        <v>142</v>
      </c>
      <c r="AO322" s="23" t="s">
        <v>146</v>
      </c>
      <c r="AP322" s="11"/>
      <c r="AQ322" s="88" t="s">
        <v>1536</v>
      </c>
      <c r="AR322" s="57" t="s">
        <v>164</v>
      </c>
      <c r="AS322" s="46">
        <v>41865.63821759259</v>
      </c>
      <c r="AT322" s="3">
        <f t="shared" si="4"/>
        <v>268</v>
      </c>
    </row>
    <row r="323" spans="8:46" x14ac:dyDescent="0.4">
      <c r="H323" s="59">
        <v>42992.404930555553</v>
      </c>
      <c r="I323" s="43">
        <v>41590.540972222225</v>
      </c>
      <c r="J323" s="42">
        <v>41841.463900462964</v>
      </c>
      <c r="K323" s="81" t="s">
        <v>49</v>
      </c>
      <c r="L323" t="s">
        <v>49</v>
      </c>
      <c r="M323" t="s">
        <v>336</v>
      </c>
      <c r="N323" s="1" t="s">
        <v>336</v>
      </c>
      <c r="O323" s="1" t="s">
        <v>245</v>
      </c>
      <c r="P323" t="s">
        <v>245</v>
      </c>
      <c r="Q323" s="9" t="s">
        <v>45</v>
      </c>
      <c r="R323" s="82" t="s">
        <v>45</v>
      </c>
      <c r="S323" s="44" t="s">
        <v>173</v>
      </c>
      <c r="T323" s="3" t="s">
        <v>61</v>
      </c>
      <c r="U323" s="2" t="s">
        <v>29</v>
      </c>
      <c r="V323" s="3" t="s">
        <v>29</v>
      </c>
      <c r="W323" s="11" t="s">
        <v>143</v>
      </c>
      <c r="X323" s="3" t="s">
        <v>143</v>
      </c>
      <c r="Y323" s="77" t="s">
        <v>48</v>
      </c>
      <c r="Z323" s="84" t="s">
        <v>1535</v>
      </c>
      <c r="AA323" s="89" t="s">
        <v>62</v>
      </c>
      <c r="AB323" s="90" t="str">
        <f>HYPERLINK(CONCATENATE("https://www.ejacket.nsf.gov/ej/showProposal.do?ID=",SUBSTITUTE(SplitQueryTableRecent[[#This Row],[prop_id]],CHAR(160),"")),"eJ")</f>
        <v>eJ</v>
      </c>
      <c r="AC323" s="89" t="s">
        <v>1534</v>
      </c>
      <c r="AD323" s="3" t="s">
        <v>1534</v>
      </c>
      <c r="AE323" s="91">
        <v>2016</v>
      </c>
      <c r="AF323" s="13" t="s">
        <v>43</v>
      </c>
      <c r="AG323" s="13">
        <v>236356</v>
      </c>
      <c r="AH323" s="45">
        <v>595804</v>
      </c>
      <c r="AI323" s="44" t="s">
        <v>888</v>
      </c>
      <c r="AJ323" s="2" t="s">
        <v>889</v>
      </c>
      <c r="AK323" s="46" t="s">
        <v>1708</v>
      </c>
      <c r="AL323" s="55" t="s">
        <v>353</v>
      </c>
      <c r="AM323" s="45" t="s">
        <v>353</v>
      </c>
      <c r="AN323" s="56" t="s">
        <v>142</v>
      </c>
      <c r="AO323" s="23" t="s">
        <v>146</v>
      </c>
      <c r="AP323" s="11" t="s">
        <v>172</v>
      </c>
      <c r="AQ323" s="88" t="s">
        <v>1536</v>
      </c>
      <c r="AR323" s="57" t="s">
        <v>40</v>
      </c>
      <c r="AS323" s="46">
        <v>42626.495104166665</v>
      </c>
      <c r="AT323" s="3">
        <f t="shared" si="4"/>
        <v>268</v>
      </c>
    </row>
    <row r="324" spans="8:46" x14ac:dyDescent="0.4">
      <c r="H324" s="59">
        <v>42992.404930555553</v>
      </c>
      <c r="I324" s="43">
        <v>42662.720138888886</v>
      </c>
      <c r="J324" s="42">
        <v>42821.47896990741</v>
      </c>
      <c r="K324" s="81" t="s">
        <v>49</v>
      </c>
      <c r="L324" t="s">
        <v>49</v>
      </c>
      <c r="M324" t="s">
        <v>336</v>
      </c>
      <c r="N324" s="1" t="s">
        <v>336</v>
      </c>
      <c r="O324" s="1" t="s">
        <v>230</v>
      </c>
      <c r="P324" t="s">
        <v>230</v>
      </c>
      <c r="Q324" s="9" t="s">
        <v>45</v>
      </c>
      <c r="R324" s="82" t="s">
        <v>45</v>
      </c>
      <c r="S324" s="44" t="s">
        <v>192</v>
      </c>
      <c r="T324" s="3" t="s">
        <v>61</v>
      </c>
      <c r="U324" s="2" t="s">
        <v>29</v>
      </c>
      <c r="V324" s="3" t="s">
        <v>29</v>
      </c>
      <c r="W324" s="11" t="s">
        <v>143</v>
      </c>
      <c r="X324" s="3" t="s">
        <v>143</v>
      </c>
      <c r="Y324" s="77" t="s">
        <v>48</v>
      </c>
      <c r="Z324" s="84" t="s">
        <v>378</v>
      </c>
      <c r="AA324" s="89" t="s">
        <v>28</v>
      </c>
      <c r="AB324" s="90" t="str">
        <f>HYPERLINK(CONCATENATE("https://www.ejacket.nsf.gov/ej/showProposal.do?ID=",SUBSTITUTE(SplitQueryTableRecent[[#This Row],[prop_id]],CHAR(160),"")),"eJ")</f>
        <v>eJ</v>
      </c>
      <c r="AC324" s="89" t="s">
        <v>378</v>
      </c>
      <c r="AD324" s="3" t="s">
        <v>378</v>
      </c>
      <c r="AE324" s="91">
        <v>2017</v>
      </c>
      <c r="AF324" s="13" t="s">
        <v>43</v>
      </c>
      <c r="AG324" s="13">
        <v>292280</v>
      </c>
      <c r="AH324" s="45">
        <v>1200000</v>
      </c>
      <c r="AI324" s="44" t="s">
        <v>380</v>
      </c>
      <c r="AJ324" s="2" t="s">
        <v>381</v>
      </c>
      <c r="AK324" s="46" t="s">
        <v>1720</v>
      </c>
      <c r="AL324" s="55" t="s">
        <v>353</v>
      </c>
      <c r="AM324" s="45" t="s">
        <v>353</v>
      </c>
      <c r="AN324" s="56" t="s">
        <v>142</v>
      </c>
      <c r="AO324" s="23" t="s">
        <v>146</v>
      </c>
      <c r="AP324" s="11"/>
      <c r="AQ324" s="88" t="s">
        <v>379</v>
      </c>
      <c r="AR324" s="57" t="s">
        <v>188</v>
      </c>
      <c r="AS324" s="46">
        <v>42836.643483796295</v>
      </c>
      <c r="AT324" s="3">
        <f t="shared" si="4"/>
        <v>269</v>
      </c>
    </row>
    <row r="325" spans="8:46" x14ac:dyDescent="0.4">
      <c r="H325" s="59">
        <v>42992.404930555553</v>
      </c>
      <c r="I325" s="43">
        <v>42662.720138888886</v>
      </c>
      <c r="J325" s="42">
        <v>42821.47896990741</v>
      </c>
      <c r="K325" s="81" t="s">
        <v>49</v>
      </c>
      <c r="L325" t="s">
        <v>49</v>
      </c>
      <c r="M325" t="s">
        <v>336</v>
      </c>
      <c r="N325" s="1" t="s">
        <v>336</v>
      </c>
      <c r="O325" s="1" t="s">
        <v>230</v>
      </c>
      <c r="P325" t="s">
        <v>230</v>
      </c>
      <c r="Q325" s="9" t="s">
        <v>45</v>
      </c>
      <c r="R325" s="82" t="s">
        <v>45</v>
      </c>
      <c r="S325" s="44" t="s">
        <v>192</v>
      </c>
      <c r="T325" s="3" t="s">
        <v>61</v>
      </c>
      <c r="U325" s="2" t="s">
        <v>29</v>
      </c>
      <c r="V325" s="3" t="s">
        <v>29</v>
      </c>
      <c r="W325" s="11" t="s">
        <v>143</v>
      </c>
      <c r="X325" s="3" t="s">
        <v>143</v>
      </c>
      <c r="Y325" s="77" t="s">
        <v>48</v>
      </c>
      <c r="Z325" s="84" t="s">
        <v>378</v>
      </c>
      <c r="AA325" s="89" t="s">
        <v>28</v>
      </c>
      <c r="AB325" s="90" t="str">
        <f>HYPERLINK(CONCATENATE("https://www.ejacket.nsf.gov/ej/showProposal.do?ID=",SUBSTITUTE(SplitQueryTableRecent[[#This Row],[prop_id]],CHAR(160),"")),"eJ")</f>
        <v>eJ</v>
      </c>
      <c r="AC325" s="89" t="s">
        <v>378</v>
      </c>
      <c r="AD325" s="3" t="s">
        <v>378</v>
      </c>
      <c r="AE325" s="91">
        <v>2018</v>
      </c>
      <c r="AF325" s="13" t="s">
        <v>43</v>
      </c>
      <c r="AG325" s="13">
        <v>300100</v>
      </c>
      <c r="AH325" s="45">
        <v>1200000</v>
      </c>
      <c r="AI325" s="44" t="s">
        <v>380</v>
      </c>
      <c r="AJ325" s="2" t="s">
        <v>381</v>
      </c>
      <c r="AK325" s="46" t="s">
        <v>1720</v>
      </c>
      <c r="AL325" s="55" t="s">
        <v>353</v>
      </c>
      <c r="AM325" s="45" t="s">
        <v>353</v>
      </c>
      <c r="AN325" s="56" t="s">
        <v>142</v>
      </c>
      <c r="AO325" s="23" t="s">
        <v>146</v>
      </c>
      <c r="AP325" s="11" t="s">
        <v>205</v>
      </c>
      <c r="AQ325" s="88" t="s">
        <v>379</v>
      </c>
      <c r="AR325" s="57" t="s">
        <v>188</v>
      </c>
      <c r="AS325" s="46">
        <v>42836.643483796295</v>
      </c>
      <c r="AT325" s="3">
        <f t="shared" si="4"/>
        <v>269</v>
      </c>
    </row>
    <row r="326" spans="8:46" x14ac:dyDescent="0.4">
      <c r="H326" s="59">
        <v>42992.404930555553</v>
      </c>
      <c r="I326" s="43">
        <v>42662.720138888886</v>
      </c>
      <c r="J326" s="42">
        <v>42821.47896990741</v>
      </c>
      <c r="K326" s="81" t="s">
        <v>49</v>
      </c>
      <c r="L326" t="s">
        <v>49</v>
      </c>
      <c r="M326" t="s">
        <v>336</v>
      </c>
      <c r="N326" s="1" t="s">
        <v>336</v>
      </c>
      <c r="O326" s="1" t="s">
        <v>230</v>
      </c>
      <c r="P326" t="s">
        <v>230</v>
      </c>
      <c r="Q326" s="9" t="s">
        <v>45</v>
      </c>
      <c r="R326" s="82" t="s">
        <v>45</v>
      </c>
      <c r="S326" s="44" t="s">
        <v>192</v>
      </c>
      <c r="T326" s="3" t="s">
        <v>61</v>
      </c>
      <c r="U326" s="2" t="s">
        <v>29</v>
      </c>
      <c r="V326" s="3" t="s">
        <v>29</v>
      </c>
      <c r="W326" s="11" t="s">
        <v>143</v>
      </c>
      <c r="X326" s="3" t="s">
        <v>143</v>
      </c>
      <c r="Y326" s="77" t="s">
        <v>48</v>
      </c>
      <c r="Z326" s="84" t="s">
        <v>378</v>
      </c>
      <c r="AA326" s="89" t="s">
        <v>28</v>
      </c>
      <c r="AB326" s="90" t="str">
        <f>HYPERLINK(CONCATENATE("https://www.ejacket.nsf.gov/ej/showProposal.do?ID=",SUBSTITUTE(SplitQueryTableRecent[[#This Row],[prop_id]],CHAR(160),"")),"eJ")</f>
        <v>eJ</v>
      </c>
      <c r="AC326" s="89" t="s">
        <v>378</v>
      </c>
      <c r="AD326" s="3" t="s">
        <v>378</v>
      </c>
      <c r="AE326" s="91">
        <v>2019</v>
      </c>
      <c r="AF326" s="13" t="s">
        <v>43</v>
      </c>
      <c r="AG326" s="13">
        <v>307620</v>
      </c>
      <c r="AH326" s="45">
        <v>1200000</v>
      </c>
      <c r="AI326" s="44" t="s">
        <v>380</v>
      </c>
      <c r="AJ326" s="2" t="s">
        <v>381</v>
      </c>
      <c r="AK326" s="46" t="s">
        <v>1720</v>
      </c>
      <c r="AL326" s="55" t="s">
        <v>353</v>
      </c>
      <c r="AM326" s="45" t="s">
        <v>353</v>
      </c>
      <c r="AN326" s="56" t="s">
        <v>142</v>
      </c>
      <c r="AO326" s="23" t="s">
        <v>146</v>
      </c>
      <c r="AP326" s="11" t="s">
        <v>205</v>
      </c>
      <c r="AQ326" s="88" t="s">
        <v>379</v>
      </c>
      <c r="AR326" s="57" t="s">
        <v>188</v>
      </c>
      <c r="AS326" s="46">
        <v>42836.643483796295</v>
      </c>
      <c r="AT326" s="3">
        <f t="shared" si="4"/>
        <v>269</v>
      </c>
    </row>
    <row r="327" spans="8:46" x14ac:dyDescent="0.4">
      <c r="H327" s="59">
        <v>42992.404930555553</v>
      </c>
      <c r="I327" s="43">
        <v>41953.668749999997</v>
      </c>
      <c r="J327" s="42">
        <v>42144.569236111114</v>
      </c>
      <c r="K327" s="81" t="s">
        <v>49</v>
      </c>
      <c r="L327" t="s">
        <v>49</v>
      </c>
      <c r="M327" t="s">
        <v>336</v>
      </c>
      <c r="N327" s="1" t="s">
        <v>336</v>
      </c>
      <c r="O327" s="1" t="s">
        <v>245</v>
      </c>
      <c r="P327" t="s">
        <v>245</v>
      </c>
      <c r="Q327" s="9" t="s">
        <v>45</v>
      </c>
      <c r="R327" s="82" t="s">
        <v>45</v>
      </c>
      <c r="S327" s="44" t="s">
        <v>184</v>
      </c>
      <c r="T327" s="3" t="s">
        <v>61</v>
      </c>
      <c r="U327" s="2" t="s">
        <v>29</v>
      </c>
      <c r="V327" s="3" t="s">
        <v>29</v>
      </c>
      <c r="W327" s="11" t="s">
        <v>143</v>
      </c>
      <c r="X327" s="3" t="s">
        <v>143</v>
      </c>
      <c r="Y327" s="77" t="s">
        <v>48</v>
      </c>
      <c r="Z327" s="84" t="s">
        <v>1537</v>
      </c>
      <c r="AA327" s="89" t="s">
        <v>28</v>
      </c>
      <c r="AB327" s="90" t="str">
        <f>HYPERLINK(CONCATENATE("https://www.ejacket.nsf.gov/ej/showProposal.do?ID=",SUBSTITUTE(SplitQueryTableRecent[[#This Row],[prop_id]],CHAR(160),"")),"eJ")</f>
        <v>eJ</v>
      </c>
      <c r="AC327" s="89" t="s">
        <v>1537</v>
      </c>
      <c r="AD327" s="3" t="s">
        <v>1537</v>
      </c>
      <c r="AE327" s="91">
        <v>2015</v>
      </c>
      <c r="AF327" s="13" t="s">
        <v>43</v>
      </c>
      <c r="AG327" s="13">
        <v>485667</v>
      </c>
      <c r="AH327" s="45">
        <v>1197907</v>
      </c>
      <c r="AI327" s="44" t="s">
        <v>1539</v>
      </c>
      <c r="AJ327" s="2" t="s">
        <v>656</v>
      </c>
      <c r="AK327" s="46" t="s">
        <v>1731</v>
      </c>
      <c r="AL327" s="55" t="s">
        <v>353</v>
      </c>
      <c r="AM327" s="45" t="s">
        <v>353</v>
      </c>
      <c r="AN327" s="56" t="s">
        <v>142</v>
      </c>
      <c r="AO327" s="23" t="s">
        <v>146</v>
      </c>
      <c r="AP327" s="11"/>
      <c r="AQ327" s="88" t="s">
        <v>1538</v>
      </c>
      <c r="AR327" s="57" t="s">
        <v>164</v>
      </c>
      <c r="AS327" s="46">
        <v>42166.409351851849</v>
      </c>
      <c r="AT327" s="3">
        <f t="shared" si="4"/>
        <v>270</v>
      </c>
    </row>
    <row r="328" spans="8:46" x14ac:dyDescent="0.4">
      <c r="H328" s="59">
        <v>42992.404930555553</v>
      </c>
      <c r="I328" s="43">
        <v>41953.668749999997</v>
      </c>
      <c r="J328" s="42">
        <v>42144.569236111114</v>
      </c>
      <c r="K328" s="81" t="s">
        <v>49</v>
      </c>
      <c r="L328" t="s">
        <v>49</v>
      </c>
      <c r="M328" t="s">
        <v>336</v>
      </c>
      <c r="N328" s="1" t="s">
        <v>336</v>
      </c>
      <c r="O328" s="1" t="s">
        <v>245</v>
      </c>
      <c r="P328" t="s">
        <v>245</v>
      </c>
      <c r="Q328" s="9" t="s">
        <v>45</v>
      </c>
      <c r="R328" s="82" t="s">
        <v>45</v>
      </c>
      <c r="S328" s="44" t="s">
        <v>184</v>
      </c>
      <c r="T328" s="3" t="s">
        <v>61</v>
      </c>
      <c r="U328" s="2" t="s">
        <v>29</v>
      </c>
      <c r="V328" s="3" t="s">
        <v>29</v>
      </c>
      <c r="W328" s="11" t="s">
        <v>143</v>
      </c>
      <c r="X328" s="3" t="s">
        <v>143</v>
      </c>
      <c r="Y328" s="77" t="s">
        <v>48</v>
      </c>
      <c r="Z328" s="84" t="s">
        <v>1537</v>
      </c>
      <c r="AA328" s="89" t="s">
        <v>28</v>
      </c>
      <c r="AB328" s="90" t="str">
        <f>HYPERLINK(CONCATENATE("https://www.ejacket.nsf.gov/ej/showProposal.do?ID=",SUBSTITUTE(SplitQueryTableRecent[[#This Row],[prop_id]],CHAR(160),"")),"eJ")</f>
        <v>eJ</v>
      </c>
      <c r="AC328" s="89" t="s">
        <v>1537</v>
      </c>
      <c r="AD328" s="3" t="s">
        <v>1537</v>
      </c>
      <c r="AE328" s="91">
        <v>2017</v>
      </c>
      <c r="AF328" s="13" t="s">
        <v>43</v>
      </c>
      <c r="AG328" s="13">
        <v>514256</v>
      </c>
      <c r="AH328" s="45">
        <v>1197907</v>
      </c>
      <c r="AI328" s="44" t="s">
        <v>1539</v>
      </c>
      <c r="AJ328" s="2" t="s">
        <v>656</v>
      </c>
      <c r="AK328" s="46" t="s">
        <v>1731</v>
      </c>
      <c r="AL328" s="55" t="s">
        <v>353</v>
      </c>
      <c r="AM328" s="45" t="s">
        <v>353</v>
      </c>
      <c r="AN328" s="56" t="s">
        <v>142</v>
      </c>
      <c r="AO328" s="23" t="s">
        <v>146</v>
      </c>
      <c r="AP328" s="11" t="s">
        <v>172</v>
      </c>
      <c r="AQ328" s="88" t="s">
        <v>1538</v>
      </c>
      <c r="AR328" s="57" t="s">
        <v>1504</v>
      </c>
      <c r="AS328" s="46">
        <v>42886.419733796298</v>
      </c>
      <c r="AT328" s="3">
        <f t="shared" si="4"/>
        <v>270</v>
      </c>
    </row>
    <row r="329" spans="8:46" x14ac:dyDescent="0.4">
      <c r="H329" s="59">
        <v>42992.404930555553</v>
      </c>
      <c r="I329" s="43">
        <v>42263.451388888891</v>
      </c>
      <c r="J329" s="42">
        <v>42388.419722222221</v>
      </c>
      <c r="K329" s="81" t="s">
        <v>49</v>
      </c>
      <c r="L329" t="s">
        <v>49</v>
      </c>
      <c r="M329" t="s">
        <v>336</v>
      </c>
      <c r="N329" s="1" t="s">
        <v>336</v>
      </c>
      <c r="O329" s="1" t="s">
        <v>245</v>
      </c>
      <c r="P329" t="s">
        <v>245</v>
      </c>
      <c r="Q329" s="9" t="s">
        <v>45</v>
      </c>
      <c r="R329" s="82" t="s">
        <v>45</v>
      </c>
      <c r="S329" s="44" t="s">
        <v>196</v>
      </c>
      <c r="T329" s="3" t="s">
        <v>61</v>
      </c>
      <c r="U329" s="2" t="s">
        <v>29</v>
      </c>
      <c r="V329" s="3" t="s">
        <v>29</v>
      </c>
      <c r="W329" s="11" t="s">
        <v>143</v>
      </c>
      <c r="X329" s="3" t="s">
        <v>143</v>
      </c>
      <c r="Y329" s="77" t="s">
        <v>48</v>
      </c>
      <c r="Z329" s="84" t="s">
        <v>383</v>
      </c>
      <c r="AA329" s="89" t="s">
        <v>174</v>
      </c>
      <c r="AB329" s="90" t="str">
        <f>HYPERLINK(CONCATENATE("https://www.ejacket.nsf.gov/ej/showProposal.do?ID=",SUBSTITUTE(SplitQueryTableRecent[[#This Row],[prop_id]],CHAR(160),"")),"eJ")</f>
        <v>eJ</v>
      </c>
      <c r="AC329" s="89" t="s">
        <v>383</v>
      </c>
      <c r="AD329" s="3" t="s">
        <v>383</v>
      </c>
      <c r="AE329" s="91">
        <v>2016</v>
      </c>
      <c r="AF329" s="13" t="s">
        <v>43</v>
      </c>
      <c r="AG329" s="13">
        <v>259300</v>
      </c>
      <c r="AH329" s="45">
        <v>400000</v>
      </c>
      <c r="AI329" s="44" t="s">
        <v>385</v>
      </c>
      <c r="AJ329" s="2" t="s">
        <v>386</v>
      </c>
      <c r="AK329" s="46" t="s">
        <v>1726</v>
      </c>
      <c r="AL329" s="55" t="s">
        <v>353</v>
      </c>
      <c r="AM329" s="45" t="s">
        <v>353</v>
      </c>
      <c r="AN329" s="56" t="s">
        <v>142</v>
      </c>
      <c r="AO329" s="23" t="s">
        <v>146</v>
      </c>
      <c r="AP329" s="11"/>
      <c r="AQ329" s="88" t="s">
        <v>384</v>
      </c>
      <c r="AR329" s="57" t="s">
        <v>164</v>
      </c>
      <c r="AS329" s="46">
        <v>42417.608576388891</v>
      </c>
      <c r="AT329" s="3">
        <f t="shared" si="4"/>
        <v>271</v>
      </c>
    </row>
    <row r="330" spans="8:46" x14ac:dyDescent="0.4">
      <c r="H330" s="59">
        <v>42992.404930555553</v>
      </c>
      <c r="I330" s="43">
        <v>42263.451388888891</v>
      </c>
      <c r="J330" s="42">
        <v>42388.419722222221</v>
      </c>
      <c r="K330" s="81" t="s">
        <v>49</v>
      </c>
      <c r="L330" t="s">
        <v>49</v>
      </c>
      <c r="M330" t="s">
        <v>336</v>
      </c>
      <c r="N330" s="1" t="s">
        <v>336</v>
      </c>
      <c r="O330" s="1" t="s">
        <v>245</v>
      </c>
      <c r="P330" t="s">
        <v>245</v>
      </c>
      <c r="Q330" s="9" t="s">
        <v>45</v>
      </c>
      <c r="R330" s="82" t="s">
        <v>45</v>
      </c>
      <c r="S330" s="44" t="s">
        <v>196</v>
      </c>
      <c r="T330" s="3" t="s">
        <v>61</v>
      </c>
      <c r="U330" s="2" t="s">
        <v>29</v>
      </c>
      <c r="V330" s="3" t="s">
        <v>29</v>
      </c>
      <c r="W330" s="11" t="s">
        <v>143</v>
      </c>
      <c r="X330" s="3" t="s">
        <v>143</v>
      </c>
      <c r="Y330" s="77" t="s">
        <v>48</v>
      </c>
      <c r="Z330" s="84" t="s">
        <v>383</v>
      </c>
      <c r="AA330" s="89" t="s">
        <v>174</v>
      </c>
      <c r="AB330" s="90" t="str">
        <f>HYPERLINK(CONCATENATE("https://www.ejacket.nsf.gov/ej/showProposal.do?ID=",SUBSTITUTE(SplitQueryTableRecent[[#This Row],[prop_id]],CHAR(160),"")),"eJ")</f>
        <v>eJ</v>
      </c>
      <c r="AC330" s="89" t="s">
        <v>383</v>
      </c>
      <c r="AD330" s="3" t="s">
        <v>383</v>
      </c>
      <c r="AE330" s="91">
        <v>2018</v>
      </c>
      <c r="AF330" s="13" t="s">
        <v>43</v>
      </c>
      <c r="AG330" s="13">
        <v>140700</v>
      </c>
      <c r="AH330" s="45">
        <v>400000</v>
      </c>
      <c r="AI330" s="44" t="s">
        <v>385</v>
      </c>
      <c r="AJ330" s="2" t="s">
        <v>386</v>
      </c>
      <c r="AK330" s="46" t="s">
        <v>1726</v>
      </c>
      <c r="AL330" s="55" t="s">
        <v>353</v>
      </c>
      <c r="AM330" s="45" t="s">
        <v>353</v>
      </c>
      <c r="AN330" s="56" t="s">
        <v>142</v>
      </c>
      <c r="AO330" s="23" t="s">
        <v>146</v>
      </c>
      <c r="AP330" s="11" t="s">
        <v>205</v>
      </c>
      <c r="AQ330" s="88" t="s">
        <v>384</v>
      </c>
      <c r="AR330" s="57" t="s">
        <v>164</v>
      </c>
      <c r="AS330" s="46">
        <v>42417.608576388891</v>
      </c>
      <c r="AT330" s="3">
        <f t="shared" si="4"/>
        <v>271</v>
      </c>
    </row>
    <row r="331" spans="8:46" x14ac:dyDescent="0.4">
      <c r="H331" s="59">
        <v>42992.404930555553</v>
      </c>
      <c r="I331" s="43">
        <v>41191.689583333333</v>
      </c>
      <c r="J331" s="42">
        <v>41422.891863425924</v>
      </c>
      <c r="K331" s="81" t="s">
        <v>49</v>
      </c>
      <c r="L331" t="s">
        <v>49</v>
      </c>
      <c r="M331" t="s">
        <v>336</v>
      </c>
      <c r="N331" s="1" t="s">
        <v>336</v>
      </c>
      <c r="O331" s="1" t="s">
        <v>337</v>
      </c>
      <c r="P331" t="s">
        <v>337</v>
      </c>
      <c r="Q331" s="9" t="s">
        <v>45</v>
      </c>
      <c r="R331" s="82" t="s">
        <v>45</v>
      </c>
      <c r="S331" s="44" t="s">
        <v>165</v>
      </c>
      <c r="T331" s="3" t="s">
        <v>61</v>
      </c>
      <c r="U331" s="2" t="s">
        <v>29</v>
      </c>
      <c r="V331" s="3" t="s">
        <v>29</v>
      </c>
      <c r="W331" s="11" t="s">
        <v>143</v>
      </c>
      <c r="X331" s="3" t="s">
        <v>143</v>
      </c>
      <c r="Y331" s="77" t="s">
        <v>48</v>
      </c>
      <c r="Z331" s="84" t="s">
        <v>1541</v>
      </c>
      <c r="AA331" s="89" t="s">
        <v>62</v>
      </c>
      <c r="AB331" s="90" t="str">
        <f>HYPERLINK(CONCATENATE("https://www.ejacket.nsf.gov/ej/showProposal.do?ID=",SUBSTITUTE(SplitQueryTableRecent[[#This Row],[prop_id]],CHAR(160),"")),"eJ")</f>
        <v>eJ</v>
      </c>
      <c r="AC331" s="89" t="s">
        <v>1540</v>
      </c>
      <c r="AD331" s="3" t="s">
        <v>1540</v>
      </c>
      <c r="AE331" s="91">
        <v>2015</v>
      </c>
      <c r="AF331" s="13" t="s">
        <v>43</v>
      </c>
      <c r="AG331" s="13">
        <v>208317</v>
      </c>
      <c r="AH331" s="45">
        <v>398134</v>
      </c>
      <c r="AI331" s="44" t="s">
        <v>1424</v>
      </c>
      <c r="AJ331" s="2" t="s">
        <v>1425</v>
      </c>
      <c r="AK331" s="46" t="s">
        <v>1706</v>
      </c>
      <c r="AL331" s="55" t="s">
        <v>341</v>
      </c>
      <c r="AM331" s="45" t="s">
        <v>341</v>
      </c>
      <c r="AN331" s="56" t="s">
        <v>142</v>
      </c>
      <c r="AO331" s="23" t="s">
        <v>146</v>
      </c>
      <c r="AP331" s="11" t="s">
        <v>172</v>
      </c>
      <c r="AQ331" s="88" t="s">
        <v>1542</v>
      </c>
      <c r="AR331" s="57" t="s">
        <v>1521</v>
      </c>
      <c r="AS331" s="46">
        <v>42158.471226851849</v>
      </c>
      <c r="AT331" s="3">
        <f t="shared" si="4"/>
        <v>272</v>
      </c>
    </row>
    <row r="332" spans="8:46" x14ac:dyDescent="0.4">
      <c r="H332" s="59">
        <v>42992.404930555553</v>
      </c>
      <c r="I332" s="43">
        <v>41953.538194444445</v>
      </c>
      <c r="J332" s="42">
        <v>42116.370740740742</v>
      </c>
      <c r="K332" s="81" t="s">
        <v>49</v>
      </c>
      <c r="L332" t="s">
        <v>49</v>
      </c>
      <c r="M332" t="s">
        <v>336</v>
      </c>
      <c r="N332" s="1" t="s">
        <v>336</v>
      </c>
      <c r="O332" s="1" t="s">
        <v>245</v>
      </c>
      <c r="P332" t="s">
        <v>245</v>
      </c>
      <c r="Q332" s="9" t="s">
        <v>45</v>
      </c>
      <c r="R332" s="82" t="s">
        <v>45</v>
      </c>
      <c r="S332" s="44" t="s">
        <v>184</v>
      </c>
      <c r="T332" s="3" t="s">
        <v>61</v>
      </c>
      <c r="U332" s="2" t="s">
        <v>29</v>
      </c>
      <c r="V332" s="3" t="s">
        <v>29</v>
      </c>
      <c r="W332" s="11" t="s">
        <v>143</v>
      </c>
      <c r="X332" s="3" t="s">
        <v>143</v>
      </c>
      <c r="Y332" s="77" t="s">
        <v>48</v>
      </c>
      <c r="Z332" s="84" t="s">
        <v>1502</v>
      </c>
      <c r="AA332" s="89" t="s">
        <v>62</v>
      </c>
      <c r="AB332" s="90" t="str">
        <f>HYPERLINK(CONCATENATE("https://www.ejacket.nsf.gov/ej/showProposal.do?ID=",SUBSTITUTE(SplitQueryTableRecent[[#This Row],[prop_id]],CHAR(160),"")),"eJ")</f>
        <v>eJ</v>
      </c>
      <c r="AC332" s="89" t="s">
        <v>1543</v>
      </c>
      <c r="AD332" s="3" t="s">
        <v>1543</v>
      </c>
      <c r="AE332" s="91">
        <v>2015</v>
      </c>
      <c r="AF332" s="13" t="s">
        <v>43</v>
      </c>
      <c r="AG332" s="13">
        <v>168197</v>
      </c>
      <c r="AH332" s="45">
        <v>400000</v>
      </c>
      <c r="AI332" s="44" t="s">
        <v>1424</v>
      </c>
      <c r="AJ332" s="2" t="s">
        <v>1425</v>
      </c>
      <c r="AK332" s="46" t="s">
        <v>1706</v>
      </c>
      <c r="AL332" s="55" t="s">
        <v>353</v>
      </c>
      <c r="AM332" s="45" t="s">
        <v>353</v>
      </c>
      <c r="AN332" s="56" t="s">
        <v>142</v>
      </c>
      <c r="AO332" s="23" t="s">
        <v>146</v>
      </c>
      <c r="AP332" s="11"/>
      <c r="AQ332" s="88" t="s">
        <v>1503</v>
      </c>
      <c r="AR332" s="57" t="s">
        <v>164</v>
      </c>
      <c r="AS332" s="46">
        <v>42152.584398148145</v>
      </c>
      <c r="AT332" s="3">
        <f t="shared" si="4"/>
        <v>273</v>
      </c>
    </row>
    <row r="333" spans="8:46" x14ac:dyDescent="0.4">
      <c r="H333" s="59">
        <v>42992.404930555553</v>
      </c>
      <c r="I333" s="43">
        <v>41953.538194444445</v>
      </c>
      <c r="J333" s="42">
        <v>42116.370740740742</v>
      </c>
      <c r="K333" s="81" t="s">
        <v>49</v>
      </c>
      <c r="L333" t="s">
        <v>49</v>
      </c>
      <c r="M333" t="s">
        <v>336</v>
      </c>
      <c r="N333" s="1" t="s">
        <v>336</v>
      </c>
      <c r="O333" s="1" t="s">
        <v>245</v>
      </c>
      <c r="P333" t="s">
        <v>245</v>
      </c>
      <c r="Q333" s="9" t="s">
        <v>45</v>
      </c>
      <c r="R333" s="82" t="s">
        <v>45</v>
      </c>
      <c r="S333" s="44" t="s">
        <v>184</v>
      </c>
      <c r="T333" s="3" t="s">
        <v>61</v>
      </c>
      <c r="U333" s="2" t="s">
        <v>29</v>
      </c>
      <c r="V333" s="3" t="s">
        <v>29</v>
      </c>
      <c r="W333" s="11" t="s">
        <v>143</v>
      </c>
      <c r="X333" s="3" t="s">
        <v>143</v>
      </c>
      <c r="Y333" s="77" t="s">
        <v>48</v>
      </c>
      <c r="Z333" s="84" t="s">
        <v>1502</v>
      </c>
      <c r="AA333" s="89" t="s">
        <v>62</v>
      </c>
      <c r="AB333" s="90" t="str">
        <f>HYPERLINK(CONCATENATE("https://www.ejacket.nsf.gov/ej/showProposal.do?ID=",SUBSTITUTE(SplitQueryTableRecent[[#This Row],[prop_id]],CHAR(160),"")),"eJ")</f>
        <v>eJ</v>
      </c>
      <c r="AC333" s="89" t="s">
        <v>1543</v>
      </c>
      <c r="AD333" s="3" t="s">
        <v>1543</v>
      </c>
      <c r="AE333" s="91">
        <v>2017</v>
      </c>
      <c r="AF333" s="13" t="s">
        <v>43</v>
      </c>
      <c r="AG333" s="13">
        <v>214517</v>
      </c>
      <c r="AH333" s="45">
        <v>400000</v>
      </c>
      <c r="AI333" s="44" t="s">
        <v>1424</v>
      </c>
      <c r="AJ333" s="2" t="s">
        <v>1425</v>
      </c>
      <c r="AK333" s="46" t="s">
        <v>1706</v>
      </c>
      <c r="AL333" s="55" t="s">
        <v>353</v>
      </c>
      <c r="AM333" s="45" t="s">
        <v>353</v>
      </c>
      <c r="AN333" s="56" t="s">
        <v>142</v>
      </c>
      <c r="AO333" s="23" t="s">
        <v>146</v>
      </c>
      <c r="AP333" s="11" t="s">
        <v>172</v>
      </c>
      <c r="AQ333" s="88" t="s">
        <v>1503</v>
      </c>
      <c r="AR333" s="57" t="s">
        <v>1504</v>
      </c>
      <c r="AS333" s="46">
        <v>42892.388020833336</v>
      </c>
      <c r="AT333" s="3">
        <f t="shared" si="4"/>
        <v>273</v>
      </c>
    </row>
    <row r="334" spans="8:46" x14ac:dyDescent="0.4">
      <c r="H334" s="59">
        <v>42992.404930555553</v>
      </c>
      <c r="I334" s="43">
        <v>42263.587500000001</v>
      </c>
      <c r="J334" s="42">
        <v>42472.438391203701</v>
      </c>
      <c r="K334" s="81" t="s">
        <v>49</v>
      </c>
      <c r="L334" t="s">
        <v>49</v>
      </c>
      <c r="M334" t="s">
        <v>336</v>
      </c>
      <c r="N334" s="1" t="s">
        <v>336</v>
      </c>
      <c r="O334" s="1" t="s">
        <v>337</v>
      </c>
      <c r="P334" t="s">
        <v>337</v>
      </c>
      <c r="Q334" s="9" t="s">
        <v>45</v>
      </c>
      <c r="R334" s="82" t="s">
        <v>45</v>
      </c>
      <c r="S334" s="44" t="s">
        <v>196</v>
      </c>
      <c r="T334" s="3" t="s">
        <v>61</v>
      </c>
      <c r="U334" s="2" t="s">
        <v>29</v>
      </c>
      <c r="V334" s="3" t="s">
        <v>29</v>
      </c>
      <c r="W334" s="11" t="s">
        <v>143</v>
      </c>
      <c r="X334" s="3" t="s">
        <v>143</v>
      </c>
      <c r="Y334" s="77" t="s">
        <v>48</v>
      </c>
      <c r="Z334" s="84" t="s">
        <v>387</v>
      </c>
      <c r="AA334" s="89" t="s">
        <v>28</v>
      </c>
      <c r="AB334" s="90" t="str">
        <f>HYPERLINK(CONCATENATE("https://www.ejacket.nsf.gov/ej/showProposal.do?ID=",SUBSTITUTE(SplitQueryTableRecent[[#This Row],[prop_id]],CHAR(160),"")),"eJ")</f>
        <v>eJ</v>
      </c>
      <c r="AC334" s="89" t="s">
        <v>387</v>
      </c>
      <c r="AD334" s="3" t="s">
        <v>387</v>
      </c>
      <c r="AE334" s="91">
        <v>2016</v>
      </c>
      <c r="AF334" s="13" t="s">
        <v>43</v>
      </c>
      <c r="AG334" s="13">
        <v>441470</v>
      </c>
      <c r="AH334" s="45">
        <v>868710</v>
      </c>
      <c r="AI334" s="44" t="s">
        <v>390</v>
      </c>
      <c r="AJ334" s="2" t="s">
        <v>391</v>
      </c>
      <c r="AK334" s="46" t="s">
        <v>1726</v>
      </c>
      <c r="AL334" s="55" t="s">
        <v>341</v>
      </c>
      <c r="AM334" s="45" t="s">
        <v>389</v>
      </c>
      <c r="AN334" s="56" t="s">
        <v>142</v>
      </c>
      <c r="AO334" s="23" t="s">
        <v>146</v>
      </c>
      <c r="AP334" s="11"/>
      <c r="AQ334" s="88" t="s">
        <v>388</v>
      </c>
      <c r="AR334" s="57" t="s">
        <v>164</v>
      </c>
      <c r="AS334" s="46">
        <v>42503.376134259262</v>
      </c>
      <c r="AT334" s="3">
        <f t="shared" si="4"/>
        <v>274</v>
      </c>
    </row>
    <row r="335" spans="8:46" x14ac:dyDescent="0.4">
      <c r="H335" s="59">
        <v>42992.404930555553</v>
      </c>
      <c r="I335" s="43">
        <v>42263.587500000001</v>
      </c>
      <c r="J335" s="42">
        <v>42472.438391203701</v>
      </c>
      <c r="K335" s="81" t="s">
        <v>49</v>
      </c>
      <c r="L335" t="s">
        <v>49</v>
      </c>
      <c r="M335" t="s">
        <v>336</v>
      </c>
      <c r="N335" s="1" t="s">
        <v>336</v>
      </c>
      <c r="O335" s="1" t="s">
        <v>337</v>
      </c>
      <c r="P335" t="s">
        <v>337</v>
      </c>
      <c r="Q335" s="9" t="s">
        <v>45</v>
      </c>
      <c r="R335" s="82" t="s">
        <v>45</v>
      </c>
      <c r="S335" s="44" t="s">
        <v>196</v>
      </c>
      <c r="T335" s="3" t="s">
        <v>61</v>
      </c>
      <c r="U335" s="2" t="s">
        <v>29</v>
      </c>
      <c r="V335" s="3" t="s">
        <v>29</v>
      </c>
      <c r="W335" s="11" t="s">
        <v>143</v>
      </c>
      <c r="X335" s="3" t="s">
        <v>143</v>
      </c>
      <c r="Y335" s="77" t="s">
        <v>48</v>
      </c>
      <c r="Z335" s="84" t="s">
        <v>387</v>
      </c>
      <c r="AA335" s="89" t="s">
        <v>28</v>
      </c>
      <c r="AB335" s="90" t="str">
        <f>HYPERLINK(CONCATENATE("https://www.ejacket.nsf.gov/ej/showProposal.do?ID=",SUBSTITUTE(SplitQueryTableRecent[[#This Row],[prop_id]],CHAR(160),"")),"eJ")</f>
        <v>eJ</v>
      </c>
      <c r="AC335" s="89" t="s">
        <v>387</v>
      </c>
      <c r="AD335" s="3" t="s">
        <v>387</v>
      </c>
      <c r="AE335" s="91">
        <v>2018</v>
      </c>
      <c r="AF335" s="13" t="s">
        <v>43</v>
      </c>
      <c r="AG335" s="13">
        <v>248530</v>
      </c>
      <c r="AH335" s="45">
        <v>868710</v>
      </c>
      <c r="AI335" s="44" t="s">
        <v>390</v>
      </c>
      <c r="AJ335" s="2" t="s">
        <v>391</v>
      </c>
      <c r="AK335" s="46" t="s">
        <v>1726</v>
      </c>
      <c r="AL335" s="55" t="s">
        <v>341</v>
      </c>
      <c r="AM335" s="45" t="s">
        <v>389</v>
      </c>
      <c r="AN335" s="56" t="s">
        <v>142</v>
      </c>
      <c r="AO335" s="23" t="s">
        <v>146</v>
      </c>
      <c r="AP335" s="11" t="s">
        <v>205</v>
      </c>
      <c r="AQ335" s="88" t="s">
        <v>388</v>
      </c>
      <c r="AR335" s="57" t="s">
        <v>164</v>
      </c>
      <c r="AS335" s="46">
        <v>42503.376134259262</v>
      </c>
      <c r="AT335" s="3">
        <f t="shared" si="4"/>
        <v>274</v>
      </c>
    </row>
    <row r="336" spans="8:46" x14ac:dyDescent="0.4">
      <c r="H336" s="59">
        <v>42992.404930555553</v>
      </c>
      <c r="I336" s="43">
        <v>42263.684027777781</v>
      </c>
      <c r="J336" s="42">
        <v>42388.420219907406</v>
      </c>
      <c r="K336" s="81" t="s">
        <v>49</v>
      </c>
      <c r="L336" t="s">
        <v>49</v>
      </c>
      <c r="M336" t="s">
        <v>336</v>
      </c>
      <c r="N336" s="1" t="s">
        <v>336</v>
      </c>
      <c r="O336" s="1" t="s">
        <v>245</v>
      </c>
      <c r="P336" t="s">
        <v>245</v>
      </c>
      <c r="Q336" s="9" t="s">
        <v>45</v>
      </c>
      <c r="R336" s="82" t="s">
        <v>45</v>
      </c>
      <c r="S336" s="44" t="s">
        <v>196</v>
      </c>
      <c r="T336" s="3" t="s">
        <v>61</v>
      </c>
      <c r="U336" s="2" t="s">
        <v>29</v>
      </c>
      <c r="V336" s="3" t="s">
        <v>29</v>
      </c>
      <c r="W336" s="11" t="s">
        <v>143</v>
      </c>
      <c r="X336" s="3" t="s">
        <v>143</v>
      </c>
      <c r="Y336" s="77" t="s">
        <v>48</v>
      </c>
      <c r="Z336" s="84" t="s">
        <v>383</v>
      </c>
      <c r="AA336" s="89" t="s">
        <v>62</v>
      </c>
      <c r="AB336" s="90" t="str">
        <f>HYPERLINK(CONCATENATE("https://www.ejacket.nsf.gov/ej/showProposal.do?ID=",SUBSTITUTE(SplitQueryTableRecent[[#This Row],[prop_id]],CHAR(160),"")),"eJ")</f>
        <v>eJ</v>
      </c>
      <c r="AC336" s="89" t="s">
        <v>394</v>
      </c>
      <c r="AD336" s="3" t="s">
        <v>394</v>
      </c>
      <c r="AE336" s="91">
        <v>2016</v>
      </c>
      <c r="AF336" s="13" t="s">
        <v>43</v>
      </c>
      <c r="AG336" s="13">
        <v>259432</v>
      </c>
      <c r="AH336" s="45">
        <v>400000</v>
      </c>
      <c r="AI336" s="44" t="s">
        <v>395</v>
      </c>
      <c r="AJ336" s="2" t="s">
        <v>396</v>
      </c>
      <c r="AK336" s="46" t="s">
        <v>1731</v>
      </c>
      <c r="AL336" s="55" t="s">
        <v>353</v>
      </c>
      <c r="AM336" s="45" t="s">
        <v>353</v>
      </c>
      <c r="AN336" s="56" t="s">
        <v>142</v>
      </c>
      <c r="AO336" s="23" t="s">
        <v>146</v>
      </c>
      <c r="AP336" s="11"/>
      <c r="AQ336" s="88" t="s">
        <v>384</v>
      </c>
      <c r="AR336" s="57" t="s">
        <v>164</v>
      </c>
      <c r="AS336" s="46">
        <v>42417.60864583333</v>
      </c>
      <c r="AT336" s="3">
        <f t="shared" si="4"/>
        <v>275</v>
      </c>
    </row>
    <row r="337" spans="8:46" x14ac:dyDescent="0.4">
      <c r="H337" s="59">
        <v>42992.404930555553</v>
      </c>
      <c r="I337" s="43">
        <v>42263.684027777781</v>
      </c>
      <c r="J337" s="42">
        <v>42388.420219907406</v>
      </c>
      <c r="K337" s="81" t="s">
        <v>49</v>
      </c>
      <c r="L337" t="s">
        <v>49</v>
      </c>
      <c r="M337" t="s">
        <v>336</v>
      </c>
      <c r="N337" s="1" t="s">
        <v>336</v>
      </c>
      <c r="O337" s="1" t="s">
        <v>245</v>
      </c>
      <c r="P337" t="s">
        <v>245</v>
      </c>
      <c r="Q337" s="9" t="s">
        <v>45</v>
      </c>
      <c r="R337" s="82" t="s">
        <v>45</v>
      </c>
      <c r="S337" s="44" t="s">
        <v>196</v>
      </c>
      <c r="T337" s="3" t="s">
        <v>61</v>
      </c>
      <c r="U337" s="2" t="s">
        <v>29</v>
      </c>
      <c r="V337" s="3" t="s">
        <v>29</v>
      </c>
      <c r="W337" s="11" t="s">
        <v>143</v>
      </c>
      <c r="X337" s="3" t="s">
        <v>143</v>
      </c>
      <c r="Y337" s="77" t="s">
        <v>48</v>
      </c>
      <c r="Z337" s="84" t="s">
        <v>383</v>
      </c>
      <c r="AA337" s="89" t="s">
        <v>62</v>
      </c>
      <c r="AB337" s="90" t="str">
        <f>HYPERLINK(CONCATENATE("https://www.ejacket.nsf.gov/ej/showProposal.do?ID=",SUBSTITUTE(SplitQueryTableRecent[[#This Row],[prop_id]],CHAR(160),"")),"eJ")</f>
        <v>eJ</v>
      </c>
      <c r="AC337" s="89" t="s">
        <v>394</v>
      </c>
      <c r="AD337" s="3" t="s">
        <v>394</v>
      </c>
      <c r="AE337" s="91">
        <v>2018</v>
      </c>
      <c r="AF337" s="13" t="s">
        <v>43</v>
      </c>
      <c r="AG337" s="13">
        <v>140568</v>
      </c>
      <c r="AH337" s="45">
        <v>400000</v>
      </c>
      <c r="AI337" s="44" t="s">
        <v>395</v>
      </c>
      <c r="AJ337" s="2" t="s">
        <v>396</v>
      </c>
      <c r="AK337" s="46" t="s">
        <v>1731</v>
      </c>
      <c r="AL337" s="55" t="s">
        <v>353</v>
      </c>
      <c r="AM337" s="45" t="s">
        <v>373</v>
      </c>
      <c r="AN337" s="56" t="s">
        <v>142</v>
      </c>
      <c r="AO337" s="23" t="s">
        <v>146</v>
      </c>
      <c r="AP337" s="11" t="s">
        <v>205</v>
      </c>
      <c r="AQ337" s="88" t="s">
        <v>384</v>
      </c>
      <c r="AR337" s="57" t="s">
        <v>164</v>
      </c>
      <c r="AS337" s="46">
        <v>42417.60864583333</v>
      </c>
      <c r="AT337" s="3">
        <f t="shared" si="4"/>
        <v>275</v>
      </c>
    </row>
    <row r="338" spans="8:46" x14ac:dyDescent="0.4">
      <c r="H338" s="59">
        <v>42992.404930555553</v>
      </c>
      <c r="I338" s="43">
        <v>41191.759722222225</v>
      </c>
      <c r="J338" s="42">
        <v>41337.543032407404</v>
      </c>
      <c r="K338" s="81" t="s">
        <v>49</v>
      </c>
      <c r="L338" t="s">
        <v>49</v>
      </c>
      <c r="M338" t="s">
        <v>336</v>
      </c>
      <c r="N338" s="1" t="s">
        <v>336</v>
      </c>
      <c r="O338" s="1" t="s">
        <v>337</v>
      </c>
      <c r="P338" t="s">
        <v>337</v>
      </c>
      <c r="Q338" s="9" t="s">
        <v>45</v>
      </c>
      <c r="R338" s="82" t="s">
        <v>45</v>
      </c>
      <c r="S338" s="44" t="s">
        <v>165</v>
      </c>
      <c r="T338" s="3" t="s">
        <v>61</v>
      </c>
      <c r="U338" s="2" t="s">
        <v>29</v>
      </c>
      <c r="V338" s="3" t="s">
        <v>29</v>
      </c>
      <c r="W338" s="11" t="s">
        <v>143</v>
      </c>
      <c r="X338" s="3" t="s">
        <v>143</v>
      </c>
      <c r="Y338" s="77" t="s">
        <v>48</v>
      </c>
      <c r="Z338" s="84" t="s">
        <v>1544</v>
      </c>
      <c r="AA338" s="89" t="s">
        <v>174</v>
      </c>
      <c r="AB338" s="90" t="str">
        <f>HYPERLINK(CONCATENATE("https://www.ejacket.nsf.gov/ej/showProposal.do?ID=",SUBSTITUTE(SplitQueryTableRecent[[#This Row],[prop_id]],CHAR(160),"")),"eJ")</f>
        <v>eJ</v>
      </c>
      <c r="AC338" s="89" t="s">
        <v>1544</v>
      </c>
      <c r="AD338" s="3" t="s">
        <v>1544</v>
      </c>
      <c r="AE338" s="91">
        <v>2015</v>
      </c>
      <c r="AF338" s="13" t="s">
        <v>43</v>
      </c>
      <c r="AG338" s="13">
        <v>210208</v>
      </c>
      <c r="AH338" s="45">
        <v>400001</v>
      </c>
      <c r="AI338" s="44" t="s">
        <v>1546</v>
      </c>
      <c r="AJ338" s="2" t="s">
        <v>639</v>
      </c>
      <c r="AK338" s="46" t="s">
        <v>1710</v>
      </c>
      <c r="AL338" s="55" t="s">
        <v>341</v>
      </c>
      <c r="AM338" s="45" t="s">
        <v>373</v>
      </c>
      <c r="AN338" s="56" t="s">
        <v>142</v>
      </c>
      <c r="AO338" s="23" t="s">
        <v>146</v>
      </c>
      <c r="AP338" s="11" t="s">
        <v>172</v>
      </c>
      <c r="AQ338" s="88" t="s">
        <v>1545</v>
      </c>
      <c r="AR338" s="57" t="s">
        <v>1521</v>
      </c>
      <c r="AS338" s="46">
        <v>42110.617592592593</v>
      </c>
      <c r="AT338" s="3">
        <f t="shared" si="4"/>
        <v>276</v>
      </c>
    </row>
    <row r="339" spans="8:46" x14ac:dyDescent="0.4">
      <c r="H339" s="59">
        <v>42992.404930555553</v>
      </c>
      <c r="I339" s="43">
        <v>41590.710416666669</v>
      </c>
      <c r="J339" s="42">
        <v>41841.463287037041</v>
      </c>
      <c r="K339" s="81" t="s">
        <v>49</v>
      </c>
      <c r="L339" t="s">
        <v>49</v>
      </c>
      <c r="M339" t="s">
        <v>336</v>
      </c>
      <c r="N339" s="1" t="s">
        <v>336</v>
      </c>
      <c r="O339" s="1" t="s">
        <v>245</v>
      </c>
      <c r="P339" t="s">
        <v>245</v>
      </c>
      <c r="Q339" s="9" t="s">
        <v>45</v>
      </c>
      <c r="R339" s="82" t="s">
        <v>45</v>
      </c>
      <c r="S339" s="44" t="s">
        <v>173</v>
      </c>
      <c r="T339" s="3" t="s">
        <v>61</v>
      </c>
      <c r="U339" s="2" t="s">
        <v>29</v>
      </c>
      <c r="V339" s="3" t="s">
        <v>29</v>
      </c>
      <c r="W339" s="11" t="s">
        <v>143</v>
      </c>
      <c r="X339" s="3" t="s">
        <v>143</v>
      </c>
      <c r="Y339" s="77" t="s">
        <v>48</v>
      </c>
      <c r="Z339" s="84" t="s">
        <v>1535</v>
      </c>
      <c r="AA339" s="89" t="s">
        <v>174</v>
      </c>
      <c r="AB339" s="90" t="str">
        <f>HYPERLINK(CONCATENATE("https://www.ejacket.nsf.gov/ej/showProposal.do?ID=",SUBSTITUTE(SplitQueryTableRecent[[#This Row],[prop_id]],CHAR(160),"")),"eJ")</f>
        <v>eJ</v>
      </c>
      <c r="AC339" s="89" t="s">
        <v>1535</v>
      </c>
      <c r="AD339" s="3" t="s">
        <v>1535</v>
      </c>
      <c r="AE339" s="91">
        <v>2014</v>
      </c>
      <c r="AF339" s="13" t="s">
        <v>43</v>
      </c>
      <c r="AG339" s="13">
        <v>261408</v>
      </c>
      <c r="AH339" s="45">
        <v>581357</v>
      </c>
      <c r="AI339" s="44" t="s">
        <v>1547</v>
      </c>
      <c r="AJ339" s="2" t="s">
        <v>1364</v>
      </c>
      <c r="AK339" s="46" t="s">
        <v>1741</v>
      </c>
      <c r="AL339" s="55" t="s">
        <v>353</v>
      </c>
      <c r="AM339" s="45" t="s">
        <v>353</v>
      </c>
      <c r="AN339" s="56" t="s">
        <v>142</v>
      </c>
      <c r="AO339" s="23" t="s">
        <v>146</v>
      </c>
      <c r="AP339" s="11"/>
      <c r="AQ339" s="88" t="s">
        <v>1536</v>
      </c>
      <c r="AR339" s="57" t="s">
        <v>164</v>
      </c>
      <c r="AS339" s="46">
        <v>41865.63826388889</v>
      </c>
      <c r="AT339" s="3">
        <f t="shared" si="4"/>
        <v>277</v>
      </c>
    </row>
    <row r="340" spans="8:46" x14ac:dyDescent="0.4">
      <c r="H340" s="59">
        <v>42992.404930555553</v>
      </c>
      <c r="I340" s="43">
        <v>41590.710416666669</v>
      </c>
      <c r="J340" s="42">
        <v>41841.463287037041</v>
      </c>
      <c r="K340" s="81" t="s">
        <v>49</v>
      </c>
      <c r="L340" t="s">
        <v>49</v>
      </c>
      <c r="M340" t="s">
        <v>336</v>
      </c>
      <c r="N340" s="1" t="s">
        <v>336</v>
      </c>
      <c r="O340" s="1" t="s">
        <v>245</v>
      </c>
      <c r="P340" t="s">
        <v>245</v>
      </c>
      <c r="Q340" s="9" t="s">
        <v>45</v>
      </c>
      <c r="R340" s="82" t="s">
        <v>45</v>
      </c>
      <c r="S340" s="44" t="s">
        <v>173</v>
      </c>
      <c r="T340" s="3" t="s">
        <v>61</v>
      </c>
      <c r="U340" s="2" t="s">
        <v>29</v>
      </c>
      <c r="V340" s="3" t="s">
        <v>29</v>
      </c>
      <c r="W340" s="11" t="s">
        <v>143</v>
      </c>
      <c r="X340" s="3" t="s">
        <v>143</v>
      </c>
      <c r="Y340" s="77" t="s">
        <v>48</v>
      </c>
      <c r="Z340" s="84" t="s">
        <v>1535</v>
      </c>
      <c r="AA340" s="89" t="s">
        <v>174</v>
      </c>
      <c r="AB340" s="90" t="str">
        <f>HYPERLINK(CONCATENATE("https://www.ejacket.nsf.gov/ej/showProposal.do?ID=",SUBSTITUTE(SplitQueryTableRecent[[#This Row],[prop_id]],CHAR(160),"")),"eJ")</f>
        <v>eJ</v>
      </c>
      <c r="AC340" s="89" t="s">
        <v>1535</v>
      </c>
      <c r="AD340" s="3" t="s">
        <v>1535</v>
      </c>
      <c r="AE340" s="91">
        <v>2016</v>
      </c>
      <c r="AF340" s="13" t="s">
        <v>43</v>
      </c>
      <c r="AG340" s="13">
        <v>0</v>
      </c>
      <c r="AH340" s="45">
        <v>581357</v>
      </c>
      <c r="AI340" s="44" t="s">
        <v>1547</v>
      </c>
      <c r="AJ340" s="2" t="s">
        <v>1364</v>
      </c>
      <c r="AK340" s="46" t="s">
        <v>1741</v>
      </c>
      <c r="AL340" s="55" t="s">
        <v>353</v>
      </c>
      <c r="AM340" s="45" t="s">
        <v>353</v>
      </c>
      <c r="AN340" s="56" t="s">
        <v>142</v>
      </c>
      <c r="AO340" s="23" t="s">
        <v>146</v>
      </c>
      <c r="AP340" s="11" t="s">
        <v>1549</v>
      </c>
      <c r="AQ340" s="88" t="s">
        <v>1536</v>
      </c>
      <c r="AR340" s="57" t="s">
        <v>1548</v>
      </c>
      <c r="AS340" s="46">
        <v>42909.467048611114</v>
      </c>
      <c r="AT340" s="3">
        <f t="shared" si="4"/>
        <v>277</v>
      </c>
    </row>
    <row r="341" spans="8:46" x14ac:dyDescent="0.4">
      <c r="H341" s="59">
        <v>42992.404930555553</v>
      </c>
      <c r="I341" s="43">
        <v>41590.710416666669</v>
      </c>
      <c r="J341" s="42">
        <v>41841.463287037041</v>
      </c>
      <c r="K341" s="81" t="s">
        <v>49</v>
      </c>
      <c r="L341" t="s">
        <v>49</v>
      </c>
      <c r="M341" t="s">
        <v>336</v>
      </c>
      <c r="N341" s="1" t="s">
        <v>336</v>
      </c>
      <c r="O341" s="1" t="s">
        <v>245</v>
      </c>
      <c r="P341" t="s">
        <v>245</v>
      </c>
      <c r="Q341" s="9" t="s">
        <v>45</v>
      </c>
      <c r="R341" s="82" t="s">
        <v>45</v>
      </c>
      <c r="S341" s="44" t="s">
        <v>173</v>
      </c>
      <c r="T341" s="3" t="s">
        <v>61</v>
      </c>
      <c r="U341" s="2" t="s">
        <v>29</v>
      </c>
      <c r="V341" s="3" t="s">
        <v>29</v>
      </c>
      <c r="W341" s="11" t="s">
        <v>143</v>
      </c>
      <c r="X341" s="3" t="s">
        <v>143</v>
      </c>
      <c r="Y341" s="77" t="s">
        <v>48</v>
      </c>
      <c r="Z341" s="84" t="s">
        <v>1535</v>
      </c>
      <c r="AA341" s="89" t="s">
        <v>174</v>
      </c>
      <c r="AB341" s="90" t="str">
        <f>HYPERLINK(CONCATENATE("https://www.ejacket.nsf.gov/ej/showProposal.do?ID=",SUBSTITUTE(SplitQueryTableRecent[[#This Row],[prop_id]],CHAR(160),"")),"eJ")</f>
        <v>eJ</v>
      </c>
      <c r="AC341" s="89" t="s">
        <v>1535</v>
      </c>
      <c r="AD341" s="3" t="s">
        <v>1535</v>
      </c>
      <c r="AE341" s="91">
        <v>2017</v>
      </c>
      <c r="AF341" s="13" t="s">
        <v>43</v>
      </c>
      <c r="AG341" s="13">
        <v>238597</v>
      </c>
      <c r="AH341" s="45">
        <v>581357</v>
      </c>
      <c r="AI341" s="44" t="s">
        <v>1547</v>
      </c>
      <c r="AJ341" s="2" t="s">
        <v>1364</v>
      </c>
      <c r="AK341" s="46" t="s">
        <v>1741</v>
      </c>
      <c r="AL341" s="55" t="s">
        <v>353</v>
      </c>
      <c r="AM341" s="45" t="s">
        <v>353</v>
      </c>
      <c r="AN341" s="56" t="s">
        <v>142</v>
      </c>
      <c r="AO341" s="23" t="s">
        <v>146</v>
      </c>
      <c r="AP341" s="11" t="s">
        <v>172</v>
      </c>
      <c r="AQ341" s="88" t="s">
        <v>1536</v>
      </c>
      <c r="AR341" s="57" t="s">
        <v>1514</v>
      </c>
      <c r="AS341" s="46">
        <v>42891.400011574071</v>
      </c>
      <c r="AT341" s="3">
        <f t="shared" si="4"/>
        <v>277</v>
      </c>
    </row>
    <row r="342" spans="8:46" x14ac:dyDescent="0.4">
      <c r="H342" s="59">
        <v>42992.404930555553</v>
      </c>
      <c r="I342" s="43">
        <v>41953.522916666669</v>
      </c>
      <c r="J342" s="42">
        <v>42116.370324074072</v>
      </c>
      <c r="K342" s="81" t="s">
        <v>49</v>
      </c>
      <c r="L342" t="s">
        <v>49</v>
      </c>
      <c r="M342" t="s">
        <v>336</v>
      </c>
      <c r="N342" s="1" t="s">
        <v>336</v>
      </c>
      <c r="O342" s="1" t="s">
        <v>245</v>
      </c>
      <c r="P342" t="s">
        <v>245</v>
      </c>
      <c r="Q342" s="9" t="s">
        <v>45</v>
      </c>
      <c r="R342" s="82" t="s">
        <v>45</v>
      </c>
      <c r="S342" s="44" t="s">
        <v>184</v>
      </c>
      <c r="T342" s="3" t="s">
        <v>61</v>
      </c>
      <c r="U342" s="2" t="s">
        <v>29</v>
      </c>
      <c r="V342" s="3" t="s">
        <v>29</v>
      </c>
      <c r="W342" s="11" t="s">
        <v>143</v>
      </c>
      <c r="X342" s="3" t="s">
        <v>143</v>
      </c>
      <c r="Y342" s="77" t="s">
        <v>48</v>
      </c>
      <c r="Z342" s="84" t="s">
        <v>1502</v>
      </c>
      <c r="AA342" s="89" t="s">
        <v>174</v>
      </c>
      <c r="AB342" s="90" t="str">
        <f>HYPERLINK(CONCATENATE("https://www.ejacket.nsf.gov/ej/showProposal.do?ID=",SUBSTITUTE(SplitQueryTableRecent[[#This Row],[prop_id]],CHAR(160),"")),"eJ")</f>
        <v>eJ</v>
      </c>
      <c r="AC342" s="89" t="s">
        <v>1502</v>
      </c>
      <c r="AD342" s="3" t="s">
        <v>1502</v>
      </c>
      <c r="AE342" s="91">
        <v>2015</v>
      </c>
      <c r="AF342" s="13" t="s">
        <v>43</v>
      </c>
      <c r="AG342" s="13">
        <v>257346</v>
      </c>
      <c r="AH342" s="45">
        <v>400000</v>
      </c>
      <c r="AI342" s="44" t="s">
        <v>317</v>
      </c>
      <c r="AJ342" s="2" t="s">
        <v>324</v>
      </c>
      <c r="AK342" s="46" t="s">
        <v>228</v>
      </c>
      <c r="AL342" s="55" t="s">
        <v>353</v>
      </c>
      <c r="AM342" s="45" t="s">
        <v>353</v>
      </c>
      <c r="AN342" s="56" t="s">
        <v>142</v>
      </c>
      <c r="AO342" s="23" t="s">
        <v>146</v>
      </c>
      <c r="AP342" s="11"/>
      <c r="AQ342" s="88" t="s">
        <v>1503</v>
      </c>
      <c r="AR342" s="57" t="s">
        <v>164</v>
      </c>
      <c r="AS342" s="46">
        <v>42152.584317129629</v>
      </c>
      <c r="AT342" s="3">
        <f t="shared" si="4"/>
        <v>278</v>
      </c>
    </row>
    <row r="343" spans="8:46" x14ac:dyDescent="0.4">
      <c r="H343" s="59">
        <v>42992.404930555553</v>
      </c>
      <c r="I343" s="43">
        <v>41953.522916666669</v>
      </c>
      <c r="J343" s="42">
        <v>42116.370324074072</v>
      </c>
      <c r="K343" s="81" t="s">
        <v>49</v>
      </c>
      <c r="L343" t="s">
        <v>49</v>
      </c>
      <c r="M343" t="s">
        <v>336</v>
      </c>
      <c r="N343" s="1" t="s">
        <v>336</v>
      </c>
      <c r="O343" s="1" t="s">
        <v>245</v>
      </c>
      <c r="P343" t="s">
        <v>245</v>
      </c>
      <c r="Q343" s="9" t="s">
        <v>45</v>
      </c>
      <c r="R343" s="82" t="s">
        <v>45</v>
      </c>
      <c r="S343" s="44" t="s">
        <v>184</v>
      </c>
      <c r="T343" s="3" t="s">
        <v>61</v>
      </c>
      <c r="U343" s="2" t="s">
        <v>29</v>
      </c>
      <c r="V343" s="3" t="s">
        <v>29</v>
      </c>
      <c r="W343" s="11" t="s">
        <v>143</v>
      </c>
      <c r="X343" s="3" t="s">
        <v>143</v>
      </c>
      <c r="Y343" s="77" t="s">
        <v>48</v>
      </c>
      <c r="Z343" s="84" t="s">
        <v>1502</v>
      </c>
      <c r="AA343" s="89" t="s">
        <v>174</v>
      </c>
      <c r="AB343" s="90" t="str">
        <f>HYPERLINK(CONCATENATE("https://www.ejacket.nsf.gov/ej/showProposal.do?ID=",SUBSTITUTE(SplitQueryTableRecent[[#This Row],[prop_id]],CHAR(160),"")),"eJ")</f>
        <v>eJ</v>
      </c>
      <c r="AC343" s="89" t="s">
        <v>1502</v>
      </c>
      <c r="AD343" s="3" t="s">
        <v>1502</v>
      </c>
      <c r="AE343" s="91">
        <v>2017</v>
      </c>
      <c r="AF343" s="13" t="s">
        <v>43</v>
      </c>
      <c r="AG343" s="13">
        <v>135431</v>
      </c>
      <c r="AH343" s="45">
        <v>400000</v>
      </c>
      <c r="AI343" s="44" t="s">
        <v>317</v>
      </c>
      <c r="AJ343" s="2" t="s">
        <v>324</v>
      </c>
      <c r="AK343" s="46" t="s">
        <v>228</v>
      </c>
      <c r="AL343" s="55" t="s">
        <v>353</v>
      </c>
      <c r="AM343" s="45" t="s">
        <v>353</v>
      </c>
      <c r="AN343" s="56" t="s">
        <v>142</v>
      </c>
      <c r="AO343" s="23" t="s">
        <v>146</v>
      </c>
      <c r="AP343" s="11" t="s">
        <v>172</v>
      </c>
      <c r="AQ343" s="88" t="s">
        <v>1503</v>
      </c>
      <c r="AR343" s="57" t="s">
        <v>1504</v>
      </c>
      <c r="AS343" s="46">
        <v>42955.473067129627</v>
      </c>
      <c r="AT343" s="3">
        <f t="shared" si="4"/>
        <v>278</v>
      </c>
    </row>
    <row r="344" spans="8:46" x14ac:dyDescent="0.4">
      <c r="H344" s="59">
        <v>42992.404930555553</v>
      </c>
      <c r="I344" s="43">
        <v>42662.616666666669</v>
      </c>
      <c r="J344" s="42">
        <v>42878.445567129631</v>
      </c>
      <c r="K344" s="81" t="s">
        <v>49</v>
      </c>
      <c r="L344" t="s">
        <v>49</v>
      </c>
      <c r="M344" t="s">
        <v>336</v>
      </c>
      <c r="N344" s="1" t="s">
        <v>336</v>
      </c>
      <c r="O344" s="1" t="s">
        <v>230</v>
      </c>
      <c r="P344" t="s">
        <v>230</v>
      </c>
      <c r="Q344" s="9" t="s">
        <v>45</v>
      </c>
      <c r="R344" s="82" t="s">
        <v>45</v>
      </c>
      <c r="S344" s="44" t="s">
        <v>192</v>
      </c>
      <c r="T344" s="3" t="s">
        <v>61</v>
      </c>
      <c r="U344" s="2" t="s">
        <v>29</v>
      </c>
      <c r="V344" s="3" t="s">
        <v>29</v>
      </c>
      <c r="W344" s="11" t="s">
        <v>143</v>
      </c>
      <c r="X344" s="3" t="s">
        <v>143</v>
      </c>
      <c r="Y344" s="77" t="s">
        <v>48</v>
      </c>
      <c r="Z344" s="84" t="s">
        <v>399</v>
      </c>
      <c r="AA344" s="89" t="s">
        <v>174</v>
      </c>
      <c r="AB344" s="90" t="str">
        <f>HYPERLINK(CONCATENATE("https://www.ejacket.nsf.gov/ej/showProposal.do?ID=",SUBSTITUTE(SplitQueryTableRecent[[#This Row],[prop_id]],CHAR(160),"")),"eJ")</f>
        <v>eJ</v>
      </c>
      <c r="AC344" s="89" t="s">
        <v>399</v>
      </c>
      <c r="AD344" s="3" t="s">
        <v>399</v>
      </c>
      <c r="AE344" s="91">
        <v>2017</v>
      </c>
      <c r="AF344" s="13" t="s">
        <v>43</v>
      </c>
      <c r="AG344" s="13">
        <v>65532</v>
      </c>
      <c r="AH344" s="45">
        <v>800000</v>
      </c>
      <c r="AI344" s="44" t="s">
        <v>317</v>
      </c>
      <c r="AJ344" s="2" t="s">
        <v>324</v>
      </c>
      <c r="AK344" s="46" t="s">
        <v>228</v>
      </c>
      <c r="AL344" s="55" t="s">
        <v>401</v>
      </c>
      <c r="AM344" s="45" t="s">
        <v>353</v>
      </c>
      <c r="AN344" s="56" t="s">
        <v>142</v>
      </c>
      <c r="AO344" s="23" t="s">
        <v>146</v>
      </c>
      <c r="AP344" s="11"/>
      <c r="AQ344" s="88" t="s">
        <v>400</v>
      </c>
      <c r="AR344" s="57" t="s">
        <v>188</v>
      </c>
      <c r="AS344" s="46">
        <v>42878.73715277778</v>
      </c>
      <c r="AT344" s="3">
        <f t="shared" si="4"/>
        <v>279</v>
      </c>
    </row>
    <row r="345" spans="8:46" x14ac:dyDescent="0.4">
      <c r="H345" s="59">
        <v>42992.404930555553</v>
      </c>
      <c r="I345" s="43">
        <v>42662.616666666669</v>
      </c>
      <c r="J345" s="42">
        <v>42878.445567129631</v>
      </c>
      <c r="K345" s="81" t="s">
        <v>49</v>
      </c>
      <c r="L345" t="s">
        <v>49</v>
      </c>
      <c r="M345" t="s">
        <v>336</v>
      </c>
      <c r="N345" s="1" t="s">
        <v>336</v>
      </c>
      <c r="O345" s="1" t="s">
        <v>230</v>
      </c>
      <c r="P345" t="s">
        <v>230</v>
      </c>
      <c r="Q345" s="9" t="s">
        <v>45</v>
      </c>
      <c r="R345" s="82" t="s">
        <v>45</v>
      </c>
      <c r="S345" s="44" t="s">
        <v>192</v>
      </c>
      <c r="T345" s="3" t="s">
        <v>61</v>
      </c>
      <c r="U345" s="2" t="s">
        <v>29</v>
      </c>
      <c r="V345" s="3" t="s">
        <v>29</v>
      </c>
      <c r="W345" s="11" t="s">
        <v>143</v>
      </c>
      <c r="X345" s="3" t="s">
        <v>143</v>
      </c>
      <c r="Y345" s="77" t="s">
        <v>48</v>
      </c>
      <c r="Z345" s="84" t="s">
        <v>399</v>
      </c>
      <c r="AA345" s="89" t="s">
        <v>174</v>
      </c>
      <c r="AB345" s="90" t="str">
        <f>HYPERLINK(CONCATENATE("https://www.ejacket.nsf.gov/ej/showProposal.do?ID=",SUBSTITUTE(SplitQueryTableRecent[[#This Row],[prop_id]],CHAR(160),"")),"eJ")</f>
        <v>eJ</v>
      </c>
      <c r="AC345" s="89" t="s">
        <v>399</v>
      </c>
      <c r="AD345" s="3" t="s">
        <v>399</v>
      </c>
      <c r="AE345" s="91">
        <v>2018</v>
      </c>
      <c r="AF345" s="13" t="s">
        <v>43</v>
      </c>
      <c r="AG345" s="13">
        <v>148167</v>
      </c>
      <c r="AH345" s="45">
        <v>800000</v>
      </c>
      <c r="AI345" s="44" t="s">
        <v>317</v>
      </c>
      <c r="AJ345" s="2" t="s">
        <v>324</v>
      </c>
      <c r="AK345" s="46" t="s">
        <v>228</v>
      </c>
      <c r="AL345" s="55" t="s">
        <v>401</v>
      </c>
      <c r="AM345" s="45" t="s">
        <v>353</v>
      </c>
      <c r="AN345" s="56" t="s">
        <v>142</v>
      </c>
      <c r="AO345" s="23" t="s">
        <v>146</v>
      </c>
      <c r="AP345" s="11" t="s">
        <v>205</v>
      </c>
      <c r="AQ345" s="88" t="s">
        <v>400</v>
      </c>
      <c r="AR345" s="57" t="s">
        <v>188</v>
      </c>
      <c r="AS345" s="46">
        <v>42878.73715277778</v>
      </c>
      <c r="AT345" s="3">
        <f t="shared" si="4"/>
        <v>279</v>
      </c>
    </row>
    <row r="346" spans="8:46" x14ac:dyDescent="0.4">
      <c r="H346" s="59">
        <v>42992.404930555553</v>
      </c>
      <c r="I346" s="43">
        <v>42662.616666666669</v>
      </c>
      <c r="J346" s="42">
        <v>42878.445567129631</v>
      </c>
      <c r="K346" s="81" t="s">
        <v>49</v>
      </c>
      <c r="L346" t="s">
        <v>49</v>
      </c>
      <c r="M346" t="s">
        <v>336</v>
      </c>
      <c r="N346" s="1" t="s">
        <v>336</v>
      </c>
      <c r="O346" s="1" t="s">
        <v>230</v>
      </c>
      <c r="P346" t="s">
        <v>230</v>
      </c>
      <c r="Q346" s="9" t="s">
        <v>45</v>
      </c>
      <c r="R346" s="82" t="s">
        <v>45</v>
      </c>
      <c r="S346" s="44" t="s">
        <v>192</v>
      </c>
      <c r="T346" s="3" t="s">
        <v>61</v>
      </c>
      <c r="U346" s="2" t="s">
        <v>29</v>
      </c>
      <c r="V346" s="3" t="s">
        <v>29</v>
      </c>
      <c r="W346" s="11" t="s">
        <v>143</v>
      </c>
      <c r="X346" s="3" t="s">
        <v>143</v>
      </c>
      <c r="Y346" s="77" t="s">
        <v>48</v>
      </c>
      <c r="Z346" s="84" t="s">
        <v>399</v>
      </c>
      <c r="AA346" s="89" t="s">
        <v>174</v>
      </c>
      <c r="AB346" s="90" t="str">
        <f>HYPERLINK(CONCATENATE("https://www.ejacket.nsf.gov/ej/showProposal.do?ID=",SUBSTITUTE(SplitQueryTableRecent[[#This Row],[prop_id]],CHAR(160),"")),"eJ")</f>
        <v>eJ</v>
      </c>
      <c r="AC346" s="89" t="s">
        <v>399</v>
      </c>
      <c r="AD346" s="3" t="s">
        <v>399</v>
      </c>
      <c r="AE346" s="91">
        <v>2019</v>
      </c>
      <c r="AF346" s="13" t="s">
        <v>43</v>
      </c>
      <c r="AG346" s="13">
        <v>189796</v>
      </c>
      <c r="AH346" s="45">
        <v>800000</v>
      </c>
      <c r="AI346" s="44" t="s">
        <v>317</v>
      </c>
      <c r="AJ346" s="2" t="s">
        <v>324</v>
      </c>
      <c r="AK346" s="46" t="s">
        <v>228</v>
      </c>
      <c r="AL346" s="55" t="s">
        <v>401</v>
      </c>
      <c r="AM346" s="45" t="s">
        <v>353</v>
      </c>
      <c r="AN346" s="56" t="s">
        <v>142</v>
      </c>
      <c r="AO346" s="23" t="s">
        <v>146</v>
      </c>
      <c r="AP346" s="11" t="s">
        <v>205</v>
      </c>
      <c r="AQ346" s="88" t="s">
        <v>400</v>
      </c>
      <c r="AR346" s="57" t="s">
        <v>188</v>
      </c>
      <c r="AS346" s="46">
        <v>42878.73715277778</v>
      </c>
      <c r="AT346" s="3">
        <f t="shared" ref="AT346:AT409" si="5">IF(AD346=AD345,AT345,AT345+1)</f>
        <v>279</v>
      </c>
    </row>
    <row r="347" spans="8:46" x14ac:dyDescent="0.4">
      <c r="H347" s="59">
        <v>42992.404930555553</v>
      </c>
      <c r="I347" s="43">
        <v>42662.616666666669</v>
      </c>
      <c r="J347" s="42">
        <v>42878.445567129631</v>
      </c>
      <c r="K347" s="81" t="s">
        <v>49</v>
      </c>
      <c r="L347" t="s">
        <v>49</v>
      </c>
      <c r="M347" t="s">
        <v>336</v>
      </c>
      <c r="N347" s="1" t="s">
        <v>336</v>
      </c>
      <c r="O347" s="1" t="s">
        <v>230</v>
      </c>
      <c r="P347" t="s">
        <v>230</v>
      </c>
      <c r="Q347" s="9" t="s">
        <v>45</v>
      </c>
      <c r="R347" s="82" t="s">
        <v>45</v>
      </c>
      <c r="S347" s="44" t="s">
        <v>192</v>
      </c>
      <c r="T347" s="3" t="s">
        <v>61</v>
      </c>
      <c r="U347" s="2" t="s">
        <v>29</v>
      </c>
      <c r="V347" s="3" t="s">
        <v>29</v>
      </c>
      <c r="W347" s="11" t="s">
        <v>143</v>
      </c>
      <c r="X347" s="3" t="s">
        <v>143</v>
      </c>
      <c r="Y347" s="77" t="s">
        <v>48</v>
      </c>
      <c r="Z347" s="84" t="s">
        <v>399</v>
      </c>
      <c r="AA347" s="89" t="s">
        <v>174</v>
      </c>
      <c r="AB347" s="90" t="str">
        <f>HYPERLINK(CONCATENATE("https://www.ejacket.nsf.gov/ej/showProposal.do?ID=",SUBSTITUTE(SplitQueryTableRecent[[#This Row],[prop_id]],CHAR(160),"")),"eJ")</f>
        <v>eJ</v>
      </c>
      <c r="AC347" s="89" t="s">
        <v>399</v>
      </c>
      <c r="AD347" s="3" t="s">
        <v>399</v>
      </c>
      <c r="AE347" s="91">
        <v>2020</v>
      </c>
      <c r="AF347" s="13" t="s">
        <v>43</v>
      </c>
      <c r="AG347" s="13">
        <v>246505</v>
      </c>
      <c r="AH347" s="45">
        <v>800000</v>
      </c>
      <c r="AI347" s="44" t="s">
        <v>317</v>
      </c>
      <c r="AJ347" s="2" t="s">
        <v>324</v>
      </c>
      <c r="AK347" s="46" t="s">
        <v>228</v>
      </c>
      <c r="AL347" s="55" t="s">
        <v>401</v>
      </c>
      <c r="AM347" s="45" t="s">
        <v>353</v>
      </c>
      <c r="AN347" s="56" t="s">
        <v>142</v>
      </c>
      <c r="AO347" s="23" t="s">
        <v>146</v>
      </c>
      <c r="AP347" s="11" t="s">
        <v>205</v>
      </c>
      <c r="AQ347" s="88" t="s">
        <v>400</v>
      </c>
      <c r="AR347" s="57" t="s">
        <v>188</v>
      </c>
      <c r="AS347" s="46">
        <v>42878.73715277778</v>
      </c>
      <c r="AT347" s="3">
        <f t="shared" si="5"/>
        <v>279</v>
      </c>
    </row>
    <row r="348" spans="8:46" x14ac:dyDescent="0.4">
      <c r="H348" s="59">
        <v>42992.404930555553</v>
      </c>
      <c r="I348" s="43">
        <v>42662.707638888889</v>
      </c>
      <c r="J348" s="42">
        <v>42877.374895833331</v>
      </c>
      <c r="K348" s="81" t="s">
        <v>49</v>
      </c>
      <c r="L348" t="s">
        <v>49</v>
      </c>
      <c r="M348" t="s">
        <v>336</v>
      </c>
      <c r="N348" s="1" t="s">
        <v>336</v>
      </c>
      <c r="O348" s="1" t="s">
        <v>230</v>
      </c>
      <c r="P348" t="s">
        <v>230</v>
      </c>
      <c r="Q348" s="9" t="s">
        <v>45</v>
      </c>
      <c r="R348" s="82" t="s">
        <v>45</v>
      </c>
      <c r="S348" s="44" t="s">
        <v>192</v>
      </c>
      <c r="T348" s="3" t="s">
        <v>61</v>
      </c>
      <c r="U348" s="2" t="s">
        <v>29</v>
      </c>
      <c r="V348" s="3" t="s">
        <v>29</v>
      </c>
      <c r="W348" s="11" t="s">
        <v>143</v>
      </c>
      <c r="X348" s="3" t="s">
        <v>143</v>
      </c>
      <c r="Y348" s="77" t="s">
        <v>48</v>
      </c>
      <c r="Z348" s="84" t="s">
        <v>399</v>
      </c>
      <c r="AA348" s="89" t="s">
        <v>62</v>
      </c>
      <c r="AB348" s="90" t="str">
        <f>HYPERLINK(CONCATENATE("https://www.ejacket.nsf.gov/ej/showProposal.do?ID=",SUBSTITUTE(SplitQueryTableRecent[[#This Row],[prop_id]],CHAR(160),"")),"eJ")</f>
        <v>eJ</v>
      </c>
      <c r="AC348" s="89" t="s">
        <v>404</v>
      </c>
      <c r="AD348" s="3" t="s">
        <v>404</v>
      </c>
      <c r="AE348" s="91">
        <v>2017</v>
      </c>
      <c r="AF348" s="13" t="s">
        <v>43</v>
      </c>
      <c r="AG348" s="13">
        <v>88685</v>
      </c>
      <c r="AH348" s="45">
        <v>400000</v>
      </c>
      <c r="AI348" s="44" t="s">
        <v>405</v>
      </c>
      <c r="AJ348" s="2" t="s">
        <v>406</v>
      </c>
      <c r="AK348" s="46" t="s">
        <v>1720</v>
      </c>
      <c r="AL348" s="55" t="s">
        <v>353</v>
      </c>
      <c r="AM348" s="45" t="s">
        <v>353</v>
      </c>
      <c r="AN348" s="56" t="s">
        <v>142</v>
      </c>
      <c r="AO348" s="23" t="s">
        <v>146</v>
      </c>
      <c r="AP348" s="11"/>
      <c r="AQ348" s="88" t="s">
        <v>400</v>
      </c>
      <c r="AR348" s="57" t="s">
        <v>188</v>
      </c>
      <c r="AS348" s="46">
        <v>42878.737210648149</v>
      </c>
      <c r="AT348" s="3">
        <f t="shared" si="5"/>
        <v>280</v>
      </c>
    </row>
    <row r="349" spans="8:46" x14ac:dyDescent="0.4">
      <c r="H349" s="59">
        <v>42992.404930555553</v>
      </c>
      <c r="I349" s="43">
        <v>42662.707638888889</v>
      </c>
      <c r="J349" s="42">
        <v>42877.374895833331</v>
      </c>
      <c r="K349" s="81" t="s">
        <v>49</v>
      </c>
      <c r="L349" t="s">
        <v>49</v>
      </c>
      <c r="M349" t="s">
        <v>336</v>
      </c>
      <c r="N349" s="1" t="s">
        <v>336</v>
      </c>
      <c r="O349" s="1" t="s">
        <v>230</v>
      </c>
      <c r="P349" t="s">
        <v>230</v>
      </c>
      <c r="Q349" s="9" t="s">
        <v>45</v>
      </c>
      <c r="R349" s="82" t="s">
        <v>45</v>
      </c>
      <c r="S349" s="44" t="s">
        <v>192</v>
      </c>
      <c r="T349" s="3" t="s">
        <v>61</v>
      </c>
      <c r="U349" s="2" t="s">
        <v>29</v>
      </c>
      <c r="V349" s="3" t="s">
        <v>29</v>
      </c>
      <c r="W349" s="11" t="s">
        <v>143</v>
      </c>
      <c r="X349" s="3" t="s">
        <v>143</v>
      </c>
      <c r="Y349" s="77" t="s">
        <v>48</v>
      </c>
      <c r="Z349" s="84" t="s">
        <v>399</v>
      </c>
      <c r="AA349" s="89" t="s">
        <v>62</v>
      </c>
      <c r="AB349" s="90" t="str">
        <f>HYPERLINK(CONCATENATE("https://www.ejacket.nsf.gov/ej/showProposal.do?ID=",SUBSTITUTE(SplitQueryTableRecent[[#This Row],[prop_id]],CHAR(160),"")),"eJ")</f>
        <v>eJ</v>
      </c>
      <c r="AC349" s="89" t="s">
        <v>404</v>
      </c>
      <c r="AD349" s="3" t="s">
        <v>404</v>
      </c>
      <c r="AE349" s="91">
        <v>2018</v>
      </c>
      <c r="AF349" s="13" t="s">
        <v>43</v>
      </c>
      <c r="AG349" s="13">
        <v>91110</v>
      </c>
      <c r="AH349" s="45">
        <v>400000</v>
      </c>
      <c r="AI349" s="44" t="s">
        <v>405</v>
      </c>
      <c r="AJ349" s="2" t="s">
        <v>406</v>
      </c>
      <c r="AK349" s="46" t="s">
        <v>1720</v>
      </c>
      <c r="AL349" s="55" t="s">
        <v>353</v>
      </c>
      <c r="AM349" s="45" t="s">
        <v>353</v>
      </c>
      <c r="AN349" s="56" t="s">
        <v>142</v>
      </c>
      <c r="AO349" s="23" t="s">
        <v>146</v>
      </c>
      <c r="AP349" s="11" t="s">
        <v>205</v>
      </c>
      <c r="AQ349" s="88" t="s">
        <v>400</v>
      </c>
      <c r="AR349" s="57" t="s">
        <v>188</v>
      </c>
      <c r="AS349" s="46">
        <v>42878.737210648149</v>
      </c>
      <c r="AT349" s="3">
        <f t="shared" si="5"/>
        <v>280</v>
      </c>
    </row>
    <row r="350" spans="8:46" x14ac:dyDescent="0.4">
      <c r="H350" s="59">
        <v>42992.404930555553</v>
      </c>
      <c r="I350" s="43">
        <v>42662.707638888889</v>
      </c>
      <c r="J350" s="42">
        <v>42877.374895833331</v>
      </c>
      <c r="K350" s="81" t="s">
        <v>49</v>
      </c>
      <c r="L350" t="s">
        <v>49</v>
      </c>
      <c r="M350" t="s">
        <v>336</v>
      </c>
      <c r="N350" s="1" t="s">
        <v>336</v>
      </c>
      <c r="O350" s="1" t="s">
        <v>230</v>
      </c>
      <c r="P350" t="s">
        <v>230</v>
      </c>
      <c r="Q350" s="9" t="s">
        <v>45</v>
      </c>
      <c r="R350" s="82" t="s">
        <v>45</v>
      </c>
      <c r="S350" s="44" t="s">
        <v>192</v>
      </c>
      <c r="T350" s="3" t="s">
        <v>61</v>
      </c>
      <c r="U350" s="2" t="s">
        <v>29</v>
      </c>
      <c r="V350" s="3" t="s">
        <v>29</v>
      </c>
      <c r="W350" s="11" t="s">
        <v>143</v>
      </c>
      <c r="X350" s="3" t="s">
        <v>143</v>
      </c>
      <c r="Y350" s="77" t="s">
        <v>48</v>
      </c>
      <c r="Z350" s="84" t="s">
        <v>399</v>
      </c>
      <c r="AA350" s="89" t="s">
        <v>62</v>
      </c>
      <c r="AB350" s="90" t="str">
        <f>HYPERLINK(CONCATENATE("https://www.ejacket.nsf.gov/ej/showProposal.do?ID=",SUBSTITUTE(SplitQueryTableRecent[[#This Row],[prop_id]],CHAR(160),"")),"eJ")</f>
        <v>eJ</v>
      </c>
      <c r="AC350" s="89" t="s">
        <v>404</v>
      </c>
      <c r="AD350" s="3" t="s">
        <v>404</v>
      </c>
      <c r="AE350" s="91">
        <v>2019</v>
      </c>
      <c r="AF350" s="13" t="s">
        <v>43</v>
      </c>
      <c r="AG350" s="13">
        <v>93605</v>
      </c>
      <c r="AH350" s="45">
        <v>400000</v>
      </c>
      <c r="AI350" s="44" t="s">
        <v>405</v>
      </c>
      <c r="AJ350" s="2" t="s">
        <v>406</v>
      </c>
      <c r="AK350" s="46" t="s">
        <v>1720</v>
      </c>
      <c r="AL350" s="55" t="s">
        <v>353</v>
      </c>
      <c r="AM350" s="45" t="s">
        <v>353</v>
      </c>
      <c r="AN350" s="56" t="s">
        <v>142</v>
      </c>
      <c r="AO350" s="23" t="s">
        <v>146</v>
      </c>
      <c r="AP350" s="11" t="s">
        <v>205</v>
      </c>
      <c r="AQ350" s="88" t="s">
        <v>400</v>
      </c>
      <c r="AR350" s="57" t="s">
        <v>188</v>
      </c>
      <c r="AS350" s="46">
        <v>42878.737210648149</v>
      </c>
      <c r="AT350" s="3">
        <f t="shared" si="5"/>
        <v>280</v>
      </c>
    </row>
    <row r="351" spans="8:46" x14ac:dyDescent="0.4">
      <c r="H351" s="59">
        <v>42992.404930555553</v>
      </c>
      <c r="I351" s="43">
        <v>42662.707638888889</v>
      </c>
      <c r="J351" s="42">
        <v>42877.374895833331</v>
      </c>
      <c r="K351" s="81" t="s">
        <v>49</v>
      </c>
      <c r="L351" t="s">
        <v>49</v>
      </c>
      <c r="M351" t="s">
        <v>336</v>
      </c>
      <c r="N351" s="1" t="s">
        <v>336</v>
      </c>
      <c r="O351" s="1" t="s">
        <v>230</v>
      </c>
      <c r="P351" t="s">
        <v>230</v>
      </c>
      <c r="Q351" s="9" t="s">
        <v>45</v>
      </c>
      <c r="R351" s="82" t="s">
        <v>45</v>
      </c>
      <c r="S351" s="44" t="s">
        <v>192</v>
      </c>
      <c r="T351" s="3" t="s">
        <v>61</v>
      </c>
      <c r="U351" s="2" t="s">
        <v>29</v>
      </c>
      <c r="V351" s="3" t="s">
        <v>29</v>
      </c>
      <c r="W351" s="11" t="s">
        <v>143</v>
      </c>
      <c r="X351" s="3" t="s">
        <v>143</v>
      </c>
      <c r="Y351" s="77" t="s">
        <v>48</v>
      </c>
      <c r="Z351" s="84" t="s">
        <v>399</v>
      </c>
      <c r="AA351" s="89" t="s">
        <v>62</v>
      </c>
      <c r="AB351" s="90" t="str">
        <f>HYPERLINK(CONCATENATE("https://www.ejacket.nsf.gov/ej/showProposal.do?ID=",SUBSTITUTE(SplitQueryTableRecent[[#This Row],[prop_id]],CHAR(160),"")),"eJ")</f>
        <v>eJ</v>
      </c>
      <c r="AC351" s="89" t="s">
        <v>404</v>
      </c>
      <c r="AD351" s="3" t="s">
        <v>404</v>
      </c>
      <c r="AE351" s="91">
        <v>2020</v>
      </c>
      <c r="AF351" s="13" t="s">
        <v>43</v>
      </c>
      <c r="AG351" s="13">
        <v>94880</v>
      </c>
      <c r="AH351" s="45">
        <v>400000</v>
      </c>
      <c r="AI351" s="44" t="s">
        <v>405</v>
      </c>
      <c r="AJ351" s="2" t="s">
        <v>406</v>
      </c>
      <c r="AK351" s="46" t="s">
        <v>1720</v>
      </c>
      <c r="AL351" s="55" t="s">
        <v>353</v>
      </c>
      <c r="AM351" s="45" t="s">
        <v>353</v>
      </c>
      <c r="AN351" s="56" t="s">
        <v>142</v>
      </c>
      <c r="AO351" s="23" t="s">
        <v>146</v>
      </c>
      <c r="AP351" s="11" t="s">
        <v>205</v>
      </c>
      <c r="AQ351" s="88" t="s">
        <v>400</v>
      </c>
      <c r="AR351" s="57" t="s">
        <v>188</v>
      </c>
      <c r="AS351" s="46">
        <v>42878.737210648149</v>
      </c>
      <c r="AT351" s="3">
        <f t="shared" si="5"/>
        <v>280</v>
      </c>
    </row>
    <row r="352" spans="8:46" x14ac:dyDescent="0.4">
      <c r="H352" s="59">
        <v>42992.404930555553</v>
      </c>
      <c r="I352" s="43">
        <v>41477.698611111111</v>
      </c>
      <c r="J352" s="42">
        <v>41662.592592592591</v>
      </c>
      <c r="K352" s="81" t="s">
        <v>49</v>
      </c>
      <c r="L352" t="s">
        <v>49</v>
      </c>
      <c r="M352" t="s">
        <v>336</v>
      </c>
      <c r="N352" s="1" t="s">
        <v>336</v>
      </c>
      <c r="O352" s="1" t="s">
        <v>337</v>
      </c>
      <c r="P352" t="s">
        <v>337</v>
      </c>
      <c r="Q352" s="9" t="s">
        <v>45</v>
      </c>
      <c r="R352" s="82" t="s">
        <v>45</v>
      </c>
      <c r="S352" s="44" t="s">
        <v>168</v>
      </c>
      <c r="T352" s="3" t="s">
        <v>61</v>
      </c>
      <c r="U352" s="2" t="s">
        <v>29</v>
      </c>
      <c r="V352" s="3" t="s">
        <v>29</v>
      </c>
      <c r="W352" s="11" t="s">
        <v>143</v>
      </c>
      <c r="X352" s="3" t="s">
        <v>143</v>
      </c>
      <c r="Y352" s="77" t="s">
        <v>48</v>
      </c>
      <c r="Z352" s="84" t="s">
        <v>407</v>
      </c>
      <c r="AA352" s="89" t="s">
        <v>28</v>
      </c>
      <c r="AB352" s="90" t="str">
        <f>HYPERLINK(CONCATENATE("https://www.ejacket.nsf.gov/ej/showProposal.do?ID=",SUBSTITUTE(SplitQueryTableRecent[[#This Row],[prop_id]],CHAR(160),"")),"eJ")</f>
        <v>eJ</v>
      </c>
      <c r="AC352" s="89" t="s">
        <v>407</v>
      </c>
      <c r="AD352" s="3" t="s">
        <v>407</v>
      </c>
      <c r="AE352" s="91">
        <v>2014</v>
      </c>
      <c r="AF352" s="13" t="s">
        <v>43</v>
      </c>
      <c r="AG352" s="13">
        <v>184051</v>
      </c>
      <c r="AH352" s="45">
        <v>534255</v>
      </c>
      <c r="AI352" s="44" t="s">
        <v>410</v>
      </c>
      <c r="AJ352" s="2" t="s">
        <v>231</v>
      </c>
      <c r="AK352" s="46" t="s">
        <v>1724</v>
      </c>
      <c r="AL352" s="55" t="s">
        <v>409</v>
      </c>
      <c r="AM352" s="45" t="s">
        <v>409</v>
      </c>
      <c r="AN352" s="56" t="s">
        <v>142</v>
      </c>
      <c r="AO352" s="23" t="s">
        <v>146</v>
      </c>
      <c r="AP352" s="11"/>
      <c r="AQ352" s="88" t="s">
        <v>408</v>
      </c>
      <c r="AR352" s="57" t="s">
        <v>161</v>
      </c>
      <c r="AS352" s="46">
        <v>41663.355162037034</v>
      </c>
      <c r="AT352" s="3">
        <f t="shared" si="5"/>
        <v>281</v>
      </c>
    </row>
    <row r="353" spans="8:46" x14ac:dyDescent="0.4">
      <c r="H353" s="59">
        <v>42992.404930555553</v>
      </c>
      <c r="I353" s="43">
        <v>41477.698611111111</v>
      </c>
      <c r="J353" s="42">
        <v>41662.592592592591</v>
      </c>
      <c r="K353" s="81" t="s">
        <v>49</v>
      </c>
      <c r="L353" t="s">
        <v>49</v>
      </c>
      <c r="M353" t="s">
        <v>336</v>
      </c>
      <c r="N353" s="1" t="s">
        <v>336</v>
      </c>
      <c r="O353" s="1" t="s">
        <v>337</v>
      </c>
      <c r="P353" t="s">
        <v>337</v>
      </c>
      <c r="Q353" s="9" t="s">
        <v>45</v>
      </c>
      <c r="R353" s="82" t="s">
        <v>45</v>
      </c>
      <c r="S353" s="44" t="s">
        <v>168</v>
      </c>
      <c r="T353" s="3" t="s">
        <v>61</v>
      </c>
      <c r="U353" s="2" t="s">
        <v>29</v>
      </c>
      <c r="V353" s="3" t="s">
        <v>29</v>
      </c>
      <c r="W353" s="11" t="s">
        <v>143</v>
      </c>
      <c r="X353" s="3" t="s">
        <v>143</v>
      </c>
      <c r="Y353" s="77" t="s">
        <v>48</v>
      </c>
      <c r="Z353" s="84" t="s">
        <v>407</v>
      </c>
      <c r="AA353" s="89" t="s">
        <v>28</v>
      </c>
      <c r="AB353" s="90" t="str">
        <f>HYPERLINK(CONCATENATE("https://www.ejacket.nsf.gov/ej/showProposal.do?ID=",SUBSTITUTE(SplitQueryTableRecent[[#This Row],[prop_id]],CHAR(160),"")),"eJ")</f>
        <v>eJ</v>
      </c>
      <c r="AC353" s="89" t="s">
        <v>407</v>
      </c>
      <c r="AD353" s="3" t="s">
        <v>407</v>
      </c>
      <c r="AE353" s="91">
        <v>2016</v>
      </c>
      <c r="AF353" s="13" t="s">
        <v>43</v>
      </c>
      <c r="AG353" s="13">
        <v>190181</v>
      </c>
      <c r="AH353" s="45">
        <v>534255</v>
      </c>
      <c r="AI353" s="44" t="s">
        <v>410</v>
      </c>
      <c r="AJ353" s="2" t="s">
        <v>231</v>
      </c>
      <c r="AK353" s="46" t="s">
        <v>1724</v>
      </c>
      <c r="AL353" s="55" t="s">
        <v>409</v>
      </c>
      <c r="AM353" s="45" t="s">
        <v>409</v>
      </c>
      <c r="AN353" s="56" t="s">
        <v>142</v>
      </c>
      <c r="AO353" s="23" t="s">
        <v>146</v>
      </c>
      <c r="AP353" s="11" t="s">
        <v>172</v>
      </c>
      <c r="AQ353" s="88" t="s">
        <v>408</v>
      </c>
      <c r="AR353" s="57" t="s">
        <v>1521</v>
      </c>
      <c r="AS353" s="46">
        <v>42558.692766203705</v>
      </c>
      <c r="AT353" s="3">
        <f t="shared" si="5"/>
        <v>281</v>
      </c>
    </row>
    <row r="354" spans="8:46" x14ac:dyDescent="0.4">
      <c r="H354" s="59">
        <v>42992.404930555553</v>
      </c>
      <c r="I354" s="43">
        <v>41477.698611111111</v>
      </c>
      <c r="J354" s="42">
        <v>41662.592592592591</v>
      </c>
      <c r="K354" s="81" t="s">
        <v>49</v>
      </c>
      <c r="L354" t="s">
        <v>49</v>
      </c>
      <c r="M354" t="s">
        <v>336</v>
      </c>
      <c r="N354" s="1" t="s">
        <v>336</v>
      </c>
      <c r="O354" s="1" t="s">
        <v>337</v>
      </c>
      <c r="P354" t="s">
        <v>337</v>
      </c>
      <c r="Q354" s="9" t="s">
        <v>45</v>
      </c>
      <c r="R354" s="82" t="s">
        <v>45</v>
      </c>
      <c r="S354" s="44" t="s">
        <v>168</v>
      </c>
      <c r="T354" s="3" t="s">
        <v>61</v>
      </c>
      <c r="U354" s="2" t="s">
        <v>29</v>
      </c>
      <c r="V354" s="3" t="s">
        <v>29</v>
      </c>
      <c r="W354" s="11" t="s">
        <v>143</v>
      </c>
      <c r="X354" s="3" t="s">
        <v>143</v>
      </c>
      <c r="Y354" s="77" t="s">
        <v>48</v>
      </c>
      <c r="Z354" s="84" t="s">
        <v>407</v>
      </c>
      <c r="AA354" s="89" t="s">
        <v>28</v>
      </c>
      <c r="AB354" s="90" t="str">
        <f>HYPERLINK(CONCATENATE("https://www.ejacket.nsf.gov/ej/showProposal.do?ID=",SUBSTITUTE(SplitQueryTableRecent[[#This Row],[prop_id]],CHAR(160),"")),"eJ")</f>
        <v>eJ</v>
      </c>
      <c r="AC354" s="89" t="s">
        <v>407</v>
      </c>
      <c r="AD354" s="3" t="s">
        <v>407</v>
      </c>
      <c r="AE354" s="91">
        <v>2018</v>
      </c>
      <c r="AF354" s="13" t="s">
        <v>43</v>
      </c>
      <c r="AG354" s="13">
        <v>100607</v>
      </c>
      <c r="AH354" s="45">
        <v>534255</v>
      </c>
      <c r="AI354" s="44" t="s">
        <v>410</v>
      </c>
      <c r="AJ354" s="2" t="s">
        <v>231</v>
      </c>
      <c r="AK354" s="46" t="s">
        <v>1724</v>
      </c>
      <c r="AL354" s="55" t="s">
        <v>409</v>
      </c>
      <c r="AM354" s="45" t="s">
        <v>409</v>
      </c>
      <c r="AN354" s="56" t="s">
        <v>142</v>
      </c>
      <c r="AO354" s="23" t="s">
        <v>146</v>
      </c>
      <c r="AP354" s="11" t="s">
        <v>205</v>
      </c>
      <c r="AQ354" s="88" t="s">
        <v>408</v>
      </c>
      <c r="AR354" s="57" t="s">
        <v>161</v>
      </c>
      <c r="AS354" s="46">
        <v>41663.355162037034</v>
      </c>
      <c r="AT354" s="3">
        <f t="shared" si="5"/>
        <v>281</v>
      </c>
    </row>
    <row r="355" spans="8:46" x14ac:dyDescent="0.4">
      <c r="H355" s="59">
        <v>42992.404930555553</v>
      </c>
      <c r="I355" s="43">
        <v>41590.617361111108</v>
      </c>
      <c r="J355" s="42">
        <v>41789.432256944441</v>
      </c>
      <c r="K355" s="81" t="s">
        <v>49</v>
      </c>
      <c r="L355" t="s">
        <v>49</v>
      </c>
      <c r="M355" t="s">
        <v>336</v>
      </c>
      <c r="N355" s="1" t="s">
        <v>336</v>
      </c>
      <c r="O355" s="1" t="s">
        <v>337</v>
      </c>
      <c r="P355" t="s">
        <v>337</v>
      </c>
      <c r="Q355" s="9" t="s">
        <v>45</v>
      </c>
      <c r="R355" s="82" t="s">
        <v>45</v>
      </c>
      <c r="S355" s="44" t="s">
        <v>173</v>
      </c>
      <c r="T355" s="3" t="s">
        <v>61</v>
      </c>
      <c r="U355" s="2" t="s">
        <v>29</v>
      </c>
      <c r="V355" s="3" t="s">
        <v>29</v>
      </c>
      <c r="W355" s="11" t="s">
        <v>143</v>
      </c>
      <c r="X355" s="3" t="s">
        <v>143</v>
      </c>
      <c r="Y355" s="77" t="s">
        <v>48</v>
      </c>
      <c r="Z355" s="84" t="s">
        <v>1550</v>
      </c>
      <c r="AA355" s="89" t="s">
        <v>174</v>
      </c>
      <c r="AB355" s="90" t="str">
        <f>HYPERLINK(CONCATENATE("https://www.ejacket.nsf.gov/ej/showProposal.do?ID=",SUBSTITUTE(SplitQueryTableRecent[[#This Row],[prop_id]],CHAR(160),"")),"eJ")</f>
        <v>eJ</v>
      </c>
      <c r="AC355" s="89" t="s">
        <v>1550</v>
      </c>
      <c r="AD355" s="3" t="s">
        <v>1550</v>
      </c>
      <c r="AE355" s="91">
        <v>2014</v>
      </c>
      <c r="AF355" s="13" t="s">
        <v>43</v>
      </c>
      <c r="AG355" s="13">
        <v>177395</v>
      </c>
      <c r="AH355" s="45">
        <v>385545</v>
      </c>
      <c r="AI355" s="44" t="s">
        <v>410</v>
      </c>
      <c r="AJ355" s="2" t="s">
        <v>231</v>
      </c>
      <c r="AK355" s="46" t="s">
        <v>1724</v>
      </c>
      <c r="AL355" s="55" t="s">
        <v>559</v>
      </c>
      <c r="AM355" s="45" t="s">
        <v>341</v>
      </c>
      <c r="AN355" s="56" t="s">
        <v>142</v>
      </c>
      <c r="AO355" s="23" t="s">
        <v>146</v>
      </c>
      <c r="AP355" s="11"/>
      <c r="AQ355" s="88" t="s">
        <v>1551</v>
      </c>
      <c r="AR355" s="57" t="s">
        <v>164</v>
      </c>
      <c r="AS355" s="46">
        <v>41801.274444444447</v>
      </c>
      <c r="AT355" s="3">
        <f t="shared" si="5"/>
        <v>282</v>
      </c>
    </row>
    <row r="356" spans="8:46" x14ac:dyDescent="0.4">
      <c r="H356" s="59">
        <v>42992.404930555553</v>
      </c>
      <c r="I356" s="43">
        <v>41590.567361111112</v>
      </c>
      <c r="J356" s="42">
        <v>41794.376643518517</v>
      </c>
      <c r="K356" s="81" t="s">
        <v>49</v>
      </c>
      <c r="L356" t="s">
        <v>49</v>
      </c>
      <c r="M356" t="s">
        <v>336</v>
      </c>
      <c r="N356" s="1" t="s">
        <v>336</v>
      </c>
      <c r="O356" s="1" t="s">
        <v>337</v>
      </c>
      <c r="P356" t="s">
        <v>337</v>
      </c>
      <c r="Q356" s="9" t="s">
        <v>45</v>
      </c>
      <c r="R356" s="82" t="s">
        <v>45</v>
      </c>
      <c r="S356" s="44" t="s">
        <v>173</v>
      </c>
      <c r="T356" s="3" t="s">
        <v>61</v>
      </c>
      <c r="U356" s="2" t="s">
        <v>29</v>
      </c>
      <c r="V356" s="3" t="s">
        <v>29</v>
      </c>
      <c r="W356" s="11" t="s">
        <v>143</v>
      </c>
      <c r="X356" s="3" t="s">
        <v>143</v>
      </c>
      <c r="Y356" s="77" t="s">
        <v>48</v>
      </c>
      <c r="Z356" s="84" t="s">
        <v>1550</v>
      </c>
      <c r="AA356" s="89" t="s">
        <v>62</v>
      </c>
      <c r="AB356" s="90" t="str">
        <f>HYPERLINK(CONCATENATE("https://www.ejacket.nsf.gov/ej/showProposal.do?ID=",SUBSTITUTE(SplitQueryTableRecent[[#This Row],[prop_id]],CHAR(160),"")),"eJ")</f>
        <v>eJ</v>
      </c>
      <c r="AC356" s="89" t="s">
        <v>1552</v>
      </c>
      <c r="AD356" s="3" t="s">
        <v>1552</v>
      </c>
      <c r="AE356" s="91">
        <v>2014</v>
      </c>
      <c r="AF356" s="13" t="s">
        <v>43</v>
      </c>
      <c r="AG356" s="13">
        <v>166512</v>
      </c>
      <c r="AH356" s="45">
        <v>406796</v>
      </c>
      <c r="AI356" s="44" t="s">
        <v>1553</v>
      </c>
      <c r="AJ356" s="2" t="s">
        <v>296</v>
      </c>
      <c r="AK356" s="46" t="s">
        <v>261</v>
      </c>
      <c r="AL356" s="55" t="s">
        <v>341</v>
      </c>
      <c r="AM356" s="45" t="s">
        <v>341</v>
      </c>
      <c r="AN356" s="56" t="s">
        <v>142</v>
      </c>
      <c r="AO356" s="23" t="s">
        <v>146</v>
      </c>
      <c r="AP356" s="11"/>
      <c r="AQ356" s="88" t="s">
        <v>1551</v>
      </c>
      <c r="AR356" s="57" t="s">
        <v>164</v>
      </c>
      <c r="AS356" s="46">
        <v>41801.274409722224</v>
      </c>
      <c r="AT356" s="3">
        <f t="shared" si="5"/>
        <v>283</v>
      </c>
    </row>
    <row r="357" spans="8:46" x14ac:dyDescent="0.4">
      <c r="H357" s="59">
        <v>42992.404930555553</v>
      </c>
      <c r="I357" s="43">
        <v>41590.568055555559</v>
      </c>
      <c r="J357" s="42">
        <v>41794.37190972222</v>
      </c>
      <c r="K357" s="81" t="s">
        <v>49</v>
      </c>
      <c r="L357" t="s">
        <v>49</v>
      </c>
      <c r="M357" t="s">
        <v>336</v>
      </c>
      <c r="N357" s="1" t="s">
        <v>336</v>
      </c>
      <c r="O357" s="1" t="s">
        <v>337</v>
      </c>
      <c r="P357" t="s">
        <v>337</v>
      </c>
      <c r="Q357" s="9" t="s">
        <v>45</v>
      </c>
      <c r="R357" s="82" t="s">
        <v>45</v>
      </c>
      <c r="S357" s="44" t="s">
        <v>173</v>
      </c>
      <c r="T357" s="3" t="s">
        <v>61</v>
      </c>
      <c r="U357" s="2" t="s">
        <v>29</v>
      </c>
      <c r="V357" s="3" t="s">
        <v>29</v>
      </c>
      <c r="W357" s="11" t="s">
        <v>143</v>
      </c>
      <c r="X357" s="3" t="s">
        <v>143</v>
      </c>
      <c r="Y357" s="77" t="s">
        <v>48</v>
      </c>
      <c r="Z357" s="84" t="s">
        <v>1555</v>
      </c>
      <c r="AA357" s="89" t="s">
        <v>62</v>
      </c>
      <c r="AB357" s="90" t="str">
        <f>HYPERLINK(CONCATENATE("https://www.ejacket.nsf.gov/ej/showProposal.do?ID=",SUBSTITUTE(SplitQueryTableRecent[[#This Row],[prop_id]],CHAR(160),"")),"eJ")</f>
        <v>eJ</v>
      </c>
      <c r="AC357" s="89" t="s">
        <v>1554</v>
      </c>
      <c r="AD357" s="3" t="s">
        <v>1554</v>
      </c>
      <c r="AE357" s="91">
        <v>2014</v>
      </c>
      <c r="AF357" s="13" t="s">
        <v>43</v>
      </c>
      <c r="AG357" s="13">
        <v>166512</v>
      </c>
      <c r="AH357" s="45">
        <v>297716</v>
      </c>
      <c r="AI357" s="44" t="s">
        <v>1553</v>
      </c>
      <c r="AJ357" s="2" t="s">
        <v>296</v>
      </c>
      <c r="AK357" s="46" t="s">
        <v>261</v>
      </c>
      <c r="AL357" s="55" t="s">
        <v>341</v>
      </c>
      <c r="AM357" s="45" t="s">
        <v>559</v>
      </c>
      <c r="AN357" s="56" t="s">
        <v>142</v>
      </c>
      <c r="AO357" s="23" t="s">
        <v>146</v>
      </c>
      <c r="AP357" s="11"/>
      <c r="AQ357" s="88" t="s">
        <v>1556</v>
      </c>
      <c r="AR357" s="57" t="s">
        <v>164</v>
      </c>
      <c r="AS357" s="46">
        <v>41810.36755787037</v>
      </c>
      <c r="AT357" s="3">
        <f t="shared" si="5"/>
        <v>284</v>
      </c>
    </row>
    <row r="358" spans="8:46" x14ac:dyDescent="0.4">
      <c r="H358" s="59">
        <v>42992.404930555553</v>
      </c>
      <c r="I358" s="43">
        <v>41590.568055555559</v>
      </c>
      <c r="J358" s="42">
        <v>41794.37190972222</v>
      </c>
      <c r="K358" s="81" t="s">
        <v>49</v>
      </c>
      <c r="L358" t="s">
        <v>49</v>
      </c>
      <c r="M358" t="s">
        <v>336</v>
      </c>
      <c r="N358" s="1" t="s">
        <v>336</v>
      </c>
      <c r="O358" s="1" t="s">
        <v>337</v>
      </c>
      <c r="P358" t="s">
        <v>337</v>
      </c>
      <c r="Q358" s="9" t="s">
        <v>45</v>
      </c>
      <c r="R358" s="82" t="s">
        <v>45</v>
      </c>
      <c r="S358" s="44" t="s">
        <v>173</v>
      </c>
      <c r="T358" s="3" t="s">
        <v>61</v>
      </c>
      <c r="U358" s="2" t="s">
        <v>29</v>
      </c>
      <c r="V358" s="3" t="s">
        <v>29</v>
      </c>
      <c r="W358" s="11" t="s">
        <v>143</v>
      </c>
      <c r="X358" s="3" t="s">
        <v>143</v>
      </c>
      <c r="Y358" s="77" t="s">
        <v>48</v>
      </c>
      <c r="Z358" s="84" t="s">
        <v>1555</v>
      </c>
      <c r="AA358" s="89" t="s">
        <v>62</v>
      </c>
      <c r="AB358" s="90" t="str">
        <f>HYPERLINK(CONCATENATE("https://www.ejacket.nsf.gov/ej/showProposal.do?ID=",SUBSTITUTE(SplitQueryTableRecent[[#This Row],[prop_id]],CHAR(160),"")),"eJ")</f>
        <v>eJ</v>
      </c>
      <c r="AC358" s="89" t="s">
        <v>1554</v>
      </c>
      <c r="AD358" s="3" t="s">
        <v>1554</v>
      </c>
      <c r="AE358" s="91">
        <v>2016</v>
      </c>
      <c r="AF358" s="13" t="s">
        <v>43</v>
      </c>
      <c r="AG358" s="13">
        <v>89362</v>
      </c>
      <c r="AH358" s="45">
        <v>297716</v>
      </c>
      <c r="AI358" s="44" t="s">
        <v>1553</v>
      </c>
      <c r="AJ358" s="2" t="s">
        <v>296</v>
      </c>
      <c r="AK358" s="46" t="s">
        <v>261</v>
      </c>
      <c r="AL358" s="55" t="s">
        <v>341</v>
      </c>
      <c r="AM358" s="45" t="s">
        <v>559</v>
      </c>
      <c r="AN358" s="56" t="s">
        <v>142</v>
      </c>
      <c r="AO358" s="23" t="s">
        <v>146</v>
      </c>
      <c r="AP358" s="11" t="s">
        <v>172</v>
      </c>
      <c r="AQ358" s="88" t="s">
        <v>1556</v>
      </c>
      <c r="AR358" s="57" t="s">
        <v>1521</v>
      </c>
      <c r="AS358" s="46">
        <v>42577.420856481483</v>
      </c>
      <c r="AT358" s="3">
        <f t="shared" si="5"/>
        <v>284</v>
      </c>
    </row>
    <row r="359" spans="8:46" x14ac:dyDescent="0.4">
      <c r="H359" s="59">
        <v>42992.404930555553</v>
      </c>
      <c r="I359" s="43">
        <v>42662.55972222222</v>
      </c>
      <c r="J359" s="42">
        <v>42842.362280092595</v>
      </c>
      <c r="K359" s="81" t="s">
        <v>49</v>
      </c>
      <c r="L359" t="s">
        <v>49</v>
      </c>
      <c r="M359" t="s">
        <v>336</v>
      </c>
      <c r="N359" s="1" t="s">
        <v>336</v>
      </c>
      <c r="O359" s="1" t="s">
        <v>337</v>
      </c>
      <c r="P359" t="s">
        <v>337</v>
      </c>
      <c r="Q359" s="9" t="s">
        <v>45</v>
      </c>
      <c r="R359" s="82" t="s">
        <v>45</v>
      </c>
      <c r="S359" s="44" t="s">
        <v>192</v>
      </c>
      <c r="T359" s="3" t="s">
        <v>61</v>
      </c>
      <c r="U359" s="2" t="s">
        <v>29</v>
      </c>
      <c r="V359" s="3" t="s">
        <v>29</v>
      </c>
      <c r="W359" s="11" t="s">
        <v>143</v>
      </c>
      <c r="X359" s="3" t="s">
        <v>143</v>
      </c>
      <c r="Y359" s="77" t="s">
        <v>48</v>
      </c>
      <c r="Z359" s="84" t="s">
        <v>414</v>
      </c>
      <c r="AA359" s="89" t="s">
        <v>62</v>
      </c>
      <c r="AB359" s="90" t="str">
        <f>HYPERLINK(CONCATENATE("https://www.ejacket.nsf.gov/ej/showProposal.do?ID=",SUBSTITUTE(SplitQueryTableRecent[[#This Row],[prop_id]],CHAR(160),"")),"eJ")</f>
        <v>eJ</v>
      </c>
      <c r="AC359" s="89" t="s">
        <v>413</v>
      </c>
      <c r="AD359" s="3" t="s">
        <v>413</v>
      </c>
      <c r="AE359" s="91">
        <v>2017</v>
      </c>
      <c r="AF359" s="13" t="s">
        <v>43</v>
      </c>
      <c r="AG359" s="13">
        <v>75756</v>
      </c>
      <c r="AH359" s="45">
        <v>400000</v>
      </c>
      <c r="AI359" s="44" t="s">
        <v>285</v>
      </c>
      <c r="AJ359" s="2" t="s">
        <v>416</v>
      </c>
      <c r="AK359" s="46" t="s">
        <v>417</v>
      </c>
      <c r="AL359" s="55" t="s">
        <v>341</v>
      </c>
      <c r="AM359" s="45" t="s">
        <v>341</v>
      </c>
      <c r="AN359" s="56" t="s">
        <v>142</v>
      </c>
      <c r="AO359" s="23" t="s">
        <v>146</v>
      </c>
      <c r="AP359" s="11"/>
      <c r="AQ359" s="88" t="s">
        <v>415</v>
      </c>
      <c r="AR359" s="57" t="s">
        <v>188</v>
      </c>
      <c r="AS359" s="46">
        <v>42859.693078703705</v>
      </c>
      <c r="AT359" s="3">
        <f t="shared" si="5"/>
        <v>285</v>
      </c>
    </row>
    <row r="360" spans="8:46" x14ac:dyDescent="0.4">
      <c r="H360" s="59">
        <v>42992.404930555553</v>
      </c>
      <c r="I360" s="43">
        <v>42662.55972222222</v>
      </c>
      <c r="J360" s="42">
        <v>42842.362280092595</v>
      </c>
      <c r="K360" s="81" t="s">
        <v>49</v>
      </c>
      <c r="L360" t="s">
        <v>49</v>
      </c>
      <c r="M360" t="s">
        <v>336</v>
      </c>
      <c r="N360" s="1" t="s">
        <v>336</v>
      </c>
      <c r="O360" s="1" t="s">
        <v>337</v>
      </c>
      <c r="P360" t="s">
        <v>337</v>
      </c>
      <c r="Q360" s="9" t="s">
        <v>45</v>
      </c>
      <c r="R360" s="82" t="s">
        <v>45</v>
      </c>
      <c r="S360" s="44" t="s">
        <v>192</v>
      </c>
      <c r="T360" s="3" t="s">
        <v>61</v>
      </c>
      <c r="U360" s="2" t="s">
        <v>29</v>
      </c>
      <c r="V360" s="3" t="s">
        <v>29</v>
      </c>
      <c r="W360" s="11" t="s">
        <v>143</v>
      </c>
      <c r="X360" s="3" t="s">
        <v>143</v>
      </c>
      <c r="Y360" s="77" t="s">
        <v>48</v>
      </c>
      <c r="Z360" s="84" t="s">
        <v>414</v>
      </c>
      <c r="AA360" s="89" t="s">
        <v>62</v>
      </c>
      <c r="AB360" s="90" t="str">
        <f>HYPERLINK(CONCATENATE("https://www.ejacket.nsf.gov/ej/showProposal.do?ID=",SUBSTITUTE(SplitQueryTableRecent[[#This Row],[prop_id]],CHAR(160),"")),"eJ")</f>
        <v>eJ</v>
      </c>
      <c r="AC360" s="89" t="s">
        <v>413</v>
      </c>
      <c r="AD360" s="3" t="s">
        <v>413</v>
      </c>
      <c r="AE360" s="91">
        <v>2018</v>
      </c>
      <c r="AF360" s="13" t="s">
        <v>43</v>
      </c>
      <c r="AG360" s="13">
        <v>77883</v>
      </c>
      <c r="AH360" s="45">
        <v>400000</v>
      </c>
      <c r="AI360" s="44" t="s">
        <v>285</v>
      </c>
      <c r="AJ360" s="2" t="s">
        <v>416</v>
      </c>
      <c r="AK360" s="46" t="s">
        <v>417</v>
      </c>
      <c r="AL360" s="55" t="s">
        <v>341</v>
      </c>
      <c r="AM360" s="45" t="s">
        <v>341</v>
      </c>
      <c r="AN360" s="56" t="s">
        <v>142</v>
      </c>
      <c r="AO360" s="23" t="s">
        <v>146</v>
      </c>
      <c r="AP360" s="11" t="s">
        <v>205</v>
      </c>
      <c r="AQ360" s="88" t="s">
        <v>415</v>
      </c>
      <c r="AR360" s="57" t="s">
        <v>188</v>
      </c>
      <c r="AS360" s="46">
        <v>42859.693078703705</v>
      </c>
      <c r="AT360" s="3">
        <f t="shared" si="5"/>
        <v>285</v>
      </c>
    </row>
    <row r="361" spans="8:46" x14ac:dyDescent="0.4">
      <c r="H361" s="59">
        <v>42992.404930555553</v>
      </c>
      <c r="I361" s="43">
        <v>42662.55972222222</v>
      </c>
      <c r="J361" s="42">
        <v>42842.362280092595</v>
      </c>
      <c r="K361" s="81" t="s">
        <v>49</v>
      </c>
      <c r="L361" t="s">
        <v>49</v>
      </c>
      <c r="M361" t="s">
        <v>336</v>
      </c>
      <c r="N361" s="1" t="s">
        <v>336</v>
      </c>
      <c r="O361" s="1" t="s">
        <v>337</v>
      </c>
      <c r="P361" t="s">
        <v>337</v>
      </c>
      <c r="Q361" s="9" t="s">
        <v>45</v>
      </c>
      <c r="R361" s="82" t="s">
        <v>45</v>
      </c>
      <c r="S361" s="44" t="s">
        <v>192</v>
      </c>
      <c r="T361" s="3" t="s">
        <v>61</v>
      </c>
      <c r="U361" s="2" t="s">
        <v>29</v>
      </c>
      <c r="V361" s="3" t="s">
        <v>29</v>
      </c>
      <c r="W361" s="11" t="s">
        <v>143</v>
      </c>
      <c r="X361" s="3" t="s">
        <v>143</v>
      </c>
      <c r="Y361" s="77" t="s">
        <v>48</v>
      </c>
      <c r="Z361" s="84" t="s">
        <v>414</v>
      </c>
      <c r="AA361" s="89" t="s">
        <v>62</v>
      </c>
      <c r="AB361" s="90" t="str">
        <f>HYPERLINK(CONCATENATE("https://www.ejacket.nsf.gov/ej/showProposal.do?ID=",SUBSTITUTE(SplitQueryTableRecent[[#This Row],[prop_id]],CHAR(160),"")),"eJ")</f>
        <v>eJ</v>
      </c>
      <c r="AC361" s="89" t="s">
        <v>413</v>
      </c>
      <c r="AD361" s="3" t="s">
        <v>413</v>
      </c>
      <c r="AE361" s="91">
        <v>2019</v>
      </c>
      <c r="AF361" s="13" t="s">
        <v>43</v>
      </c>
      <c r="AG361" s="13">
        <v>92980</v>
      </c>
      <c r="AH361" s="45">
        <v>400000</v>
      </c>
      <c r="AI361" s="44" t="s">
        <v>285</v>
      </c>
      <c r="AJ361" s="2" t="s">
        <v>416</v>
      </c>
      <c r="AK361" s="46" t="s">
        <v>417</v>
      </c>
      <c r="AL361" s="55" t="s">
        <v>341</v>
      </c>
      <c r="AM361" s="45" t="s">
        <v>341</v>
      </c>
      <c r="AN361" s="56" t="s">
        <v>142</v>
      </c>
      <c r="AO361" s="23" t="s">
        <v>146</v>
      </c>
      <c r="AP361" s="11" t="s">
        <v>205</v>
      </c>
      <c r="AQ361" s="88" t="s">
        <v>415</v>
      </c>
      <c r="AR361" s="57" t="s">
        <v>188</v>
      </c>
      <c r="AS361" s="46">
        <v>42859.693078703705</v>
      </c>
      <c r="AT361" s="3">
        <f t="shared" si="5"/>
        <v>285</v>
      </c>
    </row>
    <row r="362" spans="8:46" x14ac:dyDescent="0.4">
      <c r="H362" s="59">
        <v>42992.404930555553</v>
      </c>
      <c r="I362" s="43">
        <v>42662.55972222222</v>
      </c>
      <c r="J362" s="42">
        <v>42842.362280092595</v>
      </c>
      <c r="K362" s="81" t="s">
        <v>49</v>
      </c>
      <c r="L362" t="s">
        <v>49</v>
      </c>
      <c r="M362" t="s">
        <v>336</v>
      </c>
      <c r="N362" s="1" t="s">
        <v>336</v>
      </c>
      <c r="O362" s="1" t="s">
        <v>337</v>
      </c>
      <c r="P362" t="s">
        <v>337</v>
      </c>
      <c r="Q362" s="9" t="s">
        <v>45</v>
      </c>
      <c r="R362" s="82" t="s">
        <v>45</v>
      </c>
      <c r="S362" s="44" t="s">
        <v>192</v>
      </c>
      <c r="T362" s="3" t="s">
        <v>61</v>
      </c>
      <c r="U362" s="2" t="s">
        <v>29</v>
      </c>
      <c r="V362" s="3" t="s">
        <v>29</v>
      </c>
      <c r="W362" s="11" t="s">
        <v>143</v>
      </c>
      <c r="X362" s="3" t="s">
        <v>143</v>
      </c>
      <c r="Y362" s="77" t="s">
        <v>48</v>
      </c>
      <c r="Z362" s="84" t="s">
        <v>414</v>
      </c>
      <c r="AA362" s="89" t="s">
        <v>62</v>
      </c>
      <c r="AB362" s="90" t="str">
        <f>HYPERLINK(CONCATENATE("https://www.ejacket.nsf.gov/ej/showProposal.do?ID=",SUBSTITUTE(SplitQueryTableRecent[[#This Row],[prop_id]],CHAR(160),"")),"eJ")</f>
        <v>eJ</v>
      </c>
      <c r="AC362" s="89" t="s">
        <v>413</v>
      </c>
      <c r="AD362" s="3" t="s">
        <v>413</v>
      </c>
      <c r="AE362" s="91">
        <v>2020</v>
      </c>
      <c r="AF362" s="13" t="s">
        <v>43</v>
      </c>
      <c r="AG362" s="13">
        <v>95707</v>
      </c>
      <c r="AH362" s="45">
        <v>400000</v>
      </c>
      <c r="AI362" s="44" t="s">
        <v>285</v>
      </c>
      <c r="AJ362" s="2" t="s">
        <v>416</v>
      </c>
      <c r="AK362" s="46" t="s">
        <v>417</v>
      </c>
      <c r="AL362" s="55" t="s">
        <v>341</v>
      </c>
      <c r="AM362" s="45" t="s">
        <v>341</v>
      </c>
      <c r="AN362" s="56" t="s">
        <v>142</v>
      </c>
      <c r="AO362" s="23" t="s">
        <v>146</v>
      </c>
      <c r="AP362" s="11" t="s">
        <v>205</v>
      </c>
      <c r="AQ362" s="88" t="s">
        <v>415</v>
      </c>
      <c r="AR362" s="57" t="s">
        <v>188</v>
      </c>
      <c r="AS362" s="46">
        <v>42859.693078703705</v>
      </c>
      <c r="AT362" s="3">
        <f t="shared" si="5"/>
        <v>285</v>
      </c>
    </row>
    <row r="363" spans="8:46" x14ac:dyDescent="0.4">
      <c r="H363" s="59">
        <v>42992.404930555553</v>
      </c>
      <c r="I363" s="43">
        <v>42661.702777777777</v>
      </c>
      <c r="J363" s="42">
        <v>42816.356354166666</v>
      </c>
      <c r="K363" s="81" t="s">
        <v>49</v>
      </c>
      <c r="L363" t="s">
        <v>49</v>
      </c>
      <c r="M363" t="s">
        <v>336</v>
      </c>
      <c r="N363" s="1" t="s">
        <v>336</v>
      </c>
      <c r="O363" s="1" t="s">
        <v>230</v>
      </c>
      <c r="P363" t="s">
        <v>230</v>
      </c>
      <c r="Q363" s="9" t="s">
        <v>45</v>
      </c>
      <c r="R363" s="82" t="s">
        <v>45</v>
      </c>
      <c r="S363" s="44" t="s">
        <v>192</v>
      </c>
      <c r="T363" s="3" t="s">
        <v>61</v>
      </c>
      <c r="U363" s="2" t="s">
        <v>29</v>
      </c>
      <c r="V363" s="3" t="s">
        <v>29</v>
      </c>
      <c r="W363" s="11" t="s">
        <v>143</v>
      </c>
      <c r="X363" s="3" t="s">
        <v>143</v>
      </c>
      <c r="Y363" s="77" t="s">
        <v>48</v>
      </c>
      <c r="Z363" s="84" t="s">
        <v>351</v>
      </c>
      <c r="AA363" s="89" t="s">
        <v>62</v>
      </c>
      <c r="AB363" s="90" t="str">
        <f>HYPERLINK(CONCATENATE("https://www.ejacket.nsf.gov/ej/showProposal.do?ID=",SUBSTITUTE(SplitQueryTableRecent[[#This Row],[prop_id]],CHAR(160),"")),"eJ")</f>
        <v>eJ</v>
      </c>
      <c r="AC363" s="89" t="s">
        <v>419</v>
      </c>
      <c r="AD363" s="3" t="s">
        <v>419</v>
      </c>
      <c r="AE363" s="91">
        <v>2017</v>
      </c>
      <c r="AF363" s="13" t="s">
        <v>43</v>
      </c>
      <c r="AG363" s="13">
        <v>85183</v>
      </c>
      <c r="AH363" s="45">
        <v>399993</v>
      </c>
      <c r="AI363" s="44" t="s">
        <v>420</v>
      </c>
      <c r="AJ363" s="2" t="s">
        <v>421</v>
      </c>
      <c r="AK363" s="46" t="s">
        <v>1709</v>
      </c>
      <c r="AL363" s="55" t="s">
        <v>353</v>
      </c>
      <c r="AM363" s="45" t="s">
        <v>353</v>
      </c>
      <c r="AN363" s="56" t="s">
        <v>142</v>
      </c>
      <c r="AO363" s="23" t="s">
        <v>146</v>
      </c>
      <c r="AP363" s="11"/>
      <c r="AQ363" s="88" t="s">
        <v>352</v>
      </c>
      <c r="AR363" s="57" t="s">
        <v>188</v>
      </c>
      <c r="AS363" s="46">
        <v>42836.638599537036</v>
      </c>
      <c r="AT363" s="3">
        <f t="shared" si="5"/>
        <v>286</v>
      </c>
    </row>
    <row r="364" spans="8:46" x14ac:dyDescent="0.4">
      <c r="H364" s="59">
        <v>42992.404930555553</v>
      </c>
      <c r="I364" s="43">
        <v>42661.702777777777</v>
      </c>
      <c r="J364" s="42">
        <v>42816.356354166666</v>
      </c>
      <c r="K364" s="81" t="s">
        <v>49</v>
      </c>
      <c r="L364" t="s">
        <v>49</v>
      </c>
      <c r="M364" t="s">
        <v>336</v>
      </c>
      <c r="N364" s="1" t="s">
        <v>336</v>
      </c>
      <c r="O364" s="1" t="s">
        <v>230</v>
      </c>
      <c r="P364" t="s">
        <v>230</v>
      </c>
      <c r="Q364" s="9" t="s">
        <v>45</v>
      </c>
      <c r="R364" s="82" t="s">
        <v>45</v>
      </c>
      <c r="S364" s="44" t="s">
        <v>192</v>
      </c>
      <c r="T364" s="3" t="s">
        <v>61</v>
      </c>
      <c r="U364" s="2" t="s">
        <v>29</v>
      </c>
      <c r="V364" s="3" t="s">
        <v>29</v>
      </c>
      <c r="W364" s="11" t="s">
        <v>143</v>
      </c>
      <c r="X364" s="3" t="s">
        <v>143</v>
      </c>
      <c r="Y364" s="77" t="s">
        <v>48</v>
      </c>
      <c r="Z364" s="84" t="s">
        <v>351</v>
      </c>
      <c r="AA364" s="89" t="s">
        <v>62</v>
      </c>
      <c r="AB364" s="90" t="str">
        <f>HYPERLINK(CONCATENATE("https://www.ejacket.nsf.gov/ej/showProposal.do?ID=",SUBSTITUTE(SplitQueryTableRecent[[#This Row],[prop_id]],CHAR(160),"")),"eJ")</f>
        <v>eJ</v>
      </c>
      <c r="AC364" s="89" t="s">
        <v>419</v>
      </c>
      <c r="AD364" s="3" t="s">
        <v>419</v>
      </c>
      <c r="AE364" s="91">
        <v>2018</v>
      </c>
      <c r="AF364" s="13" t="s">
        <v>43</v>
      </c>
      <c r="AG364" s="13">
        <v>88512</v>
      </c>
      <c r="AH364" s="45">
        <v>399993</v>
      </c>
      <c r="AI364" s="44" t="s">
        <v>420</v>
      </c>
      <c r="AJ364" s="2" t="s">
        <v>421</v>
      </c>
      <c r="AK364" s="46" t="s">
        <v>1709</v>
      </c>
      <c r="AL364" s="55" t="s">
        <v>353</v>
      </c>
      <c r="AM364" s="45" t="s">
        <v>353</v>
      </c>
      <c r="AN364" s="56" t="s">
        <v>142</v>
      </c>
      <c r="AO364" s="23" t="s">
        <v>146</v>
      </c>
      <c r="AP364" s="11" t="s">
        <v>205</v>
      </c>
      <c r="AQ364" s="88" t="s">
        <v>352</v>
      </c>
      <c r="AR364" s="57" t="s">
        <v>188</v>
      </c>
      <c r="AS364" s="46">
        <v>42836.638599537036</v>
      </c>
      <c r="AT364" s="3">
        <f t="shared" si="5"/>
        <v>286</v>
      </c>
    </row>
    <row r="365" spans="8:46" x14ac:dyDescent="0.4">
      <c r="H365" s="59">
        <v>42992.404930555553</v>
      </c>
      <c r="I365" s="43">
        <v>42661.702777777777</v>
      </c>
      <c r="J365" s="42">
        <v>42816.356354166666</v>
      </c>
      <c r="K365" s="81" t="s">
        <v>49</v>
      </c>
      <c r="L365" t="s">
        <v>49</v>
      </c>
      <c r="M365" t="s">
        <v>336</v>
      </c>
      <c r="N365" s="1" t="s">
        <v>336</v>
      </c>
      <c r="O365" s="1" t="s">
        <v>230</v>
      </c>
      <c r="P365" t="s">
        <v>230</v>
      </c>
      <c r="Q365" s="9" t="s">
        <v>45</v>
      </c>
      <c r="R365" s="82" t="s">
        <v>45</v>
      </c>
      <c r="S365" s="44" t="s">
        <v>192</v>
      </c>
      <c r="T365" s="3" t="s">
        <v>61</v>
      </c>
      <c r="U365" s="2" t="s">
        <v>29</v>
      </c>
      <c r="V365" s="3" t="s">
        <v>29</v>
      </c>
      <c r="W365" s="11" t="s">
        <v>143</v>
      </c>
      <c r="X365" s="3" t="s">
        <v>143</v>
      </c>
      <c r="Y365" s="77" t="s">
        <v>48</v>
      </c>
      <c r="Z365" s="84" t="s">
        <v>351</v>
      </c>
      <c r="AA365" s="89" t="s">
        <v>62</v>
      </c>
      <c r="AB365" s="90" t="str">
        <f>HYPERLINK(CONCATENATE("https://www.ejacket.nsf.gov/ej/showProposal.do?ID=",SUBSTITUTE(SplitQueryTableRecent[[#This Row],[prop_id]],CHAR(160),"")),"eJ")</f>
        <v>eJ</v>
      </c>
      <c r="AC365" s="89" t="s">
        <v>419</v>
      </c>
      <c r="AD365" s="3" t="s">
        <v>419</v>
      </c>
      <c r="AE365" s="91">
        <v>2019</v>
      </c>
      <c r="AF365" s="13" t="s">
        <v>43</v>
      </c>
      <c r="AG365" s="13">
        <v>106611</v>
      </c>
      <c r="AH365" s="45">
        <v>399993</v>
      </c>
      <c r="AI365" s="44" t="s">
        <v>420</v>
      </c>
      <c r="AJ365" s="2" t="s">
        <v>421</v>
      </c>
      <c r="AK365" s="46" t="s">
        <v>1709</v>
      </c>
      <c r="AL365" s="55" t="s">
        <v>353</v>
      </c>
      <c r="AM365" s="45" t="s">
        <v>353</v>
      </c>
      <c r="AN365" s="56" t="s">
        <v>142</v>
      </c>
      <c r="AO365" s="23" t="s">
        <v>146</v>
      </c>
      <c r="AP365" s="11" t="s">
        <v>205</v>
      </c>
      <c r="AQ365" s="88" t="s">
        <v>352</v>
      </c>
      <c r="AR365" s="57" t="s">
        <v>188</v>
      </c>
      <c r="AS365" s="46">
        <v>42836.638599537036</v>
      </c>
      <c r="AT365" s="3">
        <f t="shared" si="5"/>
        <v>286</v>
      </c>
    </row>
    <row r="366" spans="8:46" x14ac:dyDescent="0.4">
      <c r="H366" s="59">
        <v>42992.404930555553</v>
      </c>
      <c r="I366" s="43">
        <v>42661.702777777777</v>
      </c>
      <c r="J366" s="42">
        <v>42816.356354166666</v>
      </c>
      <c r="K366" s="81" t="s">
        <v>49</v>
      </c>
      <c r="L366" t="s">
        <v>49</v>
      </c>
      <c r="M366" t="s">
        <v>336</v>
      </c>
      <c r="N366" s="1" t="s">
        <v>336</v>
      </c>
      <c r="O366" s="1" t="s">
        <v>230</v>
      </c>
      <c r="P366" t="s">
        <v>230</v>
      </c>
      <c r="Q366" s="9" t="s">
        <v>45</v>
      </c>
      <c r="R366" s="82" t="s">
        <v>45</v>
      </c>
      <c r="S366" s="44" t="s">
        <v>192</v>
      </c>
      <c r="T366" s="3" t="s">
        <v>61</v>
      </c>
      <c r="U366" s="2" t="s">
        <v>29</v>
      </c>
      <c r="V366" s="3" t="s">
        <v>29</v>
      </c>
      <c r="W366" s="11" t="s">
        <v>143</v>
      </c>
      <c r="X366" s="3" t="s">
        <v>143</v>
      </c>
      <c r="Y366" s="77" t="s">
        <v>48</v>
      </c>
      <c r="Z366" s="84" t="s">
        <v>351</v>
      </c>
      <c r="AA366" s="89" t="s">
        <v>62</v>
      </c>
      <c r="AB366" s="90" t="str">
        <f>HYPERLINK(CONCATENATE("https://www.ejacket.nsf.gov/ej/showProposal.do?ID=",SUBSTITUTE(SplitQueryTableRecent[[#This Row],[prop_id]],CHAR(160),"")),"eJ")</f>
        <v>eJ</v>
      </c>
      <c r="AC366" s="89" t="s">
        <v>419</v>
      </c>
      <c r="AD366" s="3" t="s">
        <v>419</v>
      </c>
      <c r="AE366" s="91">
        <v>2020</v>
      </c>
      <c r="AF366" s="13" t="s">
        <v>43</v>
      </c>
      <c r="AG366" s="13">
        <v>69694</v>
      </c>
      <c r="AH366" s="45">
        <v>399993</v>
      </c>
      <c r="AI366" s="44" t="s">
        <v>420</v>
      </c>
      <c r="AJ366" s="2" t="s">
        <v>421</v>
      </c>
      <c r="AK366" s="46" t="s">
        <v>1709</v>
      </c>
      <c r="AL366" s="55" t="s">
        <v>353</v>
      </c>
      <c r="AM366" s="45" t="s">
        <v>353</v>
      </c>
      <c r="AN366" s="56" t="s">
        <v>142</v>
      </c>
      <c r="AO366" s="23" t="s">
        <v>146</v>
      </c>
      <c r="AP366" s="11" t="s">
        <v>205</v>
      </c>
      <c r="AQ366" s="88" t="s">
        <v>352</v>
      </c>
      <c r="AR366" s="57" t="s">
        <v>188</v>
      </c>
      <c r="AS366" s="46">
        <v>42836.638599537036</v>
      </c>
      <c r="AT366" s="3">
        <f t="shared" si="5"/>
        <v>286</v>
      </c>
    </row>
    <row r="367" spans="8:46" x14ac:dyDescent="0.4">
      <c r="H367" s="59">
        <v>42992.404930555553</v>
      </c>
      <c r="I367" s="43">
        <v>41191.631944444445</v>
      </c>
      <c r="J367" s="42">
        <v>41337.543356481481</v>
      </c>
      <c r="K367" s="81" t="s">
        <v>49</v>
      </c>
      <c r="L367" t="s">
        <v>49</v>
      </c>
      <c r="M367" t="s">
        <v>336</v>
      </c>
      <c r="N367" s="1" t="s">
        <v>336</v>
      </c>
      <c r="O367" s="1" t="s">
        <v>337</v>
      </c>
      <c r="P367" t="s">
        <v>337</v>
      </c>
      <c r="Q367" s="9" t="s">
        <v>45</v>
      </c>
      <c r="R367" s="82" t="s">
        <v>45</v>
      </c>
      <c r="S367" s="44" t="s">
        <v>165</v>
      </c>
      <c r="T367" s="3" t="s">
        <v>61</v>
      </c>
      <c r="U367" s="2" t="s">
        <v>29</v>
      </c>
      <c r="V367" s="3" t="s">
        <v>29</v>
      </c>
      <c r="W367" s="11" t="s">
        <v>143</v>
      </c>
      <c r="X367" s="3" t="s">
        <v>143</v>
      </c>
      <c r="Y367" s="77" t="s">
        <v>48</v>
      </c>
      <c r="Z367" s="84" t="s">
        <v>1544</v>
      </c>
      <c r="AA367" s="89" t="s">
        <v>62</v>
      </c>
      <c r="AB367" s="90" t="str">
        <f>HYPERLINK(CONCATENATE("https://www.ejacket.nsf.gov/ej/showProposal.do?ID=",SUBSTITUTE(SplitQueryTableRecent[[#This Row],[prop_id]],CHAR(160),"")),"eJ")</f>
        <v>eJ</v>
      </c>
      <c r="AC367" s="89" t="s">
        <v>1559</v>
      </c>
      <c r="AD367" s="3" t="s">
        <v>1559</v>
      </c>
      <c r="AE367" s="91">
        <v>2015</v>
      </c>
      <c r="AF367" s="13" t="s">
        <v>43</v>
      </c>
      <c r="AG367" s="13">
        <v>378653</v>
      </c>
      <c r="AH367" s="45">
        <v>799659</v>
      </c>
      <c r="AI367" s="44" t="s">
        <v>1557</v>
      </c>
      <c r="AJ367" s="2" t="s">
        <v>1558</v>
      </c>
      <c r="AK367" s="46" t="s">
        <v>1731</v>
      </c>
      <c r="AL367" s="55" t="s">
        <v>341</v>
      </c>
      <c r="AM367" s="45" t="s">
        <v>373</v>
      </c>
      <c r="AN367" s="56" t="s">
        <v>142</v>
      </c>
      <c r="AO367" s="23" t="s">
        <v>146</v>
      </c>
      <c r="AP367" s="11" t="s">
        <v>172</v>
      </c>
      <c r="AQ367" s="88" t="s">
        <v>1545</v>
      </c>
      <c r="AR367" s="57" t="s">
        <v>40</v>
      </c>
      <c r="AS367" s="46">
        <v>42243.806886574072</v>
      </c>
      <c r="AT367" s="3">
        <f t="shared" si="5"/>
        <v>287</v>
      </c>
    </row>
    <row r="368" spans="8:46" x14ac:dyDescent="0.4">
      <c r="H368" s="59">
        <v>42992.404930555553</v>
      </c>
      <c r="I368" s="43">
        <v>41477.621527777781</v>
      </c>
      <c r="J368" s="42">
        <v>41654.384733796294</v>
      </c>
      <c r="K368" s="81" t="s">
        <v>49</v>
      </c>
      <c r="L368" t="s">
        <v>49</v>
      </c>
      <c r="M368" t="s">
        <v>336</v>
      </c>
      <c r="N368" s="1" t="s">
        <v>336</v>
      </c>
      <c r="O368" s="1" t="s">
        <v>337</v>
      </c>
      <c r="P368" t="s">
        <v>337</v>
      </c>
      <c r="Q368" s="9" t="s">
        <v>45</v>
      </c>
      <c r="R368" s="82" t="s">
        <v>45</v>
      </c>
      <c r="S368" s="44" t="s">
        <v>168</v>
      </c>
      <c r="T368" s="3" t="s">
        <v>61</v>
      </c>
      <c r="U368" s="2" t="s">
        <v>29</v>
      </c>
      <c r="V368" s="3" t="s">
        <v>29</v>
      </c>
      <c r="W368" s="11" t="s">
        <v>143</v>
      </c>
      <c r="X368" s="3" t="s">
        <v>143</v>
      </c>
      <c r="Y368" s="77" t="s">
        <v>48</v>
      </c>
      <c r="Z368" s="84" t="s">
        <v>424</v>
      </c>
      <c r="AA368" s="89" t="s">
        <v>28</v>
      </c>
      <c r="AB368" s="90" t="str">
        <f>HYPERLINK(CONCATENATE("https://www.ejacket.nsf.gov/ej/showProposal.do?ID=",SUBSTITUTE(SplitQueryTableRecent[[#This Row],[prop_id]],CHAR(160),"")),"eJ")</f>
        <v>eJ</v>
      </c>
      <c r="AC368" s="89" t="s">
        <v>424</v>
      </c>
      <c r="AD368" s="3" t="s">
        <v>424</v>
      </c>
      <c r="AE368" s="91">
        <v>2014</v>
      </c>
      <c r="AF368" s="13" t="s">
        <v>43</v>
      </c>
      <c r="AG368" s="13">
        <v>180667</v>
      </c>
      <c r="AH368" s="45">
        <v>474728</v>
      </c>
      <c r="AI368" s="44" t="s">
        <v>427</v>
      </c>
      <c r="AJ368" s="2" t="s">
        <v>178</v>
      </c>
      <c r="AK368" s="46" t="s">
        <v>1724</v>
      </c>
      <c r="AL368" s="55" t="s">
        <v>426</v>
      </c>
      <c r="AM368" s="45" t="s">
        <v>426</v>
      </c>
      <c r="AN368" s="56" t="s">
        <v>142</v>
      </c>
      <c r="AO368" s="23" t="s">
        <v>146</v>
      </c>
      <c r="AP368" s="11"/>
      <c r="AQ368" s="88" t="s">
        <v>425</v>
      </c>
      <c r="AR368" s="57" t="s">
        <v>161</v>
      </c>
      <c r="AS368" s="46">
        <v>41656.607615740744</v>
      </c>
      <c r="AT368" s="3">
        <f t="shared" si="5"/>
        <v>288</v>
      </c>
    </row>
    <row r="369" spans="8:46" x14ac:dyDescent="0.4">
      <c r="H369" s="59">
        <v>42992.404930555553</v>
      </c>
      <c r="I369" s="43">
        <v>41477.621527777781</v>
      </c>
      <c r="J369" s="42">
        <v>41654.384733796294</v>
      </c>
      <c r="K369" s="81" t="s">
        <v>49</v>
      </c>
      <c r="L369" t="s">
        <v>49</v>
      </c>
      <c r="M369" t="s">
        <v>336</v>
      </c>
      <c r="N369" s="1" t="s">
        <v>336</v>
      </c>
      <c r="O369" s="1" t="s">
        <v>337</v>
      </c>
      <c r="P369" t="s">
        <v>337</v>
      </c>
      <c r="Q369" s="9" t="s">
        <v>45</v>
      </c>
      <c r="R369" s="82" t="s">
        <v>45</v>
      </c>
      <c r="S369" s="44" t="s">
        <v>168</v>
      </c>
      <c r="T369" s="3" t="s">
        <v>61</v>
      </c>
      <c r="U369" s="2" t="s">
        <v>29</v>
      </c>
      <c r="V369" s="3" t="s">
        <v>29</v>
      </c>
      <c r="W369" s="11" t="s">
        <v>143</v>
      </c>
      <c r="X369" s="3" t="s">
        <v>143</v>
      </c>
      <c r="Y369" s="77" t="s">
        <v>48</v>
      </c>
      <c r="Z369" s="84" t="s">
        <v>424</v>
      </c>
      <c r="AA369" s="89" t="s">
        <v>28</v>
      </c>
      <c r="AB369" s="90" t="str">
        <f>HYPERLINK(CONCATENATE("https://www.ejacket.nsf.gov/ej/showProposal.do?ID=",SUBSTITUTE(SplitQueryTableRecent[[#This Row],[prop_id]],CHAR(160),"")),"eJ")</f>
        <v>eJ</v>
      </c>
      <c r="AC369" s="89" t="s">
        <v>424</v>
      </c>
      <c r="AD369" s="3" t="s">
        <v>424</v>
      </c>
      <c r="AE369" s="91">
        <v>2016</v>
      </c>
      <c r="AF369" s="13" t="s">
        <v>43</v>
      </c>
      <c r="AG369" s="13">
        <v>192760</v>
      </c>
      <c r="AH369" s="45">
        <v>474728</v>
      </c>
      <c r="AI369" s="44" t="s">
        <v>427</v>
      </c>
      <c r="AJ369" s="2" t="s">
        <v>178</v>
      </c>
      <c r="AK369" s="46" t="s">
        <v>1724</v>
      </c>
      <c r="AL369" s="55" t="s">
        <v>426</v>
      </c>
      <c r="AM369" s="45" t="s">
        <v>426</v>
      </c>
      <c r="AN369" s="56" t="s">
        <v>142</v>
      </c>
      <c r="AO369" s="23" t="s">
        <v>146</v>
      </c>
      <c r="AP369" s="11" t="s">
        <v>172</v>
      </c>
      <c r="AQ369" s="88" t="s">
        <v>425</v>
      </c>
      <c r="AR369" s="57" t="s">
        <v>1521</v>
      </c>
      <c r="AS369" s="46">
        <v>42522.638483796298</v>
      </c>
      <c r="AT369" s="3">
        <f t="shared" si="5"/>
        <v>288</v>
      </c>
    </row>
    <row r="370" spans="8:46" x14ac:dyDescent="0.4">
      <c r="H370" s="59">
        <v>42992.404930555553</v>
      </c>
      <c r="I370" s="43">
        <v>41477.621527777781</v>
      </c>
      <c r="J370" s="42">
        <v>41654.384733796294</v>
      </c>
      <c r="K370" s="81" t="s">
        <v>49</v>
      </c>
      <c r="L370" t="s">
        <v>49</v>
      </c>
      <c r="M370" t="s">
        <v>336</v>
      </c>
      <c r="N370" s="1" t="s">
        <v>336</v>
      </c>
      <c r="O370" s="1" t="s">
        <v>337</v>
      </c>
      <c r="P370" t="s">
        <v>337</v>
      </c>
      <c r="Q370" s="9" t="s">
        <v>45</v>
      </c>
      <c r="R370" s="82" t="s">
        <v>45</v>
      </c>
      <c r="S370" s="44" t="s">
        <v>168</v>
      </c>
      <c r="T370" s="3" t="s">
        <v>61</v>
      </c>
      <c r="U370" s="2" t="s">
        <v>29</v>
      </c>
      <c r="V370" s="3" t="s">
        <v>29</v>
      </c>
      <c r="W370" s="11" t="s">
        <v>143</v>
      </c>
      <c r="X370" s="3" t="s">
        <v>143</v>
      </c>
      <c r="Y370" s="77" t="s">
        <v>48</v>
      </c>
      <c r="Z370" s="84" t="s">
        <v>424</v>
      </c>
      <c r="AA370" s="89" t="s">
        <v>28</v>
      </c>
      <c r="AB370" s="90" t="str">
        <f>HYPERLINK(CONCATENATE("https://www.ejacket.nsf.gov/ej/showProposal.do?ID=",SUBSTITUTE(SplitQueryTableRecent[[#This Row],[prop_id]],CHAR(160),"")),"eJ")</f>
        <v>eJ</v>
      </c>
      <c r="AC370" s="89" t="s">
        <v>424</v>
      </c>
      <c r="AD370" s="3" t="s">
        <v>424</v>
      </c>
      <c r="AE370" s="91">
        <v>2018</v>
      </c>
      <c r="AF370" s="13" t="s">
        <v>43</v>
      </c>
      <c r="AG370" s="13">
        <v>101301</v>
      </c>
      <c r="AH370" s="45">
        <v>474728</v>
      </c>
      <c r="AI370" s="44" t="s">
        <v>427</v>
      </c>
      <c r="AJ370" s="2" t="s">
        <v>178</v>
      </c>
      <c r="AK370" s="46" t="s">
        <v>1724</v>
      </c>
      <c r="AL370" s="55" t="s">
        <v>426</v>
      </c>
      <c r="AM370" s="45" t="s">
        <v>426</v>
      </c>
      <c r="AN370" s="56" t="s">
        <v>142</v>
      </c>
      <c r="AO370" s="23" t="s">
        <v>146</v>
      </c>
      <c r="AP370" s="11" t="s">
        <v>205</v>
      </c>
      <c r="AQ370" s="88" t="s">
        <v>425</v>
      </c>
      <c r="AR370" s="57" t="s">
        <v>161</v>
      </c>
      <c r="AS370" s="46">
        <v>41656.607615740744</v>
      </c>
      <c r="AT370" s="3">
        <f t="shared" si="5"/>
        <v>288</v>
      </c>
    </row>
    <row r="371" spans="8:46" x14ac:dyDescent="0.4">
      <c r="H371" s="59">
        <v>42992.404930555553</v>
      </c>
      <c r="I371" s="43">
        <v>41590.613194444442</v>
      </c>
      <c r="J371" s="42">
        <v>41788.5859837963</v>
      </c>
      <c r="K371" s="81" t="s">
        <v>49</v>
      </c>
      <c r="L371" t="s">
        <v>49</v>
      </c>
      <c r="M371" t="s">
        <v>336</v>
      </c>
      <c r="N371" s="1" t="s">
        <v>336</v>
      </c>
      <c r="O371" s="1" t="s">
        <v>337</v>
      </c>
      <c r="P371" t="s">
        <v>337</v>
      </c>
      <c r="Q371" s="9" t="s">
        <v>45</v>
      </c>
      <c r="R371" s="82" t="s">
        <v>45</v>
      </c>
      <c r="S371" s="44" t="s">
        <v>173</v>
      </c>
      <c r="T371" s="3" t="s">
        <v>61</v>
      </c>
      <c r="U371" s="2" t="s">
        <v>29</v>
      </c>
      <c r="V371" s="3" t="s">
        <v>29</v>
      </c>
      <c r="W371" s="11" t="s">
        <v>143</v>
      </c>
      <c r="X371" s="3" t="s">
        <v>143</v>
      </c>
      <c r="Y371" s="77" t="s">
        <v>48</v>
      </c>
      <c r="Z371" s="84" t="s">
        <v>1555</v>
      </c>
      <c r="AA371" s="89" t="s">
        <v>174</v>
      </c>
      <c r="AB371" s="90" t="str">
        <f>HYPERLINK(CONCATENATE("https://www.ejacket.nsf.gov/ej/showProposal.do?ID=",SUBSTITUTE(SplitQueryTableRecent[[#This Row],[prop_id]],CHAR(160),"")),"eJ")</f>
        <v>eJ</v>
      </c>
      <c r="AC371" s="89" t="s">
        <v>1555</v>
      </c>
      <c r="AD371" s="3" t="s">
        <v>1555</v>
      </c>
      <c r="AE371" s="91">
        <v>2014</v>
      </c>
      <c r="AF371" s="13" t="s">
        <v>43</v>
      </c>
      <c r="AG371" s="13">
        <v>335943</v>
      </c>
      <c r="AH371" s="45">
        <v>574913</v>
      </c>
      <c r="AI371" s="44" t="s">
        <v>427</v>
      </c>
      <c r="AJ371" s="2" t="s">
        <v>178</v>
      </c>
      <c r="AK371" s="46" t="s">
        <v>1724</v>
      </c>
      <c r="AL371" s="55" t="s">
        <v>559</v>
      </c>
      <c r="AM371" s="45" t="s">
        <v>341</v>
      </c>
      <c r="AN371" s="56" t="s">
        <v>142</v>
      </c>
      <c r="AO371" s="23" t="s">
        <v>146</v>
      </c>
      <c r="AP371" s="11"/>
      <c r="AQ371" s="88" t="s">
        <v>1556</v>
      </c>
      <c r="AR371" s="57" t="s">
        <v>164</v>
      </c>
      <c r="AS371" s="46">
        <v>41810.367581018516</v>
      </c>
      <c r="AT371" s="3">
        <f t="shared" si="5"/>
        <v>289</v>
      </c>
    </row>
    <row r="372" spans="8:46" x14ac:dyDescent="0.4">
      <c r="H372" s="59">
        <v>42992.404930555553</v>
      </c>
      <c r="I372" s="43">
        <v>41590.613194444442</v>
      </c>
      <c r="J372" s="42">
        <v>41788.5859837963</v>
      </c>
      <c r="K372" s="81" t="s">
        <v>49</v>
      </c>
      <c r="L372" t="s">
        <v>49</v>
      </c>
      <c r="M372" t="s">
        <v>336</v>
      </c>
      <c r="N372" s="1" t="s">
        <v>336</v>
      </c>
      <c r="O372" s="1" t="s">
        <v>337</v>
      </c>
      <c r="P372" t="s">
        <v>337</v>
      </c>
      <c r="Q372" s="9" t="s">
        <v>45</v>
      </c>
      <c r="R372" s="82" t="s">
        <v>45</v>
      </c>
      <c r="S372" s="44" t="s">
        <v>173</v>
      </c>
      <c r="T372" s="3" t="s">
        <v>61</v>
      </c>
      <c r="U372" s="2" t="s">
        <v>29</v>
      </c>
      <c r="V372" s="3" t="s">
        <v>29</v>
      </c>
      <c r="W372" s="11" t="s">
        <v>143</v>
      </c>
      <c r="X372" s="3" t="s">
        <v>143</v>
      </c>
      <c r="Y372" s="77" t="s">
        <v>48</v>
      </c>
      <c r="Z372" s="84" t="s">
        <v>1555</v>
      </c>
      <c r="AA372" s="89" t="s">
        <v>174</v>
      </c>
      <c r="AB372" s="90" t="str">
        <f>HYPERLINK(CONCATENATE("https://www.ejacket.nsf.gov/ej/showProposal.do?ID=",SUBSTITUTE(SplitQueryTableRecent[[#This Row],[prop_id]],CHAR(160),"")),"eJ")</f>
        <v>eJ</v>
      </c>
      <c r="AC372" s="89" t="s">
        <v>1555</v>
      </c>
      <c r="AD372" s="3" t="s">
        <v>1555</v>
      </c>
      <c r="AE372" s="91">
        <v>2016</v>
      </c>
      <c r="AF372" s="13" t="s">
        <v>43</v>
      </c>
      <c r="AG372" s="13">
        <v>178795</v>
      </c>
      <c r="AH372" s="45">
        <v>574913</v>
      </c>
      <c r="AI372" s="44" t="s">
        <v>427</v>
      </c>
      <c r="AJ372" s="2" t="s">
        <v>178</v>
      </c>
      <c r="AK372" s="46" t="s">
        <v>1724</v>
      </c>
      <c r="AL372" s="55" t="s">
        <v>559</v>
      </c>
      <c r="AM372" s="45" t="s">
        <v>341</v>
      </c>
      <c r="AN372" s="56" t="s">
        <v>142</v>
      </c>
      <c r="AO372" s="23" t="s">
        <v>146</v>
      </c>
      <c r="AP372" s="11" t="s">
        <v>172</v>
      </c>
      <c r="AQ372" s="88" t="s">
        <v>1556</v>
      </c>
      <c r="AR372" s="57" t="s">
        <v>40</v>
      </c>
      <c r="AS372" s="46">
        <v>42626.454050925924</v>
      </c>
      <c r="AT372" s="3">
        <f t="shared" si="5"/>
        <v>289</v>
      </c>
    </row>
    <row r="373" spans="8:46" x14ac:dyDescent="0.4">
      <c r="H373" s="59">
        <v>42992.404930555553</v>
      </c>
      <c r="I373" s="43">
        <v>41477.614583333336</v>
      </c>
      <c r="J373" s="42">
        <v>41652.644444444442</v>
      </c>
      <c r="K373" s="81" t="s">
        <v>49</v>
      </c>
      <c r="L373" t="s">
        <v>49</v>
      </c>
      <c r="M373" t="s">
        <v>336</v>
      </c>
      <c r="N373" s="1" t="s">
        <v>336</v>
      </c>
      <c r="O373" s="1" t="s">
        <v>245</v>
      </c>
      <c r="P373" t="s">
        <v>245</v>
      </c>
      <c r="Q373" s="9" t="s">
        <v>45</v>
      </c>
      <c r="R373" s="82" t="s">
        <v>45</v>
      </c>
      <c r="S373" s="44" t="s">
        <v>168</v>
      </c>
      <c r="T373" s="3" t="s">
        <v>61</v>
      </c>
      <c r="U373" s="2" t="s">
        <v>29</v>
      </c>
      <c r="V373" s="3" t="s">
        <v>29</v>
      </c>
      <c r="W373" s="11" t="s">
        <v>143</v>
      </c>
      <c r="X373" s="3" t="s">
        <v>143</v>
      </c>
      <c r="Y373" s="77" t="s">
        <v>48</v>
      </c>
      <c r="Z373" s="84" t="s">
        <v>428</v>
      </c>
      <c r="AA373" s="89" t="s">
        <v>28</v>
      </c>
      <c r="AB373" s="90" t="str">
        <f>HYPERLINK(CONCATENATE("https://www.ejacket.nsf.gov/ej/showProposal.do?ID=",SUBSTITUTE(SplitQueryTableRecent[[#This Row],[prop_id]],CHAR(160),"")),"eJ")</f>
        <v>eJ</v>
      </c>
      <c r="AC373" s="89" t="s">
        <v>428</v>
      </c>
      <c r="AD373" s="3" t="s">
        <v>428</v>
      </c>
      <c r="AE373" s="91">
        <v>2014</v>
      </c>
      <c r="AF373" s="13" t="s">
        <v>43</v>
      </c>
      <c r="AG373" s="13">
        <v>167125</v>
      </c>
      <c r="AH373" s="45">
        <v>450000</v>
      </c>
      <c r="AI373" s="44" t="s">
        <v>431</v>
      </c>
      <c r="AJ373" s="2" t="s">
        <v>170</v>
      </c>
      <c r="AK373" s="46" t="s">
        <v>212</v>
      </c>
      <c r="AL373" s="55" t="s">
        <v>430</v>
      </c>
      <c r="AM373" s="45" t="s">
        <v>430</v>
      </c>
      <c r="AN373" s="56" t="s">
        <v>142</v>
      </c>
      <c r="AO373" s="23" t="s">
        <v>146</v>
      </c>
      <c r="AP373" s="11"/>
      <c r="AQ373" s="88" t="s">
        <v>429</v>
      </c>
      <c r="AR373" s="57" t="s">
        <v>161</v>
      </c>
      <c r="AS373" s="46">
        <v>41656.575335648151</v>
      </c>
      <c r="AT373" s="3">
        <f t="shared" si="5"/>
        <v>290</v>
      </c>
    </row>
    <row r="374" spans="8:46" x14ac:dyDescent="0.4">
      <c r="H374" s="59">
        <v>42992.404930555553</v>
      </c>
      <c r="I374" s="43">
        <v>41477.614583333336</v>
      </c>
      <c r="J374" s="42">
        <v>41652.644444444442</v>
      </c>
      <c r="K374" s="81" t="s">
        <v>49</v>
      </c>
      <c r="L374" t="s">
        <v>49</v>
      </c>
      <c r="M374" t="s">
        <v>336</v>
      </c>
      <c r="N374" s="1" t="s">
        <v>336</v>
      </c>
      <c r="O374" s="1" t="s">
        <v>245</v>
      </c>
      <c r="P374" t="s">
        <v>245</v>
      </c>
      <c r="Q374" s="9" t="s">
        <v>45</v>
      </c>
      <c r="R374" s="82" t="s">
        <v>45</v>
      </c>
      <c r="S374" s="44" t="s">
        <v>168</v>
      </c>
      <c r="T374" s="3" t="s">
        <v>61</v>
      </c>
      <c r="U374" s="2" t="s">
        <v>29</v>
      </c>
      <c r="V374" s="3" t="s">
        <v>29</v>
      </c>
      <c r="W374" s="11" t="s">
        <v>143</v>
      </c>
      <c r="X374" s="3" t="s">
        <v>143</v>
      </c>
      <c r="Y374" s="77" t="s">
        <v>48</v>
      </c>
      <c r="Z374" s="84" t="s">
        <v>428</v>
      </c>
      <c r="AA374" s="89" t="s">
        <v>28</v>
      </c>
      <c r="AB374" s="90" t="str">
        <f>HYPERLINK(CONCATENATE("https://www.ejacket.nsf.gov/ej/showProposal.do?ID=",SUBSTITUTE(SplitQueryTableRecent[[#This Row],[prop_id]],CHAR(160),"")),"eJ")</f>
        <v>eJ</v>
      </c>
      <c r="AC374" s="89" t="s">
        <v>428</v>
      </c>
      <c r="AD374" s="3" t="s">
        <v>428</v>
      </c>
      <c r="AE374" s="91">
        <v>2018</v>
      </c>
      <c r="AF374" s="13" t="s">
        <v>43</v>
      </c>
      <c r="AG374" s="13">
        <v>99375</v>
      </c>
      <c r="AH374" s="45">
        <v>450000</v>
      </c>
      <c r="AI374" s="44" t="s">
        <v>431</v>
      </c>
      <c r="AJ374" s="2" t="s">
        <v>170</v>
      </c>
      <c r="AK374" s="46" t="s">
        <v>212</v>
      </c>
      <c r="AL374" s="55" t="s">
        <v>430</v>
      </c>
      <c r="AM374" s="45" t="s">
        <v>430</v>
      </c>
      <c r="AN374" s="56" t="s">
        <v>142</v>
      </c>
      <c r="AO374" s="23" t="s">
        <v>146</v>
      </c>
      <c r="AP374" s="11" t="s">
        <v>205</v>
      </c>
      <c r="AQ374" s="88" t="s">
        <v>429</v>
      </c>
      <c r="AR374" s="57" t="s">
        <v>161</v>
      </c>
      <c r="AS374" s="46">
        <v>41656.575335648151</v>
      </c>
      <c r="AT374" s="3">
        <f t="shared" si="5"/>
        <v>290</v>
      </c>
    </row>
    <row r="375" spans="8:46" x14ac:dyDescent="0.4">
      <c r="H375" s="59">
        <v>42992.404930555553</v>
      </c>
      <c r="I375" s="43">
        <v>41477.614583333336</v>
      </c>
      <c r="J375" s="42">
        <v>41652.644444444442</v>
      </c>
      <c r="K375" s="81" t="s">
        <v>49</v>
      </c>
      <c r="L375" t="s">
        <v>49</v>
      </c>
      <c r="M375" t="s">
        <v>336</v>
      </c>
      <c r="N375" s="1" t="s">
        <v>336</v>
      </c>
      <c r="O375" s="1" t="s">
        <v>245</v>
      </c>
      <c r="P375" t="s">
        <v>245</v>
      </c>
      <c r="Q375" s="9" t="s">
        <v>45</v>
      </c>
      <c r="R375" s="82" t="s">
        <v>45</v>
      </c>
      <c r="S375" s="44" t="s">
        <v>168</v>
      </c>
      <c r="T375" s="3" t="s">
        <v>61</v>
      </c>
      <c r="U375" s="2" t="s">
        <v>29</v>
      </c>
      <c r="V375" s="3" t="s">
        <v>29</v>
      </c>
      <c r="W375" s="11" t="s">
        <v>143</v>
      </c>
      <c r="X375" s="3" t="s">
        <v>143</v>
      </c>
      <c r="Y375" s="77" t="s">
        <v>48</v>
      </c>
      <c r="Z375" s="84" t="s">
        <v>428</v>
      </c>
      <c r="AA375" s="89" t="s">
        <v>28</v>
      </c>
      <c r="AB375" s="90" t="str">
        <f>HYPERLINK(CONCATENATE("https://www.ejacket.nsf.gov/ej/showProposal.do?ID=",SUBSTITUTE(SplitQueryTableRecent[[#This Row],[prop_id]],CHAR(160),"")),"eJ")</f>
        <v>eJ</v>
      </c>
      <c r="AC375" s="89" t="s">
        <v>428</v>
      </c>
      <c r="AD375" s="3" t="s">
        <v>428</v>
      </c>
      <c r="AE375" s="91">
        <v>2016</v>
      </c>
      <c r="AF375" s="13" t="s">
        <v>44</v>
      </c>
      <c r="AG375" s="13">
        <v>183500</v>
      </c>
      <c r="AH375" s="45">
        <v>450000</v>
      </c>
      <c r="AI375" s="44" t="s">
        <v>431</v>
      </c>
      <c r="AJ375" s="2" t="s">
        <v>170</v>
      </c>
      <c r="AK375" s="46" t="s">
        <v>212</v>
      </c>
      <c r="AL375" s="55" t="s">
        <v>430</v>
      </c>
      <c r="AM375" s="45" t="s">
        <v>430</v>
      </c>
      <c r="AN375" s="56" t="s">
        <v>142</v>
      </c>
      <c r="AO375" s="23" t="s">
        <v>146</v>
      </c>
      <c r="AP375" s="11" t="s">
        <v>172</v>
      </c>
      <c r="AQ375" s="88" t="s">
        <v>429</v>
      </c>
      <c r="AR375" s="57" t="s">
        <v>1504</v>
      </c>
      <c r="AS375" s="46">
        <v>42485.580497685187</v>
      </c>
      <c r="AT375" s="3">
        <f t="shared" si="5"/>
        <v>290</v>
      </c>
    </row>
    <row r="376" spans="8:46" x14ac:dyDescent="0.4">
      <c r="H376" s="59">
        <v>42992.404930555553</v>
      </c>
      <c r="I376" s="43">
        <v>41477.690972222219</v>
      </c>
      <c r="J376" s="42">
        <v>41652.652199074073</v>
      </c>
      <c r="K376" s="81" t="s">
        <v>49</v>
      </c>
      <c r="L376" t="s">
        <v>49</v>
      </c>
      <c r="M376" t="s">
        <v>336</v>
      </c>
      <c r="N376" s="1" t="s">
        <v>336</v>
      </c>
      <c r="O376" s="1" t="s">
        <v>245</v>
      </c>
      <c r="P376" t="s">
        <v>245</v>
      </c>
      <c r="Q376" s="9" t="s">
        <v>45</v>
      </c>
      <c r="R376" s="82" t="s">
        <v>45</v>
      </c>
      <c r="S376" s="44" t="s">
        <v>168</v>
      </c>
      <c r="T376" s="3" t="s">
        <v>61</v>
      </c>
      <c r="U376" s="2" t="s">
        <v>29</v>
      </c>
      <c r="V376" s="3" t="s">
        <v>29</v>
      </c>
      <c r="W376" s="11" t="s">
        <v>143</v>
      </c>
      <c r="X376" s="3" t="s">
        <v>143</v>
      </c>
      <c r="Y376" s="77" t="s">
        <v>48</v>
      </c>
      <c r="Z376" s="84" t="s">
        <v>432</v>
      </c>
      <c r="AA376" s="89" t="s">
        <v>28</v>
      </c>
      <c r="AB376" s="90" t="str">
        <f>HYPERLINK(CONCATENATE("https://www.ejacket.nsf.gov/ej/showProposal.do?ID=",SUBSTITUTE(SplitQueryTableRecent[[#This Row],[prop_id]],CHAR(160),"")),"eJ")</f>
        <v>eJ</v>
      </c>
      <c r="AC376" s="89" t="s">
        <v>432</v>
      </c>
      <c r="AD376" s="3" t="s">
        <v>432</v>
      </c>
      <c r="AE376" s="91">
        <v>2014</v>
      </c>
      <c r="AF376" s="13" t="s">
        <v>43</v>
      </c>
      <c r="AG376" s="13">
        <v>166815</v>
      </c>
      <c r="AH376" s="45">
        <v>595893</v>
      </c>
      <c r="AI376" s="44" t="s">
        <v>434</v>
      </c>
      <c r="AJ376" s="2" t="s">
        <v>435</v>
      </c>
      <c r="AK376" s="46" t="s">
        <v>313</v>
      </c>
      <c r="AL376" s="55" t="s">
        <v>430</v>
      </c>
      <c r="AM376" s="45" t="s">
        <v>430</v>
      </c>
      <c r="AN376" s="56" t="s">
        <v>142</v>
      </c>
      <c r="AO376" s="23" t="s">
        <v>146</v>
      </c>
      <c r="AP376" s="11"/>
      <c r="AQ376" s="88" t="s">
        <v>433</v>
      </c>
      <c r="AR376" s="57" t="s">
        <v>164</v>
      </c>
      <c r="AS376" s="46">
        <v>41666.49417824074</v>
      </c>
      <c r="AT376" s="3">
        <f t="shared" si="5"/>
        <v>291</v>
      </c>
    </row>
    <row r="377" spans="8:46" x14ac:dyDescent="0.4">
      <c r="H377" s="59">
        <v>42992.404930555553</v>
      </c>
      <c r="I377" s="43">
        <v>41477.690972222219</v>
      </c>
      <c r="J377" s="42">
        <v>41652.652199074073</v>
      </c>
      <c r="K377" s="81" t="s">
        <v>49</v>
      </c>
      <c r="L377" t="s">
        <v>49</v>
      </c>
      <c r="M377" t="s">
        <v>336</v>
      </c>
      <c r="N377" s="1" t="s">
        <v>336</v>
      </c>
      <c r="O377" s="1" t="s">
        <v>245</v>
      </c>
      <c r="P377" t="s">
        <v>245</v>
      </c>
      <c r="Q377" s="9" t="s">
        <v>45</v>
      </c>
      <c r="R377" s="82" t="s">
        <v>45</v>
      </c>
      <c r="S377" s="44" t="s">
        <v>168</v>
      </c>
      <c r="T377" s="3" t="s">
        <v>61</v>
      </c>
      <c r="U377" s="2" t="s">
        <v>29</v>
      </c>
      <c r="V377" s="3" t="s">
        <v>29</v>
      </c>
      <c r="W377" s="11" t="s">
        <v>143</v>
      </c>
      <c r="X377" s="3" t="s">
        <v>143</v>
      </c>
      <c r="Y377" s="77" t="s">
        <v>48</v>
      </c>
      <c r="Z377" s="84" t="s">
        <v>432</v>
      </c>
      <c r="AA377" s="89" t="s">
        <v>28</v>
      </c>
      <c r="AB377" s="90" t="str">
        <f>HYPERLINK(CONCATENATE("https://www.ejacket.nsf.gov/ej/showProposal.do?ID=",SUBSTITUTE(SplitQueryTableRecent[[#This Row],[prop_id]],CHAR(160),"")),"eJ")</f>
        <v>eJ</v>
      </c>
      <c r="AC377" s="89" t="s">
        <v>432</v>
      </c>
      <c r="AD377" s="3" t="s">
        <v>432</v>
      </c>
      <c r="AE377" s="91">
        <v>2018</v>
      </c>
      <c r="AF377" s="13" t="s">
        <v>44</v>
      </c>
      <c r="AG377" s="13">
        <v>97678</v>
      </c>
      <c r="AH377" s="45">
        <v>595893</v>
      </c>
      <c r="AI377" s="44" t="s">
        <v>434</v>
      </c>
      <c r="AJ377" s="2" t="s">
        <v>435</v>
      </c>
      <c r="AK377" s="46" t="s">
        <v>313</v>
      </c>
      <c r="AL377" s="55" t="s">
        <v>430</v>
      </c>
      <c r="AM377" s="45" t="s">
        <v>430</v>
      </c>
      <c r="AN377" s="56" t="s">
        <v>142</v>
      </c>
      <c r="AO377" s="23" t="s">
        <v>146</v>
      </c>
      <c r="AP377" s="11" t="s">
        <v>205</v>
      </c>
      <c r="AQ377" s="88" t="s">
        <v>433</v>
      </c>
      <c r="AR377" s="57" t="s">
        <v>40</v>
      </c>
      <c r="AS377" s="46">
        <v>42409.431284722225</v>
      </c>
      <c r="AT377" s="3">
        <f t="shared" si="5"/>
        <v>291</v>
      </c>
    </row>
    <row r="378" spans="8:46" x14ac:dyDescent="0.4">
      <c r="H378" s="59">
        <v>42992.404930555553</v>
      </c>
      <c r="I378" s="43">
        <v>41477.690972222219</v>
      </c>
      <c r="J378" s="42">
        <v>41652.652199074073</v>
      </c>
      <c r="K378" s="81" t="s">
        <v>49</v>
      </c>
      <c r="L378" t="s">
        <v>49</v>
      </c>
      <c r="M378" t="s">
        <v>336</v>
      </c>
      <c r="N378" s="1" t="s">
        <v>336</v>
      </c>
      <c r="O378" s="1" t="s">
        <v>245</v>
      </c>
      <c r="P378" t="s">
        <v>245</v>
      </c>
      <c r="Q378" s="9" t="s">
        <v>45</v>
      </c>
      <c r="R378" s="82" t="s">
        <v>45</v>
      </c>
      <c r="S378" s="44" t="s">
        <v>168</v>
      </c>
      <c r="T378" s="3" t="s">
        <v>61</v>
      </c>
      <c r="U378" s="2" t="s">
        <v>29</v>
      </c>
      <c r="V378" s="3" t="s">
        <v>29</v>
      </c>
      <c r="W378" s="11" t="s">
        <v>143</v>
      </c>
      <c r="X378" s="3" t="s">
        <v>143</v>
      </c>
      <c r="Y378" s="77" t="s">
        <v>48</v>
      </c>
      <c r="Z378" s="84" t="s">
        <v>432</v>
      </c>
      <c r="AA378" s="89" t="s">
        <v>28</v>
      </c>
      <c r="AB378" s="90" t="str">
        <f>HYPERLINK(CONCATENATE("https://www.ejacket.nsf.gov/ej/showProposal.do?ID=",SUBSTITUTE(SplitQueryTableRecent[[#This Row],[prop_id]],CHAR(160),"")),"eJ")</f>
        <v>eJ</v>
      </c>
      <c r="AC378" s="89" t="s">
        <v>432</v>
      </c>
      <c r="AD378" s="3" t="s">
        <v>432</v>
      </c>
      <c r="AE378" s="91">
        <v>2016</v>
      </c>
      <c r="AF378" s="13" t="s">
        <v>57</v>
      </c>
      <c r="AG378" s="13">
        <v>185507</v>
      </c>
      <c r="AH378" s="45">
        <v>595893</v>
      </c>
      <c r="AI378" s="44" t="s">
        <v>434</v>
      </c>
      <c r="AJ378" s="2" t="s">
        <v>435</v>
      </c>
      <c r="AK378" s="46" t="s">
        <v>313</v>
      </c>
      <c r="AL378" s="55" t="s">
        <v>430</v>
      </c>
      <c r="AM378" s="45" t="s">
        <v>430</v>
      </c>
      <c r="AN378" s="56" t="s">
        <v>142</v>
      </c>
      <c r="AO378" s="23" t="s">
        <v>146</v>
      </c>
      <c r="AP378" s="11" t="s">
        <v>172</v>
      </c>
      <c r="AQ378" s="88" t="s">
        <v>433</v>
      </c>
      <c r="AR378" s="57" t="s">
        <v>40</v>
      </c>
      <c r="AS378" s="46">
        <v>42409.431284722225</v>
      </c>
      <c r="AT378" s="3">
        <f t="shared" si="5"/>
        <v>291</v>
      </c>
    </row>
    <row r="379" spans="8:46" x14ac:dyDescent="0.4">
      <c r="H379" s="59">
        <v>42992.404930555553</v>
      </c>
      <c r="I379" s="43">
        <v>41953.780555555553</v>
      </c>
      <c r="J379" s="42">
        <v>42144.644004629627</v>
      </c>
      <c r="K379" s="81" t="s">
        <v>49</v>
      </c>
      <c r="L379" t="s">
        <v>49</v>
      </c>
      <c r="M379" t="s">
        <v>336</v>
      </c>
      <c r="N379" s="1" t="s">
        <v>336</v>
      </c>
      <c r="O379" s="1" t="s">
        <v>245</v>
      </c>
      <c r="P379" t="s">
        <v>245</v>
      </c>
      <c r="Q379" s="9" t="s">
        <v>45</v>
      </c>
      <c r="R379" s="82" t="s">
        <v>45</v>
      </c>
      <c r="S379" s="44" t="s">
        <v>184</v>
      </c>
      <c r="T379" s="3" t="s">
        <v>61</v>
      </c>
      <c r="U379" s="2" t="s">
        <v>29</v>
      </c>
      <c r="V379" s="3" t="s">
        <v>29</v>
      </c>
      <c r="W379" s="11" t="s">
        <v>143</v>
      </c>
      <c r="X379" s="3" t="s">
        <v>143</v>
      </c>
      <c r="Y379" s="77" t="s">
        <v>48</v>
      </c>
      <c r="Z379" s="84" t="s">
        <v>1560</v>
      </c>
      <c r="AA379" s="89" t="s">
        <v>174</v>
      </c>
      <c r="AB379" s="90" t="str">
        <f>HYPERLINK(CONCATENATE("https://www.ejacket.nsf.gov/ej/showProposal.do?ID=",SUBSTITUTE(SplitQueryTableRecent[[#This Row],[prop_id]],CHAR(160),"")),"eJ")</f>
        <v>eJ</v>
      </c>
      <c r="AC379" s="89" t="s">
        <v>1560</v>
      </c>
      <c r="AD379" s="3" t="s">
        <v>1560</v>
      </c>
      <c r="AE379" s="91">
        <v>2015</v>
      </c>
      <c r="AF379" s="13" t="s">
        <v>43</v>
      </c>
      <c r="AG379" s="13">
        <v>366566</v>
      </c>
      <c r="AH379" s="45">
        <v>800000</v>
      </c>
      <c r="AI379" s="44" t="s">
        <v>441</v>
      </c>
      <c r="AJ379" s="2" t="s">
        <v>442</v>
      </c>
      <c r="AK379" s="46" t="s">
        <v>1717</v>
      </c>
      <c r="AL379" s="55" t="s">
        <v>353</v>
      </c>
      <c r="AM379" s="45" t="s">
        <v>353</v>
      </c>
      <c r="AN379" s="56" t="s">
        <v>142</v>
      </c>
      <c r="AO379" s="23" t="s">
        <v>146</v>
      </c>
      <c r="AP379" s="11"/>
      <c r="AQ379" s="88" t="s">
        <v>1561</v>
      </c>
      <c r="AR379" s="57" t="s">
        <v>164</v>
      </c>
      <c r="AS379" s="46">
        <v>42166.452118055553</v>
      </c>
      <c r="AT379" s="3">
        <f t="shared" si="5"/>
        <v>292</v>
      </c>
    </row>
    <row r="380" spans="8:46" x14ac:dyDescent="0.4">
      <c r="H380" s="59">
        <v>42992.404930555553</v>
      </c>
      <c r="I380" s="43">
        <v>41953.780555555553</v>
      </c>
      <c r="J380" s="42">
        <v>42144.644004629627</v>
      </c>
      <c r="K380" s="81" t="s">
        <v>49</v>
      </c>
      <c r="L380" t="s">
        <v>49</v>
      </c>
      <c r="M380" t="s">
        <v>336</v>
      </c>
      <c r="N380" s="1" t="s">
        <v>336</v>
      </c>
      <c r="O380" s="1" t="s">
        <v>245</v>
      </c>
      <c r="P380" t="s">
        <v>245</v>
      </c>
      <c r="Q380" s="9" t="s">
        <v>45</v>
      </c>
      <c r="R380" s="82" t="s">
        <v>45</v>
      </c>
      <c r="S380" s="44" t="s">
        <v>184</v>
      </c>
      <c r="T380" s="3" t="s">
        <v>61</v>
      </c>
      <c r="U380" s="2" t="s">
        <v>29</v>
      </c>
      <c r="V380" s="3" t="s">
        <v>29</v>
      </c>
      <c r="W380" s="11" t="s">
        <v>143</v>
      </c>
      <c r="X380" s="3" t="s">
        <v>143</v>
      </c>
      <c r="Y380" s="77" t="s">
        <v>48</v>
      </c>
      <c r="Z380" s="84" t="s">
        <v>1560</v>
      </c>
      <c r="AA380" s="89" t="s">
        <v>174</v>
      </c>
      <c r="AB380" s="90" t="str">
        <f>HYPERLINK(CONCATENATE("https://www.ejacket.nsf.gov/ej/showProposal.do?ID=",SUBSTITUTE(SplitQueryTableRecent[[#This Row],[prop_id]],CHAR(160),"")),"eJ")</f>
        <v>eJ</v>
      </c>
      <c r="AC380" s="89" t="s">
        <v>1560</v>
      </c>
      <c r="AD380" s="3" t="s">
        <v>1560</v>
      </c>
      <c r="AE380" s="91">
        <v>2017</v>
      </c>
      <c r="AF380" s="13" t="s">
        <v>43</v>
      </c>
      <c r="AG380" s="13">
        <v>300434</v>
      </c>
      <c r="AH380" s="45">
        <v>800000</v>
      </c>
      <c r="AI380" s="44" t="s">
        <v>441</v>
      </c>
      <c r="AJ380" s="2" t="s">
        <v>442</v>
      </c>
      <c r="AK380" s="46" t="s">
        <v>1717</v>
      </c>
      <c r="AL380" s="55" t="s">
        <v>353</v>
      </c>
      <c r="AM380" s="45" t="s">
        <v>353</v>
      </c>
      <c r="AN380" s="56" t="s">
        <v>142</v>
      </c>
      <c r="AO380" s="23" t="s">
        <v>146</v>
      </c>
      <c r="AP380" s="11" t="s">
        <v>172</v>
      </c>
      <c r="AQ380" s="88" t="s">
        <v>1561</v>
      </c>
      <c r="AR380" s="57" t="s">
        <v>1504</v>
      </c>
      <c r="AS380" s="46">
        <v>42898.419872685183</v>
      </c>
      <c r="AT380" s="3">
        <f t="shared" si="5"/>
        <v>292</v>
      </c>
    </row>
    <row r="381" spans="8:46" x14ac:dyDescent="0.4">
      <c r="H381" s="59">
        <v>42992.404930555553</v>
      </c>
      <c r="I381" s="43">
        <v>42662.743055555555</v>
      </c>
      <c r="J381" s="42">
        <v>42814.461562500001</v>
      </c>
      <c r="K381" s="81" t="s">
        <v>49</v>
      </c>
      <c r="L381" t="s">
        <v>49</v>
      </c>
      <c r="M381" t="s">
        <v>336</v>
      </c>
      <c r="N381" s="1" t="s">
        <v>336</v>
      </c>
      <c r="O381" s="1" t="s">
        <v>230</v>
      </c>
      <c r="P381" t="s">
        <v>230</v>
      </c>
      <c r="Q381" s="9" t="s">
        <v>45</v>
      </c>
      <c r="R381" s="82" t="s">
        <v>45</v>
      </c>
      <c r="S381" s="44" t="s">
        <v>192</v>
      </c>
      <c r="T381" s="3" t="s">
        <v>61</v>
      </c>
      <c r="U381" s="2" t="s">
        <v>29</v>
      </c>
      <c r="V381" s="3" t="s">
        <v>29</v>
      </c>
      <c r="W381" s="11" t="s">
        <v>143</v>
      </c>
      <c r="X381" s="3" t="s">
        <v>143</v>
      </c>
      <c r="Y381" s="77" t="s">
        <v>48</v>
      </c>
      <c r="Z381" s="84" t="s">
        <v>439</v>
      </c>
      <c r="AA381" s="89" t="s">
        <v>62</v>
      </c>
      <c r="AB381" s="90" t="str">
        <f>HYPERLINK(CONCATENATE("https://www.ejacket.nsf.gov/ej/showProposal.do?ID=",SUBSTITUTE(SplitQueryTableRecent[[#This Row],[prop_id]],CHAR(160),"")),"eJ")</f>
        <v>eJ</v>
      </c>
      <c r="AC381" s="89" t="s">
        <v>438</v>
      </c>
      <c r="AD381" s="3" t="s">
        <v>438</v>
      </c>
      <c r="AE381" s="91">
        <v>2017</v>
      </c>
      <c r="AF381" s="13" t="s">
        <v>43</v>
      </c>
      <c r="AG381" s="13">
        <v>218271</v>
      </c>
      <c r="AH381" s="45">
        <v>450000</v>
      </c>
      <c r="AI381" s="44" t="s">
        <v>441</v>
      </c>
      <c r="AJ381" s="2" t="s">
        <v>442</v>
      </c>
      <c r="AK381" s="46" t="s">
        <v>1717</v>
      </c>
      <c r="AL381" s="55" t="s">
        <v>353</v>
      </c>
      <c r="AM381" s="45" t="s">
        <v>353</v>
      </c>
      <c r="AN381" s="56" t="s">
        <v>142</v>
      </c>
      <c r="AO381" s="23" t="s">
        <v>146</v>
      </c>
      <c r="AP381" s="11"/>
      <c r="AQ381" s="88" t="s">
        <v>440</v>
      </c>
      <c r="AR381" s="57" t="s">
        <v>188</v>
      </c>
      <c r="AS381" s="46">
        <v>42852.660902777781</v>
      </c>
      <c r="AT381" s="3">
        <f t="shared" si="5"/>
        <v>293</v>
      </c>
    </row>
    <row r="382" spans="8:46" x14ac:dyDescent="0.4">
      <c r="H382" s="59">
        <v>42992.404930555553</v>
      </c>
      <c r="I382" s="43">
        <v>42662.743055555555</v>
      </c>
      <c r="J382" s="42">
        <v>42814.461562500001</v>
      </c>
      <c r="K382" s="81" t="s">
        <v>49</v>
      </c>
      <c r="L382" t="s">
        <v>49</v>
      </c>
      <c r="M382" t="s">
        <v>336</v>
      </c>
      <c r="N382" s="1" t="s">
        <v>336</v>
      </c>
      <c r="O382" s="1" t="s">
        <v>230</v>
      </c>
      <c r="P382" t="s">
        <v>230</v>
      </c>
      <c r="Q382" s="9" t="s">
        <v>45</v>
      </c>
      <c r="R382" s="82" t="s">
        <v>45</v>
      </c>
      <c r="S382" s="44" t="s">
        <v>192</v>
      </c>
      <c r="T382" s="3" t="s">
        <v>61</v>
      </c>
      <c r="U382" s="2" t="s">
        <v>29</v>
      </c>
      <c r="V382" s="3" t="s">
        <v>29</v>
      </c>
      <c r="W382" s="11" t="s">
        <v>143</v>
      </c>
      <c r="X382" s="3" t="s">
        <v>143</v>
      </c>
      <c r="Y382" s="77" t="s">
        <v>48</v>
      </c>
      <c r="Z382" s="84" t="s">
        <v>439</v>
      </c>
      <c r="AA382" s="89" t="s">
        <v>62</v>
      </c>
      <c r="AB382" s="90" t="str">
        <f>HYPERLINK(CONCATENATE("https://www.ejacket.nsf.gov/ej/showProposal.do?ID=",SUBSTITUTE(SplitQueryTableRecent[[#This Row],[prop_id]],CHAR(160),"")),"eJ")</f>
        <v>eJ</v>
      </c>
      <c r="AC382" s="89" t="s">
        <v>438</v>
      </c>
      <c r="AD382" s="3" t="s">
        <v>438</v>
      </c>
      <c r="AE382" s="91">
        <v>2018</v>
      </c>
      <c r="AF382" s="13" t="s">
        <v>43</v>
      </c>
      <c r="AG382" s="13">
        <v>130196</v>
      </c>
      <c r="AH382" s="45">
        <v>450000</v>
      </c>
      <c r="AI382" s="44" t="s">
        <v>441</v>
      </c>
      <c r="AJ382" s="2" t="s">
        <v>442</v>
      </c>
      <c r="AK382" s="46" t="s">
        <v>1717</v>
      </c>
      <c r="AL382" s="55" t="s">
        <v>353</v>
      </c>
      <c r="AM382" s="45" t="s">
        <v>353</v>
      </c>
      <c r="AN382" s="56" t="s">
        <v>142</v>
      </c>
      <c r="AO382" s="23" t="s">
        <v>146</v>
      </c>
      <c r="AP382" s="11" t="s">
        <v>205</v>
      </c>
      <c r="AQ382" s="88" t="s">
        <v>440</v>
      </c>
      <c r="AR382" s="57" t="s">
        <v>188</v>
      </c>
      <c r="AS382" s="46">
        <v>42852.660902777781</v>
      </c>
      <c r="AT382" s="3">
        <f t="shared" si="5"/>
        <v>293</v>
      </c>
    </row>
    <row r="383" spans="8:46" x14ac:dyDescent="0.4">
      <c r="H383" s="59">
        <v>42992.404930555553</v>
      </c>
      <c r="I383" s="43">
        <v>42662.743055555555</v>
      </c>
      <c r="J383" s="42">
        <v>42814.461562500001</v>
      </c>
      <c r="K383" s="81" t="s">
        <v>49</v>
      </c>
      <c r="L383" t="s">
        <v>49</v>
      </c>
      <c r="M383" t="s">
        <v>336</v>
      </c>
      <c r="N383" s="1" t="s">
        <v>336</v>
      </c>
      <c r="O383" s="1" t="s">
        <v>230</v>
      </c>
      <c r="P383" t="s">
        <v>230</v>
      </c>
      <c r="Q383" s="9" t="s">
        <v>45</v>
      </c>
      <c r="R383" s="82" t="s">
        <v>45</v>
      </c>
      <c r="S383" s="44" t="s">
        <v>192</v>
      </c>
      <c r="T383" s="3" t="s">
        <v>61</v>
      </c>
      <c r="U383" s="2" t="s">
        <v>29</v>
      </c>
      <c r="V383" s="3" t="s">
        <v>29</v>
      </c>
      <c r="W383" s="11" t="s">
        <v>143</v>
      </c>
      <c r="X383" s="3" t="s">
        <v>143</v>
      </c>
      <c r="Y383" s="77" t="s">
        <v>48</v>
      </c>
      <c r="Z383" s="84" t="s">
        <v>439</v>
      </c>
      <c r="AA383" s="89" t="s">
        <v>62</v>
      </c>
      <c r="AB383" s="90" t="str">
        <f>HYPERLINK(CONCATENATE("https://www.ejacket.nsf.gov/ej/showProposal.do?ID=",SUBSTITUTE(SplitQueryTableRecent[[#This Row],[prop_id]],CHAR(160),"")),"eJ")</f>
        <v>eJ</v>
      </c>
      <c r="AC383" s="89" t="s">
        <v>438</v>
      </c>
      <c r="AD383" s="3" t="s">
        <v>438</v>
      </c>
      <c r="AE383" s="91">
        <v>2019</v>
      </c>
      <c r="AF383" s="13" t="s">
        <v>43</v>
      </c>
      <c r="AG383" s="13">
        <v>44411</v>
      </c>
      <c r="AH383" s="45">
        <v>450000</v>
      </c>
      <c r="AI383" s="44" t="s">
        <v>441</v>
      </c>
      <c r="AJ383" s="2" t="s">
        <v>442</v>
      </c>
      <c r="AK383" s="46" t="s">
        <v>1717</v>
      </c>
      <c r="AL383" s="55" t="s">
        <v>353</v>
      </c>
      <c r="AM383" s="45" t="s">
        <v>353</v>
      </c>
      <c r="AN383" s="56" t="s">
        <v>142</v>
      </c>
      <c r="AO383" s="23" t="s">
        <v>146</v>
      </c>
      <c r="AP383" s="11" t="s">
        <v>205</v>
      </c>
      <c r="AQ383" s="88" t="s">
        <v>440</v>
      </c>
      <c r="AR383" s="57" t="s">
        <v>188</v>
      </c>
      <c r="AS383" s="46">
        <v>42852.660902777781</v>
      </c>
      <c r="AT383" s="3">
        <f t="shared" si="5"/>
        <v>293</v>
      </c>
    </row>
    <row r="384" spans="8:46" x14ac:dyDescent="0.4">
      <c r="H384" s="59">
        <v>42992.404930555553</v>
      </c>
      <c r="I384" s="43">
        <v>42662.743055555555</v>
      </c>
      <c r="J384" s="42">
        <v>42814.461562500001</v>
      </c>
      <c r="K384" s="81" t="s">
        <v>49</v>
      </c>
      <c r="L384" t="s">
        <v>49</v>
      </c>
      <c r="M384" t="s">
        <v>336</v>
      </c>
      <c r="N384" s="1" t="s">
        <v>336</v>
      </c>
      <c r="O384" s="1" t="s">
        <v>230</v>
      </c>
      <c r="P384" t="s">
        <v>230</v>
      </c>
      <c r="Q384" s="9" t="s">
        <v>45</v>
      </c>
      <c r="R384" s="82" t="s">
        <v>45</v>
      </c>
      <c r="S384" s="44" t="s">
        <v>192</v>
      </c>
      <c r="T384" s="3" t="s">
        <v>61</v>
      </c>
      <c r="U384" s="2" t="s">
        <v>29</v>
      </c>
      <c r="V384" s="3" t="s">
        <v>29</v>
      </c>
      <c r="W384" s="11" t="s">
        <v>143</v>
      </c>
      <c r="X384" s="3" t="s">
        <v>143</v>
      </c>
      <c r="Y384" s="77" t="s">
        <v>48</v>
      </c>
      <c r="Z384" s="84" t="s">
        <v>439</v>
      </c>
      <c r="AA384" s="89" t="s">
        <v>62</v>
      </c>
      <c r="AB384" s="90" t="str">
        <f>HYPERLINK(CONCATENATE("https://www.ejacket.nsf.gov/ej/showProposal.do?ID=",SUBSTITUTE(SplitQueryTableRecent[[#This Row],[prop_id]],CHAR(160),"")),"eJ")</f>
        <v>eJ</v>
      </c>
      <c r="AC384" s="89" t="s">
        <v>438</v>
      </c>
      <c r="AD384" s="3" t="s">
        <v>438</v>
      </c>
      <c r="AE384" s="91">
        <v>2020</v>
      </c>
      <c r="AF384" s="13" t="s">
        <v>43</v>
      </c>
      <c r="AG384" s="13">
        <v>57122</v>
      </c>
      <c r="AH384" s="45">
        <v>450000</v>
      </c>
      <c r="AI384" s="44" t="s">
        <v>441</v>
      </c>
      <c r="AJ384" s="2" t="s">
        <v>442</v>
      </c>
      <c r="AK384" s="46" t="s">
        <v>1717</v>
      </c>
      <c r="AL384" s="55" t="s">
        <v>353</v>
      </c>
      <c r="AM384" s="45" t="s">
        <v>353</v>
      </c>
      <c r="AN384" s="56" t="s">
        <v>142</v>
      </c>
      <c r="AO384" s="23" t="s">
        <v>146</v>
      </c>
      <c r="AP384" s="11" t="s">
        <v>205</v>
      </c>
      <c r="AQ384" s="88" t="s">
        <v>440</v>
      </c>
      <c r="AR384" s="57" t="s">
        <v>188</v>
      </c>
      <c r="AS384" s="46">
        <v>42852.660902777781</v>
      </c>
      <c r="AT384" s="3">
        <f t="shared" si="5"/>
        <v>293</v>
      </c>
    </row>
    <row r="385" spans="8:46" x14ac:dyDescent="0.4">
      <c r="H385" s="59">
        <v>42992.404930555553</v>
      </c>
      <c r="I385" s="43">
        <v>41191.634027777778</v>
      </c>
      <c r="J385" s="42">
        <v>41422.760648148149</v>
      </c>
      <c r="K385" s="81" t="s">
        <v>49</v>
      </c>
      <c r="L385" t="s">
        <v>49</v>
      </c>
      <c r="M385" t="s">
        <v>336</v>
      </c>
      <c r="N385" s="1" t="s">
        <v>336</v>
      </c>
      <c r="O385" s="1" t="s">
        <v>337</v>
      </c>
      <c r="P385" t="s">
        <v>337</v>
      </c>
      <c r="Q385" s="9" t="s">
        <v>45</v>
      </c>
      <c r="R385" s="82" t="s">
        <v>45</v>
      </c>
      <c r="S385" s="44" t="s">
        <v>165</v>
      </c>
      <c r="T385" s="3" t="s">
        <v>61</v>
      </c>
      <c r="U385" s="2" t="s">
        <v>29</v>
      </c>
      <c r="V385" s="3" t="s">
        <v>29</v>
      </c>
      <c r="W385" s="11" t="s">
        <v>143</v>
      </c>
      <c r="X385" s="3" t="s">
        <v>143</v>
      </c>
      <c r="Y385" s="77" t="s">
        <v>48</v>
      </c>
      <c r="Z385" s="84" t="s">
        <v>1541</v>
      </c>
      <c r="AA385" s="89" t="s">
        <v>174</v>
      </c>
      <c r="AB385" s="90" t="str">
        <f>HYPERLINK(CONCATENATE("https://www.ejacket.nsf.gov/ej/showProposal.do?ID=",SUBSTITUTE(SplitQueryTableRecent[[#This Row],[prop_id]],CHAR(160),"")),"eJ")</f>
        <v>eJ</v>
      </c>
      <c r="AC385" s="89" t="s">
        <v>1541</v>
      </c>
      <c r="AD385" s="3" t="s">
        <v>1541</v>
      </c>
      <c r="AE385" s="91">
        <v>2015</v>
      </c>
      <c r="AF385" s="13" t="s">
        <v>43</v>
      </c>
      <c r="AG385" s="13">
        <v>334407</v>
      </c>
      <c r="AH385" s="45">
        <v>800000</v>
      </c>
      <c r="AI385" s="44" t="s">
        <v>1196</v>
      </c>
      <c r="AJ385" s="2" t="s">
        <v>1197</v>
      </c>
      <c r="AK385" s="46" t="s">
        <v>1720</v>
      </c>
      <c r="AL385" s="55" t="s">
        <v>341</v>
      </c>
      <c r="AM385" s="45" t="s">
        <v>341</v>
      </c>
      <c r="AN385" s="56" t="s">
        <v>142</v>
      </c>
      <c r="AO385" s="23" t="s">
        <v>146</v>
      </c>
      <c r="AP385" s="11" t="s">
        <v>172</v>
      </c>
      <c r="AQ385" s="88" t="s">
        <v>1562</v>
      </c>
      <c r="AR385" s="57" t="s">
        <v>1521</v>
      </c>
      <c r="AS385" s="46">
        <v>42158.470613425925</v>
      </c>
      <c r="AT385" s="3">
        <f t="shared" si="5"/>
        <v>294</v>
      </c>
    </row>
    <row r="386" spans="8:46" x14ac:dyDescent="0.4">
      <c r="H386" s="59">
        <v>42992.404930555553</v>
      </c>
      <c r="I386" s="43">
        <v>41950.388194444444</v>
      </c>
      <c r="J386" s="42">
        <v>42159.713090277779</v>
      </c>
      <c r="K386" s="81" t="s">
        <v>49</v>
      </c>
      <c r="L386" t="s">
        <v>49</v>
      </c>
      <c r="M386" t="s">
        <v>336</v>
      </c>
      <c r="N386" s="1" t="s">
        <v>336</v>
      </c>
      <c r="O386" s="1" t="s">
        <v>337</v>
      </c>
      <c r="P386" t="s">
        <v>337</v>
      </c>
      <c r="Q386" s="9" t="s">
        <v>45</v>
      </c>
      <c r="R386" s="82" t="s">
        <v>45</v>
      </c>
      <c r="S386" s="44" t="s">
        <v>184</v>
      </c>
      <c r="T386" s="3" t="s">
        <v>61</v>
      </c>
      <c r="U386" s="2" t="s">
        <v>29</v>
      </c>
      <c r="V386" s="3" t="s">
        <v>29</v>
      </c>
      <c r="W386" s="11" t="s">
        <v>143</v>
      </c>
      <c r="X386" s="3" t="s">
        <v>143</v>
      </c>
      <c r="Y386" s="77" t="s">
        <v>48</v>
      </c>
      <c r="Z386" s="84" t="s">
        <v>1519</v>
      </c>
      <c r="AA386" s="89" t="s">
        <v>62</v>
      </c>
      <c r="AB386" s="90" t="str">
        <f>HYPERLINK(CONCATENATE("https://www.ejacket.nsf.gov/ej/showProposal.do?ID=",SUBSTITUTE(SplitQueryTableRecent[[#This Row],[prop_id]],CHAR(160),"")),"eJ")</f>
        <v>eJ</v>
      </c>
      <c r="AC386" s="89" t="s">
        <v>1563</v>
      </c>
      <c r="AD386" s="3" t="s">
        <v>1563</v>
      </c>
      <c r="AE386" s="91">
        <v>2015</v>
      </c>
      <c r="AF386" s="13" t="s">
        <v>43</v>
      </c>
      <c r="AG386" s="13">
        <v>226694</v>
      </c>
      <c r="AH386" s="45">
        <v>500000</v>
      </c>
      <c r="AI386" s="44" t="s">
        <v>1564</v>
      </c>
      <c r="AJ386" s="2" t="s">
        <v>475</v>
      </c>
      <c r="AK386" s="46" t="s">
        <v>1714</v>
      </c>
      <c r="AL386" s="55" t="s">
        <v>341</v>
      </c>
      <c r="AM386" s="45" t="s">
        <v>341</v>
      </c>
      <c r="AN386" s="56" t="s">
        <v>142</v>
      </c>
      <c r="AO386" s="23" t="s">
        <v>146</v>
      </c>
      <c r="AP386" s="11"/>
      <c r="AQ386" s="88" t="s">
        <v>1520</v>
      </c>
      <c r="AR386" s="57" t="s">
        <v>164</v>
      </c>
      <c r="AS386" s="46">
        <v>42180.595092592594</v>
      </c>
      <c r="AT386" s="3">
        <f t="shared" si="5"/>
        <v>295</v>
      </c>
    </row>
    <row r="387" spans="8:46" x14ac:dyDescent="0.4">
      <c r="H387" s="59">
        <v>42992.404930555553</v>
      </c>
      <c r="I387" s="43">
        <v>42263.677777777775</v>
      </c>
      <c r="J387" s="42">
        <v>42535.697627314818</v>
      </c>
      <c r="K387" s="81" t="s">
        <v>49</v>
      </c>
      <c r="L387" t="s">
        <v>49</v>
      </c>
      <c r="M387" t="s">
        <v>336</v>
      </c>
      <c r="N387" s="1" t="s">
        <v>336</v>
      </c>
      <c r="O387" s="1" t="s">
        <v>337</v>
      </c>
      <c r="P387" t="s">
        <v>337</v>
      </c>
      <c r="Q387" s="9" t="s">
        <v>45</v>
      </c>
      <c r="R387" s="82" t="s">
        <v>45</v>
      </c>
      <c r="S387" s="44" t="s">
        <v>196</v>
      </c>
      <c r="T387" s="3" t="s">
        <v>61</v>
      </c>
      <c r="U387" s="2" t="s">
        <v>29</v>
      </c>
      <c r="V387" s="3" t="s">
        <v>29</v>
      </c>
      <c r="W387" s="11" t="s">
        <v>143</v>
      </c>
      <c r="X387" s="3" t="s">
        <v>143</v>
      </c>
      <c r="Y387" s="77" t="s">
        <v>48</v>
      </c>
      <c r="Z387" s="84" t="s">
        <v>444</v>
      </c>
      <c r="AA387" s="89" t="s">
        <v>62</v>
      </c>
      <c r="AB387" s="90" t="str">
        <f>HYPERLINK(CONCATENATE("https://www.ejacket.nsf.gov/ej/showProposal.do?ID=",SUBSTITUTE(SplitQueryTableRecent[[#This Row],[prop_id]],CHAR(160),"")),"eJ")</f>
        <v>eJ</v>
      </c>
      <c r="AC387" s="89" t="s">
        <v>443</v>
      </c>
      <c r="AD387" s="3" t="s">
        <v>443</v>
      </c>
      <c r="AE387" s="91">
        <v>2016</v>
      </c>
      <c r="AF387" s="13" t="s">
        <v>43</v>
      </c>
      <c r="AG387" s="13">
        <v>195367</v>
      </c>
      <c r="AH387" s="45">
        <v>399923</v>
      </c>
      <c r="AI387" s="44" t="s">
        <v>446</v>
      </c>
      <c r="AJ387" s="2" t="s">
        <v>447</v>
      </c>
      <c r="AK387" s="46" t="s">
        <v>282</v>
      </c>
      <c r="AL387" s="55" t="s">
        <v>389</v>
      </c>
      <c r="AM387" s="45" t="s">
        <v>389</v>
      </c>
      <c r="AN387" s="56" t="s">
        <v>142</v>
      </c>
      <c r="AO387" s="23" t="s">
        <v>146</v>
      </c>
      <c r="AP387" s="11"/>
      <c r="AQ387" s="88" t="s">
        <v>445</v>
      </c>
      <c r="AR387" s="57" t="s">
        <v>164</v>
      </c>
      <c r="AS387" s="46">
        <v>42558.578587962962</v>
      </c>
      <c r="AT387" s="3">
        <f t="shared" si="5"/>
        <v>296</v>
      </c>
    </row>
    <row r="388" spans="8:46" x14ac:dyDescent="0.4">
      <c r="H388" s="59">
        <v>42992.404930555553</v>
      </c>
      <c r="I388" s="43">
        <v>42263.677777777775</v>
      </c>
      <c r="J388" s="42">
        <v>42535.697627314818</v>
      </c>
      <c r="K388" s="81" t="s">
        <v>49</v>
      </c>
      <c r="L388" t="s">
        <v>49</v>
      </c>
      <c r="M388" t="s">
        <v>336</v>
      </c>
      <c r="N388" s="1" t="s">
        <v>336</v>
      </c>
      <c r="O388" s="1" t="s">
        <v>337</v>
      </c>
      <c r="P388" t="s">
        <v>337</v>
      </c>
      <c r="Q388" s="9" t="s">
        <v>45</v>
      </c>
      <c r="R388" s="82" t="s">
        <v>45</v>
      </c>
      <c r="S388" s="44" t="s">
        <v>196</v>
      </c>
      <c r="T388" s="3" t="s">
        <v>61</v>
      </c>
      <c r="U388" s="2" t="s">
        <v>29</v>
      </c>
      <c r="V388" s="3" t="s">
        <v>29</v>
      </c>
      <c r="W388" s="11" t="s">
        <v>143</v>
      </c>
      <c r="X388" s="3" t="s">
        <v>143</v>
      </c>
      <c r="Y388" s="77" t="s">
        <v>48</v>
      </c>
      <c r="Z388" s="84" t="s">
        <v>444</v>
      </c>
      <c r="AA388" s="89" t="s">
        <v>62</v>
      </c>
      <c r="AB388" s="90" t="str">
        <f>HYPERLINK(CONCATENATE("https://www.ejacket.nsf.gov/ej/showProposal.do?ID=",SUBSTITUTE(SplitQueryTableRecent[[#This Row],[prop_id]],CHAR(160),"")),"eJ")</f>
        <v>eJ</v>
      </c>
      <c r="AC388" s="89" t="s">
        <v>443</v>
      </c>
      <c r="AD388" s="3" t="s">
        <v>443</v>
      </c>
      <c r="AE388" s="91">
        <v>2018</v>
      </c>
      <c r="AF388" s="13" t="s">
        <v>43</v>
      </c>
      <c r="AG388" s="13">
        <v>204556</v>
      </c>
      <c r="AH388" s="45">
        <v>399923</v>
      </c>
      <c r="AI388" s="44" t="s">
        <v>446</v>
      </c>
      <c r="AJ388" s="2" t="s">
        <v>447</v>
      </c>
      <c r="AK388" s="46" t="s">
        <v>282</v>
      </c>
      <c r="AL388" s="55" t="s">
        <v>389</v>
      </c>
      <c r="AM388" s="45" t="s">
        <v>389</v>
      </c>
      <c r="AN388" s="56" t="s">
        <v>142</v>
      </c>
      <c r="AO388" s="23" t="s">
        <v>146</v>
      </c>
      <c r="AP388" s="11" t="s">
        <v>205</v>
      </c>
      <c r="AQ388" s="88" t="s">
        <v>445</v>
      </c>
      <c r="AR388" s="57" t="s">
        <v>164</v>
      </c>
      <c r="AS388" s="46">
        <v>42558.578587962962</v>
      </c>
      <c r="AT388" s="3">
        <f t="shared" si="5"/>
        <v>296</v>
      </c>
    </row>
    <row r="389" spans="8:46" x14ac:dyDescent="0.4">
      <c r="H389" s="59">
        <v>42992.404930555553</v>
      </c>
      <c r="I389" s="43">
        <v>41576.602083333331</v>
      </c>
      <c r="J389" s="42">
        <v>41789.593842592592</v>
      </c>
      <c r="K389" s="81" t="s">
        <v>49</v>
      </c>
      <c r="L389" t="s">
        <v>49</v>
      </c>
      <c r="M389" t="s">
        <v>336</v>
      </c>
      <c r="N389" s="1" t="s">
        <v>336</v>
      </c>
      <c r="O389" s="1" t="s">
        <v>337</v>
      </c>
      <c r="P389" t="s">
        <v>337</v>
      </c>
      <c r="Q389" s="9" t="s">
        <v>45</v>
      </c>
      <c r="R389" s="82" t="s">
        <v>45</v>
      </c>
      <c r="S389" s="44" t="s">
        <v>173</v>
      </c>
      <c r="T389" s="3" t="s">
        <v>61</v>
      </c>
      <c r="U389" s="2" t="s">
        <v>29</v>
      </c>
      <c r="V389" s="3" t="s">
        <v>29</v>
      </c>
      <c r="W389" s="11" t="s">
        <v>143</v>
      </c>
      <c r="X389" s="3" t="s">
        <v>143</v>
      </c>
      <c r="Y389" s="77" t="s">
        <v>48</v>
      </c>
      <c r="Z389" s="84" t="s">
        <v>1565</v>
      </c>
      <c r="AA389" s="89" t="s">
        <v>28</v>
      </c>
      <c r="AB389" s="90" t="str">
        <f>HYPERLINK(CONCATENATE("https://www.ejacket.nsf.gov/ej/showProposal.do?ID=",SUBSTITUTE(SplitQueryTableRecent[[#This Row],[prop_id]],CHAR(160),"")),"eJ")</f>
        <v>eJ</v>
      </c>
      <c r="AC389" s="89" t="s">
        <v>1565</v>
      </c>
      <c r="AD389" s="3" t="s">
        <v>1565</v>
      </c>
      <c r="AE389" s="91">
        <v>2014</v>
      </c>
      <c r="AF389" s="13" t="s">
        <v>43</v>
      </c>
      <c r="AG389" s="13">
        <v>509934</v>
      </c>
      <c r="AH389" s="45">
        <v>1200000</v>
      </c>
      <c r="AI389" s="44" t="s">
        <v>1567</v>
      </c>
      <c r="AJ389" s="2" t="s">
        <v>1568</v>
      </c>
      <c r="AK389" s="46" t="s">
        <v>412</v>
      </c>
      <c r="AL389" s="55" t="s">
        <v>341</v>
      </c>
      <c r="AM389" s="45" t="s">
        <v>559</v>
      </c>
      <c r="AN389" s="56" t="s">
        <v>142</v>
      </c>
      <c r="AO389" s="23" t="s">
        <v>146</v>
      </c>
      <c r="AP389" s="11"/>
      <c r="AQ389" s="88" t="s">
        <v>1566</v>
      </c>
      <c r="AR389" s="57" t="s">
        <v>164</v>
      </c>
      <c r="AS389" s="46">
        <v>41800.398460648146</v>
      </c>
      <c r="AT389" s="3">
        <f t="shared" si="5"/>
        <v>297</v>
      </c>
    </row>
    <row r="390" spans="8:46" x14ac:dyDescent="0.4">
      <c r="H390" s="59">
        <v>42992.404930555553</v>
      </c>
      <c r="I390" s="43">
        <v>41576.602083333331</v>
      </c>
      <c r="J390" s="42">
        <v>41789.593842592592</v>
      </c>
      <c r="K390" s="81" t="s">
        <v>49</v>
      </c>
      <c r="L390" t="s">
        <v>49</v>
      </c>
      <c r="M390" t="s">
        <v>336</v>
      </c>
      <c r="N390" s="1" t="s">
        <v>336</v>
      </c>
      <c r="O390" s="1" t="s">
        <v>337</v>
      </c>
      <c r="P390" t="s">
        <v>337</v>
      </c>
      <c r="Q390" s="9" t="s">
        <v>45</v>
      </c>
      <c r="R390" s="82" t="s">
        <v>45</v>
      </c>
      <c r="S390" s="44" t="s">
        <v>173</v>
      </c>
      <c r="T390" s="3" t="s">
        <v>61</v>
      </c>
      <c r="U390" s="2" t="s">
        <v>29</v>
      </c>
      <c r="V390" s="3" t="s">
        <v>29</v>
      </c>
      <c r="W390" s="11" t="s">
        <v>143</v>
      </c>
      <c r="X390" s="3" t="s">
        <v>143</v>
      </c>
      <c r="Y390" s="77" t="s">
        <v>48</v>
      </c>
      <c r="Z390" s="84" t="s">
        <v>1565</v>
      </c>
      <c r="AA390" s="89" t="s">
        <v>28</v>
      </c>
      <c r="AB390" s="90" t="str">
        <f>HYPERLINK(CONCATENATE("https://www.ejacket.nsf.gov/ej/showProposal.do?ID=",SUBSTITUTE(SplitQueryTableRecent[[#This Row],[prop_id]],CHAR(160),"")),"eJ")</f>
        <v>eJ</v>
      </c>
      <c r="AC390" s="89" t="s">
        <v>1565</v>
      </c>
      <c r="AD390" s="3" t="s">
        <v>1565</v>
      </c>
      <c r="AE390" s="91">
        <v>2015</v>
      </c>
      <c r="AF390" s="13" t="s">
        <v>43</v>
      </c>
      <c r="AG390" s="13">
        <v>341258</v>
      </c>
      <c r="AH390" s="45">
        <v>1200000</v>
      </c>
      <c r="AI390" s="44" t="s">
        <v>1567</v>
      </c>
      <c r="AJ390" s="2" t="s">
        <v>1568</v>
      </c>
      <c r="AK390" s="46" t="s">
        <v>412</v>
      </c>
      <c r="AL390" s="55" t="s">
        <v>341</v>
      </c>
      <c r="AM390" s="45" t="s">
        <v>559</v>
      </c>
      <c r="AN390" s="56" t="s">
        <v>142</v>
      </c>
      <c r="AO390" s="23" t="s">
        <v>146</v>
      </c>
      <c r="AP390" s="11" t="s">
        <v>172</v>
      </c>
      <c r="AQ390" s="88" t="s">
        <v>1566</v>
      </c>
      <c r="AR390" s="57" t="s">
        <v>1521</v>
      </c>
      <c r="AS390" s="46">
        <v>42214.450312499997</v>
      </c>
      <c r="AT390" s="3">
        <f t="shared" si="5"/>
        <v>297</v>
      </c>
    </row>
    <row r="391" spans="8:46" x14ac:dyDescent="0.4">
      <c r="H391" s="59">
        <v>42992.404930555553</v>
      </c>
      <c r="I391" s="43">
        <v>41576.602083333331</v>
      </c>
      <c r="J391" s="42">
        <v>41789.593842592592</v>
      </c>
      <c r="K391" s="81" t="s">
        <v>49</v>
      </c>
      <c r="L391" t="s">
        <v>49</v>
      </c>
      <c r="M391" t="s">
        <v>336</v>
      </c>
      <c r="N391" s="1" t="s">
        <v>336</v>
      </c>
      <c r="O391" s="1" t="s">
        <v>337</v>
      </c>
      <c r="P391" t="s">
        <v>337</v>
      </c>
      <c r="Q391" s="9" t="s">
        <v>45</v>
      </c>
      <c r="R391" s="82" t="s">
        <v>45</v>
      </c>
      <c r="S391" s="44" t="s">
        <v>173</v>
      </c>
      <c r="T391" s="3" t="s">
        <v>61</v>
      </c>
      <c r="U391" s="2" t="s">
        <v>29</v>
      </c>
      <c r="V391" s="3" t="s">
        <v>29</v>
      </c>
      <c r="W391" s="11" t="s">
        <v>143</v>
      </c>
      <c r="X391" s="3" t="s">
        <v>143</v>
      </c>
      <c r="Y391" s="77" t="s">
        <v>48</v>
      </c>
      <c r="Z391" s="84" t="s">
        <v>1565</v>
      </c>
      <c r="AA391" s="89" t="s">
        <v>28</v>
      </c>
      <c r="AB391" s="90" t="str">
        <f>HYPERLINK(CONCATENATE("https://www.ejacket.nsf.gov/ej/showProposal.do?ID=",SUBSTITUTE(SplitQueryTableRecent[[#This Row],[prop_id]],CHAR(160),"")),"eJ")</f>
        <v>eJ</v>
      </c>
      <c r="AC391" s="89" t="s">
        <v>1565</v>
      </c>
      <c r="AD391" s="3" t="s">
        <v>1565</v>
      </c>
      <c r="AE391" s="91">
        <v>2016</v>
      </c>
      <c r="AF391" s="13" t="s">
        <v>43</v>
      </c>
      <c r="AG391" s="13">
        <v>348808</v>
      </c>
      <c r="AH391" s="45">
        <v>1200000</v>
      </c>
      <c r="AI391" s="44" t="s">
        <v>1567</v>
      </c>
      <c r="AJ391" s="2" t="s">
        <v>1568</v>
      </c>
      <c r="AK391" s="46" t="s">
        <v>412</v>
      </c>
      <c r="AL391" s="55" t="s">
        <v>341</v>
      </c>
      <c r="AM391" s="45" t="s">
        <v>559</v>
      </c>
      <c r="AN391" s="56" t="s">
        <v>142</v>
      </c>
      <c r="AO391" s="23" t="s">
        <v>146</v>
      </c>
      <c r="AP391" s="11" t="s">
        <v>172</v>
      </c>
      <c r="AQ391" s="88" t="s">
        <v>1566</v>
      </c>
      <c r="AR391" s="57" t="s">
        <v>1521</v>
      </c>
      <c r="AS391" s="46">
        <v>42598.477511574078</v>
      </c>
      <c r="AT391" s="3">
        <f t="shared" si="5"/>
        <v>297</v>
      </c>
    </row>
    <row r="392" spans="8:46" x14ac:dyDescent="0.4">
      <c r="H392" s="59">
        <v>42992.404930555553</v>
      </c>
      <c r="I392" s="43">
        <v>41841.550694444442</v>
      </c>
      <c r="J392" s="42">
        <v>42046.429479166669</v>
      </c>
      <c r="K392" s="81" t="s">
        <v>49</v>
      </c>
      <c r="L392" t="s">
        <v>49</v>
      </c>
      <c r="M392" t="s">
        <v>336</v>
      </c>
      <c r="N392" s="1" t="s">
        <v>336</v>
      </c>
      <c r="O392" s="1" t="s">
        <v>337</v>
      </c>
      <c r="P392" t="s">
        <v>337</v>
      </c>
      <c r="Q392" s="9" t="s">
        <v>45</v>
      </c>
      <c r="R392" s="82" t="s">
        <v>45</v>
      </c>
      <c r="S392" s="44" t="s">
        <v>190</v>
      </c>
      <c r="T392" s="3" t="s">
        <v>61</v>
      </c>
      <c r="U392" s="2" t="s">
        <v>29</v>
      </c>
      <c r="V392" s="3" t="s">
        <v>29</v>
      </c>
      <c r="W392" s="11" t="s">
        <v>143</v>
      </c>
      <c r="X392" s="3" t="s">
        <v>143</v>
      </c>
      <c r="Y392" s="77" t="s">
        <v>48</v>
      </c>
      <c r="Z392" s="84" t="s">
        <v>448</v>
      </c>
      <c r="AA392" s="89" t="s">
        <v>28</v>
      </c>
      <c r="AB392" s="90" t="str">
        <f>HYPERLINK(CONCATENATE("https://www.ejacket.nsf.gov/ej/showProposal.do?ID=",SUBSTITUTE(SplitQueryTableRecent[[#This Row],[prop_id]],CHAR(160),"")),"eJ")</f>
        <v>eJ</v>
      </c>
      <c r="AC392" s="89" t="s">
        <v>448</v>
      </c>
      <c r="AD392" s="3" t="s">
        <v>448</v>
      </c>
      <c r="AE392" s="91">
        <v>2015</v>
      </c>
      <c r="AF392" s="13" t="s">
        <v>43</v>
      </c>
      <c r="AG392" s="13">
        <v>97746</v>
      </c>
      <c r="AH392" s="45">
        <v>619353</v>
      </c>
      <c r="AI392" s="44" t="s">
        <v>450</v>
      </c>
      <c r="AJ392" s="2" t="s">
        <v>451</v>
      </c>
      <c r="AK392" s="46" t="s">
        <v>1720</v>
      </c>
      <c r="AL392" s="55" t="s">
        <v>426</v>
      </c>
      <c r="AM392" s="45" t="s">
        <v>426</v>
      </c>
      <c r="AN392" s="56" t="s">
        <v>142</v>
      </c>
      <c r="AO392" s="23" t="s">
        <v>146</v>
      </c>
      <c r="AP392" s="11"/>
      <c r="AQ392" s="88" t="s">
        <v>449</v>
      </c>
      <c r="AR392" s="57" t="s">
        <v>164</v>
      </c>
      <c r="AS392" s="46">
        <v>42066.421412037038</v>
      </c>
      <c r="AT392" s="3">
        <f t="shared" si="5"/>
        <v>298</v>
      </c>
    </row>
    <row r="393" spans="8:46" x14ac:dyDescent="0.4">
      <c r="H393" s="59">
        <v>42992.404930555553</v>
      </c>
      <c r="I393" s="43">
        <v>41841.550694444442</v>
      </c>
      <c r="J393" s="42">
        <v>42046.429479166669</v>
      </c>
      <c r="K393" s="81" t="s">
        <v>49</v>
      </c>
      <c r="L393" t="s">
        <v>49</v>
      </c>
      <c r="M393" t="s">
        <v>336</v>
      </c>
      <c r="N393" s="1" t="s">
        <v>336</v>
      </c>
      <c r="O393" s="1" t="s">
        <v>337</v>
      </c>
      <c r="P393" t="s">
        <v>337</v>
      </c>
      <c r="Q393" s="9" t="s">
        <v>45</v>
      </c>
      <c r="R393" s="82" t="s">
        <v>45</v>
      </c>
      <c r="S393" s="44" t="s">
        <v>190</v>
      </c>
      <c r="T393" s="3" t="s">
        <v>61</v>
      </c>
      <c r="U393" s="2" t="s">
        <v>29</v>
      </c>
      <c r="V393" s="3" t="s">
        <v>29</v>
      </c>
      <c r="W393" s="11" t="s">
        <v>143</v>
      </c>
      <c r="X393" s="3" t="s">
        <v>143</v>
      </c>
      <c r="Y393" s="77" t="s">
        <v>48</v>
      </c>
      <c r="Z393" s="84" t="s">
        <v>448</v>
      </c>
      <c r="AA393" s="89" t="s">
        <v>28</v>
      </c>
      <c r="AB393" s="90" t="str">
        <f>HYPERLINK(CONCATENATE("https://www.ejacket.nsf.gov/ej/showProposal.do?ID=",SUBSTITUTE(SplitQueryTableRecent[[#This Row],[prop_id]],CHAR(160),"")),"eJ")</f>
        <v>eJ</v>
      </c>
      <c r="AC393" s="89" t="s">
        <v>448</v>
      </c>
      <c r="AD393" s="3" t="s">
        <v>448</v>
      </c>
      <c r="AE393" s="91">
        <v>2016</v>
      </c>
      <c r="AF393" s="13" t="s">
        <v>43</v>
      </c>
      <c r="AG393" s="13">
        <v>98306</v>
      </c>
      <c r="AH393" s="45">
        <v>619353</v>
      </c>
      <c r="AI393" s="44" t="s">
        <v>450</v>
      </c>
      <c r="AJ393" s="2" t="s">
        <v>451</v>
      </c>
      <c r="AK393" s="46" t="s">
        <v>1720</v>
      </c>
      <c r="AL393" s="55" t="s">
        <v>426</v>
      </c>
      <c r="AM393" s="45" t="s">
        <v>426</v>
      </c>
      <c r="AN393" s="56" t="s">
        <v>142</v>
      </c>
      <c r="AO393" s="23" t="s">
        <v>146</v>
      </c>
      <c r="AP393" s="11" t="s">
        <v>172</v>
      </c>
      <c r="AQ393" s="88" t="s">
        <v>449</v>
      </c>
      <c r="AR393" s="57" t="s">
        <v>1521</v>
      </c>
      <c r="AS393" s="46">
        <v>42579.506006944444</v>
      </c>
      <c r="AT393" s="3">
        <f t="shared" si="5"/>
        <v>298</v>
      </c>
    </row>
    <row r="394" spans="8:46" x14ac:dyDescent="0.4">
      <c r="H394" s="59">
        <v>42992.404930555553</v>
      </c>
      <c r="I394" s="43">
        <v>41841.550694444442</v>
      </c>
      <c r="J394" s="42">
        <v>42046.429479166669</v>
      </c>
      <c r="K394" s="81" t="s">
        <v>49</v>
      </c>
      <c r="L394" t="s">
        <v>49</v>
      </c>
      <c r="M394" t="s">
        <v>336</v>
      </c>
      <c r="N394" s="1" t="s">
        <v>336</v>
      </c>
      <c r="O394" s="1" t="s">
        <v>337</v>
      </c>
      <c r="P394" t="s">
        <v>337</v>
      </c>
      <c r="Q394" s="9" t="s">
        <v>45</v>
      </c>
      <c r="R394" s="82" t="s">
        <v>45</v>
      </c>
      <c r="S394" s="44" t="s">
        <v>190</v>
      </c>
      <c r="T394" s="3" t="s">
        <v>61</v>
      </c>
      <c r="U394" s="2" t="s">
        <v>29</v>
      </c>
      <c r="V394" s="3" t="s">
        <v>29</v>
      </c>
      <c r="W394" s="11" t="s">
        <v>143</v>
      </c>
      <c r="X394" s="3" t="s">
        <v>143</v>
      </c>
      <c r="Y394" s="77" t="s">
        <v>48</v>
      </c>
      <c r="Z394" s="84" t="s">
        <v>448</v>
      </c>
      <c r="AA394" s="89" t="s">
        <v>28</v>
      </c>
      <c r="AB394" s="90" t="str">
        <f>HYPERLINK(CONCATENATE("https://www.ejacket.nsf.gov/ej/showProposal.do?ID=",SUBSTITUTE(SplitQueryTableRecent[[#This Row],[prop_id]],CHAR(160),"")),"eJ")</f>
        <v>eJ</v>
      </c>
      <c r="AC394" s="89" t="s">
        <v>448</v>
      </c>
      <c r="AD394" s="3" t="s">
        <v>448</v>
      </c>
      <c r="AE394" s="91">
        <v>2017</v>
      </c>
      <c r="AF394" s="13" t="s">
        <v>43</v>
      </c>
      <c r="AG394" s="13">
        <v>100920</v>
      </c>
      <c r="AH394" s="45">
        <v>619353</v>
      </c>
      <c r="AI394" s="44" t="s">
        <v>450</v>
      </c>
      <c r="AJ394" s="2" t="s">
        <v>451</v>
      </c>
      <c r="AK394" s="46" t="s">
        <v>1720</v>
      </c>
      <c r="AL394" s="55" t="s">
        <v>426</v>
      </c>
      <c r="AM394" s="45" t="s">
        <v>426</v>
      </c>
      <c r="AN394" s="56" t="s">
        <v>142</v>
      </c>
      <c r="AO394" s="23" t="s">
        <v>146</v>
      </c>
      <c r="AP394" s="11" t="s">
        <v>172</v>
      </c>
      <c r="AQ394" s="88" t="s">
        <v>449</v>
      </c>
      <c r="AR394" s="57" t="s">
        <v>1521</v>
      </c>
      <c r="AS394" s="46">
        <v>42949.474687499998</v>
      </c>
      <c r="AT394" s="3">
        <f t="shared" si="5"/>
        <v>298</v>
      </c>
    </row>
    <row r="395" spans="8:46" x14ac:dyDescent="0.4">
      <c r="H395" s="59">
        <v>42992.404930555553</v>
      </c>
      <c r="I395" s="43">
        <v>41841.550694444442</v>
      </c>
      <c r="J395" s="42">
        <v>42046.429479166669</v>
      </c>
      <c r="K395" s="81" t="s">
        <v>49</v>
      </c>
      <c r="L395" t="s">
        <v>49</v>
      </c>
      <c r="M395" t="s">
        <v>336</v>
      </c>
      <c r="N395" s="1" t="s">
        <v>336</v>
      </c>
      <c r="O395" s="1" t="s">
        <v>337</v>
      </c>
      <c r="P395" t="s">
        <v>337</v>
      </c>
      <c r="Q395" s="9" t="s">
        <v>45</v>
      </c>
      <c r="R395" s="82" t="s">
        <v>45</v>
      </c>
      <c r="S395" s="44" t="s">
        <v>190</v>
      </c>
      <c r="T395" s="3" t="s">
        <v>61</v>
      </c>
      <c r="U395" s="2" t="s">
        <v>29</v>
      </c>
      <c r="V395" s="3" t="s">
        <v>29</v>
      </c>
      <c r="W395" s="11" t="s">
        <v>143</v>
      </c>
      <c r="X395" s="3" t="s">
        <v>143</v>
      </c>
      <c r="Y395" s="77" t="s">
        <v>48</v>
      </c>
      <c r="Z395" s="84" t="s">
        <v>448</v>
      </c>
      <c r="AA395" s="89" t="s">
        <v>28</v>
      </c>
      <c r="AB395" s="90" t="str">
        <f>HYPERLINK(CONCATENATE("https://www.ejacket.nsf.gov/ej/showProposal.do?ID=",SUBSTITUTE(SplitQueryTableRecent[[#This Row],[prop_id]],CHAR(160),"")),"eJ")</f>
        <v>eJ</v>
      </c>
      <c r="AC395" s="89" t="s">
        <v>448</v>
      </c>
      <c r="AD395" s="3" t="s">
        <v>448</v>
      </c>
      <c r="AE395" s="91">
        <v>2018</v>
      </c>
      <c r="AF395" s="13" t="s">
        <v>43</v>
      </c>
      <c r="AG395" s="13">
        <v>117553</v>
      </c>
      <c r="AH395" s="45">
        <v>619353</v>
      </c>
      <c r="AI395" s="44" t="s">
        <v>450</v>
      </c>
      <c r="AJ395" s="2" t="s">
        <v>451</v>
      </c>
      <c r="AK395" s="46" t="s">
        <v>1720</v>
      </c>
      <c r="AL395" s="55" t="s">
        <v>426</v>
      </c>
      <c r="AM395" s="45" t="s">
        <v>426</v>
      </c>
      <c r="AN395" s="56" t="s">
        <v>142</v>
      </c>
      <c r="AO395" s="23" t="s">
        <v>146</v>
      </c>
      <c r="AP395" s="11" t="s">
        <v>205</v>
      </c>
      <c r="AQ395" s="88" t="s">
        <v>449</v>
      </c>
      <c r="AR395" s="57" t="s">
        <v>164</v>
      </c>
      <c r="AS395" s="46">
        <v>42066.421412037038</v>
      </c>
      <c r="AT395" s="3">
        <f t="shared" si="5"/>
        <v>298</v>
      </c>
    </row>
    <row r="396" spans="8:46" x14ac:dyDescent="0.4">
      <c r="H396" s="59">
        <v>42992.404930555553</v>
      </c>
      <c r="I396" s="43">
        <v>41841.550694444442</v>
      </c>
      <c r="J396" s="42">
        <v>42046.429479166669</v>
      </c>
      <c r="K396" s="81" t="s">
        <v>49</v>
      </c>
      <c r="L396" t="s">
        <v>49</v>
      </c>
      <c r="M396" t="s">
        <v>336</v>
      </c>
      <c r="N396" s="1" t="s">
        <v>336</v>
      </c>
      <c r="O396" s="1" t="s">
        <v>337</v>
      </c>
      <c r="P396" t="s">
        <v>337</v>
      </c>
      <c r="Q396" s="9" t="s">
        <v>45</v>
      </c>
      <c r="R396" s="82" t="s">
        <v>45</v>
      </c>
      <c r="S396" s="44" t="s">
        <v>190</v>
      </c>
      <c r="T396" s="3" t="s">
        <v>61</v>
      </c>
      <c r="U396" s="2" t="s">
        <v>29</v>
      </c>
      <c r="V396" s="3" t="s">
        <v>29</v>
      </c>
      <c r="W396" s="11" t="s">
        <v>143</v>
      </c>
      <c r="X396" s="3" t="s">
        <v>143</v>
      </c>
      <c r="Y396" s="77" t="s">
        <v>48</v>
      </c>
      <c r="Z396" s="84" t="s">
        <v>448</v>
      </c>
      <c r="AA396" s="89" t="s">
        <v>28</v>
      </c>
      <c r="AB396" s="90" t="str">
        <f>HYPERLINK(CONCATENATE("https://www.ejacket.nsf.gov/ej/showProposal.do?ID=",SUBSTITUTE(SplitQueryTableRecent[[#This Row],[prop_id]],CHAR(160),"")),"eJ")</f>
        <v>eJ</v>
      </c>
      <c r="AC396" s="89" t="s">
        <v>448</v>
      </c>
      <c r="AD396" s="3" t="s">
        <v>448</v>
      </c>
      <c r="AE396" s="91">
        <v>2019</v>
      </c>
      <c r="AF396" s="13" t="s">
        <v>43</v>
      </c>
      <c r="AG396" s="13">
        <v>135338</v>
      </c>
      <c r="AH396" s="45">
        <v>619353</v>
      </c>
      <c r="AI396" s="44" t="s">
        <v>450</v>
      </c>
      <c r="AJ396" s="2" t="s">
        <v>451</v>
      </c>
      <c r="AK396" s="46" t="s">
        <v>1720</v>
      </c>
      <c r="AL396" s="55" t="s">
        <v>426</v>
      </c>
      <c r="AM396" s="45" t="s">
        <v>426</v>
      </c>
      <c r="AN396" s="56" t="s">
        <v>142</v>
      </c>
      <c r="AO396" s="23" t="s">
        <v>146</v>
      </c>
      <c r="AP396" s="11" t="s">
        <v>205</v>
      </c>
      <c r="AQ396" s="88" t="s">
        <v>449</v>
      </c>
      <c r="AR396" s="57" t="s">
        <v>164</v>
      </c>
      <c r="AS396" s="46">
        <v>42066.421412037038</v>
      </c>
      <c r="AT396" s="3">
        <f t="shared" si="5"/>
        <v>298</v>
      </c>
    </row>
    <row r="397" spans="8:46" x14ac:dyDescent="0.4">
      <c r="H397" s="59">
        <v>42992.404930555553</v>
      </c>
      <c r="I397" s="43">
        <v>42571.673611111109</v>
      </c>
      <c r="J397" s="42">
        <v>42789.648414351854</v>
      </c>
      <c r="K397" s="81" t="s">
        <v>222</v>
      </c>
      <c r="L397" t="s">
        <v>49</v>
      </c>
      <c r="M397" t="s">
        <v>945</v>
      </c>
      <c r="N397" s="1" t="s">
        <v>336</v>
      </c>
      <c r="O397" s="1" t="s">
        <v>637</v>
      </c>
      <c r="P397" t="s">
        <v>337</v>
      </c>
      <c r="Q397" s="9" t="s">
        <v>45</v>
      </c>
      <c r="R397" s="82" t="s">
        <v>45</v>
      </c>
      <c r="S397" s="44" t="s">
        <v>194</v>
      </c>
      <c r="T397" s="3" t="s">
        <v>61</v>
      </c>
      <c r="U397" s="2" t="s">
        <v>29</v>
      </c>
      <c r="V397" s="3" t="s">
        <v>29</v>
      </c>
      <c r="W397" s="11" t="s">
        <v>143</v>
      </c>
      <c r="X397" s="3" t="s">
        <v>143</v>
      </c>
      <c r="Y397" s="77" t="s">
        <v>548</v>
      </c>
      <c r="Z397" s="84" t="s">
        <v>1569</v>
      </c>
      <c r="AA397" s="89" t="s">
        <v>28</v>
      </c>
      <c r="AB397" s="90" t="str">
        <f>HYPERLINK(CONCATENATE("https://www.ejacket.nsf.gov/ej/showProposal.do?ID=",SUBSTITUTE(SplitQueryTableRecent[[#This Row],[prop_id]],CHAR(160),"")),"eJ")</f>
        <v>eJ</v>
      </c>
      <c r="AC397" s="89" t="s">
        <v>1569</v>
      </c>
      <c r="AD397" s="3" t="s">
        <v>1569</v>
      </c>
      <c r="AE397" s="91">
        <v>2017</v>
      </c>
      <c r="AF397" s="13" t="s">
        <v>43</v>
      </c>
      <c r="AG397" s="13">
        <v>274500</v>
      </c>
      <c r="AH397" s="45">
        <v>600000</v>
      </c>
      <c r="AI397" s="44" t="s">
        <v>1208</v>
      </c>
      <c r="AJ397" s="2" t="s">
        <v>310</v>
      </c>
      <c r="AK397" s="46" t="s">
        <v>1719</v>
      </c>
      <c r="AL397" s="55" t="s">
        <v>1571</v>
      </c>
      <c r="AM397" s="45" t="s">
        <v>1487</v>
      </c>
      <c r="AN397" s="56" t="s">
        <v>142</v>
      </c>
      <c r="AO397" s="23" t="s">
        <v>146</v>
      </c>
      <c r="AP397" s="11"/>
      <c r="AQ397" s="88" t="s">
        <v>1570</v>
      </c>
      <c r="AR397" s="57" t="s">
        <v>193</v>
      </c>
      <c r="AS397" s="46">
        <v>42804.639976851853</v>
      </c>
      <c r="AT397" s="3">
        <f t="shared" si="5"/>
        <v>299</v>
      </c>
    </row>
    <row r="398" spans="8:46" x14ac:dyDescent="0.4">
      <c r="H398" s="59">
        <v>42992.404930555553</v>
      </c>
      <c r="I398" s="43">
        <v>41477.476388888892</v>
      </c>
      <c r="J398" s="42">
        <v>41654.379155092596</v>
      </c>
      <c r="K398" s="81" t="s">
        <v>49</v>
      </c>
      <c r="L398" t="s">
        <v>49</v>
      </c>
      <c r="M398" t="s">
        <v>336</v>
      </c>
      <c r="N398" s="1" t="s">
        <v>336</v>
      </c>
      <c r="O398" s="1" t="s">
        <v>337</v>
      </c>
      <c r="P398" t="s">
        <v>337</v>
      </c>
      <c r="Q398" s="9" t="s">
        <v>45</v>
      </c>
      <c r="R398" s="82" t="s">
        <v>45</v>
      </c>
      <c r="S398" s="44" t="s">
        <v>168</v>
      </c>
      <c r="T398" s="3" t="s">
        <v>61</v>
      </c>
      <c r="U398" s="2" t="s">
        <v>29</v>
      </c>
      <c r="V398" s="3" t="s">
        <v>29</v>
      </c>
      <c r="W398" s="11" t="s">
        <v>143</v>
      </c>
      <c r="X398" s="3" t="s">
        <v>143</v>
      </c>
      <c r="Y398" s="77" t="s">
        <v>48</v>
      </c>
      <c r="Z398" s="84" t="s">
        <v>453</v>
      </c>
      <c r="AA398" s="89" t="s">
        <v>28</v>
      </c>
      <c r="AB398" s="90" t="str">
        <f>HYPERLINK(CONCATENATE("https://www.ejacket.nsf.gov/ej/showProposal.do?ID=",SUBSTITUTE(SplitQueryTableRecent[[#This Row],[prop_id]],CHAR(160),"")),"eJ")</f>
        <v>eJ</v>
      </c>
      <c r="AC398" s="89" t="s">
        <v>453</v>
      </c>
      <c r="AD398" s="3" t="s">
        <v>453</v>
      </c>
      <c r="AE398" s="91">
        <v>2014</v>
      </c>
      <c r="AF398" s="13" t="s">
        <v>43</v>
      </c>
      <c r="AG398" s="13">
        <v>167868</v>
      </c>
      <c r="AH398" s="45">
        <v>442542</v>
      </c>
      <c r="AI398" s="44" t="s">
        <v>455</v>
      </c>
      <c r="AJ398" s="2" t="s">
        <v>456</v>
      </c>
      <c r="AK398" s="46" t="s">
        <v>457</v>
      </c>
      <c r="AL398" s="55" t="s">
        <v>426</v>
      </c>
      <c r="AM398" s="45" t="s">
        <v>426</v>
      </c>
      <c r="AN398" s="56" t="s">
        <v>142</v>
      </c>
      <c r="AO398" s="23" t="s">
        <v>146</v>
      </c>
      <c r="AP398" s="11"/>
      <c r="AQ398" s="88" t="s">
        <v>454</v>
      </c>
      <c r="AR398" s="57" t="s">
        <v>161</v>
      </c>
      <c r="AS398" s="46">
        <v>41656.607245370367</v>
      </c>
      <c r="AT398" s="3">
        <f t="shared" si="5"/>
        <v>300</v>
      </c>
    </row>
    <row r="399" spans="8:46" x14ac:dyDescent="0.4">
      <c r="H399" s="59">
        <v>42992.404930555553</v>
      </c>
      <c r="I399" s="43">
        <v>41477.476388888892</v>
      </c>
      <c r="J399" s="42">
        <v>41654.379155092596</v>
      </c>
      <c r="K399" s="81" t="s">
        <v>49</v>
      </c>
      <c r="L399" t="s">
        <v>49</v>
      </c>
      <c r="M399" t="s">
        <v>336</v>
      </c>
      <c r="N399" s="1" t="s">
        <v>336</v>
      </c>
      <c r="O399" s="1" t="s">
        <v>337</v>
      </c>
      <c r="P399" t="s">
        <v>337</v>
      </c>
      <c r="Q399" s="9" t="s">
        <v>45</v>
      </c>
      <c r="R399" s="82" t="s">
        <v>45</v>
      </c>
      <c r="S399" s="44" t="s">
        <v>168</v>
      </c>
      <c r="T399" s="3" t="s">
        <v>61</v>
      </c>
      <c r="U399" s="2" t="s">
        <v>29</v>
      </c>
      <c r="V399" s="3" t="s">
        <v>29</v>
      </c>
      <c r="W399" s="11" t="s">
        <v>143</v>
      </c>
      <c r="X399" s="3" t="s">
        <v>143</v>
      </c>
      <c r="Y399" s="77" t="s">
        <v>48</v>
      </c>
      <c r="Z399" s="84" t="s">
        <v>453</v>
      </c>
      <c r="AA399" s="89" t="s">
        <v>28</v>
      </c>
      <c r="AB399" s="90" t="str">
        <f>HYPERLINK(CONCATENATE("https://www.ejacket.nsf.gov/ej/showProposal.do?ID=",SUBSTITUTE(SplitQueryTableRecent[[#This Row],[prop_id]],CHAR(160),"")),"eJ")</f>
        <v>eJ</v>
      </c>
      <c r="AC399" s="89" t="s">
        <v>453</v>
      </c>
      <c r="AD399" s="3" t="s">
        <v>453</v>
      </c>
      <c r="AE399" s="91">
        <v>2016</v>
      </c>
      <c r="AF399" s="13" t="s">
        <v>43</v>
      </c>
      <c r="AG399" s="13">
        <v>178791</v>
      </c>
      <c r="AH399" s="45">
        <v>442542</v>
      </c>
      <c r="AI399" s="44" t="s">
        <v>455</v>
      </c>
      <c r="AJ399" s="2" t="s">
        <v>456</v>
      </c>
      <c r="AK399" s="46" t="s">
        <v>457</v>
      </c>
      <c r="AL399" s="55" t="s">
        <v>426</v>
      </c>
      <c r="AM399" s="45" t="s">
        <v>426</v>
      </c>
      <c r="AN399" s="56" t="s">
        <v>142</v>
      </c>
      <c r="AO399" s="23" t="s">
        <v>146</v>
      </c>
      <c r="AP399" s="11" t="s">
        <v>172</v>
      </c>
      <c r="AQ399" s="88" t="s">
        <v>454</v>
      </c>
      <c r="AR399" s="57" t="s">
        <v>1521</v>
      </c>
      <c r="AS399" s="46">
        <v>42411.419305555559</v>
      </c>
      <c r="AT399" s="3">
        <f t="shared" si="5"/>
        <v>300</v>
      </c>
    </row>
    <row r="400" spans="8:46" x14ac:dyDescent="0.4">
      <c r="H400" s="59">
        <v>42992.404930555553</v>
      </c>
      <c r="I400" s="43">
        <v>41477.476388888892</v>
      </c>
      <c r="J400" s="42">
        <v>41654.379155092596</v>
      </c>
      <c r="K400" s="81" t="s">
        <v>49</v>
      </c>
      <c r="L400" t="s">
        <v>49</v>
      </c>
      <c r="M400" t="s">
        <v>336</v>
      </c>
      <c r="N400" s="1" t="s">
        <v>336</v>
      </c>
      <c r="O400" s="1" t="s">
        <v>337</v>
      </c>
      <c r="P400" t="s">
        <v>337</v>
      </c>
      <c r="Q400" s="9" t="s">
        <v>45</v>
      </c>
      <c r="R400" s="82" t="s">
        <v>45</v>
      </c>
      <c r="S400" s="44" t="s">
        <v>168</v>
      </c>
      <c r="T400" s="3" t="s">
        <v>61</v>
      </c>
      <c r="U400" s="2" t="s">
        <v>29</v>
      </c>
      <c r="V400" s="3" t="s">
        <v>29</v>
      </c>
      <c r="W400" s="11" t="s">
        <v>143</v>
      </c>
      <c r="X400" s="3" t="s">
        <v>143</v>
      </c>
      <c r="Y400" s="77" t="s">
        <v>48</v>
      </c>
      <c r="Z400" s="84" t="s">
        <v>453</v>
      </c>
      <c r="AA400" s="89" t="s">
        <v>28</v>
      </c>
      <c r="AB400" s="90" t="str">
        <f>HYPERLINK(CONCATENATE("https://www.ejacket.nsf.gov/ej/showProposal.do?ID=",SUBSTITUTE(SplitQueryTableRecent[[#This Row],[prop_id]],CHAR(160),"")),"eJ")</f>
        <v>eJ</v>
      </c>
      <c r="AC400" s="89" t="s">
        <v>453</v>
      </c>
      <c r="AD400" s="3" t="s">
        <v>453</v>
      </c>
      <c r="AE400" s="91">
        <v>2018</v>
      </c>
      <c r="AF400" s="13" t="s">
        <v>43</v>
      </c>
      <c r="AG400" s="13">
        <v>93883</v>
      </c>
      <c r="AH400" s="45">
        <v>442542</v>
      </c>
      <c r="AI400" s="44" t="s">
        <v>455</v>
      </c>
      <c r="AJ400" s="2" t="s">
        <v>456</v>
      </c>
      <c r="AK400" s="46" t="s">
        <v>457</v>
      </c>
      <c r="AL400" s="55" t="s">
        <v>426</v>
      </c>
      <c r="AM400" s="45" t="s">
        <v>426</v>
      </c>
      <c r="AN400" s="56" t="s">
        <v>142</v>
      </c>
      <c r="AO400" s="23" t="s">
        <v>146</v>
      </c>
      <c r="AP400" s="11" t="s">
        <v>205</v>
      </c>
      <c r="AQ400" s="88" t="s">
        <v>454</v>
      </c>
      <c r="AR400" s="57" t="s">
        <v>161</v>
      </c>
      <c r="AS400" s="46">
        <v>41656.607245370367</v>
      </c>
      <c r="AT400" s="3">
        <f t="shared" si="5"/>
        <v>300</v>
      </c>
    </row>
    <row r="401" spans="8:46" x14ac:dyDescent="0.4">
      <c r="H401" s="59">
        <v>42992.404930555553</v>
      </c>
      <c r="I401" s="43">
        <v>42206.572222222225</v>
      </c>
      <c r="J401" s="42">
        <v>42472.408634259256</v>
      </c>
      <c r="K401" s="81" t="s">
        <v>49</v>
      </c>
      <c r="L401" t="s">
        <v>49</v>
      </c>
      <c r="M401" t="s">
        <v>336</v>
      </c>
      <c r="N401" s="1" t="s">
        <v>336</v>
      </c>
      <c r="O401" s="1" t="s">
        <v>337</v>
      </c>
      <c r="P401" t="s">
        <v>337</v>
      </c>
      <c r="Q401" s="9" t="s">
        <v>45</v>
      </c>
      <c r="R401" s="82" t="s">
        <v>45</v>
      </c>
      <c r="S401" s="44" t="s">
        <v>194</v>
      </c>
      <c r="T401" s="3" t="s">
        <v>61</v>
      </c>
      <c r="U401" s="2" t="s">
        <v>29</v>
      </c>
      <c r="V401" s="3" t="s">
        <v>29</v>
      </c>
      <c r="W401" s="11" t="s">
        <v>143</v>
      </c>
      <c r="X401" s="3" t="s">
        <v>143</v>
      </c>
      <c r="Y401" s="77" t="s">
        <v>48</v>
      </c>
      <c r="Z401" s="84" t="s">
        <v>458</v>
      </c>
      <c r="AA401" s="89" t="s">
        <v>28</v>
      </c>
      <c r="AB401" s="90" t="str">
        <f>HYPERLINK(CONCATENATE("https://www.ejacket.nsf.gov/ej/showProposal.do?ID=",SUBSTITUTE(SplitQueryTableRecent[[#This Row],[prop_id]],CHAR(160),"")),"eJ")</f>
        <v>eJ</v>
      </c>
      <c r="AC401" s="89" t="s">
        <v>458</v>
      </c>
      <c r="AD401" s="3" t="s">
        <v>458</v>
      </c>
      <c r="AE401" s="91">
        <v>2016</v>
      </c>
      <c r="AF401" s="13" t="s">
        <v>43</v>
      </c>
      <c r="AG401" s="13">
        <v>199523</v>
      </c>
      <c r="AH401" s="45">
        <v>526157</v>
      </c>
      <c r="AI401" s="44" t="s">
        <v>460</v>
      </c>
      <c r="AJ401" s="2" t="s">
        <v>461</v>
      </c>
      <c r="AK401" s="46" t="s">
        <v>457</v>
      </c>
      <c r="AL401" s="55" t="s">
        <v>426</v>
      </c>
      <c r="AM401" s="45" t="s">
        <v>426</v>
      </c>
      <c r="AN401" s="56" t="s">
        <v>142</v>
      </c>
      <c r="AO401" s="23" t="s">
        <v>146</v>
      </c>
      <c r="AP401" s="11"/>
      <c r="AQ401" s="88" t="s">
        <v>459</v>
      </c>
      <c r="AR401" s="57" t="s">
        <v>164</v>
      </c>
      <c r="AS401" s="46">
        <v>42503.375034722223</v>
      </c>
      <c r="AT401" s="3">
        <f t="shared" si="5"/>
        <v>301</v>
      </c>
    </row>
    <row r="402" spans="8:46" x14ac:dyDescent="0.4">
      <c r="H402" s="59">
        <v>42992.404930555553</v>
      </c>
      <c r="I402" s="43">
        <v>42206.572222222225</v>
      </c>
      <c r="J402" s="42">
        <v>42472.408634259256</v>
      </c>
      <c r="K402" s="81" t="s">
        <v>49</v>
      </c>
      <c r="L402" t="s">
        <v>49</v>
      </c>
      <c r="M402" t="s">
        <v>336</v>
      </c>
      <c r="N402" s="1" t="s">
        <v>336</v>
      </c>
      <c r="O402" s="1" t="s">
        <v>337</v>
      </c>
      <c r="P402" t="s">
        <v>337</v>
      </c>
      <c r="Q402" s="9" t="s">
        <v>45</v>
      </c>
      <c r="R402" s="82" t="s">
        <v>45</v>
      </c>
      <c r="S402" s="44" t="s">
        <v>194</v>
      </c>
      <c r="T402" s="3" t="s">
        <v>61</v>
      </c>
      <c r="U402" s="2" t="s">
        <v>29</v>
      </c>
      <c r="V402" s="3" t="s">
        <v>29</v>
      </c>
      <c r="W402" s="11" t="s">
        <v>143</v>
      </c>
      <c r="X402" s="3" t="s">
        <v>143</v>
      </c>
      <c r="Y402" s="77" t="s">
        <v>48</v>
      </c>
      <c r="Z402" s="84" t="s">
        <v>458</v>
      </c>
      <c r="AA402" s="89" t="s">
        <v>28</v>
      </c>
      <c r="AB402" s="90" t="str">
        <f>HYPERLINK(CONCATENATE("https://www.ejacket.nsf.gov/ej/showProposal.do?ID=",SUBSTITUTE(SplitQueryTableRecent[[#This Row],[prop_id]],CHAR(160),"")),"eJ")</f>
        <v>eJ</v>
      </c>
      <c r="AC402" s="89" t="s">
        <v>458</v>
      </c>
      <c r="AD402" s="3" t="s">
        <v>458</v>
      </c>
      <c r="AE402" s="91">
        <v>2018</v>
      </c>
      <c r="AF402" s="13" t="s">
        <v>43</v>
      </c>
      <c r="AG402" s="13">
        <v>105088</v>
      </c>
      <c r="AH402" s="45">
        <v>526157</v>
      </c>
      <c r="AI402" s="44" t="s">
        <v>460</v>
      </c>
      <c r="AJ402" s="2" t="s">
        <v>461</v>
      </c>
      <c r="AK402" s="46" t="s">
        <v>457</v>
      </c>
      <c r="AL402" s="55" t="s">
        <v>426</v>
      </c>
      <c r="AM402" s="45" t="s">
        <v>426</v>
      </c>
      <c r="AN402" s="56" t="s">
        <v>142</v>
      </c>
      <c r="AO402" s="23" t="s">
        <v>146</v>
      </c>
      <c r="AP402" s="11" t="s">
        <v>205</v>
      </c>
      <c r="AQ402" s="88" t="s">
        <v>459</v>
      </c>
      <c r="AR402" s="57" t="s">
        <v>164</v>
      </c>
      <c r="AS402" s="46">
        <v>42503.375034722223</v>
      </c>
      <c r="AT402" s="3">
        <f t="shared" si="5"/>
        <v>301</v>
      </c>
    </row>
    <row r="403" spans="8:46" x14ac:dyDescent="0.4">
      <c r="H403" s="59">
        <v>42992.404930555553</v>
      </c>
      <c r="I403" s="43">
        <v>42206.572222222225</v>
      </c>
      <c r="J403" s="42">
        <v>42472.408634259256</v>
      </c>
      <c r="K403" s="81" t="s">
        <v>49</v>
      </c>
      <c r="L403" t="s">
        <v>49</v>
      </c>
      <c r="M403" t="s">
        <v>336</v>
      </c>
      <c r="N403" s="1" t="s">
        <v>336</v>
      </c>
      <c r="O403" s="1" t="s">
        <v>337</v>
      </c>
      <c r="P403" t="s">
        <v>337</v>
      </c>
      <c r="Q403" s="9" t="s">
        <v>45</v>
      </c>
      <c r="R403" s="82" t="s">
        <v>45</v>
      </c>
      <c r="S403" s="44" t="s">
        <v>194</v>
      </c>
      <c r="T403" s="3" t="s">
        <v>61</v>
      </c>
      <c r="U403" s="2" t="s">
        <v>29</v>
      </c>
      <c r="V403" s="3" t="s">
        <v>29</v>
      </c>
      <c r="W403" s="11" t="s">
        <v>143</v>
      </c>
      <c r="X403" s="3" t="s">
        <v>143</v>
      </c>
      <c r="Y403" s="77" t="s">
        <v>48</v>
      </c>
      <c r="Z403" s="84" t="s">
        <v>458</v>
      </c>
      <c r="AA403" s="89" t="s">
        <v>28</v>
      </c>
      <c r="AB403" s="90" t="str">
        <f>HYPERLINK(CONCATENATE("https://www.ejacket.nsf.gov/ej/showProposal.do?ID=",SUBSTITUTE(SplitQueryTableRecent[[#This Row],[prop_id]],CHAR(160),"")),"eJ")</f>
        <v>eJ</v>
      </c>
      <c r="AC403" s="89" t="s">
        <v>458</v>
      </c>
      <c r="AD403" s="3" t="s">
        <v>458</v>
      </c>
      <c r="AE403" s="91">
        <v>2019</v>
      </c>
      <c r="AF403" s="13" t="s">
        <v>43</v>
      </c>
      <c r="AG403" s="13">
        <v>108827</v>
      </c>
      <c r="AH403" s="45">
        <v>526157</v>
      </c>
      <c r="AI403" s="44" t="s">
        <v>460</v>
      </c>
      <c r="AJ403" s="2" t="s">
        <v>461</v>
      </c>
      <c r="AK403" s="46" t="s">
        <v>457</v>
      </c>
      <c r="AL403" s="55" t="s">
        <v>426</v>
      </c>
      <c r="AM403" s="45" t="s">
        <v>426</v>
      </c>
      <c r="AN403" s="56" t="s">
        <v>142</v>
      </c>
      <c r="AO403" s="23" t="s">
        <v>146</v>
      </c>
      <c r="AP403" s="11" t="s">
        <v>205</v>
      </c>
      <c r="AQ403" s="88" t="s">
        <v>459</v>
      </c>
      <c r="AR403" s="57" t="s">
        <v>164</v>
      </c>
      <c r="AS403" s="46">
        <v>42503.375034722223</v>
      </c>
      <c r="AT403" s="3">
        <f t="shared" si="5"/>
        <v>301</v>
      </c>
    </row>
    <row r="404" spans="8:46" x14ac:dyDescent="0.4">
      <c r="H404" s="59">
        <v>42992.404930555553</v>
      </c>
      <c r="I404" s="43">
        <v>42206.572222222225</v>
      </c>
      <c r="J404" s="42">
        <v>42472.408634259256</v>
      </c>
      <c r="K404" s="81" t="s">
        <v>49</v>
      </c>
      <c r="L404" t="s">
        <v>49</v>
      </c>
      <c r="M404" t="s">
        <v>336</v>
      </c>
      <c r="N404" s="1" t="s">
        <v>336</v>
      </c>
      <c r="O404" s="1" t="s">
        <v>337</v>
      </c>
      <c r="P404" t="s">
        <v>337</v>
      </c>
      <c r="Q404" s="9" t="s">
        <v>45</v>
      </c>
      <c r="R404" s="82" t="s">
        <v>45</v>
      </c>
      <c r="S404" s="44" t="s">
        <v>194</v>
      </c>
      <c r="T404" s="3" t="s">
        <v>61</v>
      </c>
      <c r="U404" s="2" t="s">
        <v>29</v>
      </c>
      <c r="V404" s="3" t="s">
        <v>29</v>
      </c>
      <c r="W404" s="11" t="s">
        <v>143</v>
      </c>
      <c r="X404" s="3" t="s">
        <v>143</v>
      </c>
      <c r="Y404" s="77" t="s">
        <v>48</v>
      </c>
      <c r="Z404" s="84" t="s">
        <v>458</v>
      </c>
      <c r="AA404" s="89" t="s">
        <v>28</v>
      </c>
      <c r="AB404" s="90" t="str">
        <f>HYPERLINK(CONCATENATE("https://www.ejacket.nsf.gov/ej/showProposal.do?ID=",SUBSTITUTE(SplitQueryTableRecent[[#This Row],[prop_id]],CHAR(160),"")),"eJ")</f>
        <v>eJ</v>
      </c>
      <c r="AC404" s="89" t="s">
        <v>458</v>
      </c>
      <c r="AD404" s="3" t="s">
        <v>458</v>
      </c>
      <c r="AE404" s="91">
        <v>2020</v>
      </c>
      <c r="AF404" s="13" t="s">
        <v>43</v>
      </c>
      <c r="AG404" s="13">
        <v>112719</v>
      </c>
      <c r="AH404" s="45">
        <v>526157</v>
      </c>
      <c r="AI404" s="44" t="s">
        <v>460</v>
      </c>
      <c r="AJ404" s="2" t="s">
        <v>461</v>
      </c>
      <c r="AK404" s="46" t="s">
        <v>457</v>
      </c>
      <c r="AL404" s="55" t="s">
        <v>426</v>
      </c>
      <c r="AM404" s="45" t="s">
        <v>426</v>
      </c>
      <c r="AN404" s="56" t="s">
        <v>142</v>
      </c>
      <c r="AO404" s="23" t="s">
        <v>146</v>
      </c>
      <c r="AP404" s="11" t="s">
        <v>205</v>
      </c>
      <c r="AQ404" s="88" t="s">
        <v>459</v>
      </c>
      <c r="AR404" s="57" t="s">
        <v>164</v>
      </c>
      <c r="AS404" s="46">
        <v>42503.375034722223</v>
      </c>
      <c r="AT404" s="3">
        <f t="shared" si="5"/>
        <v>301</v>
      </c>
    </row>
    <row r="405" spans="8:46" x14ac:dyDescent="0.4">
      <c r="H405" s="59">
        <v>42992.404930555553</v>
      </c>
      <c r="I405" s="43">
        <v>41191.693749999999</v>
      </c>
      <c r="J405" s="42">
        <v>41419.627638888887</v>
      </c>
      <c r="K405" s="81" t="s">
        <v>49</v>
      </c>
      <c r="L405" t="s">
        <v>49</v>
      </c>
      <c r="M405" t="s">
        <v>336</v>
      </c>
      <c r="N405" s="1" t="s">
        <v>336</v>
      </c>
      <c r="O405" s="1" t="s">
        <v>245</v>
      </c>
      <c r="P405" t="s">
        <v>245</v>
      </c>
      <c r="Q405" s="9" t="s">
        <v>45</v>
      </c>
      <c r="R405" s="82" t="s">
        <v>45</v>
      </c>
      <c r="S405" s="44" t="s">
        <v>165</v>
      </c>
      <c r="T405" s="3" t="s">
        <v>61</v>
      </c>
      <c r="U405" s="2" t="s">
        <v>29</v>
      </c>
      <c r="V405" s="3" t="s">
        <v>29</v>
      </c>
      <c r="W405" s="11" t="s">
        <v>143</v>
      </c>
      <c r="X405" s="3" t="s">
        <v>143</v>
      </c>
      <c r="Y405" s="77" t="s">
        <v>48</v>
      </c>
      <c r="Z405" s="84" t="s">
        <v>1510</v>
      </c>
      <c r="AA405" s="89" t="s">
        <v>174</v>
      </c>
      <c r="AB405" s="90" t="str">
        <f>HYPERLINK(CONCATENATE("https://www.ejacket.nsf.gov/ej/showProposal.do?ID=",SUBSTITUTE(SplitQueryTableRecent[[#This Row],[prop_id]],CHAR(160),"")),"eJ")</f>
        <v>eJ</v>
      </c>
      <c r="AC405" s="89" t="s">
        <v>1510</v>
      </c>
      <c r="AD405" s="3" t="s">
        <v>1510</v>
      </c>
      <c r="AE405" s="91">
        <v>2014</v>
      </c>
      <c r="AF405" s="13" t="s">
        <v>43</v>
      </c>
      <c r="AG405" s="13">
        <v>90248</v>
      </c>
      <c r="AH405" s="45">
        <v>381706</v>
      </c>
      <c r="AI405" s="44" t="s">
        <v>1220</v>
      </c>
      <c r="AJ405" s="2" t="s">
        <v>1221</v>
      </c>
      <c r="AK405" s="46" t="s">
        <v>1735</v>
      </c>
      <c r="AL405" s="55" t="s">
        <v>353</v>
      </c>
      <c r="AM405" s="45" t="s">
        <v>353</v>
      </c>
      <c r="AN405" s="56" t="s">
        <v>142</v>
      </c>
      <c r="AO405" s="23" t="s">
        <v>146</v>
      </c>
      <c r="AP405" s="11" t="s">
        <v>172</v>
      </c>
      <c r="AQ405" s="88" t="s">
        <v>1511</v>
      </c>
      <c r="AR405" s="57" t="s">
        <v>1514</v>
      </c>
      <c r="AS405" s="46">
        <v>41788.451111111113</v>
      </c>
      <c r="AT405" s="3">
        <f t="shared" si="5"/>
        <v>302</v>
      </c>
    </row>
    <row r="406" spans="8:46" x14ac:dyDescent="0.4">
      <c r="H406" s="59">
        <v>42992.404930555553</v>
      </c>
      <c r="I406" s="43">
        <v>41191.693749999999</v>
      </c>
      <c r="J406" s="42">
        <v>41419.627638888887</v>
      </c>
      <c r="K406" s="81" t="s">
        <v>49</v>
      </c>
      <c r="L406" t="s">
        <v>49</v>
      </c>
      <c r="M406" t="s">
        <v>336</v>
      </c>
      <c r="N406" s="1" t="s">
        <v>336</v>
      </c>
      <c r="O406" s="1" t="s">
        <v>245</v>
      </c>
      <c r="P406" t="s">
        <v>245</v>
      </c>
      <c r="Q406" s="9" t="s">
        <v>45</v>
      </c>
      <c r="R406" s="82" t="s">
        <v>45</v>
      </c>
      <c r="S406" s="44" t="s">
        <v>165</v>
      </c>
      <c r="T406" s="3" t="s">
        <v>61</v>
      </c>
      <c r="U406" s="2" t="s">
        <v>29</v>
      </c>
      <c r="V406" s="3" t="s">
        <v>29</v>
      </c>
      <c r="W406" s="11" t="s">
        <v>143</v>
      </c>
      <c r="X406" s="3" t="s">
        <v>143</v>
      </c>
      <c r="Y406" s="77" t="s">
        <v>48</v>
      </c>
      <c r="Z406" s="84" t="s">
        <v>1510</v>
      </c>
      <c r="AA406" s="89" t="s">
        <v>174</v>
      </c>
      <c r="AB406" s="90" t="str">
        <f>HYPERLINK(CONCATENATE("https://www.ejacket.nsf.gov/ej/showProposal.do?ID=",SUBSTITUTE(SplitQueryTableRecent[[#This Row],[prop_id]],CHAR(160),"")),"eJ")</f>
        <v>eJ</v>
      </c>
      <c r="AC406" s="89" t="s">
        <v>1510</v>
      </c>
      <c r="AD406" s="3" t="s">
        <v>1510</v>
      </c>
      <c r="AE406" s="91">
        <v>2015</v>
      </c>
      <c r="AF406" s="13" t="s">
        <v>43</v>
      </c>
      <c r="AG406" s="13">
        <v>188697</v>
      </c>
      <c r="AH406" s="45">
        <v>381706</v>
      </c>
      <c r="AI406" s="44" t="s">
        <v>1220</v>
      </c>
      <c r="AJ406" s="2" t="s">
        <v>1221</v>
      </c>
      <c r="AK406" s="46" t="s">
        <v>1735</v>
      </c>
      <c r="AL406" s="55" t="s">
        <v>353</v>
      </c>
      <c r="AM406" s="45" t="s">
        <v>353</v>
      </c>
      <c r="AN406" s="56" t="s">
        <v>142</v>
      </c>
      <c r="AO406" s="23" t="s">
        <v>146</v>
      </c>
      <c r="AP406" s="11" t="s">
        <v>172</v>
      </c>
      <c r="AQ406" s="88" t="s">
        <v>1511</v>
      </c>
      <c r="AR406" s="57" t="s">
        <v>1514</v>
      </c>
      <c r="AS406" s="46">
        <v>42173.69908564815</v>
      </c>
      <c r="AT406" s="3">
        <f t="shared" si="5"/>
        <v>302</v>
      </c>
    </row>
    <row r="407" spans="8:46" x14ac:dyDescent="0.4">
      <c r="H407" s="59">
        <v>42992.404930555553</v>
      </c>
      <c r="I407" s="43">
        <v>41841.538194444445</v>
      </c>
      <c r="J407" s="42">
        <v>42019.603275462963</v>
      </c>
      <c r="K407" s="81" t="s">
        <v>49</v>
      </c>
      <c r="L407" t="s">
        <v>49</v>
      </c>
      <c r="M407" t="s">
        <v>336</v>
      </c>
      <c r="N407" s="1" t="s">
        <v>336</v>
      </c>
      <c r="O407" s="1" t="s">
        <v>337</v>
      </c>
      <c r="P407" t="s">
        <v>337</v>
      </c>
      <c r="Q407" s="9" t="s">
        <v>45</v>
      </c>
      <c r="R407" s="82" t="s">
        <v>45</v>
      </c>
      <c r="S407" s="44" t="s">
        <v>190</v>
      </c>
      <c r="T407" s="3" t="s">
        <v>61</v>
      </c>
      <c r="U407" s="2" t="s">
        <v>29</v>
      </c>
      <c r="V407" s="3" t="s">
        <v>29</v>
      </c>
      <c r="W407" s="11" t="s">
        <v>143</v>
      </c>
      <c r="X407" s="3" t="s">
        <v>143</v>
      </c>
      <c r="Y407" s="77" t="s">
        <v>48</v>
      </c>
      <c r="Z407" s="84" t="s">
        <v>1574</v>
      </c>
      <c r="AA407" s="89" t="s">
        <v>28</v>
      </c>
      <c r="AB407" s="90" t="str">
        <f>HYPERLINK(CONCATENATE("https://www.ejacket.nsf.gov/ej/showProposal.do?ID=",SUBSTITUTE(SplitQueryTableRecent[[#This Row],[prop_id]],CHAR(160),"")),"eJ")</f>
        <v>eJ</v>
      </c>
      <c r="AC407" s="89" t="s">
        <v>1574</v>
      </c>
      <c r="AD407" s="3" t="s">
        <v>1574</v>
      </c>
      <c r="AE407" s="91">
        <v>2015</v>
      </c>
      <c r="AF407" s="13" t="s">
        <v>43</v>
      </c>
      <c r="AG407" s="13">
        <v>171896</v>
      </c>
      <c r="AH407" s="45">
        <v>598777</v>
      </c>
      <c r="AI407" s="44" t="s">
        <v>1230</v>
      </c>
      <c r="AJ407" s="2" t="s">
        <v>1231</v>
      </c>
      <c r="AK407" s="46" t="s">
        <v>1714</v>
      </c>
      <c r="AL407" s="55" t="s">
        <v>426</v>
      </c>
      <c r="AM407" s="45" t="s">
        <v>426</v>
      </c>
      <c r="AN407" s="56" t="s">
        <v>142</v>
      </c>
      <c r="AO407" s="23" t="s">
        <v>146</v>
      </c>
      <c r="AP407" s="11"/>
      <c r="AQ407" s="88" t="s">
        <v>1575</v>
      </c>
      <c r="AR407" s="57" t="s">
        <v>161</v>
      </c>
      <c r="AS407" s="46">
        <v>42027.633287037039</v>
      </c>
      <c r="AT407" s="3">
        <f t="shared" si="5"/>
        <v>303</v>
      </c>
    </row>
    <row r="408" spans="8:46" x14ac:dyDescent="0.4">
      <c r="H408" s="59">
        <v>42992.404930555553</v>
      </c>
      <c r="I408" s="43">
        <v>41841.538194444445</v>
      </c>
      <c r="J408" s="42">
        <v>42019.603275462963</v>
      </c>
      <c r="K408" s="81" t="s">
        <v>49</v>
      </c>
      <c r="L408" t="s">
        <v>49</v>
      </c>
      <c r="M408" t="s">
        <v>336</v>
      </c>
      <c r="N408" s="1" t="s">
        <v>336</v>
      </c>
      <c r="O408" s="1" t="s">
        <v>337</v>
      </c>
      <c r="P408" t="s">
        <v>337</v>
      </c>
      <c r="Q408" s="9" t="s">
        <v>45</v>
      </c>
      <c r="R408" s="82" t="s">
        <v>45</v>
      </c>
      <c r="S408" s="44" t="s">
        <v>190</v>
      </c>
      <c r="T408" s="3" t="s">
        <v>61</v>
      </c>
      <c r="U408" s="2" t="s">
        <v>29</v>
      </c>
      <c r="V408" s="3" t="s">
        <v>29</v>
      </c>
      <c r="W408" s="11" t="s">
        <v>143</v>
      </c>
      <c r="X408" s="3" t="s">
        <v>143</v>
      </c>
      <c r="Y408" s="77" t="s">
        <v>48</v>
      </c>
      <c r="Z408" s="84" t="s">
        <v>1574</v>
      </c>
      <c r="AA408" s="89" t="s">
        <v>28</v>
      </c>
      <c r="AB408" s="90" t="str">
        <f>HYPERLINK(CONCATENATE("https://www.ejacket.nsf.gov/ej/showProposal.do?ID=",SUBSTITUTE(SplitQueryTableRecent[[#This Row],[prop_id]],CHAR(160),"")),"eJ")</f>
        <v>eJ</v>
      </c>
      <c r="AC408" s="89" t="s">
        <v>1574</v>
      </c>
      <c r="AD408" s="3" t="s">
        <v>1574</v>
      </c>
      <c r="AE408" s="91">
        <v>2017</v>
      </c>
      <c r="AF408" s="13" t="s">
        <v>43</v>
      </c>
      <c r="AG408" s="13">
        <v>234475</v>
      </c>
      <c r="AH408" s="45">
        <v>598777</v>
      </c>
      <c r="AI408" s="44" t="s">
        <v>1230</v>
      </c>
      <c r="AJ408" s="2" t="s">
        <v>1231</v>
      </c>
      <c r="AK408" s="46" t="s">
        <v>1714</v>
      </c>
      <c r="AL408" s="55" t="s">
        <v>426</v>
      </c>
      <c r="AM408" s="45" t="s">
        <v>426</v>
      </c>
      <c r="AN408" s="56" t="s">
        <v>142</v>
      </c>
      <c r="AO408" s="23" t="s">
        <v>146</v>
      </c>
      <c r="AP408" s="11" t="s">
        <v>172</v>
      </c>
      <c r="AQ408" s="88" t="s">
        <v>1575</v>
      </c>
      <c r="AR408" s="57" t="s">
        <v>1521</v>
      </c>
      <c r="AS408" s="46">
        <v>42899.434571759259</v>
      </c>
      <c r="AT408" s="3">
        <f t="shared" si="5"/>
        <v>303</v>
      </c>
    </row>
    <row r="409" spans="8:46" x14ac:dyDescent="0.4">
      <c r="H409" s="59">
        <v>42992.404930555553</v>
      </c>
      <c r="I409" s="43">
        <v>41841.538194444445</v>
      </c>
      <c r="J409" s="42">
        <v>42019.603275462963</v>
      </c>
      <c r="K409" s="81" t="s">
        <v>49</v>
      </c>
      <c r="L409" t="s">
        <v>49</v>
      </c>
      <c r="M409" t="s">
        <v>336</v>
      </c>
      <c r="N409" s="1" t="s">
        <v>336</v>
      </c>
      <c r="O409" s="1" t="s">
        <v>337</v>
      </c>
      <c r="P409" t="s">
        <v>337</v>
      </c>
      <c r="Q409" s="9" t="s">
        <v>45</v>
      </c>
      <c r="R409" s="82" t="s">
        <v>45</v>
      </c>
      <c r="S409" s="44" t="s">
        <v>190</v>
      </c>
      <c r="T409" s="3" t="s">
        <v>61</v>
      </c>
      <c r="U409" s="2" t="s">
        <v>29</v>
      </c>
      <c r="V409" s="3" t="s">
        <v>29</v>
      </c>
      <c r="W409" s="11" t="s">
        <v>143</v>
      </c>
      <c r="X409" s="3" t="s">
        <v>143</v>
      </c>
      <c r="Y409" s="77" t="s">
        <v>48</v>
      </c>
      <c r="Z409" s="84" t="s">
        <v>1574</v>
      </c>
      <c r="AA409" s="89" t="s">
        <v>28</v>
      </c>
      <c r="AB409" s="90" t="str">
        <f>HYPERLINK(CONCATENATE("https://www.ejacket.nsf.gov/ej/showProposal.do?ID=",SUBSTITUTE(SplitQueryTableRecent[[#This Row],[prop_id]],CHAR(160),"")),"eJ")</f>
        <v>eJ</v>
      </c>
      <c r="AC409" s="89" t="s">
        <v>1574</v>
      </c>
      <c r="AD409" s="3" t="s">
        <v>1574</v>
      </c>
      <c r="AE409" s="91">
        <v>2019</v>
      </c>
      <c r="AF409" s="13" t="s">
        <v>43</v>
      </c>
      <c r="AG409" s="13">
        <v>143629</v>
      </c>
      <c r="AH409" s="45">
        <v>598777</v>
      </c>
      <c r="AI409" s="44" t="s">
        <v>1230</v>
      </c>
      <c r="AJ409" s="2" t="s">
        <v>1231</v>
      </c>
      <c r="AK409" s="46" t="s">
        <v>1714</v>
      </c>
      <c r="AL409" s="55" t="s">
        <v>426</v>
      </c>
      <c r="AM409" s="45" t="s">
        <v>426</v>
      </c>
      <c r="AN409" s="56" t="s">
        <v>142</v>
      </c>
      <c r="AO409" s="23" t="s">
        <v>146</v>
      </c>
      <c r="AP409" s="11" t="s">
        <v>205</v>
      </c>
      <c r="AQ409" s="88" t="s">
        <v>1575</v>
      </c>
      <c r="AR409" s="57" t="s">
        <v>161</v>
      </c>
      <c r="AS409" s="46">
        <v>42027.633287037039</v>
      </c>
      <c r="AT409" s="3">
        <f t="shared" si="5"/>
        <v>303</v>
      </c>
    </row>
    <row r="410" spans="8:46" x14ac:dyDescent="0.4">
      <c r="H410" s="59">
        <v>42992.404930555553</v>
      </c>
      <c r="I410" s="43">
        <v>41837.488888888889</v>
      </c>
      <c r="J410" s="42">
        <v>42019.596435185187</v>
      </c>
      <c r="K410" s="81" t="s">
        <v>49</v>
      </c>
      <c r="L410" t="s">
        <v>49</v>
      </c>
      <c r="M410" t="s">
        <v>336</v>
      </c>
      <c r="N410" s="1" t="s">
        <v>336</v>
      </c>
      <c r="O410" s="1" t="s">
        <v>337</v>
      </c>
      <c r="P410" t="s">
        <v>337</v>
      </c>
      <c r="Q410" s="9" t="s">
        <v>45</v>
      </c>
      <c r="R410" s="82" t="s">
        <v>45</v>
      </c>
      <c r="S410" s="44" t="s">
        <v>190</v>
      </c>
      <c r="T410" s="3" t="s">
        <v>61</v>
      </c>
      <c r="U410" s="2" t="s">
        <v>29</v>
      </c>
      <c r="V410" s="3" t="s">
        <v>29</v>
      </c>
      <c r="W410" s="11" t="s">
        <v>143</v>
      </c>
      <c r="X410" s="3" t="s">
        <v>143</v>
      </c>
      <c r="Y410" s="77" t="s">
        <v>48</v>
      </c>
      <c r="Z410" s="84" t="s">
        <v>1576</v>
      </c>
      <c r="AA410" s="89" t="s">
        <v>28</v>
      </c>
      <c r="AB410" s="90" t="str">
        <f>HYPERLINK(CONCATENATE("https://www.ejacket.nsf.gov/ej/showProposal.do?ID=",SUBSTITUTE(SplitQueryTableRecent[[#This Row],[prop_id]],CHAR(160),"")),"eJ")</f>
        <v>eJ</v>
      </c>
      <c r="AC410" s="89" t="s">
        <v>1576</v>
      </c>
      <c r="AD410" s="3" t="s">
        <v>1576</v>
      </c>
      <c r="AE410" s="91">
        <v>2015</v>
      </c>
      <c r="AF410" s="13" t="s">
        <v>43</v>
      </c>
      <c r="AG410" s="13">
        <v>223714</v>
      </c>
      <c r="AH410" s="45">
        <v>580348</v>
      </c>
      <c r="AI410" s="44" t="s">
        <v>1232</v>
      </c>
      <c r="AJ410" s="2" t="s">
        <v>933</v>
      </c>
      <c r="AK410" s="46" t="s">
        <v>313</v>
      </c>
      <c r="AL410" s="55" t="s">
        <v>426</v>
      </c>
      <c r="AM410" s="45" t="s">
        <v>426</v>
      </c>
      <c r="AN410" s="56" t="s">
        <v>142</v>
      </c>
      <c r="AO410" s="23" t="s">
        <v>146</v>
      </c>
      <c r="AP410" s="11"/>
      <c r="AQ410" s="88" t="s">
        <v>1577</v>
      </c>
      <c r="AR410" s="57" t="s">
        <v>161</v>
      </c>
      <c r="AS410" s="46">
        <v>42032.439988425926</v>
      </c>
      <c r="AT410" s="3">
        <f t="shared" ref="AT410:AT473" si="6">IF(AD410=AD409,AT409,AT409+1)</f>
        <v>304</v>
      </c>
    </row>
    <row r="411" spans="8:46" x14ac:dyDescent="0.4">
      <c r="H411" s="59">
        <v>42992.404930555553</v>
      </c>
      <c r="I411" s="43">
        <v>41837.488888888889</v>
      </c>
      <c r="J411" s="42">
        <v>42019.596435185187</v>
      </c>
      <c r="K411" s="81" t="s">
        <v>49</v>
      </c>
      <c r="L411" t="s">
        <v>49</v>
      </c>
      <c r="M411" t="s">
        <v>336</v>
      </c>
      <c r="N411" s="1" t="s">
        <v>336</v>
      </c>
      <c r="O411" s="1" t="s">
        <v>337</v>
      </c>
      <c r="P411" t="s">
        <v>337</v>
      </c>
      <c r="Q411" s="9" t="s">
        <v>45</v>
      </c>
      <c r="R411" s="82" t="s">
        <v>45</v>
      </c>
      <c r="S411" s="44" t="s">
        <v>190</v>
      </c>
      <c r="T411" s="3" t="s">
        <v>61</v>
      </c>
      <c r="U411" s="2" t="s">
        <v>29</v>
      </c>
      <c r="V411" s="3" t="s">
        <v>29</v>
      </c>
      <c r="W411" s="11" t="s">
        <v>143</v>
      </c>
      <c r="X411" s="3" t="s">
        <v>143</v>
      </c>
      <c r="Y411" s="77" t="s">
        <v>48</v>
      </c>
      <c r="Z411" s="84" t="s">
        <v>1576</v>
      </c>
      <c r="AA411" s="89" t="s">
        <v>28</v>
      </c>
      <c r="AB411" s="90" t="str">
        <f>HYPERLINK(CONCATENATE("https://www.ejacket.nsf.gov/ej/showProposal.do?ID=",SUBSTITUTE(SplitQueryTableRecent[[#This Row],[prop_id]],CHAR(160),"")),"eJ")</f>
        <v>eJ</v>
      </c>
      <c r="AC411" s="89" t="s">
        <v>1576</v>
      </c>
      <c r="AD411" s="3" t="s">
        <v>1576</v>
      </c>
      <c r="AE411" s="91">
        <v>2017</v>
      </c>
      <c r="AF411" s="13" t="s">
        <v>43</v>
      </c>
      <c r="AG411" s="13">
        <v>244453</v>
      </c>
      <c r="AH411" s="45">
        <v>580348</v>
      </c>
      <c r="AI411" s="44" t="s">
        <v>1232</v>
      </c>
      <c r="AJ411" s="2" t="s">
        <v>933</v>
      </c>
      <c r="AK411" s="46" t="s">
        <v>313</v>
      </c>
      <c r="AL411" s="55" t="s">
        <v>426</v>
      </c>
      <c r="AM411" s="45" t="s">
        <v>426</v>
      </c>
      <c r="AN411" s="56" t="s">
        <v>142</v>
      </c>
      <c r="AO411" s="23" t="s">
        <v>146</v>
      </c>
      <c r="AP411" s="11" t="s">
        <v>172</v>
      </c>
      <c r="AQ411" s="88" t="s">
        <v>1577</v>
      </c>
      <c r="AR411" s="57" t="s">
        <v>204</v>
      </c>
      <c r="AS411" s="46">
        <v>42885.335625</v>
      </c>
      <c r="AT411" s="3">
        <f t="shared" si="6"/>
        <v>304</v>
      </c>
    </row>
    <row r="412" spans="8:46" x14ac:dyDescent="0.4">
      <c r="H412" s="59">
        <v>42992.404930555553</v>
      </c>
      <c r="I412" s="43">
        <v>41837.488888888889</v>
      </c>
      <c r="J412" s="42">
        <v>42019.596435185187</v>
      </c>
      <c r="K412" s="81" t="s">
        <v>49</v>
      </c>
      <c r="L412" t="s">
        <v>49</v>
      </c>
      <c r="M412" t="s">
        <v>336</v>
      </c>
      <c r="N412" s="1" t="s">
        <v>336</v>
      </c>
      <c r="O412" s="1" t="s">
        <v>337</v>
      </c>
      <c r="P412" t="s">
        <v>337</v>
      </c>
      <c r="Q412" s="9" t="s">
        <v>45</v>
      </c>
      <c r="R412" s="82" t="s">
        <v>45</v>
      </c>
      <c r="S412" s="44" t="s">
        <v>190</v>
      </c>
      <c r="T412" s="3" t="s">
        <v>61</v>
      </c>
      <c r="U412" s="2" t="s">
        <v>29</v>
      </c>
      <c r="V412" s="3" t="s">
        <v>29</v>
      </c>
      <c r="W412" s="11" t="s">
        <v>143</v>
      </c>
      <c r="X412" s="3" t="s">
        <v>143</v>
      </c>
      <c r="Y412" s="77" t="s">
        <v>48</v>
      </c>
      <c r="Z412" s="84" t="s">
        <v>1576</v>
      </c>
      <c r="AA412" s="89" t="s">
        <v>28</v>
      </c>
      <c r="AB412" s="90" t="str">
        <f>HYPERLINK(CONCATENATE("https://www.ejacket.nsf.gov/ej/showProposal.do?ID=",SUBSTITUTE(SplitQueryTableRecent[[#This Row],[prop_id]],CHAR(160),"")),"eJ")</f>
        <v>eJ</v>
      </c>
      <c r="AC412" s="89" t="s">
        <v>1576</v>
      </c>
      <c r="AD412" s="3" t="s">
        <v>1576</v>
      </c>
      <c r="AE412" s="91">
        <v>2019</v>
      </c>
      <c r="AF412" s="13" t="s">
        <v>43</v>
      </c>
      <c r="AG412" s="13">
        <v>67833</v>
      </c>
      <c r="AH412" s="45">
        <v>580348</v>
      </c>
      <c r="AI412" s="44" t="s">
        <v>1232</v>
      </c>
      <c r="AJ412" s="2" t="s">
        <v>933</v>
      </c>
      <c r="AK412" s="46" t="s">
        <v>313</v>
      </c>
      <c r="AL412" s="55" t="s">
        <v>426</v>
      </c>
      <c r="AM412" s="45" t="s">
        <v>426</v>
      </c>
      <c r="AN412" s="56" t="s">
        <v>142</v>
      </c>
      <c r="AO412" s="23" t="s">
        <v>146</v>
      </c>
      <c r="AP412" s="11" t="s">
        <v>205</v>
      </c>
      <c r="AQ412" s="88" t="s">
        <v>1577</v>
      </c>
      <c r="AR412" s="57" t="s">
        <v>204</v>
      </c>
      <c r="AS412" s="46">
        <v>42885.335625</v>
      </c>
      <c r="AT412" s="3">
        <f t="shared" si="6"/>
        <v>304</v>
      </c>
    </row>
    <row r="413" spans="8:46" x14ac:dyDescent="0.4">
      <c r="H413" s="59">
        <v>42992.404930555553</v>
      </c>
      <c r="I413" s="43">
        <v>42263.644444444442</v>
      </c>
      <c r="J413" s="42">
        <v>42535.69736111111</v>
      </c>
      <c r="K413" s="81" t="s">
        <v>49</v>
      </c>
      <c r="L413" t="s">
        <v>49</v>
      </c>
      <c r="M413" t="s">
        <v>336</v>
      </c>
      <c r="N413" s="1" t="s">
        <v>336</v>
      </c>
      <c r="O413" s="1" t="s">
        <v>337</v>
      </c>
      <c r="P413" t="s">
        <v>337</v>
      </c>
      <c r="Q413" s="9" t="s">
        <v>45</v>
      </c>
      <c r="R413" s="82" t="s">
        <v>45</v>
      </c>
      <c r="S413" s="44" t="s">
        <v>196</v>
      </c>
      <c r="T413" s="3" t="s">
        <v>61</v>
      </c>
      <c r="U413" s="2" t="s">
        <v>29</v>
      </c>
      <c r="V413" s="3" t="s">
        <v>29</v>
      </c>
      <c r="W413" s="11" t="s">
        <v>143</v>
      </c>
      <c r="X413" s="3" t="s">
        <v>143</v>
      </c>
      <c r="Y413" s="77" t="s">
        <v>48</v>
      </c>
      <c r="Z413" s="84" t="s">
        <v>444</v>
      </c>
      <c r="AA413" s="89" t="s">
        <v>62</v>
      </c>
      <c r="AB413" s="90" t="str">
        <f>HYPERLINK(CONCATENATE("https://www.ejacket.nsf.gov/ej/showProposal.do?ID=",SUBSTITUTE(SplitQueryTableRecent[[#This Row],[prop_id]],CHAR(160),"")),"eJ")</f>
        <v>eJ</v>
      </c>
      <c r="AC413" s="89" t="s">
        <v>463</v>
      </c>
      <c r="AD413" s="3" t="s">
        <v>463</v>
      </c>
      <c r="AE413" s="91">
        <v>2016</v>
      </c>
      <c r="AF413" s="13" t="s">
        <v>43</v>
      </c>
      <c r="AG413" s="13">
        <v>194369</v>
      </c>
      <c r="AH413" s="45">
        <v>400000</v>
      </c>
      <c r="AI413" s="44" t="s">
        <v>464</v>
      </c>
      <c r="AJ413" s="2" t="s">
        <v>326</v>
      </c>
      <c r="AK413" s="46" t="s">
        <v>465</v>
      </c>
      <c r="AL413" s="55" t="s">
        <v>389</v>
      </c>
      <c r="AM413" s="45" t="s">
        <v>389</v>
      </c>
      <c r="AN413" s="56" t="s">
        <v>142</v>
      </c>
      <c r="AO413" s="23" t="s">
        <v>146</v>
      </c>
      <c r="AP413" s="11"/>
      <c r="AQ413" s="88" t="s">
        <v>445</v>
      </c>
      <c r="AR413" s="57" t="s">
        <v>164</v>
      </c>
      <c r="AS413" s="46">
        <v>42558.578541666669</v>
      </c>
      <c r="AT413" s="3">
        <f t="shared" si="6"/>
        <v>305</v>
      </c>
    </row>
    <row r="414" spans="8:46" x14ac:dyDescent="0.4">
      <c r="H414" s="59">
        <v>42992.404930555553</v>
      </c>
      <c r="I414" s="43">
        <v>42263.644444444442</v>
      </c>
      <c r="J414" s="42">
        <v>42535.69736111111</v>
      </c>
      <c r="K414" s="81" t="s">
        <v>49</v>
      </c>
      <c r="L414" t="s">
        <v>49</v>
      </c>
      <c r="M414" t="s">
        <v>336</v>
      </c>
      <c r="N414" s="1" t="s">
        <v>336</v>
      </c>
      <c r="O414" s="1" t="s">
        <v>337</v>
      </c>
      <c r="P414" t="s">
        <v>337</v>
      </c>
      <c r="Q414" s="9" t="s">
        <v>45</v>
      </c>
      <c r="R414" s="82" t="s">
        <v>45</v>
      </c>
      <c r="S414" s="44" t="s">
        <v>196</v>
      </c>
      <c r="T414" s="3" t="s">
        <v>61</v>
      </c>
      <c r="U414" s="2" t="s">
        <v>29</v>
      </c>
      <c r="V414" s="3" t="s">
        <v>29</v>
      </c>
      <c r="W414" s="11" t="s">
        <v>143</v>
      </c>
      <c r="X414" s="3" t="s">
        <v>143</v>
      </c>
      <c r="Y414" s="77" t="s">
        <v>48</v>
      </c>
      <c r="Z414" s="84" t="s">
        <v>444</v>
      </c>
      <c r="AA414" s="89" t="s">
        <v>62</v>
      </c>
      <c r="AB414" s="90" t="str">
        <f>HYPERLINK(CONCATENATE("https://www.ejacket.nsf.gov/ej/showProposal.do?ID=",SUBSTITUTE(SplitQueryTableRecent[[#This Row],[prop_id]],CHAR(160),"")),"eJ")</f>
        <v>eJ</v>
      </c>
      <c r="AC414" s="89" t="s">
        <v>463</v>
      </c>
      <c r="AD414" s="3" t="s">
        <v>463</v>
      </c>
      <c r="AE414" s="91">
        <v>2018</v>
      </c>
      <c r="AF414" s="13" t="s">
        <v>43</v>
      </c>
      <c r="AG414" s="13">
        <v>205361</v>
      </c>
      <c r="AH414" s="45">
        <v>400000</v>
      </c>
      <c r="AI414" s="44" t="s">
        <v>464</v>
      </c>
      <c r="AJ414" s="2" t="s">
        <v>326</v>
      </c>
      <c r="AK414" s="46" t="s">
        <v>465</v>
      </c>
      <c r="AL414" s="55" t="s">
        <v>389</v>
      </c>
      <c r="AM414" s="45" t="s">
        <v>389</v>
      </c>
      <c r="AN414" s="56" t="s">
        <v>142</v>
      </c>
      <c r="AO414" s="23" t="s">
        <v>146</v>
      </c>
      <c r="AP414" s="11" t="s">
        <v>205</v>
      </c>
      <c r="AQ414" s="88" t="s">
        <v>445</v>
      </c>
      <c r="AR414" s="57" t="s">
        <v>164</v>
      </c>
      <c r="AS414" s="46">
        <v>42558.578541666669</v>
      </c>
      <c r="AT414" s="3">
        <f t="shared" si="6"/>
        <v>305</v>
      </c>
    </row>
    <row r="415" spans="8:46" x14ac:dyDescent="0.4">
      <c r="H415" s="59">
        <v>42992.404930555553</v>
      </c>
      <c r="I415" s="43">
        <v>41953.787499999999</v>
      </c>
      <c r="J415" s="42">
        <v>42144.644386574073</v>
      </c>
      <c r="K415" s="81" t="s">
        <v>49</v>
      </c>
      <c r="L415" t="s">
        <v>49</v>
      </c>
      <c r="M415" t="s">
        <v>336</v>
      </c>
      <c r="N415" s="1" t="s">
        <v>336</v>
      </c>
      <c r="O415" s="1" t="s">
        <v>245</v>
      </c>
      <c r="P415" t="s">
        <v>245</v>
      </c>
      <c r="Q415" s="9" t="s">
        <v>45</v>
      </c>
      <c r="R415" s="82" t="s">
        <v>45</v>
      </c>
      <c r="S415" s="44" t="s">
        <v>184</v>
      </c>
      <c r="T415" s="3" t="s">
        <v>61</v>
      </c>
      <c r="U415" s="2" t="s">
        <v>29</v>
      </c>
      <c r="V415" s="3" t="s">
        <v>29</v>
      </c>
      <c r="W415" s="11" t="s">
        <v>143</v>
      </c>
      <c r="X415" s="3" t="s">
        <v>143</v>
      </c>
      <c r="Y415" s="77" t="s">
        <v>48</v>
      </c>
      <c r="Z415" s="84" t="s">
        <v>1560</v>
      </c>
      <c r="AA415" s="89" t="s">
        <v>62</v>
      </c>
      <c r="AB415" s="90" t="str">
        <f>HYPERLINK(CONCATENATE("https://www.ejacket.nsf.gov/ej/showProposal.do?ID=",SUBSTITUTE(SplitQueryTableRecent[[#This Row],[prop_id]],CHAR(160),"")),"eJ")</f>
        <v>eJ</v>
      </c>
      <c r="AC415" s="89" t="s">
        <v>1578</v>
      </c>
      <c r="AD415" s="3" t="s">
        <v>1578</v>
      </c>
      <c r="AE415" s="91">
        <v>2015</v>
      </c>
      <c r="AF415" s="13" t="s">
        <v>43</v>
      </c>
      <c r="AG415" s="13">
        <v>194985</v>
      </c>
      <c r="AH415" s="45">
        <v>400000</v>
      </c>
      <c r="AI415" s="44" t="s">
        <v>1205</v>
      </c>
      <c r="AJ415" s="2" t="s">
        <v>1241</v>
      </c>
      <c r="AK415" s="46" t="s">
        <v>195</v>
      </c>
      <c r="AL415" s="55" t="s">
        <v>353</v>
      </c>
      <c r="AM415" s="45" t="s">
        <v>353</v>
      </c>
      <c r="AN415" s="56" t="s">
        <v>142</v>
      </c>
      <c r="AO415" s="23" t="s">
        <v>146</v>
      </c>
      <c r="AP415" s="11"/>
      <c r="AQ415" s="88" t="s">
        <v>1561</v>
      </c>
      <c r="AR415" s="57" t="s">
        <v>164</v>
      </c>
      <c r="AS415" s="46">
        <v>42166.452164351853</v>
      </c>
      <c r="AT415" s="3">
        <f t="shared" si="6"/>
        <v>306</v>
      </c>
    </row>
    <row r="416" spans="8:46" x14ac:dyDescent="0.4">
      <c r="H416" s="59">
        <v>42992.404930555553</v>
      </c>
      <c r="I416" s="43">
        <v>41953.787499999999</v>
      </c>
      <c r="J416" s="42">
        <v>42144.644386574073</v>
      </c>
      <c r="K416" s="81" t="s">
        <v>49</v>
      </c>
      <c r="L416" t="s">
        <v>49</v>
      </c>
      <c r="M416" t="s">
        <v>336</v>
      </c>
      <c r="N416" s="1" t="s">
        <v>336</v>
      </c>
      <c r="O416" s="1" t="s">
        <v>245</v>
      </c>
      <c r="P416" t="s">
        <v>245</v>
      </c>
      <c r="Q416" s="9" t="s">
        <v>45</v>
      </c>
      <c r="R416" s="82" t="s">
        <v>45</v>
      </c>
      <c r="S416" s="44" t="s">
        <v>184</v>
      </c>
      <c r="T416" s="3" t="s">
        <v>61</v>
      </c>
      <c r="U416" s="2" t="s">
        <v>29</v>
      </c>
      <c r="V416" s="3" t="s">
        <v>29</v>
      </c>
      <c r="W416" s="11" t="s">
        <v>143</v>
      </c>
      <c r="X416" s="3" t="s">
        <v>143</v>
      </c>
      <c r="Y416" s="77" t="s">
        <v>48</v>
      </c>
      <c r="Z416" s="84" t="s">
        <v>1560</v>
      </c>
      <c r="AA416" s="89" t="s">
        <v>62</v>
      </c>
      <c r="AB416" s="90" t="str">
        <f>HYPERLINK(CONCATENATE("https://www.ejacket.nsf.gov/ej/showProposal.do?ID=",SUBSTITUTE(SplitQueryTableRecent[[#This Row],[prop_id]],CHAR(160),"")),"eJ")</f>
        <v>eJ</v>
      </c>
      <c r="AC416" s="89" t="s">
        <v>1578</v>
      </c>
      <c r="AD416" s="3" t="s">
        <v>1578</v>
      </c>
      <c r="AE416" s="91">
        <v>2017</v>
      </c>
      <c r="AF416" s="13" t="s">
        <v>43</v>
      </c>
      <c r="AG416" s="13">
        <v>138015</v>
      </c>
      <c r="AH416" s="45">
        <v>400000</v>
      </c>
      <c r="AI416" s="44" t="s">
        <v>1205</v>
      </c>
      <c r="AJ416" s="2" t="s">
        <v>1241</v>
      </c>
      <c r="AK416" s="46" t="s">
        <v>195</v>
      </c>
      <c r="AL416" s="55" t="s">
        <v>353</v>
      </c>
      <c r="AM416" s="45" t="s">
        <v>353</v>
      </c>
      <c r="AN416" s="56" t="s">
        <v>142</v>
      </c>
      <c r="AO416" s="23" t="s">
        <v>146</v>
      </c>
      <c r="AP416" s="11" t="s">
        <v>172</v>
      </c>
      <c r="AQ416" s="88" t="s">
        <v>1561</v>
      </c>
      <c r="AR416" s="57" t="s">
        <v>1504</v>
      </c>
      <c r="AS416" s="46">
        <v>42907.409756944442</v>
      </c>
      <c r="AT416" s="3">
        <f t="shared" si="6"/>
        <v>306</v>
      </c>
    </row>
    <row r="417" spans="8:46" x14ac:dyDescent="0.4">
      <c r="H417" s="59">
        <v>42992.404930555553</v>
      </c>
      <c r="I417" s="43">
        <v>41841.649305555555</v>
      </c>
      <c r="J417" s="42">
        <v>42017.431377314817</v>
      </c>
      <c r="K417" s="81" t="s">
        <v>49</v>
      </c>
      <c r="L417" t="s">
        <v>49</v>
      </c>
      <c r="M417" t="s">
        <v>336</v>
      </c>
      <c r="N417" s="1" t="s">
        <v>336</v>
      </c>
      <c r="O417" s="1" t="s">
        <v>245</v>
      </c>
      <c r="P417" t="s">
        <v>245</v>
      </c>
      <c r="Q417" s="9" t="s">
        <v>45</v>
      </c>
      <c r="R417" s="82" t="s">
        <v>45</v>
      </c>
      <c r="S417" s="44" t="s">
        <v>190</v>
      </c>
      <c r="T417" s="3" t="s">
        <v>61</v>
      </c>
      <c r="U417" s="2" t="s">
        <v>29</v>
      </c>
      <c r="V417" s="3" t="s">
        <v>29</v>
      </c>
      <c r="W417" s="11" t="s">
        <v>143</v>
      </c>
      <c r="X417" s="3" t="s">
        <v>143</v>
      </c>
      <c r="Y417" s="77" t="s">
        <v>48</v>
      </c>
      <c r="Z417" s="84" t="s">
        <v>1579</v>
      </c>
      <c r="AA417" s="89" t="s">
        <v>28</v>
      </c>
      <c r="AB417" s="90" t="str">
        <f>HYPERLINK(CONCATENATE("https://www.ejacket.nsf.gov/ej/showProposal.do?ID=",SUBSTITUTE(SplitQueryTableRecent[[#This Row],[prop_id]],CHAR(160),"")),"eJ")</f>
        <v>eJ</v>
      </c>
      <c r="AC417" s="89" t="s">
        <v>1579</v>
      </c>
      <c r="AD417" s="3" t="s">
        <v>1579</v>
      </c>
      <c r="AE417" s="91">
        <v>2015</v>
      </c>
      <c r="AF417" s="13" t="s">
        <v>43</v>
      </c>
      <c r="AG417" s="13">
        <v>76215</v>
      </c>
      <c r="AH417" s="45">
        <v>666746</v>
      </c>
      <c r="AI417" s="44" t="s">
        <v>1444</v>
      </c>
      <c r="AJ417" s="2" t="s">
        <v>277</v>
      </c>
      <c r="AK417" s="46" t="s">
        <v>1714</v>
      </c>
      <c r="AL417" s="55" t="s">
        <v>1581</v>
      </c>
      <c r="AM417" s="45" t="s">
        <v>481</v>
      </c>
      <c r="AN417" s="56" t="s">
        <v>142</v>
      </c>
      <c r="AO417" s="23" t="s">
        <v>146</v>
      </c>
      <c r="AP417" s="11"/>
      <c r="AQ417" s="88" t="s">
        <v>1580</v>
      </c>
      <c r="AR417" s="57" t="s">
        <v>161</v>
      </c>
      <c r="AS417" s="46">
        <v>42027.478321759256</v>
      </c>
      <c r="AT417" s="3">
        <f t="shared" si="6"/>
        <v>307</v>
      </c>
    </row>
    <row r="418" spans="8:46" x14ac:dyDescent="0.4">
      <c r="H418" s="59">
        <v>42992.404930555553</v>
      </c>
      <c r="I418" s="43">
        <v>41841.649305555555</v>
      </c>
      <c r="J418" s="42">
        <v>42017.431377314817</v>
      </c>
      <c r="K418" s="81" t="s">
        <v>49</v>
      </c>
      <c r="L418" t="s">
        <v>49</v>
      </c>
      <c r="M418" t="s">
        <v>336</v>
      </c>
      <c r="N418" s="1" t="s">
        <v>336</v>
      </c>
      <c r="O418" s="1" t="s">
        <v>245</v>
      </c>
      <c r="P418" t="s">
        <v>245</v>
      </c>
      <c r="Q418" s="9" t="s">
        <v>45</v>
      </c>
      <c r="R418" s="82" t="s">
        <v>45</v>
      </c>
      <c r="S418" s="44" t="s">
        <v>190</v>
      </c>
      <c r="T418" s="3" t="s">
        <v>61</v>
      </c>
      <c r="U418" s="2" t="s">
        <v>29</v>
      </c>
      <c r="V418" s="3" t="s">
        <v>29</v>
      </c>
      <c r="W418" s="11" t="s">
        <v>143</v>
      </c>
      <c r="X418" s="3" t="s">
        <v>143</v>
      </c>
      <c r="Y418" s="77" t="s">
        <v>48</v>
      </c>
      <c r="Z418" s="84" t="s">
        <v>1579</v>
      </c>
      <c r="AA418" s="89" t="s">
        <v>28</v>
      </c>
      <c r="AB418" s="90" t="str">
        <f>HYPERLINK(CONCATENATE("https://www.ejacket.nsf.gov/ej/showProposal.do?ID=",SUBSTITUTE(SplitQueryTableRecent[[#This Row],[prop_id]],CHAR(160),"")),"eJ")</f>
        <v>eJ</v>
      </c>
      <c r="AC418" s="89" t="s">
        <v>1579</v>
      </c>
      <c r="AD418" s="3" t="s">
        <v>1579</v>
      </c>
      <c r="AE418" s="91">
        <v>2017</v>
      </c>
      <c r="AF418" s="13" t="s">
        <v>43</v>
      </c>
      <c r="AG418" s="13">
        <v>218356</v>
      </c>
      <c r="AH418" s="45">
        <v>666746</v>
      </c>
      <c r="AI418" s="44" t="s">
        <v>1444</v>
      </c>
      <c r="AJ418" s="2" t="s">
        <v>277</v>
      </c>
      <c r="AK418" s="46" t="s">
        <v>1714</v>
      </c>
      <c r="AL418" s="55" t="s">
        <v>1581</v>
      </c>
      <c r="AM418" s="45" t="s">
        <v>481</v>
      </c>
      <c r="AN418" s="56" t="s">
        <v>142</v>
      </c>
      <c r="AO418" s="23" t="s">
        <v>146</v>
      </c>
      <c r="AP418" s="11" t="s">
        <v>172</v>
      </c>
      <c r="AQ418" s="88" t="s">
        <v>1580</v>
      </c>
      <c r="AR418" s="57" t="s">
        <v>1504</v>
      </c>
      <c r="AS418" s="46">
        <v>42886.435324074075</v>
      </c>
      <c r="AT418" s="3">
        <f t="shared" si="6"/>
        <v>307</v>
      </c>
    </row>
    <row r="419" spans="8:46" x14ac:dyDescent="0.4">
      <c r="H419" s="59">
        <v>42992.404930555553</v>
      </c>
      <c r="I419" s="43">
        <v>41841.649305555555</v>
      </c>
      <c r="J419" s="42">
        <v>42017.431377314817</v>
      </c>
      <c r="K419" s="81" t="s">
        <v>49</v>
      </c>
      <c r="L419" t="s">
        <v>49</v>
      </c>
      <c r="M419" t="s">
        <v>336</v>
      </c>
      <c r="N419" s="1" t="s">
        <v>336</v>
      </c>
      <c r="O419" s="1" t="s">
        <v>245</v>
      </c>
      <c r="P419" t="s">
        <v>245</v>
      </c>
      <c r="Q419" s="9" t="s">
        <v>45</v>
      </c>
      <c r="R419" s="82" t="s">
        <v>45</v>
      </c>
      <c r="S419" s="44" t="s">
        <v>190</v>
      </c>
      <c r="T419" s="3" t="s">
        <v>61</v>
      </c>
      <c r="U419" s="2" t="s">
        <v>29</v>
      </c>
      <c r="V419" s="3" t="s">
        <v>29</v>
      </c>
      <c r="W419" s="11" t="s">
        <v>143</v>
      </c>
      <c r="X419" s="3" t="s">
        <v>143</v>
      </c>
      <c r="Y419" s="77" t="s">
        <v>48</v>
      </c>
      <c r="Z419" s="84" t="s">
        <v>1579</v>
      </c>
      <c r="AA419" s="89" t="s">
        <v>28</v>
      </c>
      <c r="AB419" s="90" t="str">
        <f>HYPERLINK(CONCATENATE("https://www.ejacket.nsf.gov/ej/showProposal.do?ID=",SUBSTITUTE(SplitQueryTableRecent[[#This Row],[prop_id]],CHAR(160),"")),"eJ")</f>
        <v>eJ</v>
      </c>
      <c r="AC419" s="89" t="s">
        <v>1579</v>
      </c>
      <c r="AD419" s="3" t="s">
        <v>1579</v>
      </c>
      <c r="AE419" s="91">
        <v>2019</v>
      </c>
      <c r="AF419" s="13" t="s">
        <v>43</v>
      </c>
      <c r="AG419" s="13">
        <v>105779</v>
      </c>
      <c r="AH419" s="45">
        <v>666746</v>
      </c>
      <c r="AI419" s="44" t="s">
        <v>1444</v>
      </c>
      <c r="AJ419" s="2" t="s">
        <v>277</v>
      </c>
      <c r="AK419" s="46" t="s">
        <v>1714</v>
      </c>
      <c r="AL419" s="55" t="s">
        <v>1581</v>
      </c>
      <c r="AM419" s="45" t="s">
        <v>481</v>
      </c>
      <c r="AN419" s="56" t="s">
        <v>142</v>
      </c>
      <c r="AO419" s="23" t="s">
        <v>146</v>
      </c>
      <c r="AP419" s="11" t="s">
        <v>205</v>
      </c>
      <c r="AQ419" s="88" t="s">
        <v>1580</v>
      </c>
      <c r="AR419" s="57" t="s">
        <v>161</v>
      </c>
      <c r="AS419" s="46">
        <v>42027.478321759256</v>
      </c>
      <c r="AT419" s="3">
        <f t="shared" si="6"/>
        <v>307</v>
      </c>
    </row>
    <row r="420" spans="8:46" x14ac:dyDescent="0.4">
      <c r="H420" s="59">
        <v>42992.404930555553</v>
      </c>
      <c r="I420" s="43">
        <v>41841.649305555555</v>
      </c>
      <c r="J420" s="42">
        <v>42017.431377314817</v>
      </c>
      <c r="K420" s="81" t="s">
        <v>49</v>
      </c>
      <c r="L420" t="s">
        <v>49</v>
      </c>
      <c r="M420" t="s">
        <v>336</v>
      </c>
      <c r="N420" s="1" t="s">
        <v>336</v>
      </c>
      <c r="O420" s="1" t="s">
        <v>245</v>
      </c>
      <c r="P420" t="s">
        <v>245</v>
      </c>
      <c r="Q420" s="9" t="s">
        <v>45</v>
      </c>
      <c r="R420" s="82" t="s">
        <v>45</v>
      </c>
      <c r="S420" s="44" t="s">
        <v>190</v>
      </c>
      <c r="T420" s="3" t="s">
        <v>61</v>
      </c>
      <c r="U420" s="2" t="s">
        <v>29</v>
      </c>
      <c r="V420" s="3" t="s">
        <v>29</v>
      </c>
      <c r="W420" s="11" t="s">
        <v>143</v>
      </c>
      <c r="X420" s="3" t="s">
        <v>143</v>
      </c>
      <c r="Y420" s="77" t="s">
        <v>48</v>
      </c>
      <c r="Z420" s="84" t="s">
        <v>1579</v>
      </c>
      <c r="AA420" s="89" t="s">
        <v>28</v>
      </c>
      <c r="AB420" s="90" t="str">
        <f>HYPERLINK(CONCATENATE("https://www.ejacket.nsf.gov/ej/showProposal.do?ID=",SUBSTITUTE(SplitQueryTableRecent[[#This Row],[prop_id]],CHAR(160),"")),"eJ")</f>
        <v>eJ</v>
      </c>
      <c r="AC420" s="89" t="s">
        <v>1579</v>
      </c>
      <c r="AD420" s="3" t="s">
        <v>1579</v>
      </c>
      <c r="AE420" s="91">
        <v>2015</v>
      </c>
      <c r="AF420" s="13" t="s">
        <v>57</v>
      </c>
      <c r="AG420" s="13">
        <v>6200</v>
      </c>
      <c r="AH420" s="45">
        <v>666746</v>
      </c>
      <c r="AI420" s="44" t="s">
        <v>1444</v>
      </c>
      <c r="AJ420" s="2" t="s">
        <v>277</v>
      </c>
      <c r="AK420" s="46" t="s">
        <v>1714</v>
      </c>
      <c r="AL420" s="55" t="s">
        <v>1581</v>
      </c>
      <c r="AM420" s="45" t="s">
        <v>1418</v>
      </c>
      <c r="AN420" s="56" t="s">
        <v>142</v>
      </c>
      <c r="AO420" s="23" t="s">
        <v>146</v>
      </c>
      <c r="AP420" s="11"/>
      <c r="AQ420" s="88" t="s">
        <v>1580</v>
      </c>
      <c r="AR420" s="57" t="s">
        <v>161</v>
      </c>
      <c r="AS420" s="46">
        <v>42027.478321759256</v>
      </c>
      <c r="AT420" s="3">
        <f t="shared" si="6"/>
        <v>307</v>
      </c>
    </row>
    <row r="421" spans="8:46" x14ac:dyDescent="0.4">
      <c r="H421" s="59">
        <v>42992.404930555553</v>
      </c>
      <c r="I421" s="43">
        <v>41477.612500000003</v>
      </c>
      <c r="J421" s="42">
        <v>41654.382233796299</v>
      </c>
      <c r="K421" s="81" t="s">
        <v>49</v>
      </c>
      <c r="L421" t="s">
        <v>49</v>
      </c>
      <c r="M421" t="s">
        <v>336</v>
      </c>
      <c r="N421" s="1" t="s">
        <v>336</v>
      </c>
      <c r="O421" s="1" t="s">
        <v>337</v>
      </c>
      <c r="P421" t="s">
        <v>337</v>
      </c>
      <c r="Q421" s="9" t="s">
        <v>45</v>
      </c>
      <c r="R421" s="82" t="s">
        <v>45</v>
      </c>
      <c r="S421" s="44" t="s">
        <v>168</v>
      </c>
      <c r="T421" s="3" t="s">
        <v>61</v>
      </c>
      <c r="U421" s="2" t="s">
        <v>29</v>
      </c>
      <c r="V421" s="3" t="s">
        <v>29</v>
      </c>
      <c r="W421" s="11" t="s">
        <v>143</v>
      </c>
      <c r="X421" s="3" t="s">
        <v>143</v>
      </c>
      <c r="Y421" s="77" t="s">
        <v>48</v>
      </c>
      <c r="Z421" s="84" t="s">
        <v>466</v>
      </c>
      <c r="AA421" s="89" t="s">
        <v>28</v>
      </c>
      <c r="AB421" s="90" t="str">
        <f>HYPERLINK(CONCATENATE("https://www.ejacket.nsf.gov/ej/showProposal.do?ID=",SUBSTITUTE(SplitQueryTableRecent[[#This Row],[prop_id]],CHAR(160),"")),"eJ")</f>
        <v>eJ</v>
      </c>
      <c r="AC421" s="89" t="s">
        <v>466</v>
      </c>
      <c r="AD421" s="3" t="s">
        <v>466</v>
      </c>
      <c r="AE421" s="91">
        <v>2014</v>
      </c>
      <c r="AF421" s="13" t="s">
        <v>43</v>
      </c>
      <c r="AG421" s="13">
        <v>185533</v>
      </c>
      <c r="AH421" s="45">
        <v>400000</v>
      </c>
      <c r="AI421" s="44" t="s">
        <v>468</v>
      </c>
      <c r="AJ421" s="2" t="s">
        <v>469</v>
      </c>
      <c r="AK421" s="46" t="s">
        <v>1708</v>
      </c>
      <c r="AL421" s="55" t="s">
        <v>426</v>
      </c>
      <c r="AM421" s="45" t="s">
        <v>426</v>
      </c>
      <c r="AN421" s="56" t="s">
        <v>142</v>
      </c>
      <c r="AO421" s="23" t="s">
        <v>146</v>
      </c>
      <c r="AP421" s="11"/>
      <c r="AQ421" s="88" t="s">
        <v>467</v>
      </c>
      <c r="AR421" s="57" t="s">
        <v>161</v>
      </c>
      <c r="AS421" s="46">
        <v>41661.372002314813</v>
      </c>
      <c r="AT421" s="3">
        <f t="shared" si="6"/>
        <v>308</v>
      </c>
    </row>
    <row r="422" spans="8:46" x14ac:dyDescent="0.4">
      <c r="H422" s="59">
        <v>42992.404930555553</v>
      </c>
      <c r="I422" s="43">
        <v>41477.612500000003</v>
      </c>
      <c r="J422" s="42">
        <v>41654.382233796299</v>
      </c>
      <c r="K422" s="81" t="s">
        <v>49</v>
      </c>
      <c r="L422" t="s">
        <v>49</v>
      </c>
      <c r="M422" t="s">
        <v>336</v>
      </c>
      <c r="N422" s="1" t="s">
        <v>336</v>
      </c>
      <c r="O422" s="1" t="s">
        <v>337</v>
      </c>
      <c r="P422" t="s">
        <v>337</v>
      </c>
      <c r="Q422" s="9" t="s">
        <v>45</v>
      </c>
      <c r="R422" s="82" t="s">
        <v>45</v>
      </c>
      <c r="S422" s="44" t="s">
        <v>168</v>
      </c>
      <c r="T422" s="3" t="s">
        <v>61</v>
      </c>
      <c r="U422" s="2" t="s">
        <v>29</v>
      </c>
      <c r="V422" s="3" t="s">
        <v>29</v>
      </c>
      <c r="W422" s="11" t="s">
        <v>143</v>
      </c>
      <c r="X422" s="3" t="s">
        <v>143</v>
      </c>
      <c r="Y422" s="77" t="s">
        <v>48</v>
      </c>
      <c r="Z422" s="84" t="s">
        <v>466</v>
      </c>
      <c r="AA422" s="89" t="s">
        <v>28</v>
      </c>
      <c r="AB422" s="90" t="str">
        <f>HYPERLINK(CONCATENATE("https://www.ejacket.nsf.gov/ej/showProposal.do?ID=",SUBSTITUTE(SplitQueryTableRecent[[#This Row],[prop_id]],CHAR(160),"")),"eJ")</f>
        <v>eJ</v>
      </c>
      <c r="AC422" s="89" t="s">
        <v>466</v>
      </c>
      <c r="AD422" s="3" t="s">
        <v>466</v>
      </c>
      <c r="AE422" s="91">
        <v>2016</v>
      </c>
      <c r="AF422" s="13" t="s">
        <v>43</v>
      </c>
      <c r="AG422" s="13">
        <v>191460</v>
      </c>
      <c r="AH422" s="45">
        <v>400000</v>
      </c>
      <c r="AI422" s="44" t="s">
        <v>468</v>
      </c>
      <c r="AJ422" s="2" t="s">
        <v>469</v>
      </c>
      <c r="AK422" s="46" t="s">
        <v>1708</v>
      </c>
      <c r="AL422" s="55" t="s">
        <v>426</v>
      </c>
      <c r="AM422" s="45" t="s">
        <v>426</v>
      </c>
      <c r="AN422" s="56" t="s">
        <v>142</v>
      </c>
      <c r="AO422" s="23" t="s">
        <v>146</v>
      </c>
      <c r="AP422" s="11" t="s">
        <v>172</v>
      </c>
      <c r="AQ422" s="88" t="s">
        <v>467</v>
      </c>
      <c r="AR422" s="57" t="s">
        <v>1521</v>
      </c>
      <c r="AS422" s="46">
        <v>42558.436388888891</v>
      </c>
      <c r="AT422" s="3">
        <f t="shared" si="6"/>
        <v>308</v>
      </c>
    </row>
    <row r="423" spans="8:46" x14ac:dyDescent="0.4">
      <c r="H423" s="59">
        <v>42992.404930555553</v>
      </c>
      <c r="I423" s="43">
        <v>41477.612500000003</v>
      </c>
      <c r="J423" s="42">
        <v>41654.382233796299</v>
      </c>
      <c r="K423" s="81" t="s">
        <v>49</v>
      </c>
      <c r="L423" t="s">
        <v>49</v>
      </c>
      <c r="M423" t="s">
        <v>336</v>
      </c>
      <c r="N423" s="1" t="s">
        <v>336</v>
      </c>
      <c r="O423" s="1" t="s">
        <v>337</v>
      </c>
      <c r="P423" t="s">
        <v>337</v>
      </c>
      <c r="Q423" s="9" t="s">
        <v>45</v>
      </c>
      <c r="R423" s="82" t="s">
        <v>45</v>
      </c>
      <c r="S423" s="44" t="s">
        <v>168</v>
      </c>
      <c r="T423" s="3" t="s">
        <v>61</v>
      </c>
      <c r="U423" s="2" t="s">
        <v>29</v>
      </c>
      <c r="V423" s="3" t="s">
        <v>29</v>
      </c>
      <c r="W423" s="11" t="s">
        <v>143</v>
      </c>
      <c r="X423" s="3" t="s">
        <v>143</v>
      </c>
      <c r="Y423" s="77" t="s">
        <v>48</v>
      </c>
      <c r="Z423" s="84" t="s">
        <v>466</v>
      </c>
      <c r="AA423" s="89" t="s">
        <v>28</v>
      </c>
      <c r="AB423" s="90" t="str">
        <f>HYPERLINK(CONCATENATE("https://www.ejacket.nsf.gov/ej/showProposal.do?ID=",SUBSTITUTE(SplitQueryTableRecent[[#This Row],[prop_id]],CHAR(160),"")),"eJ")</f>
        <v>eJ</v>
      </c>
      <c r="AC423" s="89" t="s">
        <v>466</v>
      </c>
      <c r="AD423" s="3" t="s">
        <v>466</v>
      </c>
      <c r="AE423" s="91">
        <v>2018</v>
      </c>
      <c r="AF423" s="13" t="s">
        <v>43</v>
      </c>
      <c r="AG423" s="13">
        <v>98007</v>
      </c>
      <c r="AH423" s="45">
        <v>400000</v>
      </c>
      <c r="AI423" s="44" t="s">
        <v>468</v>
      </c>
      <c r="AJ423" s="2" t="s">
        <v>469</v>
      </c>
      <c r="AK423" s="46" t="s">
        <v>1708</v>
      </c>
      <c r="AL423" s="55" t="s">
        <v>426</v>
      </c>
      <c r="AM423" s="45" t="s">
        <v>426</v>
      </c>
      <c r="AN423" s="56" t="s">
        <v>142</v>
      </c>
      <c r="AO423" s="23" t="s">
        <v>146</v>
      </c>
      <c r="AP423" s="11" t="s">
        <v>205</v>
      </c>
      <c r="AQ423" s="88" t="s">
        <v>467</v>
      </c>
      <c r="AR423" s="57" t="s">
        <v>161</v>
      </c>
      <c r="AS423" s="46">
        <v>41661.372002314813</v>
      </c>
      <c r="AT423" s="3">
        <f t="shared" si="6"/>
        <v>308</v>
      </c>
    </row>
    <row r="424" spans="8:46" x14ac:dyDescent="0.4">
      <c r="H424" s="59">
        <v>42992.404930555553</v>
      </c>
      <c r="I424" s="43">
        <v>42571.661111111112</v>
      </c>
      <c r="J424" s="42">
        <v>42733.39638888889</v>
      </c>
      <c r="K424" s="81" t="s">
        <v>49</v>
      </c>
      <c r="L424" t="s">
        <v>49</v>
      </c>
      <c r="M424" t="s">
        <v>336</v>
      </c>
      <c r="N424" s="1" t="s">
        <v>336</v>
      </c>
      <c r="O424" s="1" t="s">
        <v>337</v>
      </c>
      <c r="P424" t="s">
        <v>337</v>
      </c>
      <c r="Q424" s="9" t="s">
        <v>45</v>
      </c>
      <c r="R424" s="82" t="s">
        <v>45</v>
      </c>
      <c r="S424" s="44" t="s">
        <v>194</v>
      </c>
      <c r="T424" s="3" t="s">
        <v>61</v>
      </c>
      <c r="U424" s="2" t="s">
        <v>29</v>
      </c>
      <c r="V424" s="3" t="s">
        <v>29</v>
      </c>
      <c r="W424" s="11" t="s">
        <v>143</v>
      </c>
      <c r="X424" s="3" t="s">
        <v>143</v>
      </c>
      <c r="Y424" s="77" t="s">
        <v>48</v>
      </c>
      <c r="Z424" s="84" t="s">
        <v>1582</v>
      </c>
      <c r="AA424" s="89" t="s">
        <v>28</v>
      </c>
      <c r="AB424" s="90" t="str">
        <f>HYPERLINK(CONCATENATE("https://www.ejacket.nsf.gov/ej/showProposal.do?ID=",SUBSTITUTE(SplitQueryTableRecent[[#This Row],[prop_id]],CHAR(160),"")),"eJ")</f>
        <v>eJ</v>
      </c>
      <c r="AC424" s="89" t="s">
        <v>1582</v>
      </c>
      <c r="AD424" s="3" t="s">
        <v>1582</v>
      </c>
      <c r="AE424" s="91">
        <v>2017</v>
      </c>
      <c r="AF424" s="13" t="s">
        <v>43</v>
      </c>
      <c r="AG424" s="13">
        <v>249534</v>
      </c>
      <c r="AH424" s="45">
        <v>590847</v>
      </c>
      <c r="AI424" s="44" t="s">
        <v>1165</v>
      </c>
      <c r="AJ424" s="2" t="s">
        <v>1584</v>
      </c>
      <c r="AK424" s="46" t="s">
        <v>1726</v>
      </c>
      <c r="AL424" s="55" t="s">
        <v>426</v>
      </c>
      <c r="AM424" s="45" t="s">
        <v>426</v>
      </c>
      <c r="AN424" s="56" t="s">
        <v>142</v>
      </c>
      <c r="AO424" s="23" t="s">
        <v>146</v>
      </c>
      <c r="AP424" s="11"/>
      <c r="AQ424" s="88" t="s">
        <v>1583</v>
      </c>
      <c r="AR424" s="57" t="s">
        <v>362</v>
      </c>
      <c r="AS424" s="46">
        <v>42775.725601851853</v>
      </c>
      <c r="AT424" s="3">
        <f t="shared" si="6"/>
        <v>309</v>
      </c>
    </row>
    <row r="425" spans="8:46" x14ac:dyDescent="0.4">
      <c r="H425" s="59">
        <v>42992.404930555553</v>
      </c>
      <c r="I425" s="43">
        <v>42571.661111111112</v>
      </c>
      <c r="J425" s="42">
        <v>42733.39638888889</v>
      </c>
      <c r="K425" s="81" t="s">
        <v>49</v>
      </c>
      <c r="L425" t="s">
        <v>49</v>
      </c>
      <c r="M425" t="s">
        <v>336</v>
      </c>
      <c r="N425" s="1" t="s">
        <v>336</v>
      </c>
      <c r="O425" s="1" t="s">
        <v>337</v>
      </c>
      <c r="P425" t="s">
        <v>337</v>
      </c>
      <c r="Q425" s="9" t="s">
        <v>45</v>
      </c>
      <c r="R425" s="82" t="s">
        <v>45</v>
      </c>
      <c r="S425" s="44" t="s">
        <v>194</v>
      </c>
      <c r="T425" s="3" t="s">
        <v>61</v>
      </c>
      <c r="U425" s="2" t="s">
        <v>29</v>
      </c>
      <c r="V425" s="3" t="s">
        <v>29</v>
      </c>
      <c r="W425" s="11" t="s">
        <v>143</v>
      </c>
      <c r="X425" s="3" t="s">
        <v>143</v>
      </c>
      <c r="Y425" s="77" t="s">
        <v>48</v>
      </c>
      <c r="Z425" s="84" t="s">
        <v>1582</v>
      </c>
      <c r="AA425" s="89" t="s">
        <v>28</v>
      </c>
      <c r="AB425" s="90" t="str">
        <f>HYPERLINK(CONCATENATE("https://www.ejacket.nsf.gov/ej/showProposal.do?ID=",SUBSTITUTE(SplitQueryTableRecent[[#This Row],[prop_id]],CHAR(160),"")),"eJ")</f>
        <v>eJ</v>
      </c>
      <c r="AC425" s="89" t="s">
        <v>1582</v>
      </c>
      <c r="AD425" s="3" t="s">
        <v>1582</v>
      </c>
      <c r="AE425" s="91">
        <v>2019</v>
      </c>
      <c r="AF425" s="13" t="s">
        <v>43</v>
      </c>
      <c r="AG425" s="13">
        <v>97483</v>
      </c>
      <c r="AH425" s="45">
        <v>590847</v>
      </c>
      <c r="AI425" s="44" t="s">
        <v>1165</v>
      </c>
      <c r="AJ425" s="2" t="s">
        <v>1584</v>
      </c>
      <c r="AK425" s="46" t="s">
        <v>1726</v>
      </c>
      <c r="AL425" s="55" t="s">
        <v>426</v>
      </c>
      <c r="AM425" s="45" t="s">
        <v>426</v>
      </c>
      <c r="AN425" s="56" t="s">
        <v>142</v>
      </c>
      <c r="AO425" s="23" t="s">
        <v>146</v>
      </c>
      <c r="AP425" s="11" t="s">
        <v>205</v>
      </c>
      <c r="AQ425" s="88" t="s">
        <v>1583</v>
      </c>
      <c r="AR425" s="57" t="s">
        <v>362</v>
      </c>
      <c r="AS425" s="46">
        <v>42775.725601851853</v>
      </c>
      <c r="AT425" s="3">
        <f t="shared" si="6"/>
        <v>309</v>
      </c>
    </row>
    <row r="426" spans="8:46" x14ac:dyDescent="0.4">
      <c r="H426" s="59">
        <v>42992.404930555553</v>
      </c>
      <c r="I426" s="43">
        <v>42571.661111111112</v>
      </c>
      <c r="J426" s="42">
        <v>42733.39638888889</v>
      </c>
      <c r="K426" s="81" t="s">
        <v>49</v>
      </c>
      <c r="L426" t="s">
        <v>49</v>
      </c>
      <c r="M426" t="s">
        <v>336</v>
      </c>
      <c r="N426" s="1" t="s">
        <v>336</v>
      </c>
      <c r="O426" s="1" t="s">
        <v>337</v>
      </c>
      <c r="P426" t="s">
        <v>337</v>
      </c>
      <c r="Q426" s="9" t="s">
        <v>45</v>
      </c>
      <c r="R426" s="82" t="s">
        <v>45</v>
      </c>
      <c r="S426" s="44" t="s">
        <v>194</v>
      </c>
      <c r="T426" s="3" t="s">
        <v>61</v>
      </c>
      <c r="U426" s="2" t="s">
        <v>29</v>
      </c>
      <c r="V426" s="3" t="s">
        <v>29</v>
      </c>
      <c r="W426" s="11" t="s">
        <v>143</v>
      </c>
      <c r="X426" s="3" t="s">
        <v>143</v>
      </c>
      <c r="Y426" s="77" t="s">
        <v>48</v>
      </c>
      <c r="Z426" s="84" t="s">
        <v>1582</v>
      </c>
      <c r="AA426" s="89" t="s">
        <v>28</v>
      </c>
      <c r="AB426" s="90" t="str">
        <f>HYPERLINK(CONCATENATE("https://www.ejacket.nsf.gov/ej/showProposal.do?ID=",SUBSTITUTE(SplitQueryTableRecent[[#This Row],[prop_id]],CHAR(160),"")),"eJ")</f>
        <v>eJ</v>
      </c>
      <c r="AC426" s="89" t="s">
        <v>1582</v>
      </c>
      <c r="AD426" s="3" t="s">
        <v>1582</v>
      </c>
      <c r="AE426" s="91">
        <v>2020</v>
      </c>
      <c r="AF426" s="13" t="s">
        <v>43</v>
      </c>
      <c r="AG426" s="13">
        <v>95136</v>
      </c>
      <c r="AH426" s="45">
        <v>590847</v>
      </c>
      <c r="AI426" s="44" t="s">
        <v>1165</v>
      </c>
      <c r="AJ426" s="2" t="s">
        <v>1584</v>
      </c>
      <c r="AK426" s="46" t="s">
        <v>1726</v>
      </c>
      <c r="AL426" s="55" t="s">
        <v>426</v>
      </c>
      <c r="AM426" s="45" t="s">
        <v>426</v>
      </c>
      <c r="AN426" s="56" t="s">
        <v>142</v>
      </c>
      <c r="AO426" s="23" t="s">
        <v>146</v>
      </c>
      <c r="AP426" s="11" t="s">
        <v>205</v>
      </c>
      <c r="AQ426" s="88" t="s">
        <v>1583</v>
      </c>
      <c r="AR426" s="57" t="s">
        <v>362</v>
      </c>
      <c r="AS426" s="46">
        <v>42775.725601851853</v>
      </c>
      <c r="AT426" s="3">
        <f t="shared" si="6"/>
        <v>309</v>
      </c>
    </row>
    <row r="427" spans="8:46" x14ac:dyDescent="0.4">
      <c r="H427" s="59">
        <v>42992.404930555553</v>
      </c>
      <c r="I427" s="43">
        <v>42571.661111111112</v>
      </c>
      <c r="J427" s="42">
        <v>42733.39638888889</v>
      </c>
      <c r="K427" s="81" t="s">
        <v>49</v>
      </c>
      <c r="L427" t="s">
        <v>49</v>
      </c>
      <c r="M427" t="s">
        <v>336</v>
      </c>
      <c r="N427" s="1" t="s">
        <v>336</v>
      </c>
      <c r="O427" s="1" t="s">
        <v>337</v>
      </c>
      <c r="P427" t="s">
        <v>337</v>
      </c>
      <c r="Q427" s="9" t="s">
        <v>45</v>
      </c>
      <c r="R427" s="82" t="s">
        <v>45</v>
      </c>
      <c r="S427" s="44" t="s">
        <v>194</v>
      </c>
      <c r="T427" s="3" t="s">
        <v>61</v>
      </c>
      <c r="U427" s="2" t="s">
        <v>29</v>
      </c>
      <c r="V427" s="3" t="s">
        <v>29</v>
      </c>
      <c r="W427" s="11" t="s">
        <v>143</v>
      </c>
      <c r="X427" s="3" t="s">
        <v>143</v>
      </c>
      <c r="Y427" s="77" t="s">
        <v>48</v>
      </c>
      <c r="Z427" s="84" t="s">
        <v>1582</v>
      </c>
      <c r="AA427" s="89" t="s">
        <v>28</v>
      </c>
      <c r="AB427" s="90" t="str">
        <f>HYPERLINK(CONCATENATE("https://www.ejacket.nsf.gov/ej/showProposal.do?ID=",SUBSTITUTE(SplitQueryTableRecent[[#This Row],[prop_id]],CHAR(160),"")),"eJ")</f>
        <v>eJ</v>
      </c>
      <c r="AC427" s="89" t="s">
        <v>1582</v>
      </c>
      <c r="AD427" s="3" t="s">
        <v>1582</v>
      </c>
      <c r="AE427" s="91">
        <v>2021</v>
      </c>
      <c r="AF427" s="13" t="s">
        <v>43</v>
      </c>
      <c r="AG427" s="13">
        <v>89847</v>
      </c>
      <c r="AH427" s="45">
        <v>590847</v>
      </c>
      <c r="AI427" s="44" t="s">
        <v>1165</v>
      </c>
      <c r="AJ427" s="2" t="s">
        <v>1584</v>
      </c>
      <c r="AK427" s="46" t="s">
        <v>1726</v>
      </c>
      <c r="AL427" s="55" t="s">
        <v>426</v>
      </c>
      <c r="AM427" s="45" t="s">
        <v>426</v>
      </c>
      <c r="AN427" s="56" t="s">
        <v>142</v>
      </c>
      <c r="AO427" s="23" t="s">
        <v>146</v>
      </c>
      <c r="AP427" s="11" t="s">
        <v>205</v>
      </c>
      <c r="AQ427" s="88" t="s">
        <v>1583</v>
      </c>
      <c r="AR427" s="57" t="s">
        <v>362</v>
      </c>
      <c r="AS427" s="46">
        <v>42775.725601851853</v>
      </c>
      <c r="AT427" s="3">
        <f t="shared" si="6"/>
        <v>309</v>
      </c>
    </row>
    <row r="428" spans="8:46" x14ac:dyDescent="0.4">
      <c r="H428" s="59">
        <v>42992.404930555553</v>
      </c>
      <c r="I428" s="43">
        <v>42205.624305555553</v>
      </c>
      <c r="J428" s="42">
        <v>42388.469097222223</v>
      </c>
      <c r="K428" s="81" t="s">
        <v>49</v>
      </c>
      <c r="L428" t="s">
        <v>49</v>
      </c>
      <c r="M428" t="s">
        <v>336</v>
      </c>
      <c r="N428" s="1" t="s">
        <v>336</v>
      </c>
      <c r="O428" s="1" t="s">
        <v>337</v>
      </c>
      <c r="P428" t="s">
        <v>337</v>
      </c>
      <c r="Q428" s="9" t="s">
        <v>45</v>
      </c>
      <c r="R428" s="82" t="s">
        <v>45</v>
      </c>
      <c r="S428" s="44" t="s">
        <v>194</v>
      </c>
      <c r="T428" s="3" t="s">
        <v>61</v>
      </c>
      <c r="U428" s="2" t="s">
        <v>29</v>
      </c>
      <c r="V428" s="3" t="s">
        <v>29</v>
      </c>
      <c r="W428" s="11" t="s">
        <v>143</v>
      </c>
      <c r="X428" s="3" t="s">
        <v>143</v>
      </c>
      <c r="Y428" s="77" t="s">
        <v>48</v>
      </c>
      <c r="Z428" s="84" t="s">
        <v>472</v>
      </c>
      <c r="AA428" s="89" t="s">
        <v>28</v>
      </c>
      <c r="AB428" s="90" t="str">
        <f>HYPERLINK(CONCATENATE("https://www.ejacket.nsf.gov/ej/showProposal.do?ID=",SUBSTITUTE(SplitQueryTableRecent[[#This Row],[prop_id]],CHAR(160),"")),"eJ")</f>
        <v>eJ</v>
      </c>
      <c r="AC428" s="89" t="s">
        <v>472</v>
      </c>
      <c r="AD428" s="3" t="s">
        <v>472</v>
      </c>
      <c r="AE428" s="91">
        <v>2016</v>
      </c>
      <c r="AF428" s="13" t="s">
        <v>43</v>
      </c>
      <c r="AG428" s="13">
        <v>205461</v>
      </c>
      <c r="AH428" s="45">
        <v>541321</v>
      </c>
      <c r="AI428" s="44" t="s">
        <v>474</v>
      </c>
      <c r="AJ428" s="2" t="s">
        <v>475</v>
      </c>
      <c r="AK428" s="46" t="s">
        <v>1739</v>
      </c>
      <c r="AL428" s="55" t="s">
        <v>426</v>
      </c>
      <c r="AM428" s="45" t="s">
        <v>426</v>
      </c>
      <c r="AN428" s="56" t="s">
        <v>142</v>
      </c>
      <c r="AO428" s="23" t="s">
        <v>146</v>
      </c>
      <c r="AP428" s="11"/>
      <c r="AQ428" s="88" t="s">
        <v>473</v>
      </c>
      <c r="AR428" s="57" t="s">
        <v>164</v>
      </c>
      <c r="AS428" s="46">
        <v>42403.624340277776</v>
      </c>
      <c r="AT428" s="3">
        <f t="shared" si="6"/>
        <v>310</v>
      </c>
    </row>
    <row r="429" spans="8:46" x14ac:dyDescent="0.4">
      <c r="H429" s="59">
        <v>42992.404930555553</v>
      </c>
      <c r="I429" s="43">
        <v>42205.624305555553</v>
      </c>
      <c r="J429" s="42">
        <v>42388.469097222223</v>
      </c>
      <c r="K429" s="81" t="s">
        <v>49</v>
      </c>
      <c r="L429" t="s">
        <v>49</v>
      </c>
      <c r="M429" t="s">
        <v>336</v>
      </c>
      <c r="N429" s="1" t="s">
        <v>336</v>
      </c>
      <c r="O429" s="1" t="s">
        <v>337</v>
      </c>
      <c r="P429" t="s">
        <v>337</v>
      </c>
      <c r="Q429" s="9" t="s">
        <v>45</v>
      </c>
      <c r="R429" s="82" t="s">
        <v>45</v>
      </c>
      <c r="S429" s="44" t="s">
        <v>194</v>
      </c>
      <c r="T429" s="3" t="s">
        <v>61</v>
      </c>
      <c r="U429" s="2" t="s">
        <v>29</v>
      </c>
      <c r="V429" s="3" t="s">
        <v>29</v>
      </c>
      <c r="W429" s="11" t="s">
        <v>143</v>
      </c>
      <c r="X429" s="3" t="s">
        <v>143</v>
      </c>
      <c r="Y429" s="77" t="s">
        <v>48</v>
      </c>
      <c r="Z429" s="84" t="s">
        <v>472</v>
      </c>
      <c r="AA429" s="89" t="s">
        <v>28</v>
      </c>
      <c r="AB429" s="90" t="str">
        <f>HYPERLINK(CONCATENATE("https://www.ejacket.nsf.gov/ej/showProposal.do?ID=",SUBSTITUTE(SplitQueryTableRecent[[#This Row],[prop_id]],CHAR(160),"")),"eJ")</f>
        <v>eJ</v>
      </c>
      <c r="AC429" s="89" t="s">
        <v>472</v>
      </c>
      <c r="AD429" s="3" t="s">
        <v>472</v>
      </c>
      <c r="AE429" s="91">
        <v>2018</v>
      </c>
      <c r="AF429" s="13" t="s">
        <v>43</v>
      </c>
      <c r="AG429" s="13">
        <v>106607</v>
      </c>
      <c r="AH429" s="45">
        <v>541321</v>
      </c>
      <c r="AI429" s="44" t="s">
        <v>474</v>
      </c>
      <c r="AJ429" s="2" t="s">
        <v>475</v>
      </c>
      <c r="AK429" s="46" t="s">
        <v>1739</v>
      </c>
      <c r="AL429" s="55" t="s">
        <v>426</v>
      </c>
      <c r="AM429" s="45" t="s">
        <v>426</v>
      </c>
      <c r="AN429" s="56" t="s">
        <v>142</v>
      </c>
      <c r="AO429" s="23" t="s">
        <v>146</v>
      </c>
      <c r="AP429" s="11" t="s">
        <v>205</v>
      </c>
      <c r="AQ429" s="88" t="s">
        <v>473</v>
      </c>
      <c r="AR429" s="57" t="s">
        <v>164</v>
      </c>
      <c r="AS429" s="46">
        <v>42403.624340277776</v>
      </c>
      <c r="AT429" s="3">
        <f t="shared" si="6"/>
        <v>310</v>
      </c>
    </row>
    <row r="430" spans="8:46" x14ac:dyDescent="0.4">
      <c r="H430" s="59">
        <v>42992.404930555553</v>
      </c>
      <c r="I430" s="43">
        <v>42205.624305555553</v>
      </c>
      <c r="J430" s="42">
        <v>42388.469097222223</v>
      </c>
      <c r="K430" s="81" t="s">
        <v>49</v>
      </c>
      <c r="L430" t="s">
        <v>49</v>
      </c>
      <c r="M430" t="s">
        <v>336</v>
      </c>
      <c r="N430" s="1" t="s">
        <v>336</v>
      </c>
      <c r="O430" s="1" t="s">
        <v>337</v>
      </c>
      <c r="P430" t="s">
        <v>337</v>
      </c>
      <c r="Q430" s="9" t="s">
        <v>45</v>
      </c>
      <c r="R430" s="82" t="s">
        <v>45</v>
      </c>
      <c r="S430" s="44" t="s">
        <v>194</v>
      </c>
      <c r="T430" s="3" t="s">
        <v>61</v>
      </c>
      <c r="U430" s="2" t="s">
        <v>29</v>
      </c>
      <c r="V430" s="3" t="s">
        <v>29</v>
      </c>
      <c r="W430" s="11" t="s">
        <v>143</v>
      </c>
      <c r="X430" s="3" t="s">
        <v>143</v>
      </c>
      <c r="Y430" s="77" t="s">
        <v>48</v>
      </c>
      <c r="Z430" s="84" t="s">
        <v>472</v>
      </c>
      <c r="AA430" s="89" t="s">
        <v>28</v>
      </c>
      <c r="AB430" s="90" t="str">
        <f>HYPERLINK(CONCATENATE("https://www.ejacket.nsf.gov/ej/showProposal.do?ID=",SUBSTITUTE(SplitQueryTableRecent[[#This Row],[prop_id]],CHAR(160),"")),"eJ")</f>
        <v>eJ</v>
      </c>
      <c r="AC430" s="89" t="s">
        <v>472</v>
      </c>
      <c r="AD430" s="3" t="s">
        <v>472</v>
      </c>
      <c r="AE430" s="91">
        <v>2019</v>
      </c>
      <c r="AF430" s="13" t="s">
        <v>43</v>
      </c>
      <c r="AG430" s="13">
        <v>113686</v>
      </c>
      <c r="AH430" s="45">
        <v>541321</v>
      </c>
      <c r="AI430" s="44" t="s">
        <v>474</v>
      </c>
      <c r="AJ430" s="2" t="s">
        <v>475</v>
      </c>
      <c r="AK430" s="46" t="s">
        <v>1739</v>
      </c>
      <c r="AL430" s="55" t="s">
        <v>426</v>
      </c>
      <c r="AM430" s="45" t="s">
        <v>426</v>
      </c>
      <c r="AN430" s="56" t="s">
        <v>142</v>
      </c>
      <c r="AO430" s="23" t="s">
        <v>146</v>
      </c>
      <c r="AP430" s="11" t="s">
        <v>205</v>
      </c>
      <c r="AQ430" s="88" t="s">
        <v>473</v>
      </c>
      <c r="AR430" s="57" t="s">
        <v>164</v>
      </c>
      <c r="AS430" s="46">
        <v>42403.624340277776</v>
      </c>
      <c r="AT430" s="3">
        <f t="shared" si="6"/>
        <v>310</v>
      </c>
    </row>
    <row r="431" spans="8:46" x14ac:dyDescent="0.4">
      <c r="H431" s="59">
        <v>42992.404930555553</v>
      </c>
      <c r="I431" s="43">
        <v>42205.624305555553</v>
      </c>
      <c r="J431" s="42">
        <v>42388.469097222223</v>
      </c>
      <c r="K431" s="81" t="s">
        <v>49</v>
      </c>
      <c r="L431" t="s">
        <v>49</v>
      </c>
      <c r="M431" t="s">
        <v>336</v>
      </c>
      <c r="N431" s="1" t="s">
        <v>336</v>
      </c>
      <c r="O431" s="1" t="s">
        <v>337</v>
      </c>
      <c r="P431" t="s">
        <v>337</v>
      </c>
      <c r="Q431" s="9" t="s">
        <v>45</v>
      </c>
      <c r="R431" s="82" t="s">
        <v>45</v>
      </c>
      <c r="S431" s="44" t="s">
        <v>194</v>
      </c>
      <c r="T431" s="3" t="s">
        <v>61</v>
      </c>
      <c r="U431" s="2" t="s">
        <v>29</v>
      </c>
      <c r="V431" s="3" t="s">
        <v>29</v>
      </c>
      <c r="W431" s="11" t="s">
        <v>143</v>
      </c>
      <c r="X431" s="3" t="s">
        <v>143</v>
      </c>
      <c r="Y431" s="77" t="s">
        <v>48</v>
      </c>
      <c r="Z431" s="84" t="s">
        <v>472</v>
      </c>
      <c r="AA431" s="89" t="s">
        <v>28</v>
      </c>
      <c r="AB431" s="90" t="str">
        <f>HYPERLINK(CONCATENATE("https://www.ejacket.nsf.gov/ej/showProposal.do?ID=",SUBSTITUTE(SplitQueryTableRecent[[#This Row],[prop_id]],CHAR(160),"")),"eJ")</f>
        <v>eJ</v>
      </c>
      <c r="AC431" s="89" t="s">
        <v>472</v>
      </c>
      <c r="AD431" s="3" t="s">
        <v>472</v>
      </c>
      <c r="AE431" s="91">
        <v>2020</v>
      </c>
      <c r="AF431" s="13" t="s">
        <v>43</v>
      </c>
      <c r="AG431" s="13">
        <v>115567</v>
      </c>
      <c r="AH431" s="45">
        <v>541321</v>
      </c>
      <c r="AI431" s="44" t="s">
        <v>474</v>
      </c>
      <c r="AJ431" s="2" t="s">
        <v>475</v>
      </c>
      <c r="AK431" s="46" t="s">
        <v>1739</v>
      </c>
      <c r="AL431" s="55" t="s">
        <v>426</v>
      </c>
      <c r="AM431" s="45" t="s">
        <v>426</v>
      </c>
      <c r="AN431" s="56" t="s">
        <v>142</v>
      </c>
      <c r="AO431" s="23" t="s">
        <v>146</v>
      </c>
      <c r="AP431" s="11" t="s">
        <v>205</v>
      </c>
      <c r="AQ431" s="88" t="s">
        <v>473</v>
      </c>
      <c r="AR431" s="57" t="s">
        <v>164</v>
      </c>
      <c r="AS431" s="46">
        <v>42403.624340277776</v>
      </c>
      <c r="AT431" s="3">
        <f t="shared" si="6"/>
        <v>310</v>
      </c>
    </row>
    <row r="432" spans="8:46" x14ac:dyDescent="0.4">
      <c r="H432" s="59">
        <v>42992.404930555553</v>
      </c>
      <c r="I432" s="43">
        <v>42662.576388888891</v>
      </c>
      <c r="J432" s="42">
        <v>42842.362615740742</v>
      </c>
      <c r="K432" s="81" t="s">
        <v>49</v>
      </c>
      <c r="L432" t="s">
        <v>49</v>
      </c>
      <c r="M432" t="s">
        <v>336</v>
      </c>
      <c r="N432" s="1" t="s">
        <v>336</v>
      </c>
      <c r="O432" s="1" t="s">
        <v>337</v>
      </c>
      <c r="P432" t="s">
        <v>337</v>
      </c>
      <c r="Q432" s="9" t="s">
        <v>45</v>
      </c>
      <c r="R432" s="82" t="s">
        <v>45</v>
      </c>
      <c r="S432" s="44" t="s">
        <v>192</v>
      </c>
      <c r="T432" s="3" t="s">
        <v>61</v>
      </c>
      <c r="U432" s="2" t="s">
        <v>29</v>
      </c>
      <c r="V432" s="3" t="s">
        <v>29</v>
      </c>
      <c r="W432" s="11" t="s">
        <v>143</v>
      </c>
      <c r="X432" s="3" t="s">
        <v>143</v>
      </c>
      <c r="Y432" s="77" t="s">
        <v>48</v>
      </c>
      <c r="Z432" s="84" t="s">
        <v>414</v>
      </c>
      <c r="AA432" s="89" t="s">
        <v>62</v>
      </c>
      <c r="AB432" s="90" t="str">
        <f>HYPERLINK(CONCATENATE("https://www.ejacket.nsf.gov/ej/showProposal.do?ID=",SUBSTITUTE(SplitQueryTableRecent[[#This Row],[prop_id]],CHAR(160),"")),"eJ")</f>
        <v>eJ</v>
      </c>
      <c r="AC432" s="89" t="s">
        <v>476</v>
      </c>
      <c r="AD432" s="3" t="s">
        <v>476</v>
      </c>
      <c r="AE432" s="91">
        <v>2017</v>
      </c>
      <c r="AF432" s="13" t="s">
        <v>43</v>
      </c>
      <c r="AG432" s="13">
        <v>95859</v>
      </c>
      <c r="AH432" s="45">
        <v>400000</v>
      </c>
      <c r="AI432" s="44" t="s">
        <v>477</v>
      </c>
      <c r="AJ432" s="2" t="s">
        <v>478</v>
      </c>
      <c r="AK432" s="46" t="s">
        <v>301</v>
      </c>
      <c r="AL432" s="55" t="s">
        <v>341</v>
      </c>
      <c r="AM432" s="45" t="s">
        <v>341</v>
      </c>
      <c r="AN432" s="56" t="s">
        <v>142</v>
      </c>
      <c r="AO432" s="23" t="s">
        <v>146</v>
      </c>
      <c r="AP432" s="11"/>
      <c r="AQ432" s="88" t="s">
        <v>415</v>
      </c>
      <c r="AR432" s="57" t="s">
        <v>188</v>
      </c>
      <c r="AS432" s="46">
        <v>42859.694421296299</v>
      </c>
      <c r="AT432" s="3">
        <f t="shared" si="6"/>
        <v>311</v>
      </c>
    </row>
    <row r="433" spans="8:46" x14ac:dyDescent="0.4">
      <c r="H433" s="59">
        <v>42992.404930555553</v>
      </c>
      <c r="I433" s="43">
        <v>42662.576388888891</v>
      </c>
      <c r="J433" s="42">
        <v>42842.362615740742</v>
      </c>
      <c r="K433" s="81" t="s">
        <v>49</v>
      </c>
      <c r="L433" t="s">
        <v>49</v>
      </c>
      <c r="M433" t="s">
        <v>336</v>
      </c>
      <c r="N433" s="1" t="s">
        <v>336</v>
      </c>
      <c r="O433" s="1" t="s">
        <v>337</v>
      </c>
      <c r="P433" t="s">
        <v>337</v>
      </c>
      <c r="Q433" s="9" t="s">
        <v>45</v>
      </c>
      <c r="R433" s="82" t="s">
        <v>45</v>
      </c>
      <c r="S433" s="44" t="s">
        <v>192</v>
      </c>
      <c r="T433" s="3" t="s">
        <v>61</v>
      </c>
      <c r="U433" s="2" t="s">
        <v>29</v>
      </c>
      <c r="V433" s="3" t="s">
        <v>29</v>
      </c>
      <c r="W433" s="11" t="s">
        <v>143</v>
      </c>
      <c r="X433" s="3" t="s">
        <v>143</v>
      </c>
      <c r="Y433" s="77" t="s">
        <v>48</v>
      </c>
      <c r="Z433" s="84" t="s">
        <v>414</v>
      </c>
      <c r="AA433" s="89" t="s">
        <v>62</v>
      </c>
      <c r="AB433" s="90" t="str">
        <f>HYPERLINK(CONCATENATE("https://www.ejacket.nsf.gov/ej/showProposal.do?ID=",SUBSTITUTE(SplitQueryTableRecent[[#This Row],[prop_id]],CHAR(160),"")),"eJ")</f>
        <v>eJ</v>
      </c>
      <c r="AC433" s="89" t="s">
        <v>476</v>
      </c>
      <c r="AD433" s="3" t="s">
        <v>476</v>
      </c>
      <c r="AE433" s="91">
        <v>2018</v>
      </c>
      <c r="AF433" s="13" t="s">
        <v>43</v>
      </c>
      <c r="AG433" s="13">
        <v>99034</v>
      </c>
      <c r="AH433" s="45">
        <v>400000</v>
      </c>
      <c r="AI433" s="44" t="s">
        <v>477</v>
      </c>
      <c r="AJ433" s="2" t="s">
        <v>478</v>
      </c>
      <c r="AK433" s="46" t="s">
        <v>301</v>
      </c>
      <c r="AL433" s="55" t="s">
        <v>341</v>
      </c>
      <c r="AM433" s="45" t="s">
        <v>341</v>
      </c>
      <c r="AN433" s="56" t="s">
        <v>142</v>
      </c>
      <c r="AO433" s="23" t="s">
        <v>146</v>
      </c>
      <c r="AP433" s="11" t="s">
        <v>205</v>
      </c>
      <c r="AQ433" s="88" t="s">
        <v>415</v>
      </c>
      <c r="AR433" s="57" t="s">
        <v>188</v>
      </c>
      <c r="AS433" s="46">
        <v>42859.694421296299</v>
      </c>
      <c r="AT433" s="3">
        <f t="shared" si="6"/>
        <v>311</v>
      </c>
    </row>
    <row r="434" spans="8:46" x14ac:dyDescent="0.4">
      <c r="H434" s="59">
        <v>42992.404930555553</v>
      </c>
      <c r="I434" s="43">
        <v>42662.576388888891</v>
      </c>
      <c r="J434" s="42">
        <v>42842.362615740742</v>
      </c>
      <c r="K434" s="81" t="s">
        <v>49</v>
      </c>
      <c r="L434" t="s">
        <v>49</v>
      </c>
      <c r="M434" t="s">
        <v>336</v>
      </c>
      <c r="N434" s="1" t="s">
        <v>336</v>
      </c>
      <c r="O434" s="1" t="s">
        <v>337</v>
      </c>
      <c r="P434" t="s">
        <v>337</v>
      </c>
      <c r="Q434" s="9" t="s">
        <v>45</v>
      </c>
      <c r="R434" s="82" t="s">
        <v>45</v>
      </c>
      <c r="S434" s="44" t="s">
        <v>192</v>
      </c>
      <c r="T434" s="3" t="s">
        <v>61</v>
      </c>
      <c r="U434" s="2" t="s">
        <v>29</v>
      </c>
      <c r="V434" s="3" t="s">
        <v>29</v>
      </c>
      <c r="W434" s="11" t="s">
        <v>143</v>
      </c>
      <c r="X434" s="3" t="s">
        <v>143</v>
      </c>
      <c r="Y434" s="77" t="s">
        <v>48</v>
      </c>
      <c r="Z434" s="84" t="s">
        <v>414</v>
      </c>
      <c r="AA434" s="89" t="s">
        <v>62</v>
      </c>
      <c r="AB434" s="90" t="str">
        <f>HYPERLINK(CONCATENATE("https://www.ejacket.nsf.gov/ej/showProposal.do?ID=",SUBSTITUTE(SplitQueryTableRecent[[#This Row],[prop_id]],CHAR(160),"")),"eJ")</f>
        <v>eJ</v>
      </c>
      <c r="AC434" s="89" t="s">
        <v>476</v>
      </c>
      <c r="AD434" s="3" t="s">
        <v>476</v>
      </c>
      <c r="AE434" s="91">
        <v>2019</v>
      </c>
      <c r="AF434" s="13" t="s">
        <v>43</v>
      </c>
      <c r="AG434" s="13">
        <v>100994</v>
      </c>
      <c r="AH434" s="45">
        <v>400000</v>
      </c>
      <c r="AI434" s="44" t="s">
        <v>477</v>
      </c>
      <c r="AJ434" s="2" t="s">
        <v>478</v>
      </c>
      <c r="AK434" s="46" t="s">
        <v>301</v>
      </c>
      <c r="AL434" s="55" t="s">
        <v>341</v>
      </c>
      <c r="AM434" s="45" t="s">
        <v>341</v>
      </c>
      <c r="AN434" s="56" t="s">
        <v>142</v>
      </c>
      <c r="AO434" s="23" t="s">
        <v>146</v>
      </c>
      <c r="AP434" s="11" t="s">
        <v>205</v>
      </c>
      <c r="AQ434" s="88" t="s">
        <v>415</v>
      </c>
      <c r="AR434" s="57" t="s">
        <v>188</v>
      </c>
      <c r="AS434" s="46">
        <v>42859.694421296299</v>
      </c>
      <c r="AT434" s="3">
        <f t="shared" si="6"/>
        <v>311</v>
      </c>
    </row>
    <row r="435" spans="8:46" x14ac:dyDescent="0.4">
      <c r="H435" s="59">
        <v>42992.404930555553</v>
      </c>
      <c r="I435" s="43">
        <v>42662.576388888891</v>
      </c>
      <c r="J435" s="42">
        <v>42842.362615740742</v>
      </c>
      <c r="K435" s="81" t="s">
        <v>49</v>
      </c>
      <c r="L435" t="s">
        <v>49</v>
      </c>
      <c r="M435" t="s">
        <v>336</v>
      </c>
      <c r="N435" s="1" t="s">
        <v>336</v>
      </c>
      <c r="O435" s="1" t="s">
        <v>337</v>
      </c>
      <c r="P435" t="s">
        <v>337</v>
      </c>
      <c r="Q435" s="9" t="s">
        <v>45</v>
      </c>
      <c r="R435" s="82" t="s">
        <v>45</v>
      </c>
      <c r="S435" s="44" t="s">
        <v>192</v>
      </c>
      <c r="T435" s="3" t="s">
        <v>61</v>
      </c>
      <c r="U435" s="2" t="s">
        <v>29</v>
      </c>
      <c r="V435" s="3" t="s">
        <v>29</v>
      </c>
      <c r="W435" s="11" t="s">
        <v>143</v>
      </c>
      <c r="X435" s="3" t="s">
        <v>143</v>
      </c>
      <c r="Y435" s="77" t="s">
        <v>48</v>
      </c>
      <c r="Z435" s="84" t="s">
        <v>414</v>
      </c>
      <c r="AA435" s="89" t="s">
        <v>62</v>
      </c>
      <c r="AB435" s="90" t="str">
        <f>HYPERLINK(CONCATENATE("https://www.ejacket.nsf.gov/ej/showProposal.do?ID=",SUBSTITUTE(SplitQueryTableRecent[[#This Row],[prop_id]],CHAR(160),"")),"eJ")</f>
        <v>eJ</v>
      </c>
      <c r="AC435" s="89" t="s">
        <v>476</v>
      </c>
      <c r="AD435" s="3" t="s">
        <v>476</v>
      </c>
      <c r="AE435" s="91">
        <v>2020</v>
      </c>
      <c r="AF435" s="13" t="s">
        <v>43</v>
      </c>
      <c r="AG435" s="13">
        <v>104113</v>
      </c>
      <c r="AH435" s="45">
        <v>400000</v>
      </c>
      <c r="AI435" s="44" t="s">
        <v>477</v>
      </c>
      <c r="AJ435" s="2" t="s">
        <v>478</v>
      </c>
      <c r="AK435" s="46" t="s">
        <v>301</v>
      </c>
      <c r="AL435" s="55" t="s">
        <v>341</v>
      </c>
      <c r="AM435" s="45" t="s">
        <v>341</v>
      </c>
      <c r="AN435" s="56" t="s">
        <v>142</v>
      </c>
      <c r="AO435" s="23" t="s">
        <v>146</v>
      </c>
      <c r="AP435" s="11" t="s">
        <v>205</v>
      </c>
      <c r="AQ435" s="88" t="s">
        <v>415</v>
      </c>
      <c r="AR435" s="57" t="s">
        <v>188</v>
      </c>
      <c r="AS435" s="46">
        <v>42859.694421296299</v>
      </c>
      <c r="AT435" s="3">
        <f t="shared" si="6"/>
        <v>311</v>
      </c>
    </row>
    <row r="436" spans="8:46" x14ac:dyDescent="0.4">
      <c r="H436" s="59">
        <v>42992.404930555553</v>
      </c>
      <c r="I436" s="43">
        <v>42202.431944444441</v>
      </c>
      <c r="J436" s="42">
        <v>42388.394479166665</v>
      </c>
      <c r="K436" s="81" t="s">
        <v>49</v>
      </c>
      <c r="L436" t="s">
        <v>49</v>
      </c>
      <c r="M436" t="s">
        <v>336</v>
      </c>
      <c r="N436" s="1" t="s">
        <v>336</v>
      </c>
      <c r="O436" s="1" t="s">
        <v>245</v>
      </c>
      <c r="P436" t="s">
        <v>245</v>
      </c>
      <c r="Q436" s="9" t="s">
        <v>45</v>
      </c>
      <c r="R436" s="82" t="s">
        <v>45</v>
      </c>
      <c r="S436" s="44" t="s">
        <v>194</v>
      </c>
      <c r="T436" s="3" t="s">
        <v>61</v>
      </c>
      <c r="U436" s="2" t="s">
        <v>29</v>
      </c>
      <c r="V436" s="3" t="s">
        <v>29</v>
      </c>
      <c r="W436" s="11" t="s">
        <v>143</v>
      </c>
      <c r="X436" s="3" t="s">
        <v>143</v>
      </c>
      <c r="Y436" s="77" t="s">
        <v>48</v>
      </c>
      <c r="Z436" s="84" t="s">
        <v>479</v>
      </c>
      <c r="AA436" s="89" t="s">
        <v>28</v>
      </c>
      <c r="AB436" s="90" t="str">
        <f>HYPERLINK(CONCATENATE("https://www.ejacket.nsf.gov/ej/showProposal.do?ID=",SUBSTITUTE(SplitQueryTableRecent[[#This Row],[prop_id]],CHAR(160),"")),"eJ")</f>
        <v>eJ</v>
      </c>
      <c r="AC436" s="89" t="s">
        <v>479</v>
      </c>
      <c r="AD436" s="3" t="s">
        <v>479</v>
      </c>
      <c r="AE436" s="91">
        <v>2016</v>
      </c>
      <c r="AF436" s="13" t="s">
        <v>43</v>
      </c>
      <c r="AG436" s="13">
        <v>190082</v>
      </c>
      <c r="AH436" s="45">
        <v>500000</v>
      </c>
      <c r="AI436" s="44" t="s">
        <v>482</v>
      </c>
      <c r="AJ436" s="2" t="s">
        <v>483</v>
      </c>
      <c r="AK436" s="46" t="s">
        <v>212</v>
      </c>
      <c r="AL436" s="55" t="s">
        <v>481</v>
      </c>
      <c r="AM436" s="45" t="s">
        <v>481</v>
      </c>
      <c r="AN436" s="56" t="s">
        <v>142</v>
      </c>
      <c r="AO436" s="23" t="s">
        <v>146</v>
      </c>
      <c r="AP436" s="11"/>
      <c r="AQ436" s="88" t="s">
        <v>480</v>
      </c>
      <c r="AR436" s="57" t="s">
        <v>164</v>
      </c>
      <c r="AS436" s="46">
        <v>42398.403541666667</v>
      </c>
      <c r="AT436" s="3">
        <f t="shared" si="6"/>
        <v>312</v>
      </c>
    </row>
    <row r="437" spans="8:46" x14ac:dyDescent="0.4">
      <c r="H437" s="59">
        <v>42992.404930555553</v>
      </c>
      <c r="I437" s="43">
        <v>42202.431944444441</v>
      </c>
      <c r="J437" s="42">
        <v>42388.394479166665</v>
      </c>
      <c r="K437" s="81" t="s">
        <v>49</v>
      </c>
      <c r="L437" t="s">
        <v>49</v>
      </c>
      <c r="M437" t="s">
        <v>336</v>
      </c>
      <c r="N437" s="1" t="s">
        <v>336</v>
      </c>
      <c r="O437" s="1" t="s">
        <v>245</v>
      </c>
      <c r="P437" t="s">
        <v>245</v>
      </c>
      <c r="Q437" s="9" t="s">
        <v>45</v>
      </c>
      <c r="R437" s="82" t="s">
        <v>45</v>
      </c>
      <c r="S437" s="44" t="s">
        <v>194</v>
      </c>
      <c r="T437" s="3" t="s">
        <v>61</v>
      </c>
      <c r="U437" s="2" t="s">
        <v>29</v>
      </c>
      <c r="V437" s="3" t="s">
        <v>29</v>
      </c>
      <c r="W437" s="11" t="s">
        <v>143</v>
      </c>
      <c r="X437" s="3" t="s">
        <v>143</v>
      </c>
      <c r="Y437" s="77" t="s">
        <v>48</v>
      </c>
      <c r="Z437" s="84" t="s">
        <v>479</v>
      </c>
      <c r="AA437" s="89" t="s">
        <v>28</v>
      </c>
      <c r="AB437" s="90" t="str">
        <f>HYPERLINK(CONCATENATE("https://www.ejacket.nsf.gov/ej/showProposal.do?ID=",SUBSTITUTE(SplitQueryTableRecent[[#This Row],[prop_id]],CHAR(160),"")),"eJ")</f>
        <v>eJ</v>
      </c>
      <c r="AC437" s="89" t="s">
        <v>479</v>
      </c>
      <c r="AD437" s="3" t="s">
        <v>479</v>
      </c>
      <c r="AE437" s="91">
        <v>2018</v>
      </c>
      <c r="AF437" s="13" t="s">
        <v>43</v>
      </c>
      <c r="AG437" s="13">
        <v>203151</v>
      </c>
      <c r="AH437" s="45">
        <v>500000</v>
      </c>
      <c r="AI437" s="44" t="s">
        <v>482</v>
      </c>
      <c r="AJ437" s="2" t="s">
        <v>483</v>
      </c>
      <c r="AK437" s="46" t="s">
        <v>212</v>
      </c>
      <c r="AL437" s="55" t="s">
        <v>481</v>
      </c>
      <c r="AM437" s="45" t="s">
        <v>481</v>
      </c>
      <c r="AN437" s="56" t="s">
        <v>142</v>
      </c>
      <c r="AO437" s="23" t="s">
        <v>146</v>
      </c>
      <c r="AP437" s="11" t="s">
        <v>205</v>
      </c>
      <c r="AQ437" s="88" t="s">
        <v>480</v>
      </c>
      <c r="AR437" s="57" t="s">
        <v>164</v>
      </c>
      <c r="AS437" s="46">
        <v>42398.403541666667</v>
      </c>
      <c r="AT437" s="3">
        <f t="shared" si="6"/>
        <v>312</v>
      </c>
    </row>
    <row r="438" spans="8:46" x14ac:dyDescent="0.4">
      <c r="H438" s="59">
        <v>42992.404930555553</v>
      </c>
      <c r="I438" s="43">
        <v>42202.431944444441</v>
      </c>
      <c r="J438" s="42">
        <v>42388.394479166665</v>
      </c>
      <c r="K438" s="81" t="s">
        <v>49</v>
      </c>
      <c r="L438" t="s">
        <v>49</v>
      </c>
      <c r="M438" t="s">
        <v>336</v>
      </c>
      <c r="N438" s="1" t="s">
        <v>336</v>
      </c>
      <c r="O438" s="1" t="s">
        <v>245</v>
      </c>
      <c r="P438" t="s">
        <v>245</v>
      </c>
      <c r="Q438" s="9" t="s">
        <v>45</v>
      </c>
      <c r="R438" s="82" t="s">
        <v>45</v>
      </c>
      <c r="S438" s="44" t="s">
        <v>194</v>
      </c>
      <c r="T438" s="3" t="s">
        <v>61</v>
      </c>
      <c r="U438" s="2" t="s">
        <v>29</v>
      </c>
      <c r="V438" s="3" t="s">
        <v>29</v>
      </c>
      <c r="W438" s="11" t="s">
        <v>143</v>
      </c>
      <c r="X438" s="3" t="s">
        <v>143</v>
      </c>
      <c r="Y438" s="77" t="s">
        <v>48</v>
      </c>
      <c r="Z438" s="84" t="s">
        <v>479</v>
      </c>
      <c r="AA438" s="89" t="s">
        <v>28</v>
      </c>
      <c r="AB438" s="90" t="str">
        <f>HYPERLINK(CONCATENATE("https://www.ejacket.nsf.gov/ej/showProposal.do?ID=",SUBSTITUTE(SplitQueryTableRecent[[#This Row],[prop_id]],CHAR(160),"")),"eJ")</f>
        <v>eJ</v>
      </c>
      <c r="AC438" s="89" t="s">
        <v>479</v>
      </c>
      <c r="AD438" s="3" t="s">
        <v>479</v>
      </c>
      <c r="AE438" s="91">
        <v>2020</v>
      </c>
      <c r="AF438" s="13" t="s">
        <v>43</v>
      </c>
      <c r="AG438" s="13">
        <v>106767</v>
      </c>
      <c r="AH438" s="45">
        <v>500000</v>
      </c>
      <c r="AI438" s="44" t="s">
        <v>482</v>
      </c>
      <c r="AJ438" s="2" t="s">
        <v>483</v>
      </c>
      <c r="AK438" s="46" t="s">
        <v>212</v>
      </c>
      <c r="AL438" s="55" t="s">
        <v>481</v>
      </c>
      <c r="AM438" s="45" t="s">
        <v>481</v>
      </c>
      <c r="AN438" s="56" t="s">
        <v>142</v>
      </c>
      <c r="AO438" s="23" t="s">
        <v>146</v>
      </c>
      <c r="AP438" s="11" t="s">
        <v>205</v>
      </c>
      <c r="AQ438" s="88" t="s">
        <v>480</v>
      </c>
      <c r="AR438" s="57" t="s">
        <v>164</v>
      </c>
      <c r="AS438" s="46">
        <v>42398.403541666667</v>
      </c>
      <c r="AT438" s="3">
        <f t="shared" si="6"/>
        <v>312</v>
      </c>
    </row>
    <row r="439" spans="8:46" x14ac:dyDescent="0.4">
      <c r="H439" s="59">
        <v>42992.404930555553</v>
      </c>
      <c r="I439" s="43">
        <v>41841.676388888889</v>
      </c>
      <c r="J439" s="42">
        <v>42046.421319444446</v>
      </c>
      <c r="K439" s="81" t="s">
        <v>49</v>
      </c>
      <c r="L439" t="s">
        <v>49</v>
      </c>
      <c r="M439" t="s">
        <v>336</v>
      </c>
      <c r="N439" s="1" t="s">
        <v>336</v>
      </c>
      <c r="O439" s="1" t="s">
        <v>337</v>
      </c>
      <c r="P439" t="s">
        <v>337</v>
      </c>
      <c r="Q439" s="9" t="s">
        <v>45</v>
      </c>
      <c r="R439" s="82" t="s">
        <v>45</v>
      </c>
      <c r="S439" s="44" t="s">
        <v>190</v>
      </c>
      <c r="T439" s="3" t="s">
        <v>61</v>
      </c>
      <c r="U439" s="2" t="s">
        <v>29</v>
      </c>
      <c r="V439" s="3" t="s">
        <v>29</v>
      </c>
      <c r="W439" s="11" t="s">
        <v>143</v>
      </c>
      <c r="X439" s="3" t="s">
        <v>143</v>
      </c>
      <c r="Y439" s="77" t="s">
        <v>48</v>
      </c>
      <c r="Z439" s="84" t="s">
        <v>484</v>
      </c>
      <c r="AA439" s="89" t="s">
        <v>28</v>
      </c>
      <c r="AB439" s="90" t="str">
        <f>HYPERLINK(CONCATENATE("https://www.ejacket.nsf.gov/ej/showProposal.do?ID=",SUBSTITUTE(SplitQueryTableRecent[[#This Row],[prop_id]],CHAR(160),"")),"eJ")</f>
        <v>eJ</v>
      </c>
      <c r="AC439" s="89" t="s">
        <v>484</v>
      </c>
      <c r="AD439" s="3" t="s">
        <v>484</v>
      </c>
      <c r="AE439" s="91">
        <v>2015</v>
      </c>
      <c r="AF439" s="13" t="s">
        <v>43</v>
      </c>
      <c r="AG439" s="13">
        <v>84255</v>
      </c>
      <c r="AH439" s="45">
        <v>449341</v>
      </c>
      <c r="AI439" s="44" t="s">
        <v>487</v>
      </c>
      <c r="AJ439" s="2" t="s">
        <v>488</v>
      </c>
      <c r="AK439" s="46" t="s">
        <v>301</v>
      </c>
      <c r="AL439" s="55" t="s">
        <v>486</v>
      </c>
      <c r="AM439" s="45" t="s">
        <v>426</v>
      </c>
      <c r="AN439" s="56" t="s">
        <v>142</v>
      </c>
      <c r="AO439" s="23" t="s">
        <v>146</v>
      </c>
      <c r="AP439" s="11"/>
      <c r="AQ439" s="88" t="s">
        <v>485</v>
      </c>
      <c r="AR439" s="57" t="s">
        <v>164</v>
      </c>
      <c r="AS439" s="46">
        <v>42066.426261574074</v>
      </c>
      <c r="AT439" s="3">
        <f t="shared" si="6"/>
        <v>313</v>
      </c>
    </row>
    <row r="440" spans="8:46" x14ac:dyDescent="0.4">
      <c r="H440" s="59">
        <v>42992.404930555553</v>
      </c>
      <c r="I440" s="43">
        <v>41841.676388888889</v>
      </c>
      <c r="J440" s="42">
        <v>42046.421319444446</v>
      </c>
      <c r="K440" s="81" t="s">
        <v>49</v>
      </c>
      <c r="L440" t="s">
        <v>49</v>
      </c>
      <c r="M440" t="s">
        <v>336</v>
      </c>
      <c r="N440" s="1" t="s">
        <v>336</v>
      </c>
      <c r="O440" s="1" t="s">
        <v>337</v>
      </c>
      <c r="P440" t="s">
        <v>337</v>
      </c>
      <c r="Q440" s="9" t="s">
        <v>45</v>
      </c>
      <c r="R440" s="82" t="s">
        <v>45</v>
      </c>
      <c r="S440" s="44" t="s">
        <v>190</v>
      </c>
      <c r="T440" s="3" t="s">
        <v>61</v>
      </c>
      <c r="U440" s="2" t="s">
        <v>29</v>
      </c>
      <c r="V440" s="3" t="s">
        <v>29</v>
      </c>
      <c r="W440" s="11" t="s">
        <v>143</v>
      </c>
      <c r="X440" s="3" t="s">
        <v>143</v>
      </c>
      <c r="Y440" s="77" t="s">
        <v>48</v>
      </c>
      <c r="Z440" s="84" t="s">
        <v>484</v>
      </c>
      <c r="AA440" s="89" t="s">
        <v>28</v>
      </c>
      <c r="AB440" s="90" t="str">
        <f>HYPERLINK(CONCATENATE("https://www.ejacket.nsf.gov/ej/showProposal.do?ID=",SUBSTITUTE(SplitQueryTableRecent[[#This Row],[prop_id]],CHAR(160),"")),"eJ")</f>
        <v>eJ</v>
      </c>
      <c r="AC440" s="89" t="s">
        <v>484</v>
      </c>
      <c r="AD440" s="3" t="s">
        <v>484</v>
      </c>
      <c r="AE440" s="91">
        <v>2016</v>
      </c>
      <c r="AF440" s="13" t="s">
        <v>43</v>
      </c>
      <c r="AG440" s="13">
        <v>86951</v>
      </c>
      <c r="AH440" s="45">
        <v>449341</v>
      </c>
      <c r="AI440" s="44" t="s">
        <v>487</v>
      </c>
      <c r="AJ440" s="2" t="s">
        <v>488</v>
      </c>
      <c r="AK440" s="46" t="s">
        <v>301</v>
      </c>
      <c r="AL440" s="55" t="s">
        <v>486</v>
      </c>
      <c r="AM440" s="45" t="s">
        <v>426</v>
      </c>
      <c r="AN440" s="56" t="s">
        <v>142</v>
      </c>
      <c r="AO440" s="23" t="s">
        <v>146</v>
      </c>
      <c r="AP440" s="11" t="s">
        <v>172</v>
      </c>
      <c r="AQ440" s="88" t="s">
        <v>485</v>
      </c>
      <c r="AR440" s="57" t="s">
        <v>1521</v>
      </c>
      <c r="AS440" s="46">
        <v>42522.641886574071</v>
      </c>
      <c r="AT440" s="3">
        <f t="shared" si="6"/>
        <v>313</v>
      </c>
    </row>
    <row r="441" spans="8:46" x14ac:dyDescent="0.4">
      <c r="H441" s="59">
        <v>42992.404930555553</v>
      </c>
      <c r="I441" s="43">
        <v>41841.676388888889</v>
      </c>
      <c r="J441" s="42">
        <v>42046.421319444446</v>
      </c>
      <c r="K441" s="81" t="s">
        <v>49</v>
      </c>
      <c r="L441" t="s">
        <v>49</v>
      </c>
      <c r="M441" t="s">
        <v>336</v>
      </c>
      <c r="N441" s="1" t="s">
        <v>336</v>
      </c>
      <c r="O441" s="1" t="s">
        <v>337</v>
      </c>
      <c r="P441" t="s">
        <v>337</v>
      </c>
      <c r="Q441" s="9" t="s">
        <v>45</v>
      </c>
      <c r="R441" s="82" t="s">
        <v>45</v>
      </c>
      <c r="S441" s="44" t="s">
        <v>190</v>
      </c>
      <c r="T441" s="3" t="s">
        <v>61</v>
      </c>
      <c r="U441" s="2" t="s">
        <v>29</v>
      </c>
      <c r="V441" s="3" t="s">
        <v>29</v>
      </c>
      <c r="W441" s="11" t="s">
        <v>143</v>
      </c>
      <c r="X441" s="3" t="s">
        <v>143</v>
      </c>
      <c r="Y441" s="77" t="s">
        <v>48</v>
      </c>
      <c r="Z441" s="84" t="s">
        <v>484</v>
      </c>
      <c r="AA441" s="89" t="s">
        <v>28</v>
      </c>
      <c r="AB441" s="90" t="str">
        <f>HYPERLINK(CONCATENATE("https://www.ejacket.nsf.gov/ej/showProposal.do?ID=",SUBSTITUTE(SplitQueryTableRecent[[#This Row],[prop_id]],CHAR(160),"")),"eJ")</f>
        <v>eJ</v>
      </c>
      <c r="AC441" s="89" t="s">
        <v>484</v>
      </c>
      <c r="AD441" s="3" t="s">
        <v>484</v>
      </c>
      <c r="AE441" s="91">
        <v>2017</v>
      </c>
      <c r="AF441" s="13" t="s">
        <v>43</v>
      </c>
      <c r="AG441" s="13">
        <v>89754</v>
      </c>
      <c r="AH441" s="45">
        <v>449341</v>
      </c>
      <c r="AI441" s="44" t="s">
        <v>487</v>
      </c>
      <c r="AJ441" s="2" t="s">
        <v>488</v>
      </c>
      <c r="AK441" s="46" t="s">
        <v>301</v>
      </c>
      <c r="AL441" s="55" t="s">
        <v>486</v>
      </c>
      <c r="AM441" s="45" t="s">
        <v>426</v>
      </c>
      <c r="AN441" s="56" t="s">
        <v>142</v>
      </c>
      <c r="AO441" s="23" t="s">
        <v>146</v>
      </c>
      <c r="AP441" s="11" t="s">
        <v>172</v>
      </c>
      <c r="AQ441" s="88" t="s">
        <v>485</v>
      </c>
      <c r="AR441" s="57" t="s">
        <v>40</v>
      </c>
      <c r="AS441" s="46">
        <v>42845.715902777774</v>
      </c>
      <c r="AT441" s="3">
        <f t="shared" si="6"/>
        <v>313</v>
      </c>
    </row>
    <row r="442" spans="8:46" x14ac:dyDescent="0.4">
      <c r="H442" s="59">
        <v>42992.404930555553</v>
      </c>
      <c r="I442" s="43">
        <v>41841.676388888889</v>
      </c>
      <c r="J442" s="42">
        <v>42046.421319444446</v>
      </c>
      <c r="K442" s="81" t="s">
        <v>49</v>
      </c>
      <c r="L442" t="s">
        <v>49</v>
      </c>
      <c r="M442" t="s">
        <v>336</v>
      </c>
      <c r="N442" s="1" t="s">
        <v>336</v>
      </c>
      <c r="O442" s="1" t="s">
        <v>337</v>
      </c>
      <c r="P442" t="s">
        <v>337</v>
      </c>
      <c r="Q442" s="9" t="s">
        <v>45</v>
      </c>
      <c r="R442" s="82" t="s">
        <v>45</v>
      </c>
      <c r="S442" s="44" t="s">
        <v>190</v>
      </c>
      <c r="T442" s="3" t="s">
        <v>61</v>
      </c>
      <c r="U442" s="2" t="s">
        <v>29</v>
      </c>
      <c r="V442" s="3" t="s">
        <v>29</v>
      </c>
      <c r="W442" s="11" t="s">
        <v>143</v>
      </c>
      <c r="X442" s="3" t="s">
        <v>143</v>
      </c>
      <c r="Y442" s="77" t="s">
        <v>48</v>
      </c>
      <c r="Z442" s="84" t="s">
        <v>484</v>
      </c>
      <c r="AA442" s="89" t="s">
        <v>28</v>
      </c>
      <c r="AB442" s="90" t="str">
        <f>HYPERLINK(CONCATENATE("https://www.ejacket.nsf.gov/ej/showProposal.do?ID=",SUBSTITUTE(SplitQueryTableRecent[[#This Row],[prop_id]],CHAR(160),"")),"eJ")</f>
        <v>eJ</v>
      </c>
      <c r="AC442" s="89" t="s">
        <v>484</v>
      </c>
      <c r="AD442" s="3" t="s">
        <v>484</v>
      </c>
      <c r="AE442" s="91">
        <v>2018</v>
      </c>
      <c r="AF442" s="13" t="s">
        <v>43</v>
      </c>
      <c r="AG442" s="13">
        <v>92672</v>
      </c>
      <c r="AH442" s="45">
        <v>449341</v>
      </c>
      <c r="AI442" s="44" t="s">
        <v>487</v>
      </c>
      <c r="AJ442" s="2" t="s">
        <v>488</v>
      </c>
      <c r="AK442" s="46" t="s">
        <v>301</v>
      </c>
      <c r="AL442" s="55" t="s">
        <v>486</v>
      </c>
      <c r="AM442" s="45" t="s">
        <v>426</v>
      </c>
      <c r="AN442" s="56" t="s">
        <v>142</v>
      </c>
      <c r="AO442" s="23" t="s">
        <v>146</v>
      </c>
      <c r="AP442" s="11" t="s">
        <v>205</v>
      </c>
      <c r="AQ442" s="88" t="s">
        <v>485</v>
      </c>
      <c r="AR442" s="57" t="s">
        <v>40</v>
      </c>
      <c r="AS442" s="46">
        <v>42845.715902777774</v>
      </c>
      <c r="AT442" s="3">
        <f t="shared" si="6"/>
        <v>313</v>
      </c>
    </row>
    <row r="443" spans="8:46" x14ac:dyDescent="0.4">
      <c r="H443" s="59">
        <v>42992.404930555553</v>
      </c>
      <c r="I443" s="43">
        <v>41841.676388888889</v>
      </c>
      <c r="J443" s="42">
        <v>42046.421319444446</v>
      </c>
      <c r="K443" s="81" t="s">
        <v>49</v>
      </c>
      <c r="L443" t="s">
        <v>49</v>
      </c>
      <c r="M443" t="s">
        <v>336</v>
      </c>
      <c r="N443" s="1" t="s">
        <v>336</v>
      </c>
      <c r="O443" s="1" t="s">
        <v>337</v>
      </c>
      <c r="P443" t="s">
        <v>337</v>
      </c>
      <c r="Q443" s="9" t="s">
        <v>45</v>
      </c>
      <c r="R443" s="82" t="s">
        <v>45</v>
      </c>
      <c r="S443" s="44" t="s">
        <v>190</v>
      </c>
      <c r="T443" s="3" t="s">
        <v>61</v>
      </c>
      <c r="U443" s="2" t="s">
        <v>29</v>
      </c>
      <c r="V443" s="3" t="s">
        <v>29</v>
      </c>
      <c r="W443" s="11" t="s">
        <v>143</v>
      </c>
      <c r="X443" s="3" t="s">
        <v>143</v>
      </c>
      <c r="Y443" s="77" t="s">
        <v>48</v>
      </c>
      <c r="Z443" s="84" t="s">
        <v>484</v>
      </c>
      <c r="AA443" s="89" t="s">
        <v>28</v>
      </c>
      <c r="AB443" s="90" t="str">
        <f>HYPERLINK(CONCATENATE("https://www.ejacket.nsf.gov/ej/showProposal.do?ID=",SUBSTITUTE(SplitQueryTableRecent[[#This Row],[prop_id]],CHAR(160),"")),"eJ")</f>
        <v>eJ</v>
      </c>
      <c r="AC443" s="89" t="s">
        <v>484</v>
      </c>
      <c r="AD443" s="3" t="s">
        <v>484</v>
      </c>
      <c r="AE443" s="91">
        <v>2019</v>
      </c>
      <c r="AF443" s="13" t="s">
        <v>43</v>
      </c>
      <c r="AG443" s="13">
        <v>95709</v>
      </c>
      <c r="AH443" s="45">
        <v>449341</v>
      </c>
      <c r="AI443" s="44" t="s">
        <v>487</v>
      </c>
      <c r="AJ443" s="2" t="s">
        <v>488</v>
      </c>
      <c r="AK443" s="46" t="s">
        <v>301</v>
      </c>
      <c r="AL443" s="55" t="s">
        <v>486</v>
      </c>
      <c r="AM443" s="45" t="s">
        <v>426</v>
      </c>
      <c r="AN443" s="56" t="s">
        <v>142</v>
      </c>
      <c r="AO443" s="23" t="s">
        <v>146</v>
      </c>
      <c r="AP443" s="11" t="s">
        <v>205</v>
      </c>
      <c r="AQ443" s="88" t="s">
        <v>485</v>
      </c>
      <c r="AR443" s="57" t="s">
        <v>40</v>
      </c>
      <c r="AS443" s="46">
        <v>42845.715902777774</v>
      </c>
      <c r="AT443" s="3">
        <f t="shared" si="6"/>
        <v>313</v>
      </c>
    </row>
    <row r="444" spans="8:46" x14ac:dyDescent="0.4">
      <c r="H444" s="59">
        <v>42992.404930555553</v>
      </c>
      <c r="I444" s="43">
        <v>41963.436111111114</v>
      </c>
      <c r="J444" s="42">
        <v>42205.964629629627</v>
      </c>
      <c r="K444" s="81" t="s">
        <v>137</v>
      </c>
      <c r="L444" t="s">
        <v>49</v>
      </c>
      <c r="M444" t="s">
        <v>594</v>
      </c>
      <c r="N444" s="1" t="s">
        <v>336</v>
      </c>
      <c r="O444" s="1" t="s">
        <v>227</v>
      </c>
      <c r="P444" t="s">
        <v>245</v>
      </c>
      <c r="Q444" s="9" t="s">
        <v>45</v>
      </c>
      <c r="R444" s="82" t="s">
        <v>45</v>
      </c>
      <c r="S444" s="44" t="s">
        <v>1132</v>
      </c>
      <c r="T444" s="3" t="s">
        <v>61</v>
      </c>
      <c r="U444" s="2" t="s">
        <v>29</v>
      </c>
      <c r="V444" s="3" t="s">
        <v>29</v>
      </c>
      <c r="W444" s="11" t="s">
        <v>143</v>
      </c>
      <c r="X444" s="3" t="s">
        <v>143</v>
      </c>
      <c r="Y444" s="77" t="s">
        <v>334</v>
      </c>
      <c r="Z444" s="84" t="s">
        <v>1522</v>
      </c>
      <c r="AA444" s="89" t="s">
        <v>62</v>
      </c>
      <c r="AB444" s="90" t="str">
        <f>HYPERLINK(CONCATENATE("https://www.ejacket.nsf.gov/ej/showProposal.do?ID=",SUBSTITUTE(SplitQueryTableRecent[[#This Row],[prop_id]],CHAR(160),"")),"eJ")</f>
        <v>eJ</v>
      </c>
      <c r="AC444" s="89" t="s">
        <v>1585</v>
      </c>
      <c r="AD444" s="3" t="s">
        <v>1585</v>
      </c>
      <c r="AE444" s="91">
        <v>2015</v>
      </c>
      <c r="AF444" s="13" t="s">
        <v>43</v>
      </c>
      <c r="AG444" s="13">
        <v>108000</v>
      </c>
      <c r="AH444" s="45">
        <v>400000</v>
      </c>
      <c r="AI444" s="44" t="s">
        <v>220</v>
      </c>
      <c r="AJ444" s="2" t="s">
        <v>1363</v>
      </c>
      <c r="AK444" s="46" t="s">
        <v>1752</v>
      </c>
      <c r="AL444" s="55" t="s">
        <v>527</v>
      </c>
      <c r="AM444" s="45" t="s">
        <v>1524</v>
      </c>
      <c r="AN444" s="56" t="s">
        <v>142</v>
      </c>
      <c r="AO444" s="23" t="s">
        <v>146</v>
      </c>
      <c r="AP444" s="11"/>
      <c r="AQ444" s="88" t="s">
        <v>1523</v>
      </c>
      <c r="AR444" s="57" t="s">
        <v>164</v>
      </c>
      <c r="AS444" s="46">
        <v>42241.418888888889</v>
      </c>
      <c r="AT444" s="3">
        <f t="shared" si="6"/>
        <v>314</v>
      </c>
    </row>
    <row r="445" spans="8:46" x14ac:dyDescent="0.4">
      <c r="H445" s="59">
        <v>42992.404930555553</v>
      </c>
      <c r="I445" s="43">
        <v>41477.495833333334</v>
      </c>
      <c r="J445" s="42">
        <v>41652.605451388888</v>
      </c>
      <c r="K445" s="81" t="s">
        <v>49</v>
      </c>
      <c r="L445" t="s">
        <v>49</v>
      </c>
      <c r="M445" t="s">
        <v>336</v>
      </c>
      <c r="N445" s="1" t="s">
        <v>336</v>
      </c>
      <c r="O445" s="1" t="s">
        <v>245</v>
      </c>
      <c r="P445" t="s">
        <v>245</v>
      </c>
      <c r="Q445" s="9" t="s">
        <v>45</v>
      </c>
      <c r="R445" s="82" t="s">
        <v>45</v>
      </c>
      <c r="S445" s="44" t="s">
        <v>168</v>
      </c>
      <c r="T445" s="3" t="s">
        <v>61</v>
      </c>
      <c r="U445" s="2" t="s">
        <v>29</v>
      </c>
      <c r="V445" s="3" t="s">
        <v>29</v>
      </c>
      <c r="W445" s="11" t="s">
        <v>143</v>
      </c>
      <c r="X445" s="3" t="s">
        <v>143</v>
      </c>
      <c r="Y445" s="77" t="s">
        <v>48</v>
      </c>
      <c r="Z445" s="84" t="s">
        <v>489</v>
      </c>
      <c r="AA445" s="89" t="s">
        <v>28</v>
      </c>
      <c r="AB445" s="90" t="str">
        <f>HYPERLINK(CONCATENATE("https://www.ejacket.nsf.gov/ej/showProposal.do?ID=",SUBSTITUTE(SplitQueryTableRecent[[#This Row],[prop_id]],CHAR(160),"")),"eJ")</f>
        <v>eJ</v>
      </c>
      <c r="AC445" s="89" t="s">
        <v>489</v>
      </c>
      <c r="AD445" s="3" t="s">
        <v>489</v>
      </c>
      <c r="AE445" s="91">
        <v>2014</v>
      </c>
      <c r="AF445" s="13" t="s">
        <v>43</v>
      </c>
      <c r="AG445" s="13">
        <v>279332</v>
      </c>
      <c r="AH445" s="45">
        <v>650000</v>
      </c>
      <c r="AI445" s="44" t="s">
        <v>491</v>
      </c>
      <c r="AJ445" s="2" t="s">
        <v>492</v>
      </c>
      <c r="AK445" s="46" t="s">
        <v>1726</v>
      </c>
      <c r="AL445" s="55" t="s">
        <v>430</v>
      </c>
      <c r="AM445" s="45" t="s">
        <v>430</v>
      </c>
      <c r="AN445" s="56" t="s">
        <v>142</v>
      </c>
      <c r="AO445" s="23" t="s">
        <v>146</v>
      </c>
      <c r="AP445" s="11"/>
      <c r="AQ445" s="88" t="s">
        <v>490</v>
      </c>
      <c r="AR445" s="57" t="s">
        <v>164</v>
      </c>
      <c r="AS445" s="46">
        <v>41666.493159722224</v>
      </c>
      <c r="AT445" s="3">
        <f t="shared" si="6"/>
        <v>315</v>
      </c>
    </row>
    <row r="446" spans="8:46" x14ac:dyDescent="0.4">
      <c r="H446" s="59">
        <v>42992.404930555553</v>
      </c>
      <c r="I446" s="43">
        <v>41477.495833333334</v>
      </c>
      <c r="J446" s="42">
        <v>41652.605451388888</v>
      </c>
      <c r="K446" s="81" t="s">
        <v>49</v>
      </c>
      <c r="L446" t="s">
        <v>49</v>
      </c>
      <c r="M446" t="s">
        <v>336</v>
      </c>
      <c r="N446" s="1" t="s">
        <v>336</v>
      </c>
      <c r="O446" s="1" t="s">
        <v>245</v>
      </c>
      <c r="P446" t="s">
        <v>245</v>
      </c>
      <c r="Q446" s="9" t="s">
        <v>45</v>
      </c>
      <c r="R446" s="82" t="s">
        <v>45</v>
      </c>
      <c r="S446" s="44" t="s">
        <v>168</v>
      </c>
      <c r="T446" s="3" t="s">
        <v>61</v>
      </c>
      <c r="U446" s="2" t="s">
        <v>29</v>
      </c>
      <c r="V446" s="3" t="s">
        <v>29</v>
      </c>
      <c r="W446" s="11" t="s">
        <v>143</v>
      </c>
      <c r="X446" s="3" t="s">
        <v>143</v>
      </c>
      <c r="Y446" s="77" t="s">
        <v>48</v>
      </c>
      <c r="Z446" s="84" t="s">
        <v>489</v>
      </c>
      <c r="AA446" s="89" t="s">
        <v>28</v>
      </c>
      <c r="AB446" s="90" t="str">
        <f>HYPERLINK(CONCATENATE("https://www.ejacket.nsf.gov/ej/showProposal.do?ID=",SUBSTITUTE(SplitQueryTableRecent[[#This Row],[prop_id]],CHAR(160),"")),"eJ")</f>
        <v>eJ</v>
      </c>
      <c r="AC446" s="89" t="s">
        <v>489</v>
      </c>
      <c r="AD446" s="3" t="s">
        <v>489</v>
      </c>
      <c r="AE446" s="91">
        <v>2018</v>
      </c>
      <c r="AF446" s="13" t="s">
        <v>43</v>
      </c>
      <c r="AG446" s="13">
        <v>99036</v>
      </c>
      <c r="AH446" s="45">
        <v>650000</v>
      </c>
      <c r="AI446" s="44" t="s">
        <v>491</v>
      </c>
      <c r="AJ446" s="2" t="s">
        <v>492</v>
      </c>
      <c r="AK446" s="46" t="s">
        <v>1726</v>
      </c>
      <c r="AL446" s="55" t="s">
        <v>430</v>
      </c>
      <c r="AM446" s="45" t="s">
        <v>430</v>
      </c>
      <c r="AN446" s="56" t="s">
        <v>142</v>
      </c>
      <c r="AO446" s="23" t="s">
        <v>146</v>
      </c>
      <c r="AP446" s="11" t="s">
        <v>205</v>
      </c>
      <c r="AQ446" s="88" t="s">
        <v>490</v>
      </c>
      <c r="AR446" s="57" t="s">
        <v>40</v>
      </c>
      <c r="AS446" s="46">
        <v>42409.430833333332</v>
      </c>
      <c r="AT446" s="3">
        <f t="shared" si="6"/>
        <v>315</v>
      </c>
    </row>
    <row r="447" spans="8:46" x14ac:dyDescent="0.4">
      <c r="H447" s="59">
        <v>42992.404930555553</v>
      </c>
      <c r="I447" s="43">
        <v>41477.495833333334</v>
      </c>
      <c r="J447" s="42">
        <v>41652.605451388888</v>
      </c>
      <c r="K447" s="81" t="s">
        <v>49</v>
      </c>
      <c r="L447" t="s">
        <v>49</v>
      </c>
      <c r="M447" t="s">
        <v>336</v>
      </c>
      <c r="N447" s="1" t="s">
        <v>336</v>
      </c>
      <c r="O447" s="1" t="s">
        <v>245</v>
      </c>
      <c r="P447" t="s">
        <v>245</v>
      </c>
      <c r="Q447" s="9" t="s">
        <v>45</v>
      </c>
      <c r="R447" s="82" t="s">
        <v>45</v>
      </c>
      <c r="S447" s="44" t="s">
        <v>168</v>
      </c>
      <c r="T447" s="3" t="s">
        <v>61</v>
      </c>
      <c r="U447" s="2" t="s">
        <v>29</v>
      </c>
      <c r="V447" s="3" t="s">
        <v>29</v>
      </c>
      <c r="W447" s="11" t="s">
        <v>143</v>
      </c>
      <c r="X447" s="3" t="s">
        <v>143</v>
      </c>
      <c r="Y447" s="77" t="s">
        <v>48</v>
      </c>
      <c r="Z447" s="84" t="s">
        <v>489</v>
      </c>
      <c r="AA447" s="89" t="s">
        <v>28</v>
      </c>
      <c r="AB447" s="90" t="str">
        <f>HYPERLINK(CONCATENATE("https://www.ejacket.nsf.gov/ej/showProposal.do?ID=",SUBSTITUTE(SplitQueryTableRecent[[#This Row],[prop_id]],CHAR(160),"")),"eJ")</f>
        <v>eJ</v>
      </c>
      <c r="AC447" s="89" t="s">
        <v>489</v>
      </c>
      <c r="AD447" s="3" t="s">
        <v>489</v>
      </c>
      <c r="AE447" s="91">
        <v>2016</v>
      </c>
      <c r="AF447" s="13" t="s">
        <v>44</v>
      </c>
      <c r="AG447" s="13">
        <v>217632</v>
      </c>
      <c r="AH447" s="45">
        <v>650000</v>
      </c>
      <c r="AI447" s="44" t="s">
        <v>491</v>
      </c>
      <c r="AJ447" s="2" t="s">
        <v>492</v>
      </c>
      <c r="AK447" s="46" t="s">
        <v>1726</v>
      </c>
      <c r="AL447" s="55" t="s">
        <v>430</v>
      </c>
      <c r="AM447" s="45" t="s">
        <v>430</v>
      </c>
      <c r="AN447" s="56" t="s">
        <v>142</v>
      </c>
      <c r="AO447" s="23" t="s">
        <v>146</v>
      </c>
      <c r="AP447" s="11" t="s">
        <v>172</v>
      </c>
      <c r="AQ447" s="88" t="s">
        <v>490</v>
      </c>
      <c r="AR447" s="57" t="s">
        <v>40</v>
      </c>
      <c r="AS447" s="46">
        <v>42409.430833333332</v>
      </c>
      <c r="AT447" s="3">
        <f t="shared" si="6"/>
        <v>315</v>
      </c>
    </row>
    <row r="448" spans="8:46" x14ac:dyDescent="0.4">
      <c r="H448" s="59">
        <v>42992.404930555553</v>
      </c>
      <c r="I448" s="43">
        <v>42206.677083333336</v>
      </c>
      <c r="J448" s="42">
        <v>42397.576354166667</v>
      </c>
      <c r="K448" s="81" t="s">
        <v>49</v>
      </c>
      <c r="L448" t="s">
        <v>49</v>
      </c>
      <c r="M448" t="s">
        <v>336</v>
      </c>
      <c r="N448" s="1" t="s">
        <v>336</v>
      </c>
      <c r="O448" s="1" t="s">
        <v>245</v>
      </c>
      <c r="P448" t="s">
        <v>245</v>
      </c>
      <c r="Q448" s="9" t="s">
        <v>45</v>
      </c>
      <c r="R448" s="82" t="s">
        <v>45</v>
      </c>
      <c r="S448" s="44" t="s">
        <v>194</v>
      </c>
      <c r="T448" s="3" t="s">
        <v>61</v>
      </c>
      <c r="U448" s="2" t="s">
        <v>29</v>
      </c>
      <c r="V448" s="3" t="s">
        <v>29</v>
      </c>
      <c r="W448" s="11" t="s">
        <v>143</v>
      </c>
      <c r="X448" s="3" t="s">
        <v>143</v>
      </c>
      <c r="Y448" s="77" t="s">
        <v>48</v>
      </c>
      <c r="Z448" s="84" t="s">
        <v>493</v>
      </c>
      <c r="AA448" s="89" t="s">
        <v>28</v>
      </c>
      <c r="AB448" s="90" t="str">
        <f>HYPERLINK(CONCATENATE("https://www.ejacket.nsf.gov/ej/showProposal.do?ID=",SUBSTITUTE(SplitQueryTableRecent[[#This Row],[prop_id]],CHAR(160),"")),"eJ")</f>
        <v>eJ</v>
      </c>
      <c r="AC448" s="89" t="s">
        <v>493</v>
      </c>
      <c r="AD448" s="3" t="s">
        <v>493</v>
      </c>
      <c r="AE448" s="91">
        <v>2016</v>
      </c>
      <c r="AF448" s="13" t="s">
        <v>43</v>
      </c>
      <c r="AG448" s="13">
        <v>176120</v>
      </c>
      <c r="AH448" s="45">
        <v>457685</v>
      </c>
      <c r="AI448" s="44" t="s">
        <v>495</v>
      </c>
      <c r="AJ448" s="2" t="s">
        <v>496</v>
      </c>
      <c r="AK448" s="46" t="s">
        <v>1720</v>
      </c>
      <c r="AL448" s="55" t="s">
        <v>481</v>
      </c>
      <c r="AM448" s="45" t="s">
        <v>481</v>
      </c>
      <c r="AN448" s="56" t="s">
        <v>142</v>
      </c>
      <c r="AO448" s="23" t="s">
        <v>146</v>
      </c>
      <c r="AP448" s="11"/>
      <c r="AQ448" s="88" t="s">
        <v>494</v>
      </c>
      <c r="AR448" s="57" t="s">
        <v>164</v>
      </c>
      <c r="AS448" s="46">
        <v>42416.553680555553</v>
      </c>
      <c r="AT448" s="3">
        <f t="shared" si="6"/>
        <v>316</v>
      </c>
    </row>
    <row r="449" spans="8:46" x14ac:dyDescent="0.4">
      <c r="H449" s="59">
        <v>42992.404930555553</v>
      </c>
      <c r="I449" s="43">
        <v>42206.677083333336</v>
      </c>
      <c r="J449" s="42">
        <v>42397.576354166667</v>
      </c>
      <c r="K449" s="81" t="s">
        <v>49</v>
      </c>
      <c r="L449" t="s">
        <v>49</v>
      </c>
      <c r="M449" t="s">
        <v>336</v>
      </c>
      <c r="N449" s="1" t="s">
        <v>336</v>
      </c>
      <c r="O449" s="1" t="s">
        <v>245</v>
      </c>
      <c r="P449" t="s">
        <v>245</v>
      </c>
      <c r="Q449" s="9" t="s">
        <v>45</v>
      </c>
      <c r="R449" s="82" t="s">
        <v>45</v>
      </c>
      <c r="S449" s="44" t="s">
        <v>194</v>
      </c>
      <c r="T449" s="3" t="s">
        <v>61</v>
      </c>
      <c r="U449" s="2" t="s">
        <v>29</v>
      </c>
      <c r="V449" s="3" t="s">
        <v>29</v>
      </c>
      <c r="W449" s="11" t="s">
        <v>143</v>
      </c>
      <c r="X449" s="3" t="s">
        <v>143</v>
      </c>
      <c r="Y449" s="77" t="s">
        <v>48</v>
      </c>
      <c r="Z449" s="84" t="s">
        <v>493</v>
      </c>
      <c r="AA449" s="89" t="s">
        <v>28</v>
      </c>
      <c r="AB449" s="90" t="str">
        <f>HYPERLINK(CONCATENATE("https://www.ejacket.nsf.gov/ej/showProposal.do?ID=",SUBSTITUTE(SplitQueryTableRecent[[#This Row],[prop_id]],CHAR(160),"")),"eJ")</f>
        <v>eJ</v>
      </c>
      <c r="AC449" s="89" t="s">
        <v>493</v>
      </c>
      <c r="AD449" s="3" t="s">
        <v>493</v>
      </c>
      <c r="AE449" s="91">
        <v>2018</v>
      </c>
      <c r="AF449" s="13" t="s">
        <v>43</v>
      </c>
      <c r="AG449" s="13">
        <v>183430</v>
      </c>
      <c r="AH449" s="45">
        <v>457685</v>
      </c>
      <c r="AI449" s="44" t="s">
        <v>495</v>
      </c>
      <c r="AJ449" s="2" t="s">
        <v>496</v>
      </c>
      <c r="AK449" s="46" t="s">
        <v>1720</v>
      </c>
      <c r="AL449" s="55" t="s">
        <v>481</v>
      </c>
      <c r="AM449" s="45" t="s">
        <v>481</v>
      </c>
      <c r="AN449" s="56" t="s">
        <v>142</v>
      </c>
      <c r="AO449" s="23" t="s">
        <v>146</v>
      </c>
      <c r="AP449" s="11" t="s">
        <v>205</v>
      </c>
      <c r="AQ449" s="88" t="s">
        <v>494</v>
      </c>
      <c r="AR449" s="57" t="s">
        <v>164</v>
      </c>
      <c r="AS449" s="46">
        <v>42416.553680555553</v>
      </c>
      <c r="AT449" s="3">
        <f t="shared" si="6"/>
        <v>316</v>
      </c>
    </row>
    <row r="450" spans="8:46" x14ac:dyDescent="0.4">
      <c r="H450" s="59">
        <v>42992.404930555553</v>
      </c>
      <c r="I450" s="43">
        <v>42206.677083333336</v>
      </c>
      <c r="J450" s="42">
        <v>42397.576354166667</v>
      </c>
      <c r="K450" s="81" t="s">
        <v>49</v>
      </c>
      <c r="L450" t="s">
        <v>49</v>
      </c>
      <c r="M450" t="s">
        <v>336</v>
      </c>
      <c r="N450" s="1" t="s">
        <v>336</v>
      </c>
      <c r="O450" s="1" t="s">
        <v>245</v>
      </c>
      <c r="P450" t="s">
        <v>245</v>
      </c>
      <c r="Q450" s="9" t="s">
        <v>45</v>
      </c>
      <c r="R450" s="82" t="s">
        <v>45</v>
      </c>
      <c r="S450" s="44" t="s">
        <v>194</v>
      </c>
      <c r="T450" s="3" t="s">
        <v>61</v>
      </c>
      <c r="U450" s="2" t="s">
        <v>29</v>
      </c>
      <c r="V450" s="3" t="s">
        <v>29</v>
      </c>
      <c r="W450" s="11" t="s">
        <v>143</v>
      </c>
      <c r="X450" s="3" t="s">
        <v>143</v>
      </c>
      <c r="Y450" s="77" t="s">
        <v>48</v>
      </c>
      <c r="Z450" s="84" t="s">
        <v>493</v>
      </c>
      <c r="AA450" s="89" t="s">
        <v>28</v>
      </c>
      <c r="AB450" s="90" t="str">
        <f>HYPERLINK(CONCATENATE("https://www.ejacket.nsf.gov/ej/showProposal.do?ID=",SUBSTITUTE(SplitQueryTableRecent[[#This Row],[prop_id]],CHAR(160),"")),"eJ")</f>
        <v>eJ</v>
      </c>
      <c r="AC450" s="89" t="s">
        <v>493</v>
      </c>
      <c r="AD450" s="3" t="s">
        <v>493</v>
      </c>
      <c r="AE450" s="91">
        <v>2020</v>
      </c>
      <c r="AF450" s="13" t="s">
        <v>43</v>
      </c>
      <c r="AG450" s="13">
        <v>98135</v>
      </c>
      <c r="AH450" s="45">
        <v>457685</v>
      </c>
      <c r="AI450" s="44" t="s">
        <v>495</v>
      </c>
      <c r="AJ450" s="2" t="s">
        <v>496</v>
      </c>
      <c r="AK450" s="46" t="s">
        <v>1720</v>
      </c>
      <c r="AL450" s="55" t="s">
        <v>481</v>
      </c>
      <c r="AM450" s="45" t="s">
        <v>481</v>
      </c>
      <c r="AN450" s="56" t="s">
        <v>142</v>
      </c>
      <c r="AO450" s="23" t="s">
        <v>146</v>
      </c>
      <c r="AP450" s="11" t="s">
        <v>205</v>
      </c>
      <c r="AQ450" s="88" t="s">
        <v>494</v>
      </c>
      <c r="AR450" s="57" t="s">
        <v>164</v>
      </c>
      <c r="AS450" s="46">
        <v>42416.553680555553</v>
      </c>
      <c r="AT450" s="3">
        <f t="shared" si="6"/>
        <v>316</v>
      </c>
    </row>
    <row r="451" spans="8:46" x14ac:dyDescent="0.4">
      <c r="H451" s="59">
        <v>42992.404930555553</v>
      </c>
      <c r="I451" s="43">
        <v>42569.814583333333</v>
      </c>
      <c r="J451" s="42">
        <v>42730.040486111109</v>
      </c>
      <c r="K451" s="81" t="s">
        <v>49</v>
      </c>
      <c r="L451" t="s">
        <v>49</v>
      </c>
      <c r="M451" t="s">
        <v>336</v>
      </c>
      <c r="N451" s="1" t="s">
        <v>336</v>
      </c>
      <c r="O451" s="1" t="s">
        <v>230</v>
      </c>
      <c r="P451" t="s">
        <v>230</v>
      </c>
      <c r="Q451" s="9" t="s">
        <v>45</v>
      </c>
      <c r="R451" s="82" t="s">
        <v>45</v>
      </c>
      <c r="S451" s="44" t="s">
        <v>194</v>
      </c>
      <c r="T451" s="3" t="s">
        <v>61</v>
      </c>
      <c r="U451" s="2" t="s">
        <v>29</v>
      </c>
      <c r="V451" s="3" t="s">
        <v>29</v>
      </c>
      <c r="W451" s="11" t="s">
        <v>143</v>
      </c>
      <c r="X451" s="3" t="s">
        <v>143</v>
      </c>
      <c r="Y451" s="77" t="s">
        <v>48</v>
      </c>
      <c r="Z451" s="84" t="s">
        <v>1588</v>
      </c>
      <c r="AA451" s="89" t="s">
        <v>28</v>
      </c>
      <c r="AB451" s="90" t="str">
        <f>HYPERLINK(CONCATENATE("https://www.ejacket.nsf.gov/ej/showProposal.do?ID=",SUBSTITUTE(SplitQueryTableRecent[[#This Row],[prop_id]],CHAR(160),"")),"eJ")</f>
        <v>eJ</v>
      </c>
      <c r="AC451" s="89" t="s">
        <v>1588</v>
      </c>
      <c r="AD451" s="3" t="s">
        <v>1588</v>
      </c>
      <c r="AE451" s="91">
        <v>2017</v>
      </c>
      <c r="AF451" s="13" t="s">
        <v>43</v>
      </c>
      <c r="AG451" s="13">
        <v>189894</v>
      </c>
      <c r="AH451" s="45">
        <v>500000</v>
      </c>
      <c r="AI451" s="44" t="s">
        <v>1290</v>
      </c>
      <c r="AJ451" s="2" t="s">
        <v>520</v>
      </c>
      <c r="AK451" s="46" t="s">
        <v>1746</v>
      </c>
      <c r="AL451" s="55" t="s">
        <v>1590</v>
      </c>
      <c r="AM451" s="45" t="s">
        <v>481</v>
      </c>
      <c r="AN451" s="56" t="s">
        <v>142</v>
      </c>
      <c r="AO451" s="23" t="s">
        <v>146</v>
      </c>
      <c r="AP451" s="11"/>
      <c r="AQ451" s="88" t="s">
        <v>1589</v>
      </c>
      <c r="AR451" s="57" t="s">
        <v>362</v>
      </c>
      <c r="AS451" s="46">
        <v>42779.467314814814</v>
      </c>
      <c r="AT451" s="3">
        <f t="shared" si="6"/>
        <v>317</v>
      </c>
    </row>
    <row r="452" spans="8:46" x14ac:dyDescent="0.4">
      <c r="H452" s="59">
        <v>42992.404930555553</v>
      </c>
      <c r="I452" s="43">
        <v>42569.814583333333</v>
      </c>
      <c r="J452" s="42">
        <v>42730.040486111109</v>
      </c>
      <c r="K452" s="81" t="s">
        <v>49</v>
      </c>
      <c r="L452" t="s">
        <v>49</v>
      </c>
      <c r="M452" t="s">
        <v>336</v>
      </c>
      <c r="N452" s="1" t="s">
        <v>336</v>
      </c>
      <c r="O452" s="1" t="s">
        <v>230</v>
      </c>
      <c r="P452" t="s">
        <v>230</v>
      </c>
      <c r="Q452" s="9" t="s">
        <v>45</v>
      </c>
      <c r="R452" s="82" t="s">
        <v>45</v>
      </c>
      <c r="S452" s="44" t="s">
        <v>194</v>
      </c>
      <c r="T452" s="3" t="s">
        <v>61</v>
      </c>
      <c r="U452" s="2" t="s">
        <v>29</v>
      </c>
      <c r="V452" s="3" t="s">
        <v>29</v>
      </c>
      <c r="W452" s="11" t="s">
        <v>143</v>
      </c>
      <c r="X452" s="3" t="s">
        <v>143</v>
      </c>
      <c r="Y452" s="77" t="s">
        <v>48</v>
      </c>
      <c r="Z452" s="84" t="s">
        <v>1588</v>
      </c>
      <c r="AA452" s="89" t="s">
        <v>28</v>
      </c>
      <c r="AB452" s="90" t="str">
        <f>HYPERLINK(CONCATENATE("https://www.ejacket.nsf.gov/ej/showProposal.do?ID=",SUBSTITUTE(SplitQueryTableRecent[[#This Row],[prop_id]],CHAR(160),"")),"eJ")</f>
        <v>eJ</v>
      </c>
      <c r="AC452" s="89" t="s">
        <v>1588</v>
      </c>
      <c r="AD452" s="3" t="s">
        <v>1588</v>
      </c>
      <c r="AE452" s="91">
        <v>2019</v>
      </c>
      <c r="AF452" s="13" t="s">
        <v>43</v>
      </c>
      <c r="AG452" s="13">
        <v>203167</v>
      </c>
      <c r="AH452" s="45">
        <v>500000</v>
      </c>
      <c r="AI452" s="44" t="s">
        <v>1290</v>
      </c>
      <c r="AJ452" s="2" t="s">
        <v>520</v>
      </c>
      <c r="AK452" s="46" t="s">
        <v>1746</v>
      </c>
      <c r="AL452" s="55" t="s">
        <v>1590</v>
      </c>
      <c r="AM452" s="45" t="s">
        <v>481</v>
      </c>
      <c r="AN452" s="56" t="s">
        <v>142</v>
      </c>
      <c r="AO452" s="23" t="s">
        <v>146</v>
      </c>
      <c r="AP452" s="11" t="s">
        <v>205</v>
      </c>
      <c r="AQ452" s="88" t="s">
        <v>1589</v>
      </c>
      <c r="AR452" s="57" t="s">
        <v>362</v>
      </c>
      <c r="AS452" s="46">
        <v>42779.467314814814</v>
      </c>
      <c r="AT452" s="3">
        <f t="shared" si="6"/>
        <v>317</v>
      </c>
    </row>
    <row r="453" spans="8:46" x14ac:dyDescent="0.4">
      <c r="H453" s="59">
        <v>42992.404930555553</v>
      </c>
      <c r="I453" s="43">
        <v>42569.814583333333</v>
      </c>
      <c r="J453" s="42">
        <v>42730.040486111109</v>
      </c>
      <c r="K453" s="81" t="s">
        <v>49</v>
      </c>
      <c r="L453" t="s">
        <v>49</v>
      </c>
      <c r="M453" t="s">
        <v>336</v>
      </c>
      <c r="N453" s="1" t="s">
        <v>336</v>
      </c>
      <c r="O453" s="1" t="s">
        <v>230</v>
      </c>
      <c r="P453" t="s">
        <v>230</v>
      </c>
      <c r="Q453" s="9" t="s">
        <v>45</v>
      </c>
      <c r="R453" s="82" t="s">
        <v>45</v>
      </c>
      <c r="S453" s="44" t="s">
        <v>194</v>
      </c>
      <c r="T453" s="3" t="s">
        <v>61</v>
      </c>
      <c r="U453" s="2" t="s">
        <v>29</v>
      </c>
      <c r="V453" s="3" t="s">
        <v>29</v>
      </c>
      <c r="W453" s="11" t="s">
        <v>143</v>
      </c>
      <c r="X453" s="3" t="s">
        <v>143</v>
      </c>
      <c r="Y453" s="77" t="s">
        <v>48</v>
      </c>
      <c r="Z453" s="84" t="s">
        <v>1588</v>
      </c>
      <c r="AA453" s="89" t="s">
        <v>28</v>
      </c>
      <c r="AB453" s="90" t="str">
        <f>HYPERLINK(CONCATENATE("https://www.ejacket.nsf.gov/ej/showProposal.do?ID=",SUBSTITUTE(SplitQueryTableRecent[[#This Row],[prop_id]],CHAR(160),"")),"eJ")</f>
        <v>eJ</v>
      </c>
      <c r="AC453" s="89" t="s">
        <v>1588</v>
      </c>
      <c r="AD453" s="3" t="s">
        <v>1588</v>
      </c>
      <c r="AE453" s="91">
        <v>2021</v>
      </c>
      <c r="AF453" s="13" t="s">
        <v>43</v>
      </c>
      <c r="AG453" s="13">
        <v>106939</v>
      </c>
      <c r="AH453" s="45">
        <v>500000</v>
      </c>
      <c r="AI453" s="44" t="s">
        <v>1290</v>
      </c>
      <c r="AJ453" s="2" t="s">
        <v>520</v>
      </c>
      <c r="AK453" s="46" t="s">
        <v>1746</v>
      </c>
      <c r="AL453" s="55" t="s">
        <v>1590</v>
      </c>
      <c r="AM453" s="45" t="s">
        <v>481</v>
      </c>
      <c r="AN453" s="56" t="s">
        <v>142</v>
      </c>
      <c r="AO453" s="23" t="s">
        <v>146</v>
      </c>
      <c r="AP453" s="11" t="s">
        <v>205</v>
      </c>
      <c r="AQ453" s="88" t="s">
        <v>1589</v>
      </c>
      <c r="AR453" s="57" t="s">
        <v>362</v>
      </c>
      <c r="AS453" s="46">
        <v>42779.467314814814</v>
      </c>
      <c r="AT453" s="3">
        <f t="shared" si="6"/>
        <v>317</v>
      </c>
    </row>
    <row r="454" spans="8:46" x14ac:dyDescent="0.4">
      <c r="H454" s="59">
        <v>42992.404930555553</v>
      </c>
      <c r="I454" s="43">
        <v>41962.633333333331</v>
      </c>
      <c r="J454" s="42">
        <v>42205.96503472222</v>
      </c>
      <c r="K454" s="81" t="s">
        <v>137</v>
      </c>
      <c r="L454" t="s">
        <v>49</v>
      </c>
      <c r="M454" t="s">
        <v>594</v>
      </c>
      <c r="N454" s="1" t="s">
        <v>336</v>
      </c>
      <c r="O454" s="1" t="s">
        <v>227</v>
      </c>
      <c r="P454" t="s">
        <v>245</v>
      </c>
      <c r="Q454" s="9" t="s">
        <v>45</v>
      </c>
      <c r="R454" s="82" t="s">
        <v>45</v>
      </c>
      <c r="S454" s="44" t="s">
        <v>1132</v>
      </c>
      <c r="T454" s="3" t="s">
        <v>61</v>
      </c>
      <c r="U454" s="2" t="s">
        <v>29</v>
      </c>
      <c r="V454" s="3" t="s">
        <v>29</v>
      </c>
      <c r="W454" s="11" t="s">
        <v>143</v>
      </c>
      <c r="X454" s="3" t="s">
        <v>143</v>
      </c>
      <c r="Y454" s="77" t="s">
        <v>334</v>
      </c>
      <c r="Z454" s="84" t="s">
        <v>1522</v>
      </c>
      <c r="AA454" s="89" t="s">
        <v>62</v>
      </c>
      <c r="AB454" s="90" t="str">
        <f>HYPERLINK(CONCATENATE("https://www.ejacket.nsf.gov/ej/showProposal.do?ID=",SUBSTITUTE(SplitQueryTableRecent[[#This Row],[prop_id]],CHAR(160),"")),"eJ")</f>
        <v>eJ</v>
      </c>
      <c r="AC454" s="89" t="s">
        <v>1591</v>
      </c>
      <c r="AD454" s="3" t="s">
        <v>1591</v>
      </c>
      <c r="AE454" s="91">
        <v>2015</v>
      </c>
      <c r="AF454" s="13" t="s">
        <v>43</v>
      </c>
      <c r="AG454" s="13">
        <v>192000</v>
      </c>
      <c r="AH454" s="45">
        <v>600000</v>
      </c>
      <c r="AI454" s="44" t="s">
        <v>1592</v>
      </c>
      <c r="AJ454" s="2" t="s">
        <v>1593</v>
      </c>
      <c r="AK454" s="46" t="s">
        <v>195</v>
      </c>
      <c r="AL454" s="55" t="s">
        <v>527</v>
      </c>
      <c r="AM454" s="45" t="s">
        <v>527</v>
      </c>
      <c r="AN454" s="56" t="s">
        <v>142</v>
      </c>
      <c r="AO454" s="23" t="s">
        <v>146</v>
      </c>
      <c r="AP454" s="11"/>
      <c r="AQ454" s="88" t="s">
        <v>1523</v>
      </c>
      <c r="AR454" s="57" t="s">
        <v>164</v>
      </c>
      <c r="AS454" s="46">
        <v>42241.418807870374</v>
      </c>
      <c r="AT454" s="3">
        <f t="shared" si="6"/>
        <v>318</v>
      </c>
    </row>
    <row r="455" spans="8:46" x14ac:dyDescent="0.4">
      <c r="H455" s="59">
        <v>42992.404930555553</v>
      </c>
      <c r="I455" s="43">
        <v>41477.603472222225</v>
      </c>
      <c r="J455" s="42">
        <v>41730.493622685186</v>
      </c>
      <c r="K455" s="81" t="s">
        <v>49</v>
      </c>
      <c r="L455" t="s">
        <v>49</v>
      </c>
      <c r="M455" t="s">
        <v>336</v>
      </c>
      <c r="N455" s="1" t="s">
        <v>336</v>
      </c>
      <c r="O455" s="1" t="s">
        <v>337</v>
      </c>
      <c r="P455" t="s">
        <v>337</v>
      </c>
      <c r="Q455" s="9" t="s">
        <v>45</v>
      </c>
      <c r="R455" s="82" t="s">
        <v>45</v>
      </c>
      <c r="S455" s="44" t="s">
        <v>168</v>
      </c>
      <c r="T455" s="3" t="s">
        <v>61</v>
      </c>
      <c r="U455" s="2" t="s">
        <v>29</v>
      </c>
      <c r="V455" s="3" t="s">
        <v>29</v>
      </c>
      <c r="W455" s="11" t="s">
        <v>143</v>
      </c>
      <c r="X455" s="3" t="s">
        <v>143</v>
      </c>
      <c r="Y455" s="77" t="s">
        <v>48</v>
      </c>
      <c r="Z455" s="84" t="s">
        <v>498</v>
      </c>
      <c r="AA455" s="89" t="s">
        <v>28</v>
      </c>
      <c r="AB455" s="90" t="str">
        <f>HYPERLINK(CONCATENATE("https://www.ejacket.nsf.gov/ej/showProposal.do?ID=",SUBSTITUTE(SplitQueryTableRecent[[#This Row],[prop_id]],CHAR(160),"")),"eJ")</f>
        <v>eJ</v>
      </c>
      <c r="AC455" s="89" t="s">
        <v>498</v>
      </c>
      <c r="AD455" s="3" t="s">
        <v>498</v>
      </c>
      <c r="AE455" s="91">
        <v>2014</v>
      </c>
      <c r="AF455" s="13" t="s">
        <v>43</v>
      </c>
      <c r="AG455" s="13">
        <v>161103</v>
      </c>
      <c r="AH455" s="45">
        <v>415010</v>
      </c>
      <c r="AI455" s="44" t="s">
        <v>500</v>
      </c>
      <c r="AJ455" s="2" t="s">
        <v>501</v>
      </c>
      <c r="AK455" s="46" t="s">
        <v>1709</v>
      </c>
      <c r="AL455" s="55" t="s">
        <v>426</v>
      </c>
      <c r="AM455" s="45" t="s">
        <v>426</v>
      </c>
      <c r="AN455" s="56" t="s">
        <v>142</v>
      </c>
      <c r="AO455" s="23" t="s">
        <v>146</v>
      </c>
      <c r="AP455" s="11"/>
      <c r="AQ455" s="88" t="s">
        <v>499</v>
      </c>
      <c r="AR455" s="57" t="s">
        <v>161</v>
      </c>
      <c r="AS455" s="46">
        <v>41731.343414351853</v>
      </c>
      <c r="AT455" s="3">
        <f t="shared" si="6"/>
        <v>319</v>
      </c>
    </row>
    <row r="456" spans="8:46" x14ac:dyDescent="0.4">
      <c r="H456" s="59">
        <v>42992.404930555553</v>
      </c>
      <c r="I456" s="43">
        <v>41477.603472222225</v>
      </c>
      <c r="J456" s="42">
        <v>41730.493622685186</v>
      </c>
      <c r="K456" s="81" t="s">
        <v>49</v>
      </c>
      <c r="L456" t="s">
        <v>49</v>
      </c>
      <c r="M456" t="s">
        <v>336</v>
      </c>
      <c r="N456" s="1" t="s">
        <v>336</v>
      </c>
      <c r="O456" s="1" t="s">
        <v>337</v>
      </c>
      <c r="P456" t="s">
        <v>337</v>
      </c>
      <c r="Q456" s="9" t="s">
        <v>45</v>
      </c>
      <c r="R456" s="82" t="s">
        <v>45</v>
      </c>
      <c r="S456" s="44" t="s">
        <v>168</v>
      </c>
      <c r="T456" s="3" t="s">
        <v>61</v>
      </c>
      <c r="U456" s="2" t="s">
        <v>29</v>
      </c>
      <c r="V456" s="3" t="s">
        <v>29</v>
      </c>
      <c r="W456" s="11" t="s">
        <v>143</v>
      </c>
      <c r="X456" s="3" t="s">
        <v>143</v>
      </c>
      <c r="Y456" s="77" t="s">
        <v>48</v>
      </c>
      <c r="Z456" s="84" t="s">
        <v>498</v>
      </c>
      <c r="AA456" s="89" t="s">
        <v>28</v>
      </c>
      <c r="AB456" s="90" t="str">
        <f>HYPERLINK(CONCATENATE("https://www.ejacket.nsf.gov/ej/showProposal.do?ID=",SUBSTITUTE(SplitQueryTableRecent[[#This Row],[prop_id]],CHAR(160),"")),"eJ")</f>
        <v>eJ</v>
      </c>
      <c r="AC456" s="89" t="s">
        <v>498</v>
      </c>
      <c r="AD456" s="3" t="s">
        <v>498</v>
      </c>
      <c r="AE456" s="91">
        <v>2016</v>
      </c>
      <c r="AF456" s="13" t="s">
        <v>43</v>
      </c>
      <c r="AG456" s="13">
        <v>167093</v>
      </c>
      <c r="AH456" s="45">
        <v>415010</v>
      </c>
      <c r="AI456" s="44" t="s">
        <v>500</v>
      </c>
      <c r="AJ456" s="2" t="s">
        <v>501</v>
      </c>
      <c r="AK456" s="46" t="s">
        <v>1709</v>
      </c>
      <c r="AL456" s="55" t="s">
        <v>426</v>
      </c>
      <c r="AM456" s="45" t="s">
        <v>426</v>
      </c>
      <c r="AN456" s="56" t="s">
        <v>142</v>
      </c>
      <c r="AO456" s="23" t="s">
        <v>146</v>
      </c>
      <c r="AP456" s="11" t="s">
        <v>172</v>
      </c>
      <c r="AQ456" s="88" t="s">
        <v>499</v>
      </c>
      <c r="AR456" s="57" t="s">
        <v>1521</v>
      </c>
      <c r="AS456" s="46">
        <v>42425.335648148146</v>
      </c>
      <c r="AT456" s="3">
        <f t="shared" si="6"/>
        <v>319</v>
      </c>
    </row>
    <row r="457" spans="8:46" x14ac:dyDescent="0.4">
      <c r="H457" s="59">
        <v>42992.404930555553</v>
      </c>
      <c r="I457" s="43">
        <v>41477.603472222225</v>
      </c>
      <c r="J457" s="42">
        <v>41730.493622685186</v>
      </c>
      <c r="K457" s="81" t="s">
        <v>49</v>
      </c>
      <c r="L457" t="s">
        <v>49</v>
      </c>
      <c r="M457" t="s">
        <v>336</v>
      </c>
      <c r="N457" s="1" t="s">
        <v>336</v>
      </c>
      <c r="O457" s="1" t="s">
        <v>337</v>
      </c>
      <c r="P457" t="s">
        <v>337</v>
      </c>
      <c r="Q457" s="9" t="s">
        <v>45</v>
      </c>
      <c r="R457" s="82" t="s">
        <v>45</v>
      </c>
      <c r="S457" s="44" t="s">
        <v>168</v>
      </c>
      <c r="T457" s="3" t="s">
        <v>61</v>
      </c>
      <c r="U457" s="2" t="s">
        <v>29</v>
      </c>
      <c r="V457" s="3" t="s">
        <v>29</v>
      </c>
      <c r="W457" s="11" t="s">
        <v>143</v>
      </c>
      <c r="X457" s="3" t="s">
        <v>143</v>
      </c>
      <c r="Y457" s="77" t="s">
        <v>48</v>
      </c>
      <c r="Z457" s="84" t="s">
        <v>498</v>
      </c>
      <c r="AA457" s="89" t="s">
        <v>28</v>
      </c>
      <c r="AB457" s="90" t="str">
        <f>HYPERLINK(CONCATENATE("https://www.ejacket.nsf.gov/ej/showProposal.do?ID=",SUBSTITUTE(SplitQueryTableRecent[[#This Row],[prop_id]],CHAR(160),"")),"eJ")</f>
        <v>eJ</v>
      </c>
      <c r="AC457" s="89" t="s">
        <v>498</v>
      </c>
      <c r="AD457" s="3" t="s">
        <v>498</v>
      </c>
      <c r="AE457" s="91">
        <v>2018</v>
      </c>
      <c r="AF457" s="13" t="s">
        <v>43</v>
      </c>
      <c r="AG457" s="13">
        <v>86814</v>
      </c>
      <c r="AH457" s="45">
        <v>415010</v>
      </c>
      <c r="AI457" s="44" t="s">
        <v>500</v>
      </c>
      <c r="AJ457" s="2" t="s">
        <v>501</v>
      </c>
      <c r="AK457" s="46" t="s">
        <v>1709</v>
      </c>
      <c r="AL457" s="55" t="s">
        <v>426</v>
      </c>
      <c r="AM457" s="45" t="s">
        <v>426</v>
      </c>
      <c r="AN457" s="56" t="s">
        <v>142</v>
      </c>
      <c r="AO457" s="23" t="s">
        <v>146</v>
      </c>
      <c r="AP457" s="11" t="s">
        <v>205</v>
      </c>
      <c r="AQ457" s="88" t="s">
        <v>499</v>
      </c>
      <c r="AR457" s="57" t="s">
        <v>161</v>
      </c>
      <c r="AS457" s="46">
        <v>41731.343414351853</v>
      </c>
      <c r="AT457" s="3">
        <f t="shared" si="6"/>
        <v>319</v>
      </c>
    </row>
    <row r="458" spans="8:46" x14ac:dyDescent="0.4">
      <c r="H458" s="59">
        <v>42992.404930555553</v>
      </c>
      <c r="I458" s="43">
        <v>41841.713888888888</v>
      </c>
      <c r="J458" s="42">
        <v>42019.367025462961</v>
      </c>
      <c r="K458" s="81" t="s">
        <v>49</v>
      </c>
      <c r="L458" t="s">
        <v>49</v>
      </c>
      <c r="M458" t="s">
        <v>336</v>
      </c>
      <c r="N458" s="1" t="s">
        <v>336</v>
      </c>
      <c r="O458" s="1" t="s">
        <v>245</v>
      </c>
      <c r="P458" t="s">
        <v>245</v>
      </c>
      <c r="Q458" s="9" t="s">
        <v>45</v>
      </c>
      <c r="R458" s="82" t="s">
        <v>45</v>
      </c>
      <c r="S458" s="44" t="s">
        <v>190</v>
      </c>
      <c r="T458" s="3" t="s">
        <v>61</v>
      </c>
      <c r="U458" s="2" t="s">
        <v>29</v>
      </c>
      <c r="V458" s="3" t="s">
        <v>29</v>
      </c>
      <c r="W458" s="11" t="s">
        <v>143</v>
      </c>
      <c r="X458" s="3" t="s">
        <v>143</v>
      </c>
      <c r="Y458" s="77" t="s">
        <v>48</v>
      </c>
      <c r="Z458" s="84" t="s">
        <v>1594</v>
      </c>
      <c r="AA458" s="89" t="s">
        <v>28</v>
      </c>
      <c r="AB458" s="90" t="str">
        <f>HYPERLINK(CONCATENATE("https://www.ejacket.nsf.gov/ej/showProposal.do?ID=",SUBSTITUTE(SplitQueryTableRecent[[#This Row],[prop_id]],CHAR(160),"")),"eJ")</f>
        <v>eJ</v>
      </c>
      <c r="AC458" s="89" t="s">
        <v>1594</v>
      </c>
      <c r="AD458" s="3" t="s">
        <v>1594</v>
      </c>
      <c r="AE458" s="91">
        <v>2015</v>
      </c>
      <c r="AF458" s="13" t="s">
        <v>43</v>
      </c>
      <c r="AG458" s="13">
        <v>145296</v>
      </c>
      <c r="AH458" s="45">
        <v>475699</v>
      </c>
      <c r="AI458" s="44" t="s">
        <v>1295</v>
      </c>
      <c r="AJ458" s="2" t="s">
        <v>816</v>
      </c>
      <c r="AK458" s="46" t="s">
        <v>313</v>
      </c>
      <c r="AL458" s="55" t="s">
        <v>481</v>
      </c>
      <c r="AM458" s="45" t="s">
        <v>481</v>
      </c>
      <c r="AN458" s="56" t="s">
        <v>142</v>
      </c>
      <c r="AO458" s="23" t="s">
        <v>146</v>
      </c>
      <c r="AP458" s="11"/>
      <c r="AQ458" s="88" t="s">
        <v>1595</v>
      </c>
      <c r="AR458" s="57" t="s">
        <v>161</v>
      </c>
      <c r="AS458" s="46">
        <v>42027.605266203704</v>
      </c>
      <c r="AT458" s="3">
        <f t="shared" si="6"/>
        <v>320</v>
      </c>
    </row>
    <row r="459" spans="8:46" x14ac:dyDescent="0.4">
      <c r="H459" s="59">
        <v>42992.404930555553</v>
      </c>
      <c r="I459" s="43">
        <v>41841.713888888888</v>
      </c>
      <c r="J459" s="42">
        <v>42019.367025462961</v>
      </c>
      <c r="K459" s="81" t="s">
        <v>49</v>
      </c>
      <c r="L459" t="s">
        <v>49</v>
      </c>
      <c r="M459" t="s">
        <v>336</v>
      </c>
      <c r="N459" s="1" t="s">
        <v>336</v>
      </c>
      <c r="O459" s="1" t="s">
        <v>245</v>
      </c>
      <c r="P459" t="s">
        <v>245</v>
      </c>
      <c r="Q459" s="9" t="s">
        <v>45</v>
      </c>
      <c r="R459" s="82" t="s">
        <v>45</v>
      </c>
      <c r="S459" s="44" t="s">
        <v>190</v>
      </c>
      <c r="T459" s="3" t="s">
        <v>61</v>
      </c>
      <c r="U459" s="2" t="s">
        <v>29</v>
      </c>
      <c r="V459" s="3" t="s">
        <v>29</v>
      </c>
      <c r="W459" s="11" t="s">
        <v>143</v>
      </c>
      <c r="X459" s="3" t="s">
        <v>143</v>
      </c>
      <c r="Y459" s="77" t="s">
        <v>48</v>
      </c>
      <c r="Z459" s="84" t="s">
        <v>1594</v>
      </c>
      <c r="AA459" s="89" t="s">
        <v>28</v>
      </c>
      <c r="AB459" s="90" t="str">
        <f>HYPERLINK(CONCATENATE("https://www.ejacket.nsf.gov/ej/showProposal.do?ID=",SUBSTITUTE(SplitQueryTableRecent[[#This Row],[prop_id]],CHAR(160),"")),"eJ")</f>
        <v>eJ</v>
      </c>
      <c r="AC459" s="89" t="s">
        <v>1594</v>
      </c>
      <c r="AD459" s="3" t="s">
        <v>1594</v>
      </c>
      <c r="AE459" s="91">
        <v>2017</v>
      </c>
      <c r="AF459" s="13" t="s">
        <v>43</v>
      </c>
      <c r="AG459" s="13">
        <v>247093</v>
      </c>
      <c r="AH459" s="45">
        <v>475699</v>
      </c>
      <c r="AI459" s="44" t="s">
        <v>1295</v>
      </c>
      <c r="AJ459" s="2" t="s">
        <v>816</v>
      </c>
      <c r="AK459" s="46" t="s">
        <v>313</v>
      </c>
      <c r="AL459" s="55" t="s">
        <v>481</v>
      </c>
      <c r="AM459" s="45" t="s">
        <v>481</v>
      </c>
      <c r="AN459" s="56" t="s">
        <v>142</v>
      </c>
      <c r="AO459" s="23" t="s">
        <v>146</v>
      </c>
      <c r="AP459" s="11" t="s">
        <v>172</v>
      </c>
      <c r="AQ459" s="88" t="s">
        <v>1595</v>
      </c>
      <c r="AR459" s="57" t="s">
        <v>1504</v>
      </c>
      <c r="AS459" s="46">
        <v>42769.532002314816</v>
      </c>
      <c r="AT459" s="3">
        <f t="shared" si="6"/>
        <v>320</v>
      </c>
    </row>
    <row r="460" spans="8:46" x14ac:dyDescent="0.4">
      <c r="H460" s="59">
        <v>42992.404930555553</v>
      </c>
      <c r="I460" s="43">
        <v>41841.713888888888</v>
      </c>
      <c r="J460" s="42">
        <v>42019.367025462961</v>
      </c>
      <c r="K460" s="81" t="s">
        <v>49</v>
      </c>
      <c r="L460" t="s">
        <v>49</v>
      </c>
      <c r="M460" t="s">
        <v>336</v>
      </c>
      <c r="N460" s="1" t="s">
        <v>336</v>
      </c>
      <c r="O460" s="1" t="s">
        <v>245</v>
      </c>
      <c r="P460" t="s">
        <v>245</v>
      </c>
      <c r="Q460" s="9" t="s">
        <v>45</v>
      </c>
      <c r="R460" s="82" t="s">
        <v>45</v>
      </c>
      <c r="S460" s="44" t="s">
        <v>190</v>
      </c>
      <c r="T460" s="3" t="s">
        <v>61</v>
      </c>
      <c r="U460" s="2" t="s">
        <v>29</v>
      </c>
      <c r="V460" s="3" t="s">
        <v>29</v>
      </c>
      <c r="W460" s="11" t="s">
        <v>143</v>
      </c>
      <c r="X460" s="3" t="s">
        <v>143</v>
      </c>
      <c r="Y460" s="77" t="s">
        <v>48</v>
      </c>
      <c r="Z460" s="84" t="s">
        <v>1594</v>
      </c>
      <c r="AA460" s="89" t="s">
        <v>28</v>
      </c>
      <c r="AB460" s="90" t="str">
        <f>HYPERLINK(CONCATENATE("https://www.ejacket.nsf.gov/ej/showProposal.do?ID=",SUBSTITUTE(SplitQueryTableRecent[[#This Row],[prop_id]],CHAR(160),"")),"eJ")</f>
        <v>eJ</v>
      </c>
      <c r="AC460" s="89" t="s">
        <v>1594</v>
      </c>
      <c r="AD460" s="3" t="s">
        <v>1594</v>
      </c>
      <c r="AE460" s="91">
        <v>2019</v>
      </c>
      <c r="AF460" s="13" t="s">
        <v>43</v>
      </c>
      <c r="AG460" s="13">
        <v>83310</v>
      </c>
      <c r="AH460" s="45">
        <v>475699</v>
      </c>
      <c r="AI460" s="44" t="s">
        <v>1295</v>
      </c>
      <c r="AJ460" s="2" t="s">
        <v>816</v>
      </c>
      <c r="AK460" s="46" t="s">
        <v>313</v>
      </c>
      <c r="AL460" s="55" t="s">
        <v>481</v>
      </c>
      <c r="AM460" s="45" t="s">
        <v>481</v>
      </c>
      <c r="AN460" s="56" t="s">
        <v>142</v>
      </c>
      <c r="AO460" s="23" t="s">
        <v>146</v>
      </c>
      <c r="AP460" s="11" t="s">
        <v>205</v>
      </c>
      <c r="AQ460" s="88" t="s">
        <v>1595</v>
      </c>
      <c r="AR460" s="57" t="s">
        <v>161</v>
      </c>
      <c r="AS460" s="46">
        <v>42027.605266203704</v>
      </c>
      <c r="AT460" s="3">
        <f t="shared" si="6"/>
        <v>320</v>
      </c>
    </row>
    <row r="461" spans="8:46" x14ac:dyDescent="0.4">
      <c r="H461" s="59">
        <v>42992.404930555553</v>
      </c>
      <c r="I461" s="43">
        <v>42570.524305555555</v>
      </c>
      <c r="J461" s="42">
        <v>42754.515439814815</v>
      </c>
      <c r="K461" s="81" t="s">
        <v>49</v>
      </c>
      <c r="L461" t="s">
        <v>49</v>
      </c>
      <c r="M461" t="s">
        <v>336</v>
      </c>
      <c r="N461" s="1" t="s">
        <v>336</v>
      </c>
      <c r="O461" s="1" t="s">
        <v>337</v>
      </c>
      <c r="P461" t="s">
        <v>337</v>
      </c>
      <c r="Q461" s="9" t="s">
        <v>45</v>
      </c>
      <c r="R461" s="82" t="s">
        <v>45</v>
      </c>
      <c r="S461" s="44" t="s">
        <v>194</v>
      </c>
      <c r="T461" s="3" t="s">
        <v>61</v>
      </c>
      <c r="U461" s="2" t="s">
        <v>29</v>
      </c>
      <c r="V461" s="3" t="s">
        <v>29</v>
      </c>
      <c r="W461" s="11" t="s">
        <v>143</v>
      </c>
      <c r="X461" s="3" t="s">
        <v>143</v>
      </c>
      <c r="Y461" s="77" t="s">
        <v>48</v>
      </c>
      <c r="Z461" s="84" t="s">
        <v>1596</v>
      </c>
      <c r="AA461" s="89" t="s">
        <v>28</v>
      </c>
      <c r="AB461" s="90" t="str">
        <f>HYPERLINK(CONCATENATE("https://www.ejacket.nsf.gov/ej/showProposal.do?ID=",SUBSTITUTE(SplitQueryTableRecent[[#This Row],[prop_id]],CHAR(160),"")),"eJ")</f>
        <v>eJ</v>
      </c>
      <c r="AC461" s="89" t="s">
        <v>1596</v>
      </c>
      <c r="AD461" s="3" t="s">
        <v>1596</v>
      </c>
      <c r="AE461" s="91">
        <v>2017</v>
      </c>
      <c r="AF461" s="13" t="s">
        <v>43</v>
      </c>
      <c r="AG461" s="13">
        <v>209342</v>
      </c>
      <c r="AH461" s="45">
        <v>633773</v>
      </c>
      <c r="AI461" s="44" t="s">
        <v>218</v>
      </c>
      <c r="AJ461" s="2" t="s">
        <v>1301</v>
      </c>
      <c r="AK461" s="46" t="s">
        <v>504</v>
      </c>
      <c r="AL461" s="55" t="s">
        <v>426</v>
      </c>
      <c r="AM461" s="45" t="s">
        <v>426</v>
      </c>
      <c r="AN461" s="56" t="s">
        <v>142</v>
      </c>
      <c r="AO461" s="23" t="s">
        <v>146</v>
      </c>
      <c r="AP461" s="11"/>
      <c r="AQ461" s="88" t="s">
        <v>1597</v>
      </c>
      <c r="AR461" s="57" t="s">
        <v>193</v>
      </c>
      <c r="AS461" s="46">
        <v>42787.723043981481</v>
      </c>
      <c r="AT461" s="3">
        <f t="shared" si="6"/>
        <v>321</v>
      </c>
    </row>
    <row r="462" spans="8:46" x14ac:dyDescent="0.4">
      <c r="H462" s="59">
        <v>42992.404930555553</v>
      </c>
      <c r="I462" s="43">
        <v>42570.524305555555</v>
      </c>
      <c r="J462" s="42">
        <v>42754.515439814815</v>
      </c>
      <c r="K462" s="81" t="s">
        <v>49</v>
      </c>
      <c r="L462" t="s">
        <v>49</v>
      </c>
      <c r="M462" t="s">
        <v>336</v>
      </c>
      <c r="N462" s="1" t="s">
        <v>336</v>
      </c>
      <c r="O462" s="1" t="s">
        <v>337</v>
      </c>
      <c r="P462" t="s">
        <v>337</v>
      </c>
      <c r="Q462" s="9" t="s">
        <v>45</v>
      </c>
      <c r="R462" s="82" t="s">
        <v>45</v>
      </c>
      <c r="S462" s="44" t="s">
        <v>194</v>
      </c>
      <c r="T462" s="3" t="s">
        <v>61</v>
      </c>
      <c r="U462" s="2" t="s">
        <v>29</v>
      </c>
      <c r="V462" s="3" t="s">
        <v>29</v>
      </c>
      <c r="W462" s="11" t="s">
        <v>143</v>
      </c>
      <c r="X462" s="3" t="s">
        <v>143</v>
      </c>
      <c r="Y462" s="77" t="s">
        <v>48</v>
      </c>
      <c r="Z462" s="84" t="s">
        <v>1596</v>
      </c>
      <c r="AA462" s="89" t="s">
        <v>28</v>
      </c>
      <c r="AB462" s="90" t="str">
        <f>HYPERLINK(CONCATENATE("https://www.ejacket.nsf.gov/ej/showProposal.do?ID=",SUBSTITUTE(SplitQueryTableRecent[[#This Row],[prop_id]],CHAR(160),"")),"eJ")</f>
        <v>eJ</v>
      </c>
      <c r="AC462" s="89" t="s">
        <v>1596</v>
      </c>
      <c r="AD462" s="3" t="s">
        <v>1596</v>
      </c>
      <c r="AE462" s="91">
        <v>2019</v>
      </c>
      <c r="AF462" s="13" t="s">
        <v>43</v>
      </c>
      <c r="AG462" s="13">
        <v>113873</v>
      </c>
      <c r="AH462" s="45">
        <v>633773</v>
      </c>
      <c r="AI462" s="44" t="s">
        <v>218</v>
      </c>
      <c r="AJ462" s="2" t="s">
        <v>1301</v>
      </c>
      <c r="AK462" s="46" t="s">
        <v>504</v>
      </c>
      <c r="AL462" s="55" t="s">
        <v>426</v>
      </c>
      <c r="AM462" s="45" t="s">
        <v>426</v>
      </c>
      <c r="AN462" s="56" t="s">
        <v>142</v>
      </c>
      <c r="AO462" s="23" t="s">
        <v>146</v>
      </c>
      <c r="AP462" s="11" t="s">
        <v>205</v>
      </c>
      <c r="AQ462" s="88" t="s">
        <v>1597</v>
      </c>
      <c r="AR462" s="57" t="s">
        <v>193</v>
      </c>
      <c r="AS462" s="46">
        <v>42787.723043981481</v>
      </c>
      <c r="AT462" s="3">
        <f t="shared" si="6"/>
        <v>321</v>
      </c>
    </row>
    <row r="463" spans="8:46" x14ac:dyDescent="0.4">
      <c r="H463" s="59">
        <v>42992.404930555553</v>
      </c>
      <c r="I463" s="43">
        <v>42570.524305555555</v>
      </c>
      <c r="J463" s="42">
        <v>42754.515439814815</v>
      </c>
      <c r="K463" s="81" t="s">
        <v>49</v>
      </c>
      <c r="L463" t="s">
        <v>49</v>
      </c>
      <c r="M463" t="s">
        <v>336</v>
      </c>
      <c r="N463" s="1" t="s">
        <v>336</v>
      </c>
      <c r="O463" s="1" t="s">
        <v>337</v>
      </c>
      <c r="P463" t="s">
        <v>337</v>
      </c>
      <c r="Q463" s="9" t="s">
        <v>45</v>
      </c>
      <c r="R463" s="82" t="s">
        <v>45</v>
      </c>
      <c r="S463" s="44" t="s">
        <v>194</v>
      </c>
      <c r="T463" s="3" t="s">
        <v>61</v>
      </c>
      <c r="U463" s="2" t="s">
        <v>29</v>
      </c>
      <c r="V463" s="3" t="s">
        <v>29</v>
      </c>
      <c r="W463" s="11" t="s">
        <v>143</v>
      </c>
      <c r="X463" s="3" t="s">
        <v>143</v>
      </c>
      <c r="Y463" s="77" t="s">
        <v>48</v>
      </c>
      <c r="Z463" s="84" t="s">
        <v>1596</v>
      </c>
      <c r="AA463" s="89" t="s">
        <v>28</v>
      </c>
      <c r="AB463" s="90" t="str">
        <f>HYPERLINK(CONCATENATE("https://www.ejacket.nsf.gov/ej/showProposal.do?ID=",SUBSTITUTE(SplitQueryTableRecent[[#This Row],[prop_id]],CHAR(160),"")),"eJ")</f>
        <v>eJ</v>
      </c>
      <c r="AC463" s="89" t="s">
        <v>1596</v>
      </c>
      <c r="AD463" s="3" t="s">
        <v>1596</v>
      </c>
      <c r="AE463" s="91">
        <v>2020</v>
      </c>
      <c r="AF463" s="13" t="s">
        <v>43</v>
      </c>
      <c r="AG463" s="13">
        <v>117630</v>
      </c>
      <c r="AH463" s="45">
        <v>633773</v>
      </c>
      <c r="AI463" s="44" t="s">
        <v>218</v>
      </c>
      <c r="AJ463" s="2" t="s">
        <v>1301</v>
      </c>
      <c r="AK463" s="46" t="s">
        <v>504</v>
      </c>
      <c r="AL463" s="55" t="s">
        <v>426</v>
      </c>
      <c r="AM463" s="45" t="s">
        <v>426</v>
      </c>
      <c r="AN463" s="56" t="s">
        <v>142</v>
      </c>
      <c r="AO463" s="23" t="s">
        <v>146</v>
      </c>
      <c r="AP463" s="11" t="s">
        <v>205</v>
      </c>
      <c r="AQ463" s="88" t="s">
        <v>1597</v>
      </c>
      <c r="AR463" s="57" t="s">
        <v>193</v>
      </c>
      <c r="AS463" s="46">
        <v>42787.723043981481</v>
      </c>
      <c r="AT463" s="3">
        <f t="shared" si="6"/>
        <v>321</v>
      </c>
    </row>
    <row r="464" spans="8:46" x14ac:dyDescent="0.4">
      <c r="H464" s="59">
        <v>42992.404930555553</v>
      </c>
      <c r="I464" s="43">
        <v>42570.524305555555</v>
      </c>
      <c r="J464" s="42">
        <v>42754.515439814815</v>
      </c>
      <c r="K464" s="81" t="s">
        <v>49</v>
      </c>
      <c r="L464" t="s">
        <v>49</v>
      </c>
      <c r="M464" t="s">
        <v>336</v>
      </c>
      <c r="N464" s="1" t="s">
        <v>336</v>
      </c>
      <c r="O464" s="1" t="s">
        <v>337</v>
      </c>
      <c r="P464" t="s">
        <v>337</v>
      </c>
      <c r="Q464" s="9" t="s">
        <v>45</v>
      </c>
      <c r="R464" s="82" t="s">
        <v>45</v>
      </c>
      <c r="S464" s="44" t="s">
        <v>194</v>
      </c>
      <c r="T464" s="3" t="s">
        <v>61</v>
      </c>
      <c r="U464" s="2" t="s">
        <v>29</v>
      </c>
      <c r="V464" s="3" t="s">
        <v>29</v>
      </c>
      <c r="W464" s="11" t="s">
        <v>143</v>
      </c>
      <c r="X464" s="3" t="s">
        <v>143</v>
      </c>
      <c r="Y464" s="77" t="s">
        <v>48</v>
      </c>
      <c r="Z464" s="84" t="s">
        <v>1596</v>
      </c>
      <c r="AA464" s="89" t="s">
        <v>28</v>
      </c>
      <c r="AB464" s="90" t="str">
        <f>HYPERLINK(CONCATENATE("https://www.ejacket.nsf.gov/ej/showProposal.do?ID=",SUBSTITUTE(SplitQueryTableRecent[[#This Row],[prop_id]],CHAR(160),"")),"eJ")</f>
        <v>eJ</v>
      </c>
      <c r="AC464" s="89" t="s">
        <v>1596</v>
      </c>
      <c r="AD464" s="3" t="s">
        <v>1596</v>
      </c>
      <c r="AE464" s="91">
        <v>2021</v>
      </c>
      <c r="AF464" s="13" t="s">
        <v>43</v>
      </c>
      <c r="AG464" s="13">
        <v>130155</v>
      </c>
      <c r="AH464" s="45">
        <v>633773</v>
      </c>
      <c r="AI464" s="44" t="s">
        <v>218</v>
      </c>
      <c r="AJ464" s="2" t="s">
        <v>1301</v>
      </c>
      <c r="AK464" s="46" t="s">
        <v>504</v>
      </c>
      <c r="AL464" s="55" t="s">
        <v>426</v>
      </c>
      <c r="AM464" s="45" t="s">
        <v>426</v>
      </c>
      <c r="AN464" s="56" t="s">
        <v>142</v>
      </c>
      <c r="AO464" s="23" t="s">
        <v>146</v>
      </c>
      <c r="AP464" s="11" t="s">
        <v>205</v>
      </c>
      <c r="AQ464" s="88" t="s">
        <v>1597</v>
      </c>
      <c r="AR464" s="57" t="s">
        <v>193</v>
      </c>
      <c r="AS464" s="46">
        <v>42787.723043981481</v>
      </c>
      <c r="AT464" s="3">
        <f t="shared" si="6"/>
        <v>321</v>
      </c>
    </row>
    <row r="465" spans="8:46" x14ac:dyDescent="0.4">
      <c r="H465" s="59">
        <v>42992.404930555553</v>
      </c>
      <c r="I465" s="43">
        <v>42565.635416666664</v>
      </c>
      <c r="J465" s="42">
        <v>42733.38386574074</v>
      </c>
      <c r="K465" s="81" t="s">
        <v>49</v>
      </c>
      <c r="L465" t="s">
        <v>49</v>
      </c>
      <c r="M465" t="s">
        <v>336</v>
      </c>
      <c r="N465" s="1" t="s">
        <v>336</v>
      </c>
      <c r="O465" s="1" t="s">
        <v>337</v>
      </c>
      <c r="P465" t="s">
        <v>337</v>
      </c>
      <c r="Q465" s="9" t="s">
        <v>45</v>
      </c>
      <c r="R465" s="82" t="s">
        <v>45</v>
      </c>
      <c r="S465" s="44" t="s">
        <v>194</v>
      </c>
      <c r="T465" s="3" t="s">
        <v>61</v>
      </c>
      <c r="U465" s="2" t="s">
        <v>29</v>
      </c>
      <c r="V465" s="3" t="s">
        <v>29</v>
      </c>
      <c r="W465" s="11" t="s">
        <v>143</v>
      </c>
      <c r="X465" s="3" t="s">
        <v>143</v>
      </c>
      <c r="Y465" s="77" t="s">
        <v>48</v>
      </c>
      <c r="Z465" s="84" t="s">
        <v>1598</v>
      </c>
      <c r="AA465" s="89" t="s">
        <v>28</v>
      </c>
      <c r="AB465" s="90" t="str">
        <f>HYPERLINK(CONCATENATE("https://www.ejacket.nsf.gov/ej/showProposal.do?ID=",SUBSTITUTE(SplitQueryTableRecent[[#This Row],[prop_id]],CHAR(160),"")),"eJ")</f>
        <v>eJ</v>
      </c>
      <c r="AC465" s="89" t="s">
        <v>1598</v>
      </c>
      <c r="AD465" s="3" t="s">
        <v>1598</v>
      </c>
      <c r="AE465" s="91">
        <v>2017</v>
      </c>
      <c r="AF465" s="13" t="s">
        <v>43</v>
      </c>
      <c r="AG465" s="13">
        <v>176353</v>
      </c>
      <c r="AH465" s="45">
        <v>500000</v>
      </c>
      <c r="AI465" s="44" t="s">
        <v>546</v>
      </c>
      <c r="AJ465" s="2" t="s">
        <v>665</v>
      </c>
      <c r="AK465" s="46" t="s">
        <v>1724</v>
      </c>
      <c r="AL465" s="55" t="s">
        <v>426</v>
      </c>
      <c r="AM465" s="45" t="s">
        <v>426</v>
      </c>
      <c r="AN465" s="56" t="s">
        <v>142</v>
      </c>
      <c r="AO465" s="23" t="s">
        <v>146</v>
      </c>
      <c r="AP465" s="11"/>
      <c r="AQ465" s="88" t="s">
        <v>1599</v>
      </c>
      <c r="AR465" s="57" t="s">
        <v>362</v>
      </c>
      <c r="AS465" s="46">
        <v>42775.730497685188</v>
      </c>
      <c r="AT465" s="3">
        <f t="shared" si="6"/>
        <v>322</v>
      </c>
    </row>
    <row r="466" spans="8:46" x14ac:dyDescent="0.4">
      <c r="H466" s="59">
        <v>42992.404930555553</v>
      </c>
      <c r="I466" s="43">
        <v>42565.635416666664</v>
      </c>
      <c r="J466" s="42">
        <v>42733.38386574074</v>
      </c>
      <c r="K466" s="81" t="s">
        <v>49</v>
      </c>
      <c r="L466" t="s">
        <v>49</v>
      </c>
      <c r="M466" t="s">
        <v>336</v>
      </c>
      <c r="N466" s="1" t="s">
        <v>336</v>
      </c>
      <c r="O466" s="1" t="s">
        <v>337</v>
      </c>
      <c r="P466" t="s">
        <v>337</v>
      </c>
      <c r="Q466" s="9" t="s">
        <v>45</v>
      </c>
      <c r="R466" s="82" t="s">
        <v>45</v>
      </c>
      <c r="S466" s="44" t="s">
        <v>194</v>
      </c>
      <c r="T466" s="3" t="s">
        <v>61</v>
      </c>
      <c r="U466" s="2" t="s">
        <v>29</v>
      </c>
      <c r="V466" s="3" t="s">
        <v>29</v>
      </c>
      <c r="W466" s="11" t="s">
        <v>143</v>
      </c>
      <c r="X466" s="3" t="s">
        <v>143</v>
      </c>
      <c r="Y466" s="77" t="s">
        <v>48</v>
      </c>
      <c r="Z466" s="84" t="s">
        <v>1598</v>
      </c>
      <c r="AA466" s="89" t="s">
        <v>28</v>
      </c>
      <c r="AB466" s="90" t="str">
        <f>HYPERLINK(CONCATENATE("https://www.ejacket.nsf.gov/ej/showProposal.do?ID=",SUBSTITUTE(SplitQueryTableRecent[[#This Row],[prop_id]],CHAR(160),"")),"eJ")</f>
        <v>eJ</v>
      </c>
      <c r="AC466" s="89" t="s">
        <v>1598</v>
      </c>
      <c r="AD466" s="3" t="s">
        <v>1598</v>
      </c>
      <c r="AE466" s="91">
        <v>2019</v>
      </c>
      <c r="AF466" s="13" t="s">
        <v>43</v>
      </c>
      <c r="AG466" s="13">
        <v>104560</v>
      </c>
      <c r="AH466" s="45">
        <v>500000</v>
      </c>
      <c r="AI466" s="44" t="s">
        <v>546</v>
      </c>
      <c r="AJ466" s="2" t="s">
        <v>665</v>
      </c>
      <c r="AK466" s="46" t="s">
        <v>1724</v>
      </c>
      <c r="AL466" s="55" t="s">
        <v>426</v>
      </c>
      <c r="AM466" s="45" t="s">
        <v>426</v>
      </c>
      <c r="AN466" s="56" t="s">
        <v>142</v>
      </c>
      <c r="AO466" s="23" t="s">
        <v>146</v>
      </c>
      <c r="AP466" s="11" t="s">
        <v>205</v>
      </c>
      <c r="AQ466" s="88" t="s">
        <v>1599</v>
      </c>
      <c r="AR466" s="57" t="s">
        <v>362</v>
      </c>
      <c r="AS466" s="46">
        <v>42775.730497685188</v>
      </c>
      <c r="AT466" s="3">
        <f t="shared" si="6"/>
        <v>322</v>
      </c>
    </row>
    <row r="467" spans="8:46" x14ac:dyDescent="0.4">
      <c r="H467" s="59">
        <v>42992.404930555553</v>
      </c>
      <c r="I467" s="43">
        <v>42565.635416666664</v>
      </c>
      <c r="J467" s="42">
        <v>42733.38386574074</v>
      </c>
      <c r="K467" s="81" t="s">
        <v>49</v>
      </c>
      <c r="L467" t="s">
        <v>49</v>
      </c>
      <c r="M467" t="s">
        <v>336</v>
      </c>
      <c r="N467" s="1" t="s">
        <v>336</v>
      </c>
      <c r="O467" s="1" t="s">
        <v>337</v>
      </c>
      <c r="P467" t="s">
        <v>337</v>
      </c>
      <c r="Q467" s="9" t="s">
        <v>45</v>
      </c>
      <c r="R467" s="82" t="s">
        <v>45</v>
      </c>
      <c r="S467" s="44" t="s">
        <v>194</v>
      </c>
      <c r="T467" s="3" t="s">
        <v>61</v>
      </c>
      <c r="U467" s="2" t="s">
        <v>29</v>
      </c>
      <c r="V467" s="3" t="s">
        <v>29</v>
      </c>
      <c r="W467" s="11" t="s">
        <v>143</v>
      </c>
      <c r="X467" s="3" t="s">
        <v>143</v>
      </c>
      <c r="Y467" s="77" t="s">
        <v>48</v>
      </c>
      <c r="Z467" s="84" t="s">
        <v>1598</v>
      </c>
      <c r="AA467" s="89" t="s">
        <v>28</v>
      </c>
      <c r="AB467" s="90" t="str">
        <f>HYPERLINK(CONCATENATE("https://www.ejacket.nsf.gov/ej/showProposal.do?ID=",SUBSTITUTE(SplitQueryTableRecent[[#This Row],[prop_id]],CHAR(160),"")),"eJ")</f>
        <v>eJ</v>
      </c>
      <c r="AC467" s="89" t="s">
        <v>1598</v>
      </c>
      <c r="AD467" s="3" t="s">
        <v>1598</v>
      </c>
      <c r="AE467" s="91">
        <v>2020</v>
      </c>
      <c r="AF467" s="13" t="s">
        <v>43</v>
      </c>
      <c r="AG467" s="13">
        <v>107843</v>
      </c>
      <c r="AH467" s="45">
        <v>500000</v>
      </c>
      <c r="AI467" s="44" t="s">
        <v>546</v>
      </c>
      <c r="AJ467" s="2" t="s">
        <v>665</v>
      </c>
      <c r="AK467" s="46" t="s">
        <v>1724</v>
      </c>
      <c r="AL467" s="55" t="s">
        <v>426</v>
      </c>
      <c r="AM467" s="45" t="s">
        <v>426</v>
      </c>
      <c r="AN467" s="56" t="s">
        <v>142</v>
      </c>
      <c r="AO467" s="23" t="s">
        <v>146</v>
      </c>
      <c r="AP467" s="11" t="s">
        <v>205</v>
      </c>
      <c r="AQ467" s="88" t="s">
        <v>1599</v>
      </c>
      <c r="AR467" s="57" t="s">
        <v>362</v>
      </c>
      <c r="AS467" s="46">
        <v>42775.730497685188</v>
      </c>
      <c r="AT467" s="3">
        <f t="shared" si="6"/>
        <v>322</v>
      </c>
    </row>
    <row r="468" spans="8:46" x14ac:dyDescent="0.4">
      <c r="H468" s="59">
        <v>42992.404930555553</v>
      </c>
      <c r="I468" s="43">
        <v>42565.635416666664</v>
      </c>
      <c r="J468" s="42">
        <v>42733.38386574074</v>
      </c>
      <c r="K468" s="81" t="s">
        <v>49</v>
      </c>
      <c r="L468" t="s">
        <v>49</v>
      </c>
      <c r="M468" t="s">
        <v>336</v>
      </c>
      <c r="N468" s="1" t="s">
        <v>336</v>
      </c>
      <c r="O468" s="1" t="s">
        <v>337</v>
      </c>
      <c r="P468" t="s">
        <v>337</v>
      </c>
      <c r="Q468" s="9" t="s">
        <v>45</v>
      </c>
      <c r="R468" s="82" t="s">
        <v>45</v>
      </c>
      <c r="S468" s="44" t="s">
        <v>194</v>
      </c>
      <c r="T468" s="3" t="s">
        <v>61</v>
      </c>
      <c r="U468" s="2" t="s">
        <v>29</v>
      </c>
      <c r="V468" s="3" t="s">
        <v>29</v>
      </c>
      <c r="W468" s="11" t="s">
        <v>143</v>
      </c>
      <c r="X468" s="3" t="s">
        <v>143</v>
      </c>
      <c r="Y468" s="77" t="s">
        <v>48</v>
      </c>
      <c r="Z468" s="84" t="s">
        <v>1598</v>
      </c>
      <c r="AA468" s="89" t="s">
        <v>28</v>
      </c>
      <c r="AB468" s="90" t="str">
        <f>HYPERLINK(CONCATENATE("https://www.ejacket.nsf.gov/ej/showProposal.do?ID=",SUBSTITUTE(SplitQueryTableRecent[[#This Row],[prop_id]],CHAR(160),"")),"eJ")</f>
        <v>eJ</v>
      </c>
      <c r="AC468" s="89" t="s">
        <v>1598</v>
      </c>
      <c r="AD468" s="3" t="s">
        <v>1598</v>
      </c>
      <c r="AE468" s="91">
        <v>2021</v>
      </c>
      <c r="AF468" s="13" t="s">
        <v>43</v>
      </c>
      <c r="AG468" s="13">
        <v>111244</v>
      </c>
      <c r="AH468" s="45">
        <v>500000</v>
      </c>
      <c r="AI468" s="44" t="s">
        <v>546</v>
      </c>
      <c r="AJ468" s="2" t="s">
        <v>665</v>
      </c>
      <c r="AK468" s="46" t="s">
        <v>1724</v>
      </c>
      <c r="AL468" s="55" t="s">
        <v>426</v>
      </c>
      <c r="AM468" s="45" t="s">
        <v>426</v>
      </c>
      <c r="AN468" s="56" t="s">
        <v>142</v>
      </c>
      <c r="AO468" s="23" t="s">
        <v>146</v>
      </c>
      <c r="AP468" s="11" t="s">
        <v>205</v>
      </c>
      <c r="AQ468" s="88" t="s">
        <v>1599</v>
      </c>
      <c r="AR468" s="57" t="s">
        <v>362</v>
      </c>
      <c r="AS468" s="46">
        <v>42775.730497685188</v>
      </c>
      <c r="AT468" s="3">
        <f t="shared" si="6"/>
        <v>322</v>
      </c>
    </row>
    <row r="469" spans="8:46" x14ac:dyDescent="0.4">
      <c r="H469" s="59">
        <v>42992.404930555553</v>
      </c>
      <c r="I469" s="43">
        <v>42571.73541666667</v>
      </c>
      <c r="J469" s="42">
        <v>42740.421886574077</v>
      </c>
      <c r="K469" s="81" t="s">
        <v>49</v>
      </c>
      <c r="L469" t="s">
        <v>49</v>
      </c>
      <c r="M469" t="s">
        <v>336</v>
      </c>
      <c r="N469" s="1" t="s">
        <v>336</v>
      </c>
      <c r="O469" s="1" t="s">
        <v>230</v>
      </c>
      <c r="P469" t="s">
        <v>230</v>
      </c>
      <c r="Q469" s="9" t="s">
        <v>45</v>
      </c>
      <c r="R469" s="82" t="s">
        <v>45</v>
      </c>
      <c r="S469" s="44" t="s">
        <v>194</v>
      </c>
      <c r="T469" s="3" t="s">
        <v>61</v>
      </c>
      <c r="U469" s="2" t="s">
        <v>29</v>
      </c>
      <c r="V469" s="3" t="s">
        <v>29</v>
      </c>
      <c r="W469" s="11" t="s">
        <v>143</v>
      </c>
      <c r="X469" s="3" t="s">
        <v>143</v>
      </c>
      <c r="Y469" s="77" t="s">
        <v>48</v>
      </c>
      <c r="Z469" s="84" t="s">
        <v>1600</v>
      </c>
      <c r="AA469" s="89" t="s">
        <v>28</v>
      </c>
      <c r="AB469" s="90" t="str">
        <f>HYPERLINK(CONCATENATE("https://www.ejacket.nsf.gov/ej/showProposal.do?ID=",SUBSTITUTE(SplitQueryTableRecent[[#This Row],[prop_id]],CHAR(160),"")),"eJ")</f>
        <v>eJ</v>
      </c>
      <c r="AC469" s="89" t="s">
        <v>1600</v>
      </c>
      <c r="AD469" s="3" t="s">
        <v>1600</v>
      </c>
      <c r="AE469" s="91">
        <v>2017</v>
      </c>
      <c r="AF469" s="13" t="s">
        <v>43</v>
      </c>
      <c r="AG469" s="13">
        <v>179039</v>
      </c>
      <c r="AH469" s="45">
        <v>623977</v>
      </c>
      <c r="AI469" s="44" t="s">
        <v>1321</v>
      </c>
      <c r="AJ469" s="2" t="s">
        <v>1322</v>
      </c>
      <c r="AK469" s="46" t="s">
        <v>1747</v>
      </c>
      <c r="AL469" s="55" t="s">
        <v>481</v>
      </c>
      <c r="AM469" s="45" t="s">
        <v>481</v>
      </c>
      <c r="AN469" s="56" t="s">
        <v>142</v>
      </c>
      <c r="AO469" s="23" t="s">
        <v>146</v>
      </c>
      <c r="AP469" s="11"/>
      <c r="AQ469" s="88" t="s">
        <v>1601</v>
      </c>
      <c r="AR469" s="57" t="s">
        <v>188</v>
      </c>
      <c r="AS469" s="46">
        <v>42800.598506944443</v>
      </c>
      <c r="AT469" s="3">
        <f t="shared" si="6"/>
        <v>323</v>
      </c>
    </row>
    <row r="470" spans="8:46" x14ac:dyDescent="0.4">
      <c r="H470" s="59">
        <v>42992.404930555553</v>
      </c>
      <c r="I470" s="43">
        <v>42571.73541666667</v>
      </c>
      <c r="J470" s="42">
        <v>42740.421886574077</v>
      </c>
      <c r="K470" s="81" t="s">
        <v>49</v>
      </c>
      <c r="L470" t="s">
        <v>49</v>
      </c>
      <c r="M470" t="s">
        <v>336</v>
      </c>
      <c r="N470" s="1" t="s">
        <v>336</v>
      </c>
      <c r="O470" s="1" t="s">
        <v>230</v>
      </c>
      <c r="P470" t="s">
        <v>230</v>
      </c>
      <c r="Q470" s="9" t="s">
        <v>45</v>
      </c>
      <c r="R470" s="82" t="s">
        <v>45</v>
      </c>
      <c r="S470" s="44" t="s">
        <v>194</v>
      </c>
      <c r="T470" s="3" t="s">
        <v>61</v>
      </c>
      <c r="U470" s="2" t="s">
        <v>29</v>
      </c>
      <c r="V470" s="3" t="s">
        <v>29</v>
      </c>
      <c r="W470" s="11" t="s">
        <v>143</v>
      </c>
      <c r="X470" s="3" t="s">
        <v>143</v>
      </c>
      <c r="Y470" s="77" t="s">
        <v>48</v>
      </c>
      <c r="Z470" s="84" t="s">
        <v>1600</v>
      </c>
      <c r="AA470" s="89" t="s">
        <v>28</v>
      </c>
      <c r="AB470" s="90" t="str">
        <f>HYPERLINK(CONCATENATE("https://www.ejacket.nsf.gov/ej/showProposal.do?ID=",SUBSTITUTE(SplitQueryTableRecent[[#This Row],[prop_id]],CHAR(160),"")),"eJ")</f>
        <v>eJ</v>
      </c>
      <c r="AC470" s="89" t="s">
        <v>1600</v>
      </c>
      <c r="AD470" s="3" t="s">
        <v>1600</v>
      </c>
      <c r="AE470" s="91">
        <v>2019</v>
      </c>
      <c r="AF470" s="13" t="s">
        <v>43</v>
      </c>
      <c r="AG470" s="13">
        <v>191804</v>
      </c>
      <c r="AH470" s="45">
        <v>623977</v>
      </c>
      <c r="AI470" s="44" t="s">
        <v>1321</v>
      </c>
      <c r="AJ470" s="2" t="s">
        <v>1322</v>
      </c>
      <c r="AK470" s="46" t="s">
        <v>1747</v>
      </c>
      <c r="AL470" s="55" t="s">
        <v>481</v>
      </c>
      <c r="AM470" s="45" t="s">
        <v>481</v>
      </c>
      <c r="AN470" s="56" t="s">
        <v>142</v>
      </c>
      <c r="AO470" s="23" t="s">
        <v>146</v>
      </c>
      <c r="AP470" s="11" t="s">
        <v>205</v>
      </c>
      <c r="AQ470" s="88" t="s">
        <v>1601</v>
      </c>
      <c r="AR470" s="57" t="s">
        <v>188</v>
      </c>
      <c r="AS470" s="46">
        <v>42800.598506944443</v>
      </c>
      <c r="AT470" s="3">
        <f t="shared" si="6"/>
        <v>323</v>
      </c>
    </row>
    <row r="471" spans="8:46" x14ac:dyDescent="0.4">
      <c r="H471" s="59">
        <v>42992.404930555553</v>
      </c>
      <c r="I471" s="43">
        <v>42571.73541666667</v>
      </c>
      <c r="J471" s="42">
        <v>42740.421886574077</v>
      </c>
      <c r="K471" s="81" t="s">
        <v>49</v>
      </c>
      <c r="L471" t="s">
        <v>49</v>
      </c>
      <c r="M471" t="s">
        <v>336</v>
      </c>
      <c r="N471" s="1" t="s">
        <v>336</v>
      </c>
      <c r="O471" s="1" t="s">
        <v>230</v>
      </c>
      <c r="P471" t="s">
        <v>230</v>
      </c>
      <c r="Q471" s="9" t="s">
        <v>45</v>
      </c>
      <c r="R471" s="82" t="s">
        <v>45</v>
      </c>
      <c r="S471" s="44" t="s">
        <v>194</v>
      </c>
      <c r="T471" s="3" t="s">
        <v>61</v>
      </c>
      <c r="U471" s="2" t="s">
        <v>29</v>
      </c>
      <c r="V471" s="3" t="s">
        <v>29</v>
      </c>
      <c r="W471" s="11" t="s">
        <v>143</v>
      </c>
      <c r="X471" s="3" t="s">
        <v>143</v>
      </c>
      <c r="Y471" s="77" t="s">
        <v>48</v>
      </c>
      <c r="Z471" s="84" t="s">
        <v>1600</v>
      </c>
      <c r="AA471" s="89" t="s">
        <v>28</v>
      </c>
      <c r="AB471" s="90" t="str">
        <f>HYPERLINK(CONCATENATE("https://www.ejacket.nsf.gov/ej/showProposal.do?ID=",SUBSTITUTE(SplitQueryTableRecent[[#This Row],[prop_id]],CHAR(160),"")),"eJ")</f>
        <v>eJ</v>
      </c>
      <c r="AC471" s="89" t="s">
        <v>1600</v>
      </c>
      <c r="AD471" s="3" t="s">
        <v>1600</v>
      </c>
      <c r="AE471" s="91">
        <v>2021</v>
      </c>
      <c r="AF471" s="13" t="s">
        <v>43</v>
      </c>
      <c r="AG471" s="13">
        <v>93134</v>
      </c>
      <c r="AH471" s="45">
        <v>623977</v>
      </c>
      <c r="AI471" s="44" t="s">
        <v>1321</v>
      </c>
      <c r="AJ471" s="2" t="s">
        <v>1322</v>
      </c>
      <c r="AK471" s="46" t="s">
        <v>1747</v>
      </c>
      <c r="AL471" s="55" t="s">
        <v>481</v>
      </c>
      <c r="AM471" s="45" t="s">
        <v>481</v>
      </c>
      <c r="AN471" s="56" t="s">
        <v>142</v>
      </c>
      <c r="AO471" s="23" t="s">
        <v>146</v>
      </c>
      <c r="AP471" s="11" t="s">
        <v>205</v>
      </c>
      <c r="AQ471" s="88" t="s">
        <v>1601</v>
      </c>
      <c r="AR471" s="57" t="s">
        <v>188</v>
      </c>
      <c r="AS471" s="46">
        <v>42800.598506944443</v>
      </c>
      <c r="AT471" s="3">
        <f t="shared" si="6"/>
        <v>323</v>
      </c>
    </row>
    <row r="472" spans="8:46" x14ac:dyDescent="0.4">
      <c r="H472" s="59">
        <v>42992.404930555553</v>
      </c>
      <c r="I472" s="43">
        <v>42206.518055555556</v>
      </c>
      <c r="J472" s="42">
        <v>42397.569467592592</v>
      </c>
      <c r="K472" s="81" t="s">
        <v>49</v>
      </c>
      <c r="L472" t="s">
        <v>49</v>
      </c>
      <c r="M472" t="s">
        <v>336</v>
      </c>
      <c r="N472" s="1" t="s">
        <v>336</v>
      </c>
      <c r="O472" s="1" t="s">
        <v>337</v>
      </c>
      <c r="P472" t="s">
        <v>337</v>
      </c>
      <c r="Q472" s="9" t="s">
        <v>45</v>
      </c>
      <c r="R472" s="82" t="s">
        <v>45</v>
      </c>
      <c r="S472" s="44" t="s">
        <v>194</v>
      </c>
      <c r="T472" s="3" t="s">
        <v>61</v>
      </c>
      <c r="U472" s="2" t="s">
        <v>29</v>
      </c>
      <c r="V472" s="3" t="s">
        <v>29</v>
      </c>
      <c r="W472" s="11" t="s">
        <v>143</v>
      </c>
      <c r="X472" s="3" t="s">
        <v>143</v>
      </c>
      <c r="Y472" s="77" t="s">
        <v>48</v>
      </c>
      <c r="Z472" s="84" t="s">
        <v>508</v>
      </c>
      <c r="AA472" s="89" t="s">
        <v>28</v>
      </c>
      <c r="AB472" s="90" t="str">
        <f>HYPERLINK(CONCATENATE("https://www.ejacket.nsf.gov/ej/showProposal.do?ID=",SUBSTITUTE(SplitQueryTableRecent[[#This Row],[prop_id]],CHAR(160),"")),"eJ")</f>
        <v>eJ</v>
      </c>
      <c r="AC472" s="89" t="s">
        <v>508</v>
      </c>
      <c r="AD472" s="3" t="s">
        <v>508</v>
      </c>
      <c r="AE472" s="91">
        <v>2016</v>
      </c>
      <c r="AF472" s="13" t="s">
        <v>43</v>
      </c>
      <c r="AG472" s="13">
        <v>179438</v>
      </c>
      <c r="AH472" s="45">
        <v>499999</v>
      </c>
      <c r="AI472" s="44" t="s">
        <v>511</v>
      </c>
      <c r="AJ472" s="2" t="s">
        <v>512</v>
      </c>
      <c r="AK472" s="46" t="s">
        <v>1707</v>
      </c>
      <c r="AL472" s="55" t="s">
        <v>510</v>
      </c>
      <c r="AM472" s="45" t="s">
        <v>510</v>
      </c>
      <c r="AN472" s="56" t="s">
        <v>142</v>
      </c>
      <c r="AO472" s="23" t="s">
        <v>146</v>
      </c>
      <c r="AP472" s="11"/>
      <c r="AQ472" s="88" t="s">
        <v>509</v>
      </c>
      <c r="AR472" s="57" t="s">
        <v>164</v>
      </c>
      <c r="AS472" s="46">
        <v>42416.560868055552</v>
      </c>
      <c r="AT472" s="3">
        <f t="shared" si="6"/>
        <v>324</v>
      </c>
    </row>
    <row r="473" spans="8:46" x14ac:dyDescent="0.4">
      <c r="H473" s="59">
        <v>42992.404930555553</v>
      </c>
      <c r="I473" s="43">
        <v>42206.518055555556</v>
      </c>
      <c r="J473" s="42">
        <v>42397.569467592592</v>
      </c>
      <c r="K473" s="81" t="s">
        <v>49</v>
      </c>
      <c r="L473" t="s">
        <v>49</v>
      </c>
      <c r="M473" t="s">
        <v>336</v>
      </c>
      <c r="N473" s="1" t="s">
        <v>336</v>
      </c>
      <c r="O473" s="1" t="s">
        <v>337</v>
      </c>
      <c r="P473" t="s">
        <v>337</v>
      </c>
      <c r="Q473" s="9" t="s">
        <v>45</v>
      </c>
      <c r="R473" s="82" t="s">
        <v>45</v>
      </c>
      <c r="S473" s="44" t="s">
        <v>194</v>
      </c>
      <c r="T473" s="3" t="s">
        <v>61</v>
      </c>
      <c r="U473" s="2" t="s">
        <v>29</v>
      </c>
      <c r="V473" s="3" t="s">
        <v>29</v>
      </c>
      <c r="W473" s="11" t="s">
        <v>143</v>
      </c>
      <c r="X473" s="3" t="s">
        <v>143</v>
      </c>
      <c r="Y473" s="77" t="s">
        <v>48</v>
      </c>
      <c r="Z473" s="84" t="s">
        <v>508</v>
      </c>
      <c r="AA473" s="89" t="s">
        <v>28</v>
      </c>
      <c r="AB473" s="90" t="str">
        <f>HYPERLINK(CONCATENATE("https://www.ejacket.nsf.gov/ej/showProposal.do?ID=",SUBSTITUTE(SplitQueryTableRecent[[#This Row],[prop_id]],CHAR(160),"")),"eJ")</f>
        <v>eJ</v>
      </c>
      <c r="AC473" s="89" t="s">
        <v>508</v>
      </c>
      <c r="AD473" s="3" t="s">
        <v>508</v>
      </c>
      <c r="AE473" s="91">
        <v>2018</v>
      </c>
      <c r="AF473" s="13" t="s">
        <v>43</v>
      </c>
      <c r="AG473" s="13">
        <v>98968</v>
      </c>
      <c r="AH473" s="45">
        <v>499999</v>
      </c>
      <c r="AI473" s="44" t="s">
        <v>511</v>
      </c>
      <c r="AJ473" s="2" t="s">
        <v>512</v>
      </c>
      <c r="AK473" s="46" t="s">
        <v>1707</v>
      </c>
      <c r="AL473" s="55" t="s">
        <v>510</v>
      </c>
      <c r="AM473" s="45" t="s">
        <v>510</v>
      </c>
      <c r="AN473" s="56" t="s">
        <v>142</v>
      </c>
      <c r="AO473" s="23" t="s">
        <v>146</v>
      </c>
      <c r="AP473" s="11" t="s">
        <v>205</v>
      </c>
      <c r="AQ473" s="88" t="s">
        <v>509</v>
      </c>
      <c r="AR473" s="57" t="s">
        <v>164</v>
      </c>
      <c r="AS473" s="46">
        <v>42416.560868055552</v>
      </c>
      <c r="AT473" s="3">
        <f t="shared" si="6"/>
        <v>324</v>
      </c>
    </row>
    <row r="474" spans="8:46" x14ac:dyDescent="0.4">
      <c r="H474" s="59">
        <v>42992.404930555553</v>
      </c>
      <c r="I474" s="43">
        <v>42206.518055555556</v>
      </c>
      <c r="J474" s="42">
        <v>42397.569467592592</v>
      </c>
      <c r="K474" s="81" t="s">
        <v>49</v>
      </c>
      <c r="L474" t="s">
        <v>49</v>
      </c>
      <c r="M474" t="s">
        <v>336</v>
      </c>
      <c r="N474" s="1" t="s">
        <v>336</v>
      </c>
      <c r="O474" s="1" t="s">
        <v>337</v>
      </c>
      <c r="P474" t="s">
        <v>337</v>
      </c>
      <c r="Q474" s="9" t="s">
        <v>45</v>
      </c>
      <c r="R474" s="82" t="s">
        <v>45</v>
      </c>
      <c r="S474" s="44" t="s">
        <v>194</v>
      </c>
      <c r="T474" s="3" t="s">
        <v>61</v>
      </c>
      <c r="U474" s="2" t="s">
        <v>29</v>
      </c>
      <c r="V474" s="3" t="s">
        <v>29</v>
      </c>
      <c r="W474" s="11" t="s">
        <v>143</v>
      </c>
      <c r="X474" s="3" t="s">
        <v>143</v>
      </c>
      <c r="Y474" s="77" t="s">
        <v>48</v>
      </c>
      <c r="Z474" s="84" t="s">
        <v>508</v>
      </c>
      <c r="AA474" s="89" t="s">
        <v>28</v>
      </c>
      <c r="AB474" s="90" t="str">
        <f>HYPERLINK(CONCATENATE("https://www.ejacket.nsf.gov/ej/showProposal.do?ID=",SUBSTITUTE(SplitQueryTableRecent[[#This Row],[prop_id]],CHAR(160),"")),"eJ")</f>
        <v>eJ</v>
      </c>
      <c r="AC474" s="89" t="s">
        <v>508</v>
      </c>
      <c r="AD474" s="3" t="s">
        <v>508</v>
      </c>
      <c r="AE474" s="91">
        <v>2019</v>
      </c>
      <c r="AF474" s="13" t="s">
        <v>43</v>
      </c>
      <c r="AG474" s="13">
        <v>103385</v>
      </c>
      <c r="AH474" s="45">
        <v>499999</v>
      </c>
      <c r="AI474" s="44" t="s">
        <v>511</v>
      </c>
      <c r="AJ474" s="2" t="s">
        <v>512</v>
      </c>
      <c r="AK474" s="46" t="s">
        <v>1707</v>
      </c>
      <c r="AL474" s="55" t="s">
        <v>510</v>
      </c>
      <c r="AM474" s="45" t="s">
        <v>510</v>
      </c>
      <c r="AN474" s="56" t="s">
        <v>142</v>
      </c>
      <c r="AO474" s="23" t="s">
        <v>146</v>
      </c>
      <c r="AP474" s="11" t="s">
        <v>205</v>
      </c>
      <c r="AQ474" s="88" t="s">
        <v>509</v>
      </c>
      <c r="AR474" s="57" t="s">
        <v>164</v>
      </c>
      <c r="AS474" s="46">
        <v>42416.560868055552</v>
      </c>
      <c r="AT474" s="3">
        <f t="shared" ref="AT474:AT537" si="7">IF(AD474=AD473,AT473,AT473+1)</f>
        <v>324</v>
      </c>
    </row>
    <row r="475" spans="8:46" x14ac:dyDescent="0.4">
      <c r="H475" s="59">
        <v>42992.404930555553</v>
      </c>
      <c r="I475" s="43">
        <v>42206.518055555556</v>
      </c>
      <c r="J475" s="42">
        <v>42397.569467592592</v>
      </c>
      <c r="K475" s="81" t="s">
        <v>49</v>
      </c>
      <c r="L475" t="s">
        <v>49</v>
      </c>
      <c r="M475" t="s">
        <v>336</v>
      </c>
      <c r="N475" s="1" t="s">
        <v>336</v>
      </c>
      <c r="O475" s="1" t="s">
        <v>337</v>
      </c>
      <c r="P475" t="s">
        <v>337</v>
      </c>
      <c r="Q475" s="9" t="s">
        <v>45</v>
      </c>
      <c r="R475" s="82" t="s">
        <v>45</v>
      </c>
      <c r="S475" s="44" t="s">
        <v>194</v>
      </c>
      <c r="T475" s="3" t="s">
        <v>61</v>
      </c>
      <c r="U475" s="2" t="s">
        <v>29</v>
      </c>
      <c r="V475" s="3" t="s">
        <v>29</v>
      </c>
      <c r="W475" s="11" t="s">
        <v>143</v>
      </c>
      <c r="X475" s="3" t="s">
        <v>143</v>
      </c>
      <c r="Y475" s="77" t="s">
        <v>48</v>
      </c>
      <c r="Z475" s="84" t="s">
        <v>508</v>
      </c>
      <c r="AA475" s="89" t="s">
        <v>28</v>
      </c>
      <c r="AB475" s="90" t="str">
        <f>HYPERLINK(CONCATENATE("https://www.ejacket.nsf.gov/ej/showProposal.do?ID=",SUBSTITUTE(SplitQueryTableRecent[[#This Row],[prop_id]],CHAR(160),"")),"eJ")</f>
        <v>eJ</v>
      </c>
      <c r="AC475" s="89" t="s">
        <v>508</v>
      </c>
      <c r="AD475" s="3" t="s">
        <v>508</v>
      </c>
      <c r="AE475" s="91">
        <v>2020</v>
      </c>
      <c r="AF475" s="13" t="s">
        <v>43</v>
      </c>
      <c r="AG475" s="13">
        <v>108022</v>
      </c>
      <c r="AH475" s="45">
        <v>499999</v>
      </c>
      <c r="AI475" s="44" t="s">
        <v>511</v>
      </c>
      <c r="AJ475" s="2" t="s">
        <v>512</v>
      </c>
      <c r="AK475" s="46" t="s">
        <v>1707</v>
      </c>
      <c r="AL475" s="55" t="s">
        <v>510</v>
      </c>
      <c r="AM475" s="45" t="s">
        <v>510</v>
      </c>
      <c r="AN475" s="56" t="s">
        <v>142</v>
      </c>
      <c r="AO475" s="23" t="s">
        <v>146</v>
      </c>
      <c r="AP475" s="11" t="s">
        <v>205</v>
      </c>
      <c r="AQ475" s="88" t="s">
        <v>509</v>
      </c>
      <c r="AR475" s="57" t="s">
        <v>164</v>
      </c>
      <c r="AS475" s="46">
        <v>42416.560868055552</v>
      </c>
      <c r="AT475" s="3">
        <f t="shared" si="7"/>
        <v>324</v>
      </c>
    </row>
    <row r="476" spans="8:46" x14ac:dyDescent="0.4">
      <c r="H476" s="59">
        <v>42992.404930555553</v>
      </c>
      <c r="I476" s="43">
        <v>41841.822222222225</v>
      </c>
      <c r="J476" s="42">
        <v>42027.566145833334</v>
      </c>
      <c r="K476" s="81" t="s">
        <v>49</v>
      </c>
      <c r="L476" t="s">
        <v>49</v>
      </c>
      <c r="M476" t="s">
        <v>336</v>
      </c>
      <c r="N476" s="1" t="s">
        <v>336</v>
      </c>
      <c r="O476" s="1" t="s">
        <v>337</v>
      </c>
      <c r="P476" t="s">
        <v>337</v>
      </c>
      <c r="Q476" s="9" t="s">
        <v>45</v>
      </c>
      <c r="R476" s="82" t="s">
        <v>45</v>
      </c>
      <c r="S476" s="44" t="s">
        <v>190</v>
      </c>
      <c r="T476" s="3" t="s">
        <v>61</v>
      </c>
      <c r="U476" s="2" t="s">
        <v>29</v>
      </c>
      <c r="V476" s="3" t="s">
        <v>29</v>
      </c>
      <c r="W476" s="11" t="s">
        <v>143</v>
      </c>
      <c r="X476" s="3" t="s">
        <v>143</v>
      </c>
      <c r="Y476" s="77" t="s">
        <v>48</v>
      </c>
      <c r="Z476" s="84" t="s">
        <v>1602</v>
      </c>
      <c r="AA476" s="89" t="s">
        <v>28</v>
      </c>
      <c r="AB476" s="90" t="str">
        <f>HYPERLINK(CONCATENATE("https://www.ejacket.nsf.gov/ej/showProposal.do?ID=",SUBSTITUTE(SplitQueryTableRecent[[#This Row],[prop_id]],CHAR(160),"")),"eJ")</f>
        <v>eJ</v>
      </c>
      <c r="AC476" s="89" t="s">
        <v>1602</v>
      </c>
      <c r="AD476" s="3" t="s">
        <v>1602</v>
      </c>
      <c r="AE476" s="91">
        <v>2015</v>
      </c>
      <c r="AF476" s="13" t="s">
        <v>43</v>
      </c>
      <c r="AG476" s="13">
        <v>191550</v>
      </c>
      <c r="AH476" s="45">
        <v>508090</v>
      </c>
      <c r="AI476" s="44" t="s">
        <v>1604</v>
      </c>
      <c r="AJ476" s="2" t="s">
        <v>1364</v>
      </c>
      <c r="AK476" s="46" t="s">
        <v>1709</v>
      </c>
      <c r="AL476" s="55" t="s">
        <v>426</v>
      </c>
      <c r="AM476" s="45" t="s">
        <v>510</v>
      </c>
      <c r="AN476" s="56" t="s">
        <v>142</v>
      </c>
      <c r="AO476" s="23" t="s">
        <v>146</v>
      </c>
      <c r="AP476" s="11"/>
      <c r="AQ476" s="88" t="s">
        <v>1603</v>
      </c>
      <c r="AR476" s="57" t="s">
        <v>161</v>
      </c>
      <c r="AS476" s="46">
        <v>42038.514814814815</v>
      </c>
      <c r="AT476" s="3">
        <f t="shared" si="7"/>
        <v>325</v>
      </c>
    </row>
    <row r="477" spans="8:46" x14ac:dyDescent="0.4">
      <c r="H477" s="59">
        <v>42992.404930555553</v>
      </c>
      <c r="I477" s="43">
        <v>41841.822222222225</v>
      </c>
      <c r="J477" s="42">
        <v>42027.566145833334</v>
      </c>
      <c r="K477" s="81" t="s">
        <v>49</v>
      </c>
      <c r="L477" t="s">
        <v>49</v>
      </c>
      <c r="M477" t="s">
        <v>336</v>
      </c>
      <c r="N477" s="1" t="s">
        <v>336</v>
      </c>
      <c r="O477" s="1" t="s">
        <v>337</v>
      </c>
      <c r="P477" t="s">
        <v>337</v>
      </c>
      <c r="Q477" s="9" t="s">
        <v>45</v>
      </c>
      <c r="R477" s="82" t="s">
        <v>45</v>
      </c>
      <c r="S477" s="44" t="s">
        <v>190</v>
      </c>
      <c r="T477" s="3" t="s">
        <v>61</v>
      </c>
      <c r="U477" s="2" t="s">
        <v>29</v>
      </c>
      <c r="V477" s="3" t="s">
        <v>29</v>
      </c>
      <c r="W477" s="11" t="s">
        <v>143</v>
      </c>
      <c r="X477" s="3" t="s">
        <v>143</v>
      </c>
      <c r="Y477" s="77" t="s">
        <v>48</v>
      </c>
      <c r="Z477" s="84" t="s">
        <v>1602</v>
      </c>
      <c r="AA477" s="89" t="s">
        <v>28</v>
      </c>
      <c r="AB477" s="90" t="str">
        <f>HYPERLINK(CONCATENATE("https://www.ejacket.nsf.gov/ej/showProposal.do?ID=",SUBSTITUTE(SplitQueryTableRecent[[#This Row],[prop_id]],CHAR(160),"")),"eJ")</f>
        <v>eJ</v>
      </c>
      <c r="AC477" s="89" t="s">
        <v>1602</v>
      </c>
      <c r="AD477" s="3" t="s">
        <v>1602</v>
      </c>
      <c r="AE477" s="91">
        <v>2017</v>
      </c>
      <c r="AF477" s="13" t="s">
        <v>43</v>
      </c>
      <c r="AG477" s="13">
        <v>204361</v>
      </c>
      <c r="AH477" s="45">
        <v>508090</v>
      </c>
      <c r="AI477" s="44" t="s">
        <v>1604</v>
      </c>
      <c r="AJ477" s="2" t="s">
        <v>1364</v>
      </c>
      <c r="AK477" s="46" t="s">
        <v>1709</v>
      </c>
      <c r="AL477" s="55" t="s">
        <v>426</v>
      </c>
      <c r="AM477" s="45" t="s">
        <v>510</v>
      </c>
      <c r="AN477" s="56" t="s">
        <v>142</v>
      </c>
      <c r="AO477" s="23" t="s">
        <v>146</v>
      </c>
      <c r="AP477" s="11" t="s">
        <v>172</v>
      </c>
      <c r="AQ477" s="88" t="s">
        <v>1603</v>
      </c>
      <c r="AR477" s="57" t="s">
        <v>1521</v>
      </c>
      <c r="AS477" s="46">
        <v>42809.668993055559</v>
      </c>
      <c r="AT477" s="3">
        <f t="shared" si="7"/>
        <v>325</v>
      </c>
    </row>
    <row r="478" spans="8:46" x14ac:dyDescent="0.4">
      <c r="H478" s="59">
        <v>42992.404930555553</v>
      </c>
      <c r="I478" s="43">
        <v>41841.822222222225</v>
      </c>
      <c r="J478" s="42">
        <v>42027.566145833334</v>
      </c>
      <c r="K478" s="81" t="s">
        <v>49</v>
      </c>
      <c r="L478" t="s">
        <v>49</v>
      </c>
      <c r="M478" t="s">
        <v>336</v>
      </c>
      <c r="N478" s="1" t="s">
        <v>336</v>
      </c>
      <c r="O478" s="1" t="s">
        <v>337</v>
      </c>
      <c r="P478" t="s">
        <v>337</v>
      </c>
      <c r="Q478" s="9" t="s">
        <v>45</v>
      </c>
      <c r="R478" s="82" t="s">
        <v>45</v>
      </c>
      <c r="S478" s="44" t="s">
        <v>190</v>
      </c>
      <c r="T478" s="3" t="s">
        <v>61</v>
      </c>
      <c r="U478" s="2" t="s">
        <v>29</v>
      </c>
      <c r="V478" s="3" t="s">
        <v>29</v>
      </c>
      <c r="W478" s="11" t="s">
        <v>143</v>
      </c>
      <c r="X478" s="3" t="s">
        <v>143</v>
      </c>
      <c r="Y478" s="77" t="s">
        <v>48</v>
      </c>
      <c r="Z478" s="84" t="s">
        <v>1602</v>
      </c>
      <c r="AA478" s="89" t="s">
        <v>28</v>
      </c>
      <c r="AB478" s="90" t="str">
        <f>HYPERLINK(CONCATENATE("https://www.ejacket.nsf.gov/ej/showProposal.do?ID=",SUBSTITUTE(SplitQueryTableRecent[[#This Row],[prop_id]],CHAR(160),"")),"eJ")</f>
        <v>eJ</v>
      </c>
      <c r="AC478" s="89" t="s">
        <v>1602</v>
      </c>
      <c r="AD478" s="3" t="s">
        <v>1602</v>
      </c>
      <c r="AE478" s="91">
        <v>2019</v>
      </c>
      <c r="AF478" s="13" t="s">
        <v>43</v>
      </c>
      <c r="AG478" s="13">
        <v>107237</v>
      </c>
      <c r="AH478" s="45">
        <v>508090</v>
      </c>
      <c r="AI478" s="44" t="s">
        <v>1604</v>
      </c>
      <c r="AJ478" s="2" t="s">
        <v>1364</v>
      </c>
      <c r="AK478" s="46" t="s">
        <v>1709</v>
      </c>
      <c r="AL478" s="55" t="s">
        <v>426</v>
      </c>
      <c r="AM478" s="45" t="s">
        <v>510</v>
      </c>
      <c r="AN478" s="56" t="s">
        <v>142</v>
      </c>
      <c r="AO478" s="23" t="s">
        <v>146</v>
      </c>
      <c r="AP478" s="11" t="s">
        <v>205</v>
      </c>
      <c r="AQ478" s="88" t="s">
        <v>1603</v>
      </c>
      <c r="AR478" s="57" t="s">
        <v>161</v>
      </c>
      <c r="AS478" s="46">
        <v>42038.514814814815</v>
      </c>
      <c r="AT478" s="3">
        <f t="shared" si="7"/>
        <v>325</v>
      </c>
    </row>
    <row r="479" spans="8:46" x14ac:dyDescent="0.4">
      <c r="H479" s="59">
        <v>42992.404930555553</v>
      </c>
      <c r="I479" s="43">
        <v>42662.568055555559</v>
      </c>
      <c r="J479" s="42">
        <v>42833.47452546296</v>
      </c>
      <c r="K479" s="81" t="s">
        <v>49</v>
      </c>
      <c r="L479" t="s">
        <v>49</v>
      </c>
      <c r="M479" t="s">
        <v>336</v>
      </c>
      <c r="N479" s="1" t="s">
        <v>336</v>
      </c>
      <c r="O479" s="1" t="s">
        <v>337</v>
      </c>
      <c r="P479" t="s">
        <v>337</v>
      </c>
      <c r="Q479" s="9" t="s">
        <v>45</v>
      </c>
      <c r="R479" s="82" t="s">
        <v>45</v>
      </c>
      <c r="S479" s="44" t="s">
        <v>192</v>
      </c>
      <c r="T479" s="3" t="s">
        <v>61</v>
      </c>
      <c r="U479" s="2" t="s">
        <v>29</v>
      </c>
      <c r="V479" s="3" t="s">
        <v>29</v>
      </c>
      <c r="W479" s="11" t="s">
        <v>143</v>
      </c>
      <c r="X479" s="3" t="s">
        <v>143</v>
      </c>
      <c r="Y479" s="77" t="s">
        <v>48</v>
      </c>
      <c r="Z479" s="84" t="s">
        <v>513</v>
      </c>
      <c r="AA479" s="89" t="s">
        <v>28</v>
      </c>
      <c r="AB479" s="90" t="str">
        <f>HYPERLINK(CONCATENATE("https://www.ejacket.nsf.gov/ej/showProposal.do?ID=",SUBSTITUTE(SplitQueryTableRecent[[#This Row],[prop_id]],CHAR(160),"")),"eJ")</f>
        <v>eJ</v>
      </c>
      <c r="AC479" s="89" t="s">
        <v>513</v>
      </c>
      <c r="AD479" s="3" t="s">
        <v>513</v>
      </c>
      <c r="AE479" s="91">
        <v>2017</v>
      </c>
      <c r="AF479" s="13" t="s">
        <v>43</v>
      </c>
      <c r="AG479" s="13">
        <v>178578</v>
      </c>
      <c r="AH479" s="45">
        <v>752998</v>
      </c>
      <c r="AI479" s="44" t="s">
        <v>221</v>
      </c>
      <c r="AJ479" s="2" t="s">
        <v>515</v>
      </c>
      <c r="AK479" s="46" t="s">
        <v>261</v>
      </c>
      <c r="AL479" s="55" t="s">
        <v>341</v>
      </c>
      <c r="AM479" s="45" t="s">
        <v>341</v>
      </c>
      <c r="AN479" s="56" t="s">
        <v>142</v>
      </c>
      <c r="AO479" s="23" t="s">
        <v>146</v>
      </c>
      <c r="AP479" s="11"/>
      <c r="AQ479" s="88" t="s">
        <v>514</v>
      </c>
      <c r="AR479" s="57" t="s">
        <v>188</v>
      </c>
      <c r="AS479" s="46">
        <v>42859.616678240738</v>
      </c>
      <c r="AT479" s="3">
        <f t="shared" si="7"/>
        <v>326</v>
      </c>
    </row>
    <row r="480" spans="8:46" x14ac:dyDescent="0.4">
      <c r="H480" s="59">
        <v>42992.404930555553</v>
      </c>
      <c r="I480" s="43">
        <v>42662.568055555559</v>
      </c>
      <c r="J480" s="42">
        <v>42833.47452546296</v>
      </c>
      <c r="K480" s="81" t="s">
        <v>49</v>
      </c>
      <c r="L480" t="s">
        <v>49</v>
      </c>
      <c r="M480" t="s">
        <v>336</v>
      </c>
      <c r="N480" s="1" t="s">
        <v>336</v>
      </c>
      <c r="O480" s="1" t="s">
        <v>337</v>
      </c>
      <c r="P480" t="s">
        <v>337</v>
      </c>
      <c r="Q480" s="9" t="s">
        <v>45</v>
      </c>
      <c r="R480" s="82" t="s">
        <v>45</v>
      </c>
      <c r="S480" s="44" t="s">
        <v>192</v>
      </c>
      <c r="T480" s="3" t="s">
        <v>61</v>
      </c>
      <c r="U480" s="2" t="s">
        <v>29</v>
      </c>
      <c r="V480" s="3" t="s">
        <v>29</v>
      </c>
      <c r="W480" s="11" t="s">
        <v>143</v>
      </c>
      <c r="X480" s="3" t="s">
        <v>143</v>
      </c>
      <c r="Y480" s="77" t="s">
        <v>48</v>
      </c>
      <c r="Z480" s="84" t="s">
        <v>513</v>
      </c>
      <c r="AA480" s="89" t="s">
        <v>28</v>
      </c>
      <c r="AB480" s="90" t="str">
        <f>HYPERLINK(CONCATENATE("https://www.ejacket.nsf.gov/ej/showProposal.do?ID=",SUBSTITUTE(SplitQueryTableRecent[[#This Row],[prop_id]],CHAR(160),"")),"eJ")</f>
        <v>eJ</v>
      </c>
      <c r="AC480" s="89" t="s">
        <v>513</v>
      </c>
      <c r="AD480" s="3" t="s">
        <v>513</v>
      </c>
      <c r="AE480" s="91">
        <v>2018</v>
      </c>
      <c r="AF480" s="13" t="s">
        <v>43</v>
      </c>
      <c r="AG480" s="13">
        <v>184843</v>
      </c>
      <c r="AH480" s="45">
        <v>752998</v>
      </c>
      <c r="AI480" s="44" t="s">
        <v>221</v>
      </c>
      <c r="AJ480" s="2" t="s">
        <v>515</v>
      </c>
      <c r="AK480" s="46" t="s">
        <v>261</v>
      </c>
      <c r="AL480" s="55" t="s">
        <v>341</v>
      </c>
      <c r="AM480" s="45" t="s">
        <v>341</v>
      </c>
      <c r="AN480" s="56" t="s">
        <v>142</v>
      </c>
      <c r="AO480" s="23" t="s">
        <v>146</v>
      </c>
      <c r="AP480" s="11" t="s">
        <v>205</v>
      </c>
      <c r="AQ480" s="88" t="s">
        <v>514</v>
      </c>
      <c r="AR480" s="57" t="s">
        <v>188</v>
      </c>
      <c r="AS480" s="46">
        <v>42859.616678240738</v>
      </c>
      <c r="AT480" s="3">
        <f t="shared" si="7"/>
        <v>326</v>
      </c>
    </row>
    <row r="481" spans="8:46" x14ac:dyDescent="0.4">
      <c r="H481" s="59">
        <v>42992.404930555553</v>
      </c>
      <c r="I481" s="43">
        <v>42662.568055555559</v>
      </c>
      <c r="J481" s="42">
        <v>42833.47452546296</v>
      </c>
      <c r="K481" s="81" t="s">
        <v>49</v>
      </c>
      <c r="L481" t="s">
        <v>49</v>
      </c>
      <c r="M481" t="s">
        <v>336</v>
      </c>
      <c r="N481" s="1" t="s">
        <v>336</v>
      </c>
      <c r="O481" s="1" t="s">
        <v>337</v>
      </c>
      <c r="P481" t="s">
        <v>337</v>
      </c>
      <c r="Q481" s="9" t="s">
        <v>45</v>
      </c>
      <c r="R481" s="82" t="s">
        <v>45</v>
      </c>
      <c r="S481" s="44" t="s">
        <v>192</v>
      </c>
      <c r="T481" s="3" t="s">
        <v>61</v>
      </c>
      <c r="U481" s="2" t="s">
        <v>29</v>
      </c>
      <c r="V481" s="3" t="s">
        <v>29</v>
      </c>
      <c r="W481" s="11" t="s">
        <v>143</v>
      </c>
      <c r="X481" s="3" t="s">
        <v>143</v>
      </c>
      <c r="Y481" s="77" t="s">
        <v>48</v>
      </c>
      <c r="Z481" s="84" t="s">
        <v>513</v>
      </c>
      <c r="AA481" s="89" t="s">
        <v>28</v>
      </c>
      <c r="AB481" s="90" t="str">
        <f>HYPERLINK(CONCATENATE("https://www.ejacket.nsf.gov/ej/showProposal.do?ID=",SUBSTITUTE(SplitQueryTableRecent[[#This Row],[prop_id]],CHAR(160),"")),"eJ")</f>
        <v>eJ</v>
      </c>
      <c r="AC481" s="89" t="s">
        <v>513</v>
      </c>
      <c r="AD481" s="3" t="s">
        <v>513</v>
      </c>
      <c r="AE481" s="91">
        <v>2019</v>
      </c>
      <c r="AF481" s="13" t="s">
        <v>44</v>
      </c>
      <c r="AG481" s="13">
        <v>191380</v>
      </c>
      <c r="AH481" s="45">
        <v>752998</v>
      </c>
      <c r="AI481" s="44" t="s">
        <v>221</v>
      </c>
      <c r="AJ481" s="2" t="s">
        <v>515</v>
      </c>
      <c r="AK481" s="46" t="s">
        <v>261</v>
      </c>
      <c r="AL481" s="55" t="s">
        <v>341</v>
      </c>
      <c r="AM481" s="45" t="s">
        <v>341</v>
      </c>
      <c r="AN481" s="56" t="s">
        <v>142</v>
      </c>
      <c r="AO481" s="23" t="s">
        <v>146</v>
      </c>
      <c r="AP481" s="11" t="s">
        <v>205</v>
      </c>
      <c r="AQ481" s="88" t="s">
        <v>514</v>
      </c>
      <c r="AR481" s="57" t="s">
        <v>188</v>
      </c>
      <c r="AS481" s="46">
        <v>42859.616678240738</v>
      </c>
      <c r="AT481" s="3">
        <f t="shared" si="7"/>
        <v>326</v>
      </c>
    </row>
    <row r="482" spans="8:46" x14ac:dyDescent="0.4">
      <c r="H482" s="59">
        <v>42992.404930555553</v>
      </c>
      <c r="I482" s="43">
        <v>42662.568055555559</v>
      </c>
      <c r="J482" s="42">
        <v>42833.47452546296</v>
      </c>
      <c r="K482" s="81" t="s">
        <v>49</v>
      </c>
      <c r="L482" t="s">
        <v>49</v>
      </c>
      <c r="M482" t="s">
        <v>336</v>
      </c>
      <c r="N482" s="1" t="s">
        <v>336</v>
      </c>
      <c r="O482" s="1" t="s">
        <v>337</v>
      </c>
      <c r="P482" t="s">
        <v>337</v>
      </c>
      <c r="Q482" s="9" t="s">
        <v>45</v>
      </c>
      <c r="R482" s="82" t="s">
        <v>45</v>
      </c>
      <c r="S482" s="44" t="s">
        <v>192</v>
      </c>
      <c r="T482" s="3" t="s">
        <v>61</v>
      </c>
      <c r="U482" s="2" t="s">
        <v>29</v>
      </c>
      <c r="V482" s="3" t="s">
        <v>29</v>
      </c>
      <c r="W482" s="11" t="s">
        <v>143</v>
      </c>
      <c r="X482" s="3" t="s">
        <v>143</v>
      </c>
      <c r="Y482" s="77" t="s">
        <v>48</v>
      </c>
      <c r="Z482" s="84" t="s">
        <v>513</v>
      </c>
      <c r="AA482" s="89" t="s">
        <v>28</v>
      </c>
      <c r="AB482" s="90" t="str">
        <f>HYPERLINK(CONCATENATE("https://www.ejacket.nsf.gov/ej/showProposal.do?ID=",SUBSTITUTE(SplitQueryTableRecent[[#This Row],[prop_id]],CHAR(160),"")),"eJ")</f>
        <v>eJ</v>
      </c>
      <c r="AC482" s="89" t="s">
        <v>513</v>
      </c>
      <c r="AD482" s="3" t="s">
        <v>513</v>
      </c>
      <c r="AE482" s="91">
        <v>2020</v>
      </c>
      <c r="AF482" s="13" t="s">
        <v>44</v>
      </c>
      <c r="AG482" s="13">
        <v>198197</v>
      </c>
      <c r="AH482" s="45">
        <v>752998</v>
      </c>
      <c r="AI482" s="44" t="s">
        <v>221</v>
      </c>
      <c r="AJ482" s="2" t="s">
        <v>515</v>
      </c>
      <c r="AK482" s="46" t="s">
        <v>261</v>
      </c>
      <c r="AL482" s="55" t="s">
        <v>341</v>
      </c>
      <c r="AM482" s="45" t="s">
        <v>341</v>
      </c>
      <c r="AN482" s="56" t="s">
        <v>142</v>
      </c>
      <c r="AO482" s="23" t="s">
        <v>146</v>
      </c>
      <c r="AP482" s="11" t="s">
        <v>205</v>
      </c>
      <c r="AQ482" s="88" t="s">
        <v>514</v>
      </c>
      <c r="AR482" s="57" t="s">
        <v>188</v>
      </c>
      <c r="AS482" s="46">
        <v>42859.616678240738</v>
      </c>
      <c r="AT482" s="3">
        <f t="shared" si="7"/>
        <v>326</v>
      </c>
    </row>
    <row r="483" spans="8:46" x14ac:dyDescent="0.4">
      <c r="H483" s="59">
        <v>42992.404930555553</v>
      </c>
      <c r="I483" s="43">
        <v>42206.628472222219</v>
      </c>
      <c r="J483" s="42">
        <v>42388.398240740738</v>
      </c>
      <c r="K483" s="81" t="s">
        <v>49</v>
      </c>
      <c r="L483" t="s">
        <v>49</v>
      </c>
      <c r="M483" t="s">
        <v>336</v>
      </c>
      <c r="N483" s="1" t="s">
        <v>336</v>
      </c>
      <c r="O483" s="1" t="s">
        <v>245</v>
      </c>
      <c r="P483" t="s">
        <v>245</v>
      </c>
      <c r="Q483" s="9" t="s">
        <v>45</v>
      </c>
      <c r="R483" s="82" t="s">
        <v>45</v>
      </c>
      <c r="S483" s="44" t="s">
        <v>194</v>
      </c>
      <c r="T483" s="3" t="s">
        <v>61</v>
      </c>
      <c r="U483" s="2" t="s">
        <v>29</v>
      </c>
      <c r="V483" s="3" t="s">
        <v>29</v>
      </c>
      <c r="W483" s="11" t="s">
        <v>143</v>
      </c>
      <c r="X483" s="3" t="s">
        <v>143</v>
      </c>
      <c r="Y483" s="77" t="s">
        <v>48</v>
      </c>
      <c r="Z483" s="84" t="s">
        <v>516</v>
      </c>
      <c r="AA483" s="89" t="s">
        <v>28</v>
      </c>
      <c r="AB483" s="90" t="str">
        <f>HYPERLINK(CONCATENATE("https://www.ejacket.nsf.gov/ej/showProposal.do?ID=",SUBSTITUTE(SplitQueryTableRecent[[#This Row],[prop_id]],CHAR(160),"")),"eJ")</f>
        <v>eJ</v>
      </c>
      <c r="AC483" s="89" t="s">
        <v>516</v>
      </c>
      <c r="AD483" s="3" t="s">
        <v>516</v>
      </c>
      <c r="AE483" s="91">
        <v>2016</v>
      </c>
      <c r="AF483" s="13" t="s">
        <v>43</v>
      </c>
      <c r="AG483" s="13">
        <v>192086</v>
      </c>
      <c r="AH483" s="45">
        <v>497847</v>
      </c>
      <c r="AI483" s="44" t="s">
        <v>518</v>
      </c>
      <c r="AJ483" s="2" t="s">
        <v>519</v>
      </c>
      <c r="AK483" s="46" t="s">
        <v>1725</v>
      </c>
      <c r="AL483" s="55" t="s">
        <v>481</v>
      </c>
      <c r="AM483" s="45" t="s">
        <v>481</v>
      </c>
      <c r="AN483" s="56" t="s">
        <v>142</v>
      </c>
      <c r="AO483" s="23" t="s">
        <v>146</v>
      </c>
      <c r="AP483" s="11"/>
      <c r="AQ483" s="88" t="s">
        <v>517</v>
      </c>
      <c r="AR483" s="57" t="s">
        <v>164</v>
      </c>
      <c r="AS483" s="46">
        <v>42398.405775462961</v>
      </c>
      <c r="AT483" s="3">
        <f t="shared" si="7"/>
        <v>327</v>
      </c>
    </row>
    <row r="484" spans="8:46" x14ac:dyDescent="0.4">
      <c r="H484" s="59">
        <v>42992.404930555553</v>
      </c>
      <c r="I484" s="43">
        <v>42206.628472222219</v>
      </c>
      <c r="J484" s="42">
        <v>42388.398240740738</v>
      </c>
      <c r="K484" s="81" t="s">
        <v>49</v>
      </c>
      <c r="L484" t="s">
        <v>49</v>
      </c>
      <c r="M484" t="s">
        <v>336</v>
      </c>
      <c r="N484" s="1" t="s">
        <v>336</v>
      </c>
      <c r="O484" s="1" t="s">
        <v>245</v>
      </c>
      <c r="P484" t="s">
        <v>245</v>
      </c>
      <c r="Q484" s="9" t="s">
        <v>45</v>
      </c>
      <c r="R484" s="82" t="s">
        <v>45</v>
      </c>
      <c r="S484" s="44" t="s">
        <v>194</v>
      </c>
      <c r="T484" s="3" t="s">
        <v>61</v>
      </c>
      <c r="U484" s="2" t="s">
        <v>29</v>
      </c>
      <c r="V484" s="3" t="s">
        <v>29</v>
      </c>
      <c r="W484" s="11" t="s">
        <v>143</v>
      </c>
      <c r="X484" s="3" t="s">
        <v>143</v>
      </c>
      <c r="Y484" s="77" t="s">
        <v>48</v>
      </c>
      <c r="Z484" s="84" t="s">
        <v>516</v>
      </c>
      <c r="AA484" s="89" t="s">
        <v>28</v>
      </c>
      <c r="AB484" s="90" t="str">
        <f>HYPERLINK(CONCATENATE("https://www.ejacket.nsf.gov/ej/showProposal.do?ID=",SUBSTITUTE(SplitQueryTableRecent[[#This Row],[prop_id]],CHAR(160),"")),"eJ")</f>
        <v>eJ</v>
      </c>
      <c r="AC484" s="89" t="s">
        <v>516</v>
      </c>
      <c r="AD484" s="3" t="s">
        <v>516</v>
      </c>
      <c r="AE484" s="91">
        <v>2018</v>
      </c>
      <c r="AF484" s="13" t="s">
        <v>43</v>
      </c>
      <c r="AG484" s="13">
        <v>201554</v>
      </c>
      <c r="AH484" s="45">
        <v>497847</v>
      </c>
      <c r="AI484" s="44" t="s">
        <v>518</v>
      </c>
      <c r="AJ484" s="2" t="s">
        <v>519</v>
      </c>
      <c r="AK484" s="46" t="s">
        <v>1725</v>
      </c>
      <c r="AL484" s="55" t="s">
        <v>481</v>
      </c>
      <c r="AM484" s="45" t="s">
        <v>481</v>
      </c>
      <c r="AN484" s="56" t="s">
        <v>142</v>
      </c>
      <c r="AO484" s="23" t="s">
        <v>146</v>
      </c>
      <c r="AP484" s="11" t="s">
        <v>205</v>
      </c>
      <c r="AQ484" s="88" t="s">
        <v>517</v>
      </c>
      <c r="AR484" s="57" t="s">
        <v>164</v>
      </c>
      <c r="AS484" s="46">
        <v>42398.405775462961</v>
      </c>
      <c r="AT484" s="3">
        <f t="shared" si="7"/>
        <v>327</v>
      </c>
    </row>
    <row r="485" spans="8:46" x14ac:dyDescent="0.4">
      <c r="H485" s="59">
        <v>42992.404930555553</v>
      </c>
      <c r="I485" s="43">
        <v>42206.628472222219</v>
      </c>
      <c r="J485" s="42">
        <v>42388.398240740738</v>
      </c>
      <c r="K485" s="81" t="s">
        <v>49</v>
      </c>
      <c r="L485" t="s">
        <v>49</v>
      </c>
      <c r="M485" t="s">
        <v>336</v>
      </c>
      <c r="N485" s="1" t="s">
        <v>336</v>
      </c>
      <c r="O485" s="1" t="s">
        <v>245</v>
      </c>
      <c r="P485" t="s">
        <v>245</v>
      </c>
      <c r="Q485" s="9" t="s">
        <v>45</v>
      </c>
      <c r="R485" s="82" t="s">
        <v>45</v>
      </c>
      <c r="S485" s="44" t="s">
        <v>194</v>
      </c>
      <c r="T485" s="3" t="s">
        <v>61</v>
      </c>
      <c r="U485" s="2" t="s">
        <v>29</v>
      </c>
      <c r="V485" s="3" t="s">
        <v>29</v>
      </c>
      <c r="W485" s="11" t="s">
        <v>143</v>
      </c>
      <c r="X485" s="3" t="s">
        <v>143</v>
      </c>
      <c r="Y485" s="77" t="s">
        <v>48</v>
      </c>
      <c r="Z485" s="84" t="s">
        <v>516</v>
      </c>
      <c r="AA485" s="89" t="s">
        <v>28</v>
      </c>
      <c r="AB485" s="90" t="str">
        <f>HYPERLINK(CONCATENATE("https://www.ejacket.nsf.gov/ej/showProposal.do?ID=",SUBSTITUTE(SplitQueryTableRecent[[#This Row],[prop_id]],CHAR(160),"")),"eJ")</f>
        <v>eJ</v>
      </c>
      <c r="AC485" s="89" t="s">
        <v>516</v>
      </c>
      <c r="AD485" s="3" t="s">
        <v>516</v>
      </c>
      <c r="AE485" s="91">
        <v>2020</v>
      </c>
      <c r="AF485" s="13" t="s">
        <v>43</v>
      </c>
      <c r="AG485" s="13">
        <v>104207</v>
      </c>
      <c r="AH485" s="45">
        <v>497847</v>
      </c>
      <c r="AI485" s="44" t="s">
        <v>518</v>
      </c>
      <c r="AJ485" s="2" t="s">
        <v>519</v>
      </c>
      <c r="AK485" s="46" t="s">
        <v>1725</v>
      </c>
      <c r="AL485" s="55" t="s">
        <v>481</v>
      </c>
      <c r="AM485" s="45" t="s">
        <v>481</v>
      </c>
      <c r="AN485" s="56" t="s">
        <v>142</v>
      </c>
      <c r="AO485" s="23" t="s">
        <v>146</v>
      </c>
      <c r="AP485" s="11" t="s">
        <v>205</v>
      </c>
      <c r="AQ485" s="88" t="s">
        <v>517</v>
      </c>
      <c r="AR485" s="57" t="s">
        <v>164</v>
      </c>
      <c r="AS485" s="46">
        <v>42398.405775462961</v>
      </c>
      <c r="AT485" s="3">
        <f t="shared" si="7"/>
        <v>327</v>
      </c>
    </row>
    <row r="486" spans="8:46" x14ac:dyDescent="0.4">
      <c r="H486" s="59">
        <v>42992.404930555553</v>
      </c>
      <c r="I486" s="43">
        <v>42206.575694444444</v>
      </c>
      <c r="J486" s="42">
        <v>42397.573750000003</v>
      </c>
      <c r="K486" s="81" t="s">
        <v>49</v>
      </c>
      <c r="L486" t="s">
        <v>49</v>
      </c>
      <c r="M486" t="s">
        <v>336</v>
      </c>
      <c r="N486" s="1" t="s">
        <v>336</v>
      </c>
      <c r="O486" s="1" t="s">
        <v>337</v>
      </c>
      <c r="P486" t="s">
        <v>337</v>
      </c>
      <c r="Q486" s="9" t="s">
        <v>45</v>
      </c>
      <c r="R486" s="82" t="s">
        <v>45</v>
      </c>
      <c r="S486" s="44" t="s">
        <v>194</v>
      </c>
      <c r="T486" s="3" t="s">
        <v>61</v>
      </c>
      <c r="U486" s="2" t="s">
        <v>29</v>
      </c>
      <c r="V486" s="3" t="s">
        <v>29</v>
      </c>
      <c r="W486" s="11" t="s">
        <v>143</v>
      </c>
      <c r="X486" s="3" t="s">
        <v>143</v>
      </c>
      <c r="Y486" s="77" t="s">
        <v>48</v>
      </c>
      <c r="Z486" s="84" t="s">
        <v>523</v>
      </c>
      <c r="AA486" s="89" t="s">
        <v>28</v>
      </c>
      <c r="AB486" s="90" t="str">
        <f>HYPERLINK(CONCATENATE("https://www.ejacket.nsf.gov/ej/showProposal.do?ID=",SUBSTITUTE(SplitQueryTableRecent[[#This Row],[prop_id]],CHAR(160),"")),"eJ")</f>
        <v>eJ</v>
      </c>
      <c r="AC486" s="89" t="s">
        <v>523</v>
      </c>
      <c r="AD486" s="3" t="s">
        <v>523</v>
      </c>
      <c r="AE486" s="91">
        <v>2016</v>
      </c>
      <c r="AF486" s="13" t="s">
        <v>43</v>
      </c>
      <c r="AG486" s="13">
        <v>190703</v>
      </c>
      <c r="AH486" s="45">
        <v>400000</v>
      </c>
      <c r="AI486" s="44" t="s">
        <v>525</v>
      </c>
      <c r="AJ486" s="2" t="s">
        <v>191</v>
      </c>
      <c r="AK486" s="46" t="s">
        <v>195</v>
      </c>
      <c r="AL486" s="55" t="s">
        <v>426</v>
      </c>
      <c r="AM486" s="45" t="s">
        <v>426</v>
      </c>
      <c r="AN486" s="56" t="s">
        <v>142</v>
      </c>
      <c r="AO486" s="23" t="s">
        <v>146</v>
      </c>
      <c r="AP486" s="11"/>
      <c r="AQ486" s="88" t="s">
        <v>524</v>
      </c>
      <c r="AR486" s="57" t="s">
        <v>164</v>
      </c>
      <c r="AS486" s="46">
        <v>42416.460960648146</v>
      </c>
      <c r="AT486" s="3">
        <f t="shared" si="7"/>
        <v>328</v>
      </c>
    </row>
    <row r="487" spans="8:46" x14ac:dyDescent="0.4">
      <c r="H487" s="59">
        <v>42992.404930555553</v>
      </c>
      <c r="I487" s="43">
        <v>42206.575694444444</v>
      </c>
      <c r="J487" s="42">
        <v>42397.573750000003</v>
      </c>
      <c r="K487" s="81" t="s">
        <v>49</v>
      </c>
      <c r="L487" t="s">
        <v>49</v>
      </c>
      <c r="M487" t="s">
        <v>336</v>
      </c>
      <c r="N487" s="1" t="s">
        <v>336</v>
      </c>
      <c r="O487" s="1" t="s">
        <v>337</v>
      </c>
      <c r="P487" t="s">
        <v>337</v>
      </c>
      <c r="Q487" s="9" t="s">
        <v>45</v>
      </c>
      <c r="R487" s="82" t="s">
        <v>45</v>
      </c>
      <c r="S487" s="44" t="s">
        <v>194</v>
      </c>
      <c r="T487" s="3" t="s">
        <v>61</v>
      </c>
      <c r="U487" s="2" t="s">
        <v>29</v>
      </c>
      <c r="V487" s="3" t="s">
        <v>29</v>
      </c>
      <c r="W487" s="11" t="s">
        <v>143</v>
      </c>
      <c r="X487" s="3" t="s">
        <v>143</v>
      </c>
      <c r="Y487" s="77" t="s">
        <v>48</v>
      </c>
      <c r="Z487" s="84" t="s">
        <v>523</v>
      </c>
      <c r="AA487" s="89" t="s">
        <v>28</v>
      </c>
      <c r="AB487" s="90" t="str">
        <f>HYPERLINK(CONCATENATE("https://www.ejacket.nsf.gov/ej/showProposal.do?ID=",SUBSTITUTE(SplitQueryTableRecent[[#This Row],[prop_id]],CHAR(160),"")),"eJ")</f>
        <v>eJ</v>
      </c>
      <c r="AC487" s="89" t="s">
        <v>523</v>
      </c>
      <c r="AD487" s="3" t="s">
        <v>523</v>
      </c>
      <c r="AE487" s="91">
        <v>2018</v>
      </c>
      <c r="AF487" s="13" t="s">
        <v>43</v>
      </c>
      <c r="AG487" s="13">
        <v>99320</v>
      </c>
      <c r="AH487" s="45">
        <v>400000</v>
      </c>
      <c r="AI487" s="44" t="s">
        <v>525</v>
      </c>
      <c r="AJ487" s="2" t="s">
        <v>191</v>
      </c>
      <c r="AK487" s="46" t="s">
        <v>195</v>
      </c>
      <c r="AL487" s="55" t="s">
        <v>426</v>
      </c>
      <c r="AM487" s="45" t="s">
        <v>426</v>
      </c>
      <c r="AN487" s="56" t="s">
        <v>142</v>
      </c>
      <c r="AO487" s="23" t="s">
        <v>146</v>
      </c>
      <c r="AP487" s="11" t="s">
        <v>205</v>
      </c>
      <c r="AQ487" s="88" t="s">
        <v>524</v>
      </c>
      <c r="AR487" s="57" t="s">
        <v>164</v>
      </c>
      <c r="AS487" s="46">
        <v>42416.460960648146</v>
      </c>
      <c r="AT487" s="3">
        <f t="shared" si="7"/>
        <v>328</v>
      </c>
    </row>
    <row r="488" spans="8:46" x14ac:dyDescent="0.4">
      <c r="H488" s="59">
        <v>42992.404930555553</v>
      </c>
      <c r="I488" s="43">
        <v>42206.575694444444</v>
      </c>
      <c r="J488" s="42">
        <v>42397.573750000003</v>
      </c>
      <c r="K488" s="81" t="s">
        <v>49</v>
      </c>
      <c r="L488" t="s">
        <v>49</v>
      </c>
      <c r="M488" t="s">
        <v>336</v>
      </c>
      <c r="N488" s="1" t="s">
        <v>336</v>
      </c>
      <c r="O488" s="1" t="s">
        <v>337</v>
      </c>
      <c r="P488" t="s">
        <v>337</v>
      </c>
      <c r="Q488" s="9" t="s">
        <v>45</v>
      </c>
      <c r="R488" s="82" t="s">
        <v>45</v>
      </c>
      <c r="S488" s="44" t="s">
        <v>194</v>
      </c>
      <c r="T488" s="3" t="s">
        <v>61</v>
      </c>
      <c r="U488" s="2" t="s">
        <v>29</v>
      </c>
      <c r="V488" s="3" t="s">
        <v>29</v>
      </c>
      <c r="W488" s="11" t="s">
        <v>143</v>
      </c>
      <c r="X488" s="3" t="s">
        <v>143</v>
      </c>
      <c r="Y488" s="77" t="s">
        <v>48</v>
      </c>
      <c r="Z488" s="84" t="s">
        <v>523</v>
      </c>
      <c r="AA488" s="89" t="s">
        <v>28</v>
      </c>
      <c r="AB488" s="90" t="str">
        <f>HYPERLINK(CONCATENATE("https://www.ejacket.nsf.gov/ej/showProposal.do?ID=",SUBSTITUTE(SplitQueryTableRecent[[#This Row],[prop_id]],CHAR(160),"")),"eJ")</f>
        <v>eJ</v>
      </c>
      <c r="AC488" s="89" t="s">
        <v>523</v>
      </c>
      <c r="AD488" s="3" t="s">
        <v>523</v>
      </c>
      <c r="AE488" s="91">
        <v>2019</v>
      </c>
      <c r="AF488" s="13" t="s">
        <v>43</v>
      </c>
      <c r="AG488" s="13">
        <v>102080</v>
      </c>
      <c r="AH488" s="45">
        <v>400000</v>
      </c>
      <c r="AI488" s="44" t="s">
        <v>525</v>
      </c>
      <c r="AJ488" s="2" t="s">
        <v>191</v>
      </c>
      <c r="AK488" s="46" t="s">
        <v>195</v>
      </c>
      <c r="AL488" s="55" t="s">
        <v>426</v>
      </c>
      <c r="AM488" s="45" t="s">
        <v>426</v>
      </c>
      <c r="AN488" s="56" t="s">
        <v>142</v>
      </c>
      <c r="AO488" s="23" t="s">
        <v>146</v>
      </c>
      <c r="AP488" s="11" t="s">
        <v>205</v>
      </c>
      <c r="AQ488" s="88" t="s">
        <v>524</v>
      </c>
      <c r="AR488" s="57" t="s">
        <v>164</v>
      </c>
      <c r="AS488" s="46">
        <v>42416.460960648146</v>
      </c>
      <c r="AT488" s="3">
        <f t="shared" si="7"/>
        <v>328</v>
      </c>
    </row>
    <row r="489" spans="8:46" x14ac:dyDescent="0.4">
      <c r="H489" s="59">
        <v>42992.404930555553</v>
      </c>
      <c r="I489" s="43">
        <v>42206.575694444444</v>
      </c>
      <c r="J489" s="42">
        <v>42397.573750000003</v>
      </c>
      <c r="K489" s="81" t="s">
        <v>49</v>
      </c>
      <c r="L489" t="s">
        <v>49</v>
      </c>
      <c r="M489" t="s">
        <v>336</v>
      </c>
      <c r="N489" s="1" t="s">
        <v>336</v>
      </c>
      <c r="O489" s="1" t="s">
        <v>337</v>
      </c>
      <c r="P489" t="s">
        <v>337</v>
      </c>
      <c r="Q489" s="9" t="s">
        <v>45</v>
      </c>
      <c r="R489" s="82" t="s">
        <v>45</v>
      </c>
      <c r="S489" s="44" t="s">
        <v>194</v>
      </c>
      <c r="T489" s="3" t="s">
        <v>61</v>
      </c>
      <c r="U489" s="2" t="s">
        <v>29</v>
      </c>
      <c r="V489" s="3" t="s">
        <v>29</v>
      </c>
      <c r="W489" s="11" t="s">
        <v>143</v>
      </c>
      <c r="X489" s="3" t="s">
        <v>143</v>
      </c>
      <c r="Y489" s="77" t="s">
        <v>48</v>
      </c>
      <c r="Z489" s="84" t="s">
        <v>523</v>
      </c>
      <c r="AA489" s="89" t="s">
        <v>28</v>
      </c>
      <c r="AB489" s="90" t="str">
        <f>HYPERLINK(CONCATENATE("https://www.ejacket.nsf.gov/ej/showProposal.do?ID=",SUBSTITUTE(SplitQueryTableRecent[[#This Row],[prop_id]],CHAR(160),"")),"eJ")</f>
        <v>eJ</v>
      </c>
      <c r="AC489" s="89" t="s">
        <v>523</v>
      </c>
      <c r="AD489" s="3" t="s">
        <v>523</v>
      </c>
      <c r="AE489" s="91">
        <v>2020</v>
      </c>
      <c r="AF489" s="13" t="s">
        <v>43</v>
      </c>
      <c r="AG489" s="13">
        <v>104930</v>
      </c>
      <c r="AH489" s="45">
        <v>400000</v>
      </c>
      <c r="AI489" s="44" t="s">
        <v>525</v>
      </c>
      <c r="AJ489" s="2" t="s">
        <v>191</v>
      </c>
      <c r="AK489" s="46" t="s">
        <v>195</v>
      </c>
      <c r="AL489" s="55" t="s">
        <v>426</v>
      </c>
      <c r="AM489" s="45" t="s">
        <v>426</v>
      </c>
      <c r="AN489" s="56" t="s">
        <v>142</v>
      </c>
      <c r="AO489" s="23" t="s">
        <v>146</v>
      </c>
      <c r="AP489" s="11" t="s">
        <v>205</v>
      </c>
      <c r="AQ489" s="88" t="s">
        <v>524</v>
      </c>
      <c r="AR489" s="57" t="s">
        <v>164</v>
      </c>
      <c r="AS489" s="46">
        <v>42416.460960648146</v>
      </c>
      <c r="AT489" s="3">
        <f t="shared" si="7"/>
        <v>328</v>
      </c>
    </row>
    <row r="490" spans="8:46" x14ac:dyDescent="0.4">
      <c r="H490" s="59">
        <v>42992.404930555553</v>
      </c>
      <c r="I490" s="43">
        <v>42662.68472222222</v>
      </c>
      <c r="J490" s="42">
        <v>42842.361944444441</v>
      </c>
      <c r="K490" s="81" t="s">
        <v>49</v>
      </c>
      <c r="L490" t="s">
        <v>49</v>
      </c>
      <c r="M490" t="s">
        <v>336</v>
      </c>
      <c r="N490" s="1" t="s">
        <v>336</v>
      </c>
      <c r="O490" s="1" t="s">
        <v>337</v>
      </c>
      <c r="P490" t="s">
        <v>337</v>
      </c>
      <c r="Q490" s="9" t="s">
        <v>45</v>
      </c>
      <c r="R490" s="82" t="s">
        <v>45</v>
      </c>
      <c r="S490" s="44" t="s">
        <v>192</v>
      </c>
      <c r="T490" s="3" t="s">
        <v>61</v>
      </c>
      <c r="U490" s="2" t="s">
        <v>29</v>
      </c>
      <c r="V490" s="3" t="s">
        <v>29</v>
      </c>
      <c r="W490" s="11" t="s">
        <v>143</v>
      </c>
      <c r="X490" s="3" t="s">
        <v>143</v>
      </c>
      <c r="Y490" s="77" t="s">
        <v>48</v>
      </c>
      <c r="Z490" s="84" t="s">
        <v>414</v>
      </c>
      <c r="AA490" s="89" t="s">
        <v>174</v>
      </c>
      <c r="AB490" s="90" t="str">
        <f>HYPERLINK(CONCATENATE("https://www.ejacket.nsf.gov/ej/showProposal.do?ID=",SUBSTITUTE(SplitQueryTableRecent[[#This Row],[prop_id]],CHAR(160),"")),"eJ")</f>
        <v>eJ</v>
      </c>
      <c r="AC490" s="89" t="s">
        <v>414</v>
      </c>
      <c r="AD490" s="3" t="s">
        <v>414</v>
      </c>
      <c r="AE490" s="91">
        <v>2017</v>
      </c>
      <c r="AF490" s="13" t="s">
        <v>43</v>
      </c>
      <c r="AG490" s="13">
        <v>88635</v>
      </c>
      <c r="AH490" s="45">
        <v>400000</v>
      </c>
      <c r="AI490" s="44" t="s">
        <v>210</v>
      </c>
      <c r="AJ490" s="2" t="s">
        <v>528</v>
      </c>
      <c r="AK490" s="46" t="s">
        <v>228</v>
      </c>
      <c r="AL490" s="55" t="s">
        <v>341</v>
      </c>
      <c r="AM490" s="45" t="s">
        <v>341</v>
      </c>
      <c r="AN490" s="56" t="s">
        <v>142</v>
      </c>
      <c r="AO490" s="23" t="s">
        <v>146</v>
      </c>
      <c r="AP490" s="11"/>
      <c r="AQ490" s="88" t="s">
        <v>415</v>
      </c>
      <c r="AR490" s="57" t="s">
        <v>188</v>
      </c>
      <c r="AS490" s="46">
        <v>42859.695960648147</v>
      </c>
      <c r="AT490" s="3">
        <f t="shared" si="7"/>
        <v>329</v>
      </c>
    </row>
    <row r="491" spans="8:46" x14ac:dyDescent="0.4">
      <c r="H491" s="59">
        <v>42992.404930555553</v>
      </c>
      <c r="I491" s="43">
        <v>42662.68472222222</v>
      </c>
      <c r="J491" s="42">
        <v>42842.361944444441</v>
      </c>
      <c r="K491" s="81" t="s">
        <v>49</v>
      </c>
      <c r="L491" t="s">
        <v>49</v>
      </c>
      <c r="M491" t="s">
        <v>336</v>
      </c>
      <c r="N491" s="1" t="s">
        <v>336</v>
      </c>
      <c r="O491" s="1" t="s">
        <v>337</v>
      </c>
      <c r="P491" t="s">
        <v>337</v>
      </c>
      <c r="Q491" s="9" t="s">
        <v>45</v>
      </c>
      <c r="R491" s="82" t="s">
        <v>45</v>
      </c>
      <c r="S491" s="44" t="s">
        <v>192</v>
      </c>
      <c r="T491" s="3" t="s">
        <v>61</v>
      </c>
      <c r="U491" s="2" t="s">
        <v>29</v>
      </c>
      <c r="V491" s="3" t="s">
        <v>29</v>
      </c>
      <c r="W491" s="11" t="s">
        <v>143</v>
      </c>
      <c r="X491" s="3" t="s">
        <v>143</v>
      </c>
      <c r="Y491" s="77" t="s">
        <v>48</v>
      </c>
      <c r="Z491" s="84" t="s">
        <v>414</v>
      </c>
      <c r="AA491" s="89" t="s">
        <v>174</v>
      </c>
      <c r="AB491" s="90" t="str">
        <f>HYPERLINK(CONCATENATE("https://www.ejacket.nsf.gov/ej/showProposal.do?ID=",SUBSTITUTE(SplitQueryTableRecent[[#This Row],[prop_id]],CHAR(160),"")),"eJ")</f>
        <v>eJ</v>
      </c>
      <c r="AC491" s="89" t="s">
        <v>414</v>
      </c>
      <c r="AD491" s="3" t="s">
        <v>414</v>
      </c>
      <c r="AE491" s="91">
        <v>2018</v>
      </c>
      <c r="AF491" s="13" t="s">
        <v>43</v>
      </c>
      <c r="AG491" s="13">
        <v>91117</v>
      </c>
      <c r="AH491" s="45">
        <v>400000</v>
      </c>
      <c r="AI491" s="44" t="s">
        <v>210</v>
      </c>
      <c r="AJ491" s="2" t="s">
        <v>528</v>
      </c>
      <c r="AK491" s="46" t="s">
        <v>228</v>
      </c>
      <c r="AL491" s="55" t="s">
        <v>341</v>
      </c>
      <c r="AM491" s="45" t="s">
        <v>341</v>
      </c>
      <c r="AN491" s="56" t="s">
        <v>142</v>
      </c>
      <c r="AO491" s="23" t="s">
        <v>146</v>
      </c>
      <c r="AP491" s="11" t="s">
        <v>205</v>
      </c>
      <c r="AQ491" s="88" t="s">
        <v>415</v>
      </c>
      <c r="AR491" s="57" t="s">
        <v>188</v>
      </c>
      <c r="AS491" s="46">
        <v>42859.695960648147</v>
      </c>
      <c r="AT491" s="3">
        <f t="shared" si="7"/>
        <v>329</v>
      </c>
    </row>
    <row r="492" spans="8:46" x14ac:dyDescent="0.4">
      <c r="H492" s="59">
        <v>42992.404930555553</v>
      </c>
      <c r="I492" s="43">
        <v>42662.68472222222</v>
      </c>
      <c r="J492" s="42">
        <v>42842.361944444441</v>
      </c>
      <c r="K492" s="81" t="s">
        <v>49</v>
      </c>
      <c r="L492" t="s">
        <v>49</v>
      </c>
      <c r="M492" t="s">
        <v>336</v>
      </c>
      <c r="N492" s="1" t="s">
        <v>336</v>
      </c>
      <c r="O492" s="1" t="s">
        <v>337</v>
      </c>
      <c r="P492" t="s">
        <v>337</v>
      </c>
      <c r="Q492" s="9" t="s">
        <v>45</v>
      </c>
      <c r="R492" s="82" t="s">
        <v>45</v>
      </c>
      <c r="S492" s="44" t="s">
        <v>192</v>
      </c>
      <c r="T492" s="3" t="s">
        <v>61</v>
      </c>
      <c r="U492" s="2" t="s">
        <v>29</v>
      </c>
      <c r="V492" s="3" t="s">
        <v>29</v>
      </c>
      <c r="W492" s="11" t="s">
        <v>143</v>
      </c>
      <c r="X492" s="3" t="s">
        <v>143</v>
      </c>
      <c r="Y492" s="77" t="s">
        <v>48</v>
      </c>
      <c r="Z492" s="84" t="s">
        <v>414</v>
      </c>
      <c r="AA492" s="89" t="s">
        <v>174</v>
      </c>
      <c r="AB492" s="90" t="str">
        <f>HYPERLINK(CONCATENATE("https://www.ejacket.nsf.gov/ej/showProposal.do?ID=",SUBSTITUTE(SplitQueryTableRecent[[#This Row],[prop_id]],CHAR(160),"")),"eJ")</f>
        <v>eJ</v>
      </c>
      <c r="AC492" s="89" t="s">
        <v>414</v>
      </c>
      <c r="AD492" s="3" t="s">
        <v>414</v>
      </c>
      <c r="AE492" s="91">
        <v>2019</v>
      </c>
      <c r="AF492" s="13" t="s">
        <v>43</v>
      </c>
      <c r="AG492" s="13">
        <v>93457</v>
      </c>
      <c r="AH492" s="45">
        <v>400000</v>
      </c>
      <c r="AI492" s="44" t="s">
        <v>210</v>
      </c>
      <c r="AJ492" s="2" t="s">
        <v>528</v>
      </c>
      <c r="AK492" s="46" t="s">
        <v>228</v>
      </c>
      <c r="AL492" s="55" t="s">
        <v>341</v>
      </c>
      <c r="AM492" s="45" t="s">
        <v>341</v>
      </c>
      <c r="AN492" s="56" t="s">
        <v>142</v>
      </c>
      <c r="AO492" s="23" t="s">
        <v>146</v>
      </c>
      <c r="AP492" s="11" t="s">
        <v>205</v>
      </c>
      <c r="AQ492" s="88" t="s">
        <v>415</v>
      </c>
      <c r="AR492" s="57" t="s">
        <v>188</v>
      </c>
      <c r="AS492" s="46">
        <v>42859.695960648147</v>
      </c>
      <c r="AT492" s="3">
        <f t="shared" si="7"/>
        <v>329</v>
      </c>
    </row>
    <row r="493" spans="8:46" x14ac:dyDescent="0.4">
      <c r="H493" s="59">
        <v>42992.404930555553</v>
      </c>
      <c r="I493" s="43">
        <v>42662.68472222222</v>
      </c>
      <c r="J493" s="42">
        <v>42842.361944444441</v>
      </c>
      <c r="K493" s="81" t="s">
        <v>49</v>
      </c>
      <c r="L493" t="s">
        <v>49</v>
      </c>
      <c r="M493" t="s">
        <v>336</v>
      </c>
      <c r="N493" s="1" t="s">
        <v>336</v>
      </c>
      <c r="O493" s="1" t="s">
        <v>337</v>
      </c>
      <c r="P493" t="s">
        <v>337</v>
      </c>
      <c r="Q493" s="9" t="s">
        <v>45</v>
      </c>
      <c r="R493" s="82" t="s">
        <v>45</v>
      </c>
      <c r="S493" s="44" t="s">
        <v>192</v>
      </c>
      <c r="T493" s="3" t="s">
        <v>61</v>
      </c>
      <c r="U493" s="2" t="s">
        <v>29</v>
      </c>
      <c r="V493" s="3" t="s">
        <v>29</v>
      </c>
      <c r="W493" s="11" t="s">
        <v>143</v>
      </c>
      <c r="X493" s="3" t="s">
        <v>143</v>
      </c>
      <c r="Y493" s="77" t="s">
        <v>48</v>
      </c>
      <c r="Z493" s="84" t="s">
        <v>414</v>
      </c>
      <c r="AA493" s="89" t="s">
        <v>174</v>
      </c>
      <c r="AB493" s="90" t="str">
        <f>HYPERLINK(CONCATENATE("https://www.ejacket.nsf.gov/ej/showProposal.do?ID=",SUBSTITUTE(SplitQueryTableRecent[[#This Row],[prop_id]],CHAR(160),"")),"eJ")</f>
        <v>eJ</v>
      </c>
      <c r="AC493" s="89" t="s">
        <v>414</v>
      </c>
      <c r="AD493" s="3" t="s">
        <v>414</v>
      </c>
      <c r="AE493" s="91">
        <v>2020</v>
      </c>
      <c r="AF493" s="13" t="s">
        <v>43</v>
      </c>
      <c r="AG493" s="13">
        <v>95880</v>
      </c>
      <c r="AH493" s="45">
        <v>400000</v>
      </c>
      <c r="AI493" s="44" t="s">
        <v>210</v>
      </c>
      <c r="AJ493" s="2" t="s">
        <v>528</v>
      </c>
      <c r="AK493" s="46" t="s">
        <v>228</v>
      </c>
      <c r="AL493" s="55" t="s">
        <v>341</v>
      </c>
      <c r="AM493" s="45" t="s">
        <v>341</v>
      </c>
      <c r="AN493" s="56" t="s">
        <v>142</v>
      </c>
      <c r="AO493" s="23" t="s">
        <v>146</v>
      </c>
      <c r="AP493" s="11" t="s">
        <v>205</v>
      </c>
      <c r="AQ493" s="88" t="s">
        <v>415</v>
      </c>
      <c r="AR493" s="57" t="s">
        <v>188</v>
      </c>
      <c r="AS493" s="46">
        <v>42859.695960648147</v>
      </c>
      <c r="AT493" s="3">
        <f t="shared" si="7"/>
        <v>329</v>
      </c>
    </row>
    <row r="494" spans="8:46" x14ac:dyDescent="0.4">
      <c r="H494" s="59">
        <v>42992.404930555553</v>
      </c>
      <c r="I494" s="43">
        <v>42662.609027777777</v>
      </c>
      <c r="J494" s="42">
        <v>42833.476689814815</v>
      </c>
      <c r="K494" s="81" t="s">
        <v>49</v>
      </c>
      <c r="L494" t="s">
        <v>49</v>
      </c>
      <c r="M494" t="s">
        <v>336</v>
      </c>
      <c r="N494" s="1" t="s">
        <v>336</v>
      </c>
      <c r="O494" s="1" t="s">
        <v>337</v>
      </c>
      <c r="P494" t="s">
        <v>337</v>
      </c>
      <c r="Q494" s="9" t="s">
        <v>45</v>
      </c>
      <c r="R494" s="82" t="s">
        <v>45</v>
      </c>
      <c r="S494" s="44" t="s">
        <v>192</v>
      </c>
      <c r="T494" s="3" t="s">
        <v>61</v>
      </c>
      <c r="U494" s="2" t="s">
        <v>29</v>
      </c>
      <c r="V494" s="3" t="s">
        <v>29</v>
      </c>
      <c r="W494" s="11" t="s">
        <v>143</v>
      </c>
      <c r="X494" s="3" t="s">
        <v>143</v>
      </c>
      <c r="Y494" s="77" t="s">
        <v>48</v>
      </c>
      <c r="Z494" s="84" t="s">
        <v>339</v>
      </c>
      <c r="AA494" s="89" t="s">
        <v>62</v>
      </c>
      <c r="AB494" s="90" t="str">
        <f>HYPERLINK(CONCATENATE("https://www.ejacket.nsf.gov/ej/showProposal.do?ID=",SUBSTITUTE(SplitQueryTableRecent[[#This Row],[prop_id]],CHAR(160),"")),"eJ")</f>
        <v>eJ</v>
      </c>
      <c r="AC494" s="89" t="s">
        <v>529</v>
      </c>
      <c r="AD494" s="3" t="s">
        <v>529</v>
      </c>
      <c r="AE494" s="91">
        <v>2017</v>
      </c>
      <c r="AF494" s="13" t="s">
        <v>43</v>
      </c>
      <c r="AG494" s="13">
        <v>99295</v>
      </c>
      <c r="AH494" s="45">
        <v>399011</v>
      </c>
      <c r="AI494" s="44" t="s">
        <v>530</v>
      </c>
      <c r="AJ494" s="2" t="s">
        <v>531</v>
      </c>
      <c r="AK494" s="46" t="s">
        <v>1736</v>
      </c>
      <c r="AL494" s="55" t="s">
        <v>341</v>
      </c>
      <c r="AM494" s="45" t="s">
        <v>341</v>
      </c>
      <c r="AN494" s="56" t="s">
        <v>142</v>
      </c>
      <c r="AO494" s="23" t="s">
        <v>146</v>
      </c>
      <c r="AP494" s="11"/>
      <c r="AQ494" s="88" t="s">
        <v>345</v>
      </c>
      <c r="AR494" s="57" t="s">
        <v>188</v>
      </c>
      <c r="AS494" s="46">
        <v>42870.680972222224</v>
      </c>
      <c r="AT494" s="3">
        <f t="shared" si="7"/>
        <v>330</v>
      </c>
    </row>
    <row r="495" spans="8:46" x14ac:dyDescent="0.4">
      <c r="H495" s="59">
        <v>42992.404930555553</v>
      </c>
      <c r="I495" s="43">
        <v>42662.609027777777</v>
      </c>
      <c r="J495" s="42">
        <v>42833.476689814815</v>
      </c>
      <c r="K495" s="81" t="s">
        <v>49</v>
      </c>
      <c r="L495" t="s">
        <v>49</v>
      </c>
      <c r="M495" t="s">
        <v>336</v>
      </c>
      <c r="N495" s="1" t="s">
        <v>336</v>
      </c>
      <c r="O495" s="1" t="s">
        <v>337</v>
      </c>
      <c r="P495" t="s">
        <v>337</v>
      </c>
      <c r="Q495" s="9" t="s">
        <v>45</v>
      </c>
      <c r="R495" s="82" t="s">
        <v>45</v>
      </c>
      <c r="S495" s="44" t="s">
        <v>192</v>
      </c>
      <c r="T495" s="3" t="s">
        <v>61</v>
      </c>
      <c r="U495" s="2" t="s">
        <v>29</v>
      </c>
      <c r="V495" s="3" t="s">
        <v>29</v>
      </c>
      <c r="W495" s="11" t="s">
        <v>143</v>
      </c>
      <c r="X495" s="3" t="s">
        <v>143</v>
      </c>
      <c r="Y495" s="77" t="s">
        <v>48</v>
      </c>
      <c r="Z495" s="84" t="s">
        <v>339</v>
      </c>
      <c r="AA495" s="89" t="s">
        <v>62</v>
      </c>
      <c r="AB495" s="90" t="str">
        <f>HYPERLINK(CONCATENATE("https://www.ejacket.nsf.gov/ej/showProposal.do?ID=",SUBSTITUTE(SplitQueryTableRecent[[#This Row],[prop_id]],CHAR(160),"")),"eJ")</f>
        <v>eJ</v>
      </c>
      <c r="AC495" s="89" t="s">
        <v>529</v>
      </c>
      <c r="AD495" s="3" t="s">
        <v>529</v>
      </c>
      <c r="AE495" s="91">
        <v>2018</v>
      </c>
      <c r="AF495" s="13" t="s">
        <v>43</v>
      </c>
      <c r="AG495" s="13">
        <v>98125</v>
      </c>
      <c r="AH495" s="45">
        <v>399011</v>
      </c>
      <c r="AI495" s="44" t="s">
        <v>530</v>
      </c>
      <c r="AJ495" s="2" t="s">
        <v>531</v>
      </c>
      <c r="AK495" s="46" t="s">
        <v>1736</v>
      </c>
      <c r="AL495" s="55" t="s">
        <v>341</v>
      </c>
      <c r="AM495" s="45" t="s">
        <v>341</v>
      </c>
      <c r="AN495" s="56" t="s">
        <v>142</v>
      </c>
      <c r="AO495" s="23" t="s">
        <v>146</v>
      </c>
      <c r="AP495" s="11" t="s">
        <v>205</v>
      </c>
      <c r="AQ495" s="88" t="s">
        <v>345</v>
      </c>
      <c r="AR495" s="57" t="s">
        <v>188</v>
      </c>
      <c r="AS495" s="46">
        <v>42870.680972222224</v>
      </c>
      <c r="AT495" s="3">
        <f t="shared" si="7"/>
        <v>330</v>
      </c>
    </row>
    <row r="496" spans="8:46" x14ac:dyDescent="0.4">
      <c r="H496" s="59">
        <v>42992.404930555553</v>
      </c>
      <c r="I496" s="43">
        <v>42662.609027777777</v>
      </c>
      <c r="J496" s="42">
        <v>42833.476689814815</v>
      </c>
      <c r="K496" s="81" t="s">
        <v>49</v>
      </c>
      <c r="L496" t="s">
        <v>49</v>
      </c>
      <c r="M496" t="s">
        <v>336</v>
      </c>
      <c r="N496" s="1" t="s">
        <v>336</v>
      </c>
      <c r="O496" s="1" t="s">
        <v>337</v>
      </c>
      <c r="P496" t="s">
        <v>337</v>
      </c>
      <c r="Q496" s="9" t="s">
        <v>45</v>
      </c>
      <c r="R496" s="82" t="s">
        <v>45</v>
      </c>
      <c r="S496" s="44" t="s">
        <v>192</v>
      </c>
      <c r="T496" s="3" t="s">
        <v>61</v>
      </c>
      <c r="U496" s="2" t="s">
        <v>29</v>
      </c>
      <c r="V496" s="3" t="s">
        <v>29</v>
      </c>
      <c r="W496" s="11" t="s">
        <v>143</v>
      </c>
      <c r="X496" s="3" t="s">
        <v>143</v>
      </c>
      <c r="Y496" s="77" t="s">
        <v>48</v>
      </c>
      <c r="Z496" s="84" t="s">
        <v>339</v>
      </c>
      <c r="AA496" s="89" t="s">
        <v>62</v>
      </c>
      <c r="AB496" s="90" t="str">
        <f>HYPERLINK(CONCATENATE("https://www.ejacket.nsf.gov/ej/showProposal.do?ID=",SUBSTITUTE(SplitQueryTableRecent[[#This Row],[prop_id]],CHAR(160),"")),"eJ")</f>
        <v>eJ</v>
      </c>
      <c r="AC496" s="89" t="s">
        <v>529</v>
      </c>
      <c r="AD496" s="3" t="s">
        <v>529</v>
      </c>
      <c r="AE496" s="91">
        <v>2019</v>
      </c>
      <c r="AF496" s="13" t="s">
        <v>44</v>
      </c>
      <c r="AG496" s="13">
        <v>100244</v>
      </c>
      <c r="AH496" s="45">
        <v>399011</v>
      </c>
      <c r="AI496" s="44" t="s">
        <v>530</v>
      </c>
      <c r="AJ496" s="2" t="s">
        <v>531</v>
      </c>
      <c r="AK496" s="46" t="s">
        <v>1736</v>
      </c>
      <c r="AL496" s="55" t="s">
        <v>341</v>
      </c>
      <c r="AM496" s="45" t="s">
        <v>341</v>
      </c>
      <c r="AN496" s="56" t="s">
        <v>142</v>
      </c>
      <c r="AO496" s="23" t="s">
        <v>146</v>
      </c>
      <c r="AP496" s="11" t="s">
        <v>205</v>
      </c>
      <c r="AQ496" s="88" t="s">
        <v>345</v>
      </c>
      <c r="AR496" s="57" t="s">
        <v>188</v>
      </c>
      <c r="AS496" s="46">
        <v>42870.680972222224</v>
      </c>
      <c r="AT496" s="3">
        <f t="shared" si="7"/>
        <v>330</v>
      </c>
    </row>
    <row r="497" spans="8:46" x14ac:dyDescent="0.4">
      <c r="H497" s="59">
        <v>42992.404930555553</v>
      </c>
      <c r="I497" s="43">
        <v>42662.609027777777</v>
      </c>
      <c r="J497" s="42">
        <v>42833.476689814815</v>
      </c>
      <c r="K497" s="81" t="s">
        <v>49</v>
      </c>
      <c r="L497" t="s">
        <v>49</v>
      </c>
      <c r="M497" t="s">
        <v>336</v>
      </c>
      <c r="N497" s="1" t="s">
        <v>336</v>
      </c>
      <c r="O497" s="1" t="s">
        <v>337</v>
      </c>
      <c r="P497" t="s">
        <v>337</v>
      </c>
      <c r="Q497" s="9" t="s">
        <v>45</v>
      </c>
      <c r="R497" s="82" t="s">
        <v>45</v>
      </c>
      <c r="S497" s="44" t="s">
        <v>192</v>
      </c>
      <c r="T497" s="3" t="s">
        <v>61</v>
      </c>
      <c r="U497" s="2" t="s">
        <v>29</v>
      </c>
      <c r="V497" s="3" t="s">
        <v>29</v>
      </c>
      <c r="W497" s="11" t="s">
        <v>143</v>
      </c>
      <c r="X497" s="3" t="s">
        <v>143</v>
      </c>
      <c r="Y497" s="77" t="s">
        <v>48</v>
      </c>
      <c r="Z497" s="84" t="s">
        <v>339</v>
      </c>
      <c r="AA497" s="89" t="s">
        <v>62</v>
      </c>
      <c r="AB497" s="90" t="str">
        <f>HYPERLINK(CONCATENATE("https://www.ejacket.nsf.gov/ej/showProposal.do?ID=",SUBSTITUTE(SplitQueryTableRecent[[#This Row],[prop_id]],CHAR(160),"")),"eJ")</f>
        <v>eJ</v>
      </c>
      <c r="AC497" s="89" t="s">
        <v>529</v>
      </c>
      <c r="AD497" s="3" t="s">
        <v>529</v>
      </c>
      <c r="AE497" s="91">
        <v>2020</v>
      </c>
      <c r="AF497" s="13" t="s">
        <v>44</v>
      </c>
      <c r="AG497" s="13">
        <v>101347</v>
      </c>
      <c r="AH497" s="45">
        <v>399011</v>
      </c>
      <c r="AI497" s="44" t="s">
        <v>530</v>
      </c>
      <c r="AJ497" s="2" t="s">
        <v>531</v>
      </c>
      <c r="AK497" s="46" t="s">
        <v>1736</v>
      </c>
      <c r="AL497" s="55" t="s">
        <v>341</v>
      </c>
      <c r="AM497" s="45" t="s">
        <v>341</v>
      </c>
      <c r="AN497" s="56" t="s">
        <v>142</v>
      </c>
      <c r="AO497" s="23" t="s">
        <v>146</v>
      </c>
      <c r="AP497" s="11" t="s">
        <v>205</v>
      </c>
      <c r="AQ497" s="88" t="s">
        <v>345</v>
      </c>
      <c r="AR497" s="57" t="s">
        <v>188</v>
      </c>
      <c r="AS497" s="46">
        <v>42870.680972222224</v>
      </c>
      <c r="AT497" s="3">
        <f t="shared" si="7"/>
        <v>330</v>
      </c>
    </row>
    <row r="498" spans="8:46" x14ac:dyDescent="0.4">
      <c r="H498" s="59">
        <v>42992.404930555553</v>
      </c>
      <c r="I498" s="43">
        <v>42570.757638888892</v>
      </c>
      <c r="J498" s="42">
        <v>42787.399606481478</v>
      </c>
      <c r="K498" s="81" t="s">
        <v>49</v>
      </c>
      <c r="L498" t="s">
        <v>49</v>
      </c>
      <c r="M498" t="s">
        <v>336</v>
      </c>
      <c r="N498" s="1" t="s">
        <v>336</v>
      </c>
      <c r="O498" s="1" t="s">
        <v>337</v>
      </c>
      <c r="P498" t="s">
        <v>337</v>
      </c>
      <c r="Q498" s="9" t="s">
        <v>45</v>
      </c>
      <c r="R498" s="82" t="s">
        <v>45</v>
      </c>
      <c r="S498" s="44" t="s">
        <v>194</v>
      </c>
      <c r="T498" s="3" t="s">
        <v>61</v>
      </c>
      <c r="U498" s="2" t="s">
        <v>29</v>
      </c>
      <c r="V498" s="3" t="s">
        <v>29</v>
      </c>
      <c r="W498" s="11" t="s">
        <v>143</v>
      </c>
      <c r="X498" s="3" t="s">
        <v>143</v>
      </c>
      <c r="Y498" s="77" t="s">
        <v>48</v>
      </c>
      <c r="Z498" s="84" t="s">
        <v>1605</v>
      </c>
      <c r="AA498" s="89" t="s">
        <v>28</v>
      </c>
      <c r="AB498" s="90" t="str">
        <f>HYPERLINK(CONCATENATE("https://www.ejacket.nsf.gov/ej/showProposal.do?ID=",SUBSTITUTE(SplitQueryTableRecent[[#This Row],[prop_id]],CHAR(160),"")),"eJ")</f>
        <v>eJ</v>
      </c>
      <c r="AC498" s="89" t="s">
        <v>1605</v>
      </c>
      <c r="AD498" s="3" t="s">
        <v>1605</v>
      </c>
      <c r="AE498" s="91">
        <v>2017</v>
      </c>
      <c r="AF498" s="13" t="s">
        <v>43</v>
      </c>
      <c r="AG498" s="13">
        <v>194445</v>
      </c>
      <c r="AH498" s="45">
        <v>500000</v>
      </c>
      <c r="AI498" s="44" t="s">
        <v>1607</v>
      </c>
      <c r="AJ498" s="2" t="s">
        <v>1608</v>
      </c>
      <c r="AK498" s="46" t="s">
        <v>1711</v>
      </c>
      <c r="AL498" s="55" t="s">
        <v>426</v>
      </c>
      <c r="AM498" s="45" t="s">
        <v>426</v>
      </c>
      <c r="AN498" s="56" t="s">
        <v>142</v>
      </c>
      <c r="AO498" s="23" t="s">
        <v>146</v>
      </c>
      <c r="AP498" s="11"/>
      <c r="AQ498" s="88" t="s">
        <v>1606</v>
      </c>
      <c r="AR498" s="57" t="s">
        <v>193</v>
      </c>
      <c r="AS498" s="46">
        <v>42795.759548611109</v>
      </c>
      <c r="AT498" s="3">
        <f t="shared" si="7"/>
        <v>331</v>
      </c>
    </row>
    <row r="499" spans="8:46" x14ac:dyDescent="0.4">
      <c r="H499" s="59">
        <v>42992.404930555553</v>
      </c>
      <c r="I499" s="43">
        <v>42570.757638888892</v>
      </c>
      <c r="J499" s="42">
        <v>42787.399606481478</v>
      </c>
      <c r="K499" s="81" t="s">
        <v>49</v>
      </c>
      <c r="L499" t="s">
        <v>49</v>
      </c>
      <c r="M499" t="s">
        <v>336</v>
      </c>
      <c r="N499" s="1" t="s">
        <v>336</v>
      </c>
      <c r="O499" s="1" t="s">
        <v>337</v>
      </c>
      <c r="P499" t="s">
        <v>337</v>
      </c>
      <c r="Q499" s="9" t="s">
        <v>45</v>
      </c>
      <c r="R499" s="82" t="s">
        <v>45</v>
      </c>
      <c r="S499" s="44" t="s">
        <v>194</v>
      </c>
      <c r="T499" s="3" t="s">
        <v>61</v>
      </c>
      <c r="U499" s="2" t="s">
        <v>29</v>
      </c>
      <c r="V499" s="3" t="s">
        <v>29</v>
      </c>
      <c r="W499" s="11" t="s">
        <v>143</v>
      </c>
      <c r="X499" s="3" t="s">
        <v>143</v>
      </c>
      <c r="Y499" s="77" t="s">
        <v>48</v>
      </c>
      <c r="Z499" s="84" t="s">
        <v>1605</v>
      </c>
      <c r="AA499" s="89" t="s">
        <v>28</v>
      </c>
      <c r="AB499" s="90" t="str">
        <f>HYPERLINK(CONCATENATE("https://www.ejacket.nsf.gov/ej/showProposal.do?ID=",SUBSTITUTE(SplitQueryTableRecent[[#This Row],[prop_id]],CHAR(160),"")),"eJ")</f>
        <v>eJ</v>
      </c>
      <c r="AC499" s="89" t="s">
        <v>1605</v>
      </c>
      <c r="AD499" s="3" t="s">
        <v>1605</v>
      </c>
      <c r="AE499" s="91">
        <v>2019</v>
      </c>
      <c r="AF499" s="13" t="s">
        <v>43</v>
      </c>
      <c r="AG499" s="13">
        <v>100181</v>
      </c>
      <c r="AH499" s="45">
        <v>500000</v>
      </c>
      <c r="AI499" s="44" t="s">
        <v>1607</v>
      </c>
      <c r="AJ499" s="2" t="s">
        <v>1608</v>
      </c>
      <c r="AK499" s="46" t="s">
        <v>1711</v>
      </c>
      <c r="AL499" s="55" t="s">
        <v>426</v>
      </c>
      <c r="AM499" s="45" t="s">
        <v>426</v>
      </c>
      <c r="AN499" s="56" t="s">
        <v>142</v>
      </c>
      <c r="AO499" s="23" t="s">
        <v>146</v>
      </c>
      <c r="AP499" s="11" t="s">
        <v>205</v>
      </c>
      <c r="AQ499" s="88" t="s">
        <v>1606</v>
      </c>
      <c r="AR499" s="57" t="s">
        <v>193</v>
      </c>
      <c r="AS499" s="46">
        <v>42795.759548611109</v>
      </c>
      <c r="AT499" s="3">
        <f t="shared" si="7"/>
        <v>331</v>
      </c>
    </row>
    <row r="500" spans="8:46" x14ac:dyDescent="0.4">
      <c r="H500" s="59">
        <v>42992.404930555553</v>
      </c>
      <c r="I500" s="43">
        <v>42570.757638888892</v>
      </c>
      <c r="J500" s="42">
        <v>42787.399606481478</v>
      </c>
      <c r="K500" s="81" t="s">
        <v>49</v>
      </c>
      <c r="L500" t="s">
        <v>49</v>
      </c>
      <c r="M500" t="s">
        <v>336</v>
      </c>
      <c r="N500" s="1" t="s">
        <v>336</v>
      </c>
      <c r="O500" s="1" t="s">
        <v>337</v>
      </c>
      <c r="P500" t="s">
        <v>337</v>
      </c>
      <c r="Q500" s="9" t="s">
        <v>45</v>
      </c>
      <c r="R500" s="82" t="s">
        <v>45</v>
      </c>
      <c r="S500" s="44" t="s">
        <v>194</v>
      </c>
      <c r="T500" s="3" t="s">
        <v>61</v>
      </c>
      <c r="U500" s="2" t="s">
        <v>29</v>
      </c>
      <c r="V500" s="3" t="s">
        <v>29</v>
      </c>
      <c r="W500" s="11" t="s">
        <v>143</v>
      </c>
      <c r="X500" s="3" t="s">
        <v>143</v>
      </c>
      <c r="Y500" s="77" t="s">
        <v>48</v>
      </c>
      <c r="Z500" s="84" t="s">
        <v>1605</v>
      </c>
      <c r="AA500" s="89" t="s">
        <v>28</v>
      </c>
      <c r="AB500" s="90" t="str">
        <f>HYPERLINK(CONCATENATE("https://www.ejacket.nsf.gov/ej/showProposal.do?ID=",SUBSTITUTE(SplitQueryTableRecent[[#This Row],[prop_id]],CHAR(160),"")),"eJ")</f>
        <v>eJ</v>
      </c>
      <c r="AC500" s="89" t="s">
        <v>1605</v>
      </c>
      <c r="AD500" s="3" t="s">
        <v>1605</v>
      </c>
      <c r="AE500" s="91">
        <v>2020</v>
      </c>
      <c r="AF500" s="13" t="s">
        <v>43</v>
      </c>
      <c r="AG500" s="13">
        <v>101900</v>
      </c>
      <c r="AH500" s="45">
        <v>500000</v>
      </c>
      <c r="AI500" s="44" t="s">
        <v>1607</v>
      </c>
      <c r="AJ500" s="2" t="s">
        <v>1608</v>
      </c>
      <c r="AK500" s="46" t="s">
        <v>1711</v>
      </c>
      <c r="AL500" s="55" t="s">
        <v>426</v>
      </c>
      <c r="AM500" s="45" t="s">
        <v>426</v>
      </c>
      <c r="AN500" s="56" t="s">
        <v>142</v>
      </c>
      <c r="AO500" s="23" t="s">
        <v>146</v>
      </c>
      <c r="AP500" s="11" t="s">
        <v>205</v>
      </c>
      <c r="AQ500" s="88" t="s">
        <v>1606</v>
      </c>
      <c r="AR500" s="57" t="s">
        <v>193</v>
      </c>
      <c r="AS500" s="46">
        <v>42795.759548611109</v>
      </c>
      <c r="AT500" s="3">
        <f t="shared" si="7"/>
        <v>331</v>
      </c>
    </row>
    <row r="501" spans="8:46" x14ac:dyDescent="0.4">
      <c r="H501" s="59">
        <v>42992.404930555553</v>
      </c>
      <c r="I501" s="43">
        <v>42570.757638888892</v>
      </c>
      <c r="J501" s="42">
        <v>42787.399606481478</v>
      </c>
      <c r="K501" s="81" t="s">
        <v>49</v>
      </c>
      <c r="L501" t="s">
        <v>49</v>
      </c>
      <c r="M501" t="s">
        <v>336</v>
      </c>
      <c r="N501" s="1" t="s">
        <v>336</v>
      </c>
      <c r="O501" s="1" t="s">
        <v>337</v>
      </c>
      <c r="P501" t="s">
        <v>337</v>
      </c>
      <c r="Q501" s="9" t="s">
        <v>45</v>
      </c>
      <c r="R501" s="82" t="s">
        <v>45</v>
      </c>
      <c r="S501" s="44" t="s">
        <v>194</v>
      </c>
      <c r="T501" s="3" t="s">
        <v>61</v>
      </c>
      <c r="U501" s="2" t="s">
        <v>29</v>
      </c>
      <c r="V501" s="3" t="s">
        <v>29</v>
      </c>
      <c r="W501" s="11" t="s">
        <v>143</v>
      </c>
      <c r="X501" s="3" t="s">
        <v>143</v>
      </c>
      <c r="Y501" s="77" t="s">
        <v>48</v>
      </c>
      <c r="Z501" s="84" t="s">
        <v>1605</v>
      </c>
      <c r="AA501" s="89" t="s">
        <v>28</v>
      </c>
      <c r="AB501" s="90" t="str">
        <f>HYPERLINK(CONCATENATE("https://www.ejacket.nsf.gov/ej/showProposal.do?ID=",SUBSTITUTE(SplitQueryTableRecent[[#This Row],[prop_id]],CHAR(160),"")),"eJ")</f>
        <v>eJ</v>
      </c>
      <c r="AC501" s="89" t="s">
        <v>1605</v>
      </c>
      <c r="AD501" s="3" t="s">
        <v>1605</v>
      </c>
      <c r="AE501" s="91">
        <v>2021</v>
      </c>
      <c r="AF501" s="13" t="s">
        <v>43</v>
      </c>
      <c r="AG501" s="13">
        <v>103474</v>
      </c>
      <c r="AH501" s="45">
        <v>500000</v>
      </c>
      <c r="AI501" s="44" t="s">
        <v>1607</v>
      </c>
      <c r="AJ501" s="2" t="s">
        <v>1608</v>
      </c>
      <c r="AK501" s="46" t="s">
        <v>1711</v>
      </c>
      <c r="AL501" s="55" t="s">
        <v>426</v>
      </c>
      <c r="AM501" s="45" t="s">
        <v>426</v>
      </c>
      <c r="AN501" s="56" t="s">
        <v>142</v>
      </c>
      <c r="AO501" s="23" t="s">
        <v>146</v>
      </c>
      <c r="AP501" s="11" t="s">
        <v>205</v>
      </c>
      <c r="AQ501" s="88" t="s">
        <v>1606</v>
      </c>
      <c r="AR501" s="57" t="s">
        <v>193</v>
      </c>
      <c r="AS501" s="46">
        <v>42795.759548611109</v>
      </c>
      <c r="AT501" s="3">
        <f t="shared" si="7"/>
        <v>331</v>
      </c>
    </row>
    <row r="502" spans="8:46" x14ac:dyDescent="0.4">
      <c r="H502" s="59">
        <v>42992.404930555553</v>
      </c>
      <c r="I502" s="43">
        <v>42566.806250000001</v>
      </c>
      <c r="J502" s="42">
        <v>42783.649699074071</v>
      </c>
      <c r="K502" s="81" t="s">
        <v>49</v>
      </c>
      <c r="L502" t="s">
        <v>49</v>
      </c>
      <c r="M502" t="s">
        <v>336</v>
      </c>
      <c r="N502" s="1" t="s">
        <v>336</v>
      </c>
      <c r="O502" s="1" t="s">
        <v>230</v>
      </c>
      <c r="P502" t="s">
        <v>230</v>
      </c>
      <c r="Q502" s="9" t="s">
        <v>45</v>
      </c>
      <c r="R502" s="82" t="s">
        <v>45</v>
      </c>
      <c r="S502" s="44" t="s">
        <v>194</v>
      </c>
      <c r="T502" s="3" t="s">
        <v>61</v>
      </c>
      <c r="U502" s="2" t="s">
        <v>29</v>
      </c>
      <c r="V502" s="3" t="s">
        <v>29</v>
      </c>
      <c r="W502" s="11" t="s">
        <v>143</v>
      </c>
      <c r="X502" s="3" t="s">
        <v>143</v>
      </c>
      <c r="Y502" s="77" t="s">
        <v>48</v>
      </c>
      <c r="Z502" s="84" t="s">
        <v>532</v>
      </c>
      <c r="AA502" s="89" t="s">
        <v>28</v>
      </c>
      <c r="AB502" s="90" t="str">
        <f>HYPERLINK(CONCATENATE("https://www.ejacket.nsf.gov/ej/showProposal.do?ID=",SUBSTITUTE(SplitQueryTableRecent[[#This Row],[prop_id]],CHAR(160),"")),"eJ")</f>
        <v>eJ</v>
      </c>
      <c r="AC502" s="89" t="s">
        <v>532</v>
      </c>
      <c r="AD502" s="3" t="s">
        <v>532</v>
      </c>
      <c r="AE502" s="91">
        <v>2017</v>
      </c>
      <c r="AF502" s="13" t="s">
        <v>43</v>
      </c>
      <c r="AG502" s="13">
        <v>93987</v>
      </c>
      <c r="AH502" s="45">
        <v>500000</v>
      </c>
      <c r="AI502" s="44" t="s">
        <v>355</v>
      </c>
      <c r="AJ502" s="2" t="s">
        <v>534</v>
      </c>
      <c r="AK502" s="46" t="s">
        <v>1741</v>
      </c>
      <c r="AL502" s="55" t="s">
        <v>481</v>
      </c>
      <c r="AM502" s="45" t="s">
        <v>481</v>
      </c>
      <c r="AN502" s="56" t="s">
        <v>142</v>
      </c>
      <c r="AO502" s="23" t="s">
        <v>146</v>
      </c>
      <c r="AP502" s="11"/>
      <c r="AQ502" s="88" t="s">
        <v>533</v>
      </c>
      <c r="AR502" s="57" t="s">
        <v>193</v>
      </c>
      <c r="AS502" s="46">
        <v>42794.821215277778</v>
      </c>
      <c r="AT502" s="3">
        <f t="shared" si="7"/>
        <v>332</v>
      </c>
    </row>
    <row r="503" spans="8:46" x14ac:dyDescent="0.4">
      <c r="H503" s="59">
        <v>42992.404930555553</v>
      </c>
      <c r="I503" s="43">
        <v>42566.806250000001</v>
      </c>
      <c r="J503" s="42">
        <v>42783.649699074071</v>
      </c>
      <c r="K503" s="81" t="s">
        <v>49</v>
      </c>
      <c r="L503" t="s">
        <v>49</v>
      </c>
      <c r="M503" t="s">
        <v>336</v>
      </c>
      <c r="N503" s="1" t="s">
        <v>336</v>
      </c>
      <c r="O503" s="1" t="s">
        <v>230</v>
      </c>
      <c r="P503" t="s">
        <v>230</v>
      </c>
      <c r="Q503" s="9" t="s">
        <v>45</v>
      </c>
      <c r="R503" s="82" t="s">
        <v>45</v>
      </c>
      <c r="S503" s="44" t="s">
        <v>194</v>
      </c>
      <c r="T503" s="3" t="s">
        <v>61</v>
      </c>
      <c r="U503" s="2" t="s">
        <v>29</v>
      </c>
      <c r="V503" s="3" t="s">
        <v>29</v>
      </c>
      <c r="W503" s="11" t="s">
        <v>143</v>
      </c>
      <c r="X503" s="3" t="s">
        <v>143</v>
      </c>
      <c r="Y503" s="77" t="s">
        <v>48</v>
      </c>
      <c r="Z503" s="84" t="s">
        <v>532</v>
      </c>
      <c r="AA503" s="89" t="s">
        <v>28</v>
      </c>
      <c r="AB503" s="90" t="str">
        <f>HYPERLINK(CONCATENATE("https://www.ejacket.nsf.gov/ej/showProposal.do?ID=",SUBSTITUTE(SplitQueryTableRecent[[#This Row],[prop_id]],CHAR(160),"")),"eJ")</f>
        <v>eJ</v>
      </c>
      <c r="AC503" s="89" t="s">
        <v>532</v>
      </c>
      <c r="AD503" s="3" t="s">
        <v>532</v>
      </c>
      <c r="AE503" s="91">
        <v>2018</v>
      </c>
      <c r="AF503" s="13" t="s">
        <v>43</v>
      </c>
      <c r="AG503" s="13">
        <v>95550</v>
      </c>
      <c r="AH503" s="45">
        <v>500000</v>
      </c>
      <c r="AI503" s="44" t="s">
        <v>355</v>
      </c>
      <c r="AJ503" s="2" t="s">
        <v>534</v>
      </c>
      <c r="AK503" s="46" t="s">
        <v>1741</v>
      </c>
      <c r="AL503" s="55" t="s">
        <v>481</v>
      </c>
      <c r="AM503" s="45" t="s">
        <v>481</v>
      </c>
      <c r="AN503" s="56" t="s">
        <v>142</v>
      </c>
      <c r="AO503" s="23" t="s">
        <v>146</v>
      </c>
      <c r="AP503" s="11" t="s">
        <v>205</v>
      </c>
      <c r="AQ503" s="88" t="s">
        <v>533</v>
      </c>
      <c r="AR503" s="57" t="s">
        <v>193</v>
      </c>
      <c r="AS503" s="46">
        <v>42794.821215277778</v>
      </c>
      <c r="AT503" s="3">
        <f t="shared" si="7"/>
        <v>332</v>
      </c>
    </row>
    <row r="504" spans="8:46" x14ac:dyDescent="0.4">
      <c r="H504" s="59">
        <v>42992.404930555553</v>
      </c>
      <c r="I504" s="43">
        <v>42566.806250000001</v>
      </c>
      <c r="J504" s="42">
        <v>42783.649699074071</v>
      </c>
      <c r="K504" s="81" t="s">
        <v>49</v>
      </c>
      <c r="L504" t="s">
        <v>49</v>
      </c>
      <c r="M504" t="s">
        <v>336</v>
      </c>
      <c r="N504" s="1" t="s">
        <v>336</v>
      </c>
      <c r="O504" s="1" t="s">
        <v>230</v>
      </c>
      <c r="P504" t="s">
        <v>230</v>
      </c>
      <c r="Q504" s="9" t="s">
        <v>45</v>
      </c>
      <c r="R504" s="82" t="s">
        <v>45</v>
      </c>
      <c r="S504" s="44" t="s">
        <v>194</v>
      </c>
      <c r="T504" s="3" t="s">
        <v>61</v>
      </c>
      <c r="U504" s="2" t="s">
        <v>29</v>
      </c>
      <c r="V504" s="3" t="s">
        <v>29</v>
      </c>
      <c r="W504" s="11" t="s">
        <v>143</v>
      </c>
      <c r="X504" s="3" t="s">
        <v>143</v>
      </c>
      <c r="Y504" s="77" t="s">
        <v>48</v>
      </c>
      <c r="Z504" s="84" t="s">
        <v>532</v>
      </c>
      <c r="AA504" s="89" t="s">
        <v>28</v>
      </c>
      <c r="AB504" s="90" t="str">
        <f>HYPERLINK(CONCATENATE("https://www.ejacket.nsf.gov/ej/showProposal.do?ID=",SUBSTITUTE(SplitQueryTableRecent[[#This Row],[prop_id]],CHAR(160),"")),"eJ")</f>
        <v>eJ</v>
      </c>
      <c r="AC504" s="89" t="s">
        <v>532</v>
      </c>
      <c r="AD504" s="3" t="s">
        <v>532</v>
      </c>
      <c r="AE504" s="91">
        <v>2020</v>
      </c>
      <c r="AF504" s="13" t="s">
        <v>43</v>
      </c>
      <c r="AG504" s="13">
        <v>103329</v>
      </c>
      <c r="AH504" s="45">
        <v>500000</v>
      </c>
      <c r="AI504" s="44" t="s">
        <v>355</v>
      </c>
      <c r="AJ504" s="2" t="s">
        <v>534</v>
      </c>
      <c r="AK504" s="46" t="s">
        <v>1741</v>
      </c>
      <c r="AL504" s="55" t="s">
        <v>481</v>
      </c>
      <c r="AM504" s="45" t="s">
        <v>481</v>
      </c>
      <c r="AN504" s="56" t="s">
        <v>142</v>
      </c>
      <c r="AO504" s="23" t="s">
        <v>146</v>
      </c>
      <c r="AP504" s="11" t="s">
        <v>205</v>
      </c>
      <c r="AQ504" s="88" t="s">
        <v>533</v>
      </c>
      <c r="AR504" s="57" t="s">
        <v>193</v>
      </c>
      <c r="AS504" s="46">
        <v>42794.821215277778</v>
      </c>
      <c r="AT504" s="3">
        <f t="shared" si="7"/>
        <v>332</v>
      </c>
    </row>
    <row r="505" spans="8:46" x14ac:dyDescent="0.4">
      <c r="H505" s="59">
        <v>42992.404930555553</v>
      </c>
      <c r="I505" s="43">
        <v>42566.806250000001</v>
      </c>
      <c r="J505" s="42">
        <v>42783.649699074071</v>
      </c>
      <c r="K505" s="81" t="s">
        <v>49</v>
      </c>
      <c r="L505" t="s">
        <v>49</v>
      </c>
      <c r="M505" t="s">
        <v>336</v>
      </c>
      <c r="N505" s="1" t="s">
        <v>336</v>
      </c>
      <c r="O505" s="1" t="s">
        <v>230</v>
      </c>
      <c r="P505" t="s">
        <v>230</v>
      </c>
      <c r="Q505" s="9" t="s">
        <v>45</v>
      </c>
      <c r="R505" s="82" t="s">
        <v>45</v>
      </c>
      <c r="S505" s="44" t="s">
        <v>194</v>
      </c>
      <c r="T505" s="3" t="s">
        <v>61</v>
      </c>
      <c r="U505" s="2" t="s">
        <v>29</v>
      </c>
      <c r="V505" s="3" t="s">
        <v>29</v>
      </c>
      <c r="W505" s="11" t="s">
        <v>143</v>
      </c>
      <c r="X505" s="3" t="s">
        <v>143</v>
      </c>
      <c r="Y505" s="77" t="s">
        <v>48</v>
      </c>
      <c r="Z505" s="84" t="s">
        <v>532</v>
      </c>
      <c r="AA505" s="89" t="s">
        <v>28</v>
      </c>
      <c r="AB505" s="90" t="str">
        <f>HYPERLINK(CONCATENATE("https://www.ejacket.nsf.gov/ej/showProposal.do?ID=",SUBSTITUTE(SplitQueryTableRecent[[#This Row],[prop_id]],CHAR(160),"")),"eJ")</f>
        <v>eJ</v>
      </c>
      <c r="AC505" s="89" t="s">
        <v>532</v>
      </c>
      <c r="AD505" s="3" t="s">
        <v>532</v>
      </c>
      <c r="AE505" s="91">
        <v>2019</v>
      </c>
      <c r="AF505" s="13" t="s">
        <v>44</v>
      </c>
      <c r="AG505" s="13">
        <v>99358</v>
      </c>
      <c r="AH505" s="45">
        <v>500000</v>
      </c>
      <c r="AI505" s="44" t="s">
        <v>355</v>
      </c>
      <c r="AJ505" s="2" t="s">
        <v>534</v>
      </c>
      <c r="AK505" s="46" t="s">
        <v>1741</v>
      </c>
      <c r="AL505" s="55" t="s">
        <v>481</v>
      </c>
      <c r="AM505" s="45" t="s">
        <v>481</v>
      </c>
      <c r="AN505" s="56" t="s">
        <v>142</v>
      </c>
      <c r="AO505" s="23" t="s">
        <v>146</v>
      </c>
      <c r="AP505" s="11" t="s">
        <v>205</v>
      </c>
      <c r="AQ505" s="88" t="s">
        <v>533</v>
      </c>
      <c r="AR505" s="57" t="s">
        <v>193</v>
      </c>
      <c r="AS505" s="46">
        <v>42794.821215277778</v>
      </c>
      <c r="AT505" s="3">
        <f t="shared" si="7"/>
        <v>332</v>
      </c>
    </row>
    <row r="506" spans="8:46" x14ac:dyDescent="0.4">
      <c r="H506" s="59">
        <v>42992.404930555553</v>
      </c>
      <c r="I506" s="43">
        <v>42566.806250000001</v>
      </c>
      <c r="J506" s="42">
        <v>42783.649699074071</v>
      </c>
      <c r="K506" s="81" t="s">
        <v>49</v>
      </c>
      <c r="L506" t="s">
        <v>49</v>
      </c>
      <c r="M506" t="s">
        <v>336</v>
      </c>
      <c r="N506" s="1" t="s">
        <v>336</v>
      </c>
      <c r="O506" s="1" t="s">
        <v>230</v>
      </c>
      <c r="P506" t="s">
        <v>230</v>
      </c>
      <c r="Q506" s="9" t="s">
        <v>45</v>
      </c>
      <c r="R506" s="82" t="s">
        <v>45</v>
      </c>
      <c r="S506" s="44" t="s">
        <v>194</v>
      </c>
      <c r="T506" s="3" t="s">
        <v>61</v>
      </c>
      <c r="U506" s="2" t="s">
        <v>29</v>
      </c>
      <c r="V506" s="3" t="s">
        <v>29</v>
      </c>
      <c r="W506" s="11" t="s">
        <v>143</v>
      </c>
      <c r="X506" s="3" t="s">
        <v>143</v>
      </c>
      <c r="Y506" s="77" t="s">
        <v>48</v>
      </c>
      <c r="Z506" s="84" t="s">
        <v>532</v>
      </c>
      <c r="AA506" s="89" t="s">
        <v>28</v>
      </c>
      <c r="AB506" s="90" t="str">
        <f>HYPERLINK(CONCATENATE("https://www.ejacket.nsf.gov/ej/showProposal.do?ID=",SUBSTITUTE(SplitQueryTableRecent[[#This Row],[prop_id]],CHAR(160),"")),"eJ")</f>
        <v>eJ</v>
      </c>
      <c r="AC506" s="89" t="s">
        <v>532</v>
      </c>
      <c r="AD506" s="3" t="s">
        <v>532</v>
      </c>
      <c r="AE506" s="91">
        <v>2021</v>
      </c>
      <c r="AF506" s="13" t="s">
        <v>44</v>
      </c>
      <c r="AG506" s="13">
        <v>107776</v>
      </c>
      <c r="AH506" s="45">
        <v>500000</v>
      </c>
      <c r="AI506" s="44" t="s">
        <v>355</v>
      </c>
      <c r="AJ506" s="2" t="s">
        <v>534</v>
      </c>
      <c r="AK506" s="46" t="s">
        <v>1741</v>
      </c>
      <c r="AL506" s="55" t="s">
        <v>481</v>
      </c>
      <c r="AM506" s="45" t="s">
        <v>481</v>
      </c>
      <c r="AN506" s="56" t="s">
        <v>142</v>
      </c>
      <c r="AO506" s="23" t="s">
        <v>146</v>
      </c>
      <c r="AP506" s="11" t="s">
        <v>205</v>
      </c>
      <c r="AQ506" s="88" t="s">
        <v>533</v>
      </c>
      <c r="AR506" s="57" t="s">
        <v>193</v>
      </c>
      <c r="AS506" s="46">
        <v>42794.821215277778</v>
      </c>
      <c r="AT506" s="3">
        <f t="shared" si="7"/>
        <v>332</v>
      </c>
    </row>
    <row r="507" spans="8:46" x14ac:dyDescent="0.4">
      <c r="H507" s="59">
        <v>42992.404930555553</v>
      </c>
      <c r="I507" s="43">
        <v>42661.59652777778</v>
      </c>
      <c r="J507" s="42">
        <v>42814.461041666669</v>
      </c>
      <c r="K507" s="81" t="s">
        <v>49</v>
      </c>
      <c r="L507" t="s">
        <v>49</v>
      </c>
      <c r="M507" t="s">
        <v>336</v>
      </c>
      <c r="N507" s="1" t="s">
        <v>336</v>
      </c>
      <c r="O507" s="1" t="s">
        <v>230</v>
      </c>
      <c r="P507" t="s">
        <v>230</v>
      </c>
      <c r="Q507" s="9" t="s">
        <v>45</v>
      </c>
      <c r="R507" s="82" t="s">
        <v>45</v>
      </c>
      <c r="S507" s="44" t="s">
        <v>192</v>
      </c>
      <c r="T507" s="3" t="s">
        <v>61</v>
      </c>
      <c r="U507" s="2" t="s">
        <v>29</v>
      </c>
      <c r="V507" s="3" t="s">
        <v>29</v>
      </c>
      <c r="W507" s="11" t="s">
        <v>143</v>
      </c>
      <c r="X507" s="3" t="s">
        <v>143</v>
      </c>
      <c r="Y507" s="77" t="s">
        <v>48</v>
      </c>
      <c r="Z507" s="84" t="s">
        <v>439</v>
      </c>
      <c r="AA507" s="89" t="s">
        <v>174</v>
      </c>
      <c r="AB507" s="90" t="str">
        <f>HYPERLINK(CONCATENATE("https://www.ejacket.nsf.gov/ej/showProposal.do?ID=",SUBSTITUTE(SplitQueryTableRecent[[#This Row],[prop_id]],CHAR(160),"")),"eJ")</f>
        <v>eJ</v>
      </c>
      <c r="AC507" s="89" t="s">
        <v>439</v>
      </c>
      <c r="AD507" s="3" t="s">
        <v>439</v>
      </c>
      <c r="AE507" s="91">
        <v>2017</v>
      </c>
      <c r="AF507" s="13" t="s">
        <v>43</v>
      </c>
      <c r="AG507" s="13">
        <v>186624</v>
      </c>
      <c r="AH507" s="45">
        <v>750000</v>
      </c>
      <c r="AI507" s="44" t="s">
        <v>355</v>
      </c>
      <c r="AJ507" s="2" t="s">
        <v>534</v>
      </c>
      <c r="AK507" s="46" t="s">
        <v>1741</v>
      </c>
      <c r="AL507" s="55" t="s">
        <v>353</v>
      </c>
      <c r="AM507" s="45" t="s">
        <v>353</v>
      </c>
      <c r="AN507" s="56" t="s">
        <v>142</v>
      </c>
      <c r="AO507" s="23" t="s">
        <v>146</v>
      </c>
      <c r="AP507" s="11"/>
      <c r="AQ507" s="88" t="s">
        <v>440</v>
      </c>
      <c r="AR507" s="57" t="s">
        <v>188</v>
      </c>
      <c r="AS507" s="46">
        <v>42852.660856481481</v>
      </c>
      <c r="AT507" s="3">
        <f t="shared" si="7"/>
        <v>333</v>
      </c>
    </row>
    <row r="508" spans="8:46" x14ac:dyDescent="0.4">
      <c r="H508" s="59">
        <v>42992.404930555553</v>
      </c>
      <c r="I508" s="43">
        <v>42661.59652777778</v>
      </c>
      <c r="J508" s="42">
        <v>42814.461041666669</v>
      </c>
      <c r="K508" s="81" t="s">
        <v>49</v>
      </c>
      <c r="L508" t="s">
        <v>49</v>
      </c>
      <c r="M508" t="s">
        <v>336</v>
      </c>
      <c r="N508" s="1" t="s">
        <v>336</v>
      </c>
      <c r="O508" s="1" t="s">
        <v>230</v>
      </c>
      <c r="P508" t="s">
        <v>230</v>
      </c>
      <c r="Q508" s="9" t="s">
        <v>45</v>
      </c>
      <c r="R508" s="82" t="s">
        <v>45</v>
      </c>
      <c r="S508" s="44" t="s">
        <v>192</v>
      </c>
      <c r="T508" s="3" t="s">
        <v>61</v>
      </c>
      <c r="U508" s="2" t="s">
        <v>29</v>
      </c>
      <c r="V508" s="3" t="s">
        <v>29</v>
      </c>
      <c r="W508" s="11" t="s">
        <v>143</v>
      </c>
      <c r="X508" s="3" t="s">
        <v>143</v>
      </c>
      <c r="Y508" s="77" t="s">
        <v>48</v>
      </c>
      <c r="Z508" s="84" t="s">
        <v>439</v>
      </c>
      <c r="AA508" s="89" t="s">
        <v>174</v>
      </c>
      <c r="AB508" s="90" t="str">
        <f>HYPERLINK(CONCATENATE("https://www.ejacket.nsf.gov/ej/showProposal.do?ID=",SUBSTITUTE(SplitQueryTableRecent[[#This Row],[prop_id]],CHAR(160),"")),"eJ")</f>
        <v>eJ</v>
      </c>
      <c r="AC508" s="89" t="s">
        <v>439</v>
      </c>
      <c r="AD508" s="3" t="s">
        <v>439</v>
      </c>
      <c r="AE508" s="91">
        <v>2018</v>
      </c>
      <c r="AF508" s="13" t="s">
        <v>43</v>
      </c>
      <c r="AG508" s="13">
        <v>183378</v>
      </c>
      <c r="AH508" s="45">
        <v>750000</v>
      </c>
      <c r="AI508" s="44" t="s">
        <v>355</v>
      </c>
      <c r="AJ508" s="2" t="s">
        <v>534</v>
      </c>
      <c r="AK508" s="46" t="s">
        <v>1741</v>
      </c>
      <c r="AL508" s="55" t="s">
        <v>353</v>
      </c>
      <c r="AM508" s="45" t="s">
        <v>353</v>
      </c>
      <c r="AN508" s="56" t="s">
        <v>142</v>
      </c>
      <c r="AO508" s="23" t="s">
        <v>146</v>
      </c>
      <c r="AP508" s="11" t="s">
        <v>205</v>
      </c>
      <c r="AQ508" s="88" t="s">
        <v>440</v>
      </c>
      <c r="AR508" s="57" t="s">
        <v>188</v>
      </c>
      <c r="AS508" s="46">
        <v>42852.660856481481</v>
      </c>
      <c r="AT508" s="3">
        <f t="shared" si="7"/>
        <v>333</v>
      </c>
    </row>
    <row r="509" spans="8:46" x14ac:dyDescent="0.4">
      <c r="H509" s="59">
        <v>42992.404930555553</v>
      </c>
      <c r="I509" s="43">
        <v>42661.59652777778</v>
      </c>
      <c r="J509" s="42">
        <v>42814.461041666669</v>
      </c>
      <c r="K509" s="81" t="s">
        <v>49</v>
      </c>
      <c r="L509" t="s">
        <v>49</v>
      </c>
      <c r="M509" t="s">
        <v>336</v>
      </c>
      <c r="N509" s="1" t="s">
        <v>336</v>
      </c>
      <c r="O509" s="1" t="s">
        <v>230</v>
      </c>
      <c r="P509" t="s">
        <v>230</v>
      </c>
      <c r="Q509" s="9" t="s">
        <v>45</v>
      </c>
      <c r="R509" s="82" t="s">
        <v>45</v>
      </c>
      <c r="S509" s="44" t="s">
        <v>192</v>
      </c>
      <c r="T509" s="3" t="s">
        <v>61</v>
      </c>
      <c r="U509" s="2" t="s">
        <v>29</v>
      </c>
      <c r="V509" s="3" t="s">
        <v>29</v>
      </c>
      <c r="W509" s="11" t="s">
        <v>143</v>
      </c>
      <c r="X509" s="3" t="s">
        <v>143</v>
      </c>
      <c r="Y509" s="77" t="s">
        <v>48</v>
      </c>
      <c r="Z509" s="84" t="s">
        <v>439</v>
      </c>
      <c r="AA509" s="89" t="s">
        <v>174</v>
      </c>
      <c r="AB509" s="90" t="str">
        <f>HYPERLINK(CONCATENATE("https://www.ejacket.nsf.gov/ej/showProposal.do?ID=",SUBSTITUTE(SplitQueryTableRecent[[#This Row],[prop_id]],CHAR(160),"")),"eJ")</f>
        <v>eJ</v>
      </c>
      <c r="AC509" s="89" t="s">
        <v>439</v>
      </c>
      <c r="AD509" s="3" t="s">
        <v>439</v>
      </c>
      <c r="AE509" s="91">
        <v>2019</v>
      </c>
      <c r="AF509" s="13" t="s">
        <v>43</v>
      </c>
      <c r="AG509" s="13">
        <v>187788</v>
      </c>
      <c r="AH509" s="45">
        <v>750000</v>
      </c>
      <c r="AI509" s="44" t="s">
        <v>355</v>
      </c>
      <c r="AJ509" s="2" t="s">
        <v>534</v>
      </c>
      <c r="AK509" s="46" t="s">
        <v>1741</v>
      </c>
      <c r="AL509" s="55" t="s">
        <v>353</v>
      </c>
      <c r="AM509" s="45" t="s">
        <v>353</v>
      </c>
      <c r="AN509" s="56" t="s">
        <v>142</v>
      </c>
      <c r="AO509" s="23" t="s">
        <v>146</v>
      </c>
      <c r="AP509" s="11" t="s">
        <v>205</v>
      </c>
      <c r="AQ509" s="88" t="s">
        <v>440</v>
      </c>
      <c r="AR509" s="57" t="s">
        <v>188</v>
      </c>
      <c r="AS509" s="46">
        <v>42852.660856481481</v>
      </c>
      <c r="AT509" s="3">
        <f t="shared" si="7"/>
        <v>333</v>
      </c>
    </row>
    <row r="510" spans="8:46" x14ac:dyDescent="0.4">
      <c r="H510" s="59">
        <v>42992.404930555553</v>
      </c>
      <c r="I510" s="43">
        <v>42661.59652777778</v>
      </c>
      <c r="J510" s="42">
        <v>42814.461041666669</v>
      </c>
      <c r="K510" s="81" t="s">
        <v>49</v>
      </c>
      <c r="L510" t="s">
        <v>49</v>
      </c>
      <c r="M510" t="s">
        <v>336</v>
      </c>
      <c r="N510" s="1" t="s">
        <v>336</v>
      </c>
      <c r="O510" s="1" t="s">
        <v>230</v>
      </c>
      <c r="P510" t="s">
        <v>230</v>
      </c>
      <c r="Q510" s="9" t="s">
        <v>45</v>
      </c>
      <c r="R510" s="82" t="s">
        <v>45</v>
      </c>
      <c r="S510" s="44" t="s">
        <v>192</v>
      </c>
      <c r="T510" s="3" t="s">
        <v>61</v>
      </c>
      <c r="U510" s="2" t="s">
        <v>29</v>
      </c>
      <c r="V510" s="3" t="s">
        <v>29</v>
      </c>
      <c r="W510" s="11" t="s">
        <v>143</v>
      </c>
      <c r="X510" s="3" t="s">
        <v>143</v>
      </c>
      <c r="Y510" s="77" t="s">
        <v>48</v>
      </c>
      <c r="Z510" s="84" t="s">
        <v>439</v>
      </c>
      <c r="AA510" s="89" t="s">
        <v>174</v>
      </c>
      <c r="AB510" s="90" t="str">
        <f>HYPERLINK(CONCATENATE("https://www.ejacket.nsf.gov/ej/showProposal.do?ID=",SUBSTITUTE(SplitQueryTableRecent[[#This Row],[prop_id]],CHAR(160),"")),"eJ")</f>
        <v>eJ</v>
      </c>
      <c r="AC510" s="89" t="s">
        <v>439</v>
      </c>
      <c r="AD510" s="3" t="s">
        <v>439</v>
      </c>
      <c r="AE510" s="91">
        <v>2020</v>
      </c>
      <c r="AF510" s="13" t="s">
        <v>43</v>
      </c>
      <c r="AG510" s="13">
        <v>192210</v>
      </c>
      <c r="AH510" s="45">
        <v>750000</v>
      </c>
      <c r="AI510" s="44" t="s">
        <v>355</v>
      </c>
      <c r="AJ510" s="2" t="s">
        <v>534</v>
      </c>
      <c r="AK510" s="46" t="s">
        <v>1741</v>
      </c>
      <c r="AL510" s="55" t="s">
        <v>353</v>
      </c>
      <c r="AM510" s="45" t="s">
        <v>353</v>
      </c>
      <c r="AN510" s="56" t="s">
        <v>142</v>
      </c>
      <c r="AO510" s="23" t="s">
        <v>146</v>
      </c>
      <c r="AP510" s="11" t="s">
        <v>205</v>
      </c>
      <c r="AQ510" s="88" t="s">
        <v>440</v>
      </c>
      <c r="AR510" s="57" t="s">
        <v>188</v>
      </c>
      <c r="AS510" s="46">
        <v>42852.660856481481</v>
      </c>
      <c r="AT510" s="3">
        <f t="shared" si="7"/>
        <v>333</v>
      </c>
    </row>
    <row r="511" spans="8:46" x14ac:dyDescent="0.4">
      <c r="H511" s="59">
        <v>42992.404930555553</v>
      </c>
      <c r="I511" s="43">
        <v>41716</v>
      </c>
      <c r="J511" s="42">
        <v>41760.541608796295</v>
      </c>
      <c r="K511" s="81" t="s">
        <v>49</v>
      </c>
      <c r="L511" t="s">
        <v>49</v>
      </c>
      <c r="M511" t="s">
        <v>336</v>
      </c>
      <c r="N511" s="1" t="s">
        <v>336</v>
      </c>
      <c r="O511" s="1" t="s">
        <v>337</v>
      </c>
      <c r="P511" t="s">
        <v>337</v>
      </c>
      <c r="Q511" s="9" t="s">
        <v>45</v>
      </c>
      <c r="R511" s="82" t="s">
        <v>45</v>
      </c>
      <c r="S511" s="44" t="s">
        <v>52</v>
      </c>
      <c r="T511" s="3" t="s">
        <v>136</v>
      </c>
      <c r="U511" s="2" t="s">
        <v>29</v>
      </c>
      <c r="V511" s="3" t="s">
        <v>29</v>
      </c>
      <c r="W511" s="11" t="s">
        <v>143</v>
      </c>
      <c r="X511" s="3" t="s">
        <v>143</v>
      </c>
      <c r="Y511" s="77" t="s">
        <v>48</v>
      </c>
      <c r="Z511" s="84" t="s">
        <v>1609</v>
      </c>
      <c r="AA511" s="89" t="s">
        <v>28</v>
      </c>
      <c r="AB511" s="90" t="str">
        <f>HYPERLINK(CONCATENATE("https://www.ejacket.nsf.gov/ej/showProposal.do?ID=",SUBSTITUTE(SplitQueryTableRecent[[#This Row],[prop_id]],CHAR(160),"")),"eJ")</f>
        <v>eJ</v>
      </c>
      <c r="AC511" s="89" t="s">
        <v>1610</v>
      </c>
      <c r="AD511" s="3" t="s">
        <v>1609</v>
      </c>
      <c r="AE511" s="91">
        <v>2014</v>
      </c>
      <c r="AF511" s="13" t="s">
        <v>43</v>
      </c>
      <c r="AG511" s="13">
        <v>8000</v>
      </c>
      <c r="AH511" s="45">
        <v>8000</v>
      </c>
      <c r="AI511" s="44" t="s">
        <v>1507</v>
      </c>
      <c r="AJ511" s="2" t="s">
        <v>622</v>
      </c>
      <c r="AK511" s="46" t="s">
        <v>1726</v>
      </c>
      <c r="AL511" s="55" t="s">
        <v>138</v>
      </c>
      <c r="AM511" s="45" t="s">
        <v>138</v>
      </c>
      <c r="AN511" s="56" t="s">
        <v>142</v>
      </c>
      <c r="AO511" s="23" t="s">
        <v>146</v>
      </c>
      <c r="AP511" s="11" t="s">
        <v>382</v>
      </c>
      <c r="AQ511" s="88" t="s">
        <v>1611</v>
      </c>
      <c r="AR511" s="57" t="s">
        <v>167</v>
      </c>
      <c r="AS511" s="46">
        <v>41764.368379629632</v>
      </c>
      <c r="AT511" s="3">
        <f t="shared" si="7"/>
        <v>334</v>
      </c>
    </row>
    <row r="512" spans="8:46" x14ac:dyDescent="0.4">
      <c r="H512" s="59">
        <v>42992.404930555553</v>
      </c>
      <c r="I512" s="43">
        <v>41828</v>
      </c>
      <c r="J512" s="42">
        <v>41834.723043981481</v>
      </c>
      <c r="K512" s="81" t="s">
        <v>49</v>
      </c>
      <c r="L512" t="s">
        <v>49</v>
      </c>
      <c r="M512" t="s">
        <v>336</v>
      </c>
      <c r="N512" s="1" t="s">
        <v>336</v>
      </c>
      <c r="O512" s="1" t="s">
        <v>337</v>
      </c>
      <c r="P512" t="s">
        <v>337</v>
      </c>
      <c r="Q512" s="9" t="s">
        <v>45</v>
      </c>
      <c r="R512" s="82" t="s">
        <v>45</v>
      </c>
      <c r="S512" s="44" t="s">
        <v>52</v>
      </c>
      <c r="T512" s="3" t="s">
        <v>136</v>
      </c>
      <c r="U512" s="2" t="s">
        <v>29</v>
      </c>
      <c r="V512" s="3" t="s">
        <v>29</v>
      </c>
      <c r="W512" s="11" t="s">
        <v>143</v>
      </c>
      <c r="X512" s="3" t="s">
        <v>143</v>
      </c>
      <c r="Y512" s="77" t="s">
        <v>48</v>
      </c>
      <c r="Z512" s="84" t="s">
        <v>1612</v>
      </c>
      <c r="AA512" s="89" t="s">
        <v>28</v>
      </c>
      <c r="AB512" s="90" t="str">
        <f>HYPERLINK(CONCATENATE("https://www.ejacket.nsf.gov/ej/showProposal.do?ID=",SUBSTITUTE(SplitQueryTableRecent[[#This Row],[prop_id]],CHAR(160),"")),"eJ")</f>
        <v>eJ</v>
      </c>
      <c r="AC512" s="89" t="s">
        <v>1610</v>
      </c>
      <c r="AD512" s="3" t="s">
        <v>1612</v>
      </c>
      <c r="AE512" s="91">
        <v>2014</v>
      </c>
      <c r="AF512" s="13" t="s">
        <v>43</v>
      </c>
      <c r="AG512" s="13">
        <v>16000</v>
      </c>
      <c r="AH512" s="45">
        <v>16000</v>
      </c>
      <c r="AI512" s="44" t="s">
        <v>1507</v>
      </c>
      <c r="AJ512" s="2" t="s">
        <v>622</v>
      </c>
      <c r="AK512" s="46" t="s">
        <v>1726</v>
      </c>
      <c r="AL512" s="55" t="s">
        <v>138</v>
      </c>
      <c r="AM512" s="45" t="s">
        <v>138</v>
      </c>
      <c r="AN512" s="56" t="s">
        <v>142</v>
      </c>
      <c r="AO512" s="23" t="s">
        <v>146</v>
      </c>
      <c r="AP512" s="11" t="s">
        <v>382</v>
      </c>
      <c r="AQ512" s="88" t="s">
        <v>1611</v>
      </c>
      <c r="AR512" s="57" t="s">
        <v>161</v>
      </c>
      <c r="AS512" s="46">
        <v>41837.495219907411</v>
      </c>
      <c r="AT512" s="3">
        <f t="shared" si="7"/>
        <v>335</v>
      </c>
    </row>
    <row r="513" spans="8:46" x14ac:dyDescent="0.4">
      <c r="H513" s="59">
        <v>42992.404930555553</v>
      </c>
      <c r="I513" s="43">
        <v>42797</v>
      </c>
      <c r="J513" s="42">
        <v>42816.524456018517</v>
      </c>
      <c r="K513" s="81" t="s">
        <v>49</v>
      </c>
      <c r="L513" t="s">
        <v>49</v>
      </c>
      <c r="M513" t="s">
        <v>336</v>
      </c>
      <c r="N513" s="1" t="s">
        <v>336</v>
      </c>
      <c r="O513" s="1" t="s">
        <v>230</v>
      </c>
      <c r="P513" t="s">
        <v>230</v>
      </c>
      <c r="Q513" s="9" t="s">
        <v>45</v>
      </c>
      <c r="R513" s="82" t="s">
        <v>45</v>
      </c>
      <c r="S513" s="44" t="s">
        <v>60</v>
      </c>
      <c r="T513" s="3" t="s">
        <v>136</v>
      </c>
      <c r="U513" s="2" t="s">
        <v>29</v>
      </c>
      <c r="V513" s="3" t="s">
        <v>29</v>
      </c>
      <c r="W513" s="11" t="s">
        <v>143</v>
      </c>
      <c r="X513" s="3" t="s">
        <v>143</v>
      </c>
      <c r="Y513" s="77" t="s">
        <v>48</v>
      </c>
      <c r="Z513" s="84" t="s">
        <v>1613</v>
      </c>
      <c r="AA513" s="89" t="s">
        <v>28</v>
      </c>
      <c r="AB513" s="90" t="str">
        <f>HYPERLINK(CONCATENATE("https://www.ejacket.nsf.gov/ej/showProposal.do?ID=",SUBSTITUTE(SplitQueryTableRecent[[#This Row],[prop_id]],CHAR(160),"")),"eJ")</f>
        <v>eJ</v>
      </c>
      <c r="AC513" s="89" t="s">
        <v>371</v>
      </c>
      <c r="AD513" s="3" t="s">
        <v>1613</v>
      </c>
      <c r="AE513" s="91">
        <v>2017</v>
      </c>
      <c r="AF513" s="13" t="s">
        <v>43</v>
      </c>
      <c r="AG513" s="13">
        <v>16000</v>
      </c>
      <c r="AH513" s="45">
        <v>16000</v>
      </c>
      <c r="AI513" s="44" t="s">
        <v>376</v>
      </c>
      <c r="AJ513" s="2" t="s">
        <v>377</v>
      </c>
      <c r="AK513" s="46" t="s">
        <v>1735</v>
      </c>
      <c r="AL513" s="55" t="s">
        <v>854</v>
      </c>
      <c r="AM513" s="45" t="s">
        <v>854</v>
      </c>
      <c r="AN513" s="56" t="s">
        <v>142</v>
      </c>
      <c r="AO513" s="23" t="s">
        <v>146</v>
      </c>
      <c r="AP513" s="11"/>
      <c r="AQ513" s="88" t="s">
        <v>372</v>
      </c>
      <c r="AR513" s="57" t="s">
        <v>40</v>
      </c>
      <c r="AS513" s="46">
        <v>42828.546898148146</v>
      </c>
      <c r="AT513" s="3">
        <f t="shared" si="7"/>
        <v>336</v>
      </c>
    </row>
    <row r="514" spans="8:46" x14ac:dyDescent="0.4">
      <c r="H514" s="59">
        <v>42992.404930555553</v>
      </c>
      <c r="I514" s="43">
        <v>42825</v>
      </c>
      <c r="J514" s="42">
        <v>42845.935300925928</v>
      </c>
      <c r="K514" s="81" t="s">
        <v>49</v>
      </c>
      <c r="L514" t="s">
        <v>49</v>
      </c>
      <c r="M514" t="s">
        <v>336</v>
      </c>
      <c r="N514" s="1" t="s">
        <v>336</v>
      </c>
      <c r="O514" s="1" t="s">
        <v>230</v>
      </c>
      <c r="P514" t="s">
        <v>230</v>
      </c>
      <c r="Q514" s="9" t="s">
        <v>45</v>
      </c>
      <c r="R514" s="82" t="s">
        <v>45</v>
      </c>
      <c r="S514" s="44" t="s">
        <v>60</v>
      </c>
      <c r="T514" s="3" t="s">
        <v>136</v>
      </c>
      <c r="U514" s="2" t="s">
        <v>29</v>
      </c>
      <c r="V514" s="3" t="s">
        <v>29</v>
      </c>
      <c r="W514" s="11" t="s">
        <v>143</v>
      </c>
      <c r="X514" s="3" t="s">
        <v>143</v>
      </c>
      <c r="Y514" s="77" t="s">
        <v>48</v>
      </c>
      <c r="Z514" s="84" t="s">
        <v>1614</v>
      </c>
      <c r="AA514" s="89" t="s">
        <v>28</v>
      </c>
      <c r="AB514" s="90" t="str">
        <f>HYPERLINK(CONCATENATE("https://www.ejacket.nsf.gov/ej/showProposal.do?ID=",SUBSTITUTE(SplitQueryTableRecent[[#This Row],[prop_id]],CHAR(160),"")),"eJ")</f>
        <v>eJ</v>
      </c>
      <c r="AC514" s="89" t="s">
        <v>383</v>
      </c>
      <c r="AD514" s="3" t="s">
        <v>1614</v>
      </c>
      <c r="AE514" s="91">
        <v>2017</v>
      </c>
      <c r="AF514" s="13" t="s">
        <v>43</v>
      </c>
      <c r="AG514" s="13">
        <v>17260</v>
      </c>
      <c r="AH514" s="45">
        <v>17620</v>
      </c>
      <c r="AI514" s="44" t="s">
        <v>385</v>
      </c>
      <c r="AJ514" s="2" t="s">
        <v>386</v>
      </c>
      <c r="AK514" s="46" t="s">
        <v>1726</v>
      </c>
      <c r="AL514" s="55" t="s">
        <v>854</v>
      </c>
      <c r="AM514" s="45" t="s">
        <v>854</v>
      </c>
      <c r="AN514" s="56" t="s">
        <v>142</v>
      </c>
      <c r="AO514" s="23" t="s">
        <v>146</v>
      </c>
      <c r="AP514" s="11"/>
      <c r="AQ514" s="88" t="s">
        <v>384</v>
      </c>
      <c r="AR514" s="57" t="s">
        <v>40</v>
      </c>
      <c r="AS514" s="46">
        <v>42856.400092592594</v>
      </c>
      <c r="AT514" s="3">
        <f t="shared" si="7"/>
        <v>337</v>
      </c>
    </row>
    <row r="515" spans="8:46" x14ac:dyDescent="0.4">
      <c r="H515" s="59">
        <v>42992.404930555553</v>
      </c>
      <c r="I515" s="43">
        <v>42850</v>
      </c>
      <c r="J515" s="42">
        <v>42906.271840277775</v>
      </c>
      <c r="K515" s="81" t="s">
        <v>49</v>
      </c>
      <c r="L515" t="s">
        <v>49</v>
      </c>
      <c r="M515" t="s">
        <v>336</v>
      </c>
      <c r="N515" s="1" t="s">
        <v>336</v>
      </c>
      <c r="O515" s="1" t="s">
        <v>337</v>
      </c>
      <c r="P515" t="s">
        <v>337</v>
      </c>
      <c r="Q515" s="9" t="s">
        <v>45</v>
      </c>
      <c r="R515" s="82" t="s">
        <v>45</v>
      </c>
      <c r="S515" s="44" t="s">
        <v>1615</v>
      </c>
      <c r="T515" s="3" t="s">
        <v>136</v>
      </c>
      <c r="U515" s="2" t="s">
        <v>29</v>
      </c>
      <c r="V515" s="3" t="s">
        <v>29</v>
      </c>
      <c r="W515" s="11" t="s">
        <v>143</v>
      </c>
      <c r="X515" s="3" t="s">
        <v>143</v>
      </c>
      <c r="Y515" s="77" t="s">
        <v>48</v>
      </c>
      <c r="Z515" s="84" t="s">
        <v>1616</v>
      </c>
      <c r="AA515" s="89" t="s">
        <v>28</v>
      </c>
      <c r="AB515" s="90" t="str">
        <f>HYPERLINK(CONCATENATE("https://www.ejacket.nsf.gov/ej/showProposal.do?ID=",SUBSTITUTE(SplitQueryTableRecent[[#This Row],[prop_id]],CHAR(160),"")),"eJ")</f>
        <v>eJ</v>
      </c>
      <c r="AC515" s="89" t="s">
        <v>387</v>
      </c>
      <c r="AD515" s="3" t="s">
        <v>1616</v>
      </c>
      <c r="AE515" s="91">
        <v>2017</v>
      </c>
      <c r="AF515" s="13" t="s">
        <v>43</v>
      </c>
      <c r="AG515" s="13">
        <v>8000</v>
      </c>
      <c r="AH515" s="45">
        <v>8000</v>
      </c>
      <c r="AI515" s="44" t="s">
        <v>390</v>
      </c>
      <c r="AJ515" s="2" t="s">
        <v>391</v>
      </c>
      <c r="AK515" s="46" t="s">
        <v>1726</v>
      </c>
      <c r="AL515" s="55" t="s">
        <v>1031</v>
      </c>
      <c r="AM515" s="45" t="s">
        <v>1031</v>
      </c>
      <c r="AN515" s="56" t="s">
        <v>142</v>
      </c>
      <c r="AO515" s="23" t="s">
        <v>146</v>
      </c>
      <c r="AP515" s="11"/>
      <c r="AQ515" s="88" t="s">
        <v>1617</v>
      </c>
      <c r="AR515" s="57" t="s">
        <v>188</v>
      </c>
      <c r="AS515" s="46">
        <v>42914.547418981485</v>
      </c>
      <c r="AT515" s="3">
        <f t="shared" si="7"/>
        <v>338</v>
      </c>
    </row>
    <row r="516" spans="8:46" x14ac:dyDescent="0.4">
      <c r="H516" s="59">
        <v>42992.404930555553</v>
      </c>
      <c r="I516" s="43">
        <v>41929</v>
      </c>
      <c r="J516" s="42">
        <v>41960.46837962963</v>
      </c>
      <c r="K516" s="81" t="s">
        <v>49</v>
      </c>
      <c r="L516" t="s">
        <v>49</v>
      </c>
      <c r="M516" t="s">
        <v>336</v>
      </c>
      <c r="N516" s="1" t="s">
        <v>336</v>
      </c>
      <c r="O516" s="1" t="s">
        <v>245</v>
      </c>
      <c r="P516" t="s">
        <v>245</v>
      </c>
      <c r="Q516" s="9" t="s">
        <v>45</v>
      </c>
      <c r="R516" s="82" t="s">
        <v>45</v>
      </c>
      <c r="S516" s="44" t="s">
        <v>52</v>
      </c>
      <c r="T516" s="3" t="s">
        <v>136</v>
      </c>
      <c r="U516" s="2" t="s">
        <v>29</v>
      </c>
      <c r="V516" s="3" t="s">
        <v>29</v>
      </c>
      <c r="W516" s="11" t="s">
        <v>143</v>
      </c>
      <c r="X516" s="3" t="s">
        <v>143</v>
      </c>
      <c r="Y516" s="77" t="s">
        <v>48</v>
      </c>
      <c r="Z516" s="84" t="s">
        <v>1623</v>
      </c>
      <c r="AA516" s="89" t="s">
        <v>28</v>
      </c>
      <c r="AB516" s="90" t="str">
        <f>HYPERLINK(CONCATENATE("https://www.ejacket.nsf.gov/ej/showProposal.do?ID=",SUBSTITUTE(SplitQueryTableRecent[[#This Row],[prop_id]],CHAR(160),"")),"eJ")</f>
        <v>eJ</v>
      </c>
      <c r="AC516" s="89" t="s">
        <v>1624</v>
      </c>
      <c r="AD516" s="3" t="s">
        <v>1623</v>
      </c>
      <c r="AE516" s="91">
        <v>2015</v>
      </c>
      <c r="AF516" s="13" t="s">
        <v>43</v>
      </c>
      <c r="AG516" s="13">
        <v>8000</v>
      </c>
      <c r="AH516" s="45">
        <v>8000</v>
      </c>
      <c r="AI516" s="44" t="s">
        <v>1178</v>
      </c>
      <c r="AJ516" s="2" t="s">
        <v>1179</v>
      </c>
      <c r="AK516" s="46" t="s">
        <v>1717</v>
      </c>
      <c r="AL516" s="55" t="s">
        <v>138</v>
      </c>
      <c r="AM516" s="45" t="s">
        <v>1418</v>
      </c>
      <c r="AN516" s="56" t="s">
        <v>142</v>
      </c>
      <c r="AO516" s="23" t="s">
        <v>146</v>
      </c>
      <c r="AP516" s="11"/>
      <c r="AQ516" s="88" t="s">
        <v>1625</v>
      </c>
      <c r="AR516" s="57" t="s">
        <v>161</v>
      </c>
      <c r="AS516" s="46">
        <v>41961.49459490741</v>
      </c>
      <c r="AT516" s="3">
        <f t="shared" si="7"/>
        <v>339</v>
      </c>
    </row>
    <row r="517" spans="8:46" x14ac:dyDescent="0.4">
      <c r="H517" s="59">
        <v>42992.404930555553</v>
      </c>
      <c r="I517" s="43">
        <v>42398</v>
      </c>
      <c r="J517" s="42">
        <v>42472.443287037036</v>
      </c>
      <c r="K517" s="81" t="s">
        <v>49</v>
      </c>
      <c r="L517" t="s">
        <v>49</v>
      </c>
      <c r="M517" t="s">
        <v>336</v>
      </c>
      <c r="N517" s="1" t="s">
        <v>336</v>
      </c>
      <c r="O517" s="1" t="s">
        <v>337</v>
      </c>
      <c r="P517" t="s">
        <v>337</v>
      </c>
      <c r="Q517" s="9" t="s">
        <v>45</v>
      </c>
      <c r="R517" s="82" t="s">
        <v>45</v>
      </c>
      <c r="S517" s="44" t="s">
        <v>186</v>
      </c>
      <c r="T517" s="3" t="s">
        <v>136</v>
      </c>
      <c r="U517" s="2" t="s">
        <v>29</v>
      </c>
      <c r="V517" s="3" t="s">
        <v>29</v>
      </c>
      <c r="W517" s="11" t="s">
        <v>143</v>
      </c>
      <c r="X517" s="3" t="s">
        <v>143</v>
      </c>
      <c r="Y517" s="77" t="s">
        <v>48</v>
      </c>
      <c r="Z517" s="84" t="s">
        <v>1626</v>
      </c>
      <c r="AA517" s="89" t="s">
        <v>28</v>
      </c>
      <c r="AB517" s="90" t="str">
        <f>HYPERLINK(CONCATENATE("https://www.ejacket.nsf.gov/ej/showProposal.do?ID=",SUBSTITUTE(SplitQueryTableRecent[[#This Row],[prop_id]],CHAR(160),"")),"eJ")</f>
        <v>eJ</v>
      </c>
      <c r="AC517" s="89" t="s">
        <v>424</v>
      </c>
      <c r="AD517" s="3" t="s">
        <v>1626</v>
      </c>
      <c r="AE517" s="91">
        <v>2016</v>
      </c>
      <c r="AF517" s="13" t="s">
        <v>43</v>
      </c>
      <c r="AG517" s="13">
        <v>8576</v>
      </c>
      <c r="AH517" s="45">
        <v>0</v>
      </c>
      <c r="AI517" s="44" t="s">
        <v>427</v>
      </c>
      <c r="AJ517" s="2" t="s">
        <v>178</v>
      </c>
      <c r="AK517" s="46" t="s">
        <v>1724</v>
      </c>
      <c r="AL517" s="55" t="s">
        <v>1031</v>
      </c>
      <c r="AM517" s="45" t="s">
        <v>1031</v>
      </c>
      <c r="AN517" s="56" t="s">
        <v>142</v>
      </c>
      <c r="AO517" s="23" t="s">
        <v>146</v>
      </c>
      <c r="AP517" s="11" t="s">
        <v>172</v>
      </c>
      <c r="AQ517" s="88" t="s">
        <v>425</v>
      </c>
      <c r="AR517" s="57" t="s">
        <v>164</v>
      </c>
      <c r="AS517" s="46">
        <v>42489.474027777775</v>
      </c>
      <c r="AT517" s="3">
        <f t="shared" si="7"/>
        <v>340</v>
      </c>
    </row>
    <row r="518" spans="8:46" x14ac:dyDescent="0.4">
      <c r="H518" s="59">
        <v>42992.404930555553</v>
      </c>
      <c r="I518" s="43">
        <v>42761</v>
      </c>
      <c r="J518" s="42">
        <v>42851.35224537037</v>
      </c>
      <c r="K518" s="81" t="s">
        <v>49</v>
      </c>
      <c r="L518" t="s">
        <v>49</v>
      </c>
      <c r="M518" t="s">
        <v>336</v>
      </c>
      <c r="N518" s="1" t="s">
        <v>336</v>
      </c>
      <c r="O518" s="1" t="s">
        <v>337</v>
      </c>
      <c r="P518" t="s">
        <v>337</v>
      </c>
      <c r="Q518" s="9" t="s">
        <v>45</v>
      </c>
      <c r="R518" s="82" t="s">
        <v>45</v>
      </c>
      <c r="S518" s="44" t="s">
        <v>1396</v>
      </c>
      <c r="T518" s="3" t="s">
        <v>136</v>
      </c>
      <c r="U518" s="2" t="s">
        <v>29</v>
      </c>
      <c r="V518" s="3" t="s">
        <v>29</v>
      </c>
      <c r="W518" s="11" t="s">
        <v>143</v>
      </c>
      <c r="X518" s="3" t="s">
        <v>143</v>
      </c>
      <c r="Y518" s="77" t="s">
        <v>48</v>
      </c>
      <c r="Z518" s="84" t="s">
        <v>1627</v>
      </c>
      <c r="AA518" s="89" t="s">
        <v>28</v>
      </c>
      <c r="AB518" s="90" t="str">
        <f>HYPERLINK(CONCATENATE("https://www.ejacket.nsf.gov/ej/showProposal.do?ID=",SUBSTITUTE(SplitQueryTableRecent[[#This Row],[prop_id]],CHAR(160),"")),"eJ")</f>
        <v>eJ</v>
      </c>
      <c r="AC518" s="89" t="s">
        <v>424</v>
      </c>
      <c r="AD518" s="3" t="s">
        <v>1627</v>
      </c>
      <c r="AE518" s="91">
        <v>2017</v>
      </c>
      <c r="AF518" s="13" t="s">
        <v>43</v>
      </c>
      <c r="AG518" s="13">
        <v>16000</v>
      </c>
      <c r="AH518" s="45">
        <v>16000</v>
      </c>
      <c r="AI518" s="44" t="s">
        <v>427</v>
      </c>
      <c r="AJ518" s="2" t="s">
        <v>178</v>
      </c>
      <c r="AK518" s="46" t="s">
        <v>1724</v>
      </c>
      <c r="AL518" s="55" t="s">
        <v>1031</v>
      </c>
      <c r="AM518" s="45" t="s">
        <v>1031</v>
      </c>
      <c r="AN518" s="56" t="s">
        <v>142</v>
      </c>
      <c r="AO518" s="23" t="s">
        <v>146</v>
      </c>
      <c r="AP518" s="11"/>
      <c r="AQ518" s="88" t="s">
        <v>425</v>
      </c>
      <c r="AR518" s="57" t="s">
        <v>502</v>
      </c>
      <c r="AS518" s="46">
        <v>42853.398194444446</v>
      </c>
      <c r="AT518" s="3">
        <f t="shared" si="7"/>
        <v>341</v>
      </c>
    </row>
    <row r="519" spans="8:46" x14ac:dyDescent="0.4">
      <c r="H519" s="59">
        <v>42992.404930555553</v>
      </c>
      <c r="I519" s="43">
        <v>42825</v>
      </c>
      <c r="J519" s="42">
        <v>42832.44390046296</v>
      </c>
      <c r="K519" s="81" t="s">
        <v>49</v>
      </c>
      <c r="L519" t="s">
        <v>49</v>
      </c>
      <c r="M519" t="s">
        <v>336</v>
      </c>
      <c r="N519" s="1" t="s">
        <v>336</v>
      </c>
      <c r="O519" s="1" t="s">
        <v>230</v>
      </c>
      <c r="P519" t="s">
        <v>230</v>
      </c>
      <c r="Q519" s="9" t="s">
        <v>45</v>
      </c>
      <c r="R519" s="82" t="s">
        <v>45</v>
      </c>
      <c r="S519" s="44" t="s">
        <v>60</v>
      </c>
      <c r="T519" s="3" t="s">
        <v>136</v>
      </c>
      <c r="U519" s="2" t="s">
        <v>29</v>
      </c>
      <c r="V519" s="3" t="s">
        <v>29</v>
      </c>
      <c r="W519" s="11" t="s">
        <v>143</v>
      </c>
      <c r="X519" s="3" t="s">
        <v>143</v>
      </c>
      <c r="Y519" s="77" t="s">
        <v>48</v>
      </c>
      <c r="Z519" s="84" t="s">
        <v>1628</v>
      </c>
      <c r="AA519" s="89" t="s">
        <v>28</v>
      </c>
      <c r="AB519" s="90" t="str">
        <f>HYPERLINK(CONCATENATE("https://www.ejacket.nsf.gov/ej/showProposal.do?ID=",SUBSTITUTE(SplitQueryTableRecent[[#This Row],[prop_id]],CHAR(160),"")),"eJ")</f>
        <v>eJ</v>
      </c>
      <c r="AC519" s="89" t="s">
        <v>432</v>
      </c>
      <c r="AD519" s="3" t="s">
        <v>1628</v>
      </c>
      <c r="AE519" s="91">
        <v>2017</v>
      </c>
      <c r="AF519" s="13" t="s">
        <v>43</v>
      </c>
      <c r="AG519" s="13">
        <v>8000</v>
      </c>
      <c r="AH519" s="45">
        <v>8000</v>
      </c>
      <c r="AI519" s="44" t="s">
        <v>434</v>
      </c>
      <c r="AJ519" s="2" t="s">
        <v>435</v>
      </c>
      <c r="AK519" s="46" t="s">
        <v>313</v>
      </c>
      <c r="AL519" s="55" t="s">
        <v>854</v>
      </c>
      <c r="AM519" s="45" t="s">
        <v>854</v>
      </c>
      <c r="AN519" s="56" t="s">
        <v>142</v>
      </c>
      <c r="AO519" s="23" t="s">
        <v>146</v>
      </c>
      <c r="AP519" s="11"/>
      <c r="AQ519" s="88" t="s">
        <v>433</v>
      </c>
      <c r="AR519" s="57" t="s">
        <v>40</v>
      </c>
      <c r="AS519" s="46">
        <v>42846.45590277778</v>
      </c>
      <c r="AT519" s="3">
        <f t="shared" si="7"/>
        <v>342</v>
      </c>
    </row>
    <row r="520" spans="8:46" x14ac:dyDescent="0.4">
      <c r="H520" s="59">
        <v>42992.404930555553</v>
      </c>
      <c r="I520" s="43">
        <v>42338</v>
      </c>
      <c r="J520" s="42">
        <v>42388.414178240739</v>
      </c>
      <c r="K520" s="81" t="s">
        <v>49</v>
      </c>
      <c r="L520" t="s">
        <v>49</v>
      </c>
      <c r="M520" t="s">
        <v>336</v>
      </c>
      <c r="N520" s="1" t="s">
        <v>336</v>
      </c>
      <c r="O520" s="1" t="s">
        <v>245</v>
      </c>
      <c r="P520" t="s">
        <v>245</v>
      </c>
      <c r="Q520" s="9" t="s">
        <v>45</v>
      </c>
      <c r="R520" s="82" t="s">
        <v>45</v>
      </c>
      <c r="S520" s="44" t="s">
        <v>186</v>
      </c>
      <c r="T520" s="3" t="s">
        <v>136</v>
      </c>
      <c r="U520" s="2" t="s">
        <v>29</v>
      </c>
      <c r="V520" s="3" t="s">
        <v>29</v>
      </c>
      <c r="W520" s="11" t="s">
        <v>143</v>
      </c>
      <c r="X520" s="3" t="s">
        <v>143</v>
      </c>
      <c r="Y520" s="77" t="s">
        <v>48</v>
      </c>
      <c r="Z520" s="84" t="s">
        <v>1629</v>
      </c>
      <c r="AA520" s="89" t="s">
        <v>28</v>
      </c>
      <c r="AB520" s="90" t="str">
        <f>HYPERLINK(CONCATENATE("https://www.ejacket.nsf.gov/ej/showProposal.do?ID=",SUBSTITUTE(SplitQueryTableRecent[[#This Row],[prop_id]],CHAR(160),"")),"eJ")</f>
        <v>eJ</v>
      </c>
      <c r="AC520" s="89" t="s">
        <v>1560</v>
      </c>
      <c r="AD520" s="3" t="s">
        <v>1629</v>
      </c>
      <c r="AE520" s="91">
        <v>2016</v>
      </c>
      <c r="AF520" s="13" t="s">
        <v>43</v>
      </c>
      <c r="AG520" s="13">
        <v>16000</v>
      </c>
      <c r="AH520" s="45">
        <v>16000</v>
      </c>
      <c r="AI520" s="44" t="s">
        <v>441</v>
      </c>
      <c r="AJ520" s="2" t="s">
        <v>442</v>
      </c>
      <c r="AK520" s="46" t="s">
        <v>1717</v>
      </c>
      <c r="AL520" s="55" t="s">
        <v>138</v>
      </c>
      <c r="AM520" s="45" t="s">
        <v>138</v>
      </c>
      <c r="AN520" s="56" t="s">
        <v>142</v>
      </c>
      <c r="AO520" s="23" t="s">
        <v>146</v>
      </c>
      <c r="AP520" s="11"/>
      <c r="AQ520" s="88" t="s">
        <v>1561</v>
      </c>
      <c r="AR520" s="57" t="s">
        <v>161</v>
      </c>
      <c r="AS520" s="46">
        <v>42394.576319444444</v>
      </c>
      <c r="AT520" s="3">
        <f t="shared" si="7"/>
        <v>343</v>
      </c>
    </row>
    <row r="521" spans="8:46" x14ac:dyDescent="0.4">
      <c r="H521" s="59">
        <v>42992.404930555553</v>
      </c>
      <c r="I521" s="43">
        <v>42832</v>
      </c>
      <c r="J521" s="42">
        <v>42845.934594907405</v>
      </c>
      <c r="K521" s="81" t="s">
        <v>49</v>
      </c>
      <c r="L521" t="s">
        <v>49</v>
      </c>
      <c r="M521" t="s">
        <v>336</v>
      </c>
      <c r="N521" s="1" t="s">
        <v>336</v>
      </c>
      <c r="O521" s="1" t="s">
        <v>230</v>
      </c>
      <c r="P521" t="s">
        <v>230</v>
      </c>
      <c r="Q521" s="9" t="s">
        <v>45</v>
      </c>
      <c r="R521" s="82" t="s">
        <v>45</v>
      </c>
      <c r="S521" s="44" t="s">
        <v>60</v>
      </c>
      <c r="T521" s="3" t="s">
        <v>136</v>
      </c>
      <c r="U521" s="2" t="s">
        <v>29</v>
      </c>
      <c r="V521" s="3" t="s">
        <v>29</v>
      </c>
      <c r="W521" s="11" t="s">
        <v>143</v>
      </c>
      <c r="X521" s="3" t="s">
        <v>143</v>
      </c>
      <c r="Y521" s="77" t="s">
        <v>48</v>
      </c>
      <c r="Z521" s="84" t="s">
        <v>1630</v>
      </c>
      <c r="AA521" s="89" t="s">
        <v>28</v>
      </c>
      <c r="AB521" s="90" t="str">
        <f>HYPERLINK(CONCATENATE("https://www.ejacket.nsf.gov/ej/showProposal.do?ID=",SUBSTITUTE(SplitQueryTableRecent[[#This Row],[prop_id]],CHAR(160),"")),"eJ")</f>
        <v>eJ</v>
      </c>
      <c r="AC521" s="89" t="s">
        <v>1560</v>
      </c>
      <c r="AD521" s="3" t="s">
        <v>1630</v>
      </c>
      <c r="AE521" s="91">
        <v>2017</v>
      </c>
      <c r="AF521" s="13" t="s">
        <v>43</v>
      </c>
      <c r="AG521" s="13">
        <v>16000</v>
      </c>
      <c r="AH521" s="45">
        <v>16000</v>
      </c>
      <c r="AI521" s="44" t="s">
        <v>441</v>
      </c>
      <c r="AJ521" s="2" t="s">
        <v>442</v>
      </c>
      <c r="AK521" s="46" t="s">
        <v>1717</v>
      </c>
      <c r="AL521" s="55" t="s">
        <v>854</v>
      </c>
      <c r="AM521" s="45" t="s">
        <v>854</v>
      </c>
      <c r="AN521" s="56" t="s">
        <v>142</v>
      </c>
      <c r="AO521" s="23" t="s">
        <v>146</v>
      </c>
      <c r="AP521" s="11" t="s">
        <v>172</v>
      </c>
      <c r="AQ521" s="88" t="s">
        <v>1561</v>
      </c>
      <c r="AR521" s="57" t="s">
        <v>40</v>
      </c>
      <c r="AS521" s="46">
        <v>42846.512824074074</v>
      </c>
      <c r="AT521" s="3">
        <f t="shared" si="7"/>
        <v>344</v>
      </c>
    </row>
    <row r="522" spans="8:46" x14ac:dyDescent="0.4">
      <c r="H522" s="59">
        <v>42992.404930555553</v>
      </c>
      <c r="I522" s="43">
        <v>41754</v>
      </c>
      <c r="J522" s="42">
        <v>41767.485659722224</v>
      </c>
      <c r="K522" s="81" t="s">
        <v>49</v>
      </c>
      <c r="L522" t="s">
        <v>49</v>
      </c>
      <c r="M522" t="s">
        <v>336</v>
      </c>
      <c r="N522" s="1" t="s">
        <v>336</v>
      </c>
      <c r="O522" s="1" t="s">
        <v>337</v>
      </c>
      <c r="P522" t="s">
        <v>337</v>
      </c>
      <c r="Q522" s="9" t="s">
        <v>45</v>
      </c>
      <c r="R522" s="82" t="s">
        <v>45</v>
      </c>
      <c r="S522" s="44" t="s">
        <v>52</v>
      </c>
      <c r="T522" s="3" t="s">
        <v>136</v>
      </c>
      <c r="U522" s="2" t="s">
        <v>29</v>
      </c>
      <c r="V522" s="3" t="s">
        <v>29</v>
      </c>
      <c r="W522" s="11" t="s">
        <v>143</v>
      </c>
      <c r="X522" s="3" t="s">
        <v>143</v>
      </c>
      <c r="Y522" s="77" t="s">
        <v>48</v>
      </c>
      <c r="Z522" s="84" t="s">
        <v>1631</v>
      </c>
      <c r="AA522" s="89" t="s">
        <v>28</v>
      </c>
      <c r="AB522" s="90" t="str">
        <f>HYPERLINK(CONCATENATE("https://www.ejacket.nsf.gov/ej/showProposal.do?ID=",SUBSTITUTE(SplitQueryTableRecent[[#This Row],[prop_id]],CHAR(160),"")),"eJ")</f>
        <v>eJ</v>
      </c>
      <c r="AC522" s="89" t="s">
        <v>453</v>
      </c>
      <c r="AD522" s="3" t="s">
        <v>1631</v>
      </c>
      <c r="AE522" s="91">
        <v>2014</v>
      </c>
      <c r="AF522" s="13" t="s">
        <v>43</v>
      </c>
      <c r="AG522" s="13">
        <v>8000</v>
      </c>
      <c r="AH522" s="45">
        <v>0</v>
      </c>
      <c r="AI522" s="44" t="s">
        <v>455</v>
      </c>
      <c r="AJ522" s="2" t="s">
        <v>456</v>
      </c>
      <c r="AK522" s="46" t="s">
        <v>457</v>
      </c>
      <c r="AL522" s="55" t="s">
        <v>138</v>
      </c>
      <c r="AM522" s="45" t="s">
        <v>138</v>
      </c>
      <c r="AN522" s="56" t="s">
        <v>142</v>
      </c>
      <c r="AO522" s="23" t="s">
        <v>146</v>
      </c>
      <c r="AP522" s="11"/>
      <c r="AQ522" s="88" t="s">
        <v>454</v>
      </c>
      <c r="AR522" s="57" t="s">
        <v>167</v>
      </c>
      <c r="AS522" s="46">
        <v>41768.490949074076</v>
      </c>
      <c r="AT522" s="3">
        <f t="shared" si="7"/>
        <v>345</v>
      </c>
    </row>
    <row r="523" spans="8:46" x14ac:dyDescent="0.4">
      <c r="H523" s="59">
        <v>42992.404930555553</v>
      </c>
      <c r="I523" s="43">
        <v>42181</v>
      </c>
      <c r="J523" s="42">
        <v>42200.670046296298</v>
      </c>
      <c r="K523" s="81" t="s">
        <v>49</v>
      </c>
      <c r="L523" t="s">
        <v>49</v>
      </c>
      <c r="M523" t="s">
        <v>336</v>
      </c>
      <c r="N523" s="1" t="s">
        <v>336</v>
      </c>
      <c r="O523" s="1" t="s">
        <v>337</v>
      </c>
      <c r="P523" t="s">
        <v>337</v>
      </c>
      <c r="Q523" s="9" t="s">
        <v>45</v>
      </c>
      <c r="R523" s="82" t="s">
        <v>45</v>
      </c>
      <c r="S523" s="44" t="s">
        <v>52</v>
      </c>
      <c r="T523" s="3" t="s">
        <v>136</v>
      </c>
      <c r="U523" s="2" t="s">
        <v>29</v>
      </c>
      <c r="V523" s="3" t="s">
        <v>29</v>
      </c>
      <c r="W523" s="11" t="s">
        <v>143</v>
      </c>
      <c r="X523" s="3" t="s">
        <v>143</v>
      </c>
      <c r="Y523" s="77" t="s">
        <v>48</v>
      </c>
      <c r="Z523" s="84" t="s">
        <v>1632</v>
      </c>
      <c r="AA523" s="89" t="s">
        <v>28</v>
      </c>
      <c r="AB523" s="90" t="str">
        <f>HYPERLINK(CONCATENATE("https://www.ejacket.nsf.gov/ej/showProposal.do?ID=",SUBSTITUTE(SplitQueryTableRecent[[#This Row],[prop_id]],CHAR(160),"")),"eJ")</f>
        <v>eJ</v>
      </c>
      <c r="AC523" s="89" t="s">
        <v>453</v>
      </c>
      <c r="AD523" s="3" t="s">
        <v>1632</v>
      </c>
      <c r="AE523" s="91">
        <v>2015</v>
      </c>
      <c r="AF523" s="13" t="s">
        <v>43</v>
      </c>
      <c r="AG523" s="13">
        <v>10150</v>
      </c>
      <c r="AH523" s="45">
        <v>0</v>
      </c>
      <c r="AI523" s="44" t="s">
        <v>455</v>
      </c>
      <c r="AJ523" s="2" t="s">
        <v>456</v>
      </c>
      <c r="AK523" s="46" t="s">
        <v>457</v>
      </c>
      <c r="AL523" s="55" t="s">
        <v>138</v>
      </c>
      <c r="AM523" s="45" t="s">
        <v>138</v>
      </c>
      <c r="AN523" s="56" t="s">
        <v>142</v>
      </c>
      <c r="AO523" s="23" t="s">
        <v>146</v>
      </c>
      <c r="AP523" s="11"/>
      <c r="AQ523" s="88" t="s">
        <v>454</v>
      </c>
      <c r="AR523" s="57" t="s">
        <v>40</v>
      </c>
      <c r="AS523" s="46">
        <v>42216.529467592591</v>
      </c>
      <c r="AT523" s="3">
        <f t="shared" si="7"/>
        <v>346</v>
      </c>
    </row>
    <row r="524" spans="8:46" x14ac:dyDescent="0.4">
      <c r="H524" s="59">
        <v>42992.404930555553</v>
      </c>
      <c r="I524" s="43">
        <v>42467</v>
      </c>
      <c r="J524" s="42">
        <v>42529.389768518522</v>
      </c>
      <c r="K524" s="81" t="s">
        <v>49</v>
      </c>
      <c r="L524" t="s">
        <v>49</v>
      </c>
      <c r="M524" t="s">
        <v>336</v>
      </c>
      <c r="N524" s="1" t="s">
        <v>336</v>
      </c>
      <c r="O524" s="1" t="s">
        <v>337</v>
      </c>
      <c r="P524" t="s">
        <v>337</v>
      </c>
      <c r="Q524" s="9" t="s">
        <v>45</v>
      </c>
      <c r="R524" s="82" t="s">
        <v>45</v>
      </c>
      <c r="S524" s="44" t="s">
        <v>186</v>
      </c>
      <c r="T524" s="3" t="s">
        <v>136</v>
      </c>
      <c r="U524" s="2" t="s">
        <v>29</v>
      </c>
      <c r="V524" s="3" t="s">
        <v>29</v>
      </c>
      <c r="W524" s="11" t="s">
        <v>143</v>
      </c>
      <c r="X524" s="3" t="s">
        <v>143</v>
      </c>
      <c r="Y524" s="77" t="s">
        <v>48</v>
      </c>
      <c r="Z524" s="84" t="s">
        <v>1633</v>
      </c>
      <c r="AA524" s="89" t="s">
        <v>28</v>
      </c>
      <c r="AB524" s="90" t="str">
        <f>HYPERLINK(CONCATENATE("https://www.ejacket.nsf.gov/ej/showProposal.do?ID=",SUBSTITUTE(SplitQueryTableRecent[[#This Row],[prop_id]],CHAR(160),"")),"eJ")</f>
        <v>eJ</v>
      </c>
      <c r="AC524" s="89" t="s">
        <v>453</v>
      </c>
      <c r="AD524" s="3" t="s">
        <v>1633</v>
      </c>
      <c r="AE524" s="91">
        <v>2016</v>
      </c>
      <c r="AF524" s="13" t="s">
        <v>43</v>
      </c>
      <c r="AG524" s="13">
        <v>12000</v>
      </c>
      <c r="AH524" s="45">
        <v>12000</v>
      </c>
      <c r="AI524" s="44" t="s">
        <v>455</v>
      </c>
      <c r="AJ524" s="2" t="s">
        <v>456</v>
      </c>
      <c r="AK524" s="46" t="s">
        <v>457</v>
      </c>
      <c r="AL524" s="55" t="s">
        <v>138</v>
      </c>
      <c r="AM524" s="45" t="s">
        <v>138</v>
      </c>
      <c r="AN524" s="56" t="s">
        <v>142</v>
      </c>
      <c r="AO524" s="23" t="s">
        <v>146</v>
      </c>
      <c r="AP524" s="11" t="s">
        <v>172</v>
      </c>
      <c r="AQ524" s="88" t="s">
        <v>454</v>
      </c>
      <c r="AR524" s="57" t="s">
        <v>164</v>
      </c>
      <c r="AS524" s="46">
        <v>42531.673136574071</v>
      </c>
      <c r="AT524" s="3">
        <f t="shared" si="7"/>
        <v>347</v>
      </c>
    </row>
    <row r="525" spans="8:46" x14ac:dyDescent="0.4">
      <c r="H525" s="59">
        <v>42992.404930555553</v>
      </c>
      <c r="I525" s="43">
        <v>42839</v>
      </c>
      <c r="J525" s="42">
        <v>42887.412789351853</v>
      </c>
      <c r="K525" s="81" t="s">
        <v>49</v>
      </c>
      <c r="L525" t="s">
        <v>49</v>
      </c>
      <c r="M525" t="s">
        <v>336</v>
      </c>
      <c r="N525" s="1" t="s">
        <v>336</v>
      </c>
      <c r="O525" s="1" t="s">
        <v>337</v>
      </c>
      <c r="P525" t="s">
        <v>337</v>
      </c>
      <c r="Q525" s="9" t="s">
        <v>45</v>
      </c>
      <c r="R525" s="82" t="s">
        <v>45</v>
      </c>
      <c r="S525" s="44" t="s">
        <v>1396</v>
      </c>
      <c r="T525" s="3" t="s">
        <v>136</v>
      </c>
      <c r="U525" s="2" t="s">
        <v>29</v>
      </c>
      <c r="V525" s="3" t="s">
        <v>29</v>
      </c>
      <c r="W525" s="11" t="s">
        <v>143</v>
      </c>
      <c r="X525" s="3" t="s">
        <v>143</v>
      </c>
      <c r="Y525" s="77" t="s">
        <v>48</v>
      </c>
      <c r="Z525" s="84" t="s">
        <v>1634</v>
      </c>
      <c r="AA525" s="89" t="s">
        <v>28</v>
      </c>
      <c r="AB525" s="90" t="str">
        <f>HYPERLINK(CONCATENATE("https://www.ejacket.nsf.gov/ej/showProposal.do?ID=",SUBSTITUTE(SplitQueryTableRecent[[#This Row],[prop_id]],CHAR(160),"")),"eJ")</f>
        <v>eJ</v>
      </c>
      <c r="AC525" s="89" t="s">
        <v>453</v>
      </c>
      <c r="AD525" s="3" t="s">
        <v>1634</v>
      </c>
      <c r="AE525" s="91">
        <v>2017</v>
      </c>
      <c r="AF525" s="13" t="s">
        <v>43</v>
      </c>
      <c r="AG525" s="13">
        <v>12000</v>
      </c>
      <c r="AH525" s="45">
        <v>12000</v>
      </c>
      <c r="AI525" s="44" t="s">
        <v>455</v>
      </c>
      <c r="AJ525" s="2" t="s">
        <v>456</v>
      </c>
      <c r="AK525" s="46" t="s">
        <v>457</v>
      </c>
      <c r="AL525" s="55" t="s">
        <v>1031</v>
      </c>
      <c r="AM525" s="45" t="s">
        <v>1031</v>
      </c>
      <c r="AN525" s="56" t="s">
        <v>142</v>
      </c>
      <c r="AO525" s="23" t="s">
        <v>146</v>
      </c>
      <c r="AP525" s="11"/>
      <c r="AQ525" s="88" t="s">
        <v>454</v>
      </c>
      <c r="AR525" s="57" t="s">
        <v>40</v>
      </c>
      <c r="AS525" s="46">
        <v>42902.743252314816</v>
      </c>
      <c r="AT525" s="3">
        <f t="shared" si="7"/>
        <v>348</v>
      </c>
    </row>
    <row r="526" spans="8:46" x14ac:dyDescent="0.4">
      <c r="H526" s="59">
        <v>42992.404930555553</v>
      </c>
      <c r="I526" s="43">
        <v>42667</v>
      </c>
      <c r="J526" s="42">
        <v>42814.470046296294</v>
      </c>
      <c r="K526" s="81" t="s">
        <v>49</v>
      </c>
      <c r="L526" t="s">
        <v>49</v>
      </c>
      <c r="M526" t="s">
        <v>336</v>
      </c>
      <c r="N526" s="1" t="s">
        <v>336</v>
      </c>
      <c r="O526" s="1" t="s">
        <v>337</v>
      </c>
      <c r="P526" t="s">
        <v>337</v>
      </c>
      <c r="Q526" s="9" t="s">
        <v>45</v>
      </c>
      <c r="R526" s="82" t="s">
        <v>45</v>
      </c>
      <c r="S526" s="44" t="s">
        <v>1615</v>
      </c>
      <c r="T526" s="3" t="s">
        <v>136</v>
      </c>
      <c r="U526" s="2" t="s">
        <v>29</v>
      </c>
      <c r="V526" s="3" t="s">
        <v>29</v>
      </c>
      <c r="W526" s="11" t="s">
        <v>143</v>
      </c>
      <c r="X526" s="3" t="s">
        <v>143</v>
      </c>
      <c r="Y526" s="77" t="s">
        <v>48</v>
      </c>
      <c r="Z526" s="84" t="s">
        <v>1635</v>
      </c>
      <c r="AA526" s="89" t="s">
        <v>28</v>
      </c>
      <c r="AB526" s="90" t="str">
        <f>HYPERLINK(CONCATENATE("https://www.ejacket.nsf.gov/ej/showProposal.do?ID=",SUBSTITUTE(SplitQueryTableRecent[[#This Row],[prop_id]],CHAR(160),"")),"eJ")</f>
        <v>eJ</v>
      </c>
      <c r="AC526" s="89" t="s">
        <v>458</v>
      </c>
      <c r="AD526" s="3" t="s">
        <v>1635</v>
      </c>
      <c r="AE526" s="91">
        <v>2017</v>
      </c>
      <c r="AF526" s="13" t="s">
        <v>43</v>
      </c>
      <c r="AG526" s="13">
        <v>12000</v>
      </c>
      <c r="AH526" s="45">
        <v>12000</v>
      </c>
      <c r="AI526" s="44" t="s">
        <v>460</v>
      </c>
      <c r="AJ526" s="2" t="s">
        <v>461</v>
      </c>
      <c r="AK526" s="46" t="s">
        <v>457</v>
      </c>
      <c r="AL526" s="55" t="s">
        <v>1031</v>
      </c>
      <c r="AM526" s="45" t="s">
        <v>1031</v>
      </c>
      <c r="AN526" s="56" t="s">
        <v>142</v>
      </c>
      <c r="AO526" s="23" t="s">
        <v>146</v>
      </c>
      <c r="AP526" s="11"/>
      <c r="AQ526" s="88" t="s">
        <v>459</v>
      </c>
      <c r="AR526" s="57" t="s">
        <v>40</v>
      </c>
      <c r="AS526" s="46">
        <v>42828.540729166663</v>
      </c>
      <c r="AT526" s="3">
        <f t="shared" si="7"/>
        <v>349</v>
      </c>
    </row>
    <row r="527" spans="8:46" x14ac:dyDescent="0.4">
      <c r="H527" s="59">
        <v>42992.404930555553</v>
      </c>
      <c r="I527" s="43">
        <v>42136</v>
      </c>
      <c r="J527" s="42">
        <v>42144.497013888889</v>
      </c>
      <c r="K527" s="81" t="s">
        <v>49</v>
      </c>
      <c r="L527" t="s">
        <v>49</v>
      </c>
      <c r="M527" t="s">
        <v>336</v>
      </c>
      <c r="N527" s="1" t="s">
        <v>336</v>
      </c>
      <c r="O527" s="1" t="s">
        <v>245</v>
      </c>
      <c r="P527" t="s">
        <v>245</v>
      </c>
      <c r="Q527" s="9" t="s">
        <v>45</v>
      </c>
      <c r="R527" s="82" t="s">
        <v>45</v>
      </c>
      <c r="S527" s="44" t="s">
        <v>52</v>
      </c>
      <c r="T527" s="3" t="s">
        <v>136</v>
      </c>
      <c r="U527" s="2" t="s">
        <v>29</v>
      </c>
      <c r="V527" s="3" t="s">
        <v>29</v>
      </c>
      <c r="W527" s="11" t="s">
        <v>143</v>
      </c>
      <c r="X527" s="3" t="s">
        <v>143</v>
      </c>
      <c r="Y527" s="77" t="s">
        <v>48</v>
      </c>
      <c r="Z527" s="84" t="s">
        <v>1636</v>
      </c>
      <c r="AA527" s="89" t="s">
        <v>28</v>
      </c>
      <c r="AB527" s="90" t="str">
        <f>HYPERLINK(CONCATENATE("https://www.ejacket.nsf.gov/ej/showProposal.do?ID=",SUBSTITUTE(SplitQueryTableRecent[[#This Row],[prop_id]],CHAR(160),"")),"eJ")</f>
        <v>eJ</v>
      </c>
      <c r="AC527" s="89" t="s">
        <v>1510</v>
      </c>
      <c r="AD527" s="3" t="s">
        <v>1636</v>
      </c>
      <c r="AE527" s="91">
        <v>2015</v>
      </c>
      <c r="AF527" s="13" t="s">
        <v>43</v>
      </c>
      <c r="AG527" s="13">
        <v>10800</v>
      </c>
      <c r="AH527" s="45">
        <v>10800</v>
      </c>
      <c r="AI527" s="44" t="s">
        <v>1220</v>
      </c>
      <c r="AJ527" s="2" t="s">
        <v>1221</v>
      </c>
      <c r="AK527" s="46" t="s">
        <v>1735</v>
      </c>
      <c r="AL527" s="55" t="s">
        <v>138</v>
      </c>
      <c r="AM527" s="45" t="s">
        <v>138</v>
      </c>
      <c r="AN527" s="56" t="s">
        <v>142</v>
      </c>
      <c r="AO527" s="23" t="s">
        <v>146</v>
      </c>
      <c r="AP527" s="11" t="s">
        <v>172</v>
      </c>
      <c r="AQ527" s="88" t="s">
        <v>1511</v>
      </c>
      <c r="AR527" s="57" t="s">
        <v>40</v>
      </c>
      <c r="AS527" s="46">
        <v>42151.748344907406</v>
      </c>
      <c r="AT527" s="3">
        <f t="shared" si="7"/>
        <v>350</v>
      </c>
    </row>
    <row r="528" spans="8:46" x14ac:dyDescent="0.4">
      <c r="H528" s="59">
        <v>42992.404930555553</v>
      </c>
      <c r="I528" s="43">
        <v>42137</v>
      </c>
      <c r="J528" s="42">
        <v>42157.456863425927</v>
      </c>
      <c r="K528" s="81" t="s">
        <v>49</v>
      </c>
      <c r="L528" t="s">
        <v>49</v>
      </c>
      <c r="M528" t="s">
        <v>336</v>
      </c>
      <c r="N528" s="1" t="s">
        <v>336</v>
      </c>
      <c r="O528" s="1" t="s">
        <v>337</v>
      </c>
      <c r="P528" t="s">
        <v>337</v>
      </c>
      <c r="Q528" s="9" t="s">
        <v>45</v>
      </c>
      <c r="R528" s="82" t="s">
        <v>45</v>
      </c>
      <c r="S528" s="44" t="s">
        <v>52</v>
      </c>
      <c r="T528" s="3" t="s">
        <v>136</v>
      </c>
      <c r="U528" s="2" t="s">
        <v>29</v>
      </c>
      <c r="V528" s="3" t="s">
        <v>29</v>
      </c>
      <c r="W528" s="11" t="s">
        <v>143</v>
      </c>
      <c r="X528" s="3" t="s">
        <v>143</v>
      </c>
      <c r="Y528" s="77" t="s">
        <v>48</v>
      </c>
      <c r="Z528" s="84" t="s">
        <v>1637</v>
      </c>
      <c r="AA528" s="89" t="s">
        <v>28</v>
      </c>
      <c r="AB528" s="90" t="str">
        <f>HYPERLINK(CONCATENATE("https://www.ejacket.nsf.gov/ej/showProposal.do?ID=",SUBSTITUTE(SplitQueryTableRecent[[#This Row],[prop_id]],CHAR(160),"")),"eJ")</f>
        <v>eJ</v>
      </c>
      <c r="AC528" s="89" t="s">
        <v>1576</v>
      </c>
      <c r="AD528" s="3" t="s">
        <v>1637</v>
      </c>
      <c r="AE528" s="91">
        <v>2015</v>
      </c>
      <c r="AF528" s="13" t="s">
        <v>43</v>
      </c>
      <c r="AG528" s="13">
        <v>8000</v>
      </c>
      <c r="AH528" s="45">
        <v>8000</v>
      </c>
      <c r="AI528" s="44" t="s">
        <v>1232</v>
      </c>
      <c r="AJ528" s="2" t="s">
        <v>933</v>
      </c>
      <c r="AK528" s="46" t="s">
        <v>313</v>
      </c>
      <c r="AL528" s="55" t="s">
        <v>138</v>
      </c>
      <c r="AM528" s="45" t="s">
        <v>138</v>
      </c>
      <c r="AN528" s="56" t="s">
        <v>142</v>
      </c>
      <c r="AO528" s="23" t="s">
        <v>146</v>
      </c>
      <c r="AP528" s="11"/>
      <c r="AQ528" s="88" t="s">
        <v>1577</v>
      </c>
      <c r="AR528" s="57" t="s">
        <v>40</v>
      </c>
      <c r="AS528" s="46">
        <v>42159.614490740743</v>
      </c>
      <c r="AT528" s="3">
        <f t="shared" si="7"/>
        <v>351</v>
      </c>
    </row>
    <row r="529" spans="8:46" x14ac:dyDescent="0.4">
      <c r="H529" s="59">
        <v>42992.404930555553</v>
      </c>
      <c r="I529" s="43">
        <v>42845</v>
      </c>
      <c r="J529" s="42">
        <v>42906.271296296298</v>
      </c>
      <c r="K529" s="81" t="s">
        <v>49</v>
      </c>
      <c r="L529" t="s">
        <v>49</v>
      </c>
      <c r="M529" t="s">
        <v>336</v>
      </c>
      <c r="N529" s="1" t="s">
        <v>336</v>
      </c>
      <c r="O529" s="1" t="s">
        <v>337</v>
      </c>
      <c r="P529" t="s">
        <v>337</v>
      </c>
      <c r="Q529" s="9" t="s">
        <v>45</v>
      </c>
      <c r="R529" s="82" t="s">
        <v>45</v>
      </c>
      <c r="S529" s="44" t="s">
        <v>1615</v>
      </c>
      <c r="T529" s="3" t="s">
        <v>136</v>
      </c>
      <c r="U529" s="2" t="s">
        <v>29</v>
      </c>
      <c r="V529" s="3" t="s">
        <v>29</v>
      </c>
      <c r="W529" s="11" t="s">
        <v>143</v>
      </c>
      <c r="X529" s="3" t="s">
        <v>143</v>
      </c>
      <c r="Y529" s="77" t="s">
        <v>48</v>
      </c>
      <c r="Z529" s="84" t="s">
        <v>1638</v>
      </c>
      <c r="AA529" s="89" t="s">
        <v>28</v>
      </c>
      <c r="AB529" s="90" t="str">
        <f>HYPERLINK(CONCATENATE("https://www.ejacket.nsf.gov/ej/showProposal.do?ID=",SUBSTITUTE(SplitQueryTableRecent[[#This Row],[prop_id]],CHAR(160),"")),"eJ")</f>
        <v>eJ</v>
      </c>
      <c r="AC529" s="89" t="s">
        <v>463</v>
      </c>
      <c r="AD529" s="3" t="s">
        <v>1638</v>
      </c>
      <c r="AE529" s="91">
        <v>2017</v>
      </c>
      <c r="AF529" s="13" t="s">
        <v>43</v>
      </c>
      <c r="AG529" s="13">
        <v>16000</v>
      </c>
      <c r="AH529" s="45">
        <v>44600</v>
      </c>
      <c r="AI529" s="44" t="s">
        <v>464</v>
      </c>
      <c r="AJ529" s="2" t="s">
        <v>326</v>
      </c>
      <c r="AK529" s="46" t="s">
        <v>465</v>
      </c>
      <c r="AL529" s="55" t="s">
        <v>1031</v>
      </c>
      <c r="AM529" s="45" t="s">
        <v>1031</v>
      </c>
      <c r="AN529" s="56" t="s">
        <v>142</v>
      </c>
      <c r="AO529" s="23" t="s">
        <v>146</v>
      </c>
      <c r="AP529" s="11"/>
      <c r="AQ529" s="88" t="s">
        <v>1639</v>
      </c>
      <c r="AR529" s="57" t="s">
        <v>188</v>
      </c>
      <c r="AS529" s="46">
        <v>42912.415416666663</v>
      </c>
      <c r="AT529" s="3">
        <f t="shared" si="7"/>
        <v>352</v>
      </c>
    </row>
    <row r="530" spans="8:46" x14ac:dyDescent="0.4">
      <c r="H530" s="59">
        <v>42992.404930555553</v>
      </c>
      <c r="I530" s="43">
        <v>42439</v>
      </c>
      <c r="J530" s="42">
        <v>42507.396805555552</v>
      </c>
      <c r="K530" s="81" t="s">
        <v>49</v>
      </c>
      <c r="L530" t="s">
        <v>49</v>
      </c>
      <c r="M530" t="s">
        <v>336</v>
      </c>
      <c r="N530" s="1" t="s">
        <v>336</v>
      </c>
      <c r="O530" s="1" t="s">
        <v>230</v>
      </c>
      <c r="P530" t="s">
        <v>230</v>
      </c>
      <c r="Q530" s="9" t="s">
        <v>45</v>
      </c>
      <c r="R530" s="82" t="s">
        <v>45</v>
      </c>
      <c r="S530" s="44" t="s">
        <v>186</v>
      </c>
      <c r="T530" s="3" t="s">
        <v>136</v>
      </c>
      <c r="U530" s="2" t="s">
        <v>29</v>
      </c>
      <c r="V530" s="3" t="s">
        <v>29</v>
      </c>
      <c r="W530" s="11" t="s">
        <v>143</v>
      </c>
      <c r="X530" s="3" t="s">
        <v>143</v>
      </c>
      <c r="Y530" s="77" t="s">
        <v>48</v>
      </c>
      <c r="Z530" s="84" t="s">
        <v>1640</v>
      </c>
      <c r="AA530" s="89" t="s">
        <v>28</v>
      </c>
      <c r="AB530" s="90" t="str">
        <f>HYPERLINK(CONCATENATE("https://www.ejacket.nsf.gov/ej/showProposal.do?ID=",SUBSTITUTE(SplitQueryTableRecent[[#This Row],[prop_id]],CHAR(160),"")),"eJ")</f>
        <v>eJ</v>
      </c>
      <c r="AC530" s="89" t="s">
        <v>1579</v>
      </c>
      <c r="AD530" s="3" t="s">
        <v>1640</v>
      </c>
      <c r="AE530" s="91">
        <v>2016</v>
      </c>
      <c r="AF530" s="13" t="s">
        <v>43</v>
      </c>
      <c r="AG530" s="13">
        <v>8200</v>
      </c>
      <c r="AH530" s="45">
        <v>8200</v>
      </c>
      <c r="AI530" s="44" t="s">
        <v>1444</v>
      </c>
      <c r="AJ530" s="2" t="s">
        <v>277</v>
      </c>
      <c r="AK530" s="46" t="s">
        <v>1714</v>
      </c>
      <c r="AL530" s="55" t="s">
        <v>854</v>
      </c>
      <c r="AM530" s="45" t="s">
        <v>854</v>
      </c>
      <c r="AN530" s="56" t="s">
        <v>142</v>
      </c>
      <c r="AO530" s="23" t="s">
        <v>146</v>
      </c>
      <c r="AP530" s="11"/>
      <c r="AQ530" s="88" t="s">
        <v>1580</v>
      </c>
      <c r="AR530" s="57" t="s">
        <v>193</v>
      </c>
      <c r="AS530" s="46">
        <v>42515.478310185186</v>
      </c>
      <c r="AT530" s="3">
        <f t="shared" si="7"/>
        <v>353</v>
      </c>
    </row>
    <row r="531" spans="8:46" x14ac:dyDescent="0.4">
      <c r="H531" s="59">
        <v>42992.404930555553</v>
      </c>
      <c r="I531" s="43">
        <v>42831</v>
      </c>
      <c r="J531" s="42">
        <v>42850.364444444444</v>
      </c>
      <c r="K531" s="81" t="s">
        <v>49</v>
      </c>
      <c r="L531" t="s">
        <v>49</v>
      </c>
      <c r="M531" t="s">
        <v>336</v>
      </c>
      <c r="N531" s="1" t="s">
        <v>336</v>
      </c>
      <c r="O531" s="1" t="s">
        <v>230</v>
      </c>
      <c r="P531" t="s">
        <v>230</v>
      </c>
      <c r="Q531" s="9" t="s">
        <v>45</v>
      </c>
      <c r="R531" s="82" t="s">
        <v>45</v>
      </c>
      <c r="S531" s="44" t="s">
        <v>1615</v>
      </c>
      <c r="T531" s="3" t="s">
        <v>136</v>
      </c>
      <c r="U531" s="2" t="s">
        <v>29</v>
      </c>
      <c r="V531" s="3" t="s">
        <v>29</v>
      </c>
      <c r="W531" s="11" t="s">
        <v>143</v>
      </c>
      <c r="X531" s="3" t="s">
        <v>143</v>
      </c>
      <c r="Y531" s="77" t="s">
        <v>48</v>
      </c>
      <c r="Z531" s="84" t="s">
        <v>1641</v>
      </c>
      <c r="AA531" s="89" t="s">
        <v>28</v>
      </c>
      <c r="AB531" s="90" t="str">
        <f>HYPERLINK(CONCATENATE("https://www.ejacket.nsf.gov/ej/showProposal.do?ID=",SUBSTITUTE(SplitQueryTableRecent[[#This Row],[prop_id]],CHAR(160),"")),"eJ")</f>
        <v>eJ</v>
      </c>
      <c r="AC531" s="89" t="s">
        <v>1642</v>
      </c>
      <c r="AD531" s="3" t="s">
        <v>1641</v>
      </c>
      <c r="AE531" s="91">
        <v>2017</v>
      </c>
      <c r="AF531" s="13" t="s">
        <v>43</v>
      </c>
      <c r="AG531" s="13">
        <v>15000</v>
      </c>
      <c r="AH531" s="45">
        <v>30000</v>
      </c>
      <c r="AI531" s="44" t="s">
        <v>1256</v>
      </c>
      <c r="AJ531" s="2" t="s">
        <v>1224</v>
      </c>
      <c r="AK531" s="46" t="s">
        <v>1715</v>
      </c>
      <c r="AL531" s="55" t="s">
        <v>1644</v>
      </c>
      <c r="AM531" s="45" t="s">
        <v>960</v>
      </c>
      <c r="AN531" s="56" t="s">
        <v>142</v>
      </c>
      <c r="AO531" s="23" t="s">
        <v>146</v>
      </c>
      <c r="AP531" s="11" t="s">
        <v>172</v>
      </c>
      <c r="AQ531" s="88" t="s">
        <v>1643</v>
      </c>
      <c r="AR531" s="57" t="s">
        <v>40</v>
      </c>
      <c r="AS531" s="46">
        <v>42860.429942129631</v>
      </c>
      <c r="AT531" s="3">
        <f t="shared" si="7"/>
        <v>354</v>
      </c>
    </row>
    <row r="532" spans="8:46" x14ac:dyDescent="0.4">
      <c r="H532" s="59">
        <v>42992.404930555553</v>
      </c>
      <c r="I532" s="43">
        <v>42130</v>
      </c>
      <c r="J532" s="42">
        <v>42144.493657407409</v>
      </c>
      <c r="K532" s="81" t="s">
        <v>49</v>
      </c>
      <c r="L532" t="s">
        <v>49</v>
      </c>
      <c r="M532" t="s">
        <v>336</v>
      </c>
      <c r="N532" s="1" t="s">
        <v>336</v>
      </c>
      <c r="O532" s="1" t="s">
        <v>245</v>
      </c>
      <c r="P532" t="s">
        <v>245</v>
      </c>
      <c r="Q532" s="9" t="s">
        <v>45</v>
      </c>
      <c r="R532" s="82" t="s">
        <v>45</v>
      </c>
      <c r="S532" s="44" t="s">
        <v>52</v>
      </c>
      <c r="T532" s="3" t="s">
        <v>136</v>
      </c>
      <c r="U532" s="2" t="s">
        <v>29</v>
      </c>
      <c r="V532" s="3" t="s">
        <v>29</v>
      </c>
      <c r="W532" s="11" t="s">
        <v>143</v>
      </c>
      <c r="X532" s="3" t="s">
        <v>143</v>
      </c>
      <c r="Y532" s="77" t="s">
        <v>48</v>
      </c>
      <c r="Z532" s="84" t="s">
        <v>1645</v>
      </c>
      <c r="AA532" s="89" t="s">
        <v>28</v>
      </c>
      <c r="AB532" s="90" t="str">
        <f>HYPERLINK(CONCATENATE("https://www.ejacket.nsf.gov/ej/showProposal.do?ID=",SUBSTITUTE(SplitQueryTableRecent[[#This Row],[prop_id]],CHAR(160),"")),"eJ")</f>
        <v>eJ</v>
      </c>
      <c r="AC532" s="89" t="s">
        <v>489</v>
      </c>
      <c r="AD532" s="3" t="s">
        <v>1645</v>
      </c>
      <c r="AE532" s="91">
        <v>2015</v>
      </c>
      <c r="AF532" s="13" t="s">
        <v>43</v>
      </c>
      <c r="AG532" s="13">
        <v>16000</v>
      </c>
      <c r="AH532" s="45">
        <v>16000</v>
      </c>
      <c r="AI532" s="44" t="s">
        <v>491</v>
      </c>
      <c r="AJ532" s="2" t="s">
        <v>492</v>
      </c>
      <c r="AK532" s="46" t="s">
        <v>1726</v>
      </c>
      <c r="AL532" s="55" t="s">
        <v>138</v>
      </c>
      <c r="AM532" s="45" t="s">
        <v>138</v>
      </c>
      <c r="AN532" s="56" t="s">
        <v>142</v>
      </c>
      <c r="AO532" s="23" t="s">
        <v>146</v>
      </c>
      <c r="AP532" s="11"/>
      <c r="AQ532" s="88" t="s">
        <v>490</v>
      </c>
      <c r="AR532" s="57" t="s">
        <v>40</v>
      </c>
      <c r="AS532" s="46">
        <v>42150.758287037039</v>
      </c>
      <c r="AT532" s="3">
        <f t="shared" si="7"/>
        <v>355</v>
      </c>
    </row>
    <row r="533" spans="8:46" x14ac:dyDescent="0.4">
      <c r="H533" s="59">
        <v>42992.404930555553</v>
      </c>
      <c r="I533" s="43">
        <v>41386.667361111111</v>
      </c>
      <c r="J533" s="42">
        <v>1</v>
      </c>
      <c r="K533" s="81" t="s">
        <v>49</v>
      </c>
      <c r="L533" t="s">
        <v>49</v>
      </c>
      <c r="M533" t="s">
        <v>336</v>
      </c>
      <c r="N533" s="1" t="s">
        <v>336</v>
      </c>
      <c r="O533" s="1" t="s">
        <v>337</v>
      </c>
      <c r="P533" t="s">
        <v>337</v>
      </c>
      <c r="Q533" s="9" t="s">
        <v>45</v>
      </c>
      <c r="R533" s="82" t="s">
        <v>45</v>
      </c>
      <c r="S533" s="44" t="s">
        <v>545</v>
      </c>
      <c r="T533" s="3" t="s">
        <v>71</v>
      </c>
      <c r="U533" s="2" t="s">
        <v>29</v>
      </c>
      <c r="V533" s="3" t="s">
        <v>29</v>
      </c>
      <c r="W533" s="11" t="s">
        <v>143</v>
      </c>
      <c r="X533" s="3" t="s">
        <v>143</v>
      </c>
      <c r="Y533" s="77" t="s">
        <v>48</v>
      </c>
      <c r="Z533" s="84" t="s">
        <v>1649</v>
      </c>
      <c r="AA533" s="89" t="s">
        <v>28</v>
      </c>
      <c r="AB533" s="90" t="str">
        <f>HYPERLINK(CONCATENATE("https://www.ejacket.nsf.gov/ej/showProposal.do?ID=",SUBSTITUTE(SplitQueryTableRecent[[#This Row],[prop_id]],CHAR(160),"")),"eJ")</f>
        <v>eJ</v>
      </c>
      <c r="AC533" s="89" t="s">
        <v>1649</v>
      </c>
      <c r="AD533" s="3" t="s">
        <v>1649</v>
      </c>
      <c r="AE533" s="91">
        <v>2011</v>
      </c>
      <c r="AF533" s="13" t="s">
        <v>43</v>
      </c>
      <c r="AG533" s="13">
        <v>60178</v>
      </c>
      <c r="AH533" s="45">
        <v>324803</v>
      </c>
      <c r="AI533" s="44" t="s">
        <v>1087</v>
      </c>
      <c r="AJ533" s="2" t="s">
        <v>1071</v>
      </c>
      <c r="AK533" s="46" t="s">
        <v>1739</v>
      </c>
      <c r="AL533" s="55"/>
      <c r="AM533" s="45" t="s">
        <v>1651</v>
      </c>
      <c r="AN533" s="56" t="s">
        <v>142</v>
      </c>
      <c r="AO533" s="23" t="s">
        <v>146</v>
      </c>
      <c r="AP533" s="11"/>
      <c r="AQ533" s="88" t="s">
        <v>1650</v>
      </c>
      <c r="AR533" s="57" t="s">
        <v>161</v>
      </c>
      <c r="AS533" s="46">
        <v>41423.461365740739</v>
      </c>
      <c r="AT533" s="3">
        <f t="shared" si="7"/>
        <v>356</v>
      </c>
    </row>
    <row r="534" spans="8:46" x14ac:dyDescent="0.4">
      <c r="H534" s="59">
        <v>42992.404930555553</v>
      </c>
      <c r="I534" s="43">
        <v>41386.667361111111</v>
      </c>
      <c r="J534" s="42">
        <v>1</v>
      </c>
      <c r="K534" s="81" t="s">
        <v>49</v>
      </c>
      <c r="L534" t="s">
        <v>49</v>
      </c>
      <c r="M534" t="s">
        <v>336</v>
      </c>
      <c r="N534" s="1" t="s">
        <v>336</v>
      </c>
      <c r="O534" s="1" t="s">
        <v>337</v>
      </c>
      <c r="P534" t="s">
        <v>337</v>
      </c>
      <c r="Q534" s="9" t="s">
        <v>45</v>
      </c>
      <c r="R534" s="82" t="s">
        <v>45</v>
      </c>
      <c r="S534" s="44" t="s">
        <v>545</v>
      </c>
      <c r="T534" s="3" t="s">
        <v>71</v>
      </c>
      <c r="U534" s="2" t="s">
        <v>29</v>
      </c>
      <c r="V534" s="3" t="s">
        <v>29</v>
      </c>
      <c r="W534" s="11" t="s">
        <v>143</v>
      </c>
      <c r="X534" s="3" t="s">
        <v>143</v>
      </c>
      <c r="Y534" s="77" t="s">
        <v>48</v>
      </c>
      <c r="Z534" s="84" t="s">
        <v>1649</v>
      </c>
      <c r="AA534" s="89" t="s">
        <v>28</v>
      </c>
      <c r="AB534" s="90" t="str">
        <f>HYPERLINK(CONCATENATE("https://www.ejacket.nsf.gov/ej/showProposal.do?ID=",SUBSTITUTE(SplitQueryTableRecent[[#This Row],[prop_id]],CHAR(160),"")),"eJ")</f>
        <v>eJ</v>
      </c>
      <c r="AC534" s="89" t="s">
        <v>1649</v>
      </c>
      <c r="AD534" s="3" t="s">
        <v>1649</v>
      </c>
      <c r="AE534" s="91">
        <v>2015</v>
      </c>
      <c r="AF534" s="13" t="s">
        <v>43</v>
      </c>
      <c r="AG534" s="13">
        <v>90283</v>
      </c>
      <c r="AH534" s="45">
        <v>324803</v>
      </c>
      <c r="AI534" s="44" t="s">
        <v>1087</v>
      </c>
      <c r="AJ534" s="2" t="s">
        <v>1071</v>
      </c>
      <c r="AK534" s="46" t="s">
        <v>1739</v>
      </c>
      <c r="AL534" s="55"/>
      <c r="AM534" s="45" t="s">
        <v>1651</v>
      </c>
      <c r="AN534" s="56" t="s">
        <v>142</v>
      </c>
      <c r="AO534" s="23" t="s">
        <v>146</v>
      </c>
      <c r="AP534" s="11" t="s">
        <v>172</v>
      </c>
      <c r="AQ534" s="88" t="s">
        <v>1650</v>
      </c>
      <c r="AR534" s="57" t="s">
        <v>1521</v>
      </c>
      <c r="AS534" s="46">
        <v>42158.474930555552</v>
      </c>
      <c r="AT534" s="3">
        <f t="shared" si="7"/>
        <v>356</v>
      </c>
    </row>
    <row r="535" spans="8:46" x14ac:dyDescent="0.4">
      <c r="H535" s="59">
        <v>42992.404930555553</v>
      </c>
      <c r="I535" s="43">
        <v>41386.667361111111</v>
      </c>
      <c r="J535" s="42">
        <v>1</v>
      </c>
      <c r="K535" s="81" t="s">
        <v>49</v>
      </c>
      <c r="L535" t="s">
        <v>49</v>
      </c>
      <c r="M535" t="s">
        <v>336</v>
      </c>
      <c r="N535" s="1" t="s">
        <v>336</v>
      </c>
      <c r="O535" s="1" t="s">
        <v>337</v>
      </c>
      <c r="P535" t="s">
        <v>337</v>
      </c>
      <c r="Q535" s="9" t="s">
        <v>45</v>
      </c>
      <c r="R535" s="82" t="s">
        <v>45</v>
      </c>
      <c r="S535" s="44" t="s">
        <v>545</v>
      </c>
      <c r="T535" s="3" t="s">
        <v>71</v>
      </c>
      <c r="U535" s="2" t="s">
        <v>29</v>
      </c>
      <c r="V535" s="3" t="s">
        <v>29</v>
      </c>
      <c r="W535" s="11" t="s">
        <v>143</v>
      </c>
      <c r="X535" s="3" t="s">
        <v>143</v>
      </c>
      <c r="Y535" s="77" t="s">
        <v>48</v>
      </c>
      <c r="Z535" s="84" t="s">
        <v>1649</v>
      </c>
      <c r="AA535" s="89" t="s">
        <v>28</v>
      </c>
      <c r="AB535" s="90" t="str">
        <f>HYPERLINK(CONCATENATE("https://www.ejacket.nsf.gov/ej/showProposal.do?ID=",SUBSTITUTE(SplitQueryTableRecent[[#This Row],[prop_id]],CHAR(160),"")),"eJ")</f>
        <v>eJ</v>
      </c>
      <c r="AC535" s="89" t="s">
        <v>1649</v>
      </c>
      <c r="AD535" s="3" t="s">
        <v>1649</v>
      </c>
      <c r="AE535" s="91">
        <v>2013</v>
      </c>
      <c r="AF535" s="13" t="s">
        <v>44</v>
      </c>
      <c r="AG535" s="13">
        <v>174056</v>
      </c>
      <c r="AH535" s="45">
        <v>324803</v>
      </c>
      <c r="AI535" s="44" t="s">
        <v>1087</v>
      </c>
      <c r="AJ535" s="2" t="s">
        <v>1071</v>
      </c>
      <c r="AK535" s="46" t="s">
        <v>1739</v>
      </c>
      <c r="AL535" s="55"/>
      <c r="AM535" s="45" t="s">
        <v>1651</v>
      </c>
      <c r="AN535" s="56" t="s">
        <v>142</v>
      </c>
      <c r="AO535" s="23" t="s">
        <v>146</v>
      </c>
      <c r="AP535" s="11"/>
      <c r="AQ535" s="88" t="s">
        <v>1650</v>
      </c>
      <c r="AR535" s="57" t="s">
        <v>161</v>
      </c>
      <c r="AS535" s="46">
        <v>41423.461365740739</v>
      </c>
      <c r="AT535" s="3">
        <f t="shared" si="7"/>
        <v>356</v>
      </c>
    </row>
    <row r="536" spans="8:46" x14ac:dyDescent="0.4">
      <c r="H536" s="59">
        <v>42992.404930555553</v>
      </c>
      <c r="I536" s="43">
        <v>41257.643750000003</v>
      </c>
      <c r="J536" s="42">
        <v>1</v>
      </c>
      <c r="K536" s="81" t="s">
        <v>49</v>
      </c>
      <c r="L536" t="s">
        <v>49</v>
      </c>
      <c r="M536" t="s">
        <v>336</v>
      </c>
      <c r="N536" s="1" t="s">
        <v>336</v>
      </c>
      <c r="O536" s="1" t="s">
        <v>245</v>
      </c>
      <c r="P536" t="s">
        <v>245</v>
      </c>
      <c r="Q536" s="9" t="s">
        <v>45</v>
      </c>
      <c r="R536" s="82" t="s">
        <v>45</v>
      </c>
      <c r="S536" s="44" t="s">
        <v>545</v>
      </c>
      <c r="T536" s="3" t="s">
        <v>71</v>
      </c>
      <c r="U536" s="2" t="s">
        <v>29</v>
      </c>
      <c r="V536" s="3" t="s">
        <v>29</v>
      </c>
      <c r="W536" s="11" t="s">
        <v>143</v>
      </c>
      <c r="X536" s="3" t="s">
        <v>143</v>
      </c>
      <c r="Y536" s="77" t="s">
        <v>48</v>
      </c>
      <c r="Z536" s="84" t="s">
        <v>1659</v>
      </c>
      <c r="AA536" s="89" t="s">
        <v>28</v>
      </c>
      <c r="AB536" s="90" t="str">
        <f>HYPERLINK(CONCATENATE("https://www.ejacket.nsf.gov/ej/showProposal.do?ID=",SUBSTITUTE(SplitQueryTableRecent[[#This Row],[prop_id]],CHAR(160),"")),"eJ")</f>
        <v>eJ</v>
      </c>
      <c r="AC536" s="89" t="s">
        <v>1659</v>
      </c>
      <c r="AD536" s="3" t="s">
        <v>1659</v>
      </c>
      <c r="AE536" s="91">
        <v>2011</v>
      </c>
      <c r="AF536" s="13" t="s">
        <v>43</v>
      </c>
      <c r="AG536" s="13">
        <v>168302</v>
      </c>
      <c r="AH536" s="45">
        <v>390988</v>
      </c>
      <c r="AI536" s="44" t="s">
        <v>1169</v>
      </c>
      <c r="AJ536" s="2" t="s">
        <v>1170</v>
      </c>
      <c r="AK536" s="46" t="s">
        <v>1751</v>
      </c>
      <c r="AL536" s="55" t="s">
        <v>1487</v>
      </c>
      <c r="AM536" s="45" t="s">
        <v>1661</v>
      </c>
      <c r="AN536" s="56" t="s">
        <v>142</v>
      </c>
      <c r="AO536" s="23" t="s">
        <v>146</v>
      </c>
      <c r="AP536" s="11"/>
      <c r="AQ536" s="88" t="s">
        <v>1660</v>
      </c>
      <c r="AR536" s="57" t="s">
        <v>161</v>
      </c>
      <c r="AS536" s="46">
        <v>41263.581597222219</v>
      </c>
      <c r="AT536" s="3">
        <f t="shared" si="7"/>
        <v>357</v>
      </c>
    </row>
    <row r="537" spans="8:46" x14ac:dyDescent="0.4">
      <c r="H537" s="59">
        <v>42992.404930555553</v>
      </c>
      <c r="I537" s="43">
        <v>41257.643750000003</v>
      </c>
      <c r="J537" s="42">
        <v>1</v>
      </c>
      <c r="K537" s="81" t="s">
        <v>49</v>
      </c>
      <c r="L537" t="s">
        <v>49</v>
      </c>
      <c r="M537" t="s">
        <v>336</v>
      </c>
      <c r="N537" s="1" t="s">
        <v>336</v>
      </c>
      <c r="O537" s="1" t="s">
        <v>245</v>
      </c>
      <c r="P537" t="s">
        <v>337</v>
      </c>
      <c r="Q537" s="9" t="s">
        <v>45</v>
      </c>
      <c r="R537" s="82" t="s">
        <v>45</v>
      </c>
      <c r="S537" s="44" t="s">
        <v>545</v>
      </c>
      <c r="T537" s="3" t="s">
        <v>71</v>
      </c>
      <c r="U537" s="2" t="s">
        <v>29</v>
      </c>
      <c r="V537" s="3" t="s">
        <v>29</v>
      </c>
      <c r="W537" s="11" t="s">
        <v>143</v>
      </c>
      <c r="X537" s="3" t="s">
        <v>143</v>
      </c>
      <c r="Y537" s="77" t="s">
        <v>48</v>
      </c>
      <c r="Z537" s="84" t="s">
        <v>1659</v>
      </c>
      <c r="AA537" s="89" t="s">
        <v>28</v>
      </c>
      <c r="AB537" s="90" t="str">
        <f>HYPERLINK(CONCATENATE("https://www.ejacket.nsf.gov/ej/showProposal.do?ID=",SUBSTITUTE(SplitQueryTableRecent[[#This Row],[prop_id]],CHAR(160),"")),"eJ")</f>
        <v>eJ</v>
      </c>
      <c r="AC537" s="89" t="s">
        <v>1659</v>
      </c>
      <c r="AD537" s="3" t="s">
        <v>1659</v>
      </c>
      <c r="AE537" s="91">
        <v>2013</v>
      </c>
      <c r="AF537" s="13" t="s">
        <v>43</v>
      </c>
      <c r="AG537" s="13">
        <v>168155</v>
      </c>
      <c r="AH537" s="45">
        <v>390988</v>
      </c>
      <c r="AI537" s="44" t="s">
        <v>1169</v>
      </c>
      <c r="AJ537" s="2" t="s">
        <v>1170</v>
      </c>
      <c r="AK537" s="46" t="s">
        <v>1751</v>
      </c>
      <c r="AL537" s="55" t="s">
        <v>1487</v>
      </c>
      <c r="AM537" s="45" t="s">
        <v>1661</v>
      </c>
      <c r="AN537" s="56" t="s">
        <v>142</v>
      </c>
      <c r="AO537" s="23" t="s">
        <v>146</v>
      </c>
      <c r="AP537" s="11" t="s">
        <v>172</v>
      </c>
      <c r="AQ537" s="88" t="s">
        <v>1660</v>
      </c>
      <c r="AR537" s="57" t="s">
        <v>1514</v>
      </c>
      <c r="AS537" s="46">
        <v>41379.360462962963</v>
      </c>
      <c r="AT537" s="3">
        <f t="shared" si="7"/>
        <v>357</v>
      </c>
    </row>
    <row r="538" spans="8:46" x14ac:dyDescent="0.4">
      <c r="H538" s="59">
        <v>42992.404930555553</v>
      </c>
      <c r="I538" s="43">
        <v>41257.643750000003</v>
      </c>
      <c r="J538" s="42">
        <v>1</v>
      </c>
      <c r="K538" s="81" t="s">
        <v>49</v>
      </c>
      <c r="L538" t="s">
        <v>49</v>
      </c>
      <c r="M538" t="s">
        <v>336</v>
      </c>
      <c r="N538" s="1" t="s">
        <v>336</v>
      </c>
      <c r="O538" s="1" t="s">
        <v>245</v>
      </c>
      <c r="P538" t="s">
        <v>337</v>
      </c>
      <c r="Q538" s="9" t="s">
        <v>45</v>
      </c>
      <c r="R538" s="82" t="s">
        <v>45</v>
      </c>
      <c r="S538" s="44" t="s">
        <v>545</v>
      </c>
      <c r="T538" s="3" t="s">
        <v>71</v>
      </c>
      <c r="U538" s="2" t="s">
        <v>29</v>
      </c>
      <c r="V538" s="3" t="s">
        <v>29</v>
      </c>
      <c r="W538" s="11" t="s">
        <v>143</v>
      </c>
      <c r="X538" s="3" t="s">
        <v>143</v>
      </c>
      <c r="Y538" s="77" t="s">
        <v>48</v>
      </c>
      <c r="Z538" s="84" t="s">
        <v>1659</v>
      </c>
      <c r="AA538" s="89" t="s">
        <v>28</v>
      </c>
      <c r="AB538" s="90" t="str">
        <f>HYPERLINK(CONCATENATE("https://www.ejacket.nsf.gov/ej/showProposal.do?ID=",SUBSTITUTE(SplitQueryTableRecent[[#This Row],[prop_id]],CHAR(160),"")),"eJ")</f>
        <v>eJ</v>
      </c>
      <c r="AC538" s="89" t="s">
        <v>1659</v>
      </c>
      <c r="AD538" s="3" t="s">
        <v>1659</v>
      </c>
      <c r="AE538" s="91">
        <v>2015</v>
      </c>
      <c r="AF538" s="13" t="s">
        <v>43</v>
      </c>
      <c r="AG538" s="13">
        <v>54531</v>
      </c>
      <c r="AH538" s="45">
        <v>390988</v>
      </c>
      <c r="AI538" s="44" t="s">
        <v>1169</v>
      </c>
      <c r="AJ538" s="2" t="s">
        <v>1170</v>
      </c>
      <c r="AK538" s="46" t="s">
        <v>1751</v>
      </c>
      <c r="AL538" s="55" t="s">
        <v>1487</v>
      </c>
      <c r="AM538" s="45" t="s">
        <v>1661</v>
      </c>
      <c r="AN538" s="56" t="s">
        <v>142</v>
      </c>
      <c r="AO538" s="23" t="s">
        <v>146</v>
      </c>
      <c r="AP538" s="11" t="s">
        <v>172</v>
      </c>
      <c r="AQ538" s="88" t="s">
        <v>1660</v>
      </c>
      <c r="AR538" s="57" t="s">
        <v>1514</v>
      </c>
      <c r="AS538" s="46">
        <v>42103.676620370374</v>
      </c>
      <c r="AT538" s="3">
        <f t="shared" ref="AT538:AT601" si="8">IF(AD538=AD537,AT537,AT537+1)</f>
        <v>357</v>
      </c>
    </row>
    <row r="539" spans="8:46" x14ac:dyDescent="0.4">
      <c r="H539" s="59">
        <v>42992.404930555553</v>
      </c>
      <c r="I539" s="43">
        <v>41521</v>
      </c>
      <c r="J539" s="42">
        <v>1</v>
      </c>
      <c r="K539" s="81" t="s">
        <v>49</v>
      </c>
      <c r="L539" t="s">
        <v>49</v>
      </c>
      <c r="M539" t="s">
        <v>336</v>
      </c>
      <c r="N539" s="1" t="s">
        <v>336</v>
      </c>
      <c r="O539" s="1" t="s">
        <v>337</v>
      </c>
      <c r="P539" t="s">
        <v>337</v>
      </c>
      <c r="Q539" s="9" t="s">
        <v>45</v>
      </c>
      <c r="R539" s="82" t="s">
        <v>45</v>
      </c>
      <c r="S539" s="44" t="s">
        <v>168</v>
      </c>
      <c r="T539" s="3" t="s">
        <v>71</v>
      </c>
      <c r="U539" s="2" t="s">
        <v>29</v>
      </c>
      <c r="V539" s="3" t="s">
        <v>29</v>
      </c>
      <c r="W539" s="11" t="s">
        <v>143</v>
      </c>
      <c r="X539" s="3" t="s">
        <v>143</v>
      </c>
      <c r="Y539" s="77" t="s">
        <v>48</v>
      </c>
      <c r="Z539" s="84" t="s">
        <v>1662</v>
      </c>
      <c r="AA539" s="89" t="s">
        <v>28</v>
      </c>
      <c r="AB539" s="90" t="str">
        <f>HYPERLINK(CONCATENATE("https://www.ejacket.nsf.gov/ej/showProposal.do?ID=",SUBSTITUTE(SplitQueryTableRecent[[#This Row],[prop_id]],CHAR(160),"")),"eJ")</f>
        <v>eJ</v>
      </c>
      <c r="AC539" s="89" t="s">
        <v>1662</v>
      </c>
      <c r="AD539" s="3" t="s">
        <v>1662</v>
      </c>
      <c r="AE539" s="91">
        <v>2012</v>
      </c>
      <c r="AF539" s="13" t="s">
        <v>43</v>
      </c>
      <c r="AG539" s="13">
        <v>84061</v>
      </c>
      <c r="AH539" s="45">
        <v>356249</v>
      </c>
      <c r="AI539" s="44" t="s">
        <v>1664</v>
      </c>
      <c r="AJ539" s="2" t="s">
        <v>276</v>
      </c>
      <c r="AK539" s="46" t="s">
        <v>1710</v>
      </c>
      <c r="AL539" s="55"/>
      <c r="AM539" s="45" t="s">
        <v>426</v>
      </c>
      <c r="AN539" s="56" t="s">
        <v>142</v>
      </c>
      <c r="AO539" s="23" t="s">
        <v>146</v>
      </c>
      <c r="AP539" s="11"/>
      <c r="AQ539" s="88" t="s">
        <v>1663</v>
      </c>
      <c r="AR539" s="57" t="s">
        <v>161</v>
      </c>
      <c r="AS539" s="46">
        <v>41530.35361111111</v>
      </c>
      <c r="AT539" s="3">
        <f t="shared" si="8"/>
        <v>358</v>
      </c>
    </row>
    <row r="540" spans="8:46" x14ac:dyDescent="0.4">
      <c r="H540" s="59">
        <v>42992.404930555553</v>
      </c>
      <c r="I540" s="43">
        <v>41521</v>
      </c>
      <c r="J540" s="42">
        <v>1</v>
      </c>
      <c r="K540" s="81" t="s">
        <v>49</v>
      </c>
      <c r="L540" t="s">
        <v>49</v>
      </c>
      <c r="M540" t="s">
        <v>336</v>
      </c>
      <c r="N540" s="1" t="s">
        <v>336</v>
      </c>
      <c r="O540" s="1" t="s">
        <v>337</v>
      </c>
      <c r="P540" t="s">
        <v>337</v>
      </c>
      <c r="Q540" s="9" t="s">
        <v>45</v>
      </c>
      <c r="R540" s="82" t="s">
        <v>45</v>
      </c>
      <c r="S540" s="44" t="s">
        <v>168</v>
      </c>
      <c r="T540" s="3" t="s">
        <v>71</v>
      </c>
      <c r="U540" s="2" t="s">
        <v>29</v>
      </c>
      <c r="V540" s="3" t="s">
        <v>29</v>
      </c>
      <c r="W540" s="11" t="s">
        <v>143</v>
      </c>
      <c r="X540" s="3" t="s">
        <v>143</v>
      </c>
      <c r="Y540" s="77" t="s">
        <v>48</v>
      </c>
      <c r="Z540" s="84" t="s">
        <v>1662</v>
      </c>
      <c r="AA540" s="89" t="s">
        <v>28</v>
      </c>
      <c r="AB540" s="90" t="str">
        <f>HYPERLINK(CONCATENATE("https://www.ejacket.nsf.gov/ej/showProposal.do?ID=",SUBSTITUTE(SplitQueryTableRecent[[#This Row],[prop_id]],CHAR(160),"")),"eJ")</f>
        <v>eJ</v>
      </c>
      <c r="AC540" s="89" t="s">
        <v>1662</v>
      </c>
      <c r="AD540" s="3" t="s">
        <v>1662</v>
      </c>
      <c r="AE540" s="91">
        <v>2014</v>
      </c>
      <c r="AF540" s="13" t="s">
        <v>43</v>
      </c>
      <c r="AG540" s="13">
        <v>185052</v>
      </c>
      <c r="AH540" s="45">
        <v>356249</v>
      </c>
      <c r="AI540" s="44" t="s">
        <v>1664</v>
      </c>
      <c r="AJ540" s="2" t="s">
        <v>276</v>
      </c>
      <c r="AK540" s="46" t="s">
        <v>1710</v>
      </c>
      <c r="AL540" s="55"/>
      <c r="AM540" s="45" t="s">
        <v>426</v>
      </c>
      <c r="AN540" s="56" t="s">
        <v>142</v>
      </c>
      <c r="AO540" s="23" t="s">
        <v>146</v>
      </c>
      <c r="AP540" s="11" t="s">
        <v>172</v>
      </c>
      <c r="AQ540" s="88" t="s">
        <v>1663</v>
      </c>
      <c r="AR540" s="57" t="s">
        <v>1521</v>
      </c>
      <c r="AS540" s="46">
        <v>41801.385868055557</v>
      </c>
      <c r="AT540" s="3">
        <f t="shared" si="8"/>
        <v>358</v>
      </c>
    </row>
    <row r="541" spans="8:46" x14ac:dyDescent="0.4">
      <c r="H541" s="59">
        <v>42992.404930555553</v>
      </c>
      <c r="I541" s="43">
        <v>41521</v>
      </c>
      <c r="J541" s="42">
        <v>1</v>
      </c>
      <c r="K541" s="81" t="s">
        <v>49</v>
      </c>
      <c r="L541" t="s">
        <v>49</v>
      </c>
      <c r="M541" t="s">
        <v>336</v>
      </c>
      <c r="N541" s="1" t="s">
        <v>336</v>
      </c>
      <c r="O541" s="1" t="s">
        <v>337</v>
      </c>
      <c r="P541" t="s">
        <v>337</v>
      </c>
      <c r="Q541" s="9" t="s">
        <v>45</v>
      </c>
      <c r="R541" s="82" t="s">
        <v>45</v>
      </c>
      <c r="S541" s="44" t="s">
        <v>168</v>
      </c>
      <c r="T541" s="3" t="s">
        <v>71</v>
      </c>
      <c r="U541" s="2" t="s">
        <v>29</v>
      </c>
      <c r="V541" s="3" t="s">
        <v>29</v>
      </c>
      <c r="W541" s="11" t="s">
        <v>143</v>
      </c>
      <c r="X541" s="3" t="s">
        <v>143</v>
      </c>
      <c r="Y541" s="77" t="s">
        <v>48</v>
      </c>
      <c r="Z541" s="84" t="s">
        <v>1662</v>
      </c>
      <c r="AA541" s="89" t="s">
        <v>28</v>
      </c>
      <c r="AB541" s="90" t="str">
        <f>HYPERLINK(CONCATENATE("https://www.ejacket.nsf.gov/ej/showProposal.do?ID=",SUBSTITUTE(SplitQueryTableRecent[[#This Row],[prop_id]],CHAR(160),"")),"eJ")</f>
        <v>eJ</v>
      </c>
      <c r="AC541" s="89" t="s">
        <v>1662</v>
      </c>
      <c r="AD541" s="3" t="s">
        <v>1662</v>
      </c>
      <c r="AE541" s="91">
        <v>2016</v>
      </c>
      <c r="AF541" s="13" t="s">
        <v>43</v>
      </c>
      <c r="AG541" s="13">
        <v>87136</v>
      </c>
      <c r="AH541" s="45">
        <v>356249</v>
      </c>
      <c r="AI541" s="44" t="s">
        <v>1664</v>
      </c>
      <c r="AJ541" s="2" t="s">
        <v>276</v>
      </c>
      <c r="AK541" s="46" t="s">
        <v>1710</v>
      </c>
      <c r="AL541" s="55"/>
      <c r="AM541" s="45" t="s">
        <v>426</v>
      </c>
      <c r="AN541" s="56" t="s">
        <v>142</v>
      </c>
      <c r="AO541" s="23" t="s">
        <v>146</v>
      </c>
      <c r="AP541" s="11" t="s">
        <v>172</v>
      </c>
      <c r="AQ541" s="88" t="s">
        <v>1663</v>
      </c>
      <c r="AR541" s="57" t="s">
        <v>1521</v>
      </c>
      <c r="AS541" s="46">
        <v>42577.417048611111</v>
      </c>
      <c r="AT541" s="3">
        <f t="shared" si="8"/>
        <v>358</v>
      </c>
    </row>
    <row r="542" spans="8:46" x14ac:dyDescent="0.4">
      <c r="H542" s="59">
        <v>42992.404930555553</v>
      </c>
      <c r="I542" s="43">
        <v>42342</v>
      </c>
      <c r="J542" s="42">
        <v>1</v>
      </c>
      <c r="K542" s="81" t="s">
        <v>49</v>
      </c>
      <c r="L542" t="s">
        <v>49</v>
      </c>
      <c r="M542" t="s">
        <v>336</v>
      </c>
      <c r="N542" s="1" t="s">
        <v>336</v>
      </c>
      <c r="O542" s="1" t="s">
        <v>245</v>
      </c>
      <c r="P542" t="s">
        <v>245</v>
      </c>
      <c r="Q542" s="9" t="s">
        <v>45</v>
      </c>
      <c r="R542" s="82" t="s">
        <v>45</v>
      </c>
      <c r="S542" s="44" t="s">
        <v>190</v>
      </c>
      <c r="T542" s="3" t="s">
        <v>71</v>
      </c>
      <c r="U542" s="2" t="s">
        <v>29</v>
      </c>
      <c r="V542" s="3" t="s">
        <v>29</v>
      </c>
      <c r="W542" s="11" t="s">
        <v>143</v>
      </c>
      <c r="X542" s="3" t="s">
        <v>143</v>
      </c>
      <c r="Y542" s="77" t="s">
        <v>48</v>
      </c>
      <c r="Z542" s="84" t="s">
        <v>1665</v>
      </c>
      <c r="AA542" s="89" t="s">
        <v>28</v>
      </c>
      <c r="AB542" s="90" t="str">
        <f>HYPERLINK(CONCATENATE("https://www.ejacket.nsf.gov/ej/showProposal.do?ID=",SUBSTITUTE(SplitQueryTableRecent[[#This Row],[prop_id]],CHAR(160),"")),"eJ")</f>
        <v>eJ</v>
      </c>
      <c r="AC542" s="89" t="s">
        <v>1665</v>
      </c>
      <c r="AD542" s="3" t="s">
        <v>1665</v>
      </c>
      <c r="AE542" s="91">
        <v>2015</v>
      </c>
      <c r="AF542" s="13" t="s">
        <v>43</v>
      </c>
      <c r="AG542" s="13">
        <v>182594</v>
      </c>
      <c r="AH542" s="45">
        <v>425429</v>
      </c>
      <c r="AI542" s="44" t="s">
        <v>551</v>
      </c>
      <c r="AJ542" s="2" t="s">
        <v>552</v>
      </c>
      <c r="AK542" s="46" t="s">
        <v>1736</v>
      </c>
      <c r="AL542" s="55" t="s">
        <v>549</v>
      </c>
      <c r="AM542" s="45" t="s">
        <v>481</v>
      </c>
      <c r="AN542" s="56" t="s">
        <v>142</v>
      </c>
      <c r="AO542" s="23" t="s">
        <v>146</v>
      </c>
      <c r="AP542" s="11"/>
      <c r="AQ542" s="88" t="s">
        <v>1573</v>
      </c>
      <c r="AR542" s="57" t="s">
        <v>188</v>
      </c>
      <c r="AS542" s="46">
        <v>42380.528900462959</v>
      </c>
      <c r="AT542" s="3">
        <f t="shared" si="8"/>
        <v>359</v>
      </c>
    </row>
    <row r="543" spans="8:46" x14ac:dyDescent="0.4">
      <c r="H543" s="59">
        <v>42992.404930555553</v>
      </c>
      <c r="I543" s="43">
        <v>42342</v>
      </c>
      <c r="J543" s="42">
        <v>1</v>
      </c>
      <c r="K543" s="81" t="s">
        <v>49</v>
      </c>
      <c r="L543" t="s">
        <v>49</v>
      </c>
      <c r="M543" t="s">
        <v>336</v>
      </c>
      <c r="N543" s="1" t="s">
        <v>336</v>
      </c>
      <c r="O543" s="1" t="s">
        <v>245</v>
      </c>
      <c r="P543" t="s">
        <v>245</v>
      </c>
      <c r="Q543" s="9" t="s">
        <v>45</v>
      </c>
      <c r="R543" s="82" t="s">
        <v>45</v>
      </c>
      <c r="S543" s="44" t="s">
        <v>190</v>
      </c>
      <c r="T543" s="3" t="s">
        <v>71</v>
      </c>
      <c r="U543" s="2" t="s">
        <v>29</v>
      </c>
      <c r="V543" s="3" t="s">
        <v>29</v>
      </c>
      <c r="W543" s="11" t="s">
        <v>143</v>
      </c>
      <c r="X543" s="3" t="s">
        <v>143</v>
      </c>
      <c r="Y543" s="77" t="s">
        <v>48</v>
      </c>
      <c r="Z543" s="84" t="s">
        <v>1665</v>
      </c>
      <c r="AA543" s="89" t="s">
        <v>28</v>
      </c>
      <c r="AB543" s="90" t="str">
        <f>HYPERLINK(CONCATENATE("https://www.ejacket.nsf.gov/ej/showProposal.do?ID=",SUBSTITUTE(SplitQueryTableRecent[[#This Row],[prop_id]],CHAR(160),"")),"eJ")</f>
        <v>eJ</v>
      </c>
      <c r="AC543" s="89" t="s">
        <v>1665</v>
      </c>
      <c r="AD543" s="3" t="s">
        <v>1665</v>
      </c>
      <c r="AE543" s="91">
        <v>2017</v>
      </c>
      <c r="AF543" s="13" t="s">
        <v>43</v>
      </c>
      <c r="AG543" s="13">
        <v>157113</v>
      </c>
      <c r="AH543" s="45">
        <v>425429</v>
      </c>
      <c r="AI543" s="44" t="s">
        <v>551</v>
      </c>
      <c r="AJ543" s="2" t="s">
        <v>552</v>
      </c>
      <c r="AK543" s="46" t="s">
        <v>1736</v>
      </c>
      <c r="AL543" s="55" t="s">
        <v>549</v>
      </c>
      <c r="AM543" s="45" t="s">
        <v>481</v>
      </c>
      <c r="AN543" s="56" t="s">
        <v>142</v>
      </c>
      <c r="AO543" s="23" t="s">
        <v>146</v>
      </c>
      <c r="AP543" s="11" t="s">
        <v>172</v>
      </c>
      <c r="AQ543" s="88" t="s">
        <v>1573</v>
      </c>
      <c r="AR543" s="57" t="s">
        <v>1504</v>
      </c>
      <c r="AS543" s="46">
        <v>42983.572199074071</v>
      </c>
      <c r="AT543" s="3">
        <f t="shared" si="8"/>
        <v>359</v>
      </c>
    </row>
    <row r="544" spans="8:46" x14ac:dyDescent="0.4">
      <c r="H544" s="59">
        <v>42992.404930555553</v>
      </c>
      <c r="I544" s="43">
        <v>42342</v>
      </c>
      <c r="J544" s="42">
        <v>1</v>
      </c>
      <c r="K544" s="81" t="s">
        <v>49</v>
      </c>
      <c r="L544" t="s">
        <v>49</v>
      </c>
      <c r="M544" t="s">
        <v>336</v>
      </c>
      <c r="N544" s="1" t="s">
        <v>336</v>
      </c>
      <c r="O544" s="1" t="s">
        <v>245</v>
      </c>
      <c r="P544" t="s">
        <v>245</v>
      </c>
      <c r="Q544" s="9" t="s">
        <v>45</v>
      </c>
      <c r="R544" s="82" t="s">
        <v>45</v>
      </c>
      <c r="S544" s="44" t="s">
        <v>190</v>
      </c>
      <c r="T544" s="3" t="s">
        <v>71</v>
      </c>
      <c r="U544" s="2" t="s">
        <v>29</v>
      </c>
      <c r="V544" s="3" t="s">
        <v>29</v>
      </c>
      <c r="W544" s="11" t="s">
        <v>143</v>
      </c>
      <c r="X544" s="3" t="s">
        <v>143</v>
      </c>
      <c r="Y544" s="77" t="s">
        <v>48</v>
      </c>
      <c r="Z544" s="84" t="s">
        <v>1665</v>
      </c>
      <c r="AA544" s="89" t="s">
        <v>28</v>
      </c>
      <c r="AB544" s="90" t="str">
        <f>HYPERLINK(CONCATENATE("https://www.ejacket.nsf.gov/ej/showProposal.do?ID=",SUBSTITUTE(SplitQueryTableRecent[[#This Row],[prop_id]],CHAR(160),"")),"eJ")</f>
        <v>eJ</v>
      </c>
      <c r="AC544" s="89" t="s">
        <v>1665</v>
      </c>
      <c r="AD544" s="3" t="s">
        <v>1665</v>
      </c>
      <c r="AE544" s="91">
        <v>2019</v>
      </c>
      <c r="AF544" s="13" t="s">
        <v>43</v>
      </c>
      <c r="AG544" s="13">
        <v>85722</v>
      </c>
      <c r="AH544" s="45">
        <v>425429</v>
      </c>
      <c r="AI544" s="44" t="s">
        <v>551</v>
      </c>
      <c r="AJ544" s="2" t="s">
        <v>552</v>
      </c>
      <c r="AK544" s="46" t="s">
        <v>1736</v>
      </c>
      <c r="AL544" s="55" t="s">
        <v>549</v>
      </c>
      <c r="AM544" s="45" t="s">
        <v>481</v>
      </c>
      <c r="AN544" s="56" t="s">
        <v>142</v>
      </c>
      <c r="AO544" s="23" t="s">
        <v>146</v>
      </c>
      <c r="AP544" s="11" t="s">
        <v>205</v>
      </c>
      <c r="AQ544" s="88" t="s">
        <v>1573</v>
      </c>
      <c r="AR544" s="57" t="s">
        <v>188</v>
      </c>
      <c r="AS544" s="46">
        <v>42380.528900462959</v>
      </c>
      <c r="AT544" s="3">
        <f t="shared" si="8"/>
        <v>359</v>
      </c>
    </row>
    <row r="545" spans="8:46" x14ac:dyDescent="0.4">
      <c r="H545" s="59">
        <v>42992.404930555553</v>
      </c>
      <c r="I545" s="43">
        <v>42790</v>
      </c>
      <c r="J545" s="42">
        <v>1</v>
      </c>
      <c r="K545" s="81" t="s">
        <v>49</v>
      </c>
      <c r="L545" t="s">
        <v>49</v>
      </c>
      <c r="M545" t="s">
        <v>336</v>
      </c>
      <c r="N545" s="1" t="s">
        <v>336</v>
      </c>
      <c r="O545" s="1" t="s">
        <v>337</v>
      </c>
      <c r="P545" t="s">
        <v>337</v>
      </c>
      <c r="Q545" s="9" t="s">
        <v>45</v>
      </c>
      <c r="R545" s="82" t="s">
        <v>45</v>
      </c>
      <c r="S545" s="44" t="s">
        <v>168</v>
      </c>
      <c r="T545" s="3" t="s">
        <v>71</v>
      </c>
      <c r="U545" s="2" t="s">
        <v>29</v>
      </c>
      <c r="V545" s="3" t="s">
        <v>29</v>
      </c>
      <c r="W545" s="11" t="s">
        <v>143</v>
      </c>
      <c r="X545" s="3" t="s">
        <v>143</v>
      </c>
      <c r="Y545" s="77" t="s">
        <v>48</v>
      </c>
      <c r="Z545" s="84" t="s">
        <v>1666</v>
      </c>
      <c r="AA545" s="89" t="s">
        <v>28</v>
      </c>
      <c r="AB545" s="90" t="str">
        <f>HYPERLINK(CONCATENATE("https://www.ejacket.nsf.gov/ej/showProposal.do?ID=",SUBSTITUTE(SplitQueryTableRecent[[#This Row],[prop_id]],CHAR(160),"")),"eJ")</f>
        <v>eJ</v>
      </c>
      <c r="AC545" s="89" t="s">
        <v>1666</v>
      </c>
      <c r="AD545" s="3" t="s">
        <v>1666</v>
      </c>
      <c r="AE545" s="91">
        <v>2017</v>
      </c>
      <c r="AF545" s="13" t="s">
        <v>43</v>
      </c>
      <c r="AG545" s="13">
        <v>109833</v>
      </c>
      <c r="AH545" s="45">
        <v>364647</v>
      </c>
      <c r="AI545" s="44" t="s">
        <v>470</v>
      </c>
      <c r="AJ545" s="2" t="s">
        <v>471</v>
      </c>
      <c r="AK545" s="46" t="s">
        <v>1717</v>
      </c>
      <c r="AL545" s="55"/>
      <c r="AM545" s="45" t="s">
        <v>426</v>
      </c>
      <c r="AN545" s="56" t="s">
        <v>142</v>
      </c>
      <c r="AO545" s="23" t="s">
        <v>146</v>
      </c>
      <c r="AP545" s="11" t="s">
        <v>1508</v>
      </c>
      <c r="AQ545" s="88" t="s">
        <v>1667</v>
      </c>
      <c r="AR545" s="57" t="s">
        <v>40</v>
      </c>
      <c r="AS545" s="46">
        <v>42855.581122685187</v>
      </c>
      <c r="AT545" s="3">
        <f t="shared" si="8"/>
        <v>360</v>
      </c>
    </row>
    <row r="546" spans="8:46" x14ac:dyDescent="0.4">
      <c r="H546" s="59">
        <v>42992.404930555553</v>
      </c>
      <c r="I546" s="43">
        <v>42790</v>
      </c>
      <c r="J546" s="42">
        <v>1</v>
      </c>
      <c r="K546" s="81" t="s">
        <v>49</v>
      </c>
      <c r="L546" t="s">
        <v>49</v>
      </c>
      <c r="M546" t="s">
        <v>336</v>
      </c>
      <c r="N546" s="1" t="s">
        <v>336</v>
      </c>
      <c r="O546" s="1" t="s">
        <v>337</v>
      </c>
      <c r="P546" t="s">
        <v>337</v>
      </c>
      <c r="Q546" s="9" t="s">
        <v>45</v>
      </c>
      <c r="R546" s="82" t="s">
        <v>45</v>
      </c>
      <c r="S546" s="44" t="s">
        <v>168</v>
      </c>
      <c r="T546" s="3" t="s">
        <v>71</v>
      </c>
      <c r="U546" s="2" t="s">
        <v>29</v>
      </c>
      <c r="V546" s="3" t="s">
        <v>29</v>
      </c>
      <c r="W546" s="11" t="s">
        <v>143</v>
      </c>
      <c r="X546" s="3" t="s">
        <v>143</v>
      </c>
      <c r="Y546" s="77" t="s">
        <v>48</v>
      </c>
      <c r="Z546" s="84" t="s">
        <v>1666</v>
      </c>
      <c r="AA546" s="89" t="s">
        <v>28</v>
      </c>
      <c r="AB546" s="90" t="str">
        <f>HYPERLINK(CONCATENATE("https://www.ejacket.nsf.gov/ej/showProposal.do?ID=",SUBSTITUTE(SplitQueryTableRecent[[#This Row],[prop_id]],CHAR(160),"")),"eJ")</f>
        <v>eJ</v>
      </c>
      <c r="AC546" s="89" t="s">
        <v>1666</v>
      </c>
      <c r="AD546" s="3" t="s">
        <v>1666</v>
      </c>
      <c r="AE546" s="91">
        <v>2015</v>
      </c>
      <c r="AF546" s="13" t="s">
        <v>44</v>
      </c>
      <c r="AG546" s="13">
        <v>207351</v>
      </c>
      <c r="AH546" s="45">
        <v>364647</v>
      </c>
      <c r="AI546" s="44" t="s">
        <v>470</v>
      </c>
      <c r="AJ546" s="2" t="s">
        <v>471</v>
      </c>
      <c r="AK546" s="46" t="s">
        <v>1717</v>
      </c>
      <c r="AL546" s="55"/>
      <c r="AM546" s="45" t="s">
        <v>426</v>
      </c>
      <c r="AN546" s="56" t="s">
        <v>142</v>
      </c>
      <c r="AO546" s="23" t="s">
        <v>146</v>
      </c>
      <c r="AP546" s="11"/>
      <c r="AQ546" s="88" t="s">
        <v>1667</v>
      </c>
      <c r="AR546" s="57" t="s">
        <v>40</v>
      </c>
      <c r="AS546" s="46">
        <v>42855.581122685187</v>
      </c>
      <c r="AT546" s="3">
        <f t="shared" si="8"/>
        <v>360</v>
      </c>
    </row>
    <row r="547" spans="8:46" x14ac:dyDescent="0.4">
      <c r="H547" s="59">
        <v>42992.404930555553</v>
      </c>
      <c r="I547" s="43">
        <v>42790</v>
      </c>
      <c r="J547" s="42">
        <v>1</v>
      </c>
      <c r="K547" s="81" t="s">
        <v>49</v>
      </c>
      <c r="L547" t="s">
        <v>49</v>
      </c>
      <c r="M547" t="s">
        <v>336</v>
      </c>
      <c r="N547" s="1" t="s">
        <v>336</v>
      </c>
      <c r="O547" s="1" t="s">
        <v>337</v>
      </c>
      <c r="P547" t="s">
        <v>337</v>
      </c>
      <c r="Q547" s="9" t="s">
        <v>45</v>
      </c>
      <c r="R547" s="82" t="s">
        <v>45</v>
      </c>
      <c r="S547" s="44" t="s">
        <v>196</v>
      </c>
      <c r="T547" s="3" t="s">
        <v>71</v>
      </c>
      <c r="U547" s="2" t="s">
        <v>29</v>
      </c>
      <c r="V547" s="3" t="s">
        <v>29</v>
      </c>
      <c r="W547" s="11" t="s">
        <v>143</v>
      </c>
      <c r="X547" s="3" t="s">
        <v>143</v>
      </c>
      <c r="Y547" s="77" t="s">
        <v>48</v>
      </c>
      <c r="Z547" s="84" t="s">
        <v>535</v>
      </c>
      <c r="AA547" s="89" t="s">
        <v>28</v>
      </c>
      <c r="AB547" s="90" t="str">
        <f>HYPERLINK(CONCATENATE("https://www.ejacket.nsf.gov/ej/showProposal.do?ID=",SUBSTITUTE(SplitQueryTableRecent[[#This Row],[prop_id]],CHAR(160),"")),"eJ")</f>
        <v>eJ</v>
      </c>
      <c r="AC547" s="89" t="s">
        <v>535</v>
      </c>
      <c r="AD547" s="3" t="s">
        <v>535</v>
      </c>
      <c r="AE547" s="91">
        <v>2016</v>
      </c>
      <c r="AF547" s="13" t="s">
        <v>43</v>
      </c>
      <c r="AG547" s="13">
        <v>192790</v>
      </c>
      <c r="AH547" s="45">
        <v>400000</v>
      </c>
      <c r="AI547" s="44" t="s">
        <v>470</v>
      </c>
      <c r="AJ547" s="2" t="s">
        <v>471</v>
      </c>
      <c r="AK547" s="46" t="s">
        <v>1717</v>
      </c>
      <c r="AL547" s="55"/>
      <c r="AM547" s="45" t="s">
        <v>389</v>
      </c>
      <c r="AN547" s="56" t="s">
        <v>142</v>
      </c>
      <c r="AO547" s="23" t="s">
        <v>146</v>
      </c>
      <c r="AP547" s="11"/>
      <c r="AQ547" s="88" t="s">
        <v>536</v>
      </c>
      <c r="AR547" s="57" t="s">
        <v>40</v>
      </c>
      <c r="AS547" s="46">
        <v>42856.437754629631</v>
      </c>
      <c r="AT547" s="3">
        <f t="shared" si="8"/>
        <v>361</v>
      </c>
    </row>
    <row r="548" spans="8:46" x14ac:dyDescent="0.4">
      <c r="H548" s="59">
        <v>42992.404930555553</v>
      </c>
      <c r="I548" s="43">
        <v>42790</v>
      </c>
      <c r="J548" s="42">
        <v>1</v>
      </c>
      <c r="K548" s="81" t="s">
        <v>49</v>
      </c>
      <c r="L548" t="s">
        <v>49</v>
      </c>
      <c r="M548" t="s">
        <v>336</v>
      </c>
      <c r="N548" s="1" t="s">
        <v>336</v>
      </c>
      <c r="O548" s="1" t="s">
        <v>337</v>
      </c>
      <c r="P548" t="s">
        <v>337</v>
      </c>
      <c r="Q548" s="9" t="s">
        <v>45</v>
      </c>
      <c r="R548" s="82" t="s">
        <v>45</v>
      </c>
      <c r="S548" s="44" t="s">
        <v>196</v>
      </c>
      <c r="T548" s="3" t="s">
        <v>71</v>
      </c>
      <c r="U548" s="2" t="s">
        <v>29</v>
      </c>
      <c r="V548" s="3" t="s">
        <v>29</v>
      </c>
      <c r="W548" s="11" t="s">
        <v>143</v>
      </c>
      <c r="X548" s="3" t="s">
        <v>143</v>
      </c>
      <c r="Y548" s="77" t="s">
        <v>48</v>
      </c>
      <c r="Z548" s="84" t="s">
        <v>535</v>
      </c>
      <c r="AA548" s="89" t="s">
        <v>28</v>
      </c>
      <c r="AB548" s="90" t="str">
        <f>HYPERLINK(CONCATENATE("https://www.ejacket.nsf.gov/ej/showProposal.do?ID=",SUBSTITUTE(SplitQueryTableRecent[[#This Row],[prop_id]],CHAR(160),"")),"eJ")</f>
        <v>eJ</v>
      </c>
      <c r="AC548" s="89" t="s">
        <v>535</v>
      </c>
      <c r="AD548" s="3" t="s">
        <v>535</v>
      </c>
      <c r="AE548" s="91">
        <v>2018</v>
      </c>
      <c r="AF548" s="13" t="s">
        <v>43</v>
      </c>
      <c r="AG548" s="13">
        <v>207210</v>
      </c>
      <c r="AH548" s="45">
        <v>400000</v>
      </c>
      <c r="AI548" s="44" t="s">
        <v>470</v>
      </c>
      <c r="AJ548" s="2" t="s">
        <v>471</v>
      </c>
      <c r="AK548" s="46" t="s">
        <v>1717</v>
      </c>
      <c r="AL548" s="55"/>
      <c r="AM548" s="45" t="s">
        <v>389</v>
      </c>
      <c r="AN548" s="56" t="s">
        <v>142</v>
      </c>
      <c r="AO548" s="23" t="s">
        <v>146</v>
      </c>
      <c r="AP548" s="11" t="s">
        <v>205</v>
      </c>
      <c r="AQ548" s="88" t="s">
        <v>536</v>
      </c>
      <c r="AR548" s="57" t="s">
        <v>40</v>
      </c>
      <c r="AS548" s="46">
        <v>42856.437754629631</v>
      </c>
      <c r="AT548" s="3">
        <f t="shared" si="8"/>
        <v>361</v>
      </c>
    </row>
    <row r="549" spans="8:46" x14ac:dyDescent="0.4">
      <c r="H549" s="59">
        <v>42992.404930555553</v>
      </c>
      <c r="I549" s="43">
        <v>42489</v>
      </c>
      <c r="J549" s="42">
        <v>1</v>
      </c>
      <c r="K549" s="81" t="s">
        <v>49</v>
      </c>
      <c r="L549" t="s">
        <v>49</v>
      </c>
      <c r="M549" t="s">
        <v>336</v>
      </c>
      <c r="N549" s="1" t="s">
        <v>336</v>
      </c>
      <c r="O549" s="1" t="s">
        <v>230</v>
      </c>
      <c r="P549" t="s">
        <v>230</v>
      </c>
      <c r="Q549" s="9" t="s">
        <v>45</v>
      </c>
      <c r="R549" s="82" t="s">
        <v>45</v>
      </c>
      <c r="S549" s="44" t="s">
        <v>190</v>
      </c>
      <c r="T549" s="3" t="s">
        <v>71</v>
      </c>
      <c r="U549" s="2" t="s">
        <v>29</v>
      </c>
      <c r="V549" s="3" t="s">
        <v>29</v>
      </c>
      <c r="W549" s="11" t="s">
        <v>143</v>
      </c>
      <c r="X549" s="3" t="s">
        <v>143</v>
      </c>
      <c r="Y549" s="77" t="s">
        <v>48</v>
      </c>
      <c r="Z549" s="84" t="s">
        <v>1668</v>
      </c>
      <c r="AA549" s="89" t="s">
        <v>28</v>
      </c>
      <c r="AB549" s="90" t="str">
        <f>HYPERLINK(CONCATENATE("https://www.ejacket.nsf.gov/ej/showProposal.do?ID=",SUBSTITUTE(SplitQueryTableRecent[[#This Row],[prop_id]],CHAR(160),"")),"eJ")</f>
        <v>eJ</v>
      </c>
      <c r="AC549" s="89" t="s">
        <v>1668</v>
      </c>
      <c r="AD549" s="3" t="s">
        <v>1668</v>
      </c>
      <c r="AE549" s="91">
        <v>2015</v>
      </c>
      <c r="AF549" s="13" t="s">
        <v>43</v>
      </c>
      <c r="AG549" s="13">
        <v>185464</v>
      </c>
      <c r="AH549" s="45">
        <v>511174</v>
      </c>
      <c r="AI549" s="44" t="s">
        <v>1275</v>
      </c>
      <c r="AJ549" s="2" t="s">
        <v>1276</v>
      </c>
      <c r="AK549" s="46" t="s">
        <v>1721</v>
      </c>
      <c r="AL549" s="55"/>
      <c r="AM549" s="45" t="s">
        <v>481</v>
      </c>
      <c r="AN549" s="56" t="s">
        <v>142</v>
      </c>
      <c r="AO549" s="23" t="s">
        <v>146</v>
      </c>
      <c r="AP549" s="11"/>
      <c r="AQ549" s="88" t="s">
        <v>1587</v>
      </c>
      <c r="AR549" s="57" t="s">
        <v>203</v>
      </c>
      <c r="AS549" s="46">
        <v>42515.525300925925</v>
      </c>
      <c r="AT549" s="3">
        <f t="shared" si="8"/>
        <v>362</v>
      </c>
    </row>
    <row r="550" spans="8:46" x14ac:dyDescent="0.4">
      <c r="H550" s="59">
        <v>42992.404930555553</v>
      </c>
      <c r="I550" s="43">
        <v>42489</v>
      </c>
      <c r="J550" s="42">
        <v>1</v>
      </c>
      <c r="K550" s="81" t="s">
        <v>49</v>
      </c>
      <c r="L550" t="s">
        <v>49</v>
      </c>
      <c r="M550" t="s">
        <v>336</v>
      </c>
      <c r="N550" s="1" t="s">
        <v>336</v>
      </c>
      <c r="O550" s="1" t="s">
        <v>230</v>
      </c>
      <c r="P550" t="s">
        <v>245</v>
      </c>
      <c r="Q550" s="9" t="s">
        <v>45</v>
      </c>
      <c r="R550" s="82" t="s">
        <v>45</v>
      </c>
      <c r="S550" s="44" t="s">
        <v>190</v>
      </c>
      <c r="T550" s="3" t="s">
        <v>71</v>
      </c>
      <c r="U550" s="2" t="s">
        <v>29</v>
      </c>
      <c r="V550" s="3" t="s">
        <v>29</v>
      </c>
      <c r="W550" s="11" t="s">
        <v>143</v>
      </c>
      <c r="X550" s="3" t="s">
        <v>143</v>
      </c>
      <c r="Y550" s="77" t="s">
        <v>48</v>
      </c>
      <c r="Z550" s="84" t="s">
        <v>1668</v>
      </c>
      <c r="AA550" s="89" t="s">
        <v>28</v>
      </c>
      <c r="AB550" s="90" t="str">
        <f>HYPERLINK(CONCATENATE("https://www.ejacket.nsf.gov/ej/showProposal.do?ID=",SUBSTITUTE(SplitQueryTableRecent[[#This Row],[prop_id]],CHAR(160),"")),"eJ")</f>
        <v>eJ</v>
      </c>
      <c r="AC550" s="89" t="s">
        <v>1668</v>
      </c>
      <c r="AD550" s="3" t="s">
        <v>1668</v>
      </c>
      <c r="AE550" s="91">
        <v>2017</v>
      </c>
      <c r="AF550" s="13" t="s">
        <v>43</v>
      </c>
      <c r="AG550" s="13">
        <v>217524</v>
      </c>
      <c r="AH550" s="45">
        <v>511174</v>
      </c>
      <c r="AI550" s="44" t="s">
        <v>1275</v>
      </c>
      <c r="AJ550" s="2" t="s">
        <v>1276</v>
      </c>
      <c r="AK550" s="46" t="s">
        <v>1721</v>
      </c>
      <c r="AL550" s="55"/>
      <c r="AM550" s="45" t="s">
        <v>481</v>
      </c>
      <c r="AN550" s="56" t="s">
        <v>142</v>
      </c>
      <c r="AO550" s="23" t="s">
        <v>146</v>
      </c>
      <c r="AP550" s="11" t="s">
        <v>172</v>
      </c>
      <c r="AQ550" s="88" t="s">
        <v>1587</v>
      </c>
      <c r="AR550" s="57" t="s">
        <v>1504</v>
      </c>
      <c r="AS550" s="46">
        <v>42745.689143518517</v>
      </c>
      <c r="AT550" s="3">
        <f t="shared" si="8"/>
        <v>362</v>
      </c>
    </row>
    <row r="551" spans="8:46" x14ac:dyDescent="0.4">
      <c r="H551" s="59">
        <v>42992.404930555553</v>
      </c>
      <c r="I551" s="43">
        <v>42489</v>
      </c>
      <c r="J551" s="42">
        <v>1</v>
      </c>
      <c r="K551" s="81" t="s">
        <v>49</v>
      </c>
      <c r="L551" t="s">
        <v>49</v>
      </c>
      <c r="M551" t="s">
        <v>336</v>
      </c>
      <c r="N551" s="1" t="s">
        <v>336</v>
      </c>
      <c r="O551" s="1" t="s">
        <v>230</v>
      </c>
      <c r="P551" t="s">
        <v>245</v>
      </c>
      <c r="Q551" s="9" t="s">
        <v>45</v>
      </c>
      <c r="R551" s="82" t="s">
        <v>45</v>
      </c>
      <c r="S551" s="44" t="s">
        <v>190</v>
      </c>
      <c r="T551" s="3" t="s">
        <v>71</v>
      </c>
      <c r="U551" s="2" t="s">
        <v>29</v>
      </c>
      <c r="V551" s="3" t="s">
        <v>29</v>
      </c>
      <c r="W551" s="11" t="s">
        <v>143</v>
      </c>
      <c r="X551" s="3" t="s">
        <v>143</v>
      </c>
      <c r="Y551" s="77" t="s">
        <v>48</v>
      </c>
      <c r="Z551" s="84" t="s">
        <v>1668</v>
      </c>
      <c r="AA551" s="89" t="s">
        <v>28</v>
      </c>
      <c r="AB551" s="90" t="str">
        <f>HYPERLINK(CONCATENATE("https://www.ejacket.nsf.gov/ej/showProposal.do?ID=",SUBSTITUTE(SplitQueryTableRecent[[#This Row],[prop_id]],CHAR(160),"")),"eJ")</f>
        <v>eJ</v>
      </c>
      <c r="AC551" s="89" t="s">
        <v>1668</v>
      </c>
      <c r="AD551" s="3" t="s">
        <v>1668</v>
      </c>
      <c r="AE551" s="91">
        <v>2019</v>
      </c>
      <c r="AF551" s="13" t="s">
        <v>43</v>
      </c>
      <c r="AG551" s="13">
        <v>108185</v>
      </c>
      <c r="AH551" s="45">
        <v>511174</v>
      </c>
      <c r="AI551" s="44" t="s">
        <v>1275</v>
      </c>
      <c r="AJ551" s="2" t="s">
        <v>1276</v>
      </c>
      <c r="AK551" s="46" t="s">
        <v>1721</v>
      </c>
      <c r="AL551" s="55"/>
      <c r="AM551" s="45" t="s">
        <v>481</v>
      </c>
      <c r="AN551" s="56" t="s">
        <v>142</v>
      </c>
      <c r="AO551" s="23" t="s">
        <v>146</v>
      </c>
      <c r="AP551" s="11" t="s">
        <v>205</v>
      </c>
      <c r="AQ551" s="88" t="s">
        <v>1587</v>
      </c>
      <c r="AR551" s="57" t="s">
        <v>203</v>
      </c>
      <c r="AS551" s="46">
        <v>42515.525300925925</v>
      </c>
      <c r="AT551" s="3">
        <f t="shared" si="8"/>
        <v>362</v>
      </c>
    </row>
    <row r="552" spans="8:46" x14ac:dyDescent="0.4">
      <c r="H552" s="59">
        <v>42992.404930555553</v>
      </c>
      <c r="I552" s="43">
        <v>42922</v>
      </c>
      <c r="J552" s="42">
        <v>1</v>
      </c>
      <c r="K552" s="81" t="s">
        <v>49</v>
      </c>
      <c r="L552" t="s">
        <v>49</v>
      </c>
      <c r="M552" t="s">
        <v>336</v>
      </c>
      <c r="N552" s="1" t="s">
        <v>336</v>
      </c>
      <c r="O552" s="1" t="s">
        <v>230</v>
      </c>
      <c r="P552" t="s">
        <v>230</v>
      </c>
      <c r="Q552" s="9" t="s">
        <v>45</v>
      </c>
      <c r="R552" s="82" t="s">
        <v>45</v>
      </c>
      <c r="S552" s="44" t="s">
        <v>196</v>
      </c>
      <c r="T552" s="3" t="s">
        <v>71</v>
      </c>
      <c r="U552" s="2" t="s">
        <v>29</v>
      </c>
      <c r="V552" s="3" t="s">
        <v>29</v>
      </c>
      <c r="W552" s="11" t="s">
        <v>143</v>
      </c>
      <c r="X552" s="3" t="s">
        <v>143</v>
      </c>
      <c r="Y552" s="77" t="s">
        <v>48</v>
      </c>
      <c r="Z552" s="84" t="s">
        <v>537</v>
      </c>
      <c r="AA552" s="89" t="s">
        <v>28</v>
      </c>
      <c r="AB552" s="90" t="str">
        <f>HYPERLINK(CONCATENATE("https://www.ejacket.nsf.gov/ej/showProposal.do?ID=",SUBSTITUTE(SplitQueryTableRecent[[#This Row],[prop_id]],CHAR(160),"")),"eJ")</f>
        <v>eJ</v>
      </c>
      <c r="AC552" s="89" t="s">
        <v>537</v>
      </c>
      <c r="AD552" s="3" t="s">
        <v>537</v>
      </c>
      <c r="AE552" s="91">
        <v>2016</v>
      </c>
      <c r="AF552" s="13" t="s">
        <v>43</v>
      </c>
      <c r="AG552" s="13">
        <v>142413</v>
      </c>
      <c r="AH552" s="45">
        <v>298202</v>
      </c>
      <c r="AI552" s="44" t="s">
        <v>506</v>
      </c>
      <c r="AJ552" s="2" t="s">
        <v>507</v>
      </c>
      <c r="AK552" s="46" t="s">
        <v>1710</v>
      </c>
      <c r="AL552" s="55" t="s">
        <v>353</v>
      </c>
      <c r="AM552" s="45" t="s">
        <v>353</v>
      </c>
      <c r="AN552" s="56" t="s">
        <v>142</v>
      </c>
      <c r="AO552" s="23" t="s">
        <v>146</v>
      </c>
      <c r="AP552" s="11"/>
      <c r="AQ552" s="88" t="s">
        <v>384</v>
      </c>
      <c r="AR552" s="57" t="s">
        <v>188</v>
      </c>
      <c r="AS552" s="46">
        <v>42978.585023148145</v>
      </c>
      <c r="AT552" s="3">
        <f t="shared" si="8"/>
        <v>363</v>
      </c>
    </row>
    <row r="553" spans="8:46" x14ac:dyDescent="0.4">
      <c r="H553" s="59">
        <v>42992.404930555553</v>
      </c>
      <c r="I553" s="43">
        <v>42922</v>
      </c>
      <c r="J553" s="42">
        <v>1</v>
      </c>
      <c r="K553" s="81" t="s">
        <v>49</v>
      </c>
      <c r="L553" t="s">
        <v>49</v>
      </c>
      <c r="M553" t="s">
        <v>336</v>
      </c>
      <c r="N553" s="1" t="s">
        <v>336</v>
      </c>
      <c r="O553" s="1" t="s">
        <v>230</v>
      </c>
      <c r="P553" t="s">
        <v>245</v>
      </c>
      <c r="Q553" s="9" t="s">
        <v>45</v>
      </c>
      <c r="R553" s="82" t="s">
        <v>45</v>
      </c>
      <c r="S553" s="44" t="s">
        <v>196</v>
      </c>
      <c r="T553" s="3" t="s">
        <v>71</v>
      </c>
      <c r="U553" s="2" t="s">
        <v>29</v>
      </c>
      <c r="V553" s="3" t="s">
        <v>29</v>
      </c>
      <c r="W553" s="11" t="s">
        <v>143</v>
      </c>
      <c r="X553" s="3" t="s">
        <v>143</v>
      </c>
      <c r="Y553" s="77" t="s">
        <v>48</v>
      </c>
      <c r="Z553" s="84" t="s">
        <v>537</v>
      </c>
      <c r="AA553" s="89" t="s">
        <v>28</v>
      </c>
      <c r="AB553" s="90" t="str">
        <f>HYPERLINK(CONCATENATE("https://www.ejacket.nsf.gov/ej/showProposal.do?ID=",SUBSTITUTE(SplitQueryTableRecent[[#This Row],[prop_id]],CHAR(160),"")),"eJ")</f>
        <v>eJ</v>
      </c>
      <c r="AC553" s="89" t="s">
        <v>537</v>
      </c>
      <c r="AD553" s="3" t="s">
        <v>537</v>
      </c>
      <c r="AE553" s="91">
        <v>2018</v>
      </c>
      <c r="AF553" s="13" t="s">
        <v>43</v>
      </c>
      <c r="AG553" s="13">
        <v>155789</v>
      </c>
      <c r="AH553" s="45">
        <v>298202</v>
      </c>
      <c r="AI553" s="44" t="s">
        <v>506</v>
      </c>
      <c r="AJ553" s="2" t="s">
        <v>507</v>
      </c>
      <c r="AK553" s="46" t="s">
        <v>1710</v>
      </c>
      <c r="AL553" s="55" t="s">
        <v>353</v>
      </c>
      <c r="AM553" s="45" t="s">
        <v>353</v>
      </c>
      <c r="AN553" s="56" t="s">
        <v>142</v>
      </c>
      <c r="AO553" s="23" t="s">
        <v>146</v>
      </c>
      <c r="AP553" s="11" t="s">
        <v>205</v>
      </c>
      <c r="AQ553" s="88" t="s">
        <v>384</v>
      </c>
      <c r="AR553" s="57" t="s">
        <v>188</v>
      </c>
      <c r="AS553" s="46">
        <v>42978.585023148145</v>
      </c>
      <c r="AT553" s="3">
        <f t="shared" si="8"/>
        <v>363</v>
      </c>
    </row>
    <row r="554" spans="8:46" x14ac:dyDescent="0.4">
      <c r="H554" s="59">
        <v>42992.404930555553</v>
      </c>
      <c r="I554" s="43">
        <v>41509.356168981481</v>
      </c>
      <c r="J554" s="42">
        <v>41512.341539351852</v>
      </c>
      <c r="K554" s="81" t="s">
        <v>49</v>
      </c>
      <c r="L554" t="s">
        <v>49</v>
      </c>
      <c r="M554" t="s">
        <v>336</v>
      </c>
      <c r="N554" s="1" t="s">
        <v>336</v>
      </c>
      <c r="O554" s="1" t="s">
        <v>245</v>
      </c>
      <c r="P554" t="s">
        <v>245</v>
      </c>
      <c r="Q554" s="9" t="s">
        <v>45</v>
      </c>
      <c r="R554" s="82" t="s">
        <v>45</v>
      </c>
      <c r="S554" s="44" t="s">
        <v>52</v>
      </c>
      <c r="T554" s="3" t="s">
        <v>202</v>
      </c>
      <c r="U554" s="2" t="s">
        <v>29</v>
      </c>
      <c r="V554" s="3" t="s">
        <v>29</v>
      </c>
      <c r="W554" s="11" t="s">
        <v>143</v>
      </c>
      <c r="X554" s="3" t="s">
        <v>143</v>
      </c>
      <c r="Y554" s="77" t="s">
        <v>48</v>
      </c>
      <c r="Z554" s="84" t="s">
        <v>1669</v>
      </c>
      <c r="AA554" s="89" t="s">
        <v>28</v>
      </c>
      <c r="AB554" s="90" t="str">
        <f>HYPERLINK(CONCATENATE("https://www.ejacket.nsf.gov/ej/showProposal.do?ID=",SUBSTITUTE(SplitQueryTableRecent[[#This Row],[prop_id]],CHAR(160),"")),"eJ")</f>
        <v>eJ</v>
      </c>
      <c r="AC554" s="89" t="s">
        <v>1488</v>
      </c>
      <c r="AD554" s="3" t="s">
        <v>1669</v>
      </c>
      <c r="AE554" s="91">
        <v>2013</v>
      </c>
      <c r="AF554" s="13" t="s">
        <v>43</v>
      </c>
      <c r="AG554" s="13">
        <v>185806</v>
      </c>
      <c r="AH554" s="45">
        <v>185806</v>
      </c>
      <c r="AI554" s="44" t="s">
        <v>1492</v>
      </c>
      <c r="AJ554" s="2" t="s">
        <v>1493</v>
      </c>
      <c r="AK554" s="46" t="s">
        <v>303</v>
      </c>
      <c r="AL554" s="55" t="s">
        <v>1671</v>
      </c>
      <c r="AM554" s="45" t="s">
        <v>353</v>
      </c>
      <c r="AN554" s="56" t="s">
        <v>142</v>
      </c>
      <c r="AO554" s="23" t="s">
        <v>146</v>
      </c>
      <c r="AP554" s="11"/>
      <c r="AQ554" s="88" t="s">
        <v>1670</v>
      </c>
      <c r="AR554" s="57" t="s">
        <v>161</v>
      </c>
      <c r="AS554" s="46">
        <v>41514.520150462966</v>
      </c>
      <c r="AT554" s="3">
        <f t="shared" si="8"/>
        <v>364</v>
      </c>
    </row>
    <row r="555" spans="8:46" x14ac:dyDescent="0.4">
      <c r="H555" s="59">
        <v>42992.404930555553</v>
      </c>
      <c r="I555" s="43">
        <v>41509.356192129628</v>
      </c>
      <c r="J555" s="42">
        <v>41512.34207175926</v>
      </c>
      <c r="K555" s="81" t="s">
        <v>49</v>
      </c>
      <c r="L555" t="s">
        <v>49</v>
      </c>
      <c r="M555" t="s">
        <v>336</v>
      </c>
      <c r="N555" s="1" t="s">
        <v>336</v>
      </c>
      <c r="O555" s="1" t="s">
        <v>245</v>
      </c>
      <c r="P555" t="s">
        <v>245</v>
      </c>
      <c r="Q555" s="9" t="s">
        <v>45</v>
      </c>
      <c r="R555" s="82" t="s">
        <v>45</v>
      </c>
      <c r="S555" s="44" t="s">
        <v>52</v>
      </c>
      <c r="T555" s="3" t="s">
        <v>202</v>
      </c>
      <c r="U555" s="2" t="s">
        <v>29</v>
      </c>
      <c r="V555" s="3" t="s">
        <v>29</v>
      </c>
      <c r="W555" s="11" t="s">
        <v>143</v>
      </c>
      <c r="X555" s="3" t="s">
        <v>143</v>
      </c>
      <c r="Y555" s="77" t="s">
        <v>48</v>
      </c>
      <c r="Z555" s="84" t="s">
        <v>1672</v>
      </c>
      <c r="AA555" s="89" t="s">
        <v>28</v>
      </c>
      <c r="AB555" s="90" t="str">
        <f>HYPERLINK(CONCATENATE("https://www.ejacket.nsf.gov/ej/showProposal.do?ID=",SUBSTITUTE(SplitQueryTableRecent[[#This Row],[prop_id]],CHAR(160),"")),"eJ")</f>
        <v>eJ</v>
      </c>
      <c r="AC555" s="89" t="s">
        <v>1527</v>
      </c>
      <c r="AD555" s="3" t="s">
        <v>1672</v>
      </c>
      <c r="AE555" s="91">
        <v>2013</v>
      </c>
      <c r="AF555" s="13" t="s">
        <v>43</v>
      </c>
      <c r="AG555" s="13">
        <v>108634</v>
      </c>
      <c r="AH555" s="45">
        <v>108634</v>
      </c>
      <c r="AI555" s="44" t="s">
        <v>1525</v>
      </c>
      <c r="AJ555" s="2" t="s">
        <v>1526</v>
      </c>
      <c r="AK555" s="46" t="s">
        <v>1754</v>
      </c>
      <c r="AL555" s="55" t="s">
        <v>1671</v>
      </c>
      <c r="AM555" s="45" t="s">
        <v>1671</v>
      </c>
      <c r="AN555" s="56" t="s">
        <v>142</v>
      </c>
      <c r="AO555" s="23" t="s">
        <v>146</v>
      </c>
      <c r="AP555" s="11"/>
      <c r="AQ555" s="88" t="s">
        <v>1670</v>
      </c>
      <c r="AR555" s="57" t="s">
        <v>161</v>
      </c>
      <c r="AS555" s="46">
        <v>41515.452662037038</v>
      </c>
      <c r="AT555" s="3">
        <f t="shared" si="8"/>
        <v>365</v>
      </c>
    </row>
    <row r="556" spans="8:46" x14ac:dyDescent="0.4">
      <c r="H556" s="59">
        <v>42992.404930555553</v>
      </c>
      <c r="I556" s="43">
        <v>41509.356180555558</v>
      </c>
      <c r="J556" s="42">
        <v>41512.341782407406</v>
      </c>
      <c r="K556" s="81" t="s">
        <v>49</v>
      </c>
      <c r="L556" t="s">
        <v>49</v>
      </c>
      <c r="M556" t="s">
        <v>336</v>
      </c>
      <c r="N556" s="1" t="s">
        <v>336</v>
      </c>
      <c r="O556" s="1" t="s">
        <v>245</v>
      </c>
      <c r="P556" t="s">
        <v>245</v>
      </c>
      <c r="Q556" s="9" t="s">
        <v>45</v>
      </c>
      <c r="R556" s="82" t="s">
        <v>45</v>
      </c>
      <c r="S556" s="44" t="s">
        <v>52</v>
      </c>
      <c r="T556" s="3" t="s">
        <v>202</v>
      </c>
      <c r="U556" s="2" t="s">
        <v>29</v>
      </c>
      <c r="V556" s="3" t="s">
        <v>29</v>
      </c>
      <c r="W556" s="11" t="s">
        <v>143</v>
      </c>
      <c r="X556" s="3" t="s">
        <v>143</v>
      </c>
      <c r="Y556" s="77" t="s">
        <v>48</v>
      </c>
      <c r="Z556" s="84" t="s">
        <v>1673</v>
      </c>
      <c r="AA556" s="89" t="s">
        <v>28</v>
      </c>
      <c r="AB556" s="90" t="str">
        <f>HYPERLINK(CONCATENATE("https://www.ejacket.nsf.gov/ej/showProposal.do?ID=",SUBSTITUTE(SplitQueryTableRecent[[#This Row],[prop_id]],CHAR(160),"")),"eJ")</f>
        <v>eJ</v>
      </c>
      <c r="AC556" s="89" t="s">
        <v>1532</v>
      </c>
      <c r="AD556" s="3" t="s">
        <v>1673</v>
      </c>
      <c r="AE556" s="91">
        <v>2013</v>
      </c>
      <c r="AF556" s="13" t="s">
        <v>43</v>
      </c>
      <c r="AG556" s="13">
        <v>113727</v>
      </c>
      <c r="AH556" s="45">
        <v>113727</v>
      </c>
      <c r="AI556" s="44" t="s">
        <v>177</v>
      </c>
      <c r="AJ556" s="2" t="s">
        <v>284</v>
      </c>
      <c r="AK556" s="46" t="s">
        <v>1751</v>
      </c>
      <c r="AL556" s="55" t="s">
        <v>1671</v>
      </c>
      <c r="AM556" s="45" t="s">
        <v>353</v>
      </c>
      <c r="AN556" s="56" t="s">
        <v>142</v>
      </c>
      <c r="AO556" s="23" t="s">
        <v>146</v>
      </c>
      <c r="AP556" s="11"/>
      <c r="AQ556" s="88" t="s">
        <v>1533</v>
      </c>
      <c r="AR556" s="57" t="s">
        <v>161</v>
      </c>
      <c r="AS556" s="46">
        <v>41515.468773148146</v>
      </c>
      <c r="AT556" s="3">
        <f t="shared" si="8"/>
        <v>366</v>
      </c>
    </row>
    <row r="557" spans="8:46" x14ac:dyDescent="0.4">
      <c r="H557" s="59">
        <v>42992.404930555553</v>
      </c>
      <c r="I557" s="43">
        <v>42229.634895833333</v>
      </c>
      <c r="J557" s="42">
        <v>42240.607488425929</v>
      </c>
      <c r="K557" s="81" t="s">
        <v>49</v>
      </c>
      <c r="L557" t="s">
        <v>49</v>
      </c>
      <c r="M557" t="s">
        <v>336</v>
      </c>
      <c r="N557" s="1" t="s">
        <v>336</v>
      </c>
      <c r="O557" s="1" t="s">
        <v>337</v>
      </c>
      <c r="P557" t="s">
        <v>337</v>
      </c>
      <c r="Q557" s="9" t="s">
        <v>45</v>
      </c>
      <c r="R557" s="82" t="s">
        <v>45</v>
      </c>
      <c r="S557" s="44" t="s">
        <v>52</v>
      </c>
      <c r="T557" s="3" t="s">
        <v>202</v>
      </c>
      <c r="U557" s="2" t="s">
        <v>29</v>
      </c>
      <c r="V557" s="3" t="s">
        <v>29</v>
      </c>
      <c r="W557" s="11" t="s">
        <v>143</v>
      </c>
      <c r="X557" s="3" t="s">
        <v>143</v>
      </c>
      <c r="Y557" s="77" t="s">
        <v>48</v>
      </c>
      <c r="Z557" s="84" t="s">
        <v>1674</v>
      </c>
      <c r="AA557" s="89" t="s">
        <v>28</v>
      </c>
      <c r="AB557" s="90" t="str">
        <f>HYPERLINK(CONCATENATE("https://www.ejacket.nsf.gov/ej/showProposal.do?ID=",SUBSTITUTE(SplitQueryTableRecent[[#This Row],[prop_id]],CHAR(160),"")),"eJ")</f>
        <v>eJ</v>
      </c>
      <c r="AC557" s="89" t="s">
        <v>1550</v>
      </c>
      <c r="AD557" s="3" t="s">
        <v>1674</v>
      </c>
      <c r="AE557" s="91">
        <v>2015</v>
      </c>
      <c r="AF557" s="13" t="s">
        <v>43</v>
      </c>
      <c r="AG557" s="13">
        <v>192614</v>
      </c>
      <c r="AH557" s="45">
        <v>192614</v>
      </c>
      <c r="AI557" s="44" t="s">
        <v>410</v>
      </c>
      <c r="AJ557" s="2" t="s">
        <v>231</v>
      </c>
      <c r="AK557" s="46" t="s">
        <v>1724</v>
      </c>
      <c r="AL557" s="55" t="s">
        <v>559</v>
      </c>
      <c r="AM557" s="45" t="s">
        <v>559</v>
      </c>
      <c r="AN557" s="56" t="s">
        <v>142</v>
      </c>
      <c r="AO557" s="23" t="s">
        <v>146</v>
      </c>
      <c r="AP557" s="11"/>
      <c r="AQ557" s="88" t="s">
        <v>1551</v>
      </c>
      <c r="AR557" s="57" t="s">
        <v>164</v>
      </c>
      <c r="AS557" s="46">
        <v>42251.392743055556</v>
      </c>
      <c r="AT557" s="3">
        <f t="shared" si="8"/>
        <v>367</v>
      </c>
    </row>
    <row r="558" spans="8:46" x14ac:dyDescent="0.4">
      <c r="H558" s="59">
        <v>42992.404930555553</v>
      </c>
      <c r="I558" s="43">
        <v>42229.636053240742</v>
      </c>
      <c r="J558" s="42">
        <v>42240.608055555553</v>
      </c>
      <c r="K558" s="81" t="s">
        <v>49</v>
      </c>
      <c r="L558" t="s">
        <v>49</v>
      </c>
      <c r="M558" t="s">
        <v>336</v>
      </c>
      <c r="N558" s="1" t="s">
        <v>336</v>
      </c>
      <c r="O558" s="1" t="s">
        <v>337</v>
      </c>
      <c r="P558" t="s">
        <v>337</v>
      </c>
      <c r="Q558" s="9" t="s">
        <v>45</v>
      </c>
      <c r="R558" s="82" t="s">
        <v>45</v>
      </c>
      <c r="S558" s="44" t="s">
        <v>52</v>
      </c>
      <c r="T558" s="3" t="s">
        <v>202</v>
      </c>
      <c r="U558" s="2" t="s">
        <v>29</v>
      </c>
      <c r="V558" s="3" t="s">
        <v>29</v>
      </c>
      <c r="W558" s="11" t="s">
        <v>143</v>
      </c>
      <c r="X558" s="3" t="s">
        <v>143</v>
      </c>
      <c r="Y558" s="77" t="s">
        <v>48</v>
      </c>
      <c r="Z558" s="84" t="s">
        <v>1675</v>
      </c>
      <c r="AA558" s="89" t="s">
        <v>28</v>
      </c>
      <c r="AB558" s="90" t="str">
        <f>HYPERLINK(CONCATENATE("https://www.ejacket.nsf.gov/ej/showProposal.do?ID=",SUBSTITUTE(SplitQueryTableRecent[[#This Row],[prop_id]],CHAR(160),"")),"eJ")</f>
        <v>eJ</v>
      </c>
      <c r="AC558" s="89" t="s">
        <v>1552</v>
      </c>
      <c r="AD558" s="3" t="s">
        <v>1675</v>
      </c>
      <c r="AE558" s="91">
        <v>2015</v>
      </c>
      <c r="AF558" s="13" t="s">
        <v>43</v>
      </c>
      <c r="AG558" s="13">
        <v>183150</v>
      </c>
      <c r="AH558" s="45">
        <v>183150</v>
      </c>
      <c r="AI558" s="44" t="s">
        <v>1553</v>
      </c>
      <c r="AJ558" s="2" t="s">
        <v>296</v>
      </c>
      <c r="AK558" s="46" t="s">
        <v>261</v>
      </c>
      <c r="AL558" s="55" t="s">
        <v>559</v>
      </c>
      <c r="AM558" s="45" t="s">
        <v>559</v>
      </c>
      <c r="AN558" s="56" t="s">
        <v>142</v>
      </c>
      <c r="AO558" s="23" t="s">
        <v>146</v>
      </c>
      <c r="AP558" s="11"/>
      <c r="AQ558" s="88" t="s">
        <v>1551</v>
      </c>
      <c r="AR558" s="57" t="s">
        <v>164</v>
      </c>
      <c r="AS558" s="46">
        <v>42251.393761574072</v>
      </c>
      <c r="AT558" s="3">
        <f t="shared" si="8"/>
        <v>368</v>
      </c>
    </row>
    <row r="559" spans="8:46" x14ac:dyDescent="0.4">
      <c r="H559" s="59">
        <v>42992.404930555553</v>
      </c>
      <c r="I559" s="43">
        <v>42229.634293981479</v>
      </c>
      <c r="J559" s="42">
        <v>42236.368981481479</v>
      </c>
      <c r="K559" s="81" t="s">
        <v>49</v>
      </c>
      <c r="L559" t="s">
        <v>49</v>
      </c>
      <c r="M559" t="s">
        <v>336</v>
      </c>
      <c r="N559" s="1" t="s">
        <v>336</v>
      </c>
      <c r="O559" s="1" t="s">
        <v>245</v>
      </c>
      <c r="P559" t="s">
        <v>245</v>
      </c>
      <c r="Q559" s="9" t="s">
        <v>45</v>
      </c>
      <c r="R559" s="82" t="s">
        <v>45</v>
      </c>
      <c r="S559" s="44" t="s">
        <v>52</v>
      </c>
      <c r="T559" s="3" t="s">
        <v>202</v>
      </c>
      <c r="U559" s="2" t="s">
        <v>29</v>
      </c>
      <c r="V559" s="3" t="s">
        <v>29</v>
      </c>
      <c r="W559" s="11" t="s">
        <v>143</v>
      </c>
      <c r="X559" s="3" t="s">
        <v>143</v>
      </c>
      <c r="Y559" s="77" t="s">
        <v>48</v>
      </c>
      <c r="Z559" s="84" t="s">
        <v>1678</v>
      </c>
      <c r="AA559" s="89" t="s">
        <v>28</v>
      </c>
      <c r="AB559" s="90" t="str">
        <f>HYPERLINK(CONCATENATE("https://www.ejacket.nsf.gov/ej/showProposal.do?ID=",SUBSTITUTE(SplitQueryTableRecent[[#This Row],[prop_id]],CHAR(160),"")),"eJ")</f>
        <v>eJ</v>
      </c>
      <c r="AC559" s="89" t="s">
        <v>1624</v>
      </c>
      <c r="AD559" s="3" t="s">
        <v>1678</v>
      </c>
      <c r="AE559" s="91">
        <v>2015</v>
      </c>
      <c r="AF559" s="13" t="s">
        <v>43</v>
      </c>
      <c r="AG559" s="13">
        <v>86634</v>
      </c>
      <c r="AH559" s="45">
        <v>86634</v>
      </c>
      <c r="AI559" s="44" t="s">
        <v>1178</v>
      </c>
      <c r="AJ559" s="2" t="s">
        <v>1179</v>
      </c>
      <c r="AK559" s="46" t="s">
        <v>1717</v>
      </c>
      <c r="AL559" s="55" t="s">
        <v>572</v>
      </c>
      <c r="AM559" s="45" t="s">
        <v>572</v>
      </c>
      <c r="AN559" s="56" t="s">
        <v>142</v>
      </c>
      <c r="AO559" s="23" t="s">
        <v>146</v>
      </c>
      <c r="AP559" s="11"/>
      <c r="AQ559" s="88" t="s">
        <v>1625</v>
      </c>
      <c r="AR559" s="57" t="s">
        <v>164</v>
      </c>
      <c r="AS559" s="46">
        <v>42251.338113425925</v>
      </c>
      <c r="AT559" s="3">
        <f t="shared" si="8"/>
        <v>369</v>
      </c>
    </row>
    <row r="560" spans="8:46" x14ac:dyDescent="0.4">
      <c r="H560" s="59">
        <v>42992.404930555553</v>
      </c>
      <c r="I560" s="43">
        <v>42229.635381944441</v>
      </c>
      <c r="J560" s="42">
        <v>42236.369513888887</v>
      </c>
      <c r="K560" s="81" t="s">
        <v>49</v>
      </c>
      <c r="L560" t="s">
        <v>49</v>
      </c>
      <c r="M560" t="s">
        <v>336</v>
      </c>
      <c r="N560" s="1" t="s">
        <v>336</v>
      </c>
      <c r="O560" s="1" t="s">
        <v>245</v>
      </c>
      <c r="P560" t="s">
        <v>245</v>
      </c>
      <c r="Q560" s="9" t="s">
        <v>45</v>
      </c>
      <c r="R560" s="82" t="s">
        <v>45</v>
      </c>
      <c r="S560" s="44" t="s">
        <v>52</v>
      </c>
      <c r="T560" s="3" t="s">
        <v>202</v>
      </c>
      <c r="U560" s="2" t="s">
        <v>29</v>
      </c>
      <c r="V560" s="3" t="s">
        <v>29</v>
      </c>
      <c r="W560" s="11" t="s">
        <v>143</v>
      </c>
      <c r="X560" s="3" t="s">
        <v>143</v>
      </c>
      <c r="Y560" s="77" t="s">
        <v>48</v>
      </c>
      <c r="Z560" s="84" t="s">
        <v>1679</v>
      </c>
      <c r="AA560" s="89" t="s">
        <v>28</v>
      </c>
      <c r="AB560" s="90" t="str">
        <f>HYPERLINK(CONCATENATE("https://www.ejacket.nsf.gov/ej/showProposal.do?ID=",SUBSTITUTE(SplitQueryTableRecent[[#This Row],[prop_id]],CHAR(160),"")),"eJ")</f>
        <v>eJ</v>
      </c>
      <c r="AC560" s="89" t="s">
        <v>1680</v>
      </c>
      <c r="AD560" s="3" t="s">
        <v>1679</v>
      </c>
      <c r="AE560" s="91">
        <v>2015</v>
      </c>
      <c r="AF560" s="13" t="s">
        <v>43</v>
      </c>
      <c r="AG560" s="13">
        <v>102250</v>
      </c>
      <c r="AH560" s="45">
        <v>102250</v>
      </c>
      <c r="AI560" s="44" t="s">
        <v>1184</v>
      </c>
      <c r="AJ560" s="2" t="s">
        <v>1185</v>
      </c>
      <c r="AK560" s="46" t="s">
        <v>423</v>
      </c>
      <c r="AL560" s="55" t="s">
        <v>572</v>
      </c>
      <c r="AM560" s="45" t="s">
        <v>572</v>
      </c>
      <c r="AN560" s="56" t="s">
        <v>142</v>
      </c>
      <c r="AO560" s="23" t="s">
        <v>146</v>
      </c>
      <c r="AP560" s="11"/>
      <c r="AQ560" s="88" t="s">
        <v>1681</v>
      </c>
      <c r="AR560" s="57" t="s">
        <v>164</v>
      </c>
      <c r="AS560" s="46">
        <v>42251.338784722226</v>
      </c>
      <c r="AT560" s="3">
        <f t="shared" si="8"/>
        <v>370</v>
      </c>
    </row>
    <row r="561" spans="8:46" x14ac:dyDescent="0.4">
      <c r="H561" s="59">
        <v>42992.404930555553</v>
      </c>
      <c r="I561" s="43">
        <v>42627.685752314814</v>
      </c>
      <c r="J561" s="42">
        <v>42632.328506944446</v>
      </c>
      <c r="K561" s="81" t="s">
        <v>49</v>
      </c>
      <c r="L561" t="s">
        <v>49</v>
      </c>
      <c r="M561" t="s">
        <v>336</v>
      </c>
      <c r="N561" s="1" t="s">
        <v>336</v>
      </c>
      <c r="O561" s="1" t="s">
        <v>230</v>
      </c>
      <c r="P561" t="s">
        <v>337</v>
      </c>
      <c r="Q561" s="9" t="s">
        <v>45</v>
      </c>
      <c r="R561" s="82" t="s">
        <v>45</v>
      </c>
      <c r="S561" s="44" t="s">
        <v>52</v>
      </c>
      <c r="T561" s="3" t="s">
        <v>202</v>
      </c>
      <c r="U561" s="2" t="s">
        <v>29</v>
      </c>
      <c r="V561" s="3" t="s">
        <v>29</v>
      </c>
      <c r="W561" s="11" t="s">
        <v>143</v>
      </c>
      <c r="X561" s="3" t="s">
        <v>143</v>
      </c>
      <c r="Y561" s="77" t="s">
        <v>48</v>
      </c>
      <c r="Z561" s="84" t="s">
        <v>1682</v>
      </c>
      <c r="AA561" s="89" t="s">
        <v>28</v>
      </c>
      <c r="AB561" s="90" t="str">
        <f>HYPERLINK(CONCATENATE("https://www.ejacket.nsf.gov/ej/showProposal.do?ID=",SUBSTITUTE(SplitQueryTableRecent[[#This Row],[prop_id]],CHAR(160),"")),"eJ")</f>
        <v>eJ</v>
      </c>
      <c r="AC561" s="89" t="s">
        <v>1563</v>
      </c>
      <c r="AD561" s="3" t="s">
        <v>1682</v>
      </c>
      <c r="AE561" s="91">
        <v>2016</v>
      </c>
      <c r="AF561" s="13" t="s">
        <v>43</v>
      </c>
      <c r="AG561" s="13">
        <v>240492</v>
      </c>
      <c r="AH561" s="45">
        <v>240492</v>
      </c>
      <c r="AI561" s="44" t="s">
        <v>1564</v>
      </c>
      <c r="AJ561" s="2" t="s">
        <v>475</v>
      </c>
      <c r="AK561" s="46" t="s">
        <v>1714</v>
      </c>
      <c r="AL561" s="55" t="s">
        <v>1683</v>
      </c>
      <c r="AM561" s="45" t="s">
        <v>1683</v>
      </c>
      <c r="AN561" s="56" t="s">
        <v>142</v>
      </c>
      <c r="AO561" s="23" t="s">
        <v>146</v>
      </c>
      <c r="AP561" s="11"/>
      <c r="AQ561" s="88" t="s">
        <v>1520</v>
      </c>
      <c r="AR561" s="57" t="s">
        <v>203</v>
      </c>
      <c r="AS561" s="46">
        <v>42632.492974537039</v>
      </c>
      <c r="AT561" s="3">
        <f t="shared" si="8"/>
        <v>371</v>
      </c>
    </row>
    <row r="562" spans="8:46" x14ac:dyDescent="0.4">
      <c r="H562" s="59">
        <v>42992.404930555553</v>
      </c>
      <c r="I562" s="43">
        <v>41838</v>
      </c>
      <c r="J562" s="42">
        <v>41844.41510416667</v>
      </c>
      <c r="K562" s="81" t="s">
        <v>49</v>
      </c>
      <c r="L562" t="s">
        <v>49</v>
      </c>
      <c r="M562" t="s">
        <v>336</v>
      </c>
      <c r="N562" s="1" t="s">
        <v>336</v>
      </c>
      <c r="O562" s="1" t="s">
        <v>337</v>
      </c>
      <c r="P562" t="s">
        <v>337</v>
      </c>
      <c r="Q562" s="9" t="s">
        <v>45</v>
      </c>
      <c r="R562" s="82" t="s">
        <v>45</v>
      </c>
      <c r="S562" s="44" t="s">
        <v>52</v>
      </c>
      <c r="T562" s="3" t="s">
        <v>136</v>
      </c>
      <c r="U562" s="2" t="s">
        <v>29</v>
      </c>
      <c r="V562" s="3" t="s">
        <v>29</v>
      </c>
      <c r="W562" s="11" t="s">
        <v>181</v>
      </c>
      <c r="X562" s="3" t="s">
        <v>181</v>
      </c>
      <c r="Y562" s="77" t="s">
        <v>48</v>
      </c>
      <c r="Z562" s="84" t="s">
        <v>1691</v>
      </c>
      <c r="AA562" s="89" t="s">
        <v>28</v>
      </c>
      <c r="AB562" s="90" t="str">
        <f>HYPERLINK(CONCATENATE("https://www.ejacket.nsf.gov/ej/showProposal.do?ID=",SUBSTITUTE(SplitQueryTableRecent[[#This Row],[prop_id]],CHAR(160),"")),"eJ")</f>
        <v>eJ</v>
      </c>
      <c r="AC562" s="89" t="s">
        <v>1690</v>
      </c>
      <c r="AD562" s="3" t="s">
        <v>1691</v>
      </c>
      <c r="AE562" s="91">
        <v>2014</v>
      </c>
      <c r="AF562" s="13" t="s">
        <v>43</v>
      </c>
      <c r="AG562" s="13">
        <v>16000</v>
      </c>
      <c r="AH562" s="45">
        <v>16000</v>
      </c>
      <c r="AI562" s="44" t="s">
        <v>592</v>
      </c>
      <c r="AJ562" s="2" t="s">
        <v>593</v>
      </c>
      <c r="AK562" s="46" t="s">
        <v>246</v>
      </c>
      <c r="AL562" s="55" t="s">
        <v>138</v>
      </c>
      <c r="AM562" s="45" t="s">
        <v>138</v>
      </c>
      <c r="AN562" s="56" t="s">
        <v>180</v>
      </c>
      <c r="AO562" s="23" t="s">
        <v>146</v>
      </c>
      <c r="AP562" s="11"/>
      <c r="AQ562" s="88" t="s">
        <v>1688</v>
      </c>
      <c r="AR562" s="57" t="s">
        <v>164</v>
      </c>
      <c r="AS562" s="46">
        <v>41872.588865740741</v>
      </c>
      <c r="AT562" s="3">
        <f t="shared" si="8"/>
        <v>372</v>
      </c>
    </row>
    <row r="563" spans="8:46" x14ac:dyDescent="0.4">
      <c r="H563" s="59">
        <v>42992.404930555553</v>
      </c>
      <c r="I563" s="43">
        <v>41838</v>
      </c>
      <c r="J563" s="42">
        <v>41844.415671296294</v>
      </c>
      <c r="K563" s="81" t="s">
        <v>49</v>
      </c>
      <c r="L563" t="s">
        <v>49</v>
      </c>
      <c r="M563" t="s">
        <v>336</v>
      </c>
      <c r="N563" s="1" t="s">
        <v>336</v>
      </c>
      <c r="O563" s="1" t="s">
        <v>337</v>
      </c>
      <c r="P563" t="s">
        <v>337</v>
      </c>
      <c r="Q563" s="9" t="s">
        <v>45</v>
      </c>
      <c r="R563" s="82" t="s">
        <v>45</v>
      </c>
      <c r="S563" s="44" t="s">
        <v>52</v>
      </c>
      <c r="T563" s="3" t="s">
        <v>136</v>
      </c>
      <c r="U563" s="2" t="s">
        <v>29</v>
      </c>
      <c r="V563" s="3" t="s">
        <v>29</v>
      </c>
      <c r="W563" s="11" t="s">
        <v>181</v>
      </c>
      <c r="X563" s="3" t="s">
        <v>181</v>
      </c>
      <c r="Y563" s="77" t="s">
        <v>48</v>
      </c>
      <c r="Z563" s="84" t="s">
        <v>1692</v>
      </c>
      <c r="AA563" s="89" t="s">
        <v>28</v>
      </c>
      <c r="AB563" s="90" t="str">
        <f>HYPERLINK(CONCATENATE("https://www.ejacket.nsf.gov/ej/showProposal.do?ID=",SUBSTITUTE(SplitQueryTableRecent[[#This Row],[prop_id]],CHAR(160),"")),"eJ")</f>
        <v>eJ</v>
      </c>
      <c r="AC563" s="89" t="s">
        <v>1690</v>
      </c>
      <c r="AD563" s="3" t="s">
        <v>1692</v>
      </c>
      <c r="AE563" s="91">
        <v>2014</v>
      </c>
      <c r="AF563" s="13" t="s">
        <v>43</v>
      </c>
      <c r="AG563" s="13">
        <v>16000</v>
      </c>
      <c r="AH563" s="45">
        <v>16000</v>
      </c>
      <c r="AI563" s="44" t="s">
        <v>592</v>
      </c>
      <c r="AJ563" s="2" t="s">
        <v>593</v>
      </c>
      <c r="AK563" s="46" t="s">
        <v>246</v>
      </c>
      <c r="AL563" s="55" t="s">
        <v>138</v>
      </c>
      <c r="AM563" s="45" t="s">
        <v>138</v>
      </c>
      <c r="AN563" s="56" t="s">
        <v>180</v>
      </c>
      <c r="AO563" s="23" t="s">
        <v>146</v>
      </c>
      <c r="AP563" s="11"/>
      <c r="AQ563" s="88" t="s">
        <v>1688</v>
      </c>
      <c r="AR563" s="57" t="s">
        <v>164</v>
      </c>
      <c r="AS563" s="46">
        <v>41872.654374999998</v>
      </c>
      <c r="AT563" s="3">
        <f t="shared" si="8"/>
        <v>373</v>
      </c>
    </row>
    <row r="564" spans="8:46" x14ac:dyDescent="0.4">
      <c r="H564" s="59">
        <v>42992.404930555553</v>
      </c>
      <c r="I564" s="43">
        <v>41841</v>
      </c>
      <c r="J564" s="42">
        <v>41844.416377314818</v>
      </c>
      <c r="K564" s="81" t="s">
        <v>49</v>
      </c>
      <c r="L564" t="s">
        <v>49</v>
      </c>
      <c r="M564" t="s">
        <v>336</v>
      </c>
      <c r="N564" s="1" t="s">
        <v>336</v>
      </c>
      <c r="O564" s="1" t="s">
        <v>337</v>
      </c>
      <c r="P564" t="s">
        <v>337</v>
      </c>
      <c r="Q564" s="9" t="s">
        <v>45</v>
      </c>
      <c r="R564" s="82" t="s">
        <v>45</v>
      </c>
      <c r="S564" s="44" t="s">
        <v>52</v>
      </c>
      <c r="T564" s="3" t="s">
        <v>136</v>
      </c>
      <c r="U564" s="2" t="s">
        <v>29</v>
      </c>
      <c r="V564" s="3" t="s">
        <v>29</v>
      </c>
      <c r="W564" s="11" t="s">
        <v>181</v>
      </c>
      <c r="X564" s="3" t="s">
        <v>181</v>
      </c>
      <c r="Y564" s="77" t="s">
        <v>48</v>
      </c>
      <c r="Z564" s="84" t="s">
        <v>1693</v>
      </c>
      <c r="AA564" s="89" t="s">
        <v>28</v>
      </c>
      <c r="AB564" s="90" t="str">
        <f>HYPERLINK(CONCATENATE("https://www.ejacket.nsf.gov/ej/showProposal.do?ID=",SUBSTITUTE(SplitQueryTableRecent[[#This Row],[prop_id]],CHAR(160),"")),"eJ")</f>
        <v>eJ</v>
      </c>
      <c r="AC564" s="89" t="s">
        <v>1690</v>
      </c>
      <c r="AD564" s="3" t="s">
        <v>1693</v>
      </c>
      <c r="AE564" s="91">
        <v>2014</v>
      </c>
      <c r="AF564" s="13" t="s">
        <v>43</v>
      </c>
      <c r="AG564" s="13">
        <v>16000</v>
      </c>
      <c r="AH564" s="45">
        <v>16000</v>
      </c>
      <c r="AI564" s="44" t="s">
        <v>592</v>
      </c>
      <c r="AJ564" s="2" t="s">
        <v>593</v>
      </c>
      <c r="AK564" s="46" t="s">
        <v>246</v>
      </c>
      <c r="AL564" s="55" t="s">
        <v>138</v>
      </c>
      <c r="AM564" s="45" t="s">
        <v>138</v>
      </c>
      <c r="AN564" s="56" t="s">
        <v>180</v>
      </c>
      <c r="AO564" s="23" t="s">
        <v>146</v>
      </c>
      <c r="AP564" s="11"/>
      <c r="AQ564" s="88" t="s">
        <v>1688</v>
      </c>
      <c r="AR564" s="57" t="s">
        <v>164</v>
      </c>
      <c r="AS564" s="46">
        <v>41872.655300925922</v>
      </c>
      <c r="AT564" s="3">
        <f t="shared" si="8"/>
        <v>374</v>
      </c>
    </row>
    <row r="565" spans="8:46" x14ac:dyDescent="0.4">
      <c r="H565" s="59">
        <v>42992.404930555553</v>
      </c>
      <c r="I565" s="43">
        <v>41841</v>
      </c>
      <c r="J565" s="42">
        <v>41844.438321759262</v>
      </c>
      <c r="K565" s="81" t="s">
        <v>49</v>
      </c>
      <c r="L565" t="s">
        <v>49</v>
      </c>
      <c r="M565" t="s">
        <v>336</v>
      </c>
      <c r="N565" s="1" t="s">
        <v>336</v>
      </c>
      <c r="O565" s="1" t="s">
        <v>337</v>
      </c>
      <c r="P565" t="s">
        <v>337</v>
      </c>
      <c r="Q565" s="9" t="s">
        <v>45</v>
      </c>
      <c r="R565" s="82" t="s">
        <v>45</v>
      </c>
      <c r="S565" s="44" t="s">
        <v>52</v>
      </c>
      <c r="T565" s="3" t="s">
        <v>136</v>
      </c>
      <c r="U565" s="2" t="s">
        <v>29</v>
      </c>
      <c r="V565" s="3" t="s">
        <v>29</v>
      </c>
      <c r="W565" s="11" t="s">
        <v>181</v>
      </c>
      <c r="X565" s="3" t="s">
        <v>181</v>
      </c>
      <c r="Y565" s="77" t="s">
        <v>48</v>
      </c>
      <c r="Z565" s="84" t="s">
        <v>1694</v>
      </c>
      <c r="AA565" s="89" t="s">
        <v>28</v>
      </c>
      <c r="AB565" s="90" t="str">
        <f>HYPERLINK(CONCATENATE("https://www.ejacket.nsf.gov/ej/showProposal.do?ID=",SUBSTITUTE(SplitQueryTableRecent[[#This Row],[prop_id]],CHAR(160),"")),"eJ")</f>
        <v>eJ</v>
      </c>
      <c r="AC565" s="89" t="s">
        <v>1690</v>
      </c>
      <c r="AD565" s="3" t="s">
        <v>1694</v>
      </c>
      <c r="AE565" s="91">
        <v>2014</v>
      </c>
      <c r="AF565" s="13" t="s">
        <v>43</v>
      </c>
      <c r="AG565" s="13">
        <v>16000</v>
      </c>
      <c r="AH565" s="45">
        <v>16000</v>
      </c>
      <c r="AI565" s="44" t="s">
        <v>592</v>
      </c>
      <c r="AJ565" s="2" t="s">
        <v>593</v>
      </c>
      <c r="AK565" s="46" t="s">
        <v>246</v>
      </c>
      <c r="AL565" s="55" t="s">
        <v>138</v>
      </c>
      <c r="AM565" s="45" t="s">
        <v>138</v>
      </c>
      <c r="AN565" s="56" t="s">
        <v>180</v>
      </c>
      <c r="AO565" s="23" t="s">
        <v>146</v>
      </c>
      <c r="AP565" s="11"/>
      <c r="AQ565" s="88" t="s">
        <v>1688</v>
      </c>
      <c r="AR565" s="57" t="s">
        <v>164</v>
      </c>
      <c r="AS565" s="46">
        <v>41872.655902777777</v>
      </c>
      <c r="AT565" s="3">
        <f t="shared" si="8"/>
        <v>375</v>
      </c>
    </row>
    <row r="566" spans="8:46" x14ac:dyDescent="0.4">
      <c r="H566" s="59">
        <v>42992.404930555553</v>
      </c>
      <c r="I566" s="43">
        <v>42562</v>
      </c>
      <c r="J566" s="42">
        <v>42565.524722222224</v>
      </c>
      <c r="K566" s="81" t="s">
        <v>49</v>
      </c>
      <c r="L566" t="s">
        <v>49</v>
      </c>
      <c r="M566" t="s">
        <v>336</v>
      </c>
      <c r="N566" s="1" t="s">
        <v>336</v>
      </c>
      <c r="O566" s="1" t="s">
        <v>337</v>
      </c>
      <c r="P566" t="s">
        <v>337</v>
      </c>
      <c r="Q566" s="9" t="s">
        <v>45</v>
      </c>
      <c r="R566" s="82" t="s">
        <v>45</v>
      </c>
      <c r="S566" s="44" t="s">
        <v>60</v>
      </c>
      <c r="T566" s="3" t="s">
        <v>136</v>
      </c>
      <c r="U566" s="2" t="s">
        <v>29</v>
      </c>
      <c r="V566" s="3" t="s">
        <v>29</v>
      </c>
      <c r="W566" s="11" t="s">
        <v>181</v>
      </c>
      <c r="X566" s="3" t="s">
        <v>181</v>
      </c>
      <c r="Y566" s="77" t="s">
        <v>48</v>
      </c>
      <c r="Z566" s="84" t="s">
        <v>1695</v>
      </c>
      <c r="AA566" s="89" t="s">
        <v>28</v>
      </c>
      <c r="AB566" s="90" t="str">
        <f>HYPERLINK(CONCATENATE("https://www.ejacket.nsf.gov/ej/showProposal.do?ID=",SUBSTITUTE(SplitQueryTableRecent[[#This Row],[prop_id]],CHAR(160),"")),"eJ")</f>
        <v>eJ</v>
      </c>
      <c r="AC566" s="89" t="s">
        <v>1690</v>
      </c>
      <c r="AD566" s="3" t="s">
        <v>1695</v>
      </c>
      <c r="AE566" s="91">
        <v>2016</v>
      </c>
      <c r="AF566" s="13" t="s">
        <v>43</v>
      </c>
      <c r="AG566" s="13">
        <v>16000</v>
      </c>
      <c r="AH566" s="45">
        <v>16000</v>
      </c>
      <c r="AI566" s="44" t="s">
        <v>592</v>
      </c>
      <c r="AJ566" s="2" t="s">
        <v>593</v>
      </c>
      <c r="AK566" s="46" t="s">
        <v>246</v>
      </c>
      <c r="AL566" s="55" t="s">
        <v>1031</v>
      </c>
      <c r="AM566" s="45" t="s">
        <v>1031</v>
      </c>
      <c r="AN566" s="56" t="s">
        <v>180</v>
      </c>
      <c r="AO566" s="23" t="s">
        <v>146</v>
      </c>
      <c r="AP566" s="11"/>
      <c r="AQ566" s="88" t="s">
        <v>1688</v>
      </c>
      <c r="AR566" s="57" t="s">
        <v>164</v>
      </c>
      <c r="AS566" s="46">
        <v>42578.353425925925</v>
      </c>
      <c r="AT566" s="3">
        <f t="shared" si="8"/>
        <v>376</v>
      </c>
    </row>
    <row r="567" spans="8:46" x14ac:dyDescent="0.4">
      <c r="H567" s="59">
        <v>42992.404930555553</v>
      </c>
      <c r="I567" s="43">
        <v>42562</v>
      </c>
      <c r="J567" s="42">
        <v>42565.531319444446</v>
      </c>
      <c r="K567" s="81" t="s">
        <v>49</v>
      </c>
      <c r="L567" t="s">
        <v>49</v>
      </c>
      <c r="M567" t="s">
        <v>336</v>
      </c>
      <c r="N567" s="1" t="s">
        <v>336</v>
      </c>
      <c r="O567" s="1" t="s">
        <v>337</v>
      </c>
      <c r="P567" t="s">
        <v>337</v>
      </c>
      <c r="Q567" s="9" t="s">
        <v>45</v>
      </c>
      <c r="R567" s="82" t="s">
        <v>45</v>
      </c>
      <c r="S567" s="44" t="s">
        <v>60</v>
      </c>
      <c r="T567" s="3" t="s">
        <v>136</v>
      </c>
      <c r="U567" s="2" t="s">
        <v>29</v>
      </c>
      <c r="V567" s="3" t="s">
        <v>29</v>
      </c>
      <c r="W567" s="11" t="s">
        <v>181</v>
      </c>
      <c r="X567" s="3" t="s">
        <v>181</v>
      </c>
      <c r="Y567" s="77" t="s">
        <v>48</v>
      </c>
      <c r="Z567" s="84" t="s">
        <v>1696</v>
      </c>
      <c r="AA567" s="89" t="s">
        <v>28</v>
      </c>
      <c r="AB567" s="90" t="str">
        <f>HYPERLINK(CONCATENATE("https://www.ejacket.nsf.gov/ej/showProposal.do?ID=",SUBSTITUTE(SplitQueryTableRecent[[#This Row],[prop_id]],CHAR(160),"")),"eJ")</f>
        <v>eJ</v>
      </c>
      <c r="AC567" s="89" t="s">
        <v>1690</v>
      </c>
      <c r="AD567" s="3" t="s">
        <v>1696</v>
      </c>
      <c r="AE567" s="91">
        <v>2016</v>
      </c>
      <c r="AF567" s="13" t="s">
        <v>43</v>
      </c>
      <c r="AG567" s="13">
        <v>16000</v>
      </c>
      <c r="AH567" s="45">
        <v>16000</v>
      </c>
      <c r="AI567" s="44" t="s">
        <v>592</v>
      </c>
      <c r="AJ567" s="2" t="s">
        <v>593</v>
      </c>
      <c r="AK567" s="46" t="s">
        <v>246</v>
      </c>
      <c r="AL567" s="55" t="s">
        <v>1031</v>
      </c>
      <c r="AM567" s="45" t="s">
        <v>1031</v>
      </c>
      <c r="AN567" s="56" t="s">
        <v>180</v>
      </c>
      <c r="AO567" s="23" t="s">
        <v>146</v>
      </c>
      <c r="AP567" s="11"/>
      <c r="AQ567" s="88" t="s">
        <v>1688</v>
      </c>
      <c r="AR567" s="57" t="s">
        <v>164</v>
      </c>
      <c r="AS567" s="46">
        <v>42578.603750000002</v>
      </c>
      <c r="AT567" s="3">
        <f t="shared" si="8"/>
        <v>377</v>
      </c>
    </row>
    <row r="568" spans="8:46" x14ac:dyDescent="0.4">
      <c r="H568" s="59">
        <v>42992.404930555553</v>
      </c>
      <c r="I568" s="43">
        <v>42562</v>
      </c>
      <c r="J568" s="42">
        <v>42579.512592592589</v>
      </c>
      <c r="K568" s="81" t="s">
        <v>49</v>
      </c>
      <c r="L568" t="s">
        <v>49</v>
      </c>
      <c r="M568" t="s">
        <v>336</v>
      </c>
      <c r="N568" s="1" t="s">
        <v>336</v>
      </c>
      <c r="O568" s="1" t="s">
        <v>337</v>
      </c>
      <c r="P568" t="s">
        <v>337</v>
      </c>
      <c r="Q568" s="9" t="s">
        <v>45</v>
      </c>
      <c r="R568" s="82" t="s">
        <v>45</v>
      </c>
      <c r="S568" s="44" t="s">
        <v>60</v>
      </c>
      <c r="T568" s="3" t="s">
        <v>136</v>
      </c>
      <c r="U568" s="2" t="s">
        <v>29</v>
      </c>
      <c r="V568" s="3" t="s">
        <v>29</v>
      </c>
      <c r="W568" s="11" t="s">
        <v>181</v>
      </c>
      <c r="X568" s="3" t="s">
        <v>181</v>
      </c>
      <c r="Y568" s="77" t="s">
        <v>48</v>
      </c>
      <c r="Z568" s="84" t="s">
        <v>1697</v>
      </c>
      <c r="AA568" s="89" t="s">
        <v>28</v>
      </c>
      <c r="AB568" s="90" t="str">
        <f>HYPERLINK(CONCATENATE("https://www.ejacket.nsf.gov/ej/showProposal.do?ID=",SUBSTITUTE(SplitQueryTableRecent[[#This Row],[prop_id]],CHAR(160),"")),"eJ")</f>
        <v>eJ</v>
      </c>
      <c r="AC568" s="89" t="s">
        <v>1690</v>
      </c>
      <c r="AD568" s="3" t="s">
        <v>1697</v>
      </c>
      <c r="AE568" s="91">
        <v>2016</v>
      </c>
      <c r="AF568" s="13" t="s">
        <v>43</v>
      </c>
      <c r="AG568" s="13">
        <v>16000</v>
      </c>
      <c r="AH568" s="45">
        <v>16000</v>
      </c>
      <c r="AI568" s="44" t="s">
        <v>592</v>
      </c>
      <c r="AJ568" s="2" t="s">
        <v>593</v>
      </c>
      <c r="AK568" s="46" t="s">
        <v>246</v>
      </c>
      <c r="AL568" s="55" t="s">
        <v>1031</v>
      </c>
      <c r="AM568" s="45" t="s">
        <v>1031</v>
      </c>
      <c r="AN568" s="56" t="s">
        <v>180</v>
      </c>
      <c r="AO568" s="23" t="s">
        <v>146</v>
      </c>
      <c r="AP568" s="11"/>
      <c r="AQ568" s="88" t="s">
        <v>1688</v>
      </c>
      <c r="AR568" s="57" t="s">
        <v>164</v>
      </c>
      <c r="AS568" s="46">
        <v>42628.514953703707</v>
      </c>
      <c r="AT568" s="3">
        <f t="shared" si="8"/>
        <v>378</v>
      </c>
    </row>
    <row r="569" spans="8:46" x14ac:dyDescent="0.4">
      <c r="H569" s="59">
        <v>42992.404930555553</v>
      </c>
      <c r="I569" s="43">
        <v>42562</v>
      </c>
      <c r="J569" s="42">
        <v>42565.521354166667</v>
      </c>
      <c r="K569" s="81" t="s">
        <v>49</v>
      </c>
      <c r="L569" t="s">
        <v>49</v>
      </c>
      <c r="M569" t="s">
        <v>336</v>
      </c>
      <c r="N569" s="1" t="s">
        <v>336</v>
      </c>
      <c r="O569" s="1" t="s">
        <v>337</v>
      </c>
      <c r="P569" t="s">
        <v>337</v>
      </c>
      <c r="Q569" s="9" t="s">
        <v>45</v>
      </c>
      <c r="R569" s="82" t="s">
        <v>45</v>
      </c>
      <c r="S569" s="44" t="s">
        <v>60</v>
      </c>
      <c r="T569" s="3" t="s">
        <v>136</v>
      </c>
      <c r="U569" s="2" t="s">
        <v>29</v>
      </c>
      <c r="V569" s="3" t="s">
        <v>29</v>
      </c>
      <c r="W569" s="11" t="s">
        <v>181</v>
      </c>
      <c r="X569" s="3" t="s">
        <v>181</v>
      </c>
      <c r="Y569" s="77" t="s">
        <v>48</v>
      </c>
      <c r="Z569" s="84" t="s">
        <v>1698</v>
      </c>
      <c r="AA569" s="89" t="s">
        <v>28</v>
      </c>
      <c r="AB569" s="90" t="str">
        <f>HYPERLINK(CONCATENATE("https://www.ejacket.nsf.gov/ej/showProposal.do?ID=",SUBSTITUTE(SplitQueryTableRecent[[#This Row],[prop_id]],CHAR(160),"")),"eJ")</f>
        <v>eJ</v>
      </c>
      <c r="AC569" s="89" t="s">
        <v>1690</v>
      </c>
      <c r="AD569" s="3" t="s">
        <v>1698</v>
      </c>
      <c r="AE569" s="91">
        <v>2016</v>
      </c>
      <c r="AF569" s="13" t="s">
        <v>43</v>
      </c>
      <c r="AG569" s="13">
        <v>16000</v>
      </c>
      <c r="AH569" s="45">
        <v>16000</v>
      </c>
      <c r="AI569" s="44" t="s">
        <v>592</v>
      </c>
      <c r="AJ569" s="2" t="s">
        <v>593</v>
      </c>
      <c r="AK569" s="46" t="s">
        <v>246</v>
      </c>
      <c r="AL569" s="55" t="s">
        <v>1031</v>
      </c>
      <c r="AM569" s="45" t="s">
        <v>1031</v>
      </c>
      <c r="AN569" s="56" t="s">
        <v>180</v>
      </c>
      <c r="AO569" s="23" t="s">
        <v>146</v>
      </c>
      <c r="AP569" s="11"/>
      <c r="AQ569" s="88" t="s">
        <v>1688</v>
      </c>
      <c r="AR569" s="57" t="s">
        <v>164</v>
      </c>
      <c r="AS569" s="46">
        <v>42570.478275462963</v>
      </c>
      <c r="AT569" s="3">
        <f t="shared" si="8"/>
        <v>379</v>
      </c>
    </row>
    <row r="570" spans="8:46" x14ac:dyDescent="0.4">
      <c r="H570" s="59">
        <v>42992.404930555553</v>
      </c>
      <c r="I570" s="43">
        <v>42213</v>
      </c>
      <c r="J570" s="42">
        <v>42214.523009259261</v>
      </c>
      <c r="K570" s="81" t="s">
        <v>49</v>
      </c>
      <c r="L570" t="s">
        <v>49</v>
      </c>
      <c r="M570" t="s">
        <v>1687</v>
      </c>
      <c r="N570" s="1" t="s">
        <v>336</v>
      </c>
      <c r="O570" s="1" t="s">
        <v>337</v>
      </c>
      <c r="P570" t="s">
        <v>337</v>
      </c>
      <c r="Q570" s="9" t="s">
        <v>45</v>
      </c>
      <c r="R570" s="82" t="s">
        <v>45</v>
      </c>
      <c r="S570" s="44" t="s">
        <v>52</v>
      </c>
      <c r="T570" s="3" t="s">
        <v>136</v>
      </c>
      <c r="U570" s="2" t="s">
        <v>29</v>
      </c>
      <c r="V570" s="3" t="s">
        <v>29</v>
      </c>
      <c r="W570" s="11" t="s">
        <v>181</v>
      </c>
      <c r="X570" s="3" t="s">
        <v>181</v>
      </c>
      <c r="Y570" s="77" t="s">
        <v>48</v>
      </c>
      <c r="Z570" s="84" t="s">
        <v>1699</v>
      </c>
      <c r="AA570" s="89" t="s">
        <v>28</v>
      </c>
      <c r="AB570" s="90" t="str">
        <f>HYPERLINK(CONCATENATE("https://www.ejacket.nsf.gov/ej/showProposal.do?ID=",SUBSTITUTE(SplitQueryTableRecent[[#This Row],[prop_id]],CHAR(160),"")),"eJ")</f>
        <v>eJ</v>
      </c>
      <c r="AC570" s="89" t="s">
        <v>1690</v>
      </c>
      <c r="AD570" s="3" t="s">
        <v>1699</v>
      </c>
      <c r="AE570" s="91">
        <v>2015</v>
      </c>
      <c r="AF570" s="13" t="s">
        <v>43</v>
      </c>
      <c r="AG570" s="13">
        <v>16000</v>
      </c>
      <c r="AH570" s="45">
        <v>16000</v>
      </c>
      <c r="AI570" s="44" t="s">
        <v>592</v>
      </c>
      <c r="AJ570" s="2" t="s">
        <v>593</v>
      </c>
      <c r="AK570" s="46" t="s">
        <v>246</v>
      </c>
      <c r="AL570" s="55" t="s">
        <v>1031</v>
      </c>
      <c r="AM570" s="45" t="s">
        <v>1031</v>
      </c>
      <c r="AN570" s="56" t="s">
        <v>180</v>
      </c>
      <c r="AO570" s="23" t="s">
        <v>146</v>
      </c>
      <c r="AP570" s="11"/>
      <c r="AQ570" s="88" t="s">
        <v>1688</v>
      </c>
      <c r="AR570" s="57" t="s">
        <v>164</v>
      </c>
      <c r="AS570" s="46">
        <v>42243.492199074077</v>
      </c>
      <c r="AT570" s="3">
        <f t="shared" si="8"/>
        <v>380</v>
      </c>
    </row>
    <row r="571" spans="8:46" x14ac:dyDescent="0.4">
      <c r="H571" s="59">
        <v>42992.404930555553</v>
      </c>
      <c r="I571" s="43">
        <v>42213</v>
      </c>
      <c r="J571" s="42">
        <v>42214.523773148147</v>
      </c>
      <c r="K571" s="81" t="s">
        <v>49</v>
      </c>
      <c r="L571" t="s">
        <v>49</v>
      </c>
      <c r="M571" t="s">
        <v>1687</v>
      </c>
      <c r="N571" s="1" t="s">
        <v>336</v>
      </c>
      <c r="O571" s="1" t="s">
        <v>337</v>
      </c>
      <c r="P571" t="s">
        <v>337</v>
      </c>
      <c r="Q571" s="9" t="s">
        <v>45</v>
      </c>
      <c r="R571" s="82" t="s">
        <v>45</v>
      </c>
      <c r="S571" s="44" t="s">
        <v>52</v>
      </c>
      <c r="T571" s="3" t="s">
        <v>136</v>
      </c>
      <c r="U571" s="2" t="s">
        <v>29</v>
      </c>
      <c r="V571" s="3" t="s">
        <v>29</v>
      </c>
      <c r="W571" s="11" t="s">
        <v>181</v>
      </c>
      <c r="X571" s="3" t="s">
        <v>181</v>
      </c>
      <c r="Y571" s="77" t="s">
        <v>48</v>
      </c>
      <c r="Z571" s="84" t="s">
        <v>1700</v>
      </c>
      <c r="AA571" s="89" t="s">
        <v>28</v>
      </c>
      <c r="AB571" s="90" t="str">
        <f>HYPERLINK(CONCATENATE("https://www.ejacket.nsf.gov/ej/showProposal.do?ID=",SUBSTITUTE(SplitQueryTableRecent[[#This Row],[prop_id]],CHAR(160),"")),"eJ")</f>
        <v>eJ</v>
      </c>
      <c r="AC571" s="89" t="s">
        <v>1690</v>
      </c>
      <c r="AD571" s="3" t="s">
        <v>1700</v>
      </c>
      <c r="AE571" s="91">
        <v>2015</v>
      </c>
      <c r="AF571" s="13" t="s">
        <v>43</v>
      </c>
      <c r="AG571" s="13">
        <v>16000</v>
      </c>
      <c r="AH571" s="45">
        <v>16000</v>
      </c>
      <c r="AI571" s="44" t="s">
        <v>592</v>
      </c>
      <c r="AJ571" s="2" t="s">
        <v>593</v>
      </c>
      <c r="AK571" s="46" t="s">
        <v>246</v>
      </c>
      <c r="AL571" s="55" t="s">
        <v>1031</v>
      </c>
      <c r="AM571" s="45" t="s">
        <v>1031</v>
      </c>
      <c r="AN571" s="56" t="s">
        <v>180</v>
      </c>
      <c r="AO571" s="23" t="s">
        <v>146</v>
      </c>
      <c r="AP571" s="11"/>
      <c r="AQ571" s="88" t="s">
        <v>1688</v>
      </c>
      <c r="AR571" s="57" t="s">
        <v>164</v>
      </c>
      <c r="AS571" s="46">
        <v>42264.324131944442</v>
      </c>
      <c r="AT571" s="3">
        <f t="shared" si="8"/>
        <v>381</v>
      </c>
    </row>
    <row r="572" spans="8:46" x14ac:dyDescent="0.4">
      <c r="H572" s="59">
        <v>42992.404930555553</v>
      </c>
      <c r="I572" s="43">
        <v>42213</v>
      </c>
      <c r="J572" s="42">
        <v>42214.524699074071</v>
      </c>
      <c r="K572" s="81" t="s">
        <v>49</v>
      </c>
      <c r="L572" t="s">
        <v>49</v>
      </c>
      <c r="M572" t="s">
        <v>1687</v>
      </c>
      <c r="N572" s="1" t="s">
        <v>336</v>
      </c>
      <c r="O572" s="1" t="s">
        <v>337</v>
      </c>
      <c r="P572" t="s">
        <v>337</v>
      </c>
      <c r="Q572" s="9" t="s">
        <v>45</v>
      </c>
      <c r="R572" s="82" t="s">
        <v>45</v>
      </c>
      <c r="S572" s="44" t="s">
        <v>52</v>
      </c>
      <c r="T572" s="3" t="s">
        <v>136</v>
      </c>
      <c r="U572" s="2" t="s">
        <v>29</v>
      </c>
      <c r="V572" s="3" t="s">
        <v>29</v>
      </c>
      <c r="W572" s="11" t="s">
        <v>181</v>
      </c>
      <c r="X572" s="3" t="s">
        <v>181</v>
      </c>
      <c r="Y572" s="77" t="s">
        <v>48</v>
      </c>
      <c r="Z572" s="84" t="s">
        <v>1701</v>
      </c>
      <c r="AA572" s="89" t="s">
        <v>28</v>
      </c>
      <c r="AB572" s="90" t="str">
        <f>HYPERLINK(CONCATENATE("https://www.ejacket.nsf.gov/ej/showProposal.do?ID=",SUBSTITUTE(SplitQueryTableRecent[[#This Row],[prop_id]],CHAR(160),"")),"eJ")</f>
        <v>eJ</v>
      </c>
      <c r="AC572" s="89" t="s">
        <v>1690</v>
      </c>
      <c r="AD572" s="3" t="s">
        <v>1701</v>
      </c>
      <c r="AE572" s="91">
        <v>2015</v>
      </c>
      <c r="AF572" s="13" t="s">
        <v>43</v>
      </c>
      <c r="AG572" s="13">
        <v>16000</v>
      </c>
      <c r="AH572" s="45">
        <v>0</v>
      </c>
      <c r="AI572" s="44" t="s">
        <v>592</v>
      </c>
      <c r="AJ572" s="2" t="s">
        <v>593</v>
      </c>
      <c r="AK572" s="46" t="s">
        <v>246</v>
      </c>
      <c r="AL572" s="55" t="s">
        <v>1031</v>
      </c>
      <c r="AM572" s="45" t="s">
        <v>1031</v>
      </c>
      <c r="AN572" s="56" t="s">
        <v>180</v>
      </c>
      <c r="AO572" s="23" t="s">
        <v>146</v>
      </c>
      <c r="AP572" s="11"/>
      <c r="AQ572" s="88" t="s">
        <v>1688</v>
      </c>
      <c r="AR572" s="57" t="s">
        <v>164</v>
      </c>
      <c r="AS572" s="46">
        <v>42264.326388888891</v>
      </c>
      <c r="AT572" s="3">
        <f t="shared" si="8"/>
        <v>382</v>
      </c>
    </row>
    <row r="573" spans="8:46" x14ac:dyDescent="0.4">
      <c r="H573" s="59">
        <v>42992.404930555553</v>
      </c>
      <c r="I573" s="43">
        <v>42562</v>
      </c>
      <c r="J573" s="42">
        <v>42579.511724537035</v>
      </c>
      <c r="K573" s="81" t="s">
        <v>49</v>
      </c>
      <c r="L573" t="s">
        <v>49</v>
      </c>
      <c r="M573" t="s">
        <v>1687</v>
      </c>
      <c r="N573" s="1" t="s">
        <v>336</v>
      </c>
      <c r="O573" s="1" t="s">
        <v>337</v>
      </c>
      <c r="P573" t="s">
        <v>337</v>
      </c>
      <c r="Q573" s="9" t="s">
        <v>45</v>
      </c>
      <c r="R573" s="82" t="s">
        <v>45</v>
      </c>
      <c r="S573" s="44" t="s">
        <v>52</v>
      </c>
      <c r="T573" s="3" t="s">
        <v>136</v>
      </c>
      <c r="U573" s="2" t="s">
        <v>29</v>
      </c>
      <c r="V573" s="3" t="s">
        <v>29</v>
      </c>
      <c r="W573" s="11" t="s">
        <v>181</v>
      </c>
      <c r="X573" s="3" t="s">
        <v>181</v>
      </c>
      <c r="Y573" s="77" t="s">
        <v>48</v>
      </c>
      <c r="Z573" s="84" t="s">
        <v>1702</v>
      </c>
      <c r="AA573" s="89" t="s">
        <v>28</v>
      </c>
      <c r="AB573" s="90" t="str">
        <f>HYPERLINK(CONCATENATE("https://www.ejacket.nsf.gov/ej/showProposal.do?ID=",SUBSTITUTE(SplitQueryTableRecent[[#This Row],[prop_id]],CHAR(160),"")),"eJ")</f>
        <v>eJ</v>
      </c>
      <c r="AC573" s="89" t="s">
        <v>1690</v>
      </c>
      <c r="AD573" s="3" t="s">
        <v>1702</v>
      </c>
      <c r="AE573" s="91">
        <v>2016</v>
      </c>
      <c r="AF573" s="13" t="s">
        <v>43</v>
      </c>
      <c r="AG573" s="13">
        <v>16000</v>
      </c>
      <c r="AH573" s="45">
        <v>16000</v>
      </c>
      <c r="AI573" s="44" t="s">
        <v>592</v>
      </c>
      <c r="AJ573" s="2" t="s">
        <v>593</v>
      </c>
      <c r="AK573" s="46" t="s">
        <v>246</v>
      </c>
      <c r="AL573" s="55" t="s">
        <v>1031</v>
      </c>
      <c r="AM573" s="45" t="s">
        <v>1031</v>
      </c>
      <c r="AN573" s="56" t="s">
        <v>180</v>
      </c>
      <c r="AO573" s="23" t="s">
        <v>146</v>
      </c>
      <c r="AP573" s="11"/>
      <c r="AQ573" s="88" t="s">
        <v>1688</v>
      </c>
      <c r="AR573" s="57" t="s">
        <v>164</v>
      </c>
      <c r="AS573" s="46">
        <v>42625.429918981485</v>
      </c>
      <c r="AT573" s="3">
        <f t="shared" si="8"/>
        <v>383</v>
      </c>
    </row>
    <row r="574" spans="8:46" x14ac:dyDescent="0.4">
      <c r="H574" s="59">
        <v>42992.404930555553</v>
      </c>
      <c r="I574" s="43">
        <v>42562</v>
      </c>
      <c r="J574" s="42">
        <v>42579.512187499997</v>
      </c>
      <c r="K574" s="81" t="s">
        <v>49</v>
      </c>
      <c r="L574" t="s">
        <v>49</v>
      </c>
      <c r="M574" t="s">
        <v>1687</v>
      </c>
      <c r="N574" s="1" t="s">
        <v>336</v>
      </c>
      <c r="O574" s="1" t="s">
        <v>337</v>
      </c>
      <c r="P574" t="s">
        <v>337</v>
      </c>
      <c r="Q574" s="9" t="s">
        <v>45</v>
      </c>
      <c r="R574" s="82" t="s">
        <v>45</v>
      </c>
      <c r="S574" s="44" t="s">
        <v>60</v>
      </c>
      <c r="T574" s="3" t="s">
        <v>136</v>
      </c>
      <c r="U574" s="2" t="s">
        <v>29</v>
      </c>
      <c r="V574" s="3" t="s">
        <v>29</v>
      </c>
      <c r="W574" s="11" t="s">
        <v>181</v>
      </c>
      <c r="X574" s="3" t="s">
        <v>181</v>
      </c>
      <c r="Y574" s="77" t="s">
        <v>48</v>
      </c>
      <c r="Z574" s="84" t="s">
        <v>1703</v>
      </c>
      <c r="AA574" s="89" t="s">
        <v>28</v>
      </c>
      <c r="AB574" s="90" t="str">
        <f>HYPERLINK(CONCATENATE("https://www.ejacket.nsf.gov/ej/showProposal.do?ID=",SUBSTITUTE(SplitQueryTableRecent[[#This Row],[prop_id]],CHAR(160),"")),"eJ")</f>
        <v>eJ</v>
      </c>
      <c r="AC574" s="89" t="s">
        <v>1690</v>
      </c>
      <c r="AD574" s="3" t="s">
        <v>1703</v>
      </c>
      <c r="AE574" s="91">
        <v>2016</v>
      </c>
      <c r="AF574" s="13" t="s">
        <v>43</v>
      </c>
      <c r="AG574" s="13">
        <v>16000</v>
      </c>
      <c r="AH574" s="45">
        <v>16000</v>
      </c>
      <c r="AI574" s="44" t="s">
        <v>592</v>
      </c>
      <c r="AJ574" s="2" t="s">
        <v>593</v>
      </c>
      <c r="AK574" s="46" t="s">
        <v>246</v>
      </c>
      <c r="AL574" s="55" t="s">
        <v>1031</v>
      </c>
      <c r="AM574" s="45" t="s">
        <v>1031</v>
      </c>
      <c r="AN574" s="56" t="s">
        <v>180</v>
      </c>
      <c r="AO574" s="23" t="s">
        <v>146</v>
      </c>
      <c r="AP574" s="11"/>
      <c r="AQ574" s="88" t="s">
        <v>1688</v>
      </c>
      <c r="AR574" s="57" t="s">
        <v>164</v>
      </c>
      <c r="AS574" s="46">
        <v>42626.674212962964</v>
      </c>
      <c r="AT574" s="3">
        <f t="shared" si="8"/>
        <v>384</v>
      </c>
    </row>
    <row r="575" spans="8:46" x14ac:dyDescent="0.4">
      <c r="H575" s="59">
        <v>42992.404930555553</v>
      </c>
      <c r="I575" s="43">
        <v>42195.718055555553</v>
      </c>
      <c r="J575" s="42">
        <v>42418.355381944442</v>
      </c>
      <c r="K575" s="81" t="s">
        <v>562</v>
      </c>
      <c r="L575" t="s">
        <v>49</v>
      </c>
      <c r="M575" t="s">
        <v>564</v>
      </c>
      <c r="N575" s="1" t="s">
        <v>336</v>
      </c>
      <c r="O575" s="1" t="s">
        <v>565</v>
      </c>
      <c r="P575" t="s">
        <v>245</v>
      </c>
      <c r="Q575" s="9" t="s">
        <v>65</v>
      </c>
      <c r="R575" s="82" t="s">
        <v>65</v>
      </c>
      <c r="S575" s="44" t="s">
        <v>566</v>
      </c>
      <c r="T575" s="3" t="s">
        <v>61</v>
      </c>
      <c r="U575" s="2" t="s">
        <v>29</v>
      </c>
      <c r="V575" s="3" t="s">
        <v>162</v>
      </c>
      <c r="W575" s="11" t="s">
        <v>153</v>
      </c>
      <c r="X575" s="3" t="s">
        <v>153</v>
      </c>
      <c r="Y575" s="77" t="s">
        <v>563</v>
      </c>
      <c r="Z575" s="84" t="s">
        <v>567</v>
      </c>
      <c r="AA575" s="89" t="s">
        <v>28</v>
      </c>
      <c r="AB575" s="90" t="str">
        <f>HYPERLINK(CONCATENATE("https://www.ejacket.nsf.gov/ej/showProposal.do?ID=",SUBSTITUTE(SplitQueryTableRecent[[#This Row],[prop_id]],CHAR(160),"")),"eJ")</f>
        <v>eJ</v>
      </c>
      <c r="AC575" s="89" t="s">
        <v>567</v>
      </c>
      <c r="AD575" s="3" t="s">
        <v>567</v>
      </c>
      <c r="AE575" s="91">
        <v>2016</v>
      </c>
      <c r="AF575" s="13" t="s">
        <v>57</v>
      </c>
      <c r="AG575" s="13">
        <v>5000</v>
      </c>
      <c r="AH575" s="45">
        <v>49005</v>
      </c>
      <c r="AI575" s="44" t="s">
        <v>251</v>
      </c>
      <c r="AJ575" s="2" t="s">
        <v>570</v>
      </c>
      <c r="AK575" s="46" t="s">
        <v>1706</v>
      </c>
      <c r="AL575" s="55" t="s">
        <v>155</v>
      </c>
      <c r="AM575" s="45" t="s">
        <v>569</v>
      </c>
      <c r="AN575" s="56" t="s">
        <v>152</v>
      </c>
      <c r="AO575" s="23" t="s">
        <v>163</v>
      </c>
      <c r="AP575" s="11"/>
      <c r="AQ575" s="88" t="s">
        <v>568</v>
      </c>
      <c r="AR575" s="57" t="s">
        <v>179</v>
      </c>
      <c r="AS575" s="46">
        <v>42431.479571759257</v>
      </c>
      <c r="AT575" s="3">
        <f t="shared" si="8"/>
        <v>385</v>
      </c>
    </row>
    <row r="576" spans="8:46" x14ac:dyDescent="0.4">
      <c r="H576" s="59">
        <v>42992.404930555553</v>
      </c>
      <c r="I576" s="43">
        <v>42311.6</v>
      </c>
      <c r="J576" s="42">
        <v>42348.372210648151</v>
      </c>
      <c r="K576" s="81" t="s">
        <v>49</v>
      </c>
      <c r="L576" t="s">
        <v>49</v>
      </c>
      <c r="M576" t="s">
        <v>336</v>
      </c>
      <c r="N576" s="1" t="s">
        <v>336</v>
      </c>
      <c r="O576" s="1" t="s">
        <v>245</v>
      </c>
      <c r="P576" t="s">
        <v>245</v>
      </c>
      <c r="Q576" s="9" t="s">
        <v>65</v>
      </c>
      <c r="R576" s="82" t="s">
        <v>65</v>
      </c>
      <c r="S576" s="44" t="s">
        <v>186</v>
      </c>
      <c r="T576" s="3" t="s">
        <v>61</v>
      </c>
      <c r="U576" s="2" t="s">
        <v>29</v>
      </c>
      <c r="V576" s="3" t="s">
        <v>162</v>
      </c>
      <c r="W576" s="11" t="s">
        <v>153</v>
      </c>
      <c r="X576" s="3" t="s">
        <v>153</v>
      </c>
      <c r="Y576" s="77" t="s">
        <v>48</v>
      </c>
      <c r="Z576" s="84" t="s">
        <v>615</v>
      </c>
      <c r="AA576" s="89" t="s">
        <v>28</v>
      </c>
      <c r="AB576" s="90" t="str">
        <f>HYPERLINK(CONCATENATE("https://www.ejacket.nsf.gov/ej/showProposal.do?ID=",SUBSTITUTE(SplitQueryTableRecent[[#This Row],[prop_id]],CHAR(160),"")),"eJ")</f>
        <v>eJ</v>
      </c>
      <c r="AC576" s="89" t="s">
        <v>615</v>
      </c>
      <c r="AD576" s="3" t="s">
        <v>615</v>
      </c>
      <c r="AE576" s="91">
        <v>2016</v>
      </c>
      <c r="AF576" s="13" t="s">
        <v>43</v>
      </c>
      <c r="AG576" s="13">
        <v>10000</v>
      </c>
      <c r="AH576" s="45">
        <v>20000</v>
      </c>
      <c r="AI576" s="44" t="s">
        <v>614</v>
      </c>
      <c r="AJ576" s="2" t="s">
        <v>322</v>
      </c>
      <c r="AK576" s="46" t="s">
        <v>212</v>
      </c>
      <c r="AL576" s="55" t="s">
        <v>155</v>
      </c>
      <c r="AM576" s="45" t="s">
        <v>155</v>
      </c>
      <c r="AN576" s="56" t="s">
        <v>152</v>
      </c>
      <c r="AO576" s="23" t="s">
        <v>163</v>
      </c>
      <c r="AP576" s="11"/>
      <c r="AQ576" s="88" t="s">
        <v>616</v>
      </c>
      <c r="AR576" s="57" t="s">
        <v>40</v>
      </c>
      <c r="AS576" s="46">
        <v>42352.597094907411</v>
      </c>
      <c r="AT576" s="3">
        <f t="shared" si="8"/>
        <v>386</v>
      </c>
    </row>
    <row r="577" spans="8:46" x14ac:dyDescent="0.4">
      <c r="H577" s="59">
        <v>42992.404930555553</v>
      </c>
      <c r="I577" s="43">
        <v>41642.487500000003</v>
      </c>
      <c r="J577" s="42">
        <v>41688.730474537035</v>
      </c>
      <c r="K577" s="81" t="s">
        <v>49</v>
      </c>
      <c r="L577" t="s">
        <v>49</v>
      </c>
      <c r="M577" t="s">
        <v>336</v>
      </c>
      <c r="N577" s="1" t="s">
        <v>336</v>
      </c>
      <c r="O577" s="1" t="s">
        <v>337</v>
      </c>
      <c r="P577" t="s">
        <v>337</v>
      </c>
      <c r="Q577" s="9" t="s">
        <v>65</v>
      </c>
      <c r="R577" s="82" t="s">
        <v>65</v>
      </c>
      <c r="S577" s="44" t="s">
        <v>173</v>
      </c>
      <c r="T577" s="3" t="s">
        <v>61</v>
      </c>
      <c r="U577" s="2" t="s">
        <v>29</v>
      </c>
      <c r="V577" s="3" t="s">
        <v>162</v>
      </c>
      <c r="W577" s="11" t="s">
        <v>153</v>
      </c>
      <c r="X577" s="3" t="s">
        <v>153</v>
      </c>
      <c r="Y577" s="77" t="s">
        <v>48</v>
      </c>
      <c r="Z577" s="84" t="s">
        <v>668</v>
      </c>
      <c r="AA577" s="89" t="s">
        <v>28</v>
      </c>
      <c r="AB577" s="90" t="str">
        <f>HYPERLINK(CONCATENATE("https://www.ejacket.nsf.gov/ej/showProposal.do?ID=",SUBSTITUTE(SplitQueryTableRecent[[#This Row],[prop_id]],CHAR(160),"")),"eJ")</f>
        <v>eJ</v>
      </c>
      <c r="AC577" s="89" t="s">
        <v>668</v>
      </c>
      <c r="AD577" s="3" t="s">
        <v>668</v>
      </c>
      <c r="AE577" s="91">
        <v>2014</v>
      </c>
      <c r="AF577" s="13" t="s">
        <v>43</v>
      </c>
      <c r="AG577" s="13">
        <v>12500</v>
      </c>
      <c r="AH577" s="45">
        <v>10000</v>
      </c>
      <c r="AI577" s="44" t="s">
        <v>666</v>
      </c>
      <c r="AJ577" s="2" t="s">
        <v>667</v>
      </c>
      <c r="AK577" s="46" t="s">
        <v>1713</v>
      </c>
      <c r="AL577" s="55" t="s">
        <v>559</v>
      </c>
      <c r="AM577" s="45" t="s">
        <v>559</v>
      </c>
      <c r="AN577" s="56" t="s">
        <v>152</v>
      </c>
      <c r="AO577" s="23" t="s">
        <v>163</v>
      </c>
      <c r="AP577" s="11"/>
      <c r="AQ577" s="88" t="s">
        <v>669</v>
      </c>
      <c r="AR577" s="57" t="s">
        <v>161</v>
      </c>
      <c r="AS577" s="46">
        <v>41694.507754629631</v>
      </c>
      <c r="AT577" s="3">
        <f t="shared" si="8"/>
        <v>387</v>
      </c>
    </row>
    <row r="578" spans="8:46" x14ac:dyDescent="0.4">
      <c r="H578" s="59">
        <v>42992.404930555553</v>
      </c>
      <c r="I578" s="43">
        <v>41702.724305555559</v>
      </c>
      <c r="J578" s="42">
        <v>41802.476574074077</v>
      </c>
      <c r="K578" s="81" t="s">
        <v>49</v>
      </c>
      <c r="L578" t="s">
        <v>49</v>
      </c>
      <c r="M578" t="s">
        <v>336</v>
      </c>
      <c r="N578" s="1" t="s">
        <v>336</v>
      </c>
      <c r="O578" s="1" t="s">
        <v>337</v>
      </c>
      <c r="P578" t="s">
        <v>337</v>
      </c>
      <c r="Q578" s="9" t="s">
        <v>45</v>
      </c>
      <c r="R578" s="82" t="s">
        <v>45</v>
      </c>
      <c r="S578" s="44" t="s">
        <v>349</v>
      </c>
      <c r="T578" s="3" t="s">
        <v>61</v>
      </c>
      <c r="U578" s="2" t="s">
        <v>29</v>
      </c>
      <c r="V578" s="3" t="s">
        <v>162</v>
      </c>
      <c r="W578" s="11" t="s">
        <v>153</v>
      </c>
      <c r="X578" s="3" t="s">
        <v>153</v>
      </c>
      <c r="Y578" s="77" t="s">
        <v>48</v>
      </c>
      <c r="Z578" s="84" t="s">
        <v>720</v>
      </c>
      <c r="AA578" s="89" t="s">
        <v>28</v>
      </c>
      <c r="AB578" s="90" t="str">
        <f>HYPERLINK(CONCATENATE("https://www.ejacket.nsf.gov/ej/showProposal.do?ID=",SUBSTITUTE(SplitQueryTableRecent[[#This Row],[prop_id]],CHAR(160),"")),"eJ")</f>
        <v>eJ</v>
      </c>
      <c r="AC578" s="89" t="s">
        <v>720</v>
      </c>
      <c r="AD578" s="3" t="s">
        <v>720</v>
      </c>
      <c r="AE578" s="91">
        <v>2014</v>
      </c>
      <c r="AF578" s="13" t="s">
        <v>43</v>
      </c>
      <c r="AG578" s="13">
        <v>200000</v>
      </c>
      <c r="AH578" s="45">
        <v>200000</v>
      </c>
      <c r="AI578" s="44" t="s">
        <v>354</v>
      </c>
      <c r="AJ578" s="2" t="s">
        <v>355</v>
      </c>
      <c r="AK578" s="46" t="s">
        <v>1710</v>
      </c>
      <c r="AL578" s="55" t="s">
        <v>722</v>
      </c>
      <c r="AM578" s="45" t="s">
        <v>722</v>
      </c>
      <c r="AN578" s="56" t="s">
        <v>152</v>
      </c>
      <c r="AO578" s="23" t="s">
        <v>163</v>
      </c>
      <c r="AP578" s="11"/>
      <c r="AQ578" s="88" t="s">
        <v>721</v>
      </c>
      <c r="AR578" s="57" t="s">
        <v>161</v>
      </c>
      <c r="AS578" s="46">
        <v>41806.423472222225</v>
      </c>
      <c r="AT578" s="3">
        <f t="shared" si="8"/>
        <v>388</v>
      </c>
    </row>
    <row r="579" spans="8:46" x14ac:dyDescent="0.4">
      <c r="H579" s="59">
        <v>42992.404930555553</v>
      </c>
      <c r="I579" s="43">
        <v>41683.617361111108</v>
      </c>
      <c r="J579" s="42">
        <v>41729.654745370368</v>
      </c>
      <c r="K579" s="81" t="s">
        <v>49</v>
      </c>
      <c r="L579" t="s">
        <v>49</v>
      </c>
      <c r="M579" t="s">
        <v>336</v>
      </c>
      <c r="N579" s="1" t="s">
        <v>336</v>
      </c>
      <c r="O579" s="1" t="s">
        <v>245</v>
      </c>
      <c r="P579" t="s">
        <v>245</v>
      </c>
      <c r="Q579" s="9" t="s">
        <v>65</v>
      </c>
      <c r="R579" s="82" t="s">
        <v>65</v>
      </c>
      <c r="S579" s="44" t="s">
        <v>557</v>
      </c>
      <c r="T579" s="3" t="s">
        <v>61</v>
      </c>
      <c r="U579" s="2" t="s">
        <v>29</v>
      </c>
      <c r="V579" s="3" t="s">
        <v>162</v>
      </c>
      <c r="W579" s="11" t="s">
        <v>153</v>
      </c>
      <c r="X579" s="3" t="s">
        <v>153</v>
      </c>
      <c r="Y579" s="77" t="s">
        <v>48</v>
      </c>
      <c r="Z579" s="84" t="s">
        <v>739</v>
      </c>
      <c r="AA579" s="89" t="s">
        <v>28</v>
      </c>
      <c r="AB579" s="90" t="str">
        <f>HYPERLINK(CONCATENATE("https://www.ejacket.nsf.gov/ej/showProposal.do?ID=",SUBSTITUTE(SplitQueryTableRecent[[#This Row],[prop_id]],CHAR(160),"")),"eJ")</f>
        <v>eJ</v>
      </c>
      <c r="AC579" s="89" t="s">
        <v>739</v>
      </c>
      <c r="AD579" s="3" t="s">
        <v>739</v>
      </c>
      <c r="AE579" s="91">
        <v>2014</v>
      </c>
      <c r="AF579" s="13" t="s">
        <v>43</v>
      </c>
      <c r="AG579" s="13">
        <v>10000</v>
      </c>
      <c r="AH579" s="45">
        <v>20000</v>
      </c>
      <c r="AI579" s="44" t="s">
        <v>738</v>
      </c>
      <c r="AJ579" s="2" t="s">
        <v>260</v>
      </c>
      <c r="AK579" s="46" t="s">
        <v>1720</v>
      </c>
      <c r="AL579" s="55" t="s">
        <v>572</v>
      </c>
      <c r="AM579" s="45" t="s">
        <v>572</v>
      </c>
      <c r="AN579" s="56" t="s">
        <v>152</v>
      </c>
      <c r="AO579" s="23" t="s">
        <v>163</v>
      </c>
      <c r="AP579" s="11"/>
      <c r="AQ579" s="88" t="s">
        <v>740</v>
      </c>
      <c r="AR579" s="57" t="s">
        <v>161</v>
      </c>
      <c r="AS579" s="46">
        <v>41738.382847222223</v>
      </c>
      <c r="AT579" s="3">
        <f t="shared" si="8"/>
        <v>389</v>
      </c>
    </row>
    <row r="580" spans="8:46" x14ac:dyDescent="0.4">
      <c r="H580" s="59">
        <v>42992.404930555553</v>
      </c>
      <c r="I580" s="43">
        <v>42508.454861111109</v>
      </c>
      <c r="J580" s="42">
        <v>42509.519861111112</v>
      </c>
      <c r="K580" s="81" t="s">
        <v>49</v>
      </c>
      <c r="L580" t="s">
        <v>49</v>
      </c>
      <c r="M580" t="s">
        <v>336</v>
      </c>
      <c r="N580" s="1" t="s">
        <v>336</v>
      </c>
      <c r="O580" s="1" t="s">
        <v>337</v>
      </c>
      <c r="P580" t="s">
        <v>337</v>
      </c>
      <c r="Q580" s="9" t="s">
        <v>65</v>
      </c>
      <c r="R580" s="82" t="s">
        <v>65</v>
      </c>
      <c r="S580" s="44" t="s">
        <v>60</v>
      </c>
      <c r="T580" s="3" t="s">
        <v>61</v>
      </c>
      <c r="U580" s="2" t="s">
        <v>29</v>
      </c>
      <c r="V580" s="3" t="s">
        <v>162</v>
      </c>
      <c r="W580" s="11" t="s">
        <v>153</v>
      </c>
      <c r="X580" s="3" t="s">
        <v>153</v>
      </c>
      <c r="Y580" s="77" t="s">
        <v>48</v>
      </c>
      <c r="Z580" s="84" t="s">
        <v>749</v>
      </c>
      <c r="AA580" s="89" t="s">
        <v>28</v>
      </c>
      <c r="AB580" s="90" t="str">
        <f>HYPERLINK(CONCATENATE("https://www.ejacket.nsf.gov/ej/showProposal.do?ID=",SUBSTITUTE(SplitQueryTableRecent[[#This Row],[prop_id]],CHAR(160),"")),"eJ")</f>
        <v>eJ</v>
      </c>
      <c r="AC580" s="89" t="s">
        <v>749</v>
      </c>
      <c r="AD580" s="3" t="s">
        <v>749</v>
      </c>
      <c r="AE580" s="91">
        <v>2016</v>
      </c>
      <c r="AF580" s="13" t="s">
        <v>43</v>
      </c>
      <c r="AG580" s="13">
        <v>10000</v>
      </c>
      <c r="AH580" s="45">
        <v>10000</v>
      </c>
      <c r="AI580" s="44" t="s">
        <v>748</v>
      </c>
      <c r="AJ580" s="2" t="s">
        <v>422</v>
      </c>
      <c r="AK580" s="46" t="s">
        <v>1709</v>
      </c>
      <c r="AL580" s="55" t="s">
        <v>751</v>
      </c>
      <c r="AM580" s="45" t="s">
        <v>751</v>
      </c>
      <c r="AN580" s="56" t="s">
        <v>152</v>
      </c>
      <c r="AO580" s="23" t="s">
        <v>163</v>
      </c>
      <c r="AP580" s="11"/>
      <c r="AQ580" s="88" t="s">
        <v>750</v>
      </c>
      <c r="AR580" s="57" t="s">
        <v>203</v>
      </c>
      <c r="AS580" s="46">
        <v>42532.677581018521</v>
      </c>
      <c r="AT580" s="3">
        <f t="shared" si="8"/>
        <v>390</v>
      </c>
    </row>
    <row r="581" spans="8:46" x14ac:dyDescent="0.4">
      <c r="H581" s="59">
        <v>42992.404930555553</v>
      </c>
      <c r="I581" s="43">
        <v>42024.538194444445</v>
      </c>
      <c r="J581" s="42">
        <v>42047.681608796294</v>
      </c>
      <c r="K581" s="81" t="s">
        <v>49</v>
      </c>
      <c r="L581" t="s">
        <v>49</v>
      </c>
      <c r="M581" t="s">
        <v>336</v>
      </c>
      <c r="N581" s="1" t="s">
        <v>336</v>
      </c>
      <c r="O581" s="1" t="s">
        <v>245</v>
      </c>
      <c r="P581" t="s">
        <v>245</v>
      </c>
      <c r="Q581" s="9" t="s">
        <v>45</v>
      </c>
      <c r="R581" s="82" t="s">
        <v>45</v>
      </c>
      <c r="S581" s="44" t="s">
        <v>349</v>
      </c>
      <c r="T581" s="3" t="s">
        <v>61</v>
      </c>
      <c r="U581" s="2" t="s">
        <v>29</v>
      </c>
      <c r="V581" s="3" t="s">
        <v>162</v>
      </c>
      <c r="W581" s="11" t="s">
        <v>153</v>
      </c>
      <c r="X581" s="3" t="s">
        <v>153</v>
      </c>
      <c r="Y581" s="77" t="s">
        <v>48</v>
      </c>
      <c r="Z581" s="84" t="s">
        <v>768</v>
      </c>
      <c r="AA581" s="89" t="s">
        <v>28</v>
      </c>
      <c r="AB581" s="90" t="str">
        <f>HYPERLINK(CONCATENATE("https://www.ejacket.nsf.gov/ej/showProposal.do?ID=",SUBSTITUTE(SplitQueryTableRecent[[#This Row],[prop_id]],CHAR(160),"")),"eJ")</f>
        <v>eJ</v>
      </c>
      <c r="AC581" s="89" t="s">
        <v>768</v>
      </c>
      <c r="AD581" s="3" t="s">
        <v>768</v>
      </c>
      <c r="AE581" s="91">
        <v>2015</v>
      </c>
      <c r="AF581" s="13" t="s">
        <v>43</v>
      </c>
      <c r="AG581" s="13">
        <v>10000</v>
      </c>
      <c r="AH581" s="45">
        <v>20000</v>
      </c>
      <c r="AI581" s="44" t="s">
        <v>360</v>
      </c>
      <c r="AJ581" s="2" t="s">
        <v>331</v>
      </c>
      <c r="AK581" s="46" t="s">
        <v>195</v>
      </c>
      <c r="AL581" s="55"/>
      <c r="AM581" s="45"/>
      <c r="AN581" s="56" t="s">
        <v>152</v>
      </c>
      <c r="AO581" s="23" t="s">
        <v>163</v>
      </c>
      <c r="AP581" s="11"/>
      <c r="AQ581" s="88" t="s">
        <v>769</v>
      </c>
      <c r="AR581" s="57" t="s">
        <v>164</v>
      </c>
      <c r="AS581" s="46">
        <v>42069.341736111113</v>
      </c>
      <c r="AT581" s="3">
        <f t="shared" si="8"/>
        <v>391</v>
      </c>
    </row>
    <row r="582" spans="8:46" x14ac:dyDescent="0.4">
      <c r="H582" s="59">
        <v>42992.404930555553</v>
      </c>
      <c r="I582" s="43">
        <v>42013.416666666664</v>
      </c>
      <c r="J582" s="42">
        <v>42044.731388888889</v>
      </c>
      <c r="K582" s="81" t="s">
        <v>137</v>
      </c>
      <c r="L582" t="s">
        <v>49</v>
      </c>
      <c r="M582" t="s">
        <v>594</v>
      </c>
      <c r="N582" s="1" t="s">
        <v>336</v>
      </c>
      <c r="O582" s="1" t="s">
        <v>227</v>
      </c>
      <c r="P582" t="s">
        <v>245</v>
      </c>
      <c r="Q582" s="9" t="s">
        <v>65</v>
      </c>
      <c r="R582" s="82" t="s">
        <v>65</v>
      </c>
      <c r="S582" s="44" t="s">
        <v>349</v>
      </c>
      <c r="T582" s="3" t="s">
        <v>61</v>
      </c>
      <c r="U582" s="2" t="s">
        <v>29</v>
      </c>
      <c r="V582" s="3" t="s">
        <v>162</v>
      </c>
      <c r="W582" s="11" t="s">
        <v>153</v>
      </c>
      <c r="X582" s="3" t="s">
        <v>153</v>
      </c>
      <c r="Y582" s="77" t="s">
        <v>334</v>
      </c>
      <c r="Z582" s="84" t="s">
        <v>812</v>
      </c>
      <c r="AA582" s="89" t="s">
        <v>28</v>
      </c>
      <c r="AB582" s="90" t="str">
        <f>HYPERLINK(CONCATENATE("https://www.ejacket.nsf.gov/ej/showProposal.do?ID=",SUBSTITUTE(SplitQueryTableRecent[[#This Row],[prop_id]],CHAR(160),"")),"eJ")</f>
        <v>eJ</v>
      </c>
      <c r="AC582" s="89" t="s">
        <v>812</v>
      </c>
      <c r="AD582" s="3" t="s">
        <v>812</v>
      </c>
      <c r="AE582" s="91">
        <v>2015</v>
      </c>
      <c r="AF582" s="13" t="s">
        <v>44</v>
      </c>
      <c r="AG582" s="13">
        <v>37500</v>
      </c>
      <c r="AH582" s="45">
        <v>75000</v>
      </c>
      <c r="AI582" s="44" t="s">
        <v>814</v>
      </c>
      <c r="AJ582" s="2" t="s">
        <v>815</v>
      </c>
      <c r="AK582" s="46" t="s">
        <v>1715</v>
      </c>
      <c r="AL582" s="55" t="s">
        <v>155</v>
      </c>
      <c r="AM582" s="45" t="s">
        <v>155</v>
      </c>
      <c r="AN582" s="56" t="s">
        <v>152</v>
      </c>
      <c r="AO582" s="23" t="s">
        <v>163</v>
      </c>
      <c r="AP582" s="11"/>
      <c r="AQ582" s="88" t="s">
        <v>813</v>
      </c>
      <c r="AR582" s="57" t="s">
        <v>193</v>
      </c>
      <c r="AS582" s="46">
        <v>42047.688877314817</v>
      </c>
      <c r="AT582" s="3">
        <f t="shared" si="8"/>
        <v>392</v>
      </c>
    </row>
    <row r="583" spans="8:46" x14ac:dyDescent="0.4">
      <c r="H583" s="59">
        <v>42992.404930555553</v>
      </c>
      <c r="I583" s="43">
        <v>41667.678472222222</v>
      </c>
      <c r="J583" s="42">
        <v>41767.465960648151</v>
      </c>
      <c r="K583" s="81" t="s">
        <v>49</v>
      </c>
      <c r="L583" t="s">
        <v>49</v>
      </c>
      <c r="M583" t="s">
        <v>336</v>
      </c>
      <c r="N583" s="1" t="s">
        <v>336</v>
      </c>
      <c r="O583" s="1" t="s">
        <v>245</v>
      </c>
      <c r="P583" t="s">
        <v>245</v>
      </c>
      <c r="Q583" s="9" t="s">
        <v>65</v>
      </c>
      <c r="R583" s="82" t="s">
        <v>65</v>
      </c>
      <c r="S583" s="44" t="s">
        <v>557</v>
      </c>
      <c r="T583" s="3" t="s">
        <v>61</v>
      </c>
      <c r="U583" s="2" t="s">
        <v>29</v>
      </c>
      <c r="V583" s="3" t="s">
        <v>162</v>
      </c>
      <c r="W583" s="11" t="s">
        <v>153</v>
      </c>
      <c r="X583" s="3" t="s">
        <v>153</v>
      </c>
      <c r="Y583" s="77" t="s">
        <v>48</v>
      </c>
      <c r="Z583" s="84" t="s">
        <v>834</v>
      </c>
      <c r="AA583" s="89" t="s">
        <v>28</v>
      </c>
      <c r="AB583" s="90" t="str">
        <f>HYPERLINK(CONCATENATE("https://www.ejacket.nsf.gov/ej/showProposal.do?ID=",SUBSTITUTE(SplitQueryTableRecent[[#This Row],[prop_id]],CHAR(160),"")),"eJ")</f>
        <v>eJ</v>
      </c>
      <c r="AC583" s="89" t="s">
        <v>834</v>
      </c>
      <c r="AD583" s="3" t="s">
        <v>834</v>
      </c>
      <c r="AE583" s="91">
        <v>2014</v>
      </c>
      <c r="AF583" s="13" t="s">
        <v>43</v>
      </c>
      <c r="AG583" s="13">
        <v>10000</v>
      </c>
      <c r="AH583" s="45">
        <v>20000</v>
      </c>
      <c r="AI583" s="44" t="s">
        <v>829</v>
      </c>
      <c r="AJ583" s="2" t="s">
        <v>830</v>
      </c>
      <c r="AK583" s="46" t="s">
        <v>1725</v>
      </c>
      <c r="AL583" s="55" t="s">
        <v>572</v>
      </c>
      <c r="AM583" s="45" t="s">
        <v>572</v>
      </c>
      <c r="AN583" s="56" t="s">
        <v>152</v>
      </c>
      <c r="AO583" s="23" t="s">
        <v>163</v>
      </c>
      <c r="AP583" s="11"/>
      <c r="AQ583" s="88" t="s">
        <v>835</v>
      </c>
      <c r="AR583" s="57" t="s">
        <v>161</v>
      </c>
      <c r="AS583" s="46">
        <v>41768.648599537039</v>
      </c>
      <c r="AT583" s="3">
        <f t="shared" si="8"/>
        <v>393</v>
      </c>
    </row>
    <row r="584" spans="8:46" x14ac:dyDescent="0.4">
      <c r="H584" s="59">
        <v>42992.404930555553</v>
      </c>
      <c r="I584" s="43">
        <v>41653.431250000001</v>
      </c>
      <c r="J584" s="42">
        <v>41841.551655092589</v>
      </c>
      <c r="K584" s="81" t="s">
        <v>49</v>
      </c>
      <c r="L584" t="s">
        <v>49</v>
      </c>
      <c r="M584" t="s">
        <v>336</v>
      </c>
      <c r="N584" s="1" t="s">
        <v>336</v>
      </c>
      <c r="O584" s="1" t="s">
        <v>337</v>
      </c>
      <c r="P584" t="s">
        <v>337</v>
      </c>
      <c r="Q584" s="9" t="s">
        <v>45</v>
      </c>
      <c r="R584" s="82" t="s">
        <v>45</v>
      </c>
      <c r="S584" s="44" t="s">
        <v>173</v>
      </c>
      <c r="T584" s="3" t="s">
        <v>61</v>
      </c>
      <c r="U584" s="2" t="s">
        <v>29</v>
      </c>
      <c r="V584" s="3" t="s">
        <v>162</v>
      </c>
      <c r="W584" s="11" t="s">
        <v>153</v>
      </c>
      <c r="X584" s="3" t="s">
        <v>153</v>
      </c>
      <c r="Y584" s="77" t="s">
        <v>48</v>
      </c>
      <c r="Z584" s="84" t="s">
        <v>874</v>
      </c>
      <c r="AA584" s="89" t="s">
        <v>28</v>
      </c>
      <c r="AB584" s="90" t="str">
        <f>HYPERLINK(CONCATENATE("https://www.ejacket.nsf.gov/ej/showProposal.do?ID=",SUBSTITUTE(SplitQueryTableRecent[[#This Row],[prop_id]],CHAR(160),"")),"eJ")</f>
        <v>eJ</v>
      </c>
      <c r="AC584" s="89" t="s">
        <v>874</v>
      </c>
      <c r="AD584" s="3" t="s">
        <v>874</v>
      </c>
      <c r="AE584" s="91">
        <v>2014</v>
      </c>
      <c r="AF584" s="13" t="s">
        <v>43</v>
      </c>
      <c r="AG584" s="13">
        <v>150000</v>
      </c>
      <c r="AH584" s="45">
        <v>499559</v>
      </c>
      <c r="AI584" s="44" t="s">
        <v>876</v>
      </c>
      <c r="AJ584" s="2" t="s">
        <v>877</v>
      </c>
      <c r="AK584" s="46" t="s">
        <v>1728</v>
      </c>
      <c r="AL584" s="55" t="s">
        <v>584</v>
      </c>
      <c r="AM584" s="45" t="s">
        <v>584</v>
      </c>
      <c r="AN584" s="56" t="s">
        <v>152</v>
      </c>
      <c r="AO584" s="23" t="s">
        <v>163</v>
      </c>
      <c r="AP584" s="11"/>
      <c r="AQ584" s="88" t="s">
        <v>875</v>
      </c>
      <c r="AR584" s="57" t="s">
        <v>164</v>
      </c>
      <c r="AS584" s="46">
        <v>41872.590405092589</v>
      </c>
      <c r="AT584" s="3">
        <f t="shared" si="8"/>
        <v>394</v>
      </c>
    </row>
    <row r="585" spans="8:46" x14ac:dyDescent="0.4">
      <c r="H585" s="59">
        <v>42992.404930555553</v>
      </c>
      <c r="I585" s="43">
        <v>41653.57916666667</v>
      </c>
      <c r="J585" s="42">
        <v>41834.516701388886</v>
      </c>
      <c r="K585" s="81" t="s">
        <v>49</v>
      </c>
      <c r="L585" t="s">
        <v>49</v>
      </c>
      <c r="M585" t="s">
        <v>336</v>
      </c>
      <c r="N585" s="1" t="s">
        <v>336</v>
      </c>
      <c r="O585" s="1" t="s">
        <v>245</v>
      </c>
      <c r="P585" t="s">
        <v>245</v>
      </c>
      <c r="Q585" s="9" t="s">
        <v>45</v>
      </c>
      <c r="R585" s="82" t="s">
        <v>45</v>
      </c>
      <c r="S585" s="44" t="s">
        <v>173</v>
      </c>
      <c r="T585" s="3" t="s">
        <v>61</v>
      </c>
      <c r="U585" s="2" t="s">
        <v>29</v>
      </c>
      <c r="V585" s="3" t="s">
        <v>162</v>
      </c>
      <c r="W585" s="11" t="s">
        <v>153</v>
      </c>
      <c r="X585" s="3" t="s">
        <v>153</v>
      </c>
      <c r="Y585" s="77" t="s">
        <v>48</v>
      </c>
      <c r="Z585" s="84" t="s">
        <v>882</v>
      </c>
      <c r="AA585" s="89" t="s">
        <v>62</v>
      </c>
      <c r="AB585" s="90" t="str">
        <f>HYPERLINK(CONCATENATE("https://www.ejacket.nsf.gov/ej/showProposal.do?ID=",SUBSTITUTE(SplitQueryTableRecent[[#This Row],[prop_id]],CHAR(160),"")),"eJ")</f>
        <v>eJ</v>
      </c>
      <c r="AC585" s="89" t="s">
        <v>881</v>
      </c>
      <c r="AD585" s="3" t="s">
        <v>881</v>
      </c>
      <c r="AE585" s="91">
        <v>2014</v>
      </c>
      <c r="AF585" s="13" t="s">
        <v>43</v>
      </c>
      <c r="AG585" s="13">
        <v>120000</v>
      </c>
      <c r="AH585" s="45">
        <v>250000</v>
      </c>
      <c r="AI585" s="44" t="s">
        <v>879</v>
      </c>
      <c r="AJ585" s="2" t="s">
        <v>880</v>
      </c>
      <c r="AK585" s="46" t="s">
        <v>1707</v>
      </c>
      <c r="AL585" s="55" t="s">
        <v>369</v>
      </c>
      <c r="AM585" s="45" t="s">
        <v>369</v>
      </c>
      <c r="AN585" s="56" t="s">
        <v>152</v>
      </c>
      <c r="AO585" s="23" t="s">
        <v>163</v>
      </c>
      <c r="AP585" s="11"/>
      <c r="AQ585" s="88" t="s">
        <v>883</v>
      </c>
      <c r="AR585" s="57" t="s">
        <v>164</v>
      </c>
      <c r="AS585" s="46">
        <v>41848.519872685189</v>
      </c>
      <c r="AT585" s="3">
        <f t="shared" si="8"/>
        <v>395</v>
      </c>
    </row>
    <row r="586" spans="8:46" x14ac:dyDescent="0.4">
      <c r="H586" s="59">
        <v>42992.404930555553</v>
      </c>
      <c r="I586" s="43">
        <v>41684.618055555555</v>
      </c>
      <c r="J586" s="42">
        <v>41729.656782407408</v>
      </c>
      <c r="K586" s="81" t="s">
        <v>49</v>
      </c>
      <c r="L586" t="s">
        <v>49</v>
      </c>
      <c r="M586" t="s">
        <v>336</v>
      </c>
      <c r="N586" s="1" t="s">
        <v>336</v>
      </c>
      <c r="O586" s="1" t="s">
        <v>245</v>
      </c>
      <c r="P586" t="s">
        <v>245</v>
      </c>
      <c r="Q586" s="9" t="s">
        <v>45</v>
      </c>
      <c r="R586" s="82" t="s">
        <v>45</v>
      </c>
      <c r="S586" s="44" t="s">
        <v>557</v>
      </c>
      <c r="T586" s="3" t="s">
        <v>61</v>
      </c>
      <c r="U586" s="2" t="s">
        <v>29</v>
      </c>
      <c r="V586" s="3" t="s">
        <v>162</v>
      </c>
      <c r="W586" s="11" t="s">
        <v>153</v>
      </c>
      <c r="X586" s="3" t="s">
        <v>153</v>
      </c>
      <c r="Y586" s="77" t="s">
        <v>48</v>
      </c>
      <c r="Z586" s="84" t="s">
        <v>894</v>
      </c>
      <c r="AA586" s="89" t="s">
        <v>28</v>
      </c>
      <c r="AB586" s="90" t="str">
        <f>HYPERLINK(CONCATENATE("https://www.ejacket.nsf.gov/ej/showProposal.do?ID=",SUBSTITUTE(SplitQueryTableRecent[[#This Row],[prop_id]],CHAR(160),"")),"eJ")</f>
        <v>eJ</v>
      </c>
      <c r="AC586" s="89" t="s">
        <v>894</v>
      </c>
      <c r="AD586" s="3" t="s">
        <v>894</v>
      </c>
      <c r="AE586" s="91">
        <v>2014</v>
      </c>
      <c r="AF586" s="13" t="s">
        <v>43</v>
      </c>
      <c r="AG586" s="13">
        <v>79641</v>
      </c>
      <c r="AH586" s="45">
        <v>79651</v>
      </c>
      <c r="AI586" s="44" t="s">
        <v>896</v>
      </c>
      <c r="AJ586" s="2" t="s">
        <v>897</v>
      </c>
      <c r="AK586" s="46" t="s">
        <v>1729</v>
      </c>
      <c r="AL586" s="55" t="s">
        <v>690</v>
      </c>
      <c r="AM586" s="45" t="s">
        <v>690</v>
      </c>
      <c r="AN586" s="56" t="s">
        <v>152</v>
      </c>
      <c r="AO586" s="23" t="s">
        <v>163</v>
      </c>
      <c r="AP586" s="11"/>
      <c r="AQ586" s="88" t="s">
        <v>895</v>
      </c>
      <c r="AR586" s="57" t="s">
        <v>161</v>
      </c>
      <c r="AS586" s="46">
        <v>41732.641574074078</v>
      </c>
      <c r="AT586" s="3">
        <f t="shared" si="8"/>
        <v>396</v>
      </c>
    </row>
    <row r="587" spans="8:46" x14ac:dyDescent="0.4">
      <c r="H587" s="59">
        <v>42992.404930555553</v>
      </c>
      <c r="I587" s="43">
        <v>42087.424305555556</v>
      </c>
      <c r="J587" s="42">
        <v>42114.495127314818</v>
      </c>
      <c r="K587" s="81" t="s">
        <v>49</v>
      </c>
      <c r="L587" t="s">
        <v>49</v>
      </c>
      <c r="M587" t="s">
        <v>336</v>
      </c>
      <c r="N587" s="1" t="s">
        <v>336</v>
      </c>
      <c r="O587" s="1" t="s">
        <v>337</v>
      </c>
      <c r="P587" t="s">
        <v>337</v>
      </c>
      <c r="Q587" s="9" t="s">
        <v>65</v>
      </c>
      <c r="R587" s="82" t="s">
        <v>65</v>
      </c>
      <c r="S587" s="44" t="s">
        <v>186</v>
      </c>
      <c r="T587" s="3" t="s">
        <v>61</v>
      </c>
      <c r="U587" s="2" t="s">
        <v>29</v>
      </c>
      <c r="V587" s="3" t="s">
        <v>162</v>
      </c>
      <c r="W587" s="11" t="s">
        <v>153</v>
      </c>
      <c r="X587" s="3" t="s">
        <v>153</v>
      </c>
      <c r="Y587" s="77" t="s">
        <v>48</v>
      </c>
      <c r="Z587" s="84" t="s">
        <v>936</v>
      </c>
      <c r="AA587" s="89" t="s">
        <v>28</v>
      </c>
      <c r="AB587" s="90" t="str">
        <f>HYPERLINK(CONCATENATE("https://www.ejacket.nsf.gov/ej/showProposal.do?ID=",SUBSTITUTE(SplitQueryTableRecent[[#This Row],[prop_id]],CHAR(160),"")),"eJ")</f>
        <v>eJ</v>
      </c>
      <c r="AC587" s="89" t="s">
        <v>936</v>
      </c>
      <c r="AD587" s="3" t="s">
        <v>936</v>
      </c>
      <c r="AE587" s="91">
        <v>2015</v>
      </c>
      <c r="AF587" s="13" t="s">
        <v>43</v>
      </c>
      <c r="AG587" s="13">
        <v>12500</v>
      </c>
      <c r="AH587" s="45">
        <v>25000</v>
      </c>
      <c r="AI587" s="44" t="s">
        <v>234</v>
      </c>
      <c r="AJ587" s="2" t="s">
        <v>938</v>
      </c>
      <c r="AK587" s="46" t="s">
        <v>662</v>
      </c>
      <c r="AL587" s="55"/>
      <c r="AM587" s="45"/>
      <c r="AN587" s="56" t="s">
        <v>152</v>
      </c>
      <c r="AO587" s="23" t="s">
        <v>163</v>
      </c>
      <c r="AP587" s="11"/>
      <c r="AQ587" s="88" t="s">
        <v>937</v>
      </c>
      <c r="AR587" s="57" t="s">
        <v>188</v>
      </c>
      <c r="AS587" s="46">
        <v>42123.658472222225</v>
      </c>
      <c r="AT587" s="3">
        <f t="shared" si="8"/>
        <v>397</v>
      </c>
    </row>
    <row r="588" spans="8:46" x14ac:dyDescent="0.4">
      <c r="H588" s="59">
        <v>42992.404930555553</v>
      </c>
      <c r="I588" s="43">
        <v>41653.636805555558</v>
      </c>
      <c r="J588" s="42">
        <v>41834.670763888891</v>
      </c>
      <c r="K588" s="81" t="s">
        <v>49</v>
      </c>
      <c r="L588" t="s">
        <v>49</v>
      </c>
      <c r="M588" t="s">
        <v>336</v>
      </c>
      <c r="N588" s="1" t="s">
        <v>336</v>
      </c>
      <c r="O588" s="1" t="s">
        <v>337</v>
      </c>
      <c r="P588" t="s">
        <v>337</v>
      </c>
      <c r="Q588" s="9" t="s">
        <v>45</v>
      </c>
      <c r="R588" s="82" t="s">
        <v>45</v>
      </c>
      <c r="S588" s="44" t="s">
        <v>173</v>
      </c>
      <c r="T588" s="3" t="s">
        <v>61</v>
      </c>
      <c r="U588" s="2" t="s">
        <v>29</v>
      </c>
      <c r="V588" s="3" t="s">
        <v>162</v>
      </c>
      <c r="W588" s="11" t="s">
        <v>153</v>
      </c>
      <c r="X588" s="3" t="s">
        <v>153</v>
      </c>
      <c r="Y588" s="77" t="s">
        <v>48</v>
      </c>
      <c r="Z588" s="84" t="s">
        <v>1007</v>
      </c>
      <c r="AA588" s="89" t="s">
        <v>28</v>
      </c>
      <c r="AB588" s="90" t="str">
        <f>HYPERLINK(CONCATENATE("https://www.ejacket.nsf.gov/ej/showProposal.do?ID=",SUBSTITUTE(SplitQueryTableRecent[[#This Row],[prop_id]],CHAR(160),"")),"eJ")</f>
        <v>eJ</v>
      </c>
      <c r="AC588" s="89" t="s">
        <v>1007</v>
      </c>
      <c r="AD588" s="3" t="s">
        <v>1007</v>
      </c>
      <c r="AE588" s="91">
        <v>2014</v>
      </c>
      <c r="AF588" s="13" t="s">
        <v>43</v>
      </c>
      <c r="AG588" s="13">
        <v>149999</v>
      </c>
      <c r="AH588" s="45">
        <v>497586</v>
      </c>
      <c r="AI588" s="44" t="s">
        <v>1009</v>
      </c>
      <c r="AJ588" s="2" t="s">
        <v>501</v>
      </c>
      <c r="AK588" s="46" t="s">
        <v>1724</v>
      </c>
      <c r="AL588" s="55" t="s">
        <v>584</v>
      </c>
      <c r="AM588" s="45" t="s">
        <v>584</v>
      </c>
      <c r="AN588" s="56" t="s">
        <v>152</v>
      </c>
      <c r="AO588" s="23" t="s">
        <v>163</v>
      </c>
      <c r="AP588" s="11"/>
      <c r="AQ588" s="88" t="s">
        <v>1008</v>
      </c>
      <c r="AR588" s="57" t="s">
        <v>161</v>
      </c>
      <c r="AS588" s="46">
        <v>41870.509328703702</v>
      </c>
      <c r="AT588" s="3">
        <f t="shared" si="8"/>
        <v>398</v>
      </c>
    </row>
    <row r="589" spans="8:46" x14ac:dyDescent="0.4">
      <c r="H589" s="59">
        <v>42992.404930555553</v>
      </c>
      <c r="I589" s="43">
        <v>42160.541666666664</v>
      </c>
      <c r="J589" s="42">
        <v>42200.665439814817</v>
      </c>
      <c r="K589" s="81" t="s">
        <v>49</v>
      </c>
      <c r="L589" t="s">
        <v>49</v>
      </c>
      <c r="M589" t="s">
        <v>336</v>
      </c>
      <c r="N589" s="1" t="s">
        <v>336</v>
      </c>
      <c r="O589" s="1" t="s">
        <v>337</v>
      </c>
      <c r="P589" t="s">
        <v>337</v>
      </c>
      <c r="Q589" s="9" t="s">
        <v>45</v>
      </c>
      <c r="R589" s="82" t="s">
        <v>45</v>
      </c>
      <c r="S589" s="44" t="s">
        <v>186</v>
      </c>
      <c r="T589" s="3" t="s">
        <v>61</v>
      </c>
      <c r="U589" s="2" t="s">
        <v>29</v>
      </c>
      <c r="V589" s="3" t="s">
        <v>162</v>
      </c>
      <c r="W589" s="11" t="s">
        <v>153</v>
      </c>
      <c r="X589" s="3" t="s">
        <v>153</v>
      </c>
      <c r="Y589" s="77" t="s">
        <v>48</v>
      </c>
      <c r="Z589" s="84" t="s">
        <v>1016</v>
      </c>
      <c r="AA589" s="89" t="s">
        <v>28</v>
      </c>
      <c r="AB589" s="90" t="str">
        <f>HYPERLINK(CONCATENATE("https://www.ejacket.nsf.gov/ej/showProposal.do?ID=",SUBSTITUTE(SplitQueryTableRecent[[#This Row],[prop_id]],CHAR(160),"")),"eJ")</f>
        <v>eJ</v>
      </c>
      <c r="AC589" s="89" t="s">
        <v>1016</v>
      </c>
      <c r="AD589" s="3" t="s">
        <v>1016</v>
      </c>
      <c r="AE589" s="91">
        <v>2015</v>
      </c>
      <c r="AF589" s="13" t="s">
        <v>43</v>
      </c>
      <c r="AG589" s="13">
        <v>10000</v>
      </c>
      <c r="AH589" s="45">
        <v>10000</v>
      </c>
      <c r="AI589" s="44" t="s">
        <v>1014</v>
      </c>
      <c r="AJ589" s="2" t="s">
        <v>1015</v>
      </c>
      <c r="AK589" s="46" t="s">
        <v>1706</v>
      </c>
      <c r="AL589" s="55" t="s">
        <v>559</v>
      </c>
      <c r="AM589" s="45" t="s">
        <v>559</v>
      </c>
      <c r="AN589" s="56" t="s">
        <v>152</v>
      </c>
      <c r="AO589" s="23" t="s">
        <v>163</v>
      </c>
      <c r="AP589" s="11"/>
      <c r="AQ589" s="88" t="s">
        <v>1017</v>
      </c>
      <c r="AR589" s="57" t="s">
        <v>40</v>
      </c>
      <c r="AS589" s="46">
        <v>42216.60261574074</v>
      </c>
      <c r="AT589" s="3">
        <f t="shared" si="8"/>
        <v>399</v>
      </c>
    </row>
    <row r="590" spans="8:46" x14ac:dyDescent="0.4">
      <c r="H590" s="59">
        <v>42992.404930555553</v>
      </c>
      <c r="I590" s="43">
        <v>42117.542361111111</v>
      </c>
      <c r="J590" s="42">
        <v>42163.342835648145</v>
      </c>
      <c r="K590" s="81" t="s">
        <v>49</v>
      </c>
      <c r="L590" t="s">
        <v>49</v>
      </c>
      <c r="M590" t="s">
        <v>336</v>
      </c>
      <c r="N590" s="1" t="s">
        <v>336</v>
      </c>
      <c r="O590" s="1" t="s">
        <v>245</v>
      </c>
      <c r="P590" t="s">
        <v>245</v>
      </c>
      <c r="Q590" s="9" t="s">
        <v>65</v>
      </c>
      <c r="R590" s="82" t="s">
        <v>65</v>
      </c>
      <c r="S590" s="44" t="s">
        <v>186</v>
      </c>
      <c r="T590" s="3" t="s">
        <v>61</v>
      </c>
      <c r="U590" s="2" t="s">
        <v>29</v>
      </c>
      <c r="V590" s="3" t="s">
        <v>162</v>
      </c>
      <c r="W590" s="11" t="s">
        <v>153</v>
      </c>
      <c r="X590" s="3" t="s">
        <v>153</v>
      </c>
      <c r="Y590" s="77" t="s">
        <v>48</v>
      </c>
      <c r="Z590" s="84" t="s">
        <v>1059</v>
      </c>
      <c r="AA590" s="89" t="s">
        <v>28</v>
      </c>
      <c r="AB590" s="90" t="str">
        <f>HYPERLINK(CONCATENATE("https://www.ejacket.nsf.gov/ej/showProposal.do?ID=",SUBSTITUTE(SplitQueryTableRecent[[#This Row],[prop_id]],CHAR(160),"")),"eJ")</f>
        <v>eJ</v>
      </c>
      <c r="AC590" s="89" t="s">
        <v>1059</v>
      </c>
      <c r="AD590" s="3" t="s">
        <v>1059</v>
      </c>
      <c r="AE590" s="91">
        <v>2015</v>
      </c>
      <c r="AF590" s="13" t="s">
        <v>43</v>
      </c>
      <c r="AG590" s="13">
        <v>12500</v>
      </c>
      <c r="AH590" s="45">
        <v>15000</v>
      </c>
      <c r="AI590" s="44" t="s">
        <v>1061</v>
      </c>
      <c r="AJ590" s="2" t="s">
        <v>842</v>
      </c>
      <c r="AK590" s="46" t="s">
        <v>465</v>
      </c>
      <c r="AL590" s="55" t="s">
        <v>572</v>
      </c>
      <c r="AM590" s="45" t="s">
        <v>572</v>
      </c>
      <c r="AN590" s="56" t="s">
        <v>152</v>
      </c>
      <c r="AO590" s="23" t="s">
        <v>163</v>
      </c>
      <c r="AP590" s="11"/>
      <c r="AQ590" s="88" t="s">
        <v>1060</v>
      </c>
      <c r="AR590" s="57" t="s">
        <v>188</v>
      </c>
      <c r="AS590" s="46">
        <v>42172.732812499999</v>
      </c>
      <c r="AT590" s="3">
        <f t="shared" si="8"/>
        <v>400</v>
      </c>
    </row>
    <row r="591" spans="8:46" x14ac:dyDescent="0.4">
      <c r="H591" s="59">
        <v>42992.404930555553</v>
      </c>
      <c r="I591" s="43">
        <v>42283.508333333331</v>
      </c>
      <c r="J591" s="42">
        <v>42298.51425925926</v>
      </c>
      <c r="K591" s="81" t="s">
        <v>49</v>
      </c>
      <c r="L591" t="s">
        <v>49</v>
      </c>
      <c r="M591" t="s">
        <v>336</v>
      </c>
      <c r="N591" s="1" t="s">
        <v>336</v>
      </c>
      <c r="O591" s="1" t="s">
        <v>337</v>
      </c>
      <c r="P591" t="s">
        <v>337</v>
      </c>
      <c r="Q591" s="9" t="s">
        <v>65</v>
      </c>
      <c r="R591" s="82" t="s">
        <v>65</v>
      </c>
      <c r="S591" s="44" t="s">
        <v>186</v>
      </c>
      <c r="T591" s="3" t="s">
        <v>61</v>
      </c>
      <c r="U591" s="2" t="s">
        <v>29</v>
      </c>
      <c r="V591" s="3" t="s">
        <v>162</v>
      </c>
      <c r="W591" s="11" t="s">
        <v>153</v>
      </c>
      <c r="X591" s="3" t="s">
        <v>153</v>
      </c>
      <c r="Y591" s="77" t="s">
        <v>48</v>
      </c>
      <c r="Z591" s="84" t="s">
        <v>1136</v>
      </c>
      <c r="AA591" s="89" t="s">
        <v>28</v>
      </c>
      <c r="AB591" s="90" t="str">
        <f>HYPERLINK(CONCATENATE("https://www.ejacket.nsf.gov/ej/showProposal.do?ID=",SUBSTITUTE(SplitQueryTableRecent[[#This Row],[prop_id]],CHAR(160),"")),"eJ")</f>
        <v>eJ</v>
      </c>
      <c r="AC591" s="89" t="s">
        <v>1136</v>
      </c>
      <c r="AD591" s="3" t="s">
        <v>1136</v>
      </c>
      <c r="AE591" s="91">
        <v>2016</v>
      </c>
      <c r="AF591" s="13" t="s">
        <v>43</v>
      </c>
      <c r="AG591" s="13">
        <v>6800</v>
      </c>
      <c r="AH591" s="45">
        <v>6800</v>
      </c>
      <c r="AI591" s="44" t="s">
        <v>1135</v>
      </c>
      <c r="AJ591" s="2" t="s">
        <v>217</v>
      </c>
      <c r="AK591" s="46" t="s">
        <v>253</v>
      </c>
      <c r="AL591" s="55" t="s">
        <v>751</v>
      </c>
      <c r="AM591" s="45" t="s">
        <v>751</v>
      </c>
      <c r="AN591" s="56" t="s">
        <v>152</v>
      </c>
      <c r="AO591" s="23" t="s">
        <v>163</v>
      </c>
      <c r="AP591" s="11"/>
      <c r="AQ591" s="88" t="s">
        <v>1137</v>
      </c>
      <c r="AR591" s="57" t="s">
        <v>164</v>
      </c>
      <c r="AS591" s="46">
        <v>42299.349444444444</v>
      </c>
      <c r="AT591" s="3">
        <f t="shared" si="8"/>
        <v>401</v>
      </c>
    </row>
    <row r="592" spans="8:46" x14ac:dyDescent="0.4">
      <c r="H592" s="59">
        <v>42992.404930555553</v>
      </c>
      <c r="I592" s="43">
        <v>42269.656944444447</v>
      </c>
      <c r="J592" s="42">
        <v>42342.367511574077</v>
      </c>
      <c r="K592" s="81" t="s">
        <v>49</v>
      </c>
      <c r="L592" t="s">
        <v>49</v>
      </c>
      <c r="M592" t="s">
        <v>50</v>
      </c>
      <c r="N592" s="1" t="s">
        <v>336</v>
      </c>
      <c r="O592" s="1" t="s">
        <v>70</v>
      </c>
      <c r="P592" t="s">
        <v>245</v>
      </c>
      <c r="Q592" s="9" t="s">
        <v>65</v>
      </c>
      <c r="R592" s="82" t="s">
        <v>65</v>
      </c>
      <c r="S592" s="44" t="s">
        <v>186</v>
      </c>
      <c r="T592" s="3" t="s">
        <v>61</v>
      </c>
      <c r="U592" s="2" t="s">
        <v>29</v>
      </c>
      <c r="V592" s="3" t="s">
        <v>162</v>
      </c>
      <c r="W592" s="11" t="s">
        <v>153</v>
      </c>
      <c r="X592" s="3" t="s">
        <v>153</v>
      </c>
      <c r="Y592" s="77" t="s">
        <v>48</v>
      </c>
      <c r="Z592" s="84" t="s">
        <v>1167</v>
      </c>
      <c r="AA592" s="89" t="s">
        <v>28</v>
      </c>
      <c r="AB592" s="90" t="str">
        <f>HYPERLINK(CONCATENATE("https://www.ejacket.nsf.gov/ej/showProposal.do?ID=",SUBSTITUTE(SplitQueryTableRecent[[#This Row],[prop_id]],CHAR(160),"")),"eJ")</f>
        <v>eJ</v>
      </c>
      <c r="AC592" s="89" t="s">
        <v>1167</v>
      </c>
      <c r="AD592" s="3" t="s">
        <v>1167</v>
      </c>
      <c r="AE592" s="91">
        <v>2016</v>
      </c>
      <c r="AF592" s="13" t="s">
        <v>57</v>
      </c>
      <c r="AG592" s="13">
        <v>5000</v>
      </c>
      <c r="AH592" s="45">
        <v>20000</v>
      </c>
      <c r="AI592" s="44" t="s">
        <v>654</v>
      </c>
      <c r="AJ592" s="2" t="s">
        <v>1166</v>
      </c>
      <c r="AK592" s="46" t="s">
        <v>1741</v>
      </c>
      <c r="AL592" s="55" t="s">
        <v>682</v>
      </c>
      <c r="AM592" s="45"/>
      <c r="AN592" s="56" t="s">
        <v>152</v>
      </c>
      <c r="AO592" s="23" t="s">
        <v>163</v>
      </c>
      <c r="AP592" s="11"/>
      <c r="AQ592" s="88" t="s">
        <v>1168</v>
      </c>
      <c r="AR592" s="57" t="s">
        <v>40</v>
      </c>
      <c r="AS592" s="46">
        <v>42346.422233796293</v>
      </c>
      <c r="AT592" s="3">
        <f t="shared" si="8"/>
        <v>402</v>
      </c>
    </row>
    <row r="593" spans="8:46" x14ac:dyDescent="0.4">
      <c r="H593" s="59">
        <v>42992.404930555553</v>
      </c>
      <c r="I593" s="43">
        <v>41927.590277777781</v>
      </c>
      <c r="J593" s="42">
        <v>42025.572615740741</v>
      </c>
      <c r="K593" s="81" t="s">
        <v>49</v>
      </c>
      <c r="L593" t="s">
        <v>49</v>
      </c>
      <c r="M593" t="s">
        <v>336</v>
      </c>
      <c r="N593" s="1" t="s">
        <v>336</v>
      </c>
      <c r="O593" s="1" t="s">
        <v>337</v>
      </c>
      <c r="P593" t="s">
        <v>337</v>
      </c>
      <c r="Q593" s="9" t="s">
        <v>45</v>
      </c>
      <c r="R593" s="82" t="s">
        <v>45</v>
      </c>
      <c r="S593" s="44" t="s">
        <v>349</v>
      </c>
      <c r="T593" s="3" t="s">
        <v>61</v>
      </c>
      <c r="U593" s="2" t="s">
        <v>29</v>
      </c>
      <c r="V593" s="3" t="s">
        <v>162</v>
      </c>
      <c r="W593" s="11" t="s">
        <v>153</v>
      </c>
      <c r="X593" s="3" t="s">
        <v>153</v>
      </c>
      <c r="Y593" s="77" t="s">
        <v>48</v>
      </c>
      <c r="Z593" s="84" t="s">
        <v>1206</v>
      </c>
      <c r="AA593" s="89" t="s">
        <v>28</v>
      </c>
      <c r="AB593" s="90" t="str">
        <f>HYPERLINK(CONCATENATE("https://www.ejacket.nsf.gov/ej/showProposal.do?ID=",SUBSTITUTE(SplitQueryTableRecent[[#This Row],[prop_id]],CHAR(160),"")),"eJ")</f>
        <v>eJ</v>
      </c>
      <c r="AC593" s="89" t="s">
        <v>1206</v>
      </c>
      <c r="AD593" s="3" t="s">
        <v>1206</v>
      </c>
      <c r="AE593" s="91">
        <v>2015</v>
      </c>
      <c r="AF593" s="13" t="s">
        <v>43</v>
      </c>
      <c r="AG593" s="13">
        <v>150000</v>
      </c>
      <c r="AH593" s="45">
        <v>150000</v>
      </c>
      <c r="AI593" s="44" t="s">
        <v>1208</v>
      </c>
      <c r="AJ593" s="2" t="s">
        <v>310</v>
      </c>
      <c r="AK593" s="46" t="s">
        <v>1719</v>
      </c>
      <c r="AL593" s="55" t="s">
        <v>722</v>
      </c>
      <c r="AM593" s="45" t="s">
        <v>722</v>
      </c>
      <c r="AN593" s="56" t="s">
        <v>152</v>
      </c>
      <c r="AO593" s="23" t="s">
        <v>163</v>
      </c>
      <c r="AP593" s="11"/>
      <c r="AQ593" s="88" t="s">
        <v>1207</v>
      </c>
      <c r="AR593" s="57" t="s">
        <v>161</v>
      </c>
      <c r="AS593" s="46">
        <v>42037.473773148151</v>
      </c>
      <c r="AT593" s="3">
        <f t="shared" si="8"/>
        <v>403</v>
      </c>
    </row>
    <row r="594" spans="8:46" x14ac:dyDescent="0.4">
      <c r="H594" s="59">
        <v>42992.404930555553</v>
      </c>
      <c r="I594" s="43">
        <v>41653.595833333333</v>
      </c>
      <c r="J594" s="42">
        <v>41834.51903935185</v>
      </c>
      <c r="K594" s="81" t="s">
        <v>49</v>
      </c>
      <c r="L594" t="s">
        <v>49</v>
      </c>
      <c r="M594" t="s">
        <v>336</v>
      </c>
      <c r="N594" s="1" t="s">
        <v>336</v>
      </c>
      <c r="O594" s="1" t="s">
        <v>245</v>
      </c>
      <c r="P594" t="s">
        <v>245</v>
      </c>
      <c r="Q594" s="9" t="s">
        <v>45</v>
      </c>
      <c r="R594" s="82" t="s">
        <v>45</v>
      </c>
      <c r="S594" s="44" t="s">
        <v>173</v>
      </c>
      <c r="T594" s="3" t="s">
        <v>61</v>
      </c>
      <c r="U594" s="2" t="s">
        <v>29</v>
      </c>
      <c r="V594" s="3" t="s">
        <v>162</v>
      </c>
      <c r="W594" s="11" t="s">
        <v>153</v>
      </c>
      <c r="X594" s="3" t="s">
        <v>153</v>
      </c>
      <c r="Y594" s="77" t="s">
        <v>48</v>
      </c>
      <c r="Z594" s="84" t="s">
        <v>1225</v>
      </c>
      <c r="AA594" s="89" t="s">
        <v>28</v>
      </c>
      <c r="AB594" s="90" t="str">
        <f>HYPERLINK(CONCATENATE("https://www.ejacket.nsf.gov/ej/showProposal.do?ID=",SUBSTITUTE(SplitQueryTableRecent[[#This Row],[prop_id]],CHAR(160),"")),"eJ")</f>
        <v>eJ</v>
      </c>
      <c r="AC594" s="89" t="s">
        <v>1225</v>
      </c>
      <c r="AD594" s="3" t="s">
        <v>1225</v>
      </c>
      <c r="AE594" s="91">
        <v>2014</v>
      </c>
      <c r="AF594" s="13" t="s">
        <v>43</v>
      </c>
      <c r="AG594" s="13">
        <v>122734</v>
      </c>
      <c r="AH594" s="45">
        <v>492578</v>
      </c>
      <c r="AI594" s="44" t="s">
        <v>216</v>
      </c>
      <c r="AJ594" s="2" t="s">
        <v>1227</v>
      </c>
      <c r="AK594" s="46" t="s">
        <v>1742</v>
      </c>
      <c r="AL594" s="55" t="s">
        <v>601</v>
      </c>
      <c r="AM594" s="45" t="s">
        <v>601</v>
      </c>
      <c r="AN594" s="56" t="s">
        <v>152</v>
      </c>
      <c r="AO594" s="23" t="s">
        <v>163</v>
      </c>
      <c r="AP594" s="11"/>
      <c r="AQ594" s="88" t="s">
        <v>1226</v>
      </c>
      <c r="AR594" s="57" t="s">
        <v>164</v>
      </c>
      <c r="AS594" s="46">
        <v>41848.520486111112</v>
      </c>
      <c r="AT594" s="3">
        <f t="shared" si="8"/>
        <v>404</v>
      </c>
    </row>
    <row r="595" spans="8:46" x14ac:dyDescent="0.4">
      <c r="H595" s="59">
        <v>42992.404930555553</v>
      </c>
      <c r="I595" s="43">
        <v>41653.682638888888</v>
      </c>
      <c r="J595" s="42">
        <v>41843.644756944443</v>
      </c>
      <c r="K595" s="81" t="s">
        <v>49</v>
      </c>
      <c r="L595" t="s">
        <v>49</v>
      </c>
      <c r="M595" t="s">
        <v>336</v>
      </c>
      <c r="N595" s="1" t="s">
        <v>336</v>
      </c>
      <c r="O595" s="1" t="s">
        <v>337</v>
      </c>
      <c r="P595" t="s">
        <v>337</v>
      </c>
      <c r="Q595" s="9" t="s">
        <v>45</v>
      </c>
      <c r="R595" s="82" t="s">
        <v>45</v>
      </c>
      <c r="S595" s="44" t="s">
        <v>173</v>
      </c>
      <c r="T595" s="3" t="s">
        <v>61</v>
      </c>
      <c r="U595" s="2" t="s">
        <v>29</v>
      </c>
      <c r="V595" s="3" t="s">
        <v>162</v>
      </c>
      <c r="W595" s="11" t="s">
        <v>153</v>
      </c>
      <c r="X595" s="3" t="s">
        <v>153</v>
      </c>
      <c r="Y595" s="77" t="s">
        <v>48</v>
      </c>
      <c r="Z595" s="84" t="s">
        <v>1261</v>
      </c>
      <c r="AA595" s="89" t="s">
        <v>174</v>
      </c>
      <c r="AB595" s="90" t="str">
        <f>HYPERLINK(CONCATENATE("https://www.ejacket.nsf.gov/ej/showProposal.do?ID=",SUBSTITUTE(SplitQueryTableRecent[[#This Row],[prop_id]],CHAR(160),"")),"eJ")</f>
        <v>eJ</v>
      </c>
      <c r="AC595" s="89" t="s">
        <v>1261</v>
      </c>
      <c r="AD595" s="3" t="s">
        <v>1261</v>
      </c>
      <c r="AE595" s="91">
        <v>2014</v>
      </c>
      <c r="AF595" s="13" t="s">
        <v>43</v>
      </c>
      <c r="AG595" s="13">
        <v>75000</v>
      </c>
      <c r="AH595" s="45">
        <v>250000</v>
      </c>
      <c r="AI595" s="44" t="s">
        <v>477</v>
      </c>
      <c r="AJ595" s="2" t="s">
        <v>478</v>
      </c>
      <c r="AK595" s="46" t="s">
        <v>301</v>
      </c>
      <c r="AL595" s="55" t="s">
        <v>584</v>
      </c>
      <c r="AM595" s="45" t="s">
        <v>584</v>
      </c>
      <c r="AN595" s="56" t="s">
        <v>152</v>
      </c>
      <c r="AO595" s="23" t="s">
        <v>163</v>
      </c>
      <c r="AP595" s="11"/>
      <c r="AQ595" s="88" t="s">
        <v>1262</v>
      </c>
      <c r="AR595" s="57" t="s">
        <v>651</v>
      </c>
      <c r="AS595" s="46">
        <v>41873.485902777778</v>
      </c>
      <c r="AT595" s="3">
        <f t="shared" si="8"/>
        <v>405</v>
      </c>
    </row>
    <row r="596" spans="8:46" x14ac:dyDescent="0.4">
      <c r="H596" s="59">
        <v>42992.404930555553</v>
      </c>
      <c r="I596" s="43">
        <v>41506.675694444442</v>
      </c>
      <c r="J596" s="42">
        <v>41583.62636574074</v>
      </c>
      <c r="K596" s="81" t="s">
        <v>197</v>
      </c>
      <c r="L596" t="s">
        <v>49</v>
      </c>
      <c r="M596" t="s">
        <v>1283</v>
      </c>
      <c r="N596" s="1" t="s">
        <v>336</v>
      </c>
      <c r="O596" s="1" t="s">
        <v>1284</v>
      </c>
      <c r="P596" t="s">
        <v>245</v>
      </c>
      <c r="Q596" s="9" t="s">
        <v>65</v>
      </c>
      <c r="R596" s="82" t="s">
        <v>65</v>
      </c>
      <c r="S596" s="44" t="s">
        <v>557</v>
      </c>
      <c r="T596" s="3" t="s">
        <v>61</v>
      </c>
      <c r="U596" s="2" t="s">
        <v>29</v>
      </c>
      <c r="V596" s="3" t="s">
        <v>162</v>
      </c>
      <c r="W596" s="11" t="s">
        <v>153</v>
      </c>
      <c r="X596" s="3" t="s">
        <v>153</v>
      </c>
      <c r="Y596" s="77" t="s">
        <v>198</v>
      </c>
      <c r="Z596" s="84" t="s">
        <v>1285</v>
      </c>
      <c r="AA596" s="89" t="s">
        <v>28</v>
      </c>
      <c r="AB596" s="90" t="str">
        <f>HYPERLINK(CONCATENATE("https://www.ejacket.nsf.gov/ej/showProposal.do?ID=",SUBSTITUTE(SplitQueryTableRecent[[#This Row],[prop_id]],CHAR(160),"")),"eJ")</f>
        <v>eJ</v>
      </c>
      <c r="AC596" s="89" t="s">
        <v>1285</v>
      </c>
      <c r="AD596" s="3" t="s">
        <v>1285</v>
      </c>
      <c r="AE596" s="91">
        <v>2014</v>
      </c>
      <c r="AF596" s="13" t="s">
        <v>44</v>
      </c>
      <c r="AG596" s="13">
        <v>25000</v>
      </c>
      <c r="AH596" s="45">
        <v>50000</v>
      </c>
      <c r="AI596" s="44" t="s">
        <v>1288</v>
      </c>
      <c r="AJ596" s="2" t="s">
        <v>1289</v>
      </c>
      <c r="AK596" s="46" t="s">
        <v>1711</v>
      </c>
      <c r="AL596" s="55" t="s">
        <v>1287</v>
      </c>
      <c r="AM596" s="45" t="s">
        <v>572</v>
      </c>
      <c r="AN596" s="56" t="s">
        <v>152</v>
      </c>
      <c r="AO596" s="23" t="s">
        <v>163</v>
      </c>
      <c r="AP596" s="11"/>
      <c r="AQ596" s="88" t="s">
        <v>1286</v>
      </c>
      <c r="AR596" s="57" t="s">
        <v>161</v>
      </c>
      <c r="AS596" s="46">
        <v>41592.370451388888</v>
      </c>
      <c r="AT596" s="3">
        <f t="shared" si="8"/>
        <v>406</v>
      </c>
    </row>
    <row r="597" spans="8:46" x14ac:dyDescent="0.4">
      <c r="H597" s="59">
        <v>42992.404930555553</v>
      </c>
      <c r="I597" s="43">
        <v>41653.691666666666</v>
      </c>
      <c r="J597" s="42">
        <v>41843.644988425927</v>
      </c>
      <c r="K597" s="81" t="s">
        <v>49</v>
      </c>
      <c r="L597" t="s">
        <v>49</v>
      </c>
      <c r="M597" t="s">
        <v>336</v>
      </c>
      <c r="N597" s="1" t="s">
        <v>336</v>
      </c>
      <c r="O597" s="1" t="s">
        <v>337</v>
      </c>
      <c r="P597" t="s">
        <v>337</v>
      </c>
      <c r="Q597" s="9" t="s">
        <v>45</v>
      </c>
      <c r="R597" s="82" t="s">
        <v>45</v>
      </c>
      <c r="S597" s="44" t="s">
        <v>173</v>
      </c>
      <c r="T597" s="3" t="s">
        <v>61</v>
      </c>
      <c r="U597" s="2" t="s">
        <v>29</v>
      </c>
      <c r="V597" s="3" t="s">
        <v>162</v>
      </c>
      <c r="W597" s="11" t="s">
        <v>153</v>
      </c>
      <c r="X597" s="3" t="s">
        <v>153</v>
      </c>
      <c r="Y597" s="77" t="s">
        <v>48</v>
      </c>
      <c r="Z597" s="84" t="s">
        <v>1261</v>
      </c>
      <c r="AA597" s="89" t="s">
        <v>62</v>
      </c>
      <c r="AB597" s="90" t="str">
        <f>HYPERLINK(CONCATENATE("https://www.ejacket.nsf.gov/ej/showProposal.do?ID=",SUBSTITUTE(SplitQueryTableRecent[[#This Row],[prop_id]],CHAR(160),"")),"eJ")</f>
        <v>eJ</v>
      </c>
      <c r="AC597" s="89" t="s">
        <v>1300</v>
      </c>
      <c r="AD597" s="3" t="s">
        <v>1300</v>
      </c>
      <c r="AE597" s="91">
        <v>2014</v>
      </c>
      <c r="AF597" s="13" t="s">
        <v>43</v>
      </c>
      <c r="AG597" s="13">
        <v>75000</v>
      </c>
      <c r="AH597" s="45">
        <v>250000</v>
      </c>
      <c r="AI597" s="44" t="s">
        <v>218</v>
      </c>
      <c r="AJ597" s="2" t="s">
        <v>1301</v>
      </c>
      <c r="AK597" s="46" t="s">
        <v>1720</v>
      </c>
      <c r="AL597" s="55" t="s">
        <v>584</v>
      </c>
      <c r="AM597" s="45" t="s">
        <v>584</v>
      </c>
      <c r="AN597" s="56" t="s">
        <v>152</v>
      </c>
      <c r="AO597" s="23" t="s">
        <v>163</v>
      </c>
      <c r="AP597" s="11"/>
      <c r="AQ597" s="88" t="s">
        <v>1262</v>
      </c>
      <c r="AR597" s="57" t="s">
        <v>651</v>
      </c>
      <c r="AS597" s="46">
        <v>41873.485925925925</v>
      </c>
      <c r="AT597" s="3">
        <f t="shared" si="8"/>
        <v>407</v>
      </c>
    </row>
    <row r="598" spans="8:46" x14ac:dyDescent="0.4">
      <c r="H598" s="59">
        <v>42992.404930555553</v>
      </c>
      <c r="I598" s="43">
        <v>41653.540277777778</v>
      </c>
      <c r="J598" s="42">
        <v>41834.659791666665</v>
      </c>
      <c r="K598" s="81" t="s">
        <v>49</v>
      </c>
      <c r="L598" t="s">
        <v>49</v>
      </c>
      <c r="M598" t="s">
        <v>336</v>
      </c>
      <c r="N598" s="1" t="s">
        <v>336</v>
      </c>
      <c r="O598" s="1" t="s">
        <v>337</v>
      </c>
      <c r="P598" t="s">
        <v>337</v>
      </c>
      <c r="Q598" s="9" t="s">
        <v>45</v>
      </c>
      <c r="R598" s="82" t="s">
        <v>45</v>
      </c>
      <c r="S598" s="44" t="s">
        <v>173</v>
      </c>
      <c r="T598" s="3" t="s">
        <v>61</v>
      </c>
      <c r="U598" s="2" t="s">
        <v>29</v>
      </c>
      <c r="V598" s="3" t="s">
        <v>162</v>
      </c>
      <c r="W598" s="11" t="s">
        <v>153</v>
      </c>
      <c r="X598" s="3" t="s">
        <v>153</v>
      </c>
      <c r="Y598" s="77" t="s">
        <v>48</v>
      </c>
      <c r="Z598" s="84" t="s">
        <v>1323</v>
      </c>
      <c r="AA598" s="89" t="s">
        <v>28</v>
      </c>
      <c r="AB598" s="90" t="str">
        <f>HYPERLINK(CONCATENATE("https://www.ejacket.nsf.gov/ej/showProposal.do?ID=",SUBSTITUTE(SplitQueryTableRecent[[#This Row],[prop_id]],CHAR(160),"")),"eJ")</f>
        <v>eJ</v>
      </c>
      <c r="AC598" s="89" t="s">
        <v>1323</v>
      </c>
      <c r="AD598" s="3" t="s">
        <v>1323</v>
      </c>
      <c r="AE598" s="91">
        <v>2014</v>
      </c>
      <c r="AF598" s="13" t="s">
        <v>43</v>
      </c>
      <c r="AG598" s="13">
        <v>150000</v>
      </c>
      <c r="AH598" s="45">
        <v>500000</v>
      </c>
      <c r="AI598" s="44" t="s">
        <v>1325</v>
      </c>
      <c r="AJ598" s="2" t="s">
        <v>1326</v>
      </c>
      <c r="AK598" s="46" t="s">
        <v>1726</v>
      </c>
      <c r="AL598" s="55" t="s">
        <v>584</v>
      </c>
      <c r="AM598" s="45" t="s">
        <v>584</v>
      </c>
      <c r="AN598" s="56" t="s">
        <v>152</v>
      </c>
      <c r="AO598" s="23" t="s">
        <v>163</v>
      </c>
      <c r="AP598" s="11"/>
      <c r="AQ598" s="88" t="s">
        <v>1324</v>
      </c>
      <c r="AR598" s="57" t="s">
        <v>161</v>
      </c>
      <c r="AS598" s="46">
        <v>41871.354131944441</v>
      </c>
      <c r="AT598" s="3">
        <f t="shared" si="8"/>
        <v>408</v>
      </c>
    </row>
    <row r="599" spans="8:46" x14ac:dyDescent="0.4">
      <c r="H599" s="59">
        <v>42992.404930555553</v>
      </c>
      <c r="I599" s="43">
        <v>41906.502083333333</v>
      </c>
      <c r="J599" s="42">
        <v>42027.468310185184</v>
      </c>
      <c r="K599" s="81" t="s">
        <v>49</v>
      </c>
      <c r="L599" t="s">
        <v>49</v>
      </c>
      <c r="M599" t="s">
        <v>336</v>
      </c>
      <c r="N599" s="1" t="s">
        <v>336</v>
      </c>
      <c r="O599" s="1" t="s">
        <v>337</v>
      </c>
      <c r="P599" t="s">
        <v>337</v>
      </c>
      <c r="Q599" s="9" t="s">
        <v>45</v>
      </c>
      <c r="R599" s="82" t="s">
        <v>45</v>
      </c>
      <c r="S599" s="44" t="s">
        <v>1186</v>
      </c>
      <c r="T599" s="3" t="s">
        <v>61</v>
      </c>
      <c r="U599" s="2" t="s">
        <v>29</v>
      </c>
      <c r="V599" s="3" t="s">
        <v>162</v>
      </c>
      <c r="W599" s="11" t="s">
        <v>153</v>
      </c>
      <c r="X599" s="3" t="s">
        <v>153</v>
      </c>
      <c r="Y599" s="77" t="s">
        <v>48</v>
      </c>
      <c r="Z599" s="84" t="s">
        <v>1344</v>
      </c>
      <c r="AA599" s="89" t="s">
        <v>28</v>
      </c>
      <c r="AB599" s="90" t="str">
        <f>HYPERLINK(CONCATENATE("https://www.ejacket.nsf.gov/ej/showProposal.do?ID=",SUBSTITUTE(SplitQueryTableRecent[[#This Row],[prop_id]],CHAR(160),"")),"eJ")</f>
        <v>eJ</v>
      </c>
      <c r="AC599" s="89" t="s">
        <v>1344</v>
      </c>
      <c r="AD599" s="3" t="s">
        <v>1344</v>
      </c>
      <c r="AE599" s="91">
        <v>2015</v>
      </c>
      <c r="AF599" s="13" t="s">
        <v>43</v>
      </c>
      <c r="AG599" s="13">
        <v>175000</v>
      </c>
      <c r="AH599" s="45">
        <v>175000</v>
      </c>
      <c r="AI599" s="44" t="s">
        <v>221</v>
      </c>
      <c r="AJ599" s="2" t="s">
        <v>515</v>
      </c>
      <c r="AK599" s="46" t="s">
        <v>261</v>
      </c>
      <c r="AL599" s="55" t="s">
        <v>1218</v>
      </c>
      <c r="AM599" s="45" t="s">
        <v>1218</v>
      </c>
      <c r="AN599" s="56" t="s">
        <v>152</v>
      </c>
      <c r="AO599" s="23" t="s">
        <v>163</v>
      </c>
      <c r="AP599" s="11"/>
      <c r="AQ599" s="88" t="s">
        <v>1345</v>
      </c>
      <c r="AR599" s="57" t="s">
        <v>161</v>
      </c>
      <c r="AS599" s="46">
        <v>42037.537870370368</v>
      </c>
      <c r="AT599" s="3">
        <f t="shared" si="8"/>
        <v>409</v>
      </c>
    </row>
    <row r="600" spans="8:46" x14ac:dyDescent="0.4">
      <c r="H600" s="59">
        <v>42992.404930555553</v>
      </c>
      <c r="I600" s="43">
        <v>42451</v>
      </c>
      <c r="J600" s="42">
        <v>42507.434386574074</v>
      </c>
      <c r="K600" s="81" t="s">
        <v>49</v>
      </c>
      <c r="L600" t="s">
        <v>49</v>
      </c>
      <c r="M600" t="s">
        <v>336</v>
      </c>
      <c r="N600" s="1" t="s">
        <v>336</v>
      </c>
      <c r="O600" s="1" t="s">
        <v>230</v>
      </c>
      <c r="P600" t="s">
        <v>230</v>
      </c>
      <c r="Q600" s="9" t="s">
        <v>45</v>
      </c>
      <c r="R600" s="82" t="s">
        <v>45</v>
      </c>
      <c r="S600" s="44" t="s">
        <v>186</v>
      </c>
      <c r="T600" s="3" t="s">
        <v>136</v>
      </c>
      <c r="U600" s="2" t="s">
        <v>29</v>
      </c>
      <c r="V600" s="3" t="s">
        <v>162</v>
      </c>
      <c r="W600" s="11" t="s">
        <v>153</v>
      </c>
      <c r="X600" s="3" t="s">
        <v>153</v>
      </c>
      <c r="Y600" s="77" t="s">
        <v>48</v>
      </c>
      <c r="Z600" s="84" t="s">
        <v>1390</v>
      </c>
      <c r="AA600" s="89" t="s">
        <v>28</v>
      </c>
      <c r="AB600" s="90" t="str">
        <f>HYPERLINK(CONCATENATE("https://www.ejacket.nsf.gov/ej/showProposal.do?ID=",SUBSTITUTE(SplitQueryTableRecent[[#This Row],[prop_id]],CHAR(160),"")),"eJ")</f>
        <v>eJ</v>
      </c>
      <c r="AC600" s="89" t="s">
        <v>1391</v>
      </c>
      <c r="AD600" s="3" t="s">
        <v>1390</v>
      </c>
      <c r="AE600" s="91">
        <v>2016</v>
      </c>
      <c r="AF600" s="13" t="s">
        <v>43</v>
      </c>
      <c r="AG600" s="13">
        <v>10000</v>
      </c>
      <c r="AH600" s="45">
        <v>10000</v>
      </c>
      <c r="AI600" s="44" t="s">
        <v>767</v>
      </c>
      <c r="AJ600" s="2" t="s">
        <v>208</v>
      </c>
      <c r="AK600" s="46" t="s">
        <v>1717</v>
      </c>
      <c r="AL600" s="55" t="s">
        <v>1393</v>
      </c>
      <c r="AM600" s="45" t="s">
        <v>1393</v>
      </c>
      <c r="AN600" s="56" t="s">
        <v>152</v>
      </c>
      <c r="AO600" s="23" t="s">
        <v>163</v>
      </c>
      <c r="AP600" s="11"/>
      <c r="AQ600" s="88" t="s">
        <v>1392</v>
      </c>
      <c r="AR600" s="57" t="s">
        <v>188</v>
      </c>
      <c r="AS600" s="46">
        <v>42522.67287037037</v>
      </c>
      <c r="AT600" s="3">
        <f t="shared" si="8"/>
        <v>410</v>
      </c>
    </row>
    <row r="601" spans="8:46" x14ac:dyDescent="0.4">
      <c r="H601" s="59">
        <v>42992.404930555553</v>
      </c>
      <c r="I601" s="43">
        <v>42044</v>
      </c>
      <c r="J601" s="42">
        <v>42093.621608796297</v>
      </c>
      <c r="K601" s="81" t="s">
        <v>49</v>
      </c>
      <c r="L601" t="s">
        <v>49</v>
      </c>
      <c r="M601" t="s">
        <v>336</v>
      </c>
      <c r="N601" s="1" t="s">
        <v>336</v>
      </c>
      <c r="O601" s="1" t="s">
        <v>245</v>
      </c>
      <c r="P601" t="s">
        <v>245</v>
      </c>
      <c r="Q601" s="9" t="s">
        <v>45</v>
      </c>
      <c r="R601" s="82" t="s">
        <v>45</v>
      </c>
      <c r="S601" s="44" t="s">
        <v>52</v>
      </c>
      <c r="T601" s="3" t="s">
        <v>136</v>
      </c>
      <c r="U601" s="2" t="s">
        <v>29</v>
      </c>
      <c r="V601" s="3" t="s">
        <v>162</v>
      </c>
      <c r="W601" s="11" t="s">
        <v>153</v>
      </c>
      <c r="X601" s="3" t="s">
        <v>153</v>
      </c>
      <c r="Y601" s="77" t="s">
        <v>48</v>
      </c>
      <c r="Z601" s="84" t="s">
        <v>1404</v>
      </c>
      <c r="AA601" s="89" t="s">
        <v>28</v>
      </c>
      <c r="AB601" s="90" t="str">
        <f>HYPERLINK(CONCATENATE("https://www.ejacket.nsf.gov/ej/showProposal.do?ID=",SUBSTITUTE(SplitQueryTableRecent[[#This Row],[prop_id]],CHAR(160),"")),"eJ")</f>
        <v>eJ</v>
      </c>
      <c r="AC601" s="89" t="s">
        <v>1405</v>
      </c>
      <c r="AD601" s="3" t="s">
        <v>1404</v>
      </c>
      <c r="AE601" s="91">
        <v>2015</v>
      </c>
      <c r="AF601" s="13" t="s">
        <v>43</v>
      </c>
      <c r="AG601" s="13">
        <v>8000</v>
      </c>
      <c r="AH601" s="45">
        <v>0</v>
      </c>
      <c r="AI601" s="44" t="s">
        <v>855</v>
      </c>
      <c r="AJ601" s="2" t="s">
        <v>856</v>
      </c>
      <c r="AK601" s="46" t="s">
        <v>1746</v>
      </c>
      <c r="AL601" s="55" t="s">
        <v>854</v>
      </c>
      <c r="AM601" s="45" t="s">
        <v>1407</v>
      </c>
      <c r="AN601" s="56" t="s">
        <v>152</v>
      </c>
      <c r="AO601" s="23" t="s">
        <v>163</v>
      </c>
      <c r="AP601" s="11"/>
      <c r="AQ601" s="88" t="s">
        <v>1406</v>
      </c>
      <c r="AR601" s="57" t="s">
        <v>40</v>
      </c>
      <c r="AS601" s="46">
        <v>42108.577256944445</v>
      </c>
      <c r="AT601" s="3">
        <f t="shared" si="8"/>
        <v>411</v>
      </c>
    </row>
    <row r="602" spans="8:46" x14ac:dyDescent="0.4">
      <c r="H602" s="59">
        <v>42992.404930555553</v>
      </c>
      <c r="I602" s="43">
        <v>41739</v>
      </c>
      <c r="J602" s="42">
        <v>41760.545752314814</v>
      </c>
      <c r="K602" s="81" t="s">
        <v>49</v>
      </c>
      <c r="L602" t="s">
        <v>49</v>
      </c>
      <c r="M602" t="s">
        <v>336</v>
      </c>
      <c r="N602" s="1" t="s">
        <v>336</v>
      </c>
      <c r="O602" s="1" t="s">
        <v>245</v>
      </c>
      <c r="P602" t="s">
        <v>337</v>
      </c>
      <c r="Q602" s="9" t="s">
        <v>45</v>
      </c>
      <c r="R602" s="82" t="s">
        <v>45</v>
      </c>
      <c r="S602" s="44" t="s">
        <v>52</v>
      </c>
      <c r="T602" s="3" t="s">
        <v>136</v>
      </c>
      <c r="U602" s="2" t="s">
        <v>29</v>
      </c>
      <c r="V602" s="3" t="s">
        <v>162</v>
      </c>
      <c r="W602" s="11" t="s">
        <v>153</v>
      </c>
      <c r="X602" s="3" t="s">
        <v>153</v>
      </c>
      <c r="Y602" s="77" t="s">
        <v>48</v>
      </c>
      <c r="Z602" s="84" t="s">
        <v>1408</v>
      </c>
      <c r="AA602" s="89" t="s">
        <v>28</v>
      </c>
      <c r="AB602" s="90" t="str">
        <f>HYPERLINK(CONCATENATE("https://www.ejacket.nsf.gov/ej/showProposal.do?ID=",SUBSTITUTE(SplitQueryTableRecent[[#This Row],[prop_id]],CHAR(160),"")),"eJ")</f>
        <v>eJ</v>
      </c>
      <c r="AC602" s="89" t="s">
        <v>1409</v>
      </c>
      <c r="AD602" s="3" t="s">
        <v>1408</v>
      </c>
      <c r="AE602" s="91">
        <v>2014</v>
      </c>
      <c r="AF602" s="13" t="s">
        <v>43</v>
      </c>
      <c r="AG602" s="13">
        <v>40000</v>
      </c>
      <c r="AH602" s="45">
        <v>40000</v>
      </c>
      <c r="AI602" s="44" t="s">
        <v>1411</v>
      </c>
      <c r="AJ602" s="2" t="s">
        <v>363</v>
      </c>
      <c r="AK602" s="46" t="s">
        <v>160</v>
      </c>
      <c r="AL602" s="55" t="s">
        <v>138</v>
      </c>
      <c r="AM602" s="45" t="s">
        <v>138</v>
      </c>
      <c r="AN602" s="56" t="s">
        <v>152</v>
      </c>
      <c r="AO602" s="23" t="s">
        <v>163</v>
      </c>
      <c r="AP602" s="11"/>
      <c r="AQ602" s="88" t="s">
        <v>1410</v>
      </c>
      <c r="AR602" s="57" t="s">
        <v>161</v>
      </c>
      <c r="AS602" s="46">
        <v>41786.479849537034</v>
      </c>
      <c r="AT602" s="3">
        <f t="shared" ref="AT602:AT644" si="9">IF(AD602=AD601,AT601,AT601+1)</f>
        <v>412</v>
      </c>
    </row>
    <row r="603" spans="8:46" x14ac:dyDescent="0.4">
      <c r="H603" s="59">
        <v>42992.404930555553</v>
      </c>
      <c r="I603" s="43">
        <v>41800</v>
      </c>
      <c r="J603" s="42">
        <v>41807.438900462963</v>
      </c>
      <c r="K603" s="81" t="s">
        <v>49</v>
      </c>
      <c r="L603" t="s">
        <v>49</v>
      </c>
      <c r="M603" t="s">
        <v>336</v>
      </c>
      <c r="N603" s="1" t="s">
        <v>336</v>
      </c>
      <c r="O603" s="1" t="s">
        <v>245</v>
      </c>
      <c r="P603" t="s">
        <v>245</v>
      </c>
      <c r="Q603" s="9" t="s">
        <v>45</v>
      </c>
      <c r="R603" s="82" t="s">
        <v>45</v>
      </c>
      <c r="S603" s="44" t="s">
        <v>52</v>
      </c>
      <c r="T603" s="3" t="s">
        <v>136</v>
      </c>
      <c r="U603" s="2" t="s">
        <v>29</v>
      </c>
      <c r="V603" s="3" t="s">
        <v>162</v>
      </c>
      <c r="W603" s="11" t="s">
        <v>153</v>
      </c>
      <c r="X603" s="3" t="s">
        <v>153</v>
      </c>
      <c r="Y603" s="77" t="s">
        <v>48</v>
      </c>
      <c r="Z603" s="84" t="s">
        <v>1420</v>
      </c>
      <c r="AA603" s="89" t="s">
        <v>28</v>
      </c>
      <c r="AB603" s="90" t="str">
        <f>HYPERLINK(CONCATENATE("https://www.ejacket.nsf.gov/ej/showProposal.do?ID=",SUBSTITUTE(SplitQueryTableRecent[[#This Row],[prop_id]],CHAR(160),"")),"eJ")</f>
        <v>eJ</v>
      </c>
      <c r="AC603" s="89" t="s">
        <v>1421</v>
      </c>
      <c r="AD603" s="3" t="s">
        <v>1420</v>
      </c>
      <c r="AE603" s="91">
        <v>2014</v>
      </c>
      <c r="AF603" s="13" t="s">
        <v>43</v>
      </c>
      <c r="AG603" s="13">
        <v>7200</v>
      </c>
      <c r="AH603" s="45">
        <v>7200</v>
      </c>
      <c r="AI603" s="44" t="s">
        <v>1424</v>
      </c>
      <c r="AJ603" s="2" t="s">
        <v>1425</v>
      </c>
      <c r="AK603" s="46" t="s">
        <v>1706</v>
      </c>
      <c r="AL603" s="55" t="s">
        <v>854</v>
      </c>
      <c r="AM603" s="45" t="s">
        <v>1423</v>
      </c>
      <c r="AN603" s="56" t="s">
        <v>152</v>
      </c>
      <c r="AO603" s="23" t="s">
        <v>163</v>
      </c>
      <c r="AP603" s="11"/>
      <c r="AQ603" s="88" t="s">
        <v>1422</v>
      </c>
      <c r="AR603" s="57" t="s">
        <v>167</v>
      </c>
      <c r="AS603" s="46">
        <v>41809.499814814815</v>
      </c>
      <c r="AT603" s="3">
        <f t="shared" si="9"/>
        <v>413</v>
      </c>
    </row>
    <row r="604" spans="8:46" x14ac:dyDescent="0.4">
      <c r="H604" s="59">
        <v>42992.404930555553</v>
      </c>
      <c r="I604" s="43">
        <v>41702</v>
      </c>
      <c r="J604" s="42">
        <v>41767.407048611109</v>
      </c>
      <c r="K604" s="81" t="s">
        <v>49</v>
      </c>
      <c r="L604" t="s">
        <v>49</v>
      </c>
      <c r="M604" t="s">
        <v>336</v>
      </c>
      <c r="N604" s="1" t="s">
        <v>336</v>
      </c>
      <c r="O604" s="1" t="s">
        <v>337</v>
      </c>
      <c r="P604" t="s">
        <v>337</v>
      </c>
      <c r="Q604" s="9" t="s">
        <v>45</v>
      </c>
      <c r="R604" s="82" t="s">
        <v>45</v>
      </c>
      <c r="S604" s="44" t="s">
        <v>52</v>
      </c>
      <c r="T604" s="3" t="s">
        <v>136</v>
      </c>
      <c r="U604" s="2" t="s">
        <v>29</v>
      </c>
      <c r="V604" s="3" t="s">
        <v>162</v>
      </c>
      <c r="W604" s="11" t="s">
        <v>153</v>
      </c>
      <c r="X604" s="3" t="s">
        <v>153</v>
      </c>
      <c r="Y604" s="77" t="s">
        <v>48</v>
      </c>
      <c r="Z604" s="84" t="s">
        <v>1426</v>
      </c>
      <c r="AA604" s="89" t="s">
        <v>28</v>
      </c>
      <c r="AB604" s="90" t="str">
        <f>HYPERLINK(CONCATENATE("https://www.ejacket.nsf.gov/ej/showProposal.do?ID=",SUBSTITUTE(SplitQueryTableRecent[[#This Row],[prop_id]],CHAR(160),"")),"eJ")</f>
        <v>eJ</v>
      </c>
      <c r="AC604" s="89" t="s">
        <v>1427</v>
      </c>
      <c r="AD604" s="3" t="s">
        <v>1426</v>
      </c>
      <c r="AE604" s="91">
        <v>2014</v>
      </c>
      <c r="AF604" s="13" t="s">
        <v>43</v>
      </c>
      <c r="AG604" s="13">
        <v>8000</v>
      </c>
      <c r="AH604" s="45">
        <v>8000</v>
      </c>
      <c r="AI604" s="44" t="s">
        <v>390</v>
      </c>
      <c r="AJ604" s="2" t="s">
        <v>391</v>
      </c>
      <c r="AK604" s="46" t="s">
        <v>1726</v>
      </c>
      <c r="AL604" s="55" t="s">
        <v>138</v>
      </c>
      <c r="AM604" s="45" t="s">
        <v>138</v>
      </c>
      <c r="AN604" s="56" t="s">
        <v>152</v>
      </c>
      <c r="AO604" s="23" t="s">
        <v>163</v>
      </c>
      <c r="AP604" s="11"/>
      <c r="AQ604" s="88" t="s">
        <v>1428</v>
      </c>
      <c r="AR604" s="57" t="s">
        <v>167</v>
      </c>
      <c r="AS604" s="46">
        <v>41768.403032407405</v>
      </c>
      <c r="AT604" s="3">
        <f t="shared" si="9"/>
        <v>414</v>
      </c>
    </row>
    <row r="605" spans="8:46" x14ac:dyDescent="0.4">
      <c r="H605" s="59">
        <v>42992.404930555553</v>
      </c>
      <c r="I605" s="43">
        <v>41746</v>
      </c>
      <c r="J605" s="42">
        <v>41767.484548611108</v>
      </c>
      <c r="K605" s="81" t="s">
        <v>49</v>
      </c>
      <c r="L605" t="s">
        <v>49</v>
      </c>
      <c r="M605" t="s">
        <v>336</v>
      </c>
      <c r="N605" s="1" t="s">
        <v>336</v>
      </c>
      <c r="O605" s="1" t="s">
        <v>337</v>
      </c>
      <c r="P605" t="s">
        <v>337</v>
      </c>
      <c r="Q605" s="9" t="s">
        <v>45</v>
      </c>
      <c r="R605" s="82" t="s">
        <v>45</v>
      </c>
      <c r="S605" s="44" t="s">
        <v>52</v>
      </c>
      <c r="T605" s="3" t="s">
        <v>136</v>
      </c>
      <c r="U605" s="2" t="s">
        <v>29</v>
      </c>
      <c r="V605" s="3" t="s">
        <v>162</v>
      </c>
      <c r="W605" s="11" t="s">
        <v>153</v>
      </c>
      <c r="X605" s="3" t="s">
        <v>153</v>
      </c>
      <c r="Y605" s="77" t="s">
        <v>48</v>
      </c>
      <c r="Z605" s="84" t="s">
        <v>1433</v>
      </c>
      <c r="AA605" s="89" t="s">
        <v>28</v>
      </c>
      <c r="AB605" s="90" t="str">
        <f>HYPERLINK(CONCATENATE("https://www.ejacket.nsf.gov/ej/showProposal.do?ID=",SUBSTITUTE(SplitQueryTableRecent[[#This Row],[prop_id]],CHAR(160),"")),"eJ")</f>
        <v>eJ</v>
      </c>
      <c r="AC605" s="89" t="s">
        <v>1431</v>
      </c>
      <c r="AD605" s="3" t="s">
        <v>1433</v>
      </c>
      <c r="AE605" s="91">
        <v>2014</v>
      </c>
      <c r="AF605" s="13" t="s">
        <v>43</v>
      </c>
      <c r="AG605" s="13">
        <v>16000</v>
      </c>
      <c r="AH605" s="45">
        <v>16000</v>
      </c>
      <c r="AI605" s="44" t="s">
        <v>1208</v>
      </c>
      <c r="AJ605" s="2" t="s">
        <v>310</v>
      </c>
      <c r="AK605" s="46" t="s">
        <v>1719</v>
      </c>
      <c r="AL605" s="55" t="s">
        <v>138</v>
      </c>
      <c r="AM605" s="45" t="s">
        <v>138</v>
      </c>
      <c r="AN605" s="56" t="s">
        <v>152</v>
      </c>
      <c r="AO605" s="23" t="s">
        <v>163</v>
      </c>
      <c r="AP605" s="11"/>
      <c r="AQ605" s="88" t="s">
        <v>1432</v>
      </c>
      <c r="AR605" s="57" t="s">
        <v>167</v>
      </c>
      <c r="AS605" s="46">
        <v>41779.571446759262</v>
      </c>
      <c r="AT605" s="3">
        <f t="shared" si="9"/>
        <v>415</v>
      </c>
    </row>
    <row r="606" spans="8:46" x14ac:dyDescent="0.4">
      <c r="H606" s="59">
        <v>42992.404930555553</v>
      </c>
      <c r="I606" s="43">
        <v>41754</v>
      </c>
      <c r="J606" s="42">
        <v>41800.356365740743</v>
      </c>
      <c r="K606" s="81" t="s">
        <v>49</v>
      </c>
      <c r="L606" t="s">
        <v>49</v>
      </c>
      <c r="M606" t="s">
        <v>581</v>
      </c>
      <c r="N606" s="1" t="s">
        <v>336</v>
      </c>
      <c r="O606" s="1" t="s">
        <v>245</v>
      </c>
      <c r="P606" t="s">
        <v>245</v>
      </c>
      <c r="Q606" s="9" t="s">
        <v>45</v>
      </c>
      <c r="R606" s="82" t="s">
        <v>45</v>
      </c>
      <c r="S606" s="44" t="s">
        <v>52</v>
      </c>
      <c r="T606" s="3" t="s">
        <v>136</v>
      </c>
      <c r="U606" s="2" t="s">
        <v>29</v>
      </c>
      <c r="V606" s="3" t="s">
        <v>162</v>
      </c>
      <c r="W606" s="11" t="s">
        <v>153</v>
      </c>
      <c r="X606" s="3" t="s">
        <v>153</v>
      </c>
      <c r="Y606" s="77" t="s">
        <v>48</v>
      </c>
      <c r="Z606" s="84" t="s">
        <v>1440</v>
      </c>
      <c r="AA606" s="89" t="s">
        <v>28</v>
      </c>
      <c r="AB606" s="90" t="str">
        <f>HYPERLINK(CONCATENATE("https://www.ejacket.nsf.gov/ej/showProposal.do?ID=",SUBSTITUTE(SplitQueryTableRecent[[#This Row],[prop_id]],CHAR(160),"")),"eJ")</f>
        <v>eJ</v>
      </c>
      <c r="AC606" s="89" t="s">
        <v>1237</v>
      </c>
      <c r="AD606" s="3" t="s">
        <v>1440</v>
      </c>
      <c r="AE606" s="91">
        <v>2014</v>
      </c>
      <c r="AF606" s="13" t="s">
        <v>43</v>
      </c>
      <c r="AG606" s="13">
        <v>7204</v>
      </c>
      <c r="AH606" s="45">
        <v>8020</v>
      </c>
      <c r="AI606" s="44" t="s">
        <v>220</v>
      </c>
      <c r="AJ606" s="2" t="s">
        <v>201</v>
      </c>
      <c r="AK606" s="46" t="s">
        <v>301</v>
      </c>
      <c r="AL606" s="55" t="s">
        <v>138</v>
      </c>
      <c r="AM606" s="45" t="s">
        <v>138</v>
      </c>
      <c r="AN606" s="56" t="s">
        <v>152</v>
      </c>
      <c r="AO606" s="23" t="s">
        <v>163</v>
      </c>
      <c r="AP606" s="11"/>
      <c r="AQ606" s="88" t="s">
        <v>1238</v>
      </c>
      <c r="AR606" s="57" t="s">
        <v>167</v>
      </c>
      <c r="AS606" s="46">
        <v>41801.302546296298</v>
      </c>
      <c r="AT606" s="3">
        <f t="shared" si="9"/>
        <v>416</v>
      </c>
    </row>
    <row r="607" spans="8:46" x14ac:dyDescent="0.4">
      <c r="H607" s="59">
        <v>42992.404930555553</v>
      </c>
      <c r="I607" s="43">
        <v>41729</v>
      </c>
      <c r="J607" s="42">
        <v>1</v>
      </c>
      <c r="K607" s="81" t="s">
        <v>49</v>
      </c>
      <c r="L607" t="s">
        <v>49</v>
      </c>
      <c r="M607" t="s">
        <v>336</v>
      </c>
      <c r="N607" s="1" t="s">
        <v>336</v>
      </c>
      <c r="O607" s="1" t="s">
        <v>245</v>
      </c>
      <c r="P607" t="s">
        <v>245</v>
      </c>
      <c r="Q607" s="9" t="s">
        <v>45</v>
      </c>
      <c r="R607" s="82" t="s">
        <v>45</v>
      </c>
      <c r="S607" s="44" t="s">
        <v>169</v>
      </c>
      <c r="T607" s="3" t="s">
        <v>71</v>
      </c>
      <c r="U607" s="2" t="s">
        <v>29</v>
      </c>
      <c r="V607" s="3" t="s">
        <v>162</v>
      </c>
      <c r="W607" s="11" t="s">
        <v>153</v>
      </c>
      <c r="X607" s="3" t="s">
        <v>153</v>
      </c>
      <c r="Y607" s="77" t="s">
        <v>48</v>
      </c>
      <c r="Z607" s="84" t="s">
        <v>1455</v>
      </c>
      <c r="AA607" s="89" t="s">
        <v>28</v>
      </c>
      <c r="AB607" s="90" t="str">
        <f>HYPERLINK(CONCATENATE("https://www.ejacket.nsf.gov/ej/showProposal.do?ID=",SUBSTITUTE(SplitQueryTableRecent[[#This Row],[prop_id]],CHAR(160),"")),"eJ")</f>
        <v>eJ</v>
      </c>
      <c r="AC607" s="89" t="s">
        <v>1455</v>
      </c>
      <c r="AD607" s="3" t="s">
        <v>1455</v>
      </c>
      <c r="AE607" s="91">
        <v>2011</v>
      </c>
      <c r="AF607" s="13" t="s">
        <v>43</v>
      </c>
      <c r="AG607" s="13">
        <v>156840</v>
      </c>
      <c r="AH607" s="45">
        <v>156840</v>
      </c>
      <c r="AI607" s="44" t="s">
        <v>1313</v>
      </c>
      <c r="AJ607" s="2" t="s">
        <v>912</v>
      </c>
      <c r="AK607" s="46" t="s">
        <v>1735</v>
      </c>
      <c r="AL607" s="55"/>
      <c r="AM607" s="45" t="s">
        <v>369</v>
      </c>
      <c r="AN607" s="56" t="s">
        <v>152</v>
      </c>
      <c r="AO607" s="23" t="s">
        <v>163</v>
      </c>
      <c r="AP607" s="11"/>
      <c r="AQ607" s="88" t="s">
        <v>1456</v>
      </c>
      <c r="AR607" s="57" t="s">
        <v>161</v>
      </c>
      <c r="AS607" s="46">
        <v>41736.415879629632</v>
      </c>
      <c r="AT607" s="3">
        <f t="shared" si="9"/>
        <v>417</v>
      </c>
    </row>
    <row r="608" spans="8:46" x14ac:dyDescent="0.4">
      <c r="H608" s="59">
        <v>42992.404930555553</v>
      </c>
      <c r="I608" s="43">
        <v>42129</v>
      </c>
      <c r="J608" s="42">
        <v>1</v>
      </c>
      <c r="K608" s="81" t="s">
        <v>49</v>
      </c>
      <c r="L608" t="s">
        <v>49</v>
      </c>
      <c r="M608" t="s">
        <v>336</v>
      </c>
      <c r="N608" s="1" t="s">
        <v>336</v>
      </c>
      <c r="O608" s="1" t="s">
        <v>337</v>
      </c>
      <c r="P608" t="s">
        <v>337</v>
      </c>
      <c r="Q608" s="9" t="s">
        <v>45</v>
      </c>
      <c r="R608" s="82" t="s">
        <v>45</v>
      </c>
      <c r="S608" s="44" t="s">
        <v>542</v>
      </c>
      <c r="T608" s="3" t="s">
        <v>71</v>
      </c>
      <c r="U608" s="2" t="s">
        <v>29</v>
      </c>
      <c r="V608" s="3" t="s">
        <v>162</v>
      </c>
      <c r="W608" s="11" t="s">
        <v>153</v>
      </c>
      <c r="X608" s="3" t="s">
        <v>153</v>
      </c>
      <c r="Y608" s="77" t="s">
        <v>48</v>
      </c>
      <c r="Z608" s="84" t="s">
        <v>1457</v>
      </c>
      <c r="AA608" s="89" t="s">
        <v>28</v>
      </c>
      <c r="AB608" s="90" t="str">
        <f>HYPERLINK(CONCATENATE("https://www.ejacket.nsf.gov/ej/showProposal.do?ID=",SUBSTITUTE(SplitQueryTableRecent[[#This Row],[prop_id]],CHAR(160),"")),"eJ")</f>
        <v>eJ</v>
      </c>
      <c r="AC608" s="89" t="s">
        <v>1457</v>
      </c>
      <c r="AD608" s="3" t="s">
        <v>1457</v>
      </c>
      <c r="AE608" s="91">
        <v>2012</v>
      </c>
      <c r="AF608" s="13" t="s">
        <v>43</v>
      </c>
      <c r="AG608" s="13">
        <v>118694</v>
      </c>
      <c r="AH608" s="45">
        <v>118694</v>
      </c>
      <c r="AI608" s="44" t="s">
        <v>1061</v>
      </c>
      <c r="AJ608" s="2" t="s">
        <v>842</v>
      </c>
      <c r="AK608" s="46" t="s">
        <v>465</v>
      </c>
      <c r="AL608" s="55"/>
      <c r="AM608" s="45" t="s">
        <v>584</v>
      </c>
      <c r="AN608" s="56" t="s">
        <v>152</v>
      </c>
      <c r="AO608" s="23" t="s">
        <v>163</v>
      </c>
      <c r="AP608" s="11"/>
      <c r="AQ608" s="88" t="s">
        <v>1458</v>
      </c>
      <c r="AR608" s="57" t="s">
        <v>188</v>
      </c>
      <c r="AS608" s="46">
        <v>42160.52103009259</v>
      </c>
      <c r="AT608" s="3">
        <f t="shared" si="9"/>
        <v>418</v>
      </c>
    </row>
    <row r="609" spans="8:46" x14ac:dyDescent="0.4">
      <c r="H609" s="59">
        <v>42992.404930555553</v>
      </c>
      <c r="I609" s="43">
        <v>41705</v>
      </c>
      <c r="J609" s="42">
        <v>1</v>
      </c>
      <c r="K609" s="81" t="s">
        <v>49</v>
      </c>
      <c r="L609" t="s">
        <v>49</v>
      </c>
      <c r="M609" t="s">
        <v>336</v>
      </c>
      <c r="N609" s="1" t="s">
        <v>336</v>
      </c>
      <c r="O609" s="1" t="s">
        <v>245</v>
      </c>
      <c r="P609" t="s">
        <v>245</v>
      </c>
      <c r="Q609" s="9" t="s">
        <v>45</v>
      </c>
      <c r="R609" s="82" t="s">
        <v>45</v>
      </c>
      <c r="S609" s="44" t="s">
        <v>542</v>
      </c>
      <c r="T609" s="3" t="s">
        <v>71</v>
      </c>
      <c r="U609" s="2" t="s">
        <v>29</v>
      </c>
      <c r="V609" s="3" t="s">
        <v>162</v>
      </c>
      <c r="W609" s="11" t="s">
        <v>153</v>
      </c>
      <c r="X609" s="3" t="s">
        <v>153</v>
      </c>
      <c r="Y609" s="77" t="s">
        <v>48</v>
      </c>
      <c r="Z609" s="84" t="s">
        <v>1460</v>
      </c>
      <c r="AA609" s="89" t="s">
        <v>28</v>
      </c>
      <c r="AB609" s="90" t="str">
        <f>HYPERLINK(CONCATENATE("https://www.ejacket.nsf.gov/ej/showProposal.do?ID=",SUBSTITUTE(SplitQueryTableRecent[[#This Row],[prop_id]],CHAR(160),"")),"eJ")</f>
        <v>eJ</v>
      </c>
      <c r="AC609" s="89" t="s">
        <v>1460</v>
      </c>
      <c r="AD609" s="3" t="s">
        <v>1460</v>
      </c>
      <c r="AE609" s="91">
        <v>2012</v>
      </c>
      <c r="AF609" s="13" t="s">
        <v>43</v>
      </c>
      <c r="AG609" s="13">
        <v>130691</v>
      </c>
      <c r="AH609" s="45">
        <v>130691</v>
      </c>
      <c r="AI609" s="44" t="s">
        <v>1096</v>
      </c>
      <c r="AJ609" s="2" t="s">
        <v>418</v>
      </c>
      <c r="AK609" s="46" t="s">
        <v>1738</v>
      </c>
      <c r="AL609" s="55"/>
      <c r="AM609" s="45" t="s">
        <v>353</v>
      </c>
      <c r="AN609" s="56" t="s">
        <v>152</v>
      </c>
      <c r="AO609" s="23" t="s">
        <v>163</v>
      </c>
      <c r="AP609" s="11"/>
      <c r="AQ609" s="88" t="s">
        <v>1461</v>
      </c>
      <c r="AR609" s="57" t="s">
        <v>161</v>
      </c>
      <c r="AS609" s="46">
        <v>41710.405532407407</v>
      </c>
      <c r="AT609" s="3">
        <f t="shared" si="9"/>
        <v>419</v>
      </c>
    </row>
    <row r="610" spans="8:46" x14ac:dyDescent="0.4">
      <c r="H610" s="59">
        <v>42992.404930555553</v>
      </c>
      <c r="I610" s="43">
        <v>41439.565972222219</v>
      </c>
      <c r="J610" s="42">
        <v>1</v>
      </c>
      <c r="K610" s="81" t="s">
        <v>49</v>
      </c>
      <c r="L610" t="s">
        <v>49</v>
      </c>
      <c r="M610" t="s">
        <v>336</v>
      </c>
      <c r="N610" s="1" t="s">
        <v>336</v>
      </c>
      <c r="O610" s="1" t="s">
        <v>245</v>
      </c>
      <c r="P610" t="s">
        <v>245</v>
      </c>
      <c r="Q610" s="9" t="s">
        <v>45</v>
      </c>
      <c r="R610" s="82" t="s">
        <v>45</v>
      </c>
      <c r="S610" s="44" t="s">
        <v>169</v>
      </c>
      <c r="T610" s="3" t="s">
        <v>71</v>
      </c>
      <c r="U610" s="2" t="s">
        <v>29</v>
      </c>
      <c r="V610" s="3" t="s">
        <v>162</v>
      </c>
      <c r="W610" s="11" t="s">
        <v>153</v>
      </c>
      <c r="X610" s="3" t="s">
        <v>153</v>
      </c>
      <c r="Y610" s="77" t="s">
        <v>48</v>
      </c>
      <c r="Z610" s="84" t="s">
        <v>1462</v>
      </c>
      <c r="AA610" s="89" t="s">
        <v>28</v>
      </c>
      <c r="AB610" s="90" t="str">
        <f>HYPERLINK(CONCATENATE("https://www.ejacket.nsf.gov/ej/showProposal.do?ID=",SUBSTITUTE(SplitQueryTableRecent[[#This Row],[prop_id]],CHAR(160),"")),"eJ")</f>
        <v>eJ</v>
      </c>
      <c r="AC610" s="89" t="s">
        <v>1462</v>
      </c>
      <c r="AD610" s="3" t="s">
        <v>1462</v>
      </c>
      <c r="AE610" s="91">
        <v>2011</v>
      </c>
      <c r="AF610" s="13" t="s">
        <v>43</v>
      </c>
      <c r="AG610" s="13">
        <v>351672</v>
      </c>
      <c r="AH610" s="45">
        <v>351672</v>
      </c>
      <c r="AI610" s="44" t="s">
        <v>1464</v>
      </c>
      <c r="AJ610" s="2" t="s">
        <v>1465</v>
      </c>
      <c r="AK610" s="46" t="s">
        <v>307</v>
      </c>
      <c r="AL610" s="55"/>
      <c r="AM610" s="45" t="s">
        <v>353</v>
      </c>
      <c r="AN610" s="56" t="s">
        <v>152</v>
      </c>
      <c r="AO610" s="23" t="s">
        <v>163</v>
      </c>
      <c r="AP610" s="11"/>
      <c r="AQ610" s="88" t="s">
        <v>1463</v>
      </c>
      <c r="AR610" s="57" t="s">
        <v>161</v>
      </c>
      <c r="AS610" s="46">
        <v>41529.338113425925</v>
      </c>
      <c r="AT610" s="3">
        <f t="shared" si="9"/>
        <v>420</v>
      </c>
    </row>
    <row r="611" spans="8:46" x14ac:dyDescent="0.4">
      <c r="H611" s="59">
        <v>42992.404930555553</v>
      </c>
      <c r="I611" s="43">
        <v>41424.625</v>
      </c>
      <c r="J611" s="42">
        <v>1</v>
      </c>
      <c r="K611" s="81" t="s">
        <v>49</v>
      </c>
      <c r="L611" t="s">
        <v>49</v>
      </c>
      <c r="M611" t="s">
        <v>336</v>
      </c>
      <c r="N611" s="1" t="s">
        <v>336</v>
      </c>
      <c r="O611" s="1" t="s">
        <v>337</v>
      </c>
      <c r="P611" t="s">
        <v>337</v>
      </c>
      <c r="Q611" s="9" t="s">
        <v>45</v>
      </c>
      <c r="R611" s="82" t="s">
        <v>45</v>
      </c>
      <c r="S611" s="44" t="s">
        <v>542</v>
      </c>
      <c r="T611" s="3" t="s">
        <v>71</v>
      </c>
      <c r="U611" s="2" t="s">
        <v>29</v>
      </c>
      <c r="V611" s="3" t="s">
        <v>162</v>
      </c>
      <c r="W611" s="11" t="s">
        <v>153</v>
      </c>
      <c r="X611" s="3" t="s">
        <v>153</v>
      </c>
      <c r="Y611" s="77" t="s">
        <v>48</v>
      </c>
      <c r="Z611" s="84" t="s">
        <v>1466</v>
      </c>
      <c r="AA611" s="89" t="s">
        <v>28</v>
      </c>
      <c r="AB611" s="90" t="str">
        <f>HYPERLINK(CONCATENATE("https://www.ejacket.nsf.gov/ej/showProposal.do?ID=",SUBSTITUTE(SplitQueryTableRecent[[#This Row],[prop_id]],CHAR(160),"")),"eJ")</f>
        <v>eJ</v>
      </c>
      <c r="AC611" s="89" t="s">
        <v>1466</v>
      </c>
      <c r="AD611" s="3" t="s">
        <v>1466</v>
      </c>
      <c r="AE611" s="91">
        <v>2012</v>
      </c>
      <c r="AF611" s="13" t="s">
        <v>43</v>
      </c>
      <c r="AG611" s="13">
        <v>196560</v>
      </c>
      <c r="AH611" s="45">
        <v>196560</v>
      </c>
      <c r="AI611" s="44" t="s">
        <v>1126</v>
      </c>
      <c r="AJ611" s="2" t="s">
        <v>1127</v>
      </c>
      <c r="AK611" s="46" t="s">
        <v>1731</v>
      </c>
      <c r="AL611" s="55"/>
      <c r="AM611" s="45" t="s">
        <v>584</v>
      </c>
      <c r="AN611" s="56" t="s">
        <v>152</v>
      </c>
      <c r="AO611" s="23" t="s">
        <v>163</v>
      </c>
      <c r="AP611" s="11"/>
      <c r="AQ611" s="88" t="s">
        <v>1458</v>
      </c>
      <c r="AR611" s="57" t="s">
        <v>161</v>
      </c>
      <c r="AS611" s="46">
        <v>41473.471886574072</v>
      </c>
      <c r="AT611" s="3">
        <f t="shared" si="9"/>
        <v>421</v>
      </c>
    </row>
    <row r="612" spans="8:46" x14ac:dyDescent="0.4">
      <c r="H612" s="59">
        <v>42992.404930555553</v>
      </c>
      <c r="I612" s="43">
        <v>41589</v>
      </c>
      <c r="J612" s="42">
        <v>1</v>
      </c>
      <c r="K612" s="81" t="s">
        <v>49</v>
      </c>
      <c r="L612" t="s">
        <v>49</v>
      </c>
      <c r="M612" t="s">
        <v>336</v>
      </c>
      <c r="N612" s="1" t="s">
        <v>336</v>
      </c>
      <c r="O612" s="1" t="s">
        <v>245</v>
      </c>
      <c r="P612" t="s">
        <v>245</v>
      </c>
      <c r="Q612" s="9" t="s">
        <v>45</v>
      </c>
      <c r="R612" s="82" t="s">
        <v>45</v>
      </c>
      <c r="S612" s="44" t="s">
        <v>542</v>
      </c>
      <c r="T612" s="3" t="s">
        <v>71</v>
      </c>
      <c r="U612" s="2" t="s">
        <v>29</v>
      </c>
      <c r="V612" s="3" t="s">
        <v>162</v>
      </c>
      <c r="W612" s="11" t="s">
        <v>153</v>
      </c>
      <c r="X612" s="3" t="s">
        <v>153</v>
      </c>
      <c r="Y612" s="77" t="s">
        <v>48</v>
      </c>
      <c r="Z612" s="84" t="s">
        <v>1467</v>
      </c>
      <c r="AA612" s="89" t="s">
        <v>28</v>
      </c>
      <c r="AB612" s="90" t="str">
        <f>HYPERLINK(CONCATENATE("https://www.ejacket.nsf.gov/ej/showProposal.do?ID=",SUBSTITUTE(SplitQueryTableRecent[[#This Row],[prop_id]],CHAR(160),"")),"eJ")</f>
        <v>eJ</v>
      </c>
      <c r="AC612" s="89" t="s">
        <v>1467</v>
      </c>
      <c r="AD612" s="3" t="s">
        <v>1467</v>
      </c>
      <c r="AE612" s="91">
        <v>2012</v>
      </c>
      <c r="AF612" s="13" t="s">
        <v>43</v>
      </c>
      <c r="AG612" s="13">
        <v>145697</v>
      </c>
      <c r="AH612" s="45">
        <v>145697</v>
      </c>
      <c r="AI612" s="44" t="s">
        <v>420</v>
      </c>
      <c r="AJ612" s="2" t="s">
        <v>421</v>
      </c>
      <c r="AK612" s="46" t="s">
        <v>1709</v>
      </c>
      <c r="AL612" s="55" t="s">
        <v>353</v>
      </c>
      <c r="AM612" s="45" t="s">
        <v>353</v>
      </c>
      <c r="AN612" s="56" t="s">
        <v>152</v>
      </c>
      <c r="AO612" s="23" t="s">
        <v>163</v>
      </c>
      <c r="AP612" s="11"/>
      <c r="AQ612" s="88" t="s">
        <v>1468</v>
      </c>
      <c r="AR612" s="57" t="s">
        <v>161</v>
      </c>
      <c r="AS612" s="46">
        <v>41592.370925925927</v>
      </c>
      <c r="AT612" s="3">
        <f t="shared" si="9"/>
        <v>422</v>
      </c>
    </row>
    <row r="613" spans="8:46" x14ac:dyDescent="0.4">
      <c r="H613" s="59">
        <v>42992.404930555553</v>
      </c>
      <c r="I613" s="43">
        <v>41744</v>
      </c>
      <c r="J613" s="42">
        <v>41760.546898148146</v>
      </c>
      <c r="K613" s="81" t="s">
        <v>49</v>
      </c>
      <c r="L613" t="s">
        <v>49</v>
      </c>
      <c r="M613" t="s">
        <v>336</v>
      </c>
      <c r="N613" s="1" t="s">
        <v>336</v>
      </c>
      <c r="O613" s="1" t="s">
        <v>337</v>
      </c>
      <c r="P613" t="s">
        <v>337</v>
      </c>
      <c r="Q613" s="9" t="s">
        <v>45</v>
      </c>
      <c r="R613" s="82" t="s">
        <v>45</v>
      </c>
      <c r="S613" s="44" t="s">
        <v>52</v>
      </c>
      <c r="T613" s="3" t="s">
        <v>136</v>
      </c>
      <c r="U613" s="2" t="s">
        <v>29</v>
      </c>
      <c r="V613" s="3" t="s">
        <v>162</v>
      </c>
      <c r="W613" s="11" t="s">
        <v>143</v>
      </c>
      <c r="X613" s="3" t="s">
        <v>143</v>
      </c>
      <c r="Y613" s="77" t="s">
        <v>48</v>
      </c>
      <c r="Z613" s="84" t="s">
        <v>1620</v>
      </c>
      <c r="AA613" s="89" t="s">
        <v>28</v>
      </c>
      <c r="AB613" s="90" t="str">
        <f>HYPERLINK(CONCATENATE("https://www.ejacket.nsf.gov/ej/showProposal.do?ID=",SUBSTITUTE(SplitQueryTableRecent[[#This Row],[prop_id]],CHAR(160),"")),"eJ")</f>
        <v>eJ</v>
      </c>
      <c r="AC613" s="89" t="s">
        <v>1618</v>
      </c>
      <c r="AD613" s="3" t="s">
        <v>1620</v>
      </c>
      <c r="AE613" s="91">
        <v>2014</v>
      </c>
      <c r="AF613" s="13" t="s">
        <v>43</v>
      </c>
      <c r="AG613" s="13">
        <v>7000</v>
      </c>
      <c r="AH613" s="45">
        <v>7000</v>
      </c>
      <c r="AI613" s="44" t="s">
        <v>1038</v>
      </c>
      <c r="AJ613" s="2" t="s">
        <v>1039</v>
      </c>
      <c r="AK613" s="46" t="s">
        <v>1721</v>
      </c>
      <c r="AL613" s="55" t="s">
        <v>138</v>
      </c>
      <c r="AM613" s="45" t="s">
        <v>138</v>
      </c>
      <c r="AN613" s="56" t="s">
        <v>142</v>
      </c>
      <c r="AO613" s="23" t="s">
        <v>163</v>
      </c>
      <c r="AP613" s="11"/>
      <c r="AQ613" s="88" t="s">
        <v>1619</v>
      </c>
      <c r="AR613" s="57" t="s">
        <v>167</v>
      </c>
      <c r="AS613" s="46">
        <v>41764.404166666667</v>
      </c>
      <c r="AT613" s="3">
        <f t="shared" si="9"/>
        <v>423</v>
      </c>
    </row>
    <row r="614" spans="8:46" x14ac:dyDescent="0.4">
      <c r="H614" s="59">
        <v>42992.404930555553</v>
      </c>
      <c r="I614" s="43">
        <v>41830</v>
      </c>
      <c r="J614" s="42">
        <v>41836.464502314811</v>
      </c>
      <c r="K614" s="81" t="s">
        <v>49</v>
      </c>
      <c r="L614" t="s">
        <v>49</v>
      </c>
      <c r="M614" t="s">
        <v>336</v>
      </c>
      <c r="N614" s="1" t="s">
        <v>336</v>
      </c>
      <c r="O614" s="1" t="s">
        <v>337</v>
      </c>
      <c r="P614" t="s">
        <v>337</v>
      </c>
      <c r="Q614" s="9" t="s">
        <v>45</v>
      </c>
      <c r="R614" s="82" t="s">
        <v>45</v>
      </c>
      <c r="S614" s="44" t="s">
        <v>52</v>
      </c>
      <c r="T614" s="3" t="s">
        <v>136</v>
      </c>
      <c r="U614" s="2" t="s">
        <v>29</v>
      </c>
      <c r="V614" s="3" t="s">
        <v>162</v>
      </c>
      <c r="W614" s="11" t="s">
        <v>143</v>
      </c>
      <c r="X614" s="3" t="s">
        <v>143</v>
      </c>
      <c r="Y614" s="77" t="s">
        <v>48</v>
      </c>
      <c r="Z614" s="84" t="s">
        <v>1621</v>
      </c>
      <c r="AA614" s="89" t="s">
        <v>28</v>
      </c>
      <c r="AB614" s="90" t="str">
        <f>HYPERLINK(CONCATENATE("https://www.ejacket.nsf.gov/ej/showProposal.do?ID=",SUBSTITUTE(SplitQueryTableRecent[[#This Row],[prop_id]],CHAR(160),"")),"eJ")</f>
        <v>eJ</v>
      </c>
      <c r="AC614" s="89" t="s">
        <v>1618</v>
      </c>
      <c r="AD614" s="3" t="s">
        <v>1621</v>
      </c>
      <c r="AE614" s="91">
        <v>2014</v>
      </c>
      <c r="AF614" s="13" t="s">
        <v>43</v>
      </c>
      <c r="AG614" s="13">
        <v>13000</v>
      </c>
      <c r="AH614" s="45">
        <v>13000</v>
      </c>
      <c r="AI614" s="44" t="s">
        <v>1038</v>
      </c>
      <c r="AJ614" s="2" t="s">
        <v>1039</v>
      </c>
      <c r="AK614" s="46" t="s">
        <v>1721</v>
      </c>
      <c r="AL614" s="55" t="s">
        <v>1418</v>
      </c>
      <c r="AM614" s="45" t="s">
        <v>1418</v>
      </c>
      <c r="AN614" s="56" t="s">
        <v>142</v>
      </c>
      <c r="AO614" s="23" t="s">
        <v>163</v>
      </c>
      <c r="AP614" s="11"/>
      <c r="AQ614" s="88" t="s">
        <v>1619</v>
      </c>
      <c r="AR614" s="57" t="s">
        <v>161</v>
      </c>
      <c r="AS614" s="46">
        <v>41838.564201388886</v>
      </c>
      <c r="AT614" s="3">
        <f t="shared" si="9"/>
        <v>424</v>
      </c>
    </row>
    <row r="615" spans="8:46" x14ac:dyDescent="0.4">
      <c r="H615" s="59">
        <v>42992.404930555553</v>
      </c>
      <c r="I615" s="43">
        <v>42038</v>
      </c>
      <c r="J615" s="42">
        <v>42142.501226851855</v>
      </c>
      <c r="K615" s="81" t="s">
        <v>49</v>
      </c>
      <c r="L615" t="s">
        <v>49</v>
      </c>
      <c r="M615" t="s">
        <v>336</v>
      </c>
      <c r="N615" s="1" t="s">
        <v>336</v>
      </c>
      <c r="O615" s="1" t="s">
        <v>337</v>
      </c>
      <c r="P615" t="s">
        <v>337</v>
      </c>
      <c r="Q615" s="9" t="s">
        <v>45</v>
      </c>
      <c r="R615" s="82" t="s">
        <v>45</v>
      </c>
      <c r="S615" s="44" t="s">
        <v>52</v>
      </c>
      <c r="T615" s="3" t="s">
        <v>136</v>
      </c>
      <c r="U615" s="2" t="s">
        <v>29</v>
      </c>
      <c r="V615" s="3" t="s">
        <v>162</v>
      </c>
      <c r="W615" s="11" t="s">
        <v>143</v>
      </c>
      <c r="X615" s="3" t="s">
        <v>143</v>
      </c>
      <c r="Y615" s="77" t="s">
        <v>48</v>
      </c>
      <c r="Z615" s="84" t="s">
        <v>1622</v>
      </c>
      <c r="AA615" s="89" t="s">
        <v>28</v>
      </c>
      <c r="AB615" s="90" t="str">
        <f>HYPERLINK(CONCATENATE("https://www.ejacket.nsf.gov/ej/showProposal.do?ID=",SUBSTITUTE(SplitQueryTableRecent[[#This Row],[prop_id]],CHAR(160),"")),"eJ")</f>
        <v>eJ</v>
      </c>
      <c r="AC615" s="89" t="s">
        <v>1618</v>
      </c>
      <c r="AD615" s="3" t="s">
        <v>1622</v>
      </c>
      <c r="AE615" s="91">
        <v>2015</v>
      </c>
      <c r="AF615" s="13" t="s">
        <v>43</v>
      </c>
      <c r="AG615" s="13">
        <v>7000</v>
      </c>
      <c r="AH615" s="45">
        <v>7000</v>
      </c>
      <c r="AI615" s="44" t="s">
        <v>1038</v>
      </c>
      <c r="AJ615" s="2" t="s">
        <v>1039</v>
      </c>
      <c r="AK615" s="46" t="s">
        <v>1721</v>
      </c>
      <c r="AL615" s="55" t="s">
        <v>1031</v>
      </c>
      <c r="AM615" s="45" t="s">
        <v>1031</v>
      </c>
      <c r="AN615" s="56" t="s">
        <v>142</v>
      </c>
      <c r="AO615" s="23" t="s">
        <v>163</v>
      </c>
      <c r="AP615" s="11"/>
      <c r="AQ615" s="88" t="s">
        <v>1619</v>
      </c>
      <c r="AR615" s="57" t="s">
        <v>40</v>
      </c>
      <c r="AS615" s="46">
        <v>42142.734918981485</v>
      </c>
      <c r="AT615" s="3">
        <f t="shared" si="9"/>
        <v>425</v>
      </c>
    </row>
    <row r="616" spans="8:46" x14ac:dyDescent="0.4">
      <c r="H616" s="59">
        <v>42992.404930555553</v>
      </c>
      <c r="I616" s="43">
        <v>42025</v>
      </c>
      <c r="J616" s="42">
        <v>1</v>
      </c>
      <c r="K616" s="81" t="s">
        <v>49</v>
      </c>
      <c r="L616" t="s">
        <v>49</v>
      </c>
      <c r="M616" t="s">
        <v>336</v>
      </c>
      <c r="N616" s="1" t="s">
        <v>336</v>
      </c>
      <c r="O616" s="1" t="s">
        <v>337</v>
      </c>
      <c r="P616" t="s">
        <v>337</v>
      </c>
      <c r="Q616" s="9" t="s">
        <v>45</v>
      </c>
      <c r="R616" s="82" t="s">
        <v>45</v>
      </c>
      <c r="S616" s="44" t="s">
        <v>1452</v>
      </c>
      <c r="T616" s="3" t="s">
        <v>71</v>
      </c>
      <c r="U616" s="2" t="s">
        <v>29</v>
      </c>
      <c r="V616" s="3" t="s">
        <v>162</v>
      </c>
      <c r="W616" s="11" t="s">
        <v>143</v>
      </c>
      <c r="X616" s="3" t="s">
        <v>143</v>
      </c>
      <c r="Y616" s="77" t="s">
        <v>48</v>
      </c>
      <c r="Z616" s="84" t="s">
        <v>1646</v>
      </c>
      <c r="AA616" s="89" t="s">
        <v>28</v>
      </c>
      <c r="AB616" s="90" t="str">
        <f>HYPERLINK(CONCATENATE("https://www.ejacket.nsf.gov/ej/showProposal.do?ID=",SUBSTITUTE(SplitQueryTableRecent[[#This Row],[prop_id]],CHAR(160),"")),"eJ")</f>
        <v>eJ</v>
      </c>
      <c r="AC616" s="89" t="s">
        <v>1646</v>
      </c>
      <c r="AD616" s="3" t="s">
        <v>1646</v>
      </c>
      <c r="AE616" s="91">
        <v>2012</v>
      </c>
      <c r="AF616" s="13" t="s">
        <v>44</v>
      </c>
      <c r="AG616" s="13">
        <v>98814</v>
      </c>
      <c r="AH616" s="45">
        <v>320541</v>
      </c>
      <c r="AI616" s="44" t="s">
        <v>862</v>
      </c>
      <c r="AJ616" s="2" t="s">
        <v>638</v>
      </c>
      <c r="AK616" s="46" t="s">
        <v>313</v>
      </c>
      <c r="AL616" s="55"/>
      <c r="AM616" s="45" t="s">
        <v>1648</v>
      </c>
      <c r="AN616" s="56" t="s">
        <v>142</v>
      </c>
      <c r="AO616" s="23" t="s">
        <v>163</v>
      </c>
      <c r="AP616" s="11"/>
      <c r="AQ616" s="88" t="s">
        <v>1647</v>
      </c>
      <c r="AR616" s="57" t="s">
        <v>188</v>
      </c>
      <c r="AS616" s="46">
        <v>42160.51840277778</v>
      </c>
      <c r="AT616" s="3">
        <f t="shared" si="9"/>
        <v>426</v>
      </c>
    </row>
    <row r="617" spans="8:46" x14ac:dyDescent="0.4">
      <c r="H617" s="59">
        <v>42992.404930555553</v>
      </c>
      <c r="I617" s="43">
        <v>41423.415972222225</v>
      </c>
      <c r="J617" s="42">
        <v>1</v>
      </c>
      <c r="K617" s="81" t="s">
        <v>49</v>
      </c>
      <c r="L617" t="s">
        <v>49</v>
      </c>
      <c r="M617" t="s">
        <v>336</v>
      </c>
      <c r="N617" s="1" t="s">
        <v>336</v>
      </c>
      <c r="O617" s="1" t="s">
        <v>245</v>
      </c>
      <c r="P617" t="s">
        <v>245</v>
      </c>
      <c r="Q617" s="9" t="s">
        <v>45</v>
      </c>
      <c r="R617" s="82" t="s">
        <v>45</v>
      </c>
      <c r="S617" s="44" t="s">
        <v>545</v>
      </c>
      <c r="T617" s="3" t="s">
        <v>71</v>
      </c>
      <c r="U617" s="2" t="s">
        <v>29</v>
      </c>
      <c r="V617" s="3" t="s">
        <v>162</v>
      </c>
      <c r="W617" s="11" t="s">
        <v>143</v>
      </c>
      <c r="X617" s="3" t="s">
        <v>143</v>
      </c>
      <c r="Y617" s="77" t="s">
        <v>48</v>
      </c>
      <c r="Z617" s="84" t="s">
        <v>1652</v>
      </c>
      <c r="AA617" s="89" t="s">
        <v>28</v>
      </c>
      <c r="AB617" s="90" t="str">
        <f>HYPERLINK(CONCATENATE("https://www.ejacket.nsf.gov/ej/showProposal.do?ID=",SUBSTITUTE(SplitQueryTableRecent[[#This Row],[prop_id]],CHAR(160),"")),"eJ")</f>
        <v>eJ</v>
      </c>
      <c r="AC617" s="89" t="s">
        <v>1652</v>
      </c>
      <c r="AD617" s="3" t="s">
        <v>1652</v>
      </c>
      <c r="AE617" s="91">
        <v>2011</v>
      </c>
      <c r="AF617" s="13" t="s">
        <v>43</v>
      </c>
      <c r="AG617" s="13">
        <v>71512</v>
      </c>
      <c r="AH617" s="45">
        <v>351432</v>
      </c>
      <c r="AI617" s="44" t="s">
        <v>1126</v>
      </c>
      <c r="AJ617" s="2" t="s">
        <v>1127</v>
      </c>
      <c r="AK617" s="46" t="s">
        <v>1731</v>
      </c>
      <c r="AL617" s="55"/>
      <c r="AM617" s="45" t="s">
        <v>1654</v>
      </c>
      <c r="AN617" s="56" t="s">
        <v>142</v>
      </c>
      <c r="AO617" s="23" t="s">
        <v>163</v>
      </c>
      <c r="AP617" s="11"/>
      <c r="AQ617" s="88" t="s">
        <v>1653</v>
      </c>
      <c r="AR617" s="57" t="s">
        <v>161</v>
      </c>
      <c r="AS617" s="46">
        <v>41431.435486111113</v>
      </c>
      <c r="AT617" s="3">
        <f t="shared" si="9"/>
        <v>427</v>
      </c>
    </row>
    <row r="618" spans="8:46" x14ac:dyDescent="0.4">
      <c r="H618" s="59">
        <v>42992.404930555553</v>
      </c>
      <c r="I618" s="43">
        <v>41423.415972222225</v>
      </c>
      <c r="J618" s="42">
        <v>1</v>
      </c>
      <c r="K618" s="81" t="s">
        <v>49</v>
      </c>
      <c r="L618" t="s">
        <v>49</v>
      </c>
      <c r="M618" t="s">
        <v>336</v>
      </c>
      <c r="N618" s="1" t="s">
        <v>336</v>
      </c>
      <c r="O618" s="1" t="s">
        <v>245</v>
      </c>
      <c r="P618" t="s">
        <v>1655</v>
      </c>
      <c r="Q618" s="9" t="s">
        <v>45</v>
      </c>
      <c r="R618" s="82" t="s">
        <v>45</v>
      </c>
      <c r="S618" s="44" t="s">
        <v>545</v>
      </c>
      <c r="T618" s="3" t="s">
        <v>71</v>
      </c>
      <c r="U618" s="2" t="s">
        <v>29</v>
      </c>
      <c r="V618" s="3" t="s">
        <v>162</v>
      </c>
      <c r="W618" s="11" t="s">
        <v>143</v>
      </c>
      <c r="X618" s="3" t="s">
        <v>143</v>
      </c>
      <c r="Y618" s="77" t="s">
        <v>48</v>
      </c>
      <c r="Z618" s="84" t="s">
        <v>1652</v>
      </c>
      <c r="AA618" s="89" t="s">
        <v>28</v>
      </c>
      <c r="AB618" s="90" t="str">
        <f>HYPERLINK(CONCATENATE("https://www.ejacket.nsf.gov/ej/showProposal.do?ID=",SUBSTITUTE(SplitQueryTableRecent[[#This Row],[prop_id]],CHAR(160),"")),"eJ")</f>
        <v>eJ</v>
      </c>
      <c r="AC618" s="89" t="s">
        <v>1652</v>
      </c>
      <c r="AD618" s="3" t="s">
        <v>1652</v>
      </c>
      <c r="AE618" s="91">
        <v>2015</v>
      </c>
      <c r="AF618" s="13" t="s">
        <v>43</v>
      </c>
      <c r="AG618" s="13">
        <v>96603</v>
      </c>
      <c r="AH618" s="45">
        <v>351432</v>
      </c>
      <c r="AI618" s="44" t="s">
        <v>1126</v>
      </c>
      <c r="AJ618" s="2" t="s">
        <v>1127</v>
      </c>
      <c r="AK618" s="46" t="s">
        <v>1731</v>
      </c>
      <c r="AL618" s="55"/>
      <c r="AM618" s="45" t="s">
        <v>1654</v>
      </c>
      <c r="AN618" s="56" t="s">
        <v>142</v>
      </c>
      <c r="AO618" s="23" t="s">
        <v>163</v>
      </c>
      <c r="AP618" s="11" t="s">
        <v>172</v>
      </c>
      <c r="AQ618" s="88" t="s">
        <v>1653</v>
      </c>
      <c r="AR618" s="57" t="s">
        <v>1514</v>
      </c>
      <c r="AS618" s="46">
        <v>42173.679884259262</v>
      </c>
      <c r="AT618" s="3">
        <f t="shared" si="9"/>
        <v>427</v>
      </c>
    </row>
    <row r="619" spans="8:46" x14ac:dyDescent="0.4">
      <c r="H619" s="59">
        <v>42992.404930555553</v>
      </c>
      <c r="I619" s="43">
        <v>41423.415972222225</v>
      </c>
      <c r="J619" s="42">
        <v>1</v>
      </c>
      <c r="K619" s="81" t="s">
        <v>49</v>
      </c>
      <c r="L619" t="s">
        <v>49</v>
      </c>
      <c r="M619" t="s">
        <v>336</v>
      </c>
      <c r="N619" s="1" t="s">
        <v>336</v>
      </c>
      <c r="O619" s="1" t="s">
        <v>245</v>
      </c>
      <c r="P619" t="s">
        <v>245</v>
      </c>
      <c r="Q619" s="9" t="s">
        <v>45</v>
      </c>
      <c r="R619" s="82" t="s">
        <v>45</v>
      </c>
      <c r="S619" s="44" t="s">
        <v>545</v>
      </c>
      <c r="T619" s="3" t="s">
        <v>71</v>
      </c>
      <c r="U619" s="2" t="s">
        <v>29</v>
      </c>
      <c r="V619" s="3" t="s">
        <v>162</v>
      </c>
      <c r="W619" s="11" t="s">
        <v>143</v>
      </c>
      <c r="X619" s="3" t="s">
        <v>143</v>
      </c>
      <c r="Y619" s="77" t="s">
        <v>48</v>
      </c>
      <c r="Z619" s="84" t="s">
        <v>1652</v>
      </c>
      <c r="AA619" s="89" t="s">
        <v>28</v>
      </c>
      <c r="AB619" s="90" t="str">
        <f>HYPERLINK(CONCATENATE("https://www.ejacket.nsf.gov/ej/showProposal.do?ID=",SUBSTITUTE(SplitQueryTableRecent[[#This Row],[prop_id]],CHAR(160),"")),"eJ")</f>
        <v>eJ</v>
      </c>
      <c r="AC619" s="89" t="s">
        <v>1652</v>
      </c>
      <c r="AD619" s="3" t="s">
        <v>1652</v>
      </c>
      <c r="AE619" s="91">
        <v>2013</v>
      </c>
      <c r="AF619" s="13" t="s">
        <v>44</v>
      </c>
      <c r="AG619" s="13">
        <v>183317</v>
      </c>
      <c r="AH619" s="45">
        <v>351432</v>
      </c>
      <c r="AI619" s="44" t="s">
        <v>1126</v>
      </c>
      <c r="AJ619" s="2" t="s">
        <v>1127</v>
      </c>
      <c r="AK619" s="46" t="s">
        <v>1731</v>
      </c>
      <c r="AL619" s="55"/>
      <c r="AM619" s="45" t="s">
        <v>1654</v>
      </c>
      <c r="AN619" s="56" t="s">
        <v>142</v>
      </c>
      <c r="AO619" s="23" t="s">
        <v>163</v>
      </c>
      <c r="AP619" s="11"/>
      <c r="AQ619" s="88" t="s">
        <v>1653</v>
      </c>
      <c r="AR619" s="57" t="s">
        <v>161</v>
      </c>
      <c r="AS619" s="46">
        <v>41431.435486111113</v>
      </c>
      <c r="AT619" s="3">
        <f t="shared" si="9"/>
        <v>427</v>
      </c>
    </row>
    <row r="620" spans="8:46" x14ac:dyDescent="0.4">
      <c r="H620" s="59">
        <v>42992.404930555553</v>
      </c>
      <c r="I620" s="43">
        <v>41586</v>
      </c>
      <c r="J620" s="42">
        <v>1</v>
      </c>
      <c r="K620" s="81" t="s">
        <v>49</v>
      </c>
      <c r="L620" t="s">
        <v>49</v>
      </c>
      <c r="M620" t="s">
        <v>336</v>
      </c>
      <c r="N620" s="1" t="s">
        <v>336</v>
      </c>
      <c r="O620" s="1" t="s">
        <v>245</v>
      </c>
      <c r="P620" t="s">
        <v>245</v>
      </c>
      <c r="Q620" s="9" t="s">
        <v>45</v>
      </c>
      <c r="R620" s="82" t="s">
        <v>45</v>
      </c>
      <c r="S620" s="44" t="s">
        <v>545</v>
      </c>
      <c r="T620" s="3" t="s">
        <v>71</v>
      </c>
      <c r="U620" s="2" t="s">
        <v>29</v>
      </c>
      <c r="V620" s="3" t="s">
        <v>162</v>
      </c>
      <c r="W620" s="11" t="s">
        <v>143</v>
      </c>
      <c r="X620" s="3" t="s">
        <v>143</v>
      </c>
      <c r="Y620" s="77" t="s">
        <v>48</v>
      </c>
      <c r="Z620" s="84" t="s">
        <v>1656</v>
      </c>
      <c r="AA620" s="89" t="s">
        <v>28</v>
      </c>
      <c r="AB620" s="90" t="str">
        <f>HYPERLINK(CONCATENATE("https://www.ejacket.nsf.gov/ej/showProposal.do?ID=",SUBSTITUTE(SplitQueryTableRecent[[#This Row],[prop_id]],CHAR(160),"")),"eJ")</f>
        <v>eJ</v>
      </c>
      <c r="AC620" s="89" t="s">
        <v>1656</v>
      </c>
      <c r="AD620" s="3" t="s">
        <v>1656</v>
      </c>
      <c r="AE620" s="91">
        <v>2012</v>
      </c>
      <c r="AF620" s="13" t="s">
        <v>43</v>
      </c>
      <c r="AG620" s="13">
        <v>133820</v>
      </c>
      <c r="AH620" s="45">
        <v>226420</v>
      </c>
      <c r="AI620" s="44" t="s">
        <v>420</v>
      </c>
      <c r="AJ620" s="2" t="s">
        <v>421</v>
      </c>
      <c r="AK620" s="46" t="s">
        <v>1709</v>
      </c>
      <c r="AL620" s="55" t="s">
        <v>1658</v>
      </c>
      <c r="AM620" s="45" t="s">
        <v>1487</v>
      </c>
      <c r="AN620" s="56" t="s">
        <v>142</v>
      </c>
      <c r="AO620" s="23" t="s">
        <v>163</v>
      </c>
      <c r="AP620" s="11"/>
      <c r="AQ620" s="88" t="s">
        <v>1657</v>
      </c>
      <c r="AR620" s="57" t="s">
        <v>161</v>
      </c>
      <c r="AS620" s="46">
        <v>41596.374456018515</v>
      </c>
      <c r="AT620" s="3">
        <f t="shared" si="9"/>
        <v>428</v>
      </c>
    </row>
    <row r="621" spans="8:46" x14ac:dyDescent="0.4">
      <c r="H621" s="59">
        <v>42992.404930555553</v>
      </c>
      <c r="I621" s="43">
        <v>41586</v>
      </c>
      <c r="J621" s="42">
        <v>1</v>
      </c>
      <c r="K621" s="81" t="s">
        <v>49</v>
      </c>
      <c r="L621" t="s">
        <v>49</v>
      </c>
      <c r="M621" t="s">
        <v>336</v>
      </c>
      <c r="N621" s="1" t="s">
        <v>336</v>
      </c>
      <c r="O621" s="1" t="s">
        <v>245</v>
      </c>
      <c r="P621" t="s">
        <v>245</v>
      </c>
      <c r="Q621" s="9" t="s">
        <v>45</v>
      </c>
      <c r="R621" s="82" t="s">
        <v>45</v>
      </c>
      <c r="S621" s="44" t="s">
        <v>545</v>
      </c>
      <c r="T621" s="3" t="s">
        <v>71</v>
      </c>
      <c r="U621" s="2" t="s">
        <v>29</v>
      </c>
      <c r="V621" s="3" t="s">
        <v>162</v>
      </c>
      <c r="W621" s="11" t="s">
        <v>143</v>
      </c>
      <c r="X621" s="3" t="s">
        <v>143</v>
      </c>
      <c r="Y621" s="77" t="s">
        <v>48</v>
      </c>
      <c r="Z621" s="84" t="s">
        <v>1656</v>
      </c>
      <c r="AA621" s="89" t="s">
        <v>28</v>
      </c>
      <c r="AB621" s="90" t="str">
        <f>HYPERLINK(CONCATENATE("https://www.ejacket.nsf.gov/ej/showProposal.do?ID=",SUBSTITUTE(SplitQueryTableRecent[[#This Row],[prop_id]],CHAR(160),"")),"eJ")</f>
        <v>eJ</v>
      </c>
      <c r="AC621" s="89" t="s">
        <v>1656</v>
      </c>
      <c r="AD621" s="3" t="s">
        <v>1656</v>
      </c>
      <c r="AE621" s="91">
        <v>2013</v>
      </c>
      <c r="AF621" s="13" t="s">
        <v>44</v>
      </c>
      <c r="AG621" s="13">
        <v>92599</v>
      </c>
      <c r="AH621" s="45">
        <v>226420</v>
      </c>
      <c r="AI621" s="44" t="s">
        <v>420</v>
      </c>
      <c r="AJ621" s="2" t="s">
        <v>421</v>
      </c>
      <c r="AK621" s="46" t="s">
        <v>1709</v>
      </c>
      <c r="AL621" s="55" t="s">
        <v>1658</v>
      </c>
      <c r="AM621" s="45" t="s">
        <v>481</v>
      </c>
      <c r="AN621" s="56" t="s">
        <v>142</v>
      </c>
      <c r="AO621" s="23" t="s">
        <v>163</v>
      </c>
      <c r="AP621" s="11"/>
      <c r="AQ621" s="88" t="s">
        <v>1657</v>
      </c>
      <c r="AR621" s="57" t="s">
        <v>161</v>
      </c>
      <c r="AS621" s="46">
        <v>41596.374456018515</v>
      </c>
      <c r="AT621" s="3">
        <f t="shared" si="9"/>
        <v>428</v>
      </c>
    </row>
    <row r="622" spans="8:46" x14ac:dyDescent="0.4">
      <c r="H622" s="59">
        <v>42992.404930555553</v>
      </c>
      <c r="I622" s="43">
        <v>42229.632395833331</v>
      </c>
      <c r="J622" s="42">
        <v>42236.368298611109</v>
      </c>
      <c r="K622" s="81" t="s">
        <v>49</v>
      </c>
      <c r="L622" t="s">
        <v>49</v>
      </c>
      <c r="M622" t="s">
        <v>336</v>
      </c>
      <c r="N622" s="1" t="s">
        <v>336</v>
      </c>
      <c r="O622" s="1" t="s">
        <v>245</v>
      </c>
      <c r="P622" t="s">
        <v>245</v>
      </c>
      <c r="Q622" s="9" t="s">
        <v>45</v>
      </c>
      <c r="R622" s="82" t="s">
        <v>45</v>
      </c>
      <c r="S622" s="44" t="s">
        <v>52</v>
      </c>
      <c r="T622" s="3" t="s">
        <v>202</v>
      </c>
      <c r="U622" s="2" t="s">
        <v>29</v>
      </c>
      <c r="V622" s="3" t="s">
        <v>162</v>
      </c>
      <c r="W622" s="11" t="s">
        <v>143</v>
      </c>
      <c r="X622" s="3" t="s">
        <v>143</v>
      </c>
      <c r="Y622" s="77" t="s">
        <v>48</v>
      </c>
      <c r="Z622" s="84" t="s">
        <v>1684</v>
      </c>
      <c r="AA622" s="89" t="s">
        <v>28</v>
      </c>
      <c r="AB622" s="90" t="str">
        <f>HYPERLINK(CONCATENATE("https://www.ejacket.nsf.gov/ej/showProposal.do?ID=",SUBSTITUTE(SplitQueryTableRecent[[#This Row],[prop_id]],CHAR(160),"")),"eJ")</f>
        <v>eJ</v>
      </c>
      <c r="AC622" s="89" t="s">
        <v>1685</v>
      </c>
      <c r="AD622" s="3" t="s">
        <v>1684</v>
      </c>
      <c r="AE622" s="91">
        <v>2015</v>
      </c>
      <c r="AF622" s="13" t="s">
        <v>43</v>
      </c>
      <c r="AG622" s="13">
        <v>95282</v>
      </c>
      <c r="AH622" s="45">
        <v>95282</v>
      </c>
      <c r="AI622" s="44" t="s">
        <v>462</v>
      </c>
      <c r="AJ622" s="2" t="s">
        <v>178</v>
      </c>
      <c r="AK622" s="46" t="s">
        <v>212</v>
      </c>
      <c r="AL622" s="55" t="s">
        <v>559</v>
      </c>
      <c r="AM622" s="45" t="s">
        <v>559</v>
      </c>
      <c r="AN622" s="56" t="s">
        <v>142</v>
      </c>
      <c r="AO622" s="23" t="s">
        <v>163</v>
      </c>
      <c r="AP622" s="11"/>
      <c r="AQ622" s="88" t="s">
        <v>1686</v>
      </c>
      <c r="AR622" s="57" t="s">
        <v>164</v>
      </c>
      <c r="AS622" s="46">
        <v>42250.537569444445</v>
      </c>
      <c r="AT622" s="3">
        <f t="shared" si="9"/>
        <v>429</v>
      </c>
    </row>
    <row r="623" spans="8:46" x14ac:dyDescent="0.4">
      <c r="H623" s="59">
        <v>42992.404930555553</v>
      </c>
      <c r="I623" s="43">
        <v>41653.432638888888</v>
      </c>
      <c r="J623" s="42">
        <v>41828.520567129628</v>
      </c>
      <c r="K623" s="81" t="s">
        <v>49</v>
      </c>
      <c r="L623" t="s">
        <v>49</v>
      </c>
      <c r="M623" t="s">
        <v>336</v>
      </c>
      <c r="N623" s="1" t="s">
        <v>336</v>
      </c>
      <c r="O623" s="1" t="s">
        <v>337</v>
      </c>
      <c r="P623" t="s">
        <v>337</v>
      </c>
      <c r="Q623" s="9" t="s">
        <v>45</v>
      </c>
      <c r="R623" s="82" t="s">
        <v>45</v>
      </c>
      <c r="S623" s="44" t="s">
        <v>173</v>
      </c>
      <c r="T623" s="3" t="s">
        <v>61</v>
      </c>
      <c r="U623" s="2" t="s">
        <v>29</v>
      </c>
      <c r="V623" s="3" t="s">
        <v>175</v>
      </c>
      <c r="W623" s="11" t="s">
        <v>153</v>
      </c>
      <c r="X623" s="3" t="s">
        <v>153</v>
      </c>
      <c r="Y623" s="77" t="s">
        <v>48</v>
      </c>
      <c r="Z623" s="84" t="s">
        <v>1088</v>
      </c>
      <c r="AA623" s="89" t="s">
        <v>28</v>
      </c>
      <c r="AB623" s="90" t="str">
        <f>HYPERLINK(CONCATENATE("https://www.ejacket.nsf.gov/ej/showProposal.do?ID=",SUBSTITUTE(SplitQueryTableRecent[[#This Row],[prop_id]],CHAR(160),"")),"eJ")</f>
        <v>eJ</v>
      </c>
      <c r="AC623" s="89" t="s">
        <v>1088</v>
      </c>
      <c r="AD623" s="3" t="s">
        <v>1088</v>
      </c>
      <c r="AE623" s="91">
        <v>2014</v>
      </c>
      <c r="AF623" s="13" t="s">
        <v>43</v>
      </c>
      <c r="AG623" s="13">
        <v>222191</v>
      </c>
      <c r="AH623" s="45">
        <v>499999</v>
      </c>
      <c r="AI623" s="44" t="s">
        <v>1090</v>
      </c>
      <c r="AJ623" s="2" t="s">
        <v>1091</v>
      </c>
      <c r="AK623" s="46" t="s">
        <v>1726</v>
      </c>
      <c r="AL623" s="55" t="s">
        <v>584</v>
      </c>
      <c r="AM623" s="45" t="s">
        <v>584</v>
      </c>
      <c r="AN623" s="56" t="s">
        <v>152</v>
      </c>
      <c r="AO623" s="23" t="s">
        <v>176</v>
      </c>
      <c r="AP623" s="11"/>
      <c r="AQ623" s="88" t="s">
        <v>1089</v>
      </c>
      <c r="AR623" s="57" t="s">
        <v>188</v>
      </c>
      <c r="AS623" s="46">
        <v>42774.576817129629</v>
      </c>
      <c r="AT623" s="3">
        <f t="shared" si="9"/>
        <v>430</v>
      </c>
    </row>
    <row r="624" spans="8:46" x14ac:dyDescent="0.4">
      <c r="H624" s="59">
        <v>42992.404930555553</v>
      </c>
      <c r="I624" s="43">
        <v>42018.659722222219</v>
      </c>
      <c r="J624" s="42">
        <v>42165.473645833335</v>
      </c>
      <c r="K624" s="81" t="s">
        <v>49</v>
      </c>
      <c r="L624" t="s">
        <v>49</v>
      </c>
      <c r="M624" t="s">
        <v>50</v>
      </c>
      <c r="N624" s="1" t="s">
        <v>336</v>
      </c>
      <c r="O624" s="1" t="s">
        <v>347</v>
      </c>
      <c r="P624" t="s">
        <v>347</v>
      </c>
      <c r="Q624" s="9" t="s">
        <v>45</v>
      </c>
      <c r="R624" s="82" t="s">
        <v>45</v>
      </c>
      <c r="S624" s="44" t="s">
        <v>184</v>
      </c>
      <c r="T624" s="3" t="s">
        <v>61</v>
      </c>
      <c r="U624" s="2" t="s">
        <v>29</v>
      </c>
      <c r="V624" s="3" t="s">
        <v>175</v>
      </c>
      <c r="W624" s="11" t="s">
        <v>153</v>
      </c>
      <c r="X624" s="3" t="s">
        <v>153</v>
      </c>
      <c r="Y624" s="77" t="s">
        <v>48</v>
      </c>
      <c r="Z624" s="84" t="s">
        <v>1161</v>
      </c>
      <c r="AA624" s="89" t="s">
        <v>28</v>
      </c>
      <c r="AB624" s="90" t="str">
        <f>HYPERLINK(CONCATENATE("https://www.ejacket.nsf.gov/ej/showProposal.do?ID=",SUBSTITUTE(SplitQueryTableRecent[[#This Row],[prop_id]],CHAR(160),"")),"eJ")</f>
        <v>eJ</v>
      </c>
      <c r="AC624" s="89" t="s">
        <v>1161</v>
      </c>
      <c r="AD624" s="3" t="s">
        <v>1161</v>
      </c>
      <c r="AE624" s="91">
        <v>2015</v>
      </c>
      <c r="AF624" s="13" t="s">
        <v>44</v>
      </c>
      <c r="AG624" s="13">
        <v>30146</v>
      </c>
      <c r="AH624" s="45">
        <v>499960</v>
      </c>
      <c r="AI624" s="44" t="s">
        <v>1163</v>
      </c>
      <c r="AJ624" s="2" t="s">
        <v>1164</v>
      </c>
      <c r="AK624" s="46" t="s">
        <v>1735</v>
      </c>
      <c r="AL624" s="55" t="s">
        <v>398</v>
      </c>
      <c r="AM624" s="45" t="s">
        <v>398</v>
      </c>
      <c r="AN624" s="56" t="s">
        <v>152</v>
      </c>
      <c r="AO624" s="23" t="s">
        <v>176</v>
      </c>
      <c r="AP624" s="11"/>
      <c r="AQ624" s="88" t="s">
        <v>1162</v>
      </c>
      <c r="AR624" s="57" t="s">
        <v>164</v>
      </c>
      <c r="AS624" s="46">
        <v>42550.65357638889</v>
      </c>
      <c r="AT624" s="3">
        <f t="shared" si="9"/>
        <v>431</v>
      </c>
    </row>
    <row r="625" spans="8:46" x14ac:dyDescent="0.4">
      <c r="H625" s="59">
        <v>42992.404930555553</v>
      </c>
      <c r="I625" s="43">
        <v>41953.699305555558</v>
      </c>
      <c r="J625" s="42">
        <v>42213.675034722219</v>
      </c>
      <c r="K625" s="81" t="s">
        <v>49</v>
      </c>
      <c r="L625" t="s">
        <v>49</v>
      </c>
      <c r="M625" t="s">
        <v>336</v>
      </c>
      <c r="N625" s="1" t="s">
        <v>336</v>
      </c>
      <c r="O625" s="1" t="s">
        <v>337</v>
      </c>
      <c r="P625" t="s">
        <v>337</v>
      </c>
      <c r="Q625" s="9" t="s">
        <v>45</v>
      </c>
      <c r="R625" s="82" t="s">
        <v>45</v>
      </c>
      <c r="S625" s="44" t="s">
        <v>184</v>
      </c>
      <c r="T625" s="3" t="s">
        <v>61</v>
      </c>
      <c r="U625" s="2" t="s">
        <v>29</v>
      </c>
      <c r="V625" s="3" t="s">
        <v>175</v>
      </c>
      <c r="W625" s="11" t="s">
        <v>153</v>
      </c>
      <c r="X625" s="3" t="s">
        <v>153</v>
      </c>
      <c r="Y625" s="77" t="s">
        <v>48</v>
      </c>
      <c r="Z625" s="84" t="s">
        <v>644</v>
      </c>
      <c r="AA625" s="89" t="s">
        <v>62</v>
      </c>
      <c r="AB625" s="90" t="str">
        <f>HYPERLINK(CONCATENATE("https://www.ejacket.nsf.gov/ej/showProposal.do?ID=",SUBSTITUTE(SplitQueryTableRecent[[#This Row],[prop_id]],CHAR(160),"")),"eJ")</f>
        <v>eJ</v>
      </c>
      <c r="AC625" s="89" t="s">
        <v>1247</v>
      </c>
      <c r="AD625" s="3" t="s">
        <v>1247</v>
      </c>
      <c r="AE625" s="91">
        <v>2015</v>
      </c>
      <c r="AF625" s="13" t="s">
        <v>43</v>
      </c>
      <c r="AG625" s="13">
        <v>0</v>
      </c>
      <c r="AH625" s="45">
        <v>503234</v>
      </c>
      <c r="AI625" s="44" t="s">
        <v>554</v>
      </c>
      <c r="AJ625" s="2" t="s">
        <v>555</v>
      </c>
      <c r="AK625" s="46" t="s">
        <v>1743</v>
      </c>
      <c r="AL625" s="55" t="s">
        <v>341</v>
      </c>
      <c r="AM625" s="45" t="s">
        <v>341</v>
      </c>
      <c r="AN625" s="56" t="s">
        <v>152</v>
      </c>
      <c r="AO625" s="23" t="s">
        <v>176</v>
      </c>
      <c r="AP625" s="11"/>
      <c r="AQ625" s="88" t="s">
        <v>553</v>
      </c>
      <c r="AR625" s="57" t="s">
        <v>40</v>
      </c>
      <c r="AS625" s="46">
        <v>42438.366018518522</v>
      </c>
      <c r="AT625" s="3">
        <f t="shared" si="9"/>
        <v>432</v>
      </c>
    </row>
    <row r="626" spans="8:46" x14ac:dyDescent="0.4">
      <c r="H626" s="59">
        <v>42992.404930555553</v>
      </c>
      <c r="I626" s="43">
        <v>42018.690972222219</v>
      </c>
      <c r="J626" s="42">
        <v>42194.441250000003</v>
      </c>
      <c r="K626" s="81" t="s">
        <v>49</v>
      </c>
      <c r="L626" t="s">
        <v>49</v>
      </c>
      <c r="M626" t="s">
        <v>336</v>
      </c>
      <c r="N626" s="1" t="s">
        <v>336</v>
      </c>
      <c r="O626" s="1" t="s">
        <v>245</v>
      </c>
      <c r="P626" t="s">
        <v>245</v>
      </c>
      <c r="Q626" s="9" t="s">
        <v>45</v>
      </c>
      <c r="R626" s="82" t="s">
        <v>45</v>
      </c>
      <c r="S626" s="44" t="s">
        <v>184</v>
      </c>
      <c r="T626" s="3" t="s">
        <v>61</v>
      </c>
      <c r="U626" s="2" t="s">
        <v>29</v>
      </c>
      <c r="V626" s="3" t="s">
        <v>175</v>
      </c>
      <c r="W626" s="11" t="s">
        <v>153</v>
      </c>
      <c r="X626" s="3" t="s">
        <v>153</v>
      </c>
      <c r="Y626" s="77" t="s">
        <v>48</v>
      </c>
      <c r="Z626" s="84" t="s">
        <v>1106</v>
      </c>
      <c r="AA626" s="89" t="s">
        <v>174</v>
      </c>
      <c r="AB626" s="90" t="str">
        <f>HYPERLINK(CONCATENATE("https://www.ejacket.nsf.gov/ej/showProposal.do?ID=",SUBSTITUTE(SplitQueryTableRecent[[#This Row],[prop_id]],CHAR(160),"")),"eJ")</f>
        <v>eJ</v>
      </c>
      <c r="AC626" s="89" t="s">
        <v>1106</v>
      </c>
      <c r="AD626" s="3" t="s">
        <v>1106</v>
      </c>
      <c r="AE626" s="91">
        <v>2015</v>
      </c>
      <c r="AF626" s="13" t="s">
        <v>43</v>
      </c>
      <c r="AG626" s="13">
        <v>0</v>
      </c>
      <c r="AH626" s="45">
        <v>249994</v>
      </c>
      <c r="AI626" s="44" t="s">
        <v>554</v>
      </c>
      <c r="AJ626" s="2" t="s">
        <v>555</v>
      </c>
      <c r="AK626" s="46" t="s">
        <v>1743</v>
      </c>
      <c r="AL626" s="55" t="s">
        <v>369</v>
      </c>
      <c r="AM626" s="45" t="s">
        <v>369</v>
      </c>
      <c r="AN626" s="56" t="s">
        <v>152</v>
      </c>
      <c r="AO626" s="23" t="s">
        <v>176</v>
      </c>
      <c r="AP626" s="11"/>
      <c r="AQ626" s="88" t="s">
        <v>1107</v>
      </c>
      <c r="AR626" s="57" t="s">
        <v>40</v>
      </c>
      <c r="AS626" s="46">
        <v>42264.667696759258</v>
      </c>
      <c r="AT626" s="3">
        <f t="shared" si="9"/>
        <v>433</v>
      </c>
    </row>
    <row r="627" spans="8:46" x14ac:dyDescent="0.4">
      <c r="H627" s="59">
        <v>42992.404930555553</v>
      </c>
      <c r="I627" s="43">
        <v>41614.747916666667</v>
      </c>
      <c r="J627" s="42">
        <v>41775.821030092593</v>
      </c>
      <c r="K627" s="81" t="s">
        <v>562</v>
      </c>
      <c r="L627" t="s">
        <v>49</v>
      </c>
      <c r="M627" t="s">
        <v>1249</v>
      </c>
      <c r="N627" s="1" t="s">
        <v>336</v>
      </c>
      <c r="O627" s="1" t="s">
        <v>1250</v>
      </c>
      <c r="P627" t="s">
        <v>337</v>
      </c>
      <c r="Q627" s="9" t="s">
        <v>65</v>
      </c>
      <c r="R627" s="82" t="s">
        <v>65</v>
      </c>
      <c r="S627" s="44" t="s">
        <v>566</v>
      </c>
      <c r="T627" s="3" t="s">
        <v>61</v>
      </c>
      <c r="U627" s="2" t="s">
        <v>29</v>
      </c>
      <c r="V627" s="3" t="s">
        <v>175</v>
      </c>
      <c r="W627" s="11" t="s">
        <v>153</v>
      </c>
      <c r="X627" s="3" t="s">
        <v>153</v>
      </c>
      <c r="Y627" s="77" t="s">
        <v>563</v>
      </c>
      <c r="Z627" s="84" t="s">
        <v>1251</v>
      </c>
      <c r="AA627" s="89" t="s">
        <v>28</v>
      </c>
      <c r="AB627" s="90" t="str">
        <f>HYPERLINK(CONCATENATE("https://www.ejacket.nsf.gov/ej/showProposal.do?ID=",SUBSTITUTE(SplitQueryTableRecent[[#This Row],[prop_id]],CHAR(160),"")),"eJ")</f>
        <v>eJ</v>
      </c>
      <c r="AC627" s="89" t="s">
        <v>1251</v>
      </c>
      <c r="AD627" s="3" t="s">
        <v>1251</v>
      </c>
      <c r="AE627" s="91">
        <v>2014</v>
      </c>
      <c r="AF627" s="13" t="s">
        <v>44</v>
      </c>
      <c r="AG627" s="13">
        <v>3810</v>
      </c>
      <c r="AH627" s="45">
        <v>49848</v>
      </c>
      <c r="AI627" s="44" t="s">
        <v>1253</v>
      </c>
      <c r="AJ627" s="2" t="s">
        <v>1254</v>
      </c>
      <c r="AK627" s="46" t="s">
        <v>183</v>
      </c>
      <c r="AL627" s="55" t="s">
        <v>155</v>
      </c>
      <c r="AM627" s="45" t="s">
        <v>155</v>
      </c>
      <c r="AN627" s="56" t="s">
        <v>152</v>
      </c>
      <c r="AO627" s="23" t="s">
        <v>176</v>
      </c>
      <c r="AP627" s="11"/>
      <c r="AQ627" s="88" t="s">
        <v>1252</v>
      </c>
      <c r="AR627" s="57" t="s">
        <v>40</v>
      </c>
      <c r="AS627" s="46">
        <v>42523.432789351849</v>
      </c>
      <c r="AT627" s="3">
        <f t="shared" si="9"/>
        <v>434</v>
      </c>
    </row>
    <row r="628" spans="8:46" x14ac:dyDescent="0.4">
      <c r="H628" s="59">
        <v>42992.404930555553</v>
      </c>
      <c r="I628" s="43">
        <v>42018.597222222219</v>
      </c>
      <c r="J628" s="42">
        <v>42194.443611111114</v>
      </c>
      <c r="K628" s="81" t="s">
        <v>49</v>
      </c>
      <c r="L628" t="s">
        <v>49</v>
      </c>
      <c r="M628" t="s">
        <v>336</v>
      </c>
      <c r="N628" s="1" t="s">
        <v>336</v>
      </c>
      <c r="O628" s="1" t="s">
        <v>245</v>
      </c>
      <c r="P628" t="s">
        <v>245</v>
      </c>
      <c r="Q628" s="9" t="s">
        <v>45</v>
      </c>
      <c r="R628" s="82" t="s">
        <v>45</v>
      </c>
      <c r="S628" s="44" t="s">
        <v>184</v>
      </c>
      <c r="T628" s="3" t="s">
        <v>61</v>
      </c>
      <c r="U628" s="2" t="s">
        <v>29</v>
      </c>
      <c r="V628" s="3" t="s">
        <v>175</v>
      </c>
      <c r="W628" s="11" t="s">
        <v>153</v>
      </c>
      <c r="X628" s="3" t="s">
        <v>153</v>
      </c>
      <c r="Y628" s="77" t="s">
        <v>48</v>
      </c>
      <c r="Z628" s="84" t="s">
        <v>949</v>
      </c>
      <c r="AA628" s="89" t="s">
        <v>62</v>
      </c>
      <c r="AB628" s="90" t="str">
        <f>HYPERLINK(CONCATENATE("https://www.ejacket.nsf.gov/ej/showProposal.do?ID=",SUBSTITUTE(SplitQueryTableRecent[[#This Row],[prop_id]],CHAR(160),"")),"eJ")</f>
        <v>eJ</v>
      </c>
      <c r="AC628" s="89" t="s">
        <v>1278</v>
      </c>
      <c r="AD628" s="3" t="s">
        <v>1278</v>
      </c>
      <c r="AE628" s="91">
        <v>2015</v>
      </c>
      <c r="AF628" s="13" t="s">
        <v>43</v>
      </c>
      <c r="AG628" s="13">
        <v>3642</v>
      </c>
      <c r="AH628" s="45">
        <v>249973</v>
      </c>
      <c r="AI628" s="44" t="s">
        <v>1275</v>
      </c>
      <c r="AJ628" s="2" t="s">
        <v>1276</v>
      </c>
      <c r="AK628" s="46" t="s">
        <v>1711</v>
      </c>
      <c r="AL628" s="55" t="s">
        <v>369</v>
      </c>
      <c r="AM628" s="45" t="s">
        <v>369</v>
      </c>
      <c r="AN628" s="56" t="s">
        <v>152</v>
      </c>
      <c r="AO628" s="23" t="s">
        <v>176</v>
      </c>
      <c r="AP628" s="11"/>
      <c r="AQ628" s="88" t="s">
        <v>950</v>
      </c>
      <c r="AR628" s="57" t="s">
        <v>164</v>
      </c>
      <c r="AS628" s="46">
        <v>42510.412442129629</v>
      </c>
      <c r="AT628" s="3">
        <f t="shared" si="9"/>
        <v>435</v>
      </c>
    </row>
    <row r="629" spans="8:46" x14ac:dyDescent="0.4">
      <c r="H629" s="59">
        <v>42992.404930555553</v>
      </c>
      <c r="I629" s="43">
        <v>41653.573611111111</v>
      </c>
      <c r="J629" s="42">
        <v>41834.429120370369</v>
      </c>
      <c r="K629" s="81" t="s">
        <v>49</v>
      </c>
      <c r="L629" t="s">
        <v>49</v>
      </c>
      <c r="M629" t="s">
        <v>336</v>
      </c>
      <c r="N629" s="1" t="s">
        <v>336</v>
      </c>
      <c r="O629" s="1" t="s">
        <v>245</v>
      </c>
      <c r="P629" t="s">
        <v>245</v>
      </c>
      <c r="Q629" s="9" t="s">
        <v>45</v>
      </c>
      <c r="R629" s="82" t="s">
        <v>45</v>
      </c>
      <c r="S629" s="44" t="s">
        <v>173</v>
      </c>
      <c r="T629" s="3" t="s">
        <v>61</v>
      </c>
      <c r="U629" s="2" t="s">
        <v>29</v>
      </c>
      <c r="V629" s="3" t="s">
        <v>175</v>
      </c>
      <c r="W629" s="11" t="s">
        <v>153</v>
      </c>
      <c r="X629" s="3" t="s">
        <v>153</v>
      </c>
      <c r="Y629" s="77" t="s">
        <v>48</v>
      </c>
      <c r="Z629" s="84" t="s">
        <v>882</v>
      </c>
      <c r="AA629" s="89" t="s">
        <v>174</v>
      </c>
      <c r="AB629" s="90" t="str">
        <f>HYPERLINK(CONCATENATE("https://www.ejacket.nsf.gov/ej/showProposal.do?ID=",SUBSTITUTE(SplitQueryTableRecent[[#This Row],[prop_id]],CHAR(160),"")),"eJ")</f>
        <v>eJ</v>
      </c>
      <c r="AC629" s="89" t="s">
        <v>882</v>
      </c>
      <c r="AD629" s="3" t="s">
        <v>882</v>
      </c>
      <c r="AE629" s="91">
        <v>2014</v>
      </c>
      <c r="AF629" s="13" t="s">
        <v>43</v>
      </c>
      <c r="AG629" s="13">
        <v>0</v>
      </c>
      <c r="AH629" s="45">
        <v>250000</v>
      </c>
      <c r="AI629" s="44" t="s">
        <v>1290</v>
      </c>
      <c r="AJ629" s="2" t="s">
        <v>520</v>
      </c>
      <c r="AK629" s="46" t="s">
        <v>1745</v>
      </c>
      <c r="AL629" s="55" t="s">
        <v>369</v>
      </c>
      <c r="AM629" s="45" t="s">
        <v>369</v>
      </c>
      <c r="AN629" s="56" t="s">
        <v>152</v>
      </c>
      <c r="AO629" s="23" t="s">
        <v>176</v>
      </c>
      <c r="AP629" s="11"/>
      <c r="AQ629" s="88" t="s">
        <v>883</v>
      </c>
      <c r="AR629" s="57" t="s">
        <v>164</v>
      </c>
      <c r="AS629" s="46">
        <v>42255.601747685185</v>
      </c>
      <c r="AT629" s="3">
        <f t="shared" si="9"/>
        <v>436</v>
      </c>
    </row>
    <row r="630" spans="8:46" x14ac:dyDescent="0.4">
      <c r="H630" s="59">
        <v>42992.404930555553</v>
      </c>
      <c r="I630" s="43">
        <v>42018.638888888891</v>
      </c>
      <c r="J630" s="42">
        <v>42159.367037037038</v>
      </c>
      <c r="K630" s="81" t="s">
        <v>49</v>
      </c>
      <c r="L630" t="s">
        <v>49</v>
      </c>
      <c r="M630" t="s">
        <v>336</v>
      </c>
      <c r="N630" s="1" t="s">
        <v>336</v>
      </c>
      <c r="O630" s="1" t="s">
        <v>245</v>
      </c>
      <c r="P630" t="s">
        <v>245</v>
      </c>
      <c r="Q630" s="9" t="s">
        <v>45</v>
      </c>
      <c r="R630" s="82" t="s">
        <v>45</v>
      </c>
      <c r="S630" s="44" t="s">
        <v>184</v>
      </c>
      <c r="T630" s="3" t="s">
        <v>61</v>
      </c>
      <c r="U630" s="2" t="s">
        <v>29</v>
      </c>
      <c r="V630" s="3" t="s">
        <v>175</v>
      </c>
      <c r="W630" s="11" t="s">
        <v>153</v>
      </c>
      <c r="X630" s="3" t="s">
        <v>153</v>
      </c>
      <c r="Y630" s="77" t="s">
        <v>48</v>
      </c>
      <c r="Z630" s="84" t="s">
        <v>997</v>
      </c>
      <c r="AA630" s="89" t="s">
        <v>62</v>
      </c>
      <c r="AB630" s="90" t="str">
        <f>HYPERLINK(CONCATENATE("https://www.ejacket.nsf.gov/ej/showProposal.do?ID=",SUBSTITUTE(SplitQueryTableRecent[[#This Row],[prop_id]],CHAR(160),"")),"eJ")</f>
        <v>eJ</v>
      </c>
      <c r="AC630" s="89" t="s">
        <v>1302</v>
      </c>
      <c r="AD630" s="3" t="s">
        <v>1302</v>
      </c>
      <c r="AE630" s="91">
        <v>2015</v>
      </c>
      <c r="AF630" s="13" t="s">
        <v>43</v>
      </c>
      <c r="AG630" s="13">
        <v>43988</v>
      </c>
      <c r="AH630" s="45">
        <v>250000</v>
      </c>
      <c r="AI630" s="44" t="s">
        <v>218</v>
      </c>
      <c r="AJ630" s="2" t="s">
        <v>1301</v>
      </c>
      <c r="AK630" s="46" t="s">
        <v>1720</v>
      </c>
      <c r="AL630" s="55" t="s">
        <v>369</v>
      </c>
      <c r="AM630" s="45" t="s">
        <v>369</v>
      </c>
      <c r="AN630" s="56" t="s">
        <v>152</v>
      </c>
      <c r="AO630" s="23" t="s">
        <v>176</v>
      </c>
      <c r="AP630" s="11"/>
      <c r="AQ630" s="88" t="s">
        <v>1303</v>
      </c>
      <c r="AR630" s="57" t="s">
        <v>188</v>
      </c>
      <c r="AS630" s="46">
        <v>42978.632430555554</v>
      </c>
      <c r="AT630" s="3">
        <f t="shared" si="9"/>
        <v>437</v>
      </c>
    </row>
    <row r="631" spans="8:46" x14ac:dyDescent="0.4">
      <c r="H631" s="59">
        <v>42992.404930555553</v>
      </c>
      <c r="I631" s="43">
        <v>42325.649305555555</v>
      </c>
      <c r="J631" s="42">
        <v>42568.568912037037</v>
      </c>
      <c r="K631" s="81" t="s">
        <v>137</v>
      </c>
      <c r="L631" t="s">
        <v>49</v>
      </c>
      <c r="M631" t="s">
        <v>344</v>
      </c>
      <c r="N631" s="1" t="s">
        <v>336</v>
      </c>
      <c r="O631" s="1" t="s">
        <v>1097</v>
      </c>
      <c r="P631" t="s">
        <v>230</v>
      </c>
      <c r="Q631" s="9" t="s">
        <v>45</v>
      </c>
      <c r="R631" s="82" t="s">
        <v>45</v>
      </c>
      <c r="S631" s="44" t="s">
        <v>375</v>
      </c>
      <c r="T631" s="3" t="s">
        <v>61</v>
      </c>
      <c r="U631" s="2" t="s">
        <v>29</v>
      </c>
      <c r="V631" s="3" t="s">
        <v>175</v>
      </c>
      <c r="W631" s="11" t="s">
        <v>153</v>
      </c>
      <c r="X631" s="3" t="s">
        <v>153</v>
      </c>
      <c r="Y631" s="77" t="s">
        <v>334</v>
      </c>
      <c r="Z631" s="84" t="s">
        <v>1308</v>
      </c>
      <c r="AA631" s="89" t="s">
        <v>28</v>
      </c>
      <c r="AB631" s="90" t="str">
        <f>HYPERLINK(CONCATENATE("https://www.ejacket.nsf.gov/ej/showProposal.do?ID=",SUBSTITUTE(SplitQueryTableRecent[[#This Row],[prop_id]],CHAR(160),"")),"eJ")</f>
        <v>eJ</v>
      </c>
      <c r="AC631" s="89" t="s">
        <v>1308</v>
      </c>
      <c r="AD631" s="3" t="s">
        <v>1308</v>
      </c>
      <c r="AE631" s="91">
        <v>2016</v>
      </c>
      <c r="AF631" s="13" t="s">
        <v>44</v>
      </c>
      <c r="AG631" s="13">
        <v>10908</v>
      </c>
      <c r="AH631" s="45">
        <v>360000</v>
      </c>
      <c r="AI631" s="44" t="s">
        <v>506</v>
      </c>
      <c r="AJ631" s="2" t="s">
        <v>507</v>
      </c>
      <c r="AK631" s="46" t="s">
        <v>1746</v>
      </c>
      <c r="AL631" s="55" t="s">
        <v>547</v>
      </c>
      <c r="AM631" s="45" t="s">
        <v>1310</v>
      </c>
      <c r="AN631" s="56" t="s">
        <v>152</v>
      </c>
      <c r="AO631" s="23" t="s">
        <v>176</v>
      </c>
      <c r="AP631" s="11"/>
      <c r="AQ631" s="88" t="s">
        <v>1309</v>
      </c>
      <c r="AR631" s="57" t="s">
        <v>362</v>
      </c>
      <c r="AS631" s="46">
        <v>42990.38380787037</v>
      </c>
      <c r="AT631" s="3">
        <f t="shared" si="9"/>
        <v>438</v>
      </c>
    </row>
    <row r="632" spans="8:46" x14ac:dyDescent="0.4">
      <c r="H632" s="59">
        <v>42992.404930555553</v>
      </c>
      <c r="I632" s="43">
        <v>41841.646527777775</v>
      </c>
      <c r="J632" s="42">
        <v>42017.445439814815</v>
      </c>
      <c r="K632" s="81" t="s">
        <v>49</v>
      </c>
      <c r="L632" t="s">
        <v>49</v>
      </c>
      <c r="M632" t="s">
        <v>336</v>
      </c>
      <c r="N632" s="1" t="s">
        <v>336</v>
      </c>
      <c r="O632" s="1" t="s">
        <v>245</v>
      </c>
      <c r="P632" t="s">
        <v>245</v>
      </c>
      <c r="Q632" s="9" t="s">
        <v>45</v>
      </c>
      <c r="R632" s="82" t="s">
        <v>45</v>
      </c>
      <c r="S632" s="44" t="s">
        <v>190</v>
      </c>
      <c r="T632" s="3" t="s">
        <v>61</v>
      </c>
      <c r="U632" s="2" t="s">
        <v>29</v>
      </c>
      <c r="V632" s="3" t="s">
        <v>175</v>
      </c>
      <c r="W632" s="11" t="s">
        <v>143</v>
      </c>
      <c r="X632" s="3" t="s">
        <v>143</v>
      </c>
      <c r="Y632" s="77" t="s">
        <v>48</v>
      </c>
      <c r="Z632" s="84" t="s">
        <v>1572</v>
      </c>
      <c r="AA632" s="89" t="s">
        <v>28</v>
      </c>
      <c r="AB632" s="90" t="str">
        <f>HYPERLINK(CONCATENATE("https://www.ejacket.nsf.gov/ej/showProposal.do?ID=",SUBSTITUTE(SplitQueryTableRecent[[#This Row],[prop_id]],CHAR(160),"")),"eJ")</f>
        <v>eJ</v>
      </c>
      <c r="AC632" s="89" t="s">
        <v>1572</v>
      </c>
      <c r="AD632" s="3" t="s">
        <v>1572</v>
      </c>
      <c r="AE632" s="91">
        <v>2015</v>
      </c>
      <c r="AF632" s="13" t="s">
        <v>43</v>
      </c>
      <c r="AG632" s="13">
        <v>0</v>
      </c>
      <c r="AH632" s="45">
        <v>425429</v>
      </c>
      <c r="AI632" s="44" t="s">
        <v>551</v>
      </c>
      <c r="AJ632" s="2" t="s">
        <v>552</v>
      </c>
      <c r="AK632" s="46" t="s">
        <v>246</v>
      </c>
      <c r="AL632" s="55" t="s">
        <v>481</v>
      </c>
      <c r="AM632" s="45" t="s">
        <v>481</v>
      </c>
      <c r="AN632" s="56" t="s">
        <v>142</v>
      </c>
      <c r="AO632" s="23" t="s">
        <v>176</v>
      </c>
      <c r="AP632" s="11"/>
      <c r="AQ632" s="88" t="s">
        <v>1573</v>
      </c>
      <c r="AR632" s="57" t="s">
        <v>188</v>
      </c>
      <c r="AS632" s="46">
        <v>42380.52888888889</v>
      </c>
      <c r="AT632" s="3">
        <f t="shared" si="9"/>
        <v>439</v>
      </c>
    </row>
    <row r="633" spans="8:46" x14ac:dyDescent="0.4">
      <c r="H633" s="59">
        <v>42992.404930555553</v>
      </c>
      <c r="I633" s="43">
        <v>41841.646527777775</v>
      </c>
      <c r="J633" s="42">
        <v>42017.445439814815</v>
      </c>
      <c r="K633" s="81" t="s">
        <v>49</v>
      </c>
      <c r="L633" t="s">
        <v>49</v>
      </c>
      <c r="M633" t="s">
        <v>336</v>
      </c>
      <c r="N633" s="1" t="s">
        <v>336</v>
      </c>
      <c r="O633" s="1" t="s">
        <v>245</v>
      </c>
      <c r="P633" t="s">
        <v>245</v>
      </c>
      <c r="Q633" s="9" t="s">
        <v>45</v>
      </c>
      <c r="R633" s="82" t="s">
        <v>45</v>
      </c>
      <c r="S633" s="44" t="s">
        <v>190</v>
      </c>
      <c r="T633" s="3" t="s">
        <v>61</v>
      </c>
      <c r="U633" s="2" t="s">
        <v>29</v>
      </c>
      <c r="V633" s="3" t="s">
        <v>175</v>
      </c>
      <c r="W633" s="11" t="s">
        <v>143</v>
      </c>
      <c r="X633" s="3" t="s">
        <v>143</v>
      </c>
      <c r="Y633" s="77" t="s">
        <v>48</v>
      </c>
      <c r="Z633" s="84" t="s">
        <v>1572</v>
      </c>
      <c r="AA633" s="89" t="s">
        <v>28</v>
      </c>
      <c r="AB633" s="90" t="str">
        <f>HYPERLINK(CONCATENATE("https://www.ejacket.nsf.gov/ej/showProposal.do?ID=",SUBSTITUTE(SplitQueryTableRecent[[#This Row],[prop_id]],CHAR(160),"")),"eJ")</f>
        <v>eJ</v>
      </c>
      <c r="AC633" s="89" t="s">
        <v>1572</v>
      </c>
      <c r="AD633" s="3" t="s">
        <v>1572</v>
      </c>
      <c r="AE633" s="91">
        <v>2017</v>
      </c>
      <c r="AF633" s="13" t="s">
        <v>43</v>
      </c>
      <c r="AG633" s="13">
        <v>0</v>
      </c>
      <c r="AH633" s="45">
        <v>425429</v>
      </c>
      <c r="AI633" s="44" t="s">
        <v>551</v>
      </c>
      <c r="AJ633" s="2" t="s">
        <v>552</v>
      </c>
      <c r="AK633" s="46" t="s">
        <v>246</v>
      </c>
      <c r="AL633" s="55" t="s">
        <v>481</v>
      </c>
      <c r="AM633" s="45" t="s">
        <v>481</v>
      </c>
      <c r="AN633" s="56" t="s">
        <v>142</v>
      </c>
      <c r="AO633" s="23" t="s">
        <v>176</v>
      </c>
      <c r="AP633" s="11" t="s">
        <v>393</v>
      </c>
      <c r="AQ633" s="88" t="s">
        <v>1573</v>
      </c>
      <c r="AR633" s="57" t="s">
        <v>188</v>
      </c>
      <c r="AS633" s="46">
        <v>42380.528900462959</v>
      </c>
      <c r="AT633" s="3">
        <f t="shared" si="9"/>
        <v>439</v>
      </c>
    </row>
    <row r="634" spans="8:46" x14ac:dyDescent="0.4">
      <c r="H634" s="59">
        <v>42992.404930555553</v>
      </c>
      <c r="I634" s="43">
        <v>41841.646527777775</v>
      </c>
      <c r="J634" s="42">
        <v>42017.445439814815</v>
      </c>
      <c r="K634" s="81" t="s">
        <v>49</v>
      </c>
      <c r="L634" t="s">
        <v>49</v>
      </c>
      <c r="M634" t="s">
        <v>336</v>
      </c>
      <c r="N634" s="1" t="s">
        <v>336</v>
      </c>
      <c r="O634" s="1" t="s">
        <v>245</v>
      </c>
      <c r="P634" t="s">
        <v>245</v>
      </c>
      <c r="Q634" s="9" t="s">
        <v>45</v>
      </c>
      <c r="R634" s="82" t="s">
        <v>45</v>
      </c>
      <c r="S634" s="44" t="s">
        <v>190</v>
      </c>
      <c r="T634" s="3" t="s">
        <v>61</v>
      </c>
      <c r="U634" s="2" t="s">
        <v>29</v>
      </c>
      <c r="V634" s="3" t="s">
        <v>175</v>
      </c>
      <c r="W634" s="11" t="s">
        <v>143</v>
      </c>
      <c r="X634" s="3" t="s">
        <v>143</v>
      </c>
      <c r="Y634" s="77" t="s">
        <v>48</v>
      </c>
      <c r="Z634" s="84" t="s">
        <v>1572</v>
      </c>
      <c r="AA634" s="89" t="s">
        <v>28</v>
      </c>
      <c r="AB634" s="90" t="str">
        <f>HYPERLINK(CONCATENATE("https://www.ejacket.nsf.gov/ej/showProposal.do?ID=",SUBSTITUTE(SplitQueryTableRecent[[#This Row],[prop_id]],CHAR(160),"")),"eJ")</f>
        <v>eJ</v>
      </c>
      <c r="AC634" s="89" t="s">
        <v>1572</v>
      </c>
      <c r="AD634" s="3" t="s">
        <v>1572</v>
      </c>
      <c r="AE634" s="91">
        <v>2019</v>
      </c>
      <c r="AF634" s="13" t="s">
        <v>43</v>
      </c>
      <c r="AG634" s="13">
        <v>0</v>
      </c>
      <c r="AH634" s="45">
        <v>425429</v>
      </c>
      <c r="AI634" s="44" t="s">
        <v>551</v>
      </c>
      <c r="AJ634" s="2" t="s">
        <v>552</v>
      </c>
      <c r="AK634" s="46" t="s">
        <v>246</v>
      </c>
      <c r="AL634" s="55" t="s">
        <v>481</v>
      </c>
      <c r="AM634" s="45" t="s">
        <v>481</v>
      </c>
      <c r="AN634" s="56" t="s">
        <v>142</v>
      </c>
      <c r="AO634" s="23" t="s">
        <v>176</v>
      </c>
      <c r="AP634" s="11" t="s">
        <v>393</v>
      </c>
      <c r="AQ634" s="88" t="s">
        <v>1573</v>
      </c>
      <c r="AR634" s="57" t="s">
        <v>188</v>
      </c>
      <c r="AS634" s="46">
        <v>42380.528900462959</v>
      </c>
      <c r="AT634" s="3">
        <f t="shared" si="9"/>
        <v>439</v>
      </c>
    </row>
    <row r="635" spans="8:46" x14ac:dyDescent="0.4">
      <c r="H635" s="59">
        <v>42992.404930555553</v>
      </c>
      <c r="I635" s="43">
        <v>42263.731944444444</v>
      </c>
      <c r="J635" s="42">
        <v>42535.697048611109</v>
      </c>
      <c r="K635" s="81" t="s">
        <v>49</v>
      </c>
      <c r="L635" t="s">
        <v>49</v>
      </c>
      <c r="M635" t="s">
        <v>336</v>
      </c>
      <c r="N635" s="1" t="s">
        <v>336</v>
      </c>
      <c r="O635" s="1" t="s">
        <v>337</v>
      </c>
      <c r="P635" t="s">
        <v>337</v>
      </c>
      <c r="Q635" s="9" t="s">
        <v>45</v>
      </c>
      <c r="R635" s="82" t="s">
        <v>45</v>
      </c>
      <c r="S635" s="44" t="s">
        <v>196</v>
      </c>
      <c r="T635" s="3" t="s">
        <v>61</v>
      </c>
      <c r="U635" s="2" t="s">
        <v>29</v>
      </c>
      <c r="V635" s="3" t="s">
        <v>175</v>
      </c>
      <c r="W635" s="11" t="s">
        <v>143</v>
      </c>
      <c r="X635" s="3" t="s">
        <v>143</v>
      </c>
      <c r="Y635" s="77" t="s">
        <v>48</v>
      </c>
      <c r="Z635" s="84" t="s">
        <v>444</v>
      </c>
      <c r="AA635" s="89" t="s">
        <v>174</v>
      </c>
      <c r="AB635" s="90" t="str">
        <f>HYPERLINK(CONCATENATE("https://www.ejacket.nsf.gov/ej/showProposal.do?ID=",SUBSTITUTE(SplitQueryTableRecent[[#This Row],[prop_id]],CHAR(160),"")),"eJ")</f>
        <v>eJ</v>
      </c>
      <c r="AC635" s="89" t="s">
        <v>444</v>
      </c>
      <c r="AD635" s="3" t="s">
        <v>444</v>
      </c>
      <c r="AE635" s="91">
        <v>2016</v>
      </c>
      <c r="AF635" s="13" t="s">
        <v>43</v>
      </c>
      <c r="AG635" s="13">
        <v>0</v>
      </c>
      <c r="AH635" s="45">
        <v>400000</v>
      </c>
      <c r="AI635" s="44" t="s">
        <v>470</v>
      </c>
      <c r="AJ635" s="2" t="s">
        <v>471</v>
      </c>
      <c r="AK635" s="46" t="s">
        <v>1755</v>
      </c>
      <c r="AL635" s="55" t="s">
        <v>389</v>
      </c>
      <c r="AM635" s="45" t="s">
        <v>389</v>
      </c>
      <c r="AN635" s="56" t="s">
        <v>142</v>
      </c>
      <c r="AO635" s="23" t="s">
        <v>176</v>
      </c>
      <c r="AP635" s="11"/>
      <c r="AQ635" s="88" t="s">
        <v>445</v>
      </c>
      <c r="AR635" s="57" t="s">
        <v>40</v>
      </c>
      <c r="AS635" s="46">
        <v>42856.437754629631</v>
      </c>
      <c r="AT635" s="3">
        <f t="shared" si="9"/>
        <v>440</v>
      </c>
    </row>
    <row r="636" spans="8:46" x14ac:dyDescent="0.4">
      <c r="H636" s="59">
        <v>42992.404930555553</v>
      </c>
      <c r="I636" s="43">
        <v>42263.731944444444</v>
      </c>
      <c r="J636" s="42">
        <v>42535.697048611109</v>
      </c>
      <c r="K636" s="81" t="s">
        <v>49</v>
      </c>
      <c r="L636" t="s">
        <v>49</v>
      </c>
      <c r="M636" t="s">
        <v>336</v>
      </c>
      <c r="N636" s="1" t="s">
        <v>336</v>
      </c>
      <c r="O636" s="1" t="s">
        <v>337</v>
      </c>
      <c r="P636" t="s">
        <v>337</v>
      </c>
      <c r="Q636" s="9" t="s">
        <v>45</v>
      </c>
      <c r="R636" s="82" t="s">
        <v>45</v>
      </c>
      <c r="S636" s="44" t="s">
        <v>196</v>
      </c>
      <c r="T636" s="3" t="s">
        <v>61</v>
      </c>
      <c r="U636" s="2" t="s">
        <v>29</v>
      </c>
      <c r="V636" s="3" t="s">
        <v>175</v>
      </c>
      <c r="W636" s="11" t="s">
        <v>143</v>
      </c>
      <c r="X636" s="3" t="s">
        <v>143</v>
      </c>
      <c r="Y636" s="77" t="s">
        <v>48</v>
      </c>
      <c r="Z636" s="84" t="s">
        <v>444</v>
      </c>
      <c r="AA636" s="89" t="s">
        <v>174</v>
      </c>
      <c r="AB636" s="90" t="str">
        <f>HYPERLINK(CONCATENATE("https://www.ejacket.nsf.gov/ej/showProposal.do?ID=",SUBSTITUTE(SplitQueryTableRecent[[#This Row],[prop_id]],CHAR(160),"")),"eJ")</f>
        <v>eJ</v>
      </c>
      <c r="AC636" s="89" t="s">
        <v>444</v>
      </c>
      <c r="AD636" s="3" t="s">
        <v>444</v>
      </c>
      <c r="AE636" s="91">
        <v>2018</v>
      </c>
      <c r="AF636" s="13" t="s">
        <v>43</v>
      </c>
      <c r="AG636" s="13">
        <v>0</v>
      </c>
      <c r="AH636" s="45">
        <v>400000</v>
      </c>
      <c r="AI636" s="44" t="s">
        <v>470</v>
      </c>
      <c r="AJ636" s="2" t="s">
        <v>471</v>
      </c>
      <c r="AK636" s="46" t="s">
        <v>1755</v>
      </c>
      <c r="AL636" s="55" t="s">
        <v>389</v>
      </c>
      <c r="AM636" s="45" t="s">
        <v>389</v>
      </c>
      <c r="AN636" s="56" t="s">
        <v>142</v>
      </c>
      <c r="AO636" s="23" t="s">
        <v>176</v>
      </c>
      <c r="AP636" s="11" t="s">
        <v>393</v>
      </c>
      <c r="AQ636" s="88" t="s">
        <v>445</v>
      </c>
      <c r="AR636" s="57" t="s">
        <v>40</v>
      </c>
      <c r="AS636" s="46">
        <v>42856.437754629631</v>
      </c>
      <c r="AT636" s="3">
        <f t="shared" si="9"/>
        <v>440</v>
      </c>
    </row>
    <row r="637" spans="8:46" x14ac:dyDescent="0.4">
      <c r="H637" s="59">
        <v>42992.404930555553</v>
      </c>
      <c r="I637" s="43">
        <v>41841.556944444441</v>
      </c>
      <c r="J637" s="42">
        <v>42017.45244212963</v>
      </c>
      <c r="K637" s="81" t="s">
        <v>49</v>
      </c>
      <c r="L637" t="s">
        <v>49</v>
      </c>
      <c r="M637" t="s">
        <v>336</v>
      </c>
      <c r="N637" s="1" t="s">
        <v>336</v>
      </c>
      <c r="O637" s="1" t="s">
        <v>245</v>
      </c>
      <c r="P637" t="s">
        <v>245</v>
      </c>
      <c r="Q637" s="9" t="s">
        <v>45</v>
      </c>
      <c r="R637" s="82" t="s">
        <v>45</v>
      </c>
      <c r="S637" s="44" t="s">
        <v>190</v>
      </c>
      <c r="T637" s="3" t="s">
        <v>61</v>
      </c>
      <c r="U637" s="2" t="s">
        <v>29</v>
      </c>
      <c r="V637" s="3" t="s">
        <v>175</v>
      </c>
      <c r="W637" s="11" t="s">
        <v>143</v>
      </c>
      <c r="X637" s="3" t="s">
        <v>143</v>
      </c>
      <c r="Y637" s="77" t="s">
        <v>48</v>
      </c>
      <c r="Z637" s="84" t="s">
        <v>1586</v>
      </c>
      <c r="AA637" s="89" t="s">
        <v>28</v>
      </c>
      <c r="AB637" s="90" t="str">
        <f>HYPERLINK(CONCATENATE("https://www.ejacket.nsf.gov/ej/showProposal.do?ID=",SUBSTITUTE(SplitQueryTableRecent[[#This Row],[prop_id]],CHAR(160),"")),"eJ")</f>
        <v>eJ</v>
      </c>
      <c r="AC637" s="89" t="s">
        <v>1586</v>
      </c>
      <c r="AD637" s="3" t="s">
        <v>1586</v>
      </c>
      <c r="AE637" s="91">
        <v>2015</v>
      </c>
      <c r="AF637" s="13" t="s">
        <v>43</v>
      </c>
      <c r="AG637" s="13">
        <v>28827</v>
      </c>
      <c r="AH637" s="45">
        <v>594640</v>
      </c>
      <c r="AI637" s="44" t="s">
        <v>1275</v>
      </c>
      <c r="AJ637" s="2" t="s">
        <v>1276</v>
      </c>
      <c r="AK637" s="46" t="s">
        <v>1711</v>
      </c>
      <c r="AL637" s="55" t="s">
        <v>481</v>
      </c>
      <c r="AM637" s="45" t="s">
        <v>481</v>
      </c>
      <c r="AN637" s="56" t="s">
        <v>142</v>
      </c>
      <c r="AO637" s="23" t="s">
        <v>176</v>
      </c>
      <c r="AP637" s="11"/>
      <c r="AQ637" s="88" t="s">
        <v>1587</v>
      </c>
      <c r="AR637" s="57" t="s">
        <v>203</v>
      </c>
      <c r="AS637" s="46">
        <v>42515.525300925925</v>
      </c>
      <c r="AT637" s="3">
        <f t="shared" si="9"/>
        <v>441</v>
      </c>
    </row>
    <row r="638" spans="8:46" x14ac:dyDescent="0.4">
      <c r="H638" s="59">
        <v>42992.404930555553</v>
      </c>
      <c r="I638" s="43">
        <v>41841.556944444441</v>
      </c>
      <c r="J638" s="42">
        <v>42017.45244212963</v>
      </c>
      <c r="K638" s="81" t="s">
        <v>49</v>
      </c>
      <c r="L638" t="s">
        <v>49</v>
      </c>
      <c r="M638" t="s">
        <v>336</v>
      </c>
      <c r="N638" s="1" t="s">
        <v>336</v>
      </c>
      <c r="O638" s="1" t="s">
        <v>245</v>
      </c>
      <c r="P638" t="s">
        <v>245</v>
      </c>
      <c r="Q638" s="9" t="s">
        <v>45</v>
      </c>
      <c r="R638" s="82" t="s">
        <v>45</v>
      </c>
      <c r="S638" s="44" t="s">
        <v>190</v>
      </c>
      <c r="T638" s="3" t="s">
        <v>61</v>
      </c>
      <c r="U638" s="2" t="s">
        <v>29</v>
      </c>
      <c r="V638" s="3" t="s">
        <v>175</v>
      </c>
      <c r="W638" s="11" t="s">
        <v>143</v>
      </c>
      <c r="X638" s="3" t="s">
        <v>143</v>
      </c>
      <c r="Y638" s="77" t="s">
        <v>48</v>
      </c>
      <c r="Z638" s="84" t="s">
        <v>1586</v>
      </c>
      <c r="AA638" s="89" t="s">
        <v>28</v>
      </c>
      <c r="AB638" s="90" t="str">
        <f>HYPERLINK(CONCATENATE("https://www.ejacket.nsf.gov/ej/showProposal.do?ID=",SUBSTITUTE(SplitQueryTableRecent[[#This Row],[prop_id]],CHAR(160),"")),"eJ")</f>
        <v>eJ</v>
      </c>
      <c r="AC638" s="89" t="s">
        <v>1586</v>
      </c>
      <c r="AD638" s="3" t="s">
        <v>1586</v>
      </c>
      <c r="AE638" s="91">
        <v>2017</v>
      </c>
      <c r="AF638" s="13" t="s">
        <v>43</v>
      </c>
      <c r="AG638" s="13">
        <v>0</v>
      </c>
      <c r="AH638" s="45">
        <v>594640</v>
      </c>
      <c r="AI638" s="44" t="s">
        <v>1275</v>
      </c>
      <c r="AJ638" s="2" t="s">
        <v>1276</v>
      </c>
      <c r="AK638" s="46" t="s">
        <v>1711</v>
      </c>
      <c r="AL638" s="55" t="s">
        <v>481</v>
      </c>
      <c r="AM638" s="45" t="s">
        <v>481</v>
      </c>
      <c r="AN638" s="56" t="s">
        <v>142</v>
      </c>
      <c r="AO638" s="23" t="s">
        <v>176</v>
      </c>
      <c r="AP638" s="11" t="s">
        <v>393</v>
      </c>
      <c r="AQ638" s="88" t="s">
        <v>1587</v>
      </c>
      <c r="AR638" s="57" t="s">
        <v>203</v>
      </c>
      <c r="AS638" s="46">
        <v>42515.525300925925</v>
      </c>
      <c r="AT638" s="3">
        <f t="shared" si="9"/>
        <v>441</v>
      </c>
    </row>
    <row r="639" spans="8:46" x14ac:dyDescent="0.4">
      <c r="H639" s="59">
        <v>42992.404930555553</v>
      </c>
      <c r="I639" s="43">
        <v>41841.556944444441</v>
      </c>
      <c r="J639" s="42">
        <v>42017.45244212963</v>
      </c>
      <c r="K639" s="81" t="s">
        <v>49</v>
      </c>
      <c r="L639" t="s">
        <v>49</v>
      </c>
      <c r="M639" t="s">
        <v>336</v>
      </c>
      <c r="N639" s="1" t="s">
        <v>336</v>
      </c>
      <c r="O639" s="1" t="s">
        <v>245</v>
      </c>
      <c r="P639" t="s">
        <v>245</v>
      </c>
      <c r="Q639" s="9" t="s">
        <v>45</v>
      </c>
      <c r="R639" s="82" t="s">
        <v>45</v>
      </c>
      <c r="S639" s="44" t="s">
        <v>190</v>
      </c>
      <c r="T639" s="3" t="s">
        <v>61</v>
      </c>
      <c r="U639" s="2" t="s">
        <v>29</v>
      </c>
      <c r="V639" s="3" t="s">
        <v>175</v>
      </c>
      <c r="W639" s="11" t="s">
        <v>143</v>
      </c>
      <c r="X639" s="3" t="s">
        <v>143</v>
      </c>
      <c r="Y639" s="77" t="s">
        <v>48</v>
      </c>
      <c r="Z639" s="84" t="s">
        <v>1586</v>
      </c>
      <c r="AA639" s="89" t="s">
        <v>28</v>
      </c>
      <c r="AB639" s="90" t="str">
        <f>HYPERLINK(CONCATENATE("https://www.ejacket.nsf.gov/ej/showProposal.do?ID=",SUBSTITUTE(SplitQueryTableRecent[[#This Row],[prop_id]],CHAR(160),"")),"eJ")</f>
        <v>eJ</v>
      </c>
      <c r="AC639" s="89" t="s">
        <v>1586</v>
      </c>
      <c r="AD639" s="3" t="s">
        <v>1586</v>
      </c>
      <c r="AE639" s="91">
        <v>2019</v>
      </c>
      <c r="AF639" s="13" t="s">
        <v>43</v>
      </c>
      <c r="AG639" s="13">
        <v>0</v>
      </c>
      <c r="AH639" s="45">
        <v>594640</v>
      </c>
      <c r="AI639" s="44" t="s">
        <v>1275</v>
      </c>
      <c r="AJ639" s="2" t="s">
        <v>1276</v>
      </c>
      <c r="AK639" s="46" t="s">
        <v>1711</v>
      </c>
      <c r="AL639" s="55" t="s">
        <v>481</v>
      </c>
      <c r="AM639" s="45" t="s">
        <v>481</v>
      </c>
      <c r="AN639" s="56" t="s">
        <v>142</v>
      </c>
      <c r="AO639" s="23" t="s">
        <v>176</v>
      </c>
      <c r="AP639" s="11" t="s">
        <v>393</v>
      </c>
      <c r="AQ639" s="88" t="s">
        <v>1587</v>
      </c>
      <c r="AR639" s="57" t="s">
        <v>203</v>
      </c>
      <c r="AS639" s="46">
        <v>42515.525300925925</v>
      </c>
      <c r="AT639" s="3">
        <f t="shared" si="9"/>
        <v>441</v>
      </c>
    </row>
    <row r="640" spans="8:46" x14ac:dyDescent="0.4">
      <c r="H640" s="59">
        <v>42992.404930555553</v>
      </c>
      <c r="I640" s="43">
        <v>42262.76458333333</v>
      </c>
      <c r="J640" s="42">
        <v>42388.419965277775</v>
      </c>
      <c r="K640" s="81" t="s">
        <v>49</v>
      </c>
      <c r="L640" t="s">
        <v>49</v>
      </c>
      <c r="M640" t="s">
        <v>336</v>
      </c>
      <c r="N640" s="1" t="s">
        <v>336</v>
      </c>
      <c r="O640" s="1" t="s">
        <v>245</v>
      </c>
      <c r="P640" t="s">
        <v>245</v>
      </c>
      <c r="Q640" s="9" t="s">
        <v>45</v>
      </c>
      <c r="R640" s="82" t="s">
        <v>45</v>
      </c>
      <c r="S640" s="44" t="s">
        <v>196</v>
      </c>
      <c r="T640" s="3" t="s">
        <v>61</v>
      </c>
      <c r="U640" s="2" t="s">
        <v>29</v>
      </c>
      <c r="V640" s="3" t="s">
        <v>175</v>
      </c>
      <c r="W640" s="11" t="s">
        <v>143</v>
      </c>
      <c r="X640" s="3" t="s">
        <v>143</v>
      </c>
      <c r="Y640" s="77" t="s">
        <v>48</v>
      </c>
      <c r="Z640" s="84" t="s">
        <v>383</v>
      </c>
      <c r="AA640" s="89" t="s">
        <v>62</v>
      </c>
      <c r="AB640" s="90" t="str">
        <f>HYPERLINK(CONCATENATE("https://www.ejacket.nsf.gov/ej/showProposal.do?ID=",SUBSTITUTE(SplitQueryTableRecent[[#This Row],[prop_id]],CHAR(160),"")),"eJ")</f>
        <v>eJ</v>
      </c>
      <c r="AC640" s="89" t="s">
        <v>505</v>
      </c>
      <c r="AD640" s="3" t="s">
        <v>505</v>
      </c>
      <c r="AE640" s="91">
        <v>2016</v>
      </c>
      <c r="AF640" s="13" t="s">
        <v>43</v>
      </c>
      <c r="AG640" s="13">
        <v>101798</v>
      </c>
      <c r="AH640" s="45">
        <v>400000</v>
      </c>
      <c r="AI640" s="44" t="s">
        <v>506</v>
      </c>
      <c r="AJ640" s="2" t="s">
        <v>507</v>
      </c>
      <c r="AK640" s="46" t="s">
        <v>1746</v>
      </c>
      <c r="AL640" s="55" t="s">
        <v>353</v>
      </c>
      <c r="AM640" s="45" t="s">
        <v>353</v>
      </c>
      <c r="AN640" s="56" t="s">
        <v>142</v>
      </c>
      <c r="AO640" s="23" t="s">
        <v>176</v>
      </c>
      <c r="AP640" s="11"/>
      <c r="AQ640" s="88" t="s">
        <v>384</v>
      </c>
      <c r="AR640" s="57" t="s">
        <v>188</v>
      </c>
      <c r="AS640" s="46">
        <v>42978.585023148145</v>
      </c>
      <c r="AT640" s="3">
        <f t="shared" si="9"/>
        <v>442</v>
      </c>
    </row>
    <row r="641" spans="8:46" x14ac:dyDescent="0.4">
      <c r="H641" s="59">
        <v>42992.404930555553</v>
      </c>
      <c r="I641" s="43">
        <v>42262.76458333333</v>
      </c>
      <c r="J641" s="42">
        <v>42388.419965277775</v>
      </c>
      <c r="K641" s="81" t="s">
        <v>49</v>
      </c>
      <c r="L641" t="s">
        <v>49</v>
      </c>
      <c r="M641" t="s">
        <v>336</v>
      </c>
      <c r="N641" s="1" t="s">
        <v>336</v>
      </c>
      <c r="O641" s="1" t="s">
        <v>245</v>
      </c>
      <c r="P641" t="s">
        <v>245</v>
      </c>
      <c r="Q641" s="9" t="s">
        <v>45</v>
      </c>
      <c r="R641" s="82" t="s">
        <v>45</v>
      </c>
      <c r="S641" s="44" t="s">
        <v>196</v>
      </c>
      <c r="T641" s="3" t="s">
        <v>61</v>
      </c>
      <c r="U641" s="2" t="s">
        <v>29</v>
      </c>
      <c r="V641" s="3" t="s">
        <v>175</v>
      </c>
      <c r="W641" s="11" t="s">
        <v>143</v>
      </c>
      <c r="X641" s="3" t="s">
        <v>143</v>
      </c>
      <c r="Y641" s="77" t="s">
        <v>48</v>
      </c>
      <c r="Z641" s="84" t="s">
        <v>383</v>
      </c>
      <c r="AA641" s="89" t="s">
        <v>62</v>
      </c>
      <c r="AB641" s="90" t="str">
        <f>HYPERLINK(CONCATENATE("https://www.ejacket.nsf.gov/ej/showProposal.do?ID=",SUBSTITUTE(SplitQueryTableRecent[[#This Row],[prop_id]],CHAR(160),"")),"eJ")</f>
        <v>eJ</v>
      </c>
      <c r="AC641" s="89" t="s">
        <v>505</v>
      </c>
      <c r="AD641" s="3" t="s">
        <v>505</v>
      </c>
      <c r="AE641" s="91">
        <v>2018</v>
      </c>
      <c r="AF641" s="13" t="s">
        <v>43</v>
      </c>
      <c r="AG641" s="13">
        <v>0</v>
      </c>
      <c r="AH641" s="45">
        <v>400000</v>
      </c>
      <c r="AI641" s="44" t="s">
        <v>506</v>
      </c>
      <c r="AJ641" s="2" t="s">
        <v>507</v>
      </c>
      <c r="AK641" s="46" t="s">
        <v>1746</v>
      </c>
      <c r="AL641" s="55" t="s">
        <v>353</v>
      </c>
      <c r="AM641" s="45" t="s">
        <v>353</v>
      </c>
      <c r="AN641" s="56" t="s">
        <v>142</v>
      </c>
      <c r="AO641" s="23" t="s">
        <v>176</v>
      </c>
      <c r="AP641" s="11" t="s">
        <v>393</v>
      </c>
      <c r="AQ641" s="88" t="s">
        <v>384</v>
      </c>
      <c r="AR641" s="57" t="s">
        <v>188</v>
      </c>
      <c r="AS641" s="46">
        <v>42978.585023148145</v>
      </c>
      <c r="AT641" s="3">
        <f t="shared" si="9"/>
        <v>442</v>
      </c>
    </row>
    <row r="642" spans="8:46" x14ac:dyDescent="0.4">
      <c r="H642" s="59">
        <v>42992.404930555553</v>
      </c>
      <c r="I642" s="43">
        <v>41467.27685185185</v>
      </c>
      <c r="J642" s="42">
        <v>41468.85365740741</v>
      </c>
      <c r="K642" s="81" t="s">
        <v>49</v>
      </c>
      <c r="L642" t="s">
        <v>49</v>
      </c>
      <c r="M642" t="s">
        <v>336</v>
      </c>
      <c r="N642" s="1" t="s">
        <v>336</v>
      </c>
      <c r="O642" s="1" t="s">
        <v>245</v>
      </c>
      <c r="P642" t="s">
        <v>245</v>
      </c>
      <c r="Q642" s="9" t="s">
        <v>45</v>
      </c>
      <c r="R642" s="82" t="s">
        <v>45</v>
      </c>
      <c r="S642" s="44" t="s">
        <v>52</v>
      </c>
      <c r="T642" s="3" t="s">
        <v>202</v>
      </c>
      <c r="U642" s="2" t="s">
        <v>29</v>
      </c>
      <c r="V642" s="3" t="s">
        <v>175</v>
      </c>
      <c r="W642" s="11" t="s">
        <v>143</v>
      </c>
      <c r="X642" s="3" t="s">
        <v>143</v>
      </c>
      <c r="Y642" s="77" t="s">
        <v>48</v>
      </c>
      <c r="Z642" s="84" t="s">
        <v>1676</v>
      </c>
      <c r="AA642" s="89" t="s">
        <v>28</v>
      </c>
      <c r="AB642" s="90" t="str">
        <f>HYPERLINK(CONCATENATE("https://www.ejacket.nsf.gov/ej/showProposal.do?ID=",SUBSTITUTE(SplitQueryTableRecent[[#This Row],[prop_id]],CHAR(160),"")),"eJ")</f>
        <v>eJ</v>
      </c>
      <c r="AC642" s="89" t="s">
        <v>1677</v>
      </c>
      <c r="AD642" s="3" t="s">
        <v>1676</v>
      </c>
      <c r="AE642" s="91">
        <v>2013</v>
      </c>
      <c r="AF642" s="13" t="s">
        <v>43</v>
      </c>
      <c r="AG642" s="13">
        <v>0</v>
      </c>
      <c r="AH642" s="45">
        <v>92599</v>
      </c>
      <c r="AI642" s="44" t="s">
        <v>420</v>
      </c>
      <c r="AJ642" s="2" t="s">
        <v>421</v>
      </c>
      <c r="AK642" s="46" t="s">
        <v>228</v>
      </c>
      <c r="AL642" s="55" t="s">
        <v>481</v>
      </c>
      <c r="AM642" s="45" t="s">
        <v>481</v>
      </c>
      <c r="AN642" s="56" t="s">
        <v>142</v>
      </c>
      <c r="AO642" s="23" t="s">
        <v>176</v>
      </c>
      <c r="AP642" s="11"/>
      <c r="AQ642" s="88" t="s">
        <v>1657</v>
      </c>
      <c r="AR642" s="57" t="s">
        <v>161</v>
      </c>
      <c r="AS642" s="46">
        <v>41596.374444444446</v>
      </c>
      <c r="AT642" s="3">
        <f t="shared" si="9"/>
        <v>443</v>
      </c>
    </row>
    <row r="643" spans="8:46" x14ac:dyDescent="0.4">
      <c r="H643" s="59">
        <v>42992.404930555553</v>
      </c>
      <c r="I643" s="43">
        <v>42978</v>
      </c>
      <c r="J643" s="42">
        <v>1</v>
      </c>
      <c r="K643" s="81" t="s">
        <v>49</v>
      </c>
      <c r="L643" t="s">
        <v>49</v>
      </c>
      <c r="M643" t="s">
        <v>336</v>
      </c>
      <c r="N643" s="1" t="s">
        <v>336</v>
      </c>
      <c r="O643" s="1" t="s">
        <v>230</v>
      </c>
      <c r="P643" t="s">
        <v>230</v>
      </c>
      <c r="Q643" s="9" t="s">
        <v>45</v>
      </c>
      <c r="R643" s="82" t="s">
        <v>45</v>
      </c>
      <c r="S643" s="44" t="s">
        <v>196</v>
      </c>
      <c r="T643" s="3" t="s">
        <v>71</v>
      </c>
      <c r="U643" s="2" t="s">
        <v>223</v>
      </c>
      <c r="V643" s="3"/>
      <c r="W643" s="11" t="s">
        <v>153</v>
      </c>
      <c r="X643" s="3" t="s">
        <v>153</v>
      </c>
      <c r="Y643" s="77" t="s">
        <v>48</v>
      </c>
      <c r="Z643" s="84" t="s">
        <v>539</v>
      </c>
      <c r="AA643" s="89" t="s">
        <v>28</v>
      </c>
      <c r="AB643" s="90" t="str">
        <f>HYPERLINK(CONCATENATE("https://www.ejacket.nsf.gov/ej/showProposal.do?ID=",SUBSTITUTE(SplitQueryTableRecent[[#This Row],[prop_id]],CHAR(160),"")),"eJ")</f>
        <v>eJ</v>
      </c>
      <c r="AC643" s="89" t="s">
        <v>52</v>
      </c>
      <c r="AD643" s="3" t="s">
        <v>539</v>
      </c>
      <c r="AE643" s="91">
        <v>2016</v>
      </c>
      <c r="AF643" s="13" t="s">
        <v>43</v>
      </c>
      <c r="AG643" s="13">
        <v>317896</v>
      </c>
      <c r="AH643" s="45">
        <v>317896</v>
      </c>
      <c r="AI643" s="44" t="s">
        <v>216</v>
      </c>
      <c r="AJ643" s="2" t="s">
        <v>265</v>
      </c>
      <c r="AK643" s="46" t="s">
        <v>392</v>
      </c>
      <c r="AL643" s="55"/>
      <c r="AM643" s="45" t="s">
        <v>368</v>
      </c>
      <c r="AN643" s="56" t="s">
        <v>152</v>
      </c>
      <c r="AO643" s="23"/>
      <c r="AP643" s="11"/>
      <c r="AQ643" s="88" t="s">
        <v>540</v>
      </c>
      <c r="AR643" s="57" t="s">
        <v>333</v>
      </c>
      <c r="AS643" s="46">
        <v>42979.061215277776</v>
      </c>
      <c r="AT643" s="3">
        <f t="shared" si="9"/>
        <v>444</v>
      </c>
    </row>
    <row r="644" spans="8:46" x14ac:dyDescent="0.4">
      <c r="H644" s="59">
        <v>42992.404930555553</v>
      </c>
      <c r="I644" s="43">
        <v>42936</v>
      </c>
      <c r="J644" s="42">
        <v>42940.452928240738</v>
      </c>
      <c r="K644" s="81" t="s">
        <v>49</v>
      </c>
      <c r="L644" t="s">
        <v>49</v>
      </c>
      <c r="M644" t="s">
        <v>336</v>
      </c>
      <c r="N644" s="1" t="s">
        <v>336</v>
      </c>
      <c r="O644" s="1" t="s">
        <v>337</v>
      </c>
      <c r="P644" t="s">
        <v>337</v>
      </c>
      <c r="Q644" s="9" t="s">
        <v>45</v>
      </c>
      <c r="R644" s="82" t="s">
        <v>45</v>
      </c>
      <c r="S644" s="44" t="s">
        <v>52</v>
      </c>
      <c r="T644" s="3" t="s">
        <v>136</v>
      </c>
      <c r="U644" s="2" t="s">
        <v>154</v>
      </c>
      <c r="V644" s="3"/>
      <c r="W644" s="11" t="s">
        <v>181</v>
      </c>
      <c r="X644" s="3" t="s">
        <v>181</v>
      </c>
      <c r="Y644" s="77" t="s">
        <v>48</v>
      </c>
      <c r="Z644" s="84" t="s">
        <v>1689</v>
      </c>
      <c r="AA644" s="89" t="s">
        <v>28</v>
      </c>
      <c r="AB644" s="90" t="str">
        <f>HYPERLINK(CONCATENATE("https://www.ejacket.nsf.gov/ej/showProposal.do?ID=",SUBSTITUTE(SplitQueryTableRecent[[#This Row],[prop_id]],CHAR(160),"")),"eJ")</f>
        <v>eJ</v>
      </c>
      <c r="AC644" s="89" t="s">
        <v>52</v>
      </c>
      <c r="AD644" s="3" t="s">
        <v>1689</v>
      </c>
      <c r="AE644" s="91">
        <v>2017</v>
      </c>
      <c r="AF644" s="13" t="s">
        <v>43</v>
      </c>
      <c r="AG644" s="13">
        <v>16000</v>
      </c>
      <c r="AH644" s="45">
        <v>16000</v>
      </c>
      <c r="AI644" s="44" t="s">
        <v>592</v>
      </c>
      <c r="AJ644" s="2" t="s">
        <v>593</v>
      </c>
      <c r="AK644" s="46" t="s">
        <v>246</v>
      </c>
      <c r="AL644" s="55" t="s">
        <v>1031</v>
      </c>
      <c r="AM644" s="45" t="s">
        <v>1031</v>
      </c>
      <c r="AN644" s="56" t="s">
        <v>180</v>
      </c>
      <c r="AO644" s="23"/>
      <c r="AP644" s="11"/>
      <c r="AQ644" s="88" t="s">
        <v>1688</v>
      </c>
      <c r="AR644" s="57" t="s">
        <v>561</v>
      </c>
      <c r="AS644" s="46">
        <v>42937.600277777776</v>
      </c>
      <c r="AT644" s="3">
        <f t="shared" si="9"/>
        <v>445</v>
      </c>
    </row>
    <row r="645" spans="8:46" x14ac:dyDescent="0.4">
      <c r="H645" t="s">
        <v>58</v>
      </c>
      <c r="J645"/>
      <c r="K645"/>
      <c r="L645"/>
      <c r="P645"/>
      <c r="R645"/>
      <c r="S645"/>
      <c r="T645"/>
      <c r="U645"/>
      <c r="Y645"/>
      <c r="AB645"/>
      <c r="AG645" s="2">
        <f>SUBTOTAL(109,SplitQueryTableRecent[budg_splt_tot_dol])</f>
        <v>120361802</v>
      </c>
      <c r="AQ645"/>
      <c r="AT645" s="11">
        <f>SUBTOTAL(109,SplitQueryTableRecent[0])</f>
        <v>151836</v>
      </c>
    </row>
  </sheetData>
  <mergeCells count="12">
    <mergeCell ref="AI24:AK24"/>
    <mergeCell ref="AL24:AM24"/>
    <mergeCell ref="AN24:AQ24"/>
    <mergeCell ref="AR24:AS24"/>
    <mergeCell ref="A25:B25"/>
    <mergeCell ref="C25:E25"/>
    <mergeCell ref="Z24:AH24"/>
    <mergeCell ref="A2:R3"/>
    <mergeCell ref="A24:E24"/>
    <mergeCell ref="I24:J24"/>
    <mergeCell ref="K24:R24"/>
    <mergeCell ref="S24:Y24"/>
  </mergeCells>
  <conditionalFormatting sqref="P26:P644">
    <cfRule type="expression" dxfId="31" priority="4">
      <formula>$O26&lt;&gt;$P26</formula>
    </cfRule>
  </conditionalFormatting>
  <conditionalFormatting sqref="N26:N644">
    <cfRule type="expression" dxfId="30" priority="5">
      <formula>$M26&lt;&gt;$N26</formula>
    </cfRule>
  </conditionalFormatting>
  <conditionalFormatting sqref="R26:R644">
    <cfRule type="expression" dxfId="29" priority="6">
      <formula>$Q26&lt;&gt;$R26</formula>
    </cfRule>
  </conditionalFormatting>
  <conditionalFormatting sqref="L26:L644">
    <cfRule type="expression" dxfId="28" priority="7">
      <formula>$K26&lt;&gt;$L26</formula>
    </cfRule>
  </conditionalFormatting>
  <conditionalFormatting sqref="H26:AT644">
    <cfRule type="expression" dxfId="27" priority="8">
      <formula>AND(LEN($T26)&gt;0,MOD($AT26,2)=0)</formula>
    </cfRule>
  </conditionalFormatting>
  <conditionalFormatting sqref="D47">
    <cfRule type="expression" dxfId="26" priority="509">
      <formula>AND(LEN($T722)&gt;0,MOD($BU280,2)=0)</formula>
    </cfRule>
  </conditionalFormatting>
  <conditionalFormatting sqref="B26:B34">
    <cfRule type="expression" dxfId="25" priority="3">
      <formula>LEFT(B26,3)="eg:"</formula>
    </cfRule>
  </conditionalFormatting>
  <conditionalFormatting sqref="D26:E37">
    <cfRule type="expression" dxfId="24" priority="1">
      <formula>LEFT(D26,3)="eg:"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6" name="Button 32">
              <controlPr defaultSize="0" print="0" autoFill="0" autoPict="0" macro="[0]!UpdateTimenow">
                <anchor moveWithCells="1" sizeWithCells="1">
                  <from>
                    <xdr:col>0</xdr:col>
                    <xdr:colOff>478971</xdr:colOff>
                    <xdr:row>38</xdr:row>
                    <xdr:rowOff>125186</xdr:rowOff>
                  </from>
                  <to>
                    <xdr:col>1</xdr:col>
                    <xdr:colOff>364671</xdr:colOff>
                    <xdr:row>40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7" name="Button 33">
              <controlPr defaultSize="0" print="0" autoFill="0" autoPict="0" macro="[0]!ClearSplitInputs">
                <anchor moveWithCells="1" sizeWithCells="1">
                  <from>
                    <xdr:col>1</xdr:col>
                    <xdr:colOff>364671</xdr:colOff>
                    <xdr:row>34</xdr:row>
                    <xdr:rowOff>163286</xdr:rowOff>
                  </from>
                  <to>
                    <xdr:col>1</xdr:col>
                    <xdr:colOff>1442357</xdr:colOff>
                    <xdr:row>36</xdr:row>
                    <xdr:rowOff>65314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F24"/>
  <sheetViews>
    <sheetView workbookViewId="0">
      <selection activeCell="C64" sqref="C64"/>
    </sheetView>
  </sheetViews>
  <sheetFormatPr defaultRowHeight="14.6" x14ac:dyDescent="0.4"/>
  <cols>
    <col min="1" max="1" width="16.765625" style="96" customWidth="1"/>
    <col min="2" max="2" width="9.765625" style="96" customWidth="1"/>
    <col min="3" max="3" width="69.765625" style="96" customWidth="1"/>
    <col min="4" max="16384" width="9.23046875" style="96"/>
  </cols>
  <sheetData>
    <row r="1" spans="1:6" x14ac:dyDescent="0.4">
      <c r="A1" s="96" t="s">
        <v>2971</v>
      </c>
    </row>
    <row r="2" spans="1:6" x14ac:dyDescent="0.4">
      <c r="A2" s="97" t="s">
        <v>2972</v>
      </c>
      <c r="B2" s="96" t="s">
        <v>2987</v>
      </c>
    </row>
    <row r="3" spans="1:6" x14ac:dyDescent="0.4">
      <c r="A3" s="97" t="s">
        <v>2973</v>
      </c>
      <c r="B3" s="98" t="s">
        <v>2988</v>
      </c>
    </row>
    <row r="4" spans="1:6" x14ac:dyDescent="0.4">
      <c r="A4" s="97" t="s">
        <v>2974</v>
      </c>
      <c r="B4" s="96" t="s">
        <v>2981</v>
      </c>
    </row>
    <row r="5" spans="1:6" x14ac:dyDescent="0.4">
      <c r="A5" s="97" t="s">
        <v>2975</v>
      </c>
      <c r="B5" s="96" t="s">
        <v>2976</v>
      </c>
    </row>
    <row r="7" spans="1:6" x14ac:dyDescent="0.4">
      <c r="A7" s="99" t="s">
        <v>2942</v>
      </c>
      <c r="B7" s="100" t="s">
        <v>2943</v>
      </c>
      <c r="D7" s="101" t="s">
        <v>2956</v>
      </c>
      <c r="E7" s="101" t="s">
        <v>2943</v>
      </c>
      <c r="F7" s="102" t="s">
        <v>2962</v>
      </c>
    </row>
    <row r="8" spans="1:6" x14ac:dyDescent="0.4">
      <c r="A8" s="103" t="s">
        <v>2942</v>
      </c>
      <c r="B8" s="104" t="s">
        <v>2943</v>
      </c>
      <c r="D8" s="105" t="s">
        <v>2945</v>
      </c>
      <c r="E8" s="105" t="s">
        <v>2943</v>
      </c>
      <c r="F8" s="106" t="s">
        <v>2962</v>
      </c>
    </row>
    <row r="9" spans="1:6" x14ac:dyDescent="0.4">
      <c r="A9" s="103" t="s">
        <v>2944</v>
      </c>
      <c r="B9" s="104"/>
      <c r="D9" s="105" t="s">
        <v>2957</v>
      </c>
      <c r="E9" s="105" t="s">
        <v>2944</v>
      </c>
      <c r="F9" s="106"/>
    </row>
    <row r="10" spans="1:6" x14ac:dyDescent="0.4">
      <c r="A10" s="103" t="s">
        <v>2945</v>
      </c>
      <c r="B10" s="104"/>
      <c r="D10" s="105" t="s">
        <v>2953</v>
      </c>
      <c r="E10" s="105" t="s">
        <v>2963</v>
      </c>
      <c r="F10" s="106"/>
    </row>
    <row r="11" spans="1:6" x14ac:dyDescent="0.4">
      <c r="A11" s="103" t="s">
        <v>2946</v>
      </c>
      <c r="B11" s="104"/>
      <c r="D11" s="105" t="s">
        <v>2951</v>
      </c>
      <c r="E11" s="105" t="s">
        <v>2964</v>
      </c>
      <c r="F11" s="106"/>
    </row>
    <row r="12" spans="1:6" x14ac:dyDescent="0.4">
      <c r="A12" s="103" t="s">
        <v>2947</v>
      </c>
      <c r="B12" s="104"/>
      <c r="D12" s="105" t="s">
        <v>2959</v>
      </c>
      <c r="E12" s="105" t="s">
        <v>2965</v>
      </c>
      <c r="F12" s="106"/>
    </row>
    <row r="13" spans="1:6" x14ac:dyDescent="0.4">
      <c r="A13" s="103" t="s">
        <v>2948</v>
      </c>
      <c r="B13" s="104"/>
      <c r="D13" s="105" t="s">
        <v>2960</v>
      </c>
      <c r="E13" s="105" t="s">
        <v>2966</v>
      </c>
      <c r="F13" s="106"/>
    </row>
    <row r="14" spans="1:6" x14ac:dyDescent="0.4">
      <c r="A14" s="103" t="s">
        <v>2953</v>
      </c>
      <c r="B14" s="104"/>
      <c r="D14" s="105" t="s">
        <v>2958</v>
      </c>
      <c r="E14" s="105" t="s">
        <v>2953</v>
      </c>
      <c r="F14" s="106"/>
    </row>
    <row r="15" spans="1:6" x14ac:dyDescent="0.4">
      <c r="A15" s="103" t="s">
        <v>2952</v>
      </c>
      <c r="B15" s="104"/>
      <c r="D15" s="107" t="s">
        <v>2961</v>
      </c>
      <c r="E15" s="105" t="s">
        <v>2967</v>
      </c>
      <c r="F15" s="106"/>
    </row>
    <row r="16" spans="1:6" x14ac:dyDescent="0.4">
      <c r="A16" s="103" t="s">
        <v>2951</v>
      </c>
      <c r="B16" s="104"/>
      <c r="E16" s="105" t="s">
        <v>2968</v>
      </c>
      <c r="F16" s="106"/>
    </row>
    <row r="17" spans="1:6" x14ac:dyDescent="0.4">
      <c r="A17" s="103" t="s">
        <v>2950</v>
      </c>
      <c r="B17" s="104"/>
      <c r="E17" s="105" t="s">
        <v>2969</v>
      </c>
      <c r="F17" s="106"/>
    </row>
    <row r="18" spans="1:6" x14ac:dyDescent="0.4">
      <c r="A18" s="108" t="s">
        <v>2949</v>
      </c>
      <c r="B18" s="109"/>
      <c r="E18" s="107" t="s">
        <v>2970</v>
      </c>
      <c r="F18" s="110"/>
    </row>
    <row r="24" spans="1:6" x14ac:dyDescent="0.4">
      <c r="A24" s="111" t="s">
        <v>2977</v>
      </c>
      <c r="B24" s="112" t="s">
        <v>2978</v>
      </c>
      <c r="C24" s="113" t="s">
        <v>2979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74</vt:i4>
      </vt:variant>
    </vt:vector>
  </HeadingPairs>
  <TitlesOfParts>
    <vt:vector size="78" baseType="lpstr">
      <vt:lpstr>PropTracker</vt:lpstr>
      <vt:lpstr>splits18</vt:lpstr>
      <vt:lpstr>RecentActivity</vt:lpstr>
      <vt:lpstr>HiddenSettings</vt:lpstr>
      <vt:lpstr>RecentActivity!add_budg_splts</vt:lpstr>
      <vt:lpstr>splits18!add_budg_splts</vt:lpstr>
      <vt:lpstr>RecentActivity!awd_istr_abbr</vt:lpstr>
      <vt:lpstr>splits18!awd_istr_abbr</vt:lpstr>
      <vt:lpstr>RecentActivity!b.obj_clas_code</vt:lpstr>
      <vt:lpstr>splits18!b.obj_clas_code</vt:lpstr>
      <vt:lpstr>RecentActivity!b.org_code</vt:lpstr>
      <vt:lpstr>splits18!b.org_code</vt:lpstr>
      <vt:lpstr>RecentActivity!b.pgm_ele_code</vt:lpstr>
      <vt:lpstr>splits18!b.pgm_ele_code</vt:lpstr>
      <vt:lpstr>RecentActivity!b.pm_ibm_logn_id</vt:lpstr>
      <vt:lpstr>splits18!b.pm_ibm_logn_id</vt:lpstr>
      <vt:lpstr>RecentActivity!bpr.pgm_ref_code</vt:lpstr>
      <vt:lpstr>splits18!bpr.pgm_ref_code</vt:lpstr>
      <vt:lpstr>RecentActivity!budg_yr</vt:lpstr>
      <vt:lpstr>splits18!budg_yr</vt:lpstr>
      <vt:lpstr>PropTracker!dd_from_date</vt:lpstr>
      <vt:lpstr>RecentActivity!dd_from_date</vt:lpstr>
      <vt:lpstr>splits18!dd_from_date</vt:lpstr>
      <vt:lpstr>PropTracker!dd_to_date</vt:lpstr>
      <vt:lpstr>RecentActivity!dd_to_date</vt:lpstr>
      <vt:lpstr>splits18!dd_to_date</vt:lpstr>
      <vt:lpstr>PropTracker!dir_div_abbr</vt:lpstr>
      <vt:lpstr>RecentActivity!dir_div_abbr</vt:lpstr>
      <vt:lpstr>splits18!dir_div_abbr</vt:lpstr>
      <vt:lpstr>PropTracker!from_date</vt:lpstr>
      <vt:lpstr>RecentActivity!from_date</vt:lpstr>
      <vt:lpstr>splits18!from_date</vt:lpstr>
      <vt:lpstr>RecentActivity!last_updt_tmsp</vt:lpstr>
      <vt:lpstr>splits18!last_updt_tmsp</vt:lpstr>
      <vt:lpstr>Mac_connect_string</vt:lpstr>
      <vt:lpstr>PropTracker!natr_rqst_abbr</vt:lpstr>
      <vt:lpstr>RecentActivity!natr_rqst_abbr</vt:lpstr>
      <vt:lpstr>splits18!natr_rqst_abbr</vt:lpstr>
      <vt:lpstr>PropTracker!obj_clas_code</vt:lpstr>
      <vt:lpstr>RecentActivity!obj_clas_code</vt:lpstr>
      <vt:lpstr>splits18!obj_clas_code</vt:lpstr>
      <vt:lpstr>RecentActivity!omit_budg_splts</vt:lpstr>
      <vt:lpstr>splits18!omit_budg_splts</vt:lpstr>
      <vt:lpstr>PropTracker!org_code</vt:lpstr>
      <vt:lpstr>RecentActivity!org_code</vt:lpstr>
      <vt:lpstr>splits18!org_code</vt:lpstr>
      <vt:lpstr>PropTracker!pa.prop_atr_code</vt:lpstr>
      <vt:lpstr>RecentActivity!pa.prop_atr_code</vt:lpstr>
      <vt:lpstr>splits18!pa.prop_atr_code</vt:lpstr>
      <vt:lpstr>PC_connect_string</vt:lpstr>
      <vt:lpstr>PropTracker!pgm_annc_id</vt:lpstr>
      <vt:lpstr>RecentActivity!pgm_annc_id</vt:lpstr>
      <vt:lpstr>splits18!pgm_annc_id</vt:lpstr>
      <vt:lpstr>PropTracker!pgm_ele_code</vt:lpstr>
      <vt:lpstr>RecentActivity!pgm_ele_code</vt:lpstr>
      <vt:lpstr>splits18!pgm_ele_code</vt:lpstr>
      <vt:lpstr>RecentActivity!pgm_ref_code</vt:lpstr>
      <vt:lpstr>splits18!pgm_ref_code</vt:lpstr>
      <vt:lpstr>PropTracker!pm_ibm_logn_id</vt:lpstr>
      <vt:lpstr>RecentActivity!pm_ibm_logn_id</vt:lpstr>
      <vt:lpstr>splits18!pm_ibm_logn_id</vt:lpstr>
      <vt:lpstr>PropTracker!prop_stts_abbr</vt:lpstr>
      <vt:lpstr>RecentActivity!prop_stts_abbr</vt:lpstr>
      <vt:lpstr>splits18!prop_stts_abbr</vt:lpstr>
      <vt:lpstr>PropTracker!prop_titl_txt</vt:lpstr>
      <vt:lpstr>RecentActivity!prop_titl_txt</vt:lpstr>
      <vt:lpstr>splits18!prop_titl_txt</vt:lpstr>
      <vt:lpstr>HiddenSettings!PropParams</vt:lpstr>
      <vt:lpstr>PropTracker!PropParams</vt:lpstr>
      <vt:lpstr>HiddenSettings!rpt_pwd</vt:lpstr>
      <vt:lpstr>HiddenSettings!SplitBudgetParams</vt:lpstr>
      <vt:lpstr>RecentActivity!SplitBudgetParams</vt:lpstr>
      <vt:lpstr>HiddenSettings!SplitPropParams</vt:lpstr>
      <vt:lpstr>RecentActivity!SplitPropParams</vt:lpstr>
      <vt:lpstr>PropTracker!to_date</vt:lpstr>
      <vt:lpstr>RecentActivity!to_date</vt:lpstr>
      <vt:lpstr>splits18!to_date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Loera, Maria</dc:creator>
  <cp:lastModifiedBy>Jack Snoeyink</cp:lastModifiedBy>
  <dcterms:created xsi:type="dcterms:W3CDTF">2017-07-12T13:21:20Z</dcterms:created>
  <dcterms:modified xsi:type="dcterms:W3CDTF">2017-11-27T15:13:38Z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ts_abbr" linkTarget="prop_stts_abbr">
    <vt:lpwstr>eg: ~WTH,RTNR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atr_code" linkTarget="prop_atr_code">
    <vt:lpwstr>7941</vt:lpwstr>
  </property>
  <property fmtid="{D5CDD505-2E9C-101B-9397-08002B2CF9AE}" pid="5" name="titl_txt" linkTarget="prop_titl_txt">
    <vt:lpwstr>eg: %BSF%</vt:lpwstr>
  </property>
  <property fmtid="{D5CDD505-2E9C-101B-9397-08002B2CF9AE}" pid="6" name="id" linkTarget="prop_id">
    <vt:r8>0</vt:r8>
  </property>
</Properties>
</file>